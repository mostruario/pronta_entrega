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TO\"/>
    </mc:Choice>
  </mc:AlternateContent>
  <xr:revisionPtr revIDLastSave="0" documentId="13_ncr:1_{5E0CB42D-1D51-4EBB-A496-7C00C1FB4CBA}" xr6:coauthVersionLast="47" xr6:coauthVersionMax="47" xr10:uidLastSave="{00000000-0000-0000-0000-000000000000}"/>
  <bookViews>
    <workbookView xWindow="-120" yWindow="-120" windowWidth="20730" windowHeight="11160" xr2:uid="{25D354C9-8020-4249-AE76-12327F87B967}"/>
  </bookViews>
  <sheets>
    <sheet name="PRONTA ENTREGA TOTAL" sheetId="1" r:id="rId1"/>
  </sheets>
  <externalReferences>
    <externalReference r:id="rId2"/>
  </externalReferences>
  <definedNames>
    <definedName name="_xlnm._FilterDatabase" localSheetId="0" hidden="1">'PRONTA ENTREGA TOTAL'!$A$2:$AB$1011</definedName>
    <definedName name="A10000000">#REF!</definedName>
    <definedName name="A100000000">#REF!</definedName>
    <definedName name="A10000099">#REF!</definedName>
    <definedName name="A10000100">#REF!</definedName>
    <definedName name="A10000499">#REF!</definedName>
    <definedName name="A10000500">#REF!</definedName>
    <definedName name="A10000999">#REF!</definedName>
    <definedName name="A1050000">#REF!</definedName>
    <definedName name="A1100000">#REF!</definedName>
    <definedName name="A11000000">#REF!</definedName>
    <definedName name="A1405200170">#REF!</definedName>
    <definedName name="A1542524">#REF!</definedName>
    <definedName name="A1999999">#REF!</definedName>
    <definedName name="A5000000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11" i="1" l="1"/>
  <c r="R1011" i="1"/>
  <c r="Q1011" i="1"/>
  <c r="P1011" i="1"/>
  <c r="O1011" i="1"/>
  <c r="N1011" i="1"/>
  <c r="L1011" i="1"/>
  <c r="I1011" i="1"/>
  <c r="K1011" i="1" s="1"/>
  <c r="H1011" i="1"/>
  <c r="G1011" i="1"/>
  <c r="F1011" i="1"/>
  <c r="E1011" i="1"/>
  <c r="B1011" i="1"/>
  <c r="S1010" i="1"/>
  <c r="R1010" i="1"/>
  <c r="Q1010" i="1"/>
  <c r="P1010" i="1"/>
  <c r="O1010" i="1"/>
  <c r="N1010" i="1"/>
  <c r="L1010" i="1"/>
  <c r="I1010" i="1"/>
  <c r="K1010" i="1" s="1"/>
  <c r="H1010" i="1"/>
  <c r="G1010" i="1"/>
  <c r="F1010" i="1"/>
  <c r="E1010" i="1"/>
  <c r="B1010" i="1"/>
  <c r="S1009" i="1"/>
  <c r="R1009" i="1"/>
  <c r="Q1009" i="1"/>
  <c r="P1009" i="1"/>
  <c r="O1009" i="1"/>
  <c r="N1009" i="1"/>
  <c r="L1009" i="1"/>
  <c r="I1009" i="1"/>
  <c r="K1009" i="1" s="1"/>
  <c r="H1009" i="1"/>
  <c r="G1009" i="1"/>
  <c r="F1009" i="1"/>
  <c r="E1009" i="1"/>
  <c r="B1009" i="1"/>
  <c r="S1008" i="1"/>
  <c r="R1008" i="1"/>
  <c r="Q1008" i="1"/>
  <c r="P1008" i="1"/>
  <c r="O1008" i="1"/>
  <c r="N1008" i="1"/>
  <c r="L1008" i="1"/>
  <c r="I1008" i="1"/>
  <c r="K1008" i="1" s="1"/>
  <c r="H1008" i="1"/>
  <c r="G1008" i="1"/>
  <c r="F1008" i="1"/>
  <c r="E1008" i="1"/>
  <c r="B1008" i="1"/>
  <c r="S1007" i="1"/>
  <c r="R1007" i="1"/>
  <c r="Q1007" i="1"/>
  <c r="P1007" i="1"/>
  <c r="O1007" i="1"/>
  <c r="N1007" i="1"/>
  <c r="L1007" i="1"/>
  <c r="I1007" i="1"/>
  <c r="K1007" i="1" s="1"/>
  <c r="H1007" i="1"/>
  <c r="G1007" i="1"/>
  <c r="F1007" i="1"/>
  <c r="E1007" i="1"/>
  <c r="B1007" i="1"/>
  <c r="S1006" i="1"/>
  <c r="R1006" i="1"/>
  <c r="Q1006" i="1"/>
  <c r="P1006" i="1"/>
  <c r="O1006" i="1"/>
  <c r="N1006" i="1"/>
  <c r="L1006" i="1"/>
  <c r="I1006" i="1"/>
  <c r="K1006" i="1" s="1"/>
  <c r="H1006" i="1"/>
  <c r="G1006" i="1"/>
  <c r="F1006" i="1"/>
  <c r="E1006" i="1"/>
  <c r="B1006" i="1"/>
  <c r="S1005" i="1"/>
  <c r="R1005" i="1"/>
  <c r="Q1005" i="1"/>
  <c r="P1005" i="1"/>
  <c r="O1005" i="1"/>
  <c r="N1005" i="1"/>
  <c r="L1005" i="1"/>
  <c r="I1005" i="1"/>
  <c r="K1005" i="1" s="1"/>
  <c r="H1005" i="1"/>
  <c r="G1005" i="1"/>
  <c r="F1005" i="1"/>
  <c r="E1005" i="1"/>
  <c r="B1005" i="1"/>
  <c r="S1004" i="1"/>
  <c r="R1004" i="1"/>
  <c r="Q1004" i="1"/>
  <c r="P1004" i="1"/>
  <c r="O1004" i="1"/>
  <c r="N1004" i="1"/>
  <c r="L1004" i="1"/>
  <c r="I1004" i="1"/>
  <c r="K1004" i="1" s="1"/>
  <c r="H1004" i="1"/>
  <c r="G1004" i="1"/>
  <c r="F1004" i="1"/>
  <c r="E1004" i="1"/>
  <c r="B1004" i="1"/>
  <c r="S1003" i="1"/>
  <c r="R1003" i="1"/>
  <c r="Q1003" i="1"/>
  <c r="P1003" i="1"/>
  <c r="O1003" i="1"/>
  <c r="N1003" i="1"/>
  <c r="L1003" i="1"/>
  <c r="I1003" i="1"/>
  <c r="K1003" i="1" s="1"/>
  <c r="H1003" i="1"/>
  <c r="G1003" i="1"/>
  <c r="F1003" i="1"/>
  <c r="E1003" i="1"/>
  <c r="B1003" i="1"/>
  <c r="S1002" i="1"/>
  <c r="R1002" i="1"/>
  <c r="Q1002" i="1"/>
  <c r="P1002" i="1"/>
  <c r="O1002" i="1"/>
  <c r="N1002" i="1"/>
  <c r="L1002" i="1"/>
  <c r="I1002" i="1"/>
  <c r="K1002" i="1" s="1"/>
  <c r="H1002" i="1"/>
  <c r="G1002" i="1"/>
  <c r="F1002" i="1"/>
  <c r="E1002" i="1"/>
  <c r="B1002" i="1"/>
  <c r="S1001" i="1"/>
  <c r="R1001" i="1"/>
  <c r="Q1001" i="1"/>
  <c r="P1001" i="1"/>
  <c r="O1001" i="1"/>
  <c r="N1001" i="1"/>
  <c r="L1001" i="1"/>
  <c r="I1001" i="1"/>
  <c r="K1001" i="1" s="1"/>
  <c r="H1001" i="1"/>
  <c r="G1001" i="1"/>
  <c r="F1001" i="1"/>
  <c r="E1001" i="1"/>
  <c r="B1001" i="1"/>
  <c r="S1000" i="1"/>
  <c r="R1000" i="1"/>
  <c r="Q1000" i="1"/>
  <c r="P1000" i="1"/>
  <c r="O1000" i="1"/>
  <c r="N1000" i="1"/>
  <c r="L1000" i="1"/>
  <c r="I1000" i="1"/>
  <c r="K1000" i="1" s="1"/>
  <c r="H1000" i="1"/>
  <c r="G1000" i="1"/>
  <c r="F1000" i="1"/>
  <c r="E1000" i="1"/>
  <c r="B1000" i="1"/>
  <c r="S999" i="1"/>
  <c r="R999" i="1"/>
  <c r="Q999" i="1"/>
  <c r="P999" i="1"/>
  <c r="O999" i="1"/>
  <c r="N999" i="1"/>
  <c r="L999" i="1"/>
  <c r="I999" i="1"/>
  <c r="K999" i="1" s="1"/>
  <c r="H999" i="1"/>
  <c r="G999" i="1"/>
  <c r="F999" i="1"/>
  <c r="E999" i="1"/>
  <c r="B999" i="1"/>
  <c r="S998" i="1"/>
  <c r="R998" i="1"/>
  <c r="Q998" i="1"/>
  <c r="P998" i="1"/>
  <c r="O998" i="1"/>
  <c r="N998" i="1"/>
  <c r="L998" i="1"/>
  <c r="I998" i="1"/>
  <c r="K998" i="1" s="1"/>
  <c r="H998" i="1"/>
  <c r="G998" i="1"/>
  <c r="F998" i="1"/>
  <c r="E998" i="1"/>
  <c r="B998" i="1"/>
  <c r="S997" i="1"/>
  <c r="R997" i="1"/>
  <c r="Q997" i="1"/>
  <c r="P997" i="1"/>
  <c r="O997" i="1"/>
  <c r="N997" i="1"/>
  <c r="L997" i="1"/>
  <c r="I997" i="1"/>
  <c r="K997" i="1" s="1"/>
  <c r="H997" i="1"/>
  <c r="G997" i="1"/>
  <c r="F997" i="1"/>
  <c r="E997" i="1"/>
  <c r="B997" i="1"/>
  <c r="S996" i="1"/>
  <c r="R996" i="1"/>
  <c r="Q996" i="1"/>
  <c r="P996" i="1"/>
  <c r="O996" i="1"/>
  <c r="N996" i="1"/>
  <c r="L996" i="1"/>
  <c r="I996" i="1"/>
  <c r="K996" i="1" s="1"/>
  <c r="H996" i="1"/>
  <c r="G996" i="1"/>
  <c r="F996" i="1"/>
  <c r="E996" i="1"/>
  <c r="B996" i="1"/>
  <c r="S995" i="1"/>
  <c r="R995" i="1"/>
  <c r="Q995" i="1"/>
  <c r="P995" i="1"/>
  <c r="O995" i="1"/>
  <c r="N995" i="1"/>
  <c r="L995" i="1"/>
  <c r="I995" i="1"/>
  <c r="K995" i="1" s="1"/>
  <c r="H995" i="1"/>
  <c r="G995" i="1"/>
  <c r="F995" i="1"/>
  <c r="E995" i="1"/>
  <c r="B995" i="1"/>
  <c r="S994" i="1"/>
  <c r="R994" i="1"/>
  <c r="Q994" i="1"/>
  <c r="P994" i="1"/>
  <c r="O994" i="1"/>
  <c r="N994" i="1"/>
  <c r="L994" i="1"/>
  <c r="I994" i="1"/>
  <c r="K994" i="1" s="1"/>
  <c r="H994" i="1"/>
  <c r="G994" i="1"/>
  <c r="F994" i="1"/>
  <c r="E994" i="1"/>
  <c r="B994" i="1"/>
  <c r="S993" i="1"/>
  <c r="R993" i="1"/>
  <c r="Q993" i="1"/>
  <c r="P993" i="1"/>
  <c r="O993" i="1"/>
  <c r="N993" i="1"/>
  <c r="L993" i="1"/>
  <c r="I993" i="1"/>
  <c r="K993" i="1" s="1"/>
  <c r="H993" i="1"/>
  <c r="G993" i="1"/>
  <c r="F993" i="1"/>
  <c r="E993" i="1"/>
  <c r="B993" i="1"/>
  <c r="S992" i="1"/>
  <c r="R992" i="1"/>
  <c r="Q992" i="1"/>
  <c r="P992" i="1"/>
  <c r="O992" i="1"/>
  <c r="N992" i="1"/>
  <c r="L992" i="1"/>
  <c r="I992" i="1"/>
  <c r="K992" i="1" s="1"/>
  <c r="H992" i="1"/>
  <c r="G992" i="1"/>
  <c r="F992" i="1"/>
  <c r="E992" i="1"/>
  <c r="B992" i="1"/>
  <c r="S991" i="1"/>
  <c r="R991" i="1"/>
  <c r="Q991" i="1"/>
  <c r="P991" i="1"/>
  <c r="O991" i="1"/>
  <c r="N991" i="1"/>
  <c r="L991" i="1"/>
  <c r="I991" i="1"/>
  <c r="K991" i="1" s="1"/>
  <c r="H991" i="1"/>
  <c r="G991" i="1"/>
  <c r="F991" i="1"/>
  <c r="E991" i="1"/>
  <c r="B991" i="1"/>
  <c r="S990" i="1"/>
  <c r="R990" i="1"/>
  <c r="Q990" i="1"/>
  <c r="P990" i="1"/>
  <c r="O990" i="1"/>
  <c r="N990" i="1"/>
  <c r="L990" i="1"/>
  <c r="I990" i="1"/>
  <c r="K990" i="1" s="1"/>
  <c r="H990" i="1"/>
  <c r="G990" i="1"/>
  <c r="F990" i="1"/>
  <c r="E990" i="1"/>
  <c r="B990" i="1"/>
  <c r="S989" i="1"/>
  <c r="R989" i="1"/>
  <c r="Q989" i="1"/>
  <c r="P989" i="1"/>
  <c r="O989" i="1"/>
  <c r="N989" i="1"/>
  <c r="L989" i="1"/>
  <c r="I989" i="1"/>
  <c r="K989" i="1" s="1"/>
  <c r="H989" i="1"/>
  <c r="G989" i="1"/>
  <c r="F989" i="1"/>
  <c r="E989" i="1"/>
  <c r="B989" i="1"/>
  <c r="S988" i="1"/>
  <c r="R988" i="1"/>
  <c r="Q988" i="1"/>
  <c r="P988" i="1"/>
  <c r="O988" i="1"/>
  <c r="N988" i="1"/>
  <c r="L988" i="1"/>
  <c r="I988" i="1"/>
  <c r="K988" i="1" s="1"/>
  <c r="H988" i="1"/>
  <c r="G988" i="1"/>
  <c r="F988" i="1"/>
  <c r="E988" i="1"/>
  <c r="B988" i="1"/>
  <c r="S987" i="1"/>
  <c r="R987" i="1"/>
  <c r="Q987" i="1"/>
  <c r="P987" i="1"/>
  <c r="O987" i="1"/>
  <c r="N987" i="1"/>
  <c r="L987" i="1"/>
  <c r="I987" i="1"/>
  <c r="K987" i="1" s="1"/>
  <c r="H987" i="1"/>
  <c r="G987" i="1"/>
  <c r="F987" i="1"/>
  <c r="E987" i="1"/>
  <c r="B987" i="1"/>
  <c r="S986" i="1"/>
  <c r="R986" i="1"/>
  <c r="Q986" i="1"/>
  <c r="P986" i="1"/>
  <c r="O986" i="1"/>
  <c r="N986" i="1"/>
  <c r="L986" i="1"/>
  <c r="I986" i="1"/>
  <c r="K986" i="1" s="1"/>
  <c r="H986" i="1"/>
  <c r="G986" i="1"/>
  <c r="F986" i="1"/>
  <c r="E986" i="1"/>
  <c r="B986" i="1"/>
  <c r="S985" i="1"/>
  <c r="R985" i="1"/>
  <c r="Q985" i="1"/>
  <c r="P985" i="1"/>
  <c r="O985" i="1"/>
  <c r="N985" i="1"/>
  <c r="L985" i="1"/>
  <c r="I985" i="1"/>
  <c r="K985" i="1" s="1"/>
  <c r="H985" i="1"/>
  <c r="G985" i="1"/>
  <c r="F985" i="1"/>
  <c r="E985" i="1"/>
  <c r="B985" i="1"/>
  <c r="S984" i="1"/>
  <c r="R984" i="1"/>
  <c r="Q984" i="1"/>
  <c r="P984" i="1"/>
  <c r="O984" i="1"/>
  <c r="N984" i="1"/>
  <c r="L984" i="1"/>
  <c r="I984" i="1"/>
  <c r="K984" i="1" s="1"/>
  <c r="H984" i="1"/>
  <c r="G984" i="1"/>
  <c r="F984" i="1"/>
  <c r="E984" i="1"/>
  <c r="B984" i="1"/>
  <c r="S983" i="1"/>
  <c r="R983" i="1"/>
  <c r="Q983" i="1"/>
  <c r="P983" i="1"/>
  <c r="O983" i="1"/>
  <c r="N983" i="1"/>
  <c r="L983" i="1"/>
  <c r="I983" i="1"/>
  <c r="K983" i="1" s="1"/>
  <c r="H983" i="1"/>
  <c r="G983" i="1"/>
  <c r="F983" i="1"/>
  <c r="E983" i="1"/>
  <c r="B983" i="1"/>
  <c r="S982" i="1"/>
  <c r="R982" i="1"/>
  <c r="Q982" i="1"/>
  <c r="P982" i="1"/>
  <c r="O982" i="1"/>
  <c r="N982" i="1"/>
  <c r="L982" i="1"/>
  <c r="I982" i="1"/>
  <c r="K982" i="1" s="1"/>
  <c r="H982" i="1"/>
  <c r="G982" i="1"/>
  <c r="F982" i="1"/>
  <c r="E982" i="1"/>
  <c r="B982" i="1"/>
  <c r="S981" i="1"/>
  <c r="R981" i="1"/>
  <c r="Q981" i="1"/>
  <c r="P981" i="1"/>
  <c r="O981" i="1"/>
  <c r="N981" i="1"/>
  <c r="L981" i="1"/>
  <c r="I981" i="1"/>
  <c r="K981" i="1" s="1"/>
  <c r="H981" i="1"/>
  <c r="G981" i="1"/>
  <c r="F981" i="1"/>
  <c r="E981" i="1"/>
  <c r="B981" i="1"/>
  <c r="S980" i="1"/>
  <c r="R980" i="1"/>
  <c r="Q980" i="1"/>
  <c r="P980" i="1"/>
  <c r="O980" i="1"/>
  <c r="N980" i="1"/>
  <c r="L980" i="1"/>
  <c r="I980" i="1"/>
  <c r="K980" i="1" s="1"/>
  <c r="H980" i="1"/>
  <c r="G980" i="1"/>
  <c r="F980" i="1"/>
  <c r="E980" i="1"/>
  <c r="B980" i="1"/>
  <c r="S979" i="1"/>
  <c r="R979" i="1"/>
  <c r="Q979" i="1"/>
  <c r="P979" i="1"/>
  <c r="O979" i="1"/>
  <c r="N979" i="1"/>
  <c r="L979" i="1"/>
  <c r="I979" i="1"/>
  <c r="K979" i="1" s="1"/>
  <c r="H979" i="1"/>
  <c r="G979" i="1"/>
  <c r="F979" i="1"/>
  <c r="E979" i="1"/>
  <c r="B979" i="1"/>
  <c r="S978" i="1"/>
  <c r="R978" i="1"/>
  <c r="Q978" i="1"/>
  <c r="P978" i="1"/>
  <c r="O978" i="1"/>
  <c r="N978" i="1"/>
  <c r="L978" i="1"/>
  <c r="I978" i="1"/>
  <c r="K978" i="1" s="1"/>
  <c r="H978" i="1"/>
  <c r="G978" i="1"/>
  <c r="F978" i="1"/>
  <c r="E978" i="1"/>
  <c r="B978" i="1"/>
  <c r="S977" i="1"/>
  <c r="R977" i="1"/>
  <c r="Q977" i="1"/>
  <c r="P977" i="1"/>
  <c r="O977" i="1"/>
  <c r="N977" i="1"/>
  <c r="L977" i="1"/>
  <c r="I977" i="1"/>
  <c r="K977" i="1" s="1"/>
  <c r="H977" i="1"/>
  <c r="G977" i="1"/>
  <c r="F977" i="1"/>
  <c r="E977" i="1"/>
  <c r="B977" i="1"/>
  <c r="S976" i="1"/>
  <c r="R976" i="1"/>
  <c r="Q976" i="1"/>
  <c r="P976" i="1"/>
  <c r="O976" i="1"/>
  <c r="N976" i="1"/>
  <c r="L976" i="1"/>
  <c r="I976" i="1"/>
  <c r="K976" i="1" s="1"/>
  <c r="H976" i="1"/>
  <c r="G976" i="1"/>
  <c r="F976" i="1"/>
  <c r="E976" i="1"/>
  <c r="B976" i="1"/>
  <c r="S975" i="1"/>
  <c r="R975" i="1"/>
  <c r="Q975" i="1"/>
  <c r="P975" i="1"/>
  <c r="O975" i="1"/>
  <c r="N975" i="1"/>
  <c r="L975" i="1"/>
  <c r="I975" i="1"/>
  <c r="K975" i="1" s="1"/>
  <c r="H975" i="1"/>
  <c r="G975" i="1"/>
  <c r="F975" i="1"/>
  <c r="E975" i="1"/>
  <c r="B975" i="1"/>
  <c r="S974" i="1"/>
  <c r="R974" i="1"/>
  <c r="Q974" i="1"/>
  <c r="P974" i="1"/>
  <c r="O974" i="1"/>
  <c r="N974" i="1"/>
  <c r="L974" i="1"/>
  <c r="I974" i="1"/>
  <c r="K974" i="1" s="1"/>
  <c r="H974" i="1"/>
  <c r="G974" i="1"/>
  <c r="F974" i="1"/>
  <c r="E974" i="1"/>
  <c r="B974" i="1"/>
  <c r="S973" i="1"/>
  <c r="R973" i="1"/>
  <c r="Q973" i="1"/>
  <c r="P973" i="1"/>
  <c r="O973" i="1"/>
  <c r="N973" i="1"/>
  <c r="L973" i="1"/>
  <c r="I973" i="1"/>
  <c r="K973" i="1" s="1"/>
  <c r="H973" i="1"/>
  <c r="G973" i="1"/>
  <c r="F973" i="1"/>
  <c r="E973" i="1"/>
  <c r="B973" i="1"/>
  <c r="S972" i="1"/>
  <c r="R972" i="1"/>
  <c r="Q972" i="1"/>
  <c r="P972" i="1"/>
  <c r="O972" i="1"/>
  <c r="N972" i="1"/>
  <c r="L972" i="1"/>
  <c r="I972" i="1"/>
  <c r="K972" i="1" s="1"/>
  <c r="H972" i="1"/>
  <c r="G972" i="1"/>
  <c r="F972" i="1"/>
  <c r="E972" i="1"/>
  <c r="B972" i="1"/>
  <c r="S971" i="1"/>
  <c r="R971" i="1"/>
  <c r="Q971" i="1"/>
  <c r="P971" i="1"/>
  <c r="O971" i="1"/>
  <c r="N971" i="1"/>
  <c r="L971" i="1"/>
  <c r="I971" i="1"/>
  <c r="K971" i="1" s="1"/>
  <c r="H971" i="1"/>
  <c r="G971" i="1"/>
  <c r="F971" i="1"/>
  <c r="E971" i="1"/>
  <c r="B971" i="1"/>
  <c r="S970" i="1"/>
  <c r="R970" i="1"/>
  <c r="Q970" i="1"/>
  <c r="P970" i="1"/>
  <c r="O970" i="1"/>
  <c r="N970" i="1"/>
  <c r="L970" i="1"/>
  <c r="I970" i="1"/>
  <c r="K970" i="1" s="1"/>
  <c r="H970" i="1"/>
  <c r="G970" i="1"/>
  <c r="F970" i="1"/>
  <c r="E970" i="1"/>
  <c r="B970" i="1"/>
  <c r="S969" i="1"/>
  <c r="R969" i="1"/>
  <c r="Q969" i="1"/>
  <c r="P969" i="1"/>
  <c r="O969" i="1"/>
  <c r="N969" i="1"/>
  <c r="L969" i="1"/>
  <c r="K969" i="1"/>
  <c r="I969" i="1"/>
  <c r="H969" i="1"/>
  <c r="G969" i="1"/>
  <c r="F969" i="1"/>
  <c r="E969" i="1"/>
  <c r="B969" i="1"/>
  <c r="S968" i="1"/>
  <c r="R968" i="1"/>
  <c r="Q968" i="1"/>
  <c r="P968" i="1"/>
  <c r="O968" i="1"/>
  <c r="N968" i="1"/>
  <c r="L968" i="1"/>
  <c r="I968" i="1"/>
  <c r="K968" i="1" s="1"/>
  <c r="H968" i="1"/>
  <c r="G968" i="1"/>
  <c r="F968" i="1"/>
  <c r="E968" i="1"/>
  <c r="B968" i="1"/>
  <c r="S967" i="1"/>
  <c r="R967" i="1"/>
  <c r="Q967" i="1"/>
  <c r="P967" i="1"/>
  <c r="O967" i="1"/>
  <c r="N967" i="1"/>
  <c r="L967" i="1"/>
  <c r="I967" i="1"/>
  <c r="K967" i="1" s="1"/>
  <c r="H967" i="1"/>
  <c r="G967" i="1"/>
  <c r="F967" i="1"/>
  <c r="E967" i="1"/>
  <c r="B967" i="1"/>
  <c r="S966" i="1"/>
  <c r="R966" i="1"/>
  <c r="Q966" i="1"/>
  <c r="P966" i="1"/>
  <c r="O966" i="1"/>
  <c r="N966" i="1"/>
  <c r="L966" i="1"/>
  <c r="I966" i="1"/>
  <c r="K966" i="1" s="1"/>
  <c r="H966" i="1"/>
  <c r="G966" i="1"/>
  <c r="F966" i="1"/>
  <c r="E966" i="1"/>
  <c r="B966" i="1"/>
  <c r="S965" i="1"/>
  <c r="R965" i="1"/>
  <c r="Q965" i="1"/>
  <c r="P965" i="1"/>
  <c r="O965" i="1"/>
  <c r="N965" i="1"/>
  <c r="L965" i="1"/>
  <c r="I965" i="1"/>
  <c r="K965" i="1" s="1"/>
  <c r="H965" i="1"/>
  <c r="G965" i="1"/>
  <c r="F965" i="1"/>
  <c r="E965" i="1"/>
  <c r="B965" i="1"/>
  <c r="S964" i="1"/>
  <c r="R964" i="1"/>
  <c r="Q964" i="1"/>
  <c r="P964" i="1"/>
  <c r="O964" i="1"/>
  <c r="N964" i="1"/>
  <c r="L964" i="1"/>
  <c r="I964" i="1"/>
  <c r="K964" i="1" s="1"/>
  <c r="H964" i="1"/>
  <c r="G964" i="1"/>
  <c r="F964" i="1"/>
  <c r="E964" i="1"/>
  <c r="B964" i="1"/>
  <c r="S963" i="1"/>
  <c r="R963" i="1"/>
  <c r="Q963" i="1"/>
  <c r="P963" i="1"/>
  <c r="O963" i="1"/>
  <c r="N963" i="1"/>
  <c r="L963" i="1"/>
  <c r="I963" i="1"/>
  <c r="K963" i="1" s="1"/>
  <c r="H963" i="1"/>
  <c r="G963" i="1"/>
  <c r="F963" i="1"/>
  <c r="E963" i="1"/>
  <c r="B963" i="1"/>
  <c r="S962" i="1"/>
  <c r="R962" i="1"/>
  <c r="Q962" i="1"/>
  <c r="P962" i="1"/>
  <c r="O962" i="1"/>
  <c r="N962" i="1"/>
  <c r="L962" i="1"/>
  <c r="I962" i="1"/>
  <c r="K962" i="1" s="1"/>
  <c r="H962" i="1"/>
  <c r="G962" i="1"/>
  <c r="F962" i="1"/>
  <c r="E962" i="1"/>
  <c r="B962" i="1"/>
  <c r="S961" i="1"/>
  <c r="R961" i="1"/>
  <c r="Q961" i="1"/>
  <c r="P961" i="1"/>
  <c r="O961" i="1"/>
  <c r="N961" i="1"/>
  <c r="L961" i="1"/>
  <c r="I961" i="1"/>
  <c r="K961" i="1" s="1"/>
  <c r="H961" i="1"/>
  <c r="G961" i="1"/>
  <c r="F961" i="1"/>
  <c r="E961" i="1"/>
  <c r="B961" i="1"/>
  <c r="S960" i="1"/>
  <c r="R960" i="1"/>
  <c r="Q960" i="1"/>
  <c r="P960" i="1"/>
  <c r="O960" i="1"/>
  <c r="N960" i="1"/>
  <c r="L960" i="1"/>
  <c r="I960" i="1"/>
  <c r="K960" i="1" s="1"/>
  <c r="H960" i="1"/>
  <c r="G960" i="1"/>
  <c r="F960" i="1"/>
  <c r="E960" i="1"/>
  <c r="B960" i="1"/>
  <c r="S959" i="1"/>
  <c r="R959" i="1"/>
  <c r="Q959" i="1"/>
  <c r="P959" i="1"/>
  <c r="O959" i="1"/>
  <c r="N959" i="1"/>
  <c r="L959" i="1"/>
  <c r="I959" i="1"/>
  <c r="K959" i="1" s="1"/>
  <c r="H959" i="1"/>
  <c r="G959" i="1"/>
  <c r="F959" i="1"/>
  <c r="E959" i="1"/>
  <c r="B959" i="1"/>
  <c r="S958" i="1"/>
  <c r="R958" i="1"/>
  <c r="Q958" i="1"/>
  <c r="P958" i="1"/>
  <c r="O958" i="1"/>
  <c r="N958" i="1"/>
  <c r="L958" i="1"/>
  <c r="I958" i="1"/>
  <c r="K958" i="1" s="1"/>
  <c r="H958" i="1"/>
  <c r="G958" i="1"/>
  <c r="F958" i="1"/>
  <c r="E958" i="1"/>
  <c r="B958" i="1"/>
  <c r="S957" i="1"/>
  <c r="R957" i="1"/>
  <c r="Q957" i="1"/>
  <c r="P957" i="1"/>
  <c r="O957" i="1"/>
  <c r="N957" i="1"/>
  <c r="L957" i="1"/>
  <c r="I957" i="1"/>
  <c r="K957" i="1" s="1"/>
  <c r="H957" i="1"/>
  <c r="G957" i="1"/>
  <c r="F957" i="1"/>
  <c r="E957" i="1"/>
  <c r="B957" i="1"/>
  <c r="S956" i="1"/>
  <c r="R956" i="1"/>
  <c r="Q956" i="1"/>
  <c r="P956" i="1"/>
  <c r="O956" i="1"/>
  <c r="N956" i="1"/>
  <c r="L956" i="1"/>
  <c r="I956" i="1"/>
  <c r="K956" i="1" s="1"/>
  <c r="H956" i="1"/>
  <c r="G956" i="1"/>
  <c r="F956" i="1"/>
  <c r="E956" i="1"/>
  <c r="B956" i="1"/>
  <c r="S955" i="1"/>
  <c r="R955" i="1"/>
  <c r="Q955" i="1"/>
  <c r="P955" i="1"/>
  <c r="O955" i="1"/>
  <c r="N955" i="1"/>
  <c r="L955" i="1"/>
  <c r="I955" i="1"/>
  <c r="K955" i="1" s="1"/>
  <c r="H955" i="1"/>
  <c r="G955" i="1"/>
  <c r="F955" i="1"/>
  <c r="E955" i="1"/>
  <c r="B955" i="1"/>
  <c r="S954" i="1"/>
  <c r="R954" i="1"/>
  <c r="Q954" i="1"/>
  <c r="P954" i="1"/>
  <c r="O954" i="1"/>
  <c r="N954" i="1"/>
  <c r="L954" i="1"/>
  <c r="I954" i="1"/>
  <c r="K954" i="1" s="1"/>
  <c r="H954" i="1"/>
  <c r="G954" i="1"/>
  <c r="F954" i="1"/>
  <c r="E954" i="1"/>
  <c r="B954" i="1"/>
  <c r="S953" i="1"/>
  <c r="R953" i="1"/>
  <c r="Q953" i="1"/>
  <c r="P953" i="1"/>
  <c r="O953" i="1"/>
  <c r="N953" i="1"/>
  <c r="L953" i="1"/>
  <c r="I953" i="1"/>
  <c r="K953" i="1" s="1"/>
  <c r="H953" i="1"/>
  <c r="G953" i="1"/>
  <c r="F953" i="1"/>
  <c r="E953" i="1"/>
  <c r="B953" i="1"/>
  <c r="S952" i="1"/>
  <c r="R952" i="1"/>
  <c r="Q952" i="1"/>
  <c r="P952" i="1"/>
  <c r="O952" i="1"/>
  <c r="N952" i="1"/>
  <c r="L952" i="1"/>
  <c r="I952" i="1"/>
  <c r="K952" i="1" s="1"/>
  <c r="H952" i="1"/>
  <c r="G952" i="1"/>
  <c r="F952" i="1"/>
  <c r="E952" i="1"/>
  <c r="B952" i="1"/>
  <c r="S951" i="1"/>
  <c r="R951" i="1"/>
  <c r="Q951" i="1"/>
  <c r="P951" i="1"/>
  <c r="O951" i="1"/>
  <c r="N951" i="1"/>
  <c r="L951" i="1"/>
  <c r="I951" i="1"/>
  <c r="K951" i="1" s="1"/>
  <c r="H951" i="1"/>
  <c r="G951" i="1"/>
  <c r="F951" i="1"/>
  <c r="E951" i="1"/>
  <c r="B951" i="1"/>
  <c r="S950" i="1"/>
  <c r="R950" i="1"/>
  <c r="Q950" i="1"/>
  <c r="P950" i="1"/>
  <c r="O950" i="1"/>
  <c r="N950" i="1"/>
  <c r="L950" i="1"/>
  <c r="I950" i="1"/>
  <c r="K950" i="1" s="1"/>
  <c r="H950" i="1"/>
  <c r="G950" i="1"/>
  <c r="F950" i="1"/>
  <c r="E950" i="1"/>
  <c r="B950" i="1"/>
  <c r="S949" i="1"/>
  <c r="R949" i="1"/>
  <c r="Q949" i="1"/>
  <c r="P949" i="1"/>
  <c r="O949" i="1"/>
  <c r="N949" i="1"/>
  <c r="L949" i="1"/>
  <c r="I949" i="1"/>
  <c r="K949" i="1" s="1"/>
  <c r="H949" i="1"/>
  <c r="G949" i="1"/>
  <c r="F949" i="1"/>
  <c r="E949" i="1"/>
  <c r="B949" i="1"/>
  <c r="S948" i="1"/>
  <c r="R948" i="1"/>
  <c r="Q948" i="1"/>
  <c r="P948" i="1"/>
  <c r="O948" i="1"/>
  <c r="N948" i="1"/>
  <c r="L948" i="1"/>
  <c r="I948" i="1"/>
  <c r="K948" i="1" s="1"/>
  <c r="H948" i="1"/>
  <c r="G948" i="1"/>
  <c r="F948" i="1"/>
  <c r="E948" i="1"/>
  <c r="B948" i="1"/>
  <c r="S947" i="1"/>
  <c r="R947" i="1"/>
  <c r="Q947" i="1"/>
  <c r="P947" i="1"/>
  <c r="O947" i="1"/>
  <c r="N947" i="1"/>
  <c r="L947" i="1"/>
  <c r="I947" i="1"/>
  <c r="K947" i="1" s="1"/>
  <c r="H947" i="1"/>
  <c r="G947" i="1"/>
  <c r="F947" i="1"/>
  <c r="E947" i="1"/>
  <c r="B947" i="1"/>
  <c r="S946" i="1"/>
  <c r="R946" i="1"/>
  <c r="Q946" i="1"/>
  <c r="P946" i="1"/>
  <c r="O946" i="1"/>
  <c r="N946" i="1"/>
  <c r="L946" i="1"/>
  <c r="I946" i="1"/>
  <c r="K946" i="1" s="1"/>
  <c r="H946" i="1"/>
  <c r="G946" i="1"/>
  <c r="F946" i="1"/>
  <c r="E946" i="1"/>
  <c r="B946" i="1"/>
  <c r="S945" i="1"/>
  <c r="R945" i="1"/>
  <c r="Q945" i="1"/>
  <c r="P945" i="1"/>
  <c r="O945" i="1"/>
  <c r="N945" i="1"/>
  <c r="L945" i="1"/>
  <c r="I945" i="1"/>
  <c r="K945" i="1" s="1"/>
  <c r="H945" i="1"/>
  <c r="G945" i="1"/>
  <c r="F945" i="1"/>
  <c r="E945" i="1"/>
  <c r="B945" i="1"/>
  <c r="S944" i="1"/>
  <c r="R944" i="1"/>
  <c r="Q944" i="1"/>
  <c r="P944" i="1"/>
  <c r="O944" i="1"/>
  <c r="N944" i="1"/>
  <c r="L944" i="1"/>
  <c r="I944" i="1"/>
  <c r="K944" i="1" s="1"/>
  <c r="H944" i="1"/>
  <c r="G944" i="1"/>
  <c r="F944" i="1"/>
  <c r="E944" i="1"/>
  <c r="B944" i="1"/>
  <c r="S943" i="1"/>
  <c r="R943" i="1"/>
  <c r="Q943" i="1"/>
  <c r="P943" i="1"/>
  <c r="O943" i="1"/>
  <c r="N943" i="1"/>
  <c r="L943" i="1"/>
  <c r="I943" i="1"/>
  <c r="K943" i="1" s="1"/>
  <c r="H943" i="1"/>
  <c r="G943" i="1"/>
  <c r="F943" i="1"/>
  <c r="E943" i="1"/>
  <c r="B943" i="1"/>
  <c r="S942" i="1"/>
  <c r="R942" i="1"/>
  <c r="Q942" i="1"/>
  <c r="P942" i="1"/>
  <c r="O942" i="1"/>
  <c r="N942" i="1"/>
  <c r="L942" i="1"/>
  <c r="I942" i="1"/>
  <c r="K942" i="1" s="1"/>
  <c r="H942" i="1"/>
  <c r="G942" i="1"/>
  <c r="F942" i="1"/>
  <c r="E942" i="1"/>
  <c r="B942" i="1"/>
  <c r="S941" i="1"/>
  <c r="R941" i="1"/>
  <c r="Q941" i="1"/>
  <c r="P941" i="1"/>
  <c r="O941" i="1"/>
  <c r="N941" i="1"/>
  <c r="L941" i="1"/>
  <c r="I941" i="1"/>
  <c r="K941" i="1" s="1"/>
  <c r="H941" i="1"/>
  <c r="G941" i="1"/>
  <c r="F941" i="1"/>
  <c r="E941" i="1"/>
  <c r="B941" i="1"/>
  <c r="S940" i="1"/>
  <c r="R940" i="1"/>
  <c r="Q940" i="1"/>
  <c r="P940" i="1"/>
  <c r="O940" i="1"/>
  <c r="N940" i="1"/>
  <c r="L940" i="1"/>
  <c r="I940" i="1"/>
  <c r="K940" i="1" s="1"/>
  <c r="H940" i="1"/>
  <c r="G940" i="1"/>
  <c r="F940" i="1"/>
  <c r="E940" i="1"/>
  <c r="B940" i="1"/>
  <c r="S939" i="1"/>
  <c r="R939" i="1"/>
  <c r="Q939" i="1"/>
  <c r="P939" i="1"/>
  <c r="O939" i="1"/>
  <c r="N939" i="1"/>
  <c r="L939" i="1"/>
  <c r="I939" i="1"/>
  <c r="K939" i="1" s="1"/>
  <c r="H939" i="1"/>
  <c r="G939" i="1"/>
  <c r="F939" i="1"/>
  <c r="E939" i="1"/>
  <c r="B939" i="1"/>
  <c r="S938" i="1"/>
  <c r="R938" i="1"/>
  <c r="Q938" i="1"/>
  <c r="P938" i="1"/>
  <c r="O938" i="1"/>
  <c r="N938" i="1"/>
  <c r="L938" i="1"/>
  <c r="I938" i="1"/>
  <c r="K938" i="1" s="1"/>
  <c r="H938" i="1"/>
  <c r="G938" i="1"/>
  <c r="F938" i="1"/>
  <c r="E938" i="1"/>
  <c r="B938" i="1"/>
  <c r="S937" i="1"/>
  <c r="R937" i="1"/>
  <c r="Q937" i="1"/>
  <c r="P937" i="1"/>
  <c r="O937" i="1"/>
  <c r="N937" i="1"/>
  <c r="L937" i="1"/>
  <c r="I937" i="1"/>
  <c r="K937" i="1" s="1"/>
  <c r="H937" i="1"/>
  <c r="G937" i="1"/>
  <c r="F937" i="1"/>
  <c r="E937" i="1"/>
  <c r="B937" i="1"/>
  <c r="S936" i="1"/>
  <c r="R936" i="1"/>
  <c r="Q936" i="1"/>
  <c r="P936" i="1"/>
  <c r="O936" i="1"/>
  <c r="N936" i="1"/>
  <c r="L936" i="1"/>
  <c r="I936" i="1"/>
  <c r="K936" i="1" s="1"/>
  <c r="H936" i="1"/>
  <c r="G936" i="1"/>
  <c r="F936" i="1"/>
  <c r="E936" i="1"/>
  <c r="B936" i="1"/>
  <c r="S935" i="1"/>
  <c r="R935" i="1"/>
  <c r="Q935" i="1"/>
  <c r="P935" i="1"/>
  <c r="O935" i="1"/>
  <c r="N935" i="1"/>
  <c r="L935" i="1"/>
  <c r="I935" i="1"/>
  <c r="K935" i="1" s="1"/>
  <c r="H935" i="1"/>
  <c r="G935" i="1"/>
  <c r="F935" i="1"/>
  <c r="E935" i="1"/>
  <c r="B935" i="1"/>
  <c r="S934" i="1"/>
  <c r="R934" i="1"/>
  <c r="Q934" i="1"/>
  <c r="P934" i="1"/>
  <c r="O934" i="1"/>
  <c r="N934" i="1"/>
  <c r="L934" i="1"/>
  <c r="I934" i="1"/>
  <c r="K934" i="1" s="1"/>
  <c r="H934" i="1"/>
  <c r="G934" i="1"/>
  <c r="F934" i="1"/>
  <c r="E934" i="1"/>
  <c r="B934" i="1"/>
  <c r="S933" i="1"/>
  <c r="R933" i="1"/>
  <c r="Q933" i="1"/>
  <c r="P933" i="1"/>
  <c r="O933" i="1"/>
  <c r="N933" i="1"/>
  <c r="L933" i="1"/>
  <c r="I933" i="1"/>
  <c r="K933" i="1" s="1"/>
  <c r="H933" i="1"/>
  <c r="G933" i="1"/>
  <c r="F933" i="1"/>
  <c r="E933" i="1"/>
  <c r="B933" i="1"/>
  <c r="S932" i="1"/>
  <c r="R932" i="1"/>
  <c r="Q932" i="1"/>
  <c r="P932" i="1"/>
  <c r="O932" i="1"/>
  <c r="N932" i="1"/>
  <c r="L932" i="1"/>
  <c r="I932" i="1"/>
  <c r="K932" i="1" s="1"/>
  <c r="H932" i="1"/>
  <c r="G932" i="1"/>
  <c r="F932" i="1"/>
  <c r="E932" i="1"/>
  <c r="B932" i="1"/>
  <c r="S931" i="1"/>
  <c r="R931" i="1"/>
  <c r="Q931" i="1"/>
  <c r="P931" i="1"/>
  <c r="O931" i="1"/>
  <c r="N931" i="1"/>
  <c r="L931" i="1"/>
  <c r="I931" i="1"/>
  <c r="K931" i="1" s="1"/>
  <c r="H931" i="1"/>
  <c r="G931" i="1"/>
  <c r="F931" i="1"/>
  <c r="E931" i="1"/>
  <c r="B931" i="1"/>
  <c r="S930" i="1"/>
  <c r="R930" i="1"/>
  <c r="Q930" i="1"/>
  <c r="P930" i="1"/>
  <c r="O930" i="1"/>
  <c r="N930" i="1"/>
  <c r="L930" i="1"/>
  <c r="I930" i="1"/>
  <c r="K930" i="1" s="1"/>
  <c r="H930" i="1"/>
  <c r="G930" i="1"/>
  <c r="F930" i="1"/>
  <c r="E930" i="1"/>
  <c r="B930" i="1"/>
  <c r="S929" i="1"/>
  <c r="R929" i="1"/>
  <c r="Q929" i="1"/>
  <c r="P929" i="1"/>
  <c r="O929" i="1"/>
  <c r="N929" i="1"/>
  <c r="L929" i="1"/>
  <c r="I929" i="1"/>
  <c r="K929" i="1" s="1"/>
  <c r="H929" i="1"/>
  <c r="G929" i="1"/>
  <c r="F929" i="1"/>
  <c r="E929" i="1"/>
  <c r="B929" i="1"/>
  <c r="S928" i="1"/>
  <c r="R928" i="1"/>
  <c r="Q928" i="1"/>
  <c r="P928" i="1"/>
  <c r="O928" i="1"/>
  <c r="N928" i="1"/>
  <c r="L928" i="1"/>
  <c r="I928" i="1"/>
  <c r="K928" i="1" s="1"/>
  <c r="H928" i="1"/>
  <c r="G928" i="1"/>
  <c r="F928" i="1"/>
  <c r="E928" i="1"/>
  <c r="B928" i="1"/>
  <c r="S927" i="1"/>
  <c r="R927" i="1"/>
  <c r="Q927" i="1"/>
  <c r="P927" i="1"/>
  <c r="O927" i="1"/>
  <c r="N927" i="1"/>
  <c r="L927" i="1"/>
  <c r="I927" i="1"/>
  <c r="K927" i="1" s="1"/>
  <c r="H927" i="1"/>
  <c r="G927" i="1"/>
  <c r="F927" i="1"/>
  <c r="E927" i="1"/>
  <c r="B927" i="1"/>
  <c r="S926" i="1"/>
  <c r="R926" i="1"/>
  <c r="Q926" i="1"/>
  <c r="P926" i="1"/>
  <c r="O926" i="1"/>
  <c r="N926" i="1"/>
  <c r="L926" i="1"/>
  <c r="I926" i="1"/>
  <c r="K926" i="1" s="1"/>
  <c r="H926" i="1"/>
  <c r="G926" i="1"/>
  <c r="F926" i="1"/>
  <c r="E926" i="1"/>
  <c r="B926" i="1"/>
  <c r="S925" i="1"/>
  <c r="R925" i="1"/>
  <c r="Q925" i="1"/>
  <c r="P925" i="1"/>
  <c r="O925" i="1"/>
  <c r="N925" i="1"/>
  <c r="L925" i="1"/>
  <c r="I925" i="1"/>
  <c r="K925" i="1" s="1"/>
  <c r="H925" i="1"/>
  <c r="G925" i="1"/>
  <c r="F925" i="1"/>
  <c r="E925" i="1"/>
  <c r="B925" i="1"/>
  <c r="S924" i="1"/>
  <c r="R924" i="1"/>
  <c r="Q924" i="1"/>
  <c r="P924" i="1"/>
  <c r="O924" i="1"/>
  <c r="N924" i="1"/>
  <c r="L924" i="1"/>
  <c r="I924" i="1"/>
  <c r="K924" i="1" s="1"/>
  <c r="H924" i="1"/>
  <c r="G924" i="1"/>
  <c r="F924" i="1"/>
  <c r="E924" i="1"/>
  <c r="B924" i="1"/>
  <c r="S923" i="1"/>
  <c r="R923" i="1"/>
  <c r="Q923" i="1"/>
  <c r="P923" i="1"/>
  <c r="O923" i="1"/>
  <c r="N923" i="1"/>
  <c r="L923" i="1"/>
  <c r="I923" i="1"/>
  <c r="K923" i="1" s="1"/>
  <c r="H923" i="1"/>
  <c r="G923" i="1"/>
  <c r="F923" i="1"/>
  <c r="E923" i="1"/>
  <c r="B923" i="1"/>
  <c r="S922" i="1"/>
  <c r="R922" i="1"/>
  <c r="Q922" i="1"/>
  <c r="P922" i="1"/>
  <c r="O922" i="1"/>
  <c r="N922" i="1"/>
  <c r="L922" i="1"/>
  <c r="I922" i="1"/>
  <c r="K922" i="1" s="1"/>
  <c r="H922" i="1"/>
  <c r="G922" i="1"/>
  <c r="F922" i="1"/>
  <c r="E922" i="1"/>
  <c r="B922" i="1"/>
  <c r="S921" i="1"/>
  <c r="R921" i="1"/>
  <c r="Q921" i="1"/>
  <c r="P921" i="1"/>
  <c r="O921" i="1"/>
  <c r="N921" i="1"/>
  <c r="L921" i="1"/>
  <c r="I921" i="1"/>
  <c r="K921" i="1" s="1"/>
  <c r="H921" i="1"/>
  <c r="G921" i="1"/>
  <c r="F921" i="1"/>
  <c r="E921" i="1"/>
  <c r="B921" i="1"/>
  <c r="S920" i="1"/>
  <c r="R920" i="1"/>
  <c r="Q920" i="1"/>
  <c r="P920" i="1"/>
  <c r="O920" i="1"/>
  <c r="N920" i="1"/>
  <c r="L920" i="1"/>
  <c r="I920" i="1"/>
  <c r="K920" i="1" s="1"/>
  <c r="H920" i="1"/>
  <c r="G920" i="1"/>
  <c r="F920" i="1"/>
  <c r="E920" i="1"/>
  <c r="B920" i="1"/>
  <c r="S919" i="1"/>
  <c r="R919" i="1"/>
  <c r="Q919" i="1"/>
  <c r="P919" i="1"/>
  <c r="O919" i="1"/>
  <c r="N919" i="1"/>
  <c r="L919" i="1"/>
  <c r="I919" i="1"/>
  <c r="K919" i="1" s="1"/>
  <c r="H919" i="1"/>
  <c r="G919" i="1"/>
  <c r="F919" i="1"/>
  <c r="E919" i="1"/>
  <c r="B919" i="1"/>
  <c r="S918" i="1"/>
  <c r="R918" i="1"/>
  <c r="Q918" i="1"/>
  <c r="P918" i="1"/>
  <c r="O918" i="1"/>
  <c r="N918" i="1"/>
  <c r="L918" i="1"/>
  <c r="I918" i="1"/>
  <c r="K918" i="1" s="1"/>
  <c r="H918" i="1"/>
  <c r="G918" i="1"/>
  <c r="F918" i="1"/>
  <c r="E918" i="1"/>
  <c r="B918" i="1"/>
  <c r="S917" i="1"/>
  <c r="R917" i="1"/>
  <c r="Q917" i="1"/>
  <c r="P917" i="1"/>
  <c r="O917" i="1"/>
  <c r="N917" i="1"/>
  <c r="L917" i="1"/>
  <c r="I917" i="1"/>
  <c r="K917" i="1" s="1"/>
  <c r="H917" i="1"/>
  <c r="G917" i="1"/>
  <c r="F917" i="1"/>
  <c r="E917" i="1"/>
  <c r="B917" i="1"/>
  <c r="S916" i="1"/>
  <c r="R916" i="1"/>
  <c r="Q916" i="1"/>
  <c r="P916" i="1"/>
  <c r="O916" i="1"/>
  <c r="N916" i="1"/>
  <c r="L916" i="1"/>
  <c r="I916" i="1"/>
  <c r="K916" i="1" s="1"/>
  <c r="H916" i="1"/>
  <c r="G916" i="1"/>
  <c r="F916" i="1"/>
  <c r="E916" i="1"/>
  <c r="B916" i="1"/>
  <c r="S915" i="1"/>
  <c r="R915" i="1"/>
  <c r="Q915" i="1"/>
  <c r="P915" i="1"/>
  <c r="O915" i="1"/>
  <c r="N915" i="1"/>
  <c r="L915" i="1"/>
  <c r="I915" i="1"/>
  <c r="K915" i="1" s="1"/>
  <c r="H915" i="1"/>
  <c r="G915" i="1"/>
  <c r="F915" i="1"/>
  <c r="E915" i="1"/>
  <c r="B915" i="1"/>
  <c r="S914" i="1"/>
  <c r="R914" i="1"/>
  <c r="Q914" i="1"/>
  <c r="P914" i="1"/>
  <c r="O914" i="1"/>
  <c r="N914" i="1"/>
  <c r="L914" i="1"/>
  <c r="I914" i="1"/>
  <c r="K914" i="1" s="1"/>
  <c r="H914" i="1"/>
  <c r="G914" i="1"/>
  <c r="F914" i="1"/>
  <c r="E914" i="1"/>
  <c r="B914" i="1"/>
  <c r="S913" i="1"/>
  <c r="R913" i="1"/>
  <c r="Q913" i="1"/>
  <c r="P913" i="1"/>
  <c r="O913" i="1"/>
  <c r="N913" i="1"/>
  <c r="L913" i="1"/>
  <c r="I913" i="1"/>
  <c r="K913" i="1" s="1"/>
  <c r="H913" i="1"/>
  <c r="G913" i="1"/>
  <c r="F913" i="1"/>
  <c r="E913" i="1"/>
  <c r="B913" i="1"/>
  <c r="S912" i="1"/>
  <c r="R912" i="1"/>
  <c r="Q912" i="1"/>
  <c r="P912" i="1"/>
  <c r="O912" i="1"/>
  <c r="N912" i="1"/>
  <c r="L912" i="1"/>
  <c r="I912" i="1"/>
  <c r="K912" i="1" s="1"/>
  <c r="H912" i="1"/>
  <c r="G912" i="1"/>
  <c r="F912" i="1"/>
  <c r="E912" i="1"/>
  <c r="B912" i="1"/>
  <c r="S911" i="1"/>
  <c r="R911" i="1"/>
  <c r="Q911" i="1"/>
  <c r="P911" i="1"/>
  <c r="O911" i="1"/>
  <c r="N911" i="1"/>
  <c r="L911" i="1"/>
  <c r="I911" i="1"/>
  <c r="K911" i="1" s="1"/>
  <c r="H911" i="1"/>
  <c r="G911" i="1"/>
  <c r="F911" i="1"/>
  <c r="E911" i="1"/>
  <c r="B911" i="1"/>
  <c r="S910" i="1"/>
  <c r="R910" i="1"/>
  <c r="Q910" i="1"/>
  <c r="P910" i="1"/>
  <c r="O910" i="1"/>
  <c r="N910" i="1"/>
  <c r="L910" i="1"/>
  <c r="I910" i="1"/>
  <c r="K910" i="1" s="1"/>
  <c r="H910" i="1"/>
  <c r="G910" i="1"/>
  <c r="F910" i="1"/>
  <c r="E910" i="1"/>
  <c r="B910" i="1"/>
  <c r="S909" i="1"/>
  <c r="R909" i="1"/>
  <c r="Q909" i="1"/>
  <c r="P909" i="1"/>
  <c r="O909" i="1"/>
  <c r="N909" i="1"/>
  <c r="L909" i="1"/>
  <c r="I909" i="1"/>
  <c r="K909" i="1" s="1"/>
  <c r="H909" i="1"/>
  <c r="G909" i="1"/>
  <c r="F909" i="1"/>
  <c r="E909" i="1"/>
  <c r="B909" i="1"/>
  <c r="S908" i="1"/>
  <c r="R908" i="1"/>
  <c r="Q908" i="1"/>
  <c r="P908" i="1"/>
  <c r="O908" i="1"/>
  <c r="N908" i="1"/>
  <c r="L908" i="1"/>
  <c r="I908" i="1"/>
  <c r="K908" i="1" s="1"/>
  <c r="H908" i="1"/>
  <c r="G908" i="1"/>
  <c r="F908" i="1"/>
  <c r="E908" i="1"/>
  <c r="B908" i="1"/>
  <c r="S907" i="1"/>
  <c r="R907" i="1"/>
  <c r="Q907" i="1"/>
  <c r="P907" i="1"/>
  <c r="O907" i="1"/>
  <c r="N907" i="1"/>
  <c r="L907" i="1"/>
  <c r="I907" i="1"/>
  <c r="K907" i="1" s="1"/>
  <c r="H907" i="1"/>
  <c r="G907" i="1"/>
  <c r="F907" i="1"/>
  <c r="E907" i="1"/>
  <c r="B907" i="1"/>
  <c r="S906" i="1"/>
  <c r="R906" i="1"/>
  <c r="Q906" i="1"/>
  <c r="P906" i="1"/>
  <c r="O906" i="1"/>
  <c r="N906" i="1"/>
  <c r="L906" i="1"/>
  <c r="K906" i="1"/>
  <c r="I906" i="1"/>
  <c r="H906" i="1"/>
  <c r="G906" i="1"/>
  <c r="F906" i="1"/>
  <c r="E906" i="1"/>
  <c r="B906" i="1"/>
  <c r="S905" i="1"/>
  <c r="R905" i="1"/>
  <c r="Q905" i="1"/>
  <c r="P905" i="1"/>
  <c r="O905" i="1"/>
  <c r="N905" i="1"/>
  <c r="L905" i="1"/>
  <c r="I905" i="1"/>
  <c r="K905" i="1" s="1"/>
  <c r="H905" i="1"/>
  <c r="G905" i="1"/>
  <c r="F905" i="1"/>
  <c r="E905" i="1"/>
  <c r="B905" i="1"/>
  <c r="S904" i="1"/>
  <c r="R904" i="1"/>
  <c r="Q904" i="1"/>
  <c r="P904" i="1"/>
  <c r="O904" i="1"/>
  <c r="N904" i="1"/>
  <c r="L904" i="1"/>
  <c r="I904" i="1"/>
  <c r="K904" i="1" s="1"/>
  <c r="H904" i="1"/>
  <c r="G904" i="1"/>
  <c r="F904" i="1"/>
  <c r="E904" i="1"/>
  <c r="B904" i="1"/>
  <c r="S903" i="1"/>
  <c r="R903" i="1"/>
  <c r="Q903" i="1"/>
  <c r="P903" i="1"/>
  <c r="O903" i="1"/>
  <c r="N903" i="1"/>
  <c r="L903" i="1"/>
  <c r="I903" i="1"/>
  <c r="K903" i="1" s="1"/>
  <c r="H903" i="1"/>
  <c r="G903" i="1"/>
  <c r="F903" i="1"/>
  <c r="E903" i="1"/>
  <c r="B903" i="1"/>
  <c r="S902" i="1"/>
  <c r="R902" i="1"/>
  <c r="Q902" i="1"/>
  <c r="P902" i="1"/>
  <c r="O902" i="1"/>
  <c r="N902" i="1"/>
  <c r="L902" i="1"/>
  <c r="I902" i="1"/>
  <c r="K902" i="1" s="1"/>
  <c r="H902" i="1"/>
  <c r="G902" i="1"/>
  <c r="F902" i="1"/>
  <c r="E902" i="1"/>
  <c r="B902" i="1"/>
  <c r="S901" i="1"/>
  <c r="R901" i="1"/>
  <c r="Q901" i="1"/>
  <c r="P901" i="1"/>
  <c r="O901" i="1"/>
  <c r="N901" i="1"/>
  <c r="L901" i="1"/>
  <c r="I901" i="1"/>
  <c r="K901" i="1" s="1"/>
  <c r="H901" i="1"/>
  <c r="G901" i="1"/>
  <c r="F901" i="1"/>
  <c r="E901" i="1"/>
  <c r="B901" i="1"/>
  <c r="S900" i="1"/>
  <c r="R900" i="1"/>
  <c r="Q900" i="1"/>
  <c r="P900" i="1"/>
  <c r="O900" i="1"/>
  <c r="N900" i="1"/>
  <c r="L900" i="1"/>
  <c r="I900" i="1"/>
  <c r="K900" i="1" s="1"/>
  <c r="H900" i="1"/>
  <c r="G900" i="1"/>
  <c r="F900" i="1"/>
  <c r="E900" i="1"/>
  <c r="B900" i="1"/>
  <c r="S899" i="1"/>
  <c r="R899" i="1"/>
  <c r="Q899" i="1"/>
  <c r="P899" i="1"/>
  <c r="O899" i="1"/>
  <c r="N899" i="1"/>
  <c r="L899" i="1"/>
  <c r="I899" i="1"/>
  <c r="K899" i="1" s="1"/>
  <c r="H899" i="1"/>
  <c r="G899" i="1"/>
  <c r="F899" i="1"/>
  <c r="E899" i="1"/>
  <c r="B899" i="1"/>
  <c r="S898" i="1"/>
  <c r="R898" i="1"/>
  <c r="Q898" i="1"/>
  <c r="P898" i="1"/>
  <c r="O898" i="1"/>
  <c r="N898" i="1"/>
  <c r="L898" i="1"/>
  <c r="I898" i="1"/>
  <c r="K898" i="1" s="1"/>
  <c r="H898" i="1"/>
  <c r="G898" i="1"/>
  <c r="F898" i="1"/>
  <c r="E898" i="1"/>
  <c r="B898" i="1"/>
  <c r="S897" i="1"/>
  <c r="R897" i="1"/>
  <c r="Q897" i="1"/>
  <c r="P897" i="1"/>
  <c r="O897" i="1"/>
  <c r="N897" i="1"/>
  <c r="L897" i="1"/>
  <c r="I897" i="1"/>
  <c r="K897" i="1" s="1"/>
  <c r="H897" i="1"/>
  <c r="G897" i="1"/>
  <c r="F897" i="1"/>
  <c r="E897" i="1"/>
  <c r="B897" i="1"/>
  <c r="S896" i="1"/>
  <c r="R896" i="1"/>
  <c r="Q896" i="1"/>
  <c r="P896" i="1"/>
  <c r="O896" i="1"/>
  <c r="N896" i="1"/>
  <c r="L896" i="1"/>
  <c r="I896" i="1"/>
  <c r="K896" i="1" s="1"/>
  <c r="H896" i="1"/>
  <c r="G896" i="1"/>
  <c r="F896" i="1"/>
  <c r="E896" i="1"/>
  <c r="B896" i="1"/>
  <c r="S895" i="1"/>
  <c r="R895" i="1"/>
  <c r="Q895" i="1"/>
  <c r="P895" i="1"/>
  <c r="O895" i="1"/>
  <c r="N895" i="1"/>
  <c r="L895" i="1"/>
  <c r="I895" i="1"/>
  <c r="K895" i="1" s="1"/>
  <c r="H895" i="1"/>
  <c r="G895" i="1"/>
  <c r="F895" i="1"/>
  <c r="E895" i="1"/>
  <c r="B895" i="1"/>
  <c r="S894" i="1"/>
  <c r="R894" i="1"/>
  <c r="Q894" i="1"/>
  <c r="P894" i="1"/>
  <c r="O894" i="1"/>
  <c r="N894" i="1"/>
  <c r="L894" i="1"/>
  <c r="I894" i="1"/>
  <c r="K894" i="1" s="1"/>
  <c r="H894" i="1"/>
  <c r="G894" i="1"/>
  <c r="F894" i="1"/>
  <c r="E894" i="1"/>
  <c r="B894" i="1"/>
  <c r="S893" i="1"/>
  <c r="R893" i="1"/>
  <c r="Q893" i="1"/>
  <c r="P893" i="1"/>
  <c r="O893" i="1"/>
  <c r="N893" i="1"/>
  <c r="L893" i="1"/>
  <c r="I893" i="1"/>
  <c r="K893" i="1" s="1"/>
  <c r="H893" i="1"/>
  <c r="G893" i="1"/>
  <c r="F893" i="1"/>
  <c r="E893" i="1"/>
  <c r="B893" i="1"/>
  <c r="S892" i="1"/>
  <c r="R892" i="1"/>
  <c r="Q892" i="1"/>
  <c r="P892" i="1"/>
  <c r="O892" i="1"/>
  <c r="N892" i="1"/>
  <c r="L892" i="1"/>
  <c r="I892" i="1"/>
  <c r="K892" i="1" s="1"/>
  <c r="H892" i="1"/>
  <c r="G892" i="1"/>
  <c r="F892" i="1"/>
  <c r="E892" i="1"/>
  <c r="B892" i="1"/>
  <c r="S891" i="1"/>
  <c r="R891" i="1"/>
  <c r="Q891" i="1"/>
  <c r="P891" i="1"/>
  <c r="O891" i="1"/>
  <c r="N891" i="1"/>
  <c r="L891" i="1"/>
  <c r="I891" i="1"/>
  <c r="K891" i="1" s="1"/>
  <c r="H891" i="1"/>
  <c r="G891" i="1"/>
  <c r="F891" i="1"/>
  <c r="E891" i="1"/>
  <c r="B891" i="1"/>
  <c r="S890" i="1"/>
  <c r="R890" i="1"/>
  <c r="Q890" i="1"/>
  <c r="P890" i="1"/>
  <c r="O890" i="1"/>
  <c r="N890" i="1"/>
  <c r="L890" i="1"/>
  <c r="I890" i="1"/>
  <c r="K890" i="1" s="1"/>
  <c r="H890" i="1"/>
  <c r="G890" i="1"/>
  <c r="F890" i="1"/>
  <c r="E890" i="1"/>
  <c r="B890" i="1"/>
  <c r="S889" i="1"/>
  <c r="R889" i="1"/>
  <c r="Q889" i="1"/>
  <c r="P889" i="1"/>
  <c r="O889" i="1"/>
  <c r="N889" i="1"/>
  <c r="L889" i="1"/>
  <c r="I889" i="1"/>
  <c r="K889" i="1" s="1"/>
  <c r="H889" i="1"/>
  <c r="G889" i="1"/>
  <c r="F889" i="1"/>
  <c r="E889" i="1"/>
  <c r="B889" i="1"/>
  <c r="S888" i="1"/>
  <c r="R888" i="1"/>
  <c r="Q888" i="1"/>
  <c r="P888" i="1"/>
  <c r="O888" i="1"/>
  <c r="N888" i="1"/>
  <c r="L888" i="1"/>
  <c r="I888" i="1"/>
  <c r="K888" i="1" s="1"/>
  <c r="H888" i="1"/>
  <c r="G888" i="1"/>
  <c r="F888" i="1"/>
  <c r="E888" i="1"/>
  <c r="B888" i="1"/>
  <c r="S887" i="1"/>
  <c r="R887" i="1"/>
  <c r="Q887" i="1"/>
  <c r="P887" i="1"/>
  <c r="O887" i="1"/>
  <c r="N887" i="1"/>
  <c r="L887" i="1"/>
  <c r="I887" i="1"/>
  <c r="K887" i="1" s="1"/>
  <c r="H887" i="1"/>
  <c r="G887" i="1"/>
  <c r="F887" i="1"/>
  <c r="E887" i="1"/>
  <c r="B887" i="1"/>
  <c r="S886" i="1"/>
  <c r="R886" i="1"/>
  <c r="Q886" i="1"/>
  <c r="P886" i="1"/>
  <c r="O886" i="1"/>
  <c r="N886" i="1"/>
  <c r="L886" i="1"/>
  <c r="I886" i="1"/>
  <c r="K886" i="1" s="1"/>
  <c r="H886" i="1"/>
  <c r="G886" i="1"/>
  <c r="F886" i="1"/>
  <c r="E886" i="1"/>
  <c r="B886" i="1"/>
  <c r="S885" i="1"/>
  <c r="R885" i="1"/>
  <c r="Q885" i="1"/>
  <c r="P885" i="1"/>
  <c r="O885" i="1"/>
  <c r="N885" i="1"/>
  <c r="L885" i="1"/>
  <c r="I885" i="1"/>
  <c r="K885" i="1" s="1"/>
  <c r="H885" i="1"/>
  <c r="G885" i="1"/>
  <c r="F885" i="1"/>
  <c r="E885" i="1"/>
  <c r="B885" i="1"/>
  <c r="S884" i="1"/>
  <c r="R884" i="1"/>
  <c r="Q884" i="1"/>
  <c r="P884" i="1"/>
  <c r="O884" i="1"/>
  <c r="N884" i="1"/>
  <c r="L884" i="1"/>
  <c r="I884" i="1"/>
  <c r="K884" i="1" s="1"/>
  <c r="H884" i="1"/>
  <c r="G884" i="1"/>
  <c r="F884" i="1"/>
  <c r="E884" i="1"/>
  <c r="B884" i="1"/>
  <c r="S883" i="1"/>
  <c r="R883" i="1"/>
  <c r="Q883" i="1"/>
  <c r="P883" i="1"/>
  <c r="O883" i="1"/>
  <c r="N883" i="1"/>
  <c r="L883" i="1"/>
  <c r="I883" i="1"/>
  <c r="K883" i="1" s="1"/>
  <c r="H883" i="1"/>
  <c r="G883" i="1"/>
  <c r="F883" i="1"/>
  <c r="E883" i="1"/>
  <c r="B883" i="1"/>
  <c r="S882" i="1"/>
  <c r="R882" i="1"/>
  <c r="Q882" i="1"/>
  <c r="P882" i="1"/>
  <c r="O882" i="1"/>
  <c r="N882" i="1"/>
  <c r="L882" i="1"/>
  <c r="I882" i="1"/>
  <c r="K882" i="1" s="1"/>
  <c r="H882" i="1"/>
  <c r="G882" i="1"/>
  <c r="F882" i="1"/>
  <c r="E882" i="1"/>
  <c r="B882" i="1"/>
  <c r="S881" i="1"/>
  <c r="R881" i="1"/>
  <c r="Q881" i="1"/>
  <c r="P881" i="1"/>
  <c r="O881" i="1"/>
  <c r="N881" i="1"/>
  <c r="L881" i="1"/>
  <c r="I881" i="1"/>
  <c r="K881" i="1" s="1"/>
  <c r="H881" i="1"/>
  <c r="G881" i="1"/>
  <c r="F881" i="1"/>
  <c r="E881" i="1"/>
  <c r="B881" i="1"/>
  <c r="S880" i="1"/>
  <c r="R880" i="1"/>
  <c r="Q880" i="1"/>
  <c r="P880" i="1"/>
  <c r="O880" i="1"/>
  <c r="N880" i="1"/>
  <c r="L880" i="1"/>
  <c r="I880" i="1"/>
  <c r="K880" i="1" s="1"/>
  <c r="H880" i="1"/>
  <c r="G880" i="1"/>
  <c r="F880" i="1"/>
  <c r="E880" i="1"/>
  <c r="B880" i="1"/>
  <c r="S879" i="1"/>
  <c r="R879" i="1"/>
  <c r="Q879" i="1"/>
  <c r="P879" i="1"/>
  <c r="O879" i="1"/>
  <c r="N879" i="1"/>
  <c r="L879" i="1"/>
  <c r="I879" i="1"/>
  <c r="K879" i="1" s="1"/>
  <c r="H879" i="1"/>
  <c r="G879" i="1"/>
  <c r="F879" i="1"/>
  <c r="E879" i="1"/>
  <c r="B879" i="1"/>
  <c r="S878" i="1"/>
  <c r="R878" i="1"/>
  <c r="Q878" i="1"/>
  <c r="P878" i="1"/>
  <c r="O878" i="1"/>
  <c r="N878" i="1"/>
  <c r="L878" i="1"/>
  <c r="I878" i="1"/>
  <c r="K878" i="1" s="1"/>
  <c r="H878" i="1"/>
  <c r="G878" i="1"/>
  <c r="F878" i="1"/>
  <c r="E878" i="1"/>
  <c r="B878" i="1"/>
  <c r="S877" i="1"/>
  <c r="R877" i="1"/>
  <c r="Q877" i="1"/>
  <c r="P877" i="1"/>
  <c r="O877" i="1"/>
  <c r="N877" i="1"/>
  <c r="L877" i="1"/>
  <c r="I877" i="1"/>
  <c r="K877" i="1" s="1"/>
  <c r="H877" i="1"/>
  <c r="G877" i="1"/>
  <c r="F877" i="1"/>
  <c r="E877" i="1"/>
  <c r="B877" i="1"/>
  <c r="S876" i="1"/>
  <c r="R876" i="1"/>
  <c r="Q876" i="1"/>
  <c r="P876" i="1"/>
  <c r="O876" i="1"/>
  <c r="N876" i="1"/>
  <c r="L876" i="1"/>
  <c r="I876" i="1"/>
  <c r="K876" i="1" s="1"/>
  <c r="H876" i="1"/>
  <c r="G876" i="1"/>
  <c r="F876" i="1"/>
  <c r="E876" i="1"/>
  <c r="B876" i="1"/>
  <c r="S875" i="1"/>
  <c r="R875" i="1"/>
  <c r="Q875" i="1"/>
  <c r="P875" i="1"/>
  <c r="O875" i="1"/>
  <c r="N875" i="1"/>
  <c r="L875" i="1"/>
  <c r="I875" i="1"/>
  <c r="K875" i="1" s="1"/>
  <c r="H875" i="1"/>
  <c r="G875" i="1"/>
  <c r="F875" i="1"/>
  <c r="E875" i="1"/>
  <c r="B875" i="1"/>
  <c r="S874" i="1"/>
  <c r="R874" i="1"/>
  <c r="Q874" i="1"/>
  <c r="P874" i="1"/>
  <c r="O874" i="1"/>
  <c r="N874" i="1"/>
  <c r="L874" i="1"/>
  <c r="I874" i="1"/>
  <c r="K874" i="1" s="1"/>
  <c r="H874" i="1"/>
  <c r="G874" i="1"/>
  <c r="F874" i="1"/>
  <c r="E874" i="1"/>
  <c r="B874" i="1"/>
  <c r="S873" i="1"/>
  <c r="R873" i="1"/>
  <c r="Q873" i="1"/>
  <c r="P873" i="1"/>
  <c r="O873" i="1"/>
  <c r="N873" i="1"/>
  <c r="L873" i="1"/>
  <c r="I873" i="1"/>
  <c r="K873" i="1" s="1"/>
  <c r="H873" i="1"/>
  <c r="G873" i="1"/>
  <c r="F873" i="1"/>
  <c r="E873" i="1"/>
  <c r="B873" i="1"/>
  <c r="S872" i="1"/>
  <c r="R872" i="1"/>
  <c r="Q872" i="1"/>
  <c r="P872" i="1"/>
  <c r="O872" i="1"/>
  <c r="N872" i="1"/>
  <c r="L872" i="1"/>
  <c r="I872" i="1"/>
  <c r="K872" i="1" s="1"/>
  <c r="H872" i="1"/>
  <c r="G872" i="1"/>
  <c r="F872" i="1"/>
  <c r="E872" i="1"/>
  <c r="B872" i="1"/>
  <c r="S871" i="1"/>
  <c r="R871" i="1"/>
  <c r="Q871" i="1"/>
  <c r="P871" i="1"/>
  <c r="O871" i="1"/>
  <c r="N871" i="1"/>
  <c r="L871" i="1"/>
  <c r="I871" i="1"/>
  <c r="K871" i="1" s="1"/>
  <c r="H871" i="1"/>
  <c r="G871" i="1"/>
  <c r="F871" i="1"/>
  <c r="E871" i="1"/>
  <c r="B871" i="1"/>
  <c r="S870" i="1"/>
  <c r="R870" i="1"/>
  <c r="Q870" i="1"/>
  <c r="P870" i="1"/>
  <c r="O870" i="1"/>
  <c r="N870" i="1"/>
  <c r="L870" i="1"/>
  <c r="I870" i="1"/>
  <c r="K870" i="1" s="1"/>
  <c r="H870" i="1"/>
  <c r="G870" i="1"/>
  <c r="F870" i="1"/>
  <c r="E870" i="1"/>
  <c r="B870" i="1"/>
  <c r="S869" i="1"/>
  <c r="R869" i="1"/>
  <c r="Q869" i="1"/>
  <c r="P869" i="1"/>
  <c r="O869" i="1"/>
  <c r="N869" i="1"/>
  <c r="L869" i="1"/>
  <c r="I869" i="1"/>
  <c r="K869" i="1" s="1"/>
  <c r="H869" i="1"/>
  <c r="G869" i="1"/>
  <c r="F869" i="1"/>
  <c r="E869" i="1"/>
  <c r="B869" i="1"/>
  <c r="S868" i="1"/>
  <c r="R868" i="1"/>
  <c r="Q868" i="1"/>
  <c r="P868" i="1"/>
  <c r="O868" i="1"/>
  <c r="N868" i="1"/>
  <c r="L868" i="1"/>
  <c r="I868" i="1"/>
  <c r="K868" i="1" s="1"/>
  <c r="H868" i="1"/>
  <c r="G868" i="1"/>
  <c r="F868" i="1"/>
  <c r="E868" i="1"/>
  <c r="B868" i="1"/>
  <c r="S867" i="1"/>
  <c r="R867" i="1"/>
  <c r="Q867" i="1"/>
  <c r="P867" i="1"/>
  <c r="O867" i="1"/>
  <c r="N867" i="1"/>
  <c r="L867" i="1"/>
  <c r="I867" i="1"/>
  <c r="K867" i="1" s="1"/>
  <c r="H867" i="1"/>
  <c r="G867" i="1"/>
  <c r="F867" i="1"/>
  <c r="E867" i="1"/>
  <c r="B867" i="1"/>
  <c r="S866" i="1"/>
  <c r="R866" i="1"/>
  <c r="Q866" i="1"/>
  <c r="P866" i="1"/>
  <c r="O866" i="1"/>
  <c r="N866" i="1"/>
  <c r="L866" i="1"/>
  <c r="I866" i="1"/>
  <c r="K866" i="1" s="1"/>
  <c r="H866" i="1"/>
  <c r="G866" i="1"/>
  <c r="F866" i="1"/>
  <c r="E866" i="1"/>
  <c r="B866" i="1"/>
  <c r="S865" i="1"/>
  <c r="R865" i="1"/>
  <c r="Q865" i="1"/>
  <c r="P865" i="1"/>
  <c r="O865" i="1"/>
  <c r="N865" i="1"/>
  <c r="L865" i="1"/>
  <c r="I865" i="1"/>
  <c r="K865" i="1" s="1"/>
  <c r="H865" i="1"/>
  <c r="G865" i="1"/>
  <c r="F865" i="1"/>
  <c r="E865" i="1"/>
  <c r="B865" i="1"/>
  <c r="S864" i="1"/>
  <c r="R864" i="1"/>
  <c r="Q864" i="1"/>
  <c r="P864" i="1"/>
  <c r="O864" i="1"/>
  <c r="N864" i="1"/>
  <c r="L864" i="1"/>
  <c r="I864" i="1"/>
  <c r="K864" i="1" s="1"/>
  <c r="H864" i="1"/>
  <c r="G864" i="1"/>
  <c r="F864" i="1"/>
  <c r="E864" i="1"/>
  <c r="B864" i="1"/>
  <c r="S863" i="1"/>
  <c r="R863" i="1"/>
  <c r="Q863" i="1"/>
  <c r="P863" i="1"/>
  <c r="O863" i="1"/>
  <c r="N863" i="1"/>
  <c r="L863" i="1"/>
  <c r="I863" i="1"/>
  <c r="K863" i="1" s="1"/>
  <c r="H863" i="1"/>
  <c r="G863" i="1"/>
  <c r="F863" i="1"/>
  <c r="E863" i="1"/>
  <c r="B863" i="1"/>
  <c r="S862" i="1"/>
  <c r="R862" i="1"/>
  <c r="Q862" i="1"/>
  <c r="P862" i="1"/>
  <c r="O862" i="1"/>
  <c r="N862" i="1"/>
  <c r="L862" i="1"/>
  <c r="I862" i="1"/>
  <c r="K862" i="1" s="1"/>
  <c r="H862" i="1"/>
  <c r="G862" i="1"/>
  <c r="F862" i="1"/>
  <c r="E862" i="1"/>
  <c r="B862" i="1"/>
  <c r="S861" i="1"/>
  <c r="R861" i="1"/>
  <c r="Q861" i="1"/>
  <c r="P861" i="1"/>
  <c r="O861" i="1"/>
  <c r="N861" i="1"/>
  <c r="L861" i="1"/>
  <c r="I861" i="1"/>
  <c r="K861" i="1" s="1"/>
  <c r="H861" i="1"/>
  <c r="G861" i="1"/>
  <c r="F861" i="1"/>
  <c r="E861" i="1"/>
  <c r="B861" i="1"/>
  <c r="S860" i="1"/>
  <c r="R860" i="1"/>
  <c r="Q860" i="1"/>
  <c r="P860" i="1"/>
  <c r="O860" i="1"/>
  <c r="N860" i="1"/>
  <c r="L860" i="1"/>
  <c r="I860" i="1"/>
  <c r="K860" i="1" s="1"/>
  <c r="H860" i="1"/>
  <c r="G860" i="1"/>
  <c r="F860" i="1"/>
  <c r="E860" i="1"/>
  <c r="B860" i="1"/>
  <c r="S859" i="1"/>
  <c r="R859" i="1"/>
  <c r="Q859" i="1"/>
  <c r="P859" i="1"/>
  <c r="O859" i="1"/>
  <c r="N859" i="1"/>
  <c r="L859" i="1"/>
  <c r="I859" i="1"/>
  <c r="K859" i="1" s="1"/>
  <c r="H859" i="1"/>
  <c r="G859" i="1"/>
  <c r="F859" i="1"/>
  <c r="E859" i="1"/>
  <c r="B859" i="1"/>
  <c r="S858" i="1"/>
  <c r="R858" i="1"/>
  <c r="Q858" i="1"/>
  <c r="P858" i="1"/>
  <c r="O858" i="1"/>
  <c r="N858" i="1"/>
  <c r="L858" i="1"/>
  <c r="I858" i="1"/>
  <c r="K858" i="1" s="1"/>
  <c r="H858" i="1"/>
  <c r="G858" i="1"/>
  <c r="F858" i="1"/>
  <c r="E858" i="1"/>
  <c r="B858" i="1"/>
  <c r="S857" i="1"/>
  <c r="R857" i="1"/>
  <c r="Q857" i="1"/>
  <c r="P857" i="1"/>
  <c r="O857" i="1"/>
  <c r="N857" i="1"/>
  <c r="L857" i="1"/>
  <c r="I857" i="1"/>
  <c r="K857" i="1" s="1"/>
  <c r="H857" i="1"/>
  <c r="G857" i="1"/>
  <c r="F857" i="1"/>
  <c r="E857" i="1"/>
  <c r="B857" i="1"/>
  <c r="S856" i="1"/>
  <c r="R856" i="1"/>
  <c r="Q856" i="1"/>
  <c r="P856" i="1"/>
  <c r="O856" i="1"/>
  <c r="N856" i="1"/>
  <c r="L856" i="1"/>
  <c r="I856" i="1"/>
  <c r="K856" i="1" s="1"/>
  <c r="H856" i="1"/>
  <c r="G856" i="1"/>
  <c r="F856" i="1"/>
  <c r="E856" i="1"/>
  <c r="B856" i="1"/>
  <c r="S855" i="1"/>
  <c r="R855" i="1"/>
  <c r="Q855" i="1"/>
  <c r="P855" i="1"/>
  <c r="O855" i="1"/>
  <c r="N855" i="1"/>
  <c r="L855" i="1"/>
  <c r="I855" i="1"/>
  <c r="K855" i="1" s="1"/>
  <c r="H855" i="1"/>
  <c r="G855" i="1"/>
  <c r="F855" i="1"/>
  <c r="E855" i="1"/>
  <c r="B855" i="1"/>
  <c r="S854" i="1"/>
  <c r="R854" i="1"/>
  <c r="Q854" i="1"/>
  <c r="P854" i="1"/>
  <c r="O854" i="1"/>
  <c r="N854" i="1"/>
  <c r="L854" i="1"/>
  <c r="I854" i="1"/>
  <c r="K854" i="1" s="1"/>
  <c r="H854" i="1"/>
  <c r="G854" i="1"/>
  <c r="F854" i="1"/>
  <c r="E854" i="1"/>
  <c r="B854" i="1"/>
  <c r="S853" i="1"/>
  <c r="R853" i="1"/>
  <c r="Q853" i="1"/>
  <c r="P853" i="1"/>
  <c r="O853" i="1"/>
  <c r="N853" i="1"/>
  <c r="L853" i="1"/>
  <c r="I853" i="1"/>
  <c r="K853" i="1" s="1"/>
  <c r="H853" i="1"/>
  <c r="G853" i="1"/>
  <c r="F853" i="1"/>
  <c r="E853" i="1"/>
  <c r="B853" i="1"/>
  <c r="S852" i="1"/>
  <c r="R852" i="1"/>
  <c r="Q852" i="1"/>
  <c r="P852" i="1"/>
  <c r="O852" i="1"/>
  <c r="N852" i="1"/>
  <c r="L852" i="1"/>
  <c r="I852" i="1"/>
  <c r="K852" i="1" s="1"/>
  <c r="H852" i="1"/>
  <c r="G852" i="1"/>
  <c r="F852" i="1"/>
  <c r="E852" i="1"/>
  <c r="B852" i="1"/>
  <c r="S851" i="1"/>
  <c r="R851" i="1"/>
  <c r="Q851" i="1"/>
  <c r="P851" i="1"/>
  <c r="O851" i="1"/>
  <c r="N851" i="1"/>
  <c r="L851" i="1"/>
  <c r="I851" i="1"/>
  <c r="K851" i="1" s="1"/>
  <c r="H851" i="1"/>
  <c r="G851" i="1"/>
  <c r="F851" i="1"/>
  <c r="E851" i="1"/>
  <c r="B851" i="1"/>
  <c r="S850" i="1"/>
  <c r="R850" i="1"/>
  <c r="Q850" i="1"/>
  <c r="P850" i="1"/>
  <c r="O850" i="1"/>
  <c r="N850" i="1"/>
  <c r="L850" i="1"/>
  <c r="I850" i="1"/>
  <c r="K850" i="1" s="1"/>
  <c r="H850" i="1"/>
  <c r="G850" i="1"/>
  <c r="F850" i="1"/>
  <c r="E850" i="1"/>
  <c r="B850" i="1"/>
  <c r="S849" i="1"/>
  <c r="R849" i="1"/>
  <c r="Q849" i="1"/>
  <c r="P849" i="1"/>
  <c r="O849" i="1"/>
  <c r="N849" i="1"/>
  <c r="L849" i="1"/>
  <c r="I849" i="1"/>
  <c r="K849" i="1" s="1"/>
  <c r="H849" i="1"/>
  <c r="G849" i="1"/>
  <c r="F849" i="1"/>
  <c r="E849" i="1"/>
  <c r="B849" i="1"/>
  <c r="S848" i="1"/>
  <c r="R848" i="1"/>
  <c r="Q848" i="1"/>
  <c r="P848" i="1"/>
  <c r="O848" i="1"/>
  <c r="N848" i="1"/>
  <c r="L848" i="1"/>
  <c r="I848" i="1"/>
  <c r="K848" i="1" s="1"/>
  <c r="H848" i="1"/>
  <c r="G848" i="1"/>
  <c r="F848" i="1"/>
  <c r="E848" i="1"/>
  <c r="B848" i="1"/>
  <c r="S847" i="1"/>
  <c r="R847" i="1"/>
  <c r="Q847" i="1"/>
  <c r="P847" i="1"/>
  <c r="O847" i="1"/>
  <c r="N847" i="1"/>
  <c r="L847" i="1"/>
  <c r="I847" i="1"/>
  <c r="K847" i="1" s="1"/>
  <c r="H847" i="1"/>
  <c r="G847" i="1"/>
  <c r="F847" i="1"/>
  <c r="E847" i="1"/>
  <c r="B847" i="1"/>
  <c r="S846" i="1"/>
  <c r="R846" i="1"/>
  <c r="Q846" i="1"/>
  <c r="P846" i="1"/>
  <c r="O846" i="1"/>
  <c r="N846" i="1"/>
  <c r="L846" i="1"/>
  <c r="K846" i="1"/>
  <c r="I846" i="1"/>
  <c r="H846" i="1"/>
  <c r="G846" i="1"/>
  <c r="F846" i="1"/>
  <c r="E846" i="1"/>
  <c r="B846" i="1"/>
  <c r="S845" i="1"/>
  <c r="R845" i="1"/>
  <c r="Q845" i="1"/>
  <c r="P845" i="1"/>
  <c r="O845" i="1"/>
  <c r="N845" i="1"/>
  <c r="L845" i="1"/>
  <c r="I845" i="1"/>
  <c r="K845" i="1" s="1"/>
  <c r="H845" i="1"/>
  <c r="G845" i="1"/>
  <c r="F845" i="1"/>
  <c r="E845" i="1"/>
  <c r="B845" i="1"/>
  <c r="S844" i="1"/>
  <c r="R844" i="1"/>
  <c r="Q844" i="1"/>
  <c r="P844" i="1"/>
  <c r="O844" i="1"/>
  <c r="N844" i="1"/>
  <c r="L844" i="1"/>
  <c r="I844" i="1"/>
  <c r="K844" i="1" s="1"/>
  <c r="H844" i="1"/>
  <c r="G844" i="1"/>
  <c r="F844" i="1"/>
  <c r="E844" i="1"/>
  <c r="B844" i="1"/>
  <c r="S843" i="1"/>
  <c r="R843" i="1"/>
  <c r="Q843" i="1"/>
  <c r="P843" i="1"/>
  <c r="O843" i="1"/>
  <c r="N843" i="1"/>
  <c r="L843" i="1"/>
  <c r="I843" i="1"/>
  <c r="K843" i="1" s="1"/>
  <c r="H843" i="1"/>
  <c r="G843" i="1"/>
  <c r="F843" i="1"/>
  <c r="E843" i="1"/>
  <c r="B843" i="1"/>
  <c r="S842" i="1"/>
  <c r="R842" i="1"/>
  <c r="Q842" i="1"/>
  <c r="P842" i="1"/>
  <c r="O842" i="1"/>
  <c r="N842" i="1"/>
  <c r="L842" i="1"/>
  <c r="I842" i="1"/>
  <c r="K842" i="1" s="1"/>
  <c r="H842" i="1"/>
  <c r="G842" i="1"/>
  <c r="F842" i="1"/>
  <c r="E842" i="1"/>
  <c r="B842" i="1"/>
  <c r="S841" i="1"/>
  <c r="R841" i="1"/>
  <c r="Q841" i="1"/>
  <c r="P841" i="1"/>
  <c r="O841" i="1"/>
  <c r="N841" i="1"/>
  <c r="L841" i="1"/>
  <c r="I841" i="1"/>
  <c r="K841" i="1" s="1"/>
  <c r="H841" i="1"/>
  <c r="G841" i="1"/>
  <c r="F841" i="1"/>
  <c r="E841" i="1"/>
  <c r="B841" i="1"/>
  <c r="S840" i="1"/>
  <c r="R840" i="1"/>
  <c r="Q840" i="1"/>
  <c r="P840" i="1"/>
  <c r="O840" i="1"/>
  <c r="N840" i="1"/>
  <c r="L840" i="1"/>
  <c r="I840" i="1"/>
  <c r="K840" i="1" s="1"/>
  <c r="H840" i="1"/>
  <c r="G840" i="1"/>
  <c r="F840" i="1"/>
  <c r="E840" i="1"/>
  <c r="B840" i="1"/>
  <c r="S839" i="1"/>
  <c r="R839" i="1"/>
  <c r="Q839" i="1"/>
  <c r="P839" i="1"/>
  <c r="O839" i="1"/>
  <c r="N839" i="1"/>
  <c r="L839" i="1"/>
  <c r="I839" i="1"/>
  <c r="K839" i="1" s="1"/>
  <c r="H839" i="1"/>
  <c r="G839" i="1"/>
  <c r="F839" i="1"/>
  <c r="E839" i="1"/>
  <c r="B839" i="1"/>
  <c r="S838" i="1"/>
  <c r="R838" i="1"/>
  <c r="Q838" i="1"/>
  <c r="P838" i="1"/>
  <c r="O838" i="1"/>
  <c r="N838" i="1"/>
  <c r="L838" i="1"/>
  <c r="I838" i="1"/>
  <c r="K838" i="1" s="1"/>
  <c r="H838" i="1"/>
  <c r="G838" i="1"/>
  <c r="F838" i="1"/>
  <c r="E838" i="1"/>
  <c r="B838" i="1"/>
  <c r="S837" i="1"/>
  <c r="R837" i="1"/>
  <c r="Q837" i="1"/>
  <c r="P837" i="1"/>
  <c r="O837" i="1"/>
  <c r="N837" i="1"/>
  <c r="L837" i="1"/>
  <c r="I837" i="1"/>
  <c r="K837" i="1" s="1"/>
  <c r="H837" i="1"/>
  <c r="G837" i="1"/>
  <c r="F837" i="1"/>
  <c r="E837" i="1"/>
  <c r="B837" i="1"/>
  <c r="S836" i="1"/>
  <c r="R836" i="1"/>
  <c r="Q836" i="1"/>
  <c r="P836" i="1"/>
  <c r="O836" i="1"/>
  <c r="N836" i="1"/>
  <c r="L836" i="1"/>
  <c r="I836" i="1"/>
  <c r="K836" i="1" s="1"/>
  <c r="H836" i="1"/>
  <c r="G836" i="1"/>
  <c r="F836" i="1"/>
  <c r="E836" i="1"/>
  <c r="B836" i="1"/>
  <c r="S835" i="1"/>
  <c r="R835" i="1"/>
  <c r="Q835" i="1"/>
  <c r="P835" i="1"/>
  <c r="O835" i="1"/>
  <c r="N835" i="1"/>
  <c r="L835" i="1"/>
  <c r="I835" i="1"/>
  <c r="K835" i="1" s="1"/>
  <c r="H835" i="1"/>
  <c r="G835" i="1"/>
  <c r="F835" i="1"/>
  <c r="E835" i="1"/>
  <c r="B835" i="1"/>
  <c r="S834" i="1"/>
  <c r="R834" i="1"/>
  <c r="Q834" i="1"/>
  <c r="P834" i="1"/>
  <c r="O834" i="1"/>
  <c r="N834" i="1"/>
  <c r="L834" i="1"/>
  <c r="I834" i="1"/>
  <c r="K834" i="1" s="1"/>
  <c r="H834" i="1"/>
  <c r="G834" i="1"/>
  <c r="F834" i="1"/>
  <c r="E834" i="1"/>
  <c r="B834" i="1"/>
  <c r="S833" i="1"/>
  <c r="R833" i="1"/>
  <c r="Q833" i="1"/>
  <c r="P833" i="1"/>
  <c r="O833" i="1"/>
  <c r="N833" i="1"/>
  <c r="L833" i="1"/>
  <c r="I833" i="1"/>
  <c r="K833" i="1" s="1"/>
  <c r="H833" i="1"/>
  <c r="G833" i="1"/>
  <c r="F833" i="1"/>
  <c r="E833" i="1"/>
  <c r="B833" i="1"/>
  <c r="S832" i="1"/>
  <c r="R832" i="1"/>
  <c r="Q832" i="1"/>
  <c r="P832" i="1"/>
  <c r="O832" i="1"/>
  <c r="N832" i="1"/>
  <c r="L832" i="1"/>
  <c r="I832" i="1"/>
  <c r="K832" i="1" s="1"/>
  <c r="H832" i="1"/>
  <c r="G832" i="1"/>
  <c r="F832" i="1"/>
  <c r="E832" i="1"/>
  <c r="B832" i="1"/>
  <c r="S831" i="1"/>
  <c r="R831" i="1"/>
  <c r="Q831" i="1"/>
  <c r="P831" i="1"/>
  <c r="O831" i="1"/>
  <c r="N831" i="1"/>
  <c r="L831" i="1"/>
  <c r="I831" i="1"/>
  <c r="K831" i="1" s="1"/>
  <c r="H831" i="1"/>
  <c r="G831" i="1"/>
  <c r="F831" i="1"/>
  <c r="E831" i="1"/>
  <c r="B831" i="1"/>
  <c r="S830" i="1"/>
  <c r="R830" i="1"/>
  <c r="Q830" i="1"/>
  <c r="P830" i="1"/>
  <c r="O830" i="1"/>
  <c r="N830" i="1"/>
  <c r="L830" i="1"/>
  <c r="I830" i="1"/>
  <c r="K830" i="1" s="1"/>
  <c r="H830" i="1"/>
  <c r="G830" i="1"/>
  <c r="F830" i="1"/>
  <c r="E830" i="1"/>
  <c r="B830" i="1"/>
  <c r="S829" i="1"/>
  <c r="R829" i="1"/>
  <c r="Q829" i="1"/>
  <c r="P829" i="1"/>
  <c r="O829" i="1"/>
  <c r="N829" i="1"/>
  <c r="L829" i="1"/>
  <c r="I829" i="1"/>
  <c r="K829" i="1" s="1"/>
  <c r="H829" i="1"/>
  <c r="G829" i="1"/>
  <c r="F829" i="1"/>
  <c r="E829" i="1"/>
  <c r="B829" i="1"/>
  <c r="S828" i="1"/>
  <c r="R828" i="1"/>
  <c r="Q828" i="1"/>
  <c r="P828" i="1"/>
  <c r="O828" i="1"/>
  <c r="N828" i="1"/>
  <c r="L828" i="1"/>
  <c r="I828" i="1"/>
  <c r="K828" i="1" s="1"/>
  <c r="H828" i="1"/>
  <c r="G828" i="1"/>
  <c r="F828" i="1"/>
  <c r="E828" i="1"/>
  <c r="B828" i="1"/>
  <c r="S827" i="1"/>
  <c r="R827" i="1"/>
  <c r="Q827" i="1"/>
  <c r="P827" i="1"/>
  <c r="O827" i="1"/>
  <c r="N827" i="1"/>
  <c r="L827" i="1"/>
  <c r="I827" i="1"/>
  <c r="K827" i="1" s="1"/>
  <c r="H827" i="1"/>
  <c r="G827" i="1"/>
  <c r="F827" i="1"/>
  <c r="E827" i="1"/>
  <c r="B827" i="1"/>
  <c r="S826" i="1"/>
  <c r="R826" i="1"/>
  <c r="Q826" i="1"/>
  <c r="P826" i="1"/>
  <c r="O826" i="1"/>
  <c r="N826" i="1"/>
  <c r="L826" i="1"/>
  <c r="I826" i="1"/>
  <c r="K826" i="1" s="1"/>
  <c r="H826" i="1"/>
  <c r="G826" i="1"/>
  <c r="F826" i="1"/>
  <c r="E826" i="1"/>
  <c r="B826" i="1"/>
  <c r="S825" i="1"/>
  <c r="R825" i="1"/>
  <c r="Q825" i="1"/>
  <c r="P825" i="1"/>
  <c r="O825" i="1"/>
  <c r="N825" i="1"/>
  <c r="L825" i="1"/>
  <c r="I825" i="1"/>
  <c r="K825" i="1" s="1"/>
  <c r="H825" i="1"/>
  <c r="G825" i="1"/>
  <c r="F825" i="1"/>
  <c r="E825" i="1"/>
  <c r="B825" i="1"/>
  <c r="S824" i="1"/>
  <c r="R824" i="1"/>
  <c r="Q824" i="1"/>
  <c r="P824" i="1"/>
  <c r="O824" i="1"/>
  <c r="N824" i="1"/>
  <c r="L824" i="1"/>
  <c r="I824" i="1"/>
  <c r="K824" i="1" s="1"/>
  <c r="H824" i="1"/>
  <c r="G824" i="1"/>
  <c r="F824" i="1"/>
  <c r="E824" i="1"/>
  <c r="B824" i="1"/>
  <c r="S823" i="1"/>
  <c r="R823" i="1"/>
  <c r="Q823" i="1"/>
  <c r="P823" i="1"/>
  <c r="O823" i="1"/>
  <c r="N823" i="1"/>
  <c r="L823" i="1"/>
  <c r="I823" i="1"/>
  <c r="K823" i="1" s="1"/>
  <c r="H823" i="1"/>
  <c r="G823" i="1"/>
  <c r="F823" i="1"/>
  <c r="E823" i="1"/>
  <c r="B823" i="1"/>
  <c r="S822" i="1"/>
  <c r="R822" i="1"/>
  <c r="Q822" i="1"/>
  <c r="P822" i="1"/>
  <c r="O822" i="1"/>
  <c r="N822" i="1"/>
  <c r="L822" i="1"/>
  <c r="I822" i="1"/>
  <c r="K822" i="1" s="1"/>
  <c r="H822" i="1"/>
  <c r="G822" i="1"/>
  <c r="F822" i="1"/>
  <c r="E822" i="1"/>
  <c r="B822" i="1"/>
  <c r="S821" i="1"/>
  <c r="R821" i="1"/>
  <c r="Q821" i="1"/>
  <c r="P821" i="1"/>
  <c r="O821" i="1"/>
  <c r="N821" i="1"/>
  <c r="L821" i="1"/>
  <c r="I821" i="1"/>
  <c r="K821" i="1" s="1"/>
  <c r="H821" i="1"/>
  <c r="G821" i="1"/>
  <c r="F821" i="1"/>
  <c r="E821" i="1"/>
  <c r="B821" i="1"/>
  <c r="S820" i="1"/>
  <c r="R820" i="1"/>
  <c r="Q820" i="1"/>
  <c r="P820" i="1"/>
  <c r="O820" i="1"/>
  <c r="N820" i="1"/>
  <c r="L820" i="1"/>
  <c r="I820" i="1"/>
  <c r="K820" i="1" s="1"/>
  <c r="H820" i="1"/>
  <c r="G820" i="1"/>
  <c r="F820" i="1"/>
  <c r="E820" i="1"/>
  <c r="B820" i="1"/>
  <c r="S819" i="1"/>
  <c r="R819" i="1"/>
  <c r="Q819" i="1"/>
  <c r="P819" i="1"/>
  <c r="O819" i="1"/>
  <c r="N819" i="1"/>
  <c r="L819" i="1"/>
  <c r="I819" i="1"/>
  <c r="K819" i="1" s="1"/>
  <c r="H819" i="1"/>
  <c r="G819" i="1"/>
  <c r="F819" i="1"/>
  <c r="E819" i="1"/>
  <c r="B819" i="1"/>
  <c r="S818" i="1"/>
  <c r="R818" i="1"/>
  <c r="Q818" i="1"/>
  <c r="P818" i="1"/>
  <c r="O818" i="1"/>
  <c r="N818" i="1"/>
  <c r="L818" i="1"/>
  <c r="I818" i="1"/>
  <c r="K818" i="1" s="1"/>
  <c r="H818" i="1"/>
  <c r="G818" i="1"/>
  <c r="F818" i="1"/>
  <c r="E818" i="1"/>
  <c r="B818" i="1"/>
  <c r="S817" i="1"/>
  <c r="R817" i="1"/>
  <c r="Q817" i="1"/>
  <c r="P817" i="1"/>
  <c r="O817" i="1"/>
  <c r="N817" i="1"/>
  <c r="L817" i="1"/>
  <c r="I817" i="1"/>
  <c r="K817" i="1" s="1"/>
  <c r="H817" i="1"/>
  <c r="G817" i="1"/>
  <c r="F817" i="1"/>
  <c r="E817" i="1"/>
  <c r="B817" i="1"/>
  <c r="S816" i="1"/>
  <c r="R816" i="1"/>
  <c r="Q816" i="1"/>
  <c r="P816" i="1"/>
  <c r="O816" i="1"/>
  <c r="N816" i="1"/>
  <c r="L816" i="1"/>
  <c r="I816" i="1"/>
  <c r="K816" i="1" s="1"/>
  <c r="H816" i="1"/>
  <c r="G816" i="1"/>
  <c r="F816" i="1"/>
  <c r="E816" i="1"/>
  <c r="B816" i="1"/>
  <c r="S815" i="1"/>
  <c r="R815" i="1"/>
  <c r="Q815" i="1"/>
  <c r="P815" i="1"/>
  <c r="O815" i="1"/>
  <c r="N815" i="1"/>
  <c r="L815" i="1"/>
  <c r="I815" i="1"/>
  <c r="K815" i="1" s="1"/>
  <c r="H815" i="1"/>
  <c r="G815" i="1"/>
  <c r="F815" i="1"/>
  <c r="E815" i="1"/>
  <c r="B815" i="1"/>
  <c r="S814" i="1"/>
  <c r="R814" i="1"/>
  <c r="Q814" i="1"/>
  <c r="P814" i="1"/>
  <c r="O814" i="1"/>
  <c r="N814" i="1"/>
  <c r="L814" i="1"/>
  <c r="K814" i="1"/>
  <c r="I814" i="1"/>
  <c r="H814" i="1"/>
  <c r="G814" i="1"/>
  <c r="F814" i="1"/>
  <c r="E814" i="1"/>
  <c r="B814" i="1"/>
  <c r="S813" i="1"/>
  <c r="R813" i="1"/>
  <c r="Q813" i="1"/>
  <c r="P813" i="1"/>
  <c r="O813" i="1"/>
  <c r="N813" i="1"/>
  <c r="L813" i="1"/>
  <c r="I813" i="1"/>
  <c r="K813" i="1" s="1"/>
  <c r="H813" i="1"/>
  <c r="G813" i="1"/>
  <c r="F813" i="1"/>
  <c r="E813" i="1"/>
  <c r="B813" i="1"/>
  <c r="S812" i="1"/>
  <c r="R812" i="1"/>
  <c r="Q812" i="1"/>
  <c r="P812" i="1"/>
  <c r="O812" i="1"/>
  <c r="N812" i="1"/>
  <c r="L812" i="1"/>
  <c r="I812" i="1"/>
  <c r="K812" i="1" s="1"/>
  <c r="H812" i="1"/>
  <c r="G812" i="1"/>
  <c r="F812" i="1"/>
  <c r="E812" i="1"/>
  <c r="B812" i="1"/>
  <c r="S811" i="1"/>
  <c r="R811" i="1"/>
  <c r="Q811" i="1"/>
  <c r="P811" i="1"/>
  <c r="O811" i="1"/>
  <c r="N811" i="1"/>
  <c r="L811" i="1"/>
  <c r="I811" i="1"/>
  <c r="K811" i="1" s="1"/>
  <c r="H811" i="1"/>
  <c r="G811" i="1"/>
  <c r="F811" i="1"/>
  <c r="E811" i="1"/>
  <c r="B811" i="1"/>
  <c r="S810" i="1"/>
  <c r="R810" i="1"/>
  <c r="Q810" i="1"/>
  <c r="P810" i="1"/>
  <c r="O810" i="1"/>
  <c r="N810" i="1"/>
  <c r="L810" i="1"/>
  <c r="I810" i="1"/>
  <c r="K810" i="1" s="1"/>
  <c r="H810" i="1"/>
  <c r="G810" i="1"/>
  <c r="F810" i="1"/>
  <c r="E810" i="1"/>
  <c r="B810" i="1"/>
  <c r="S809" i="1"/>
  <c r="R809" i="1"/>
  <c r="Q809" i="1"/>
  <c r="P809" i="1"/>
  <c r="O809" i="1"/>
  <c r="N809" i="1"/>
  <c r="L809" i="1"/>
  <c r="I809" i="1"/>
  <c r="K809" i="1" s="1"/>
  <c r="H809" i="1"/>
  <c r="G809" i="1"/>
  <c r="F809" i="1"/>
  <c r="E809" i="1"/>
  <c r="B809" i="1"/>
  <c r="S808" i="1"/>
  <c r="R808" i="1"/>
  <c r="Q808" i="1"/>
  <c r="P808" i="1"/>
  <c r="O808" i="1"/>
  <c r="N808" i="1"/>
  <c r="L808" i="1"/>
  <c r="I808" i="1"/>
  <c r="K808" i="1" s="1"/>
  <c r="H808" i="1"/>
  <c r="G808" i="1"/>
  <c r="F808" i="1"/>
  <c r="E808" i="1"/>
  <c r="B808" i="1"/>
  <c r="S807" i="1"/>
  <c r="R807" i="1"/>
  <c r="Q807" i="1"/>
  <c r="P807" i="1"/>
  <c r="O807" i="1"/>
  <c r="N807" i="1"/>
  <c r="L807" i="1"/>
  <c r="I807" i="1"/>
  <c r="K807" i="1" s="1"/>
  <c r="H807" i="1"/>
  <c r="G807" i="1"/>
  <c r="F807" i="1"/>
  <c r="E807" i="1"/>
  <c r="B807" i="1"/>
  <c r="S806" i="1"/>
  <c r="R806" i="1"/>
  <c r="Q806" i="1"/>
  <c r="P806" i="1"/>
  <c r="O806" i="1"/>
  <c r="N806" i="1"/>
  <c r="L806" i="1"/>
  <c r="I806" i="1"/>
  <c r="K806" i="1" s="1"/>
  <c r="H806" i="1"/>
  <c r="G806" i="1"/>
  <c r="F806" i="1"/>
  <c r="E806" i="1"/>
  <c r="B806" i="1"/>
  <c r="S805" i="1"/>
  <c r="R805" i="1"/>
  <c r="Q805" i="1"/>
  <c r="P805" i="1"/>
  <c r="O805" i="1"/>
  <c r="N805" i="1"/>
  <c r="L805" i="1"/>
  <c r="I805" i="1"/>
  <c r="K805" i="1" s="1"/>
  <c r="H805" i="1"/>
  <c r="G805" i="1"/>
  <c r="F805" i="1"/>
  <c r="E805" i="1"/>
  <c r="B805" i="1"/>
  <c r="S804" i="1"/>
  <c r="R804" i="1"/>
  <c r="Q804" i="1"/>
  <c r="P804" i="1"/>
  <c r="O804" i="1"/>
  <c r="N804" i="1"/>
  <c r="L804" i="1"/>
  <c r="I804" i="1"/>
  <c r="K804" i="1" s="1"/>
  <c r="H804" i="1"/>
  <c r="G804" i="1"/>
  <c r="F804" i="1"/>
  <c r="E804" i="1"/>
  <c r="B804" i="1"/>
  <c r="S803" i="1"/>
  <c r="R803" i="1"/>
  <c r="Q803" i="1"/>
  <c r="P803" i="1"/>
  <c r="O803" i="1"/>
  <c r="N803" i="1"/>
  <c r="L803" i="1"/>
  <c r="I803" i="1"/>
  <c r="K803" i="1" s="1"/>
  <c r="H803" i="1"/>
  <c r="G803" i="1"/>
  <c r="F803" i="1"/>
  <c r="E803" i="1"/>
  <c r="B803" i="1"/>
  <c r="S802" i="1"/>
  <c r="R802" i="1"/>
  <c r="Q802" i="1"/>
  <c r="P802" i="1"/>
  <c r="O802" i="1"/>
  <c r="N802" i="1"/>
  <c r="L802" i="1"/>
  <c r="I802" i="1"/>
  <c r="K802" i="1" s="1"/>
  <c r="H802" i="1"/>
  <c r="G802" i="1"/>
  <c r="F802" i="1"/>
  <c r="E802" i="1"/>
  <c r="B802" i="1"/>
  <c r="S801" i="1"/>
  <c r="R801" i="1"/>
  <c r="Q801" i="1"/>
  <c r="P801" i="1"/>
  <c r="O801" i="1"/>
  <c r="N801" i="1"/>
  <c r="L801" i="1"/>
  <c r="I801" i="1"/>
  <c r="K801" i="1" s="1"/>
  <c r="H801" i="1"/>
  <c r="G801" i="1"/>
  <c r="F801" i="1"/>
  <c r="E801" i="1"/>
  <c r="B801" i="1"/>
  <c r="S800" i="1"/>
  <c r="R800" i="1"/>
  <c r="Q800" i="1"/>
  <c r="P800" i="1"/>
  <c r="O800" i="1"/>
  <c r="N800" i="1"/>
  <c r="L800" i="1"/>
  <c r="I800" i="1"/>
  <c r="K800" i="1" s="1"/>
  <c r="H800" i="1"/>
  <c r="G800" i="1"/>
  <c r="F800" i="1"/>
  <c r="E800" i="1"/>
  <c r="B800" i="1"/>
  <c r="S799" i="1"/>
  <c r="R799" i="1"/>
  <c r="Q799" i="1"/>
  <c r="P799" i="1"/>
  <c r="O799" i="1"/>
  <c r="N799" i="1"/>
  <c r="L799" i="1"/>
  <c r="I799" i="1"/>
  <c r="K799" i="1" s="1"/>
  <c r="H799" i="1"/>
  <c r="G799" i="1"/>
  <c r="F799" i="1"/>
  <c r="E799" i="1"/>
  <c r="B799" i="1"/>
  <c r="S798" i="1"/>
  <c r="R798" i="1"/>
  <c r="Q798" i="1"/>
  <c r="P798" i="1"/>
  <c r="O798" i="1"/>
  <c r="N798" i="1"/>
  <c r="L798" i="1"/>
  <c r="I798" i="1"/>
  <c r="K798" i="1" s="1"/>
  <c r="H798" i="1"/>
  <c r="G798" i="1"/>
  <c r="F798" i="1"/>
  <c r="E798" i="1"/>
  <c r="B798" i="1"/>
  <c r="S797" i="1"/>
  <c r="R797" i="1"/>
  <c r="Q797" i="1"/>
  <c r="P797" i="1"/>
  <c r="O797" i="1"/>
  <c r="N797" i="1"/>
  <c r="L797" i="1"/>
  <c r="I797" i="1"/>
  <c r="K797" i="1" s="1"/>
  <c r="H797" i="1"/>
  <c r="G797" i="1"/>
  <c r="F797" i="1"/>
  <c r="E797" i="1"/>
  <c r="B797" i="1"/>
  <c r="S796" i="1"/>
  <c r="R796" i="1"/>
  <c r="Q796" i="1"/>
  <c r="P796" i="1"/>
  <c r="O796" i="1"/>
  <c r="N796" i="1"/>
  <c r="L796" i="1"/>
  <c r="I796" i="1"/>
  <c r="K796" i="1" s="1"/>
  <c r="H796" i="1"/>
  <c r="G796" i="1"/>
  <c r="F796" i="1"/>
  <c r="E796" i="1"/>
  <c r="B796" i="1"/>
  <c r="S795" i="1"/>
  <c r="R795" i="1"/>
  <c r="Q795" i="1"/>
  <c r="P795" i="1"/>
  <c r="O795" i="1"/>
  <c r="N795" i="1"/>
  <c r="L795" i="1"/>
  <c r="I795" i="1"/>
  <c r="K795" i="1" s="1"/>
  <c r="H795" i="1"/>
  <c r="G795" i="1"/>
  <c r="F795" i="1"/>
  <c r="E795" i="1"/>
  <c r="B795" i="1"/>
  <c r="S794" i="1"/>
  <c r="R794" i="1"/>
  <c r="Q794" i="1"/>
  <c r="P794" i="1"/>
  <c r="O794" i="1"/>
  <c r="N794" i="1"/>
  <c r="L794" i="1"/>
  <c r="I794" i="1"/>
  <c r="K794" i="1" s="1"/>
  <c r="H794" i="1"/>
  <c r="G794" i="1"/>
  <c r="F794" i="1"/>
  <c r="E794" i="1"/>
  <c r="B794" i="1"/>
  <c r="S793" i="1"/>
  <c r="R793" i="1"/>
  <c r="Q793" i="1"/>
  <c r="P793" i="1"/>
  <c r="O793" i="1"/>
  <c r="N793" i="1"/>
  <c r="L793" i="1"/>
  <c r="I793" i="1"/>
  <c r="K793" i="1" s="1"/>
  <c r="H793" i="1"/>
  <c r="G793" i="1"/>
  <c r="F793" i="1"/>
  <c r="E793" i="1"/>
  <c r="B793" i="1"/>
  <c r="S792" i="1"/>
  <c r="R792" i="1"/>
  <c r="Q792" i="1"/>
  <c r="P792" i="1"/>
  <c r="O792" i="1"/>
  <c r="N792" i="1"/>
  <c r="L792" i="1"/>
  <c r="I792" i="1"/>
  <c r="K792" i="1" s="1"/>
  <c r="H792" i="1"/>
  <c r="G792" i="1"/>
  <c r="F792" i="1"/>
  <c r="E792" i="1"/>
  <c r="B792" i="1"/>
  <c r="S791" i="1"/>
  <c r="R791" i="1"/>
  <c r="Q791" i="1"/>
  <c r="P791" i="1"/>
  <c r="O791" i="1"/>
  <c r="N791" i="1"/>
  <c r="L791" i="1"/>
  <c r="I791" i="1"/>
  <c r="K791" i="1" s="1"/>
  <c r="H791" i="1"/>
  <c r="G791" i="1"/>
  <c r="F791" i="1"/>
  <c r="E791" i="1"/>
  <c r="B791" i="1"/>
  <c r="S790" i="1"/>
  <c r="R790" i="1"/>
  <c r="Q790" i="1"/>
  <c r="P790" i="1"/>
  <c r="O790" i="1"/>
  <c r="N790" i="1"/>
  <c r="L790" i="1"/>
  <c r="I790" i="1"/>
  <c r="K790" i="1" s="1"/>
  <c r="H790" i="1"/>
  <c r="G790" i="1"/>
  <c r="F790" i="1"/>
  <c r="E790" i="1"/>
  <c r="B790" i="1"/>
  <c r="S789" i="1"/>
  <c r="R789" i="1"/>
  <c r="Q789" i="1"/>
  <c r="P789" i="1"/>
  <c r="O789" i="1"/>
  <c r="N789" i="1"/>
  <c r="L789" i="1"/>
  <c r="I789" i="1"/>
  <c r="K789" i="1" s="1"/>
  <c r="H789" i="1"/>
  <c r="G789" i="1"/>
  <c r="F789" i="1"/>
  <c r="E789" i="1"/>
  <c r="B789" i="1"/>
  <c r="S788" i="1"/>
  <c r="R788" i="1"/>
  <c r="Q788" i="1"/>
  <c r="P788" i="1"/>
  <c r="O788" i="1"/>
  <c r="N788" i="1"/>
  <c r="L788" i="1"/>
  <c r="I788" i="1"/>
  <c r="K788" i="1" s="1"/>
  <c r="H788" i="1"/>
  <c r="G788" i="1"/>
  <c r="F788" i="1"/>
  <c r="E788" i="1"/>
  <c r="B788" i="1"/>
  <c r="S787" i="1"/>
  <c r="R787" i="1"/>
  <c r="Q787" i="1"/>
  <c r="P787" i="1"/>
  <c r="O787" i="1"/>
  <c r="N787" i="1"/>
  <c r="L787" i="1"/>
  <c r="I787" i="1"/>
  <c r="K787" i="1" s="1"/>
  <c r="H787" i="1"/>
  <c r="G787" i="1"/>
  <c r="F787" i="1"/>
  <c r="E787" i="1"/>
  <c r="B787" i="1"/>
  <c r="S786" i="1"/>
  <c r="R786" i="1"/>
  <c r="Q786" i="1"/>
  <c r="P786" i="1"/>
  <c r="O786" i="1"/>
  <c r="N786" i="1"/>
  <c r="L786" i="1"/>
  <c r="I786" i="1"/>
  <c r="K786" i="1" s="1"/>
  <c r="H786" i="1"/>
  <c r="G786" i="1"/>
  <c r="F786" i="1"/>
  <c r="E786" i="1"/>
  <c r="B786" i="1"/>
  <c r="S785" i="1"/>
  <c r="R785" i="1"/>
  <c r="Q785" i="1"/>
  <c r="P785" i="1"/>
  <c r="O785" i="1"/>
  <c r="N785" i="1"/>
  <c r="L785" i="1"/>
  <c r="I785" i="1"/>
  <c r="K785" i="1" s="1"/>
  <c r="H785" i="1"/>
  <c r="G785" i="1"/>
  <c r="F785" i="1"/>
  <c r="E785" i="1"/>
  <c r="B785" i="1"/>
  <c r="S784" i="1"/>
  <c r="R784" i="1"/>
  <c r="Q784" i="1"/>
  <c r="P784" i="1"/>
  <c r="O784" i="1"/>
  <c r="N784" i="1"/>
  <c r="L784" i="1"/>
  <c r="I784" i="1"/>
  <c r="K784" i="1" s="1"/>
  <c r="H784" i="1"/>
  <c r="G784" i="1"/>
  <c r="F784" i="1"/>
  <c r="E784" i="1"/>
  <c r="B784" i="1"/>
  <c r="S783" i="1"/>
  <c r="R783" i="1"/>
  <c r="Q783" i="1"/>
  <c r="P783" i="1"/>
  <c r="O783" i="1"/>
  <c r="N783" i="1"/>
  <c r="L783" i="1"/>
  <c r="I783" i="1"/>
  <c r="K783" i="1" s="1"/>
  <c r="H783" i="1"/>
  <c r="G783" i="1"/>
  <c r="F783" i="1"/>
  <c r="E783" i="1"/>
  <c r="B783" i="1"/>
  <c r="S782" i="1"/>
  <c r="R782" i="1"/>
  <c r="Q782" i="1"/>
  <c r="P782" i="1"/>
  <c r="O782" i="1"/>
  <c r="N782" i="1"/>
  <c r="L782" i="1"/>
  <c r="K782" i="1"/>
  <c r="I782" i="1"/>
  <c r="H782" i="1"/>
  <c r="G782" i="1"/>
  <c r="F782" i="1"/>
  <c r="E782" i="1"/>
  <c r="B782" i="1"/>
  <c r="S781" i="1"/>
  <c r="R781" i="1"/>
  <c r="Q781" i="1"/>
  <c r="P781" i="1"/>
  <c r="O781" i="1"/>
  <c r="N781" i="1"/>
  <c r="L781" i="1"/>
  <c r="I781" i="1"/>
  <c r="K781" i="1" s="1"/>
  <c r="H781" i="1"/>
  <c r="G781" i="1"/>
  <c r="F781" i="1"/>
  <c r="E781" i="1"/>
  <c r="B781" i="1"/>
  <c r="S780" i="1"/>
  <c r="R780" i="1"/>
  <c r="Q780" i="1"/>
  <c r="P780" i="1"/>
  <c r="O780" i="1"/>
  <c r="N780" i="1"/>
  <c r="L780" i="1"/>
  <c r="I780" i="1"/>
  <c r="K780" i="1" s="1"/>
  <c r="H780" i="1"/>
  <c r="G780" i="1"/>
  <c r="F780" i="1"/>
  <c r="E780" i="1"/>
  <c r="B780" i="1"/>
  <c r="S779" i="1"/>
  <c r="R779" i="1"/>
  <c r="Q779" i="1"/>
  <c r="P779" i="1"/>
  <c r="O779" i="1"/>
  <c r="N779" i="1"/>
  <c r="L779" i="1"/>
  <c r="I779" i="1"/>
  <c r="K779" i="1" s="1"/>
  <c r="H779" i="1"/>
  <c r="G779" i="1"/>
  <c r="F779" i="1"/>
  <c r="E779" i="1"/>
  <c r="B779" i="1"/>
  <c r="S778" i="1"/>
  <c r="R778" i="1"/>
  <c r="Q778" i="1"/>
  <c r="P778" i="1"/>
  <c r="O778" i="1"/>
  <c r="N778" i="1"/>
  <c r="L778" i="1"/>
  <c r="I778" i="1"/>
  <c r="K778" i="1" s="1"/>
  <c r="H778" i="1"/>
  <c r="G778" i="1"/>
  <c r="F778" i="1"/>
  <c r="E778" i="1"/>
  <c r="B778" i="1"/>
  <c r="S777" i="1"/>
  <c r="R777" i="1"/>
  <c r="Q777" i="1"/>
  <c r="P777" i="1"/>
  <c r="O777" i="1"/>
  <c r="N777" i="1"/>
  <c r="L777" i="1"/>
  <c r="I777" i="1"/>
  <c r="K777" i="1" s="1"/>
  <c r="H777" i="1"/>
  <c r="G777" i="1"/>
  <c r="F777" i="1"/>
  <c r="E777" i="1"/>
  <c r="B777" i="1"/>
  <c r="S776" i="1"/>
  <c r="R776" i="1"/>
  <c r="Q776" i="1"/>
  <c r="P776" i="1"/>
  <c r="O776" i="1"/>
  <c r="N776" i="1"/>
  <c r="L776" i="1"/>
  <c r="I776" i="1"/>
  <c r="K776" i="1" s="1"/>
  <c r="H776" i="1"/>
  <c r="G776" i="1"/>
  <c r="F776" i="1"/>
  <c r="E776" i="1"/>
  <c r="B776" i="1"/>
  <c r="S775" i="1"/>
  <c r="R775" i="1"/>
  <c r="Q775" i="1"/>
  <c r="P775" i="1"/>
  <c r="O775" i="1"/>
  <c r="N775" i="1"/>
  <c r="L775" i="1"/>
  <c r="I775" i="1"/>
  <c r="K775" i="1" s="1"/>
  <c r="H775" i="1"/>
  <c r="G775" i="1"/>
  <c r="F775" i="1"/>
  <c r="E775" i="1"/>
  <c r="B775" i="1"/>
  <c r="S774" i="1"/>
  <c r="R774" i="1"/>
  <c r="Q774" i="1"/>
  <c r="P774" i="1"/>
  <c r="O774" i="1"/>
  <c r="N774" i="1"/>
  <c r="L774" i="1"/>
  <c r="I774" i="1"/>
  <c r="K774" i="1" s="1"/>
  <c r="H774" i="1"/>
  <c r="G774" i="1"/>
  <c r="F774" i="1"/>
  <c r="E774" i="1"/>
  <c r="B774" i="1"/>
  <c r="S773" i="1"/>
  <c r="R773" i="1"/>
  <c r="Q773" i="1"/>
  <c r="P773" i="1"/>
  <c r="O773" i="1"/>
  <c r="N773" i="1"/>
  <c r="L773" i="1"/>
  <c r="I773" i="1"/>
  <c r="K773" i="1" s="1"/>
  <c r="H773" i="1"/>
  <c r="G773" i="1"/>
  <c r="F773" i="1"/>
  <c r="E773" i="1"/>
  <c r="B773" i="1"/>
  <c r="S772" i="1"/>
  <c r="R772" i="1"/>
  <c r="Q772" i="1"/>
  <c r="P772" i="1"/>
  <c r="O772" i="1"/>
  <c r="N772" i="1"/>
  <c r="L772" i="1"/>
  <c r="I772" i="1"/>
  <c r="K772" i="1" s="1"/>
  <c r="H772" i="1"/>
  <c r="G772" i="1"/>
  <c r="F772" i="1"/>
  <c r="E772" i="1"/>
  <c r="B772" i="1"/>
  <c r="S771" i="1"/>
  <c r="R771" i="1"/>
  <c r="Q771" i="1"/>
  <c r="P771" i="1"/>
  <c r="O771" i="1"/>
  <c r="N771" i="1"/>
  <c r="L771" i="1"/>
  <c r="I771" i="1"/>
  <c r="K771" i="1" s="1"/>
  <c r="H771" i="1"/>
  <c r="G771" i="1"/>
  <c r="F771" i="1"/>
  <c r="E771" i="1"/>
  <c r="B771" i="1"/>
  <c r="S770" i="1"/>
  <c r="R770" i="1"/>
  <c r="Q770" i="1"/>
  <c r="P770" i="1"/>
  <c r="O770" i="1"/>
  <c r="N770" i="1"/>
  <c r="L770" i="1"/>
  <c r="I770" i="1"/>
  <c r="K770" i="1" s="1"/>
  <c r="H770" i="1"/>
  <c r="G770" i="1"/>
  <c r="F770" i="1"/>
  <c r="E770" i="1"/>
  <c r="B770" i="1"/>
  <c r="S769" i="1"/>
  <c r="R769" i="1"/>
  <c r="Q769" i="1"/>
  <c r="P769" i="1"/>
  <c r="O769" i="1"/>
  <c r="N769" i="1"/>
  <c r="L769" i="1"/>
  <c r="I769" i="1"/>
  <c r="K769" i="1" s="1"/>
  <c r="H769" i="1"/>
  <c r="G769" i="1"/>
  <c r="F769" i="1"/>
  <c r="E769" i="1"/>
  <c r="B769" i="1"/>
  <c r="S768" i="1"/>
  <c r="R768" i="1"/>
  <c r="Q768" i="1"/>
  <c r="P768" i="1"/>
  <c r="O768" i="1"/>
  <c r="N768" i="1"/>
  <c r="L768" i="1"/>
  <c r="I768" i="1"/>
  <c r="K768" i="1" s="1"/>
  <c r="H768" i="1"/>
  <c r="G768" i="1"/>
  <c r="F768" i="1"/>
  <c r="E768" i="1"/>
  <c r="B768" i="1"/>
  <c r="S767" i="1"/>
  <c r="R767" i="1"/>
  <c r="Q767" i="1"/>
  <c r="P767" i="1"/>
  <c r="O767" i="1"/>
  <c r="N767" i="1"/>
  <c r="L767" i="1"/>
  <c r="I767" i="1"/>
  <c r="K767" i="1" s="1"/>
  <c r="H767" i="1"/>
  <c r="G767" i="1"/>
  <c r="F767" i="1"/>
  <c r="E767" i="1"/>
  <c r="B767" i="1"/>
  <c r="S766" i="1"/>
  <c r="R766" i="1"/>
  <c r="Q766" i="1"/>
  <c r="P766" i="1"/>
  <c r="O766" i="1"/>
  <c r="N766" i="1"/>
  <c r="L766" i="1"/>
  <c r="I766" i="1"/>
  <c r="K766" i="1" s="1"/>
  <c r="H766" i="1"/>
  <c r="G766" i="1"/>
  <c r="F766" i="1"/>
  <c r="E766" i="1"/>
  <c r="B766" i="1"/>
  <c r="S765" i="1"/>
  <c r="R765" i="1"/>
  <c r="Q765" i="1"/>
  <c r="P765" i="1"/>
  <c r="O765" i="1"/>
  <c r="N765" i="1"/>
  <c r="L765" i="1"/>
  <c r="I765" i="1"/>
  <c r="K765" i="1" s="1"/>
  <c r="H765" i="1"/>
  <c r="G765" i="1"/>
  <c r="F765" i="1"/>
  <c r="E765" i="1"/>
  <c r="B765" i="1"/>
  <c r="S764" i="1"/>
  <c r="R764" i="1"/>
  <c r="Q764" i="1"/>
  <c r="P764" i="1"/>
  <c r="O764" i="1"/>
  <c r="N764" i="1"/>
  <c r="L764" i="1"/>
  <c r="I764" i="1"/>
  <c r="K764" i="1" s="1"/>
  <c r="H764" i="1"/>
  <c r="G764" i="1"/>
  <c r="F764" i="1"/>
  <c r="E764" i="1"/>
  <c r="B764" i="1"/>
  <c r="S763" i="1"/>
  <c r="R763" i="1"/>
  <c r="Q763" i="1"/>
  <c r="P763" i="1"/>
  <c r="O763" i="1"/>
  <c r="N763" i="1"/>
  <c r="L763" i="1"/>
  <c r="I763" i="1"/>
  <c r="K763" i="1" s="1"/>
  <c r="H763" i="1"/>
  <c r="G763" i="1"/>
  <c r="F763" i="1"/>
  <c r="E763" i="1"/>
  <c r="B763" i="1"/>
  <c r="S762" i="1"/>
  <c r="R762" i="1"/>
  <c r="Q762" i="1"/>
  <c r="P762" i="1"/>
  <c r="O762" i="1"/>
  <c r="N762" i="1"/>
  <c r="L762" i="1"/>
  <c r="I762" i="1"/>
  <c r="K762" i="1" s="1"/>
  <c r="H762" i="1"/>
  <c r="G762" i="1"/>
  <c r="F762" i="1"/>
  <c r="E762" i="1"/>
  <c r="B762" i="1"/>
  <c r="S761" i="1"/>
  <c r="R761" i="1"/>
  <c r="Q761" i="1"/>
  <c r="P761" i="1"/>
  <c r="O761" i="1"/>
  <c r="N761" i="1"/>
  <c r="L761" i="1"/>
  <c r="I761" i="1"/>
  <c r="K761" i="1" s="1"/>
  <c r="H761" i="1"/>
  <c r="G761" i="1"/>
  <c r="F761" i="1"/>
  <c r="E761" i="1"/>
  <c r="B761" i="1"/>
  <c r="S760" i="1"/>
  <c r="R760" i="1"/>
  <c r="Q760" i="1"/>
  <c r="P760" i="1"/>
  <c r="O760" i="1"/>
  <c r="N760" i="1"/>
  <c r="L760" i="1"/>
  <c r="I760" i="1"/>
  <c r="K760" i="1" s="1"/>
  <c r="H760" i="1"/>
  <c r="G760" i="1"/>
  <c r="F760" i="1"/>
  <c r="E760" i="1"/>
  <c r="B760" i="1"/>
  <c r="S759" i="1"/>
  <c r="R759" i="1"/>
  <c r="Q759" i="1"/>
  <c r="P759" i="1"/>
  <c r="O759" i="1"/>
  <c r="N759" i="1"/>
  <c r="L759" i="1"/>
  <c r="I759" i="1"/>
  <c r="K759" i="1" s="1"/>
  <c r="H759" i="1"/>
  <c r="G759" i="1"/>
  <c r="F759" i="1"/>
  <c r="E759" i="1"/>
  <c r="B759" i="1"/>
  <c r="S758" i="1"/>
  <c r="R758" i="1"/>
  <c r="Q758" i="1"/>
  <c r="P758" i="1"/>
  <c r="O758" i="1"/>
  <c r="N758" i="1"/>
  <c r="L758" i="1"/>
  <c r="I758" i="1"/>
  <c r="K758" i="1" s="1"/>
  <c r="H758" i="1"/>
  <c r="G758" i="1"/>
  <c r="F758" i="1"/>
  <c r="E758" i="1"/>
  <c r="B758" i="1"/>
  <c r="S757" i="1"/>
  <c r="R757" i="1"/>
  <c r="Q757" i="1"/>
  <c r="P757" i="1"/>
  <c r="O757" i="1"/>
  <c r="N757" i="1"/>
  <c r="L757" i="1"/>
  <c r="I757" i="1"/>
  <c r="K757" i="1" s="1"/>
  <c r="H757" i="1"/>
  <c r="G757" i="1"/>
  <c r="F757" i="1"/>
  <c r="E757" i="1"/>
  <c r="B757" i="1"/>
  <c r="S756" i="1"/>
  <c r="R756" i="1"/>
  <c r="Q756" i="1"/>
  <c r="P756" i="1"/>
  <c r="O756" i="1"/>
  <c r="N756" i="1"/>
  <c r="L756" i="1"/>
  <c r="I756" i="1"/>
  <c r="K756" i="1" s="1"/>
  <c r="H756" i="1"/>
  <c r="G756" i="1"/>
  <c r="F756" i="1"/>
  <c r="E756" i="1"/>
  <c r="B756" i="1"/>
  <c r="S755" i="1"/>
  <c r="R755" i="1"/>
  <c r="Q755" i="1"/>
  <c r="P755" i="1"/>
  <c r="O755" i="1"/>
  <c r="N755" i="1"/>
  <c r="L755" i="1"/>
  <c r="I755" i="1"/>
  <c r="K755" i="1" s="1"/>
  <c r="H755" i="1"/>
  <c r="G755" i="1"/>
  <c r="F755" i="1"/>
  <c r="E755" i="1"/>
  <c r="B755" i="1"/>
  <c r="S754" i="1"/>
  <c r="R754" i="1"/>
  <c r="Q754" i="1"/>
  <c r="P754" i="1"/>
  <c r="O754" i="1"/>
  <c r="N754" i="1"/>
  <c r="L754" i="1"/>
  <c r="I754" i="1"/>
  <c r="K754" i="1" s="1"/>
  <c r="H754" i="1"/>
  <c r="G754" i="1"/>
  <c r="F754" i="1"/>
  <c r="E754" i="1"/>
  <c r="B754" i="1"/>
  <c r="S753" i="1"/>
  <c r="R753" i="1"/>
  <c r="Q753" i="1"/>
  <c r="P753" i="1"/>
  <c r="O753" i="1"/>
  <c r="N753" i="1"/>
  <c r="L753" i="1"/>
  <c r="I753" i="1"/>
  <c r="K753" i="1" s="1"/>
  <c r="H753" i="1"/>
  <c r="G753" i="1"/>
  <c r="F753" i="1"/>
  <c r="E753" i="1"/>
  <c r="B753" i="1"/>
  <c r="S752" i="1"/>
  <c r="R752" i="1"/>
  <c r="Q752" i="1"/>
  <c r="P752" i="1"/>
  <c r="O752" i="1"/>
  <c r="N752" i="1"/>
  <c r="L752" i="1"/>
  <c r="I752" i="1"/>
  <c r="K752" i="1" s="1"/>
  <c r="H752" i="1"/>
  <c r="G752" i="1"/>
  <c r="F752" i="1"/>
  <c r="E752" i="1"/>
  <c r="B752" i="1"/>
  <c r="S751" i="1"/>
  <c r="R751" i="1"/>
  <c r="Q751" i="1"/>
  <c r="P751" i="1"/>
  <c r="O751" i="1"/>
  <c r="N751" i="1"/>
  <c r="L751" i="1"/>
  <c r="I751" i="1"/>
  <c r="K751" i="1" s="1"/>
  <c r="H751" i="1"/>
  <c r="G751" i="1"/>
  <c r="F751" i="1"/>
  <c r="E751" i="1"/>
  <c r="B751" i="1"/>
  <c r="S750" i="1"/>
  <c r="R750" i="1"/>
  <c r="Q750" i="1"/>
  <c r="P750" i="1"/>
  <c r="O750" i="1"/>
  <c r="N750" i="1"/>
  <c r="L750" i="1"/>
  <c r="K750" i="1"/>
  <c r="I750" i="1"/>
  <c r="H750" i="1"/>
  <c r="G750" i="1"/>
  <c r="F750" i="1"/>
  <c r="E750" i="1"/>
  <c r="B750" i="1"/>
  <c r="S749" i="1"/>
  <c r="R749" i="1"/>
  <c r="Q749" i="1"/>
  <c r="P749" i="1"/>
  <c r="O749" i="1"/>
  <c r="N749" i="1"/>
  <c r="L749" i="1"/>
  <c r="I749" i="1"/>
  <c r="K749" i="1" s="1"/>
  <c r="H749" i="1"/>
  <c r="G749" i="1"/>
  <c r="F749" i="1"/>
  <c r="E749" i="1"/>
  <c r="B749" i="1"/>
  <c r="S748" i="1"/>
  <c r="R748" i="1"/>
  <c r="Q748" i="1"/>
  <c r="P748" i="1"/>
  <c r="O748" i="1"/>
  <c r="N748" i="1"/>
  <c r="L748" i="1"/>
  <c r="I748" i="1"/>
  <c r="K748" i="1" s="1"/>
  <c r="H748" i="1"/>
  <c r="G748" i="1"/>
  <c r="F748" i="1"/>
  <c r="E748" i="1"/>
  <c r="B748" i="1"/>
  <c r="S747" i="1"/>
  <c r="R747" i="1"/>
  <c r="Q747" i="1"/>
  <c r="P747" i="1"/>
  <c r="O747" i="1"/>
  <c r="N747" i="1"/>
  <c r="L747" i="1"/>
  <c r="I747" i="1"/>
  <c r="K747" i="1" s="1"/>
  <c r="H747" i="1"/>
  <c r="G747" i="1"/>
  <c r="F747" i="1"/>
  <c r="E747" i="1"/>
  <c r="B747" i="1"/>
  <c r="S746" i="1"/>
  <c r="R746" i="1"/>
  <c r="Q746" i="1"/>
  <c r="P746" i="1"/>
  <c r="O746" i="1"/>
  <c r="N746" i="1"/>
  <c r="L746" i="1"/>
  <c r="I746" i="1"/>
  <c r="K746" i="1" s="1"/>
  <c r="H746" i="1"/>
  <c r="G746" i="1"/>
  <c r="F746" i="1"/>
  <c r="E746" i="1"/>
  <c r="B746" i="1"/>
  <c r="S745" i="1"/>
  <c r="R745" i="1"/>
  <c r="Q745" i="1"/>
  <c r="P745" i="1"/>
  <c r="O745" i="1"/>
  <c r="N745" i="1"/>
  <c r="L745" i="1"/>
  <c r="I745" i="1"/>
  <c r="K745" i="1" s="1"/>
  <c r="H745" i="1"/>
  <c r="G745" i="1"/>
  <c r="F745" i="1"/>
  <c r="E745" i="1"/>
  <c r="B745" i="1"/>
  <c r="S744" i="1"/>
  <c r="R744" i="1"/>
  <c r="Q744" i="1"/>
  <c r="P744" i="1"/>
  <c r="O744" i="1"/>
  <c r="N744" i="1"/>
  <c r="L744" i="1"/>
  <c r="I744" i="1"/>
  <c r="K744" i="1" s="1"/>
  <c r="H744" i="1"/>
  <c r="G744" i="1"/>
  <c r="F744" i="1"/>
  <c r="E744" i="1"/>
  <c r="B744" i="1"/>
  <c r="S743" i="1"/>
  <c r="R743" i="1"/>
  <c r="Q743" i="1"/>
  <c r="P743" i="1"/>
  <c r="O743" i="1"/>
  <c r="N743" i="1"/>
  <c r="L743" i="1"/>
  <c r="I743" i="1"/>
  <c r="K743" i="1" s="1"/>
  <c r="H743" i="1"/>
  <c r="G743" i="1"/>
  <c r="F743" i="1"/>
  <c r="E743" i="1"/>
  <c r="B743" i="1"/>
  <c r="S742" i="1"/>
  <c r="R742" i="1"/>
  <c r="Q742" i="1"/>
  <c r="P742" i="1"/>
  <c r="O742" i="1"/>
  <c r="N742" i="1"/>
  <c r="L742" i="1"/>
  <c r="I742" i="1"/>
  <c r="K742" i="1" s="1"/>
  <c r="H742" i="1"/>
  <c r="G742" i="1"/>
  <c r="F742" i="1"/>
  <c r="E742" i="1"/>
  <c r="B742" i="1"/>
  <c r="S741" i="1"/>
  <c r="R741" i="1"/>
  <c r="Q741" i="1"/>
  <c r="P741" i="1"/>
  <c r="O741" i="1"/>
  <c r="N741" i="1"/>
  <c r="L741" i="1"/>
  <c r="I741" i="1"/>
  <c r="K741" i="1" s="1"/>
  <c r="H741" i="1"/>
  <c r="G741" i="1"/>
  <c r="F741" i="1"/>
  <c r="E741" i="1"/>
  <c r="B741" i="1"/>
  <c r="S740" i="1"/>
  <c r="R740" i="1"/>
  <c r="Q740" i="1"/>
  <c r="P740" i="1"/>
  <c r="O740" i="1"/>
  <c r="N740" i="1"/>
  <c r="L740" i="1"/>
  <c r="I740" i="1"/>
  <c r="K740" i="1" s="1"/>
  <c r="H740" i="1"/>
  <c r="G740" i="1"/>
  <c r="F740" i="1"/>
  <c r="E740" i="1"/>
  <c r="B740" i="1"/>
  <c r="S739" i="1"/>
  <c r="R739" i="1"/>
  <c r="Q739" i="1"/>
  <c r="P739" i="1"/>
  <c r="O739" i="1"/>
  <c r="N739" i="1"/>
  <c r="L739" i="1"/>
  <c r="I739" i="1"/>
  <c r="K739" i="1" s="1"/>
  <c r="H739" i="1"/>
  <c r="G739" i="1"/>
  <c r="F739" i="1"/>
  <c r="E739" i="1"/>
  <c r="B739" i="1"/>
  <c r="S738" i="1"/>
  <c r="R738" i="1"/>
  <c r="Q738" i="1"/>
  <c r="P738" i="1"/>
  <c r="O738" i="1"/>
  <c r="N738" i="1"/>
  <c r="L738" i="1"/>
  <c r="I738" i="1"/>
  <c r="K738" i="1" s="1"/>
  <c r="H738" i="1"/>
  <c r="G738" i="1"/>
  <c r="F738" i="1"/>
  <c r="E738" i="1"/>
  <c r="B738" i="1"/>
  <c r="S737" i="1"/>
  <c r="R737" i="1"/>
  <c r="Q737" i="1"/>
  <c r="P737" i="1"/>
  <c r="O737" i="1"/>
  <c r="N737" i="1"/>
  <c r="L737" i="1"/>
  <c r="I737" i="1"/>
  <c r="K737" i="1" s="1"/>
  <c r="H737" i="1"/>
  <c r="G737" i="1"/>
  <c r="F737" i="1"/>
  <c r="E737" i="1"/>
  <c r="B737" i="1"/>
  <c r="S736" i="1"/>
  <c r="R736" i="1"/>
  <c r="Q736" i="1"/>
  <c r="P736" i="1"/>
  <c r="O736" i="1"/>
  <c r="N736" i="1"/>
  <c r="L736" i="1"/>
  <c r="I736" i="1"/>
  <c r="K736" i="1" s="1"/>
  <c r="H736" i="1"/>
  <c r="G736" i="1"/>
  <c r="F736" i="1"/>
  <c r="E736" i="1"/>
  <c r="B736" i="1"/>
  <c r="S735" i="1"/>
  <c r="R735" i="1"/>
  <c r="Q735" i="1"/>
  <c r="P735" i="1"/>
  <c r="O735" i="1"/>
  <c r="N735" i="1"/>
  <c r="L735" i="1"/>
  <c r="I735" i="1"/>
  <c r="K735" i="1" s="1"/>
  <c r="H735" i="1"/>
  <c r="G735" i="1"/>
  <c r="F735" i="1"/>
  <c r="E735" i="1"/>
  <c r="B735" i="1"/>
  <c r="S734" i="1"/>
  <c r="R734" i="1"/>
  <c r="Q734" i="1"/>
  <c r="P734" i="1"/>
  <c r="O734" i="1"/>
  <c r="N734" i="1"/>
  <c r="L734" i="1"/>
  <c r="I734" i="1"/>
  <c r="K734" i="1" s="1"/>
  <c r="H734" i="1"/>
  <c r="G734" i="1"/>
  <c r="F734" i="1"/>
  <c r="E734" i="1"/>
  <c r="B734" i="1"/>
  <c r="S733" i="1"/>
  <c r="R733" i="1"/>
  <c r="Q733" i="1"/>
  <c r="P733" i="1"/>
  <c r="O733" i="1"/>
  <c r="N733" i="1"/>
  <c r="L733" i="1"/>
  <c r="I733" i="1"/>
  <c r="K733" i="1" s="1"/>
  <c r="H733" i="1"/>
  <c r="G733" i="1"/>
  <c r="F733" i="1"/>
  <c r="E733" i="1"/>
  <c r="B733" i="1"/>
  <c r="S732" i="1"/>
  <c r="R732" i="1"/>
  <c r="Q732" i="1"/>
  <c r="P732" i="1"/>
  <c r="O732" i="1"/>
  <c r="N732" i="1"/>
  <c r="L732" i="1"/>
  <c r="I732" i="1"/>
  <c r="K732" i="1" s="1"/>
  <c r="H732" i="1"/>
  <c r="G732" i="1"/>
  <c r="F732" i="1"/>
  <c r="E732" i="1"/>
  <c r="B732" i="1"/>
  <c r="S731" i="1"/>
  <c r="R731" i="1"/>
  <c r="Q731" i="1"/>
  <c r="P731" i="1"/>
  <c r="O731" i="1"/>
  <c r="N731" i="1"/>
  <c r="L731" i="1"/>
  <c r="I731" i="1"/>
  <c r="K731" i="1" s="1"/>
  <c r="H731" i="1"/>
  <c r="G731" i="1"/>
  <c r="F731" i="1"/>
  <c r="E731" i="1"/>
  <c r="B731" i="1"/>
  <c r="S730" i="1"/>
  <c r="R730" i="1"/>
  <c r="Q730" i="1"/>
  <c r="P730" i="1"/>
  <c r="O730" i="1"/>
  <c r="N730" i="1"/>
  <c r="L730" i="1"/>
  <c r="I730" i="1"/>
  <c r="K730" i="1" s="1"/>
  <c r="H730" i="1"/>
  <c r="G730" i="1"/>
  <c r="F730" i="1"/>
  <c r="E730" i="1"/>
  <c r="B730" i="1"/>
  <c r="S729" i="1"/>
  <c r="R729" i="1"/>
  <c r="Q729" i="1"/>
  <c r="P729" i="1"/>
  <c r="O729" i="1"/>
  <c r="N729" i="1"/>
  <c r="L729" i="1"/>
  <c r="I729" i="1"/>
  <c r="K729" i="1" s="1"/>
  <c r="H729" i="1"/>
  <c r="G729" i="1"/>
  <c r="F729" i="1"/>
  <c r="E729" i="1"/>
  <c r="B729" i="1"/>
  <c r="S728" i="1"/>
  <c r="R728" i="1"/>
  <c r="Q728" i="1"/>
  <c r="P728" i="1"/>
  <c r="O728" i="1"/>
  <c r="N728" i="1"/>
  <c r="L728" i="1"/>
  <c r="I728" i="1"/>
  <c r="K728" i="1" s="1"/>
  <c r="H728" i="1"/>
  <c r="G728" i="1"/>
  <c r="F728" i="1"/>
  <c r="E728" i="1"/>
  <c r="B728" i="1"/>
  <c r="S727" i="1"/>
  <c r="R727" i="1"/>
  <c r="Q727" i="1"/>
  <c r="P727" i="1"/>
  <c r="O727" i="1"/>
  <c r="N727" i="1"/>
  <c r="L727" i="1"/>
  <c r="I727" i="1"/>
  <c r="K727" i="1" s="1"/>
  <c r="H727" i="1"/>
  <c r="G727" i="1"/>
  <c r="F727" i="1"/>
  <c r="E727" i="1"/>
  <c r="B727" i="1"/>
  <c r="S726" i="1"/>
  <c r="R726" i="1"/>
  <c r="Q726" i="1"/>
  <c r="P726" i="1"/>
  <c r="O726" i="1"/>
  <c r="N726" i="1"/>
  <c r="L726" i="1"/>
  <c r="I726" i="1"/>
  <c r="K726" i="1" s="1"/>
  <c r="H726" i="1"/>
  <c r="G726" i="1"/>
  <c r="F726" i="1"/>
  <c r="E726" i="1"/>
  <c r="B726" i="1"/>
  <c r="S725" i="1"/>
  <c r="R725" i="1"/>
  <c r="Q725" i="1"/>
  <c r="P725" i="1"/>
  <c r="O725" i="1"/>
  <c r="N725" i="1"/>
  <c r="L725" i="1"/>
  <c r="I725" i="1"/>
  <c r="K725" i="1" s="1"/>
  <c r="H725" i="1"/>
  <c r="G725" i="1"/>
  <c r="F725" i="1"/>
  <c r="E725" i="1"/>
  <c r="B725" i="1"/>
  <c r="S724" i="1"/>
  <c r="R724" i="1"/>
  <c r="Q724" i="1"/>
  <c r="P724" i="1"/>
  <c r="O724" i="1"/>
  <c r="N724" i="1"/>
  <c r="L724" i="1"/>
  <c r="I724" i="1"/>
  <c r="K724" i="1" s="1"/>
  <c r="H724" i="1"/>
  <c r="G724" i="1"/>
  <c r="F724" i="1"/>
  <c r="E724" i="1"/>
  <c r="B724" i="1"/>
  <c r="S723" i="1"/>
  <c r="R723" i="1"/>
  <c r="Q723" i="1"/>
  <c r="P723" i="1"/>
  <c r="O723" i="1"/>
  <c r="N723" i="1"/>
  <c r="L723" i="1"/>
  <c r="I723" i="1"/>
  <c r="K723" i="1" s="1"/>
  <c r="H723" i="1"/>
  <c r="G723" i="1"/>
  <c r="F723" i="1"/>
  <c r="E723" i="1"/>
  <c r="B723" i="1"/>
  <c r="S722" i="1"/>
  <c r="R722" i="1"/>
  <c r="Q722" i="1"/>
  <c r="P722" i="1"/>
  <c r="O722" i="1"/>
  <c r="N722" i="1"/>
  <c r="L722" i="1"/>
  <c r="I722" i="1"/>
  <c r="K722" i="1" s="1"/>
  <c r="H722" i="1"/>
  <c r="G722" i="1"/>
  <c r="F722" i="1"/>
  <c r="E722" i="1"/>
  <c r="B722" i="1"/>
  <c r="S721" i="1"/>
  <c r="R721" i="1"/>
  <c r="Q721" i="1"/>
  <c r="P721" i="1"/>
  <c r="O721" i="1"/>
  <c r="N721" i="1"/>
  <c r="L721" i="1"/>
  <c r="I721" i="1"/>
  <c r="K721" i="1" s="1"/>
  <c r="H721" i="1"/>
  <c r="G721" i="1"/>
  <c r="F721" i="1"/>
  <c r="E721" i="1"/>
  <c r="B721" i="1"/>
  <c r="S720" i="1"/>
  <c r="R720" i="1"/>
  <c r="Q720" i="1"/>
  <c r="P720" i="1"/>
  <c r="O720" i="1"/>
  <c r="N720" i="1"/>
  <c r="L720" i="1"/>
  <c r="I720" i="1"/>
  <c r="K720" i="1" s="1"/>
  <c r="H720" i="1"/>
  <c r="G720" i="1"/>
  <c r="F720" i="1"/>
  <c r="E720" i="1"/>
  <c r="B720" i="1"/>
  <c r="S719" i="1"/>
  <c r="R719" i="1"/>
  <c r="Q719" i="1"/>
  <c r="P719" i="1"/>
  <c r="O719" i="1"/>
  <c r="N719" i="1"/>
  <c r="L719" i="1"/>
  <c r="I719" i="1"/>
  <c r="K719" i="1" s="1"/>
  <c r="H719" i="1"/>
  <c r="G719" i="1"/>
  <c r="F719" i="1"/>
  <c r="E719" i="1"/>
  <c r="B719" i="1"/>
  <c r="S718" i="1"/>
  <c r="R718" i="1"/>
  <c r="Q718" i="1"/>
  <c r="P718" i="1"/>
  <c r="O718" i="1"/>
  <c r="N718" i="1"/>
  <c r="L718" i="1"/>
  <c r="K718" i="1"/>
  <c r="I718" i="1"/>
  <c r="H718" i="1"/>
  <c r="G718" i="1"/>
  <c r="F718" i="1"/>
  <c r="E718" i="1"/>
  <c r="B718" i="1"/>
  <c r="S717" i="1"/>
  <c r="R717" i="1"/>
  <c r="Q717" i="1"/>
  <c r="P717" i="1"/>
  <c r="O717" i="1"/>
  <c r="N717" i="1"/>
  <c r="L717" i="1"/>
  <c r="I717" i="1"/>
  <c r="K717" i="1" s="1"/>
  <c r="H717" i="1"/>
  <c r="G717" i="1"/>
  <c r="F717" i="1"/>
  <c r="E717" i="1"/>
  <c r="B717" i="1"/>
  <c r="S716" i="1"/>
  <c r="R716" i="1"/>
  <c r="Q716" i="1"/>
  <c r="P716" i="1"/>
  <c r="O716" i="1"/>
  <c r="N716" i="1"/>
  <c r="L716" i="1"/>
  <c r="I716" i="1"/>
  <c r="K716" i="1" s="1"/>
  <c r="H716" i="1"/>
  <c r="G716" i="1"/>
  <c r="F716" i="1"/>
  <c r="E716" i="1"/>
  <c r="B716" i="1"/>
  <c r="S715" i="1"/>
  <c r="R715" i="1"/>
  <c r="Q715" i="1"/>
  <c r="P715" i="1"/>
  <c r="O715" i="1"/>
  <c r="N715" i="1"/>
  <c r="L715" i="1"/>
  <c r="I715" i="1"/>
  <c r="K715" i="1" s="1"/>
  <c r="H715" i="1"/>
  <c r="G715" i="1"/>
  <c r="F715" i="1"/>
  <c r="E715" i="1"/>
  <c r="B715" i="1"/>
  <c r="S714" i="1"/>
  <c r="R714" i="1"/>
  <c r="Q714" i="1"/>
  <c r="P714" i="1"/>
  <c r="O714" i="1"/>
  <c r="N714" i="1"/>
  <c r="L714" i="1"/>
  <c r="I714" i="1"/>
  <c r="K714" i="1" s="1"/>
  <c r="H714" i="1"/>
  <c r="G714" i="1"/>
  <c r="F714" i="1"/>
  <c r="E714" i="1"/>
  <c r="B714" i="1"/>
  <c r="S713" i="1"/>
  <c r="R713" i="1"/>
  <c r="Q713" i="1"/>
  <c r="P713" i="1"/>
  <c r="O713" i="1"/>
  <c r="N713" i="1"/>
  <c r="L713" i="1"/>
  <c r="I713" i="1"/>
  <c r="K713" i="1" s="1"/>
  <c r="H713" i="1"/>
  <c r="G713" i="1"/>
  <c r="F713" i="1"/>
  <c r="E713" i="1"/>
  <c r="B713" i="1"/>
  <c r="S712" i="1"/>
  <c r="R712" i="1"/>
  <c r="Q712" i="1"/>
  <c r="P712" i="1"/>
  <c r="O712" i="1"/>
  <c r="N712" i="1"/>
  <c r="L712" i="1"/>
  <c r="I712" i="1"/>
  <c r="K712" i="1" s="1"/>
  <c r="H712" i="1"/>
  <c r="G712" i="1"/>
  <c r="F712" i="1"/>
  <c r="E712" i="1"/>
  <c r="B712" i="1"/>
  <c r="S711" i="1"/>
  <c r="R711" i="1"/>
  <c r="Q711" i="1"/>
  <c r="P711" i="1"/>
  <c r="O711" i="1"/>
  <c r="N711" i="1"/>
  <c r="L711" i="1"/>
  <c r="I711" i="1"/>
  <c r="K711" i="1" s="1"/>
  <c r="H711" i="1"/>
  <c r="G711" i="1"/>
  <c r="F711" i="1"/>
  <c r="E711" i="1"/>
  <c r="B711" i="1"/>
  <c r="S710" i="1"/>
  <c r="R710" i="1"/>
  <c r="Q710" i="1"/>
  <c r="P710" i="1"/>
  <c r="O710" i="1"/>
  <c r="N710" i="1"/>
  <c r="L710" i="1"/>
  <c r="I710" i="1"/>
  <c r="K710" i="1" s="1"/>
  <c r="H710" i="1"/>
  <c r="G710" i="1"/>
  <c r="F710" i="1"/>
  <c r="E710" i="1"/>
  <c r="B710" i="1"/>
  <c r="S709" i="1"/>
  <c r="R709" i="1"/>
  <c r="Q709" i="1"/>
  <c r="P709" i="1"/>
  <c r="O709" i="1"/>
  <c r="N709" i="1"/>
  <c r="L709" i="1"/>
  <c r="I709" i="1"/>
  <c r="K709" i="1" s="1"/>
  <c r="H709" i="1"/>
  <c r="G709" i="1"/>
  <c r="F709" i="1"/>
  <c r="E709" i="1"/>
  <c r="B709" i="1"/>
  <c r="S708" i="1"/>
  <c r="R708" i="1"/>
  <c r="Q708" i="1"/>
  <c r="P708" i="1"/>
  <c r="O708" i="1"/>
  <c r="N708" i="1"/>
  <c r="L708" i="1"/>
  <c r="I708" i="1"/>
  <c r="K708" i="1" s="1"/>
  <c r="H708" i="1"/>
  <c r="G708" i="1"/>
  <c r="F708" i="1"/>
  <c r="E708" i="1"/>
  <c r="B708" i="1"/>
  <c r="S707" i="1"/>
  <c r="R707" i="1"/>
  <c r="Q707" i="1"/>
  <c r="P707" i="1"/>
  <c r="O707" i="1"/>
  <c r="N707" i="1"/>
  <c r="L707" i="1"/>
  <c r="I707" i="1"/>
  <c r="K707" i="1" s="1"/>
  <c r="H707" i="1"/>
  <c r="G707" i="1"/>
  <c r="F707" i="1"/>
  <c r="E707" i="1"/>
  <c r="B707" i="1"/>
  <c r="S706" i="1"/>
  <c r="R706" i="1"/>
  <c r="Q706" i="1"/>
  <c r="P706" i="1"/>
  <c r="O706" i="1"/>
  <c r="N706" i="1"/>
  <c r="L706" i="1"/>
  <c r="I706" i="1"/>
  <c r="K706" i="1" s="1"/>
  <c r="H706" i="1"/>
  <c r="G706" i="1"/>
  <c r="F706" i="1"/>
  <c r="E706" i="1"/>
  <c r="B706" i="1"/>
  <c r="S705" i="1"/>
  <c r="R705" i="1"/>
  <c r="Q705" i="1"/>
  <c r="P705" i="1"/>
  <c r="O705" i="1"/>
  <c r="N705" i="1"/>
  <c r="L705" i="1"/>
  <c r="I705" i="1"/>
  <c r="K705" i="1" s="1"/>
  <c r="H705" i="1"/>
  <c r="G705" i="1"/>
  <c r="F705" i="1"/>
  <c r="E705" i="1"/>
  <c r="B705" i="1"/>
  <c r="S704" i="1"/>
  <c r="R704" i="1"/>
  <c r="Q704" i="1"/>
  <c r="P704" i="1"/>
  <c r="O704" i="1"/>
  <c r="N704" i="1"/>
  <c r="L704" i="1"/>
  <c r="I704" i="1"/>
  <c r="K704" i="1" s="1"/>
  <c r="H704" i="1"/>
  <c r="G704" i="1"/>
  <c r="F704" i="1"/>
  <c r="E704" i="1"/>
  <c r="B704" i="1"/>
  <c r="S703" i="1"/>
  <c r="R703" i="1"/>
  <c r="Q703" i="1"/>
  <c r="P703" i="1"/>
  <c r="O703" i="1"/>
  <c r="N703" i="1"/>
  <c r="L703" i="1"/>
  <c r="I703" i="1"/>
  <c r="K703" i="1" s="1"/>
  <c r="H703" i="1"/>
  <c r="G703" i="1"/>
  <c r="F703" i="1"/>
  <c r="E703" i="1"/>
  <c r="B703" i="1"/>
  <c r="S702" i="1"/>
  <c r="R702" i="1"/>
  <c r="Q702" i="1"/>
  <c r="P702" i="1"/>
  <c r="O702" i="1"/>
  <c r="N702" i="1"/>
  <c r="L702" i="1"/>
  <c r="I702" i="1"/>
  <c r="K702" i="1" s="1"/>
  <c r="H702" i="1"/>
  <c r="G702" i="1"/>
  <c r="F702" i="1"/>
  <c r="E702" i="1"/>
  <c r="B702" i="1"/>
  <c r="S701" i="1"/>
  <c r="R701" i="1"/>
  <c r="Q701" i="1"/>
  <c r="P701" i="1"/>
  <c r="O701" i="1"/>
  <c r="N701" i="1"/>
  <c r="L701" i="1"/>
  <c r="I701" i="1"/>
  <c r="K701" i="1" s="1"/>
  <c r="H701" i="1"/>
  <c r="G701" i="1"/>
  <c r="F701" i="1"/>
  <c r="E701" i="1"/>
  <c r="B701" i="1"/>
  <c r="S700" i="1"/>
  <c r="R700" i="1"/>
  <c r="Q700" i="1"/>
  <c r="P700" i="1"/>
  <c r="O700" i="1"/>
  <c r="N700" i="1"/>
  <c r="L700" i="1"/>
  <c r="I700" i="1"/>
  <c r="K700" i="1" s="1"/>
  <c r="H700" i="1"/>
  <c r="G700" i="1"/>
  <c r="F700" i="1"/>
  <c r="E700" i="1"/>
  <c r="B700" i="1"/>
  <c r="S699" i="1"/>
  <c r="R699" i="1"/>
  <c r="Q699" i="1"/>
  <c r="P699" i="1"/>
  <c r="O699" i="1"/>
  <c r="N699" i="1"/>
  <c r="L699" i="1"/>
  <c r="I699" i="1"/>
  <c r="K699" i="1" s="1"/>
  <c r="H699" i="1"/>
  <c r="G699" i="1"/>
  <c r="F699" i="1"/>
  <c r="E699" i="1"/>
  <c r="B699" i="1"/>
  <c r="S698" i="1"/>
  <c r="R698" i="1"/>
  <c r="Q698" i="1"/>
  <c r="P698" i="1"/>
  <c r="O698" i="1"/>
  <c r="N698" i="1"/>
  <c r="L698" i="1"/>
  <c r="I698" i="1"/>
  <c r="K698" i="1" s="1"/>
  <c r="H698" i="1"/>
  <c r="G698" i="1"/>
  <c r="F698" i="1"/>
  <c r="E698" i="1"/>
  <c r="B698" i="1"/>
  <c r="S697" i="1"/>
  <c r="R697" i="1"/>
  <c r="Q697" i="1"/>
  <c r="P697" i="1"/>
  <c r="O697" i="1"/>
  <c r="N697" i="1"/>
  <c r="L697" i="1"/>
  <c r="I697" i="1"/>
  <c r="K697" i="1" s="1"/>
  <c r="H697" i="1"/>
  <c r="G697" i="1"/>
  <c r="F697" i="1"/>
  <c r="E697" i="1"/>
  <c r="B697" i="1"/>
  <c r="S696" i="1"/>
  <c r="R696" i="1"/>
  <c r="Q696" i="1"/>
  <c r="P696" i="1"/>
  <c r="O696" i="1"/>
  <c r="N696" i="1"/>
  <c r="L696" i="1"/>
  <c r="I696" i="1"/>
  <c r="K696" i="1" s="1"/>
  <c r="H696" i="1"/>
  <c r="G696" i="1"/>
  <c r="F696" i="1"/>
  <c r="E696" i="1"/>
  <c r="B696" i="1"/>
  <c r="S695" i="1"/>
  <c r="R695" i="1"/>
  <c r="Q695" i="1"/>
  <c r="P695" i="1"/>
  <c r="O695" i="1"/>
  <c r="N695" i="1"/>
  <c r="L695" i="1"/>
  <c r="I695" i="1"/>
  <c r="K695" i="1" s="1"/>
  <c r="H695" i="1"/>
  <c r="G695" i="1"/>
  <c r="F695" i="1"/>
  <c r="E695" i="1"/>
  <c r="B695" i="1"/>
  <c r="S694" i="1"/>
  <c r="R694" i="1"/>
  <c r="Q694" i="1"/>
  <c r="P694" i="1"/>
  <c r="O694" i="1"/>
  <c r="N694" i="1"/>
  <c r="L694" i="1"/>
  <c r="I694" i="1"/>
  <c r="K694" i="1" s="1"/>
  <c r="H694" i="1"/>
  <c r="G694" i="1"/>
  <c r="F694" i="1"/>
  <c r="E694" i="1"/>
  <c r="B694" i="1"/>
  <c r="S693" i="1"/>
  <c r="R693" i="1"/>
  <c r="Q693" i="1"/>
  <c r="P693" i="1"/>
  <c r="O693" i="1"/>
  <c r="N693" i="1"/>
  <c r="L693" i="1"/>
  <c r="I693" i="1"/>
  <c r="K693" i="1" s="1"/>
  <c r="H693" i="1"/>
  <c r="G693" i="1"/>
  <c r="F693" i="1"/>
  <c r="E693" i="1"/>
  <c r="B693" i="1"/>
  <c r="S692" i="1"/>
  <c r="R692" i="1"/>
  <c r="Q692" i="1"/>
  <c r="P692" i="1"/>
  <c r="O692" i="1"/>
  <c r="N692" i="1"/>
  <c r="L692" i="1"/>
  <c r="I692" i="1"/>
  <c r="K692" i="1" s="1"/>
  <c r="H692" i="1"/>
  <c r="G692" i="1"/>
  <c r="F692" i="1"/>
  <c r="E692" i="1"/>
  <c r="B692" i="1"/>
  <c r="S691" i="1"/>
  <c r="R691" i="1"/>
  <c r="Q691" i="1"/>
  <c r="P691" i="1"/>
  <c r="O691" i="1"/>
  <c r="N691" i="1"/>
  <c r="L691" i="1"/>
  <c r="I691" i="1"/>
  <c r="K691" i="1" s="1"/>
  <c r="H691" i="1"/>
  <c r="G691" i="1"/>
  <c r="F691" i="1"/>
  <c r="E691" i="1"/>
  <c r="B691" i="1"/>
  <c r="S690" i="1"/>
  <c r="R690" i="1"/>
  <c r="Q690" i="1"/>
  <c r="P690" i="1"/>
  <c r="O690" i="1"/>
  <c r="N690" i="1"/>
  <c r="L690" i="1"/>
  <c r="I690" i="1"/>
  <c r="K690" i="1" s="1"/>
  <c r="H690" i="1"/>
  <c r="G690" i="1"/>
  <c r="F690" i="1"/>
  <c r="E690" i="1"/>
  <c r="B690" i="1"/>
  <c r="S689" i="1"/>
  <c r="R689" i="1"/>
  <c r="Q689" i="1"/>
  <c r="P689" i="1"/>
  <c r="O689" i="1"/>
  <c r="N689" i="1"/>
  <c r="L689" i="1"/>
  <c r="I689" i="1"/>
  <c r="K689" i="1" s="1"/>
  <c r="H689" i="1"/>
  <c r="G689" i="1"/>
  <c r="F689" i="1"/>
  <c r="E689" i="1"/>
  <c r="B689" i="1"/>
  <c r="S688" i="1"/>
  <c r="R688" i="1"/>
  <c r="Q688" i="1"/>
  <c r="P688" i="1"/>
  <c r="O688" i="1"/>
  <c r="N688" i="1"/>
  <c r="L688" i="1"/>
  <c r="I688" i="1"/>
  <c r="K688" i="1" s="1"/>
  <c r="H688" i="1"/>
  <c r="G688" i="1"/>
  <c r="F688" i="1"/>
  <c r="E688" i="1"/>
  <c r="B688" i="1"/>
  <c r="S687" i="1"/>
  <c r="R687" i="1"/>
  <c r="Q687" i="1"/>
  <c r="P687" i="1"/>
  <c r="O687" i="1"/>
  <c r="N687" i="1"/>
  <c r="L687" i="1"/>
  <c r="I687" i="1"/>
  <c r="K687" i="1" s="1"/>
  <c r="H687" i="1"/>
  <c r="G687" i="1"/>
  <c r="F687" i="1"/>
  <c r="E687" i="1"/>
  <c r="B687" i="1"/>
  <c r="S686" i="1"/>
  <c r="R686" i="1"/>
  <c r="Q686" i="1"/>
  <c r="P686" i="1"/>
  <c r="O686" i="1"/>
  <c r="N686" i="1"/>
  <c r="L686" i="1"/>
  <c r="K686" i="1"/>
  <c r="I686" i="1"/>
  <c r="H686" i="1"/>
  <c r="G686" i="1"/>
  <c r="F686" i="1"/>
  <c r="E686" i="1"/>
  <c r="B686" i="1"/>
  <c r="S685" i="1"/>
  <c r="R685" i="1"/>
  <c r="Q685" i="1"/>
  <c r="P685" i="1"/>
  <c r="O685" i="1"/>
  <c r="N685" i="1"/>
  <c r="L685" i="1"/>
  <c r="I685" i="1"/>
  <c r="K685" i="1" s="1"/>
  <c r="H685" i="1"/>
  <c r="G685" i="1"/>
  <c r="F685" i="1"/>
  <c r="E685" i="1"/>
  <c r="B685" i="1"/>
  <c r="S684" i="1"/>
  <c r="R684" i="1"/>
  <c r="Q684" i="1"/>
  <c r="P684" i="1"/>
  <c r="O684" i="1"/>
  <c r="N684" i="1"/>
  <c r="L684" i="1"/>
  <c r="I684" i="1"/>
  <c r="K684" i="1" s="1"/>
  <c r="H684" i="1"/>
  <c r="G684" i="1"/>
  <c r="F684" i="1"/>
  <c r="E684" i="1"/>
  <c r="B684" i="1"/>
  <c r="S683" i="1"/>
  <c r="R683" i="1"/>
  <c r="Q683" i="1"/>
  <c r="P683" i="1"/>
  <c r="O683" i="1"/>
  <c r="N683" i="1"/>
  <c r="L683" i="1"/>
  <c r="I683" i="1"/>
  <c r="K683" i="1" s="1"/>
  <c r="H683" i="1"/>
  <c r="G683" i="1"/>
  <c r="F683" i="1"/>
  <c r="E683" i="1"/>
  <c r="B683" i="1"/>
  <c r="S682" i="1"/>
  <c r="R682" i="1"/>
  <c r="Q682" i="1"/>
  <c r="P682" i="1"/>
  <c r="O682" i="1"/>
  <c r="N682" i="1"/>
  <c r="L682" i="1"/>
  <c r="I682" i="1"/>
  <c r="K682" i="1" s="1"/>
  <c r="H682" i="1"/>
  <c r="G682" i="1"/>
  <c r="F682" i="1"/>
  <c r="E682" i="1"/>
  <c r="B682" i="1"/>
  <c r="S681" i="1"/>
  <c r="R681" i="1"/>
  <c r="Q681" i="1"/>
  <c r="P681" i="1"/>
  <c r="O681" i="1"/>
  <c r="N681" i="1"/>
  <c r="L681" i="1"/>
  <c r="I681" i="1"/>
  <c r="K681" i="1" s="1"/>
  <c r="H681" i="1"/>
  <c r="G681" i="1"/>
  <c r="F681" i="1"/>
  <c r="E681" i="1"/>
  <c r="B681" i="1"/>
  <c r="S680" i="1"/>
  <c r="R680" i="1"/>
  <c r="Q680" i="1"/>
  <c r="P680" i="1"/>
  <c r="O680" i="1"/>
  <c r="N680" i="1"/>
  <c r="L680" i="1"/>
  <c r="I680" i="1"/>
  <c r="K680" i="1" s="1"/>
  <c r="H680" i="1"/>
  <c r="G680" i="1"/>
  <c r="F680" i="1"/>
  <c r="E680" i="1"/>
  <c r="B680" i="1"/>
  <c r="S679" i="1"/>
  <c r="R679" i="1"/>
  <c r="Q679" i="1"/>
  <c r="P679" i="1"/>
  <c r="O679" i="1"/>
  <c r="N679" i="1"/>
  <c r="L679" i="1"/>
  <c r="I679" i="1"/>
  <c r="K679" i="1" s="1"/>
  <c r="H679" i="1"/>
  <c r="G679" i="1"/>
  <c r="F679" i="1"/>
  <c r="E679" i="1"/>
  <c r="B679" i="1"/>
  <c r="S678" i="1"/>
  <c r="R678" i="1"/>
  <c r="Q678" i="1"/>
  <c r="P678" i="1"/>
  <c r="O678" i="1"/>
  <c r="N678" i="1"/>
  <c r="L678" i="1"/>
  <c r="I678" i="1"/>
  <c r="K678" i="1" s="1"/>
  <c r="H678" i="1"/>
  <c r="G678" i="1"/>
  <c r="F678" i="1"/>
  <c r="E678" i="1"/>
  <c r="B678" i="1"/>
  <c r="S677" i="1"/>
  <c r="R677" i="1"/>
  <c r="Q677" i="1"/>
  <c r="P677" i="1"/>
  <c r="O677" i="1"/>
  <c r="N677" i="1"/>
  <c r="L677" i="1"/>
  <c r="I677" i="1"/>
  <c r="K677" i="1" s="1"/>
  <c r="H677" i="1"/>
  <c r="G677" i="1"/>
  <c r="F677" i="1"/>
  <c r="E677" i="1"/>
  <c r="B677" i="1"/>
  <c r="S676" i="1"/>
  <c r="R676" i="1"/>
  <c r="Q676" i="1"/>
  <c r="P676" i="1"/>
  <c r="O676" i="1"/>
  <c r="N676" i="1"/>
  <c r="L676" i="1"/>
  <c r="I676" i="1"/>
  <c r="K676" i="1" s="1"/>
  <c r="H676" i="1"/>
  <c r="G676" i="1"/>
  <c r="F676" i="1"/>
  <c r="E676" i="1"/>
  <c r="B676" i="1"/>
  <c r="S675" i="1"/>
  <c r="R675" i="1"/>
  <c r="Q675" i="1"/>
  <c r="P675" i="1"/>
  <c r="O675" i="1"/>
  <c r="N675" i="1"/>
  <c r="L675" i="1"/>
  <c r="I675" i="1"/>
  <c r="K675" i="1" s="1"/>
  <c r="H675" i="1"/>
  <c r="G675" i="1"/>
  <c r="F675" i="1"/>
  <c r="E675" i="1"/>
  <c r="B675" i="1"/>
  <c r="S674" i="1"/>
  <c r="R674" i="1"/>
  <c r="Q674" i="1"/>
  <c r="P674" i="1"/>
  <c r="O674" i="1"/>
  <c r="N674" i="1"/>
  <c r="L674" i="1"/>
  <c r="I674" i="1"/>
  <c r="K674" i="1" s="1"/>
  <c r="H674" i="1"/>
  <c r="G674" i="1"/>
  <c r="F674" i="1"/>
  <c r="E674" i="1"/>
  <c r="B674" i="1"/>
  <c r="S673" i="1"/>
  <c r="R673" i="1"/>
  <c r="Q673" i="1"/>
  <c r="P673" i="1"/>
  <c r="O673" i="1"/>
  <c r="N673" i="1"/>
  <c r="L673" i="1"/>
  <c r="I673" i="1"/>
  <c r="K673" i="1" s="1"/>
  <c r="H673" i="1"/>
  <c r="G673" i="1"/>
  <c r="F673" i="1"/>
  <c r="E673" i="1"/>
  <c r="B673" i="1"/>
  <c r="S672" i="1"/>
  <c r="R672" i="1"/>
  <c r="Q672" i="1"/>
  <c r="P672" i="1"/>
  <c r="O672" i="1"/>
  <c r="N672" i="1"/>
  <c r="L672" i="1"/>
  <c r="I672" i="1"/>
  <c r="K672" i="1" s="1"/>
  <c r="H672" i="1"/>
  <c r="G672" i="1"/>
  <c r="F672" i="1"/>
  <c r="E672" i="1"/>
  <c r="B672" i="1"/>
  <c r="S671" i="1"/>
  <c r="R671" i="1"/>
  <c r="Q671" i="1"/>
  <c r="P671" i="1"/>
  <c r="O671" i="1"/>
  <c r="N671" i="1"/>
  <c r="L671" i="1"/>
  <c r="I671" i="1"/>
  <c r="K671" i="1" s="1"/>
  <c r="H671" i="1"/>
  <c r="G671" i="1"/>
  <c r="F671" i="1"/>
  <c r="E671" i="1"/>
  <c r="B671" i="1"/>
  <c r="S670" i="1"/>
  <c r="R670" i="1"/>
  <c r="Q670" i="1"/>
  <c r="P670" i="1"/>
  <c r="O670" i="1"/>
  <c r="N670" i="1"/>
  <c r="L670" i="1"/>
  <c r="I670" i="1"/>
  <c r="K670" i="1" s="1"/>
  <c r="H670" i="1"/>
  <c r="G670" i="1"/>
  <c r="F670" i="1"/>
  <c r="E670" i="1"/>
  <c r="B670" i="1"/>
  <c r="S669" i="1"/>
  <c r="R669" i="1"/>
  <c r="Q669" i="1"/>
  <c r="P669" i="1"/>
  <c r="O669" i="1"/>
  <c r="N669" i="1"/>
  <c r="L669" i="1"/>
  <c r="I669" i="1"/>
  <c r="K669" i="1" s="1"/>
  <c r="H669" i="1"/>
  <c r="G669" i="1"/>
  <c r="F669" i="1"/>
  <c r="E669" i="1"/>
  <c r="B669" i="1"/>
  <c r="S668" i="1"/>
  <c r="R668" i="1"/>
  <c r="Q668" i="1"/>
  <c r="P668" i="1"/>
  <c r="O668" i="1"/>
  <c r="N668" i="1"/>
  <c r="L668" i="1"/>
  <c r="I668" i="1"/>
  <c r="K668" i="1" s="1"/>
  <c r="H668" i="1"/>
  <c r="G668" i="1"/>
  <c r="F668" i="1"/>
  <c r="E668" i="1"/>
  <c r="B668" i="1"/>
  <c r="S667" i="1"/>
  <c r="R667" i="1"/>
  <c r="Q667" i="1"/>
  <c r="P667" i="1"/>
  <c r="O667" i="1"/>
  <c r="N667" i="1"/>
  <c r="L667" i="1"/>
  <c r="I667" i="1"/>
  <c r="K667" i="1" s="1"/>
  <c r="H667" i="1"/>
  <c r="G667" i="1"/>
  <c r="F667" i="1"/>
  <c r="E667" i="1"/>
  <c r="B667" i="1"/>
  <c r="S666" i="1"/>
  <c r="R666" i="1"/>
  <c r="Q666" i="1"/>
  <c r="P666" i="1"/>
  <c r="O666" i="1"/>
  <c r="N666" i="1"/>
  <c r="L666" i="1"/>
  <c r="I666" i="1"/>
  <c r="K666" i="1" s="1"/>
  <c r="H666" i="1"/>
  <c r="G666" i="1"/>
  <c r="F666" i="1"/>
  <c r="E666" i="1"/>
  <c r="B666" i="1"/>
  <c r="S665" i="1"/>
  <c r="R665" i="1"/>
  <c r="Q665" i="1"/>
  <c r="P665" i="1"/>
  <c r="O665" i="1"/>
  <c r="N665" i="1"/>
  <c r="L665" i="1"/>
  <c r="I665" i="1"/>
  <c r="K665" i="1" s="1"/>
  <c r="H665" i="1"/>
  <c r="G665" i="1"/>
  <c r="F665" i="1"/>
  <c r="E665" i="1"/>
  <c r="B665" i="1"/>
  <c r="S664" i="1"/>
  <c r="R664" i="1"/>
  <c r="Q664" i="1"/>
  <c r="P664" i="1"/>
  <c r="O664" i="1"/>
  <c r="N664" i="1"/>
  <c r="L664" i="1"/>
  <c r="I664" i="1"/>
  <c r="K664" i="1" s="1"/>
  <c r="H664" i="1"/>
  <c r="G664" i="1"/>
  <c r="F664" i="1"/>
  <c r="E664" i="1"/>
  <c r="B664" i="1"/>
  <c r="S663" i="1"/>
  <c r="R663" i="1"/>
  <c r="Q663" i="1"/>
  <c r="P663" i="1"/>
  <c r="O663" i="1"/>
  <c r="N663" i="1"/>
  <c r="L663" i="1"/>
  <c r="I663" i="1"/>
  <c r="K663" i="1" s="1"/>
  <c r="H663" i="1"/>
  <c r="G663" i="1"/>
  <c r="F663" i="1"/>
  <c r="E663" i="1"/>
  <c r="B663" i="1"/>
  <c r="S662" i="1"/>
  <c r="R662" i="1"/>
  <c r="Q662" i="1"/>
  <c r="P662" i="1"/>
  <c r="O662" i="1"/>
  <c r="N662" i="1"/>
  <c r="L662" i="1"/>
  <c r="I662" i="1"/>
  <c r="K662" i="1" s="1"/>
  <c r="H662" i="1"/>
  <c r="G662" i="1"/>
  <c r="F662" i="1"/>
  <c r="E662" i="1"/>
  <c r="B662" i="1"/>
  <c r="S661" i="1"/>
  <c r="R661" i="1"/>
  <c r="Q661" i="1"/>
  <c r="P661" i="1"/>
  <c r="O661" i="1"/>
  <c r="N661" i="1"/>
  <c r="L661" i="1"/>
  <c r="I661" i="1"/>
  <c r="K661" i="1" s="1"/>
  <c r="H661" i="1"/>
  <c r="G661" i="1"/>
  <c r="F661" i="1"/>
  <c r="E661" i="1"/>
  <c r="B661" i="1"/>
  <c r="S660" i="1"/>
  <c r="R660" i="1"/>
  <c r="Q660" i="1"/>
  <c r="P660" i="1"/>
  <c r="O660" i="1"/>
  <c r="N660" i="1"/>
  <c r="L660" i="1"/>
  <c r="I660" i="1"/>
  <c r="K660" i="1" s="1"/>
  <c r="H660" i="1"/>
  <c r="G660" i="1"/>
  <c r="F660" i="1"/>
  <c r="E660" i="1"/>
  <c r="B660" i="1"/>
  <c r="S659" i="1"/>
  <c r="R659" i="1"/>
  <c r="Q659" i="1"/>
  <c r="P659" i="1"/>
  <c r="O659" i="1"/>
  <c r="N659" i="1"/>
  <c r="L659" i="1"/>
  <c r="I659" i="1"/>
  <c r="K659" i="1" s="1"/>
  <c r="H659" i="1"/>
  <c r="G659" i="1"/>
  <c r="F659" i="1"/>
  <c r="E659" i="1"/>
  <c r="B659" i="1"/>
  <c r="S658" i="1"/>
  <c r="R658" i="1"/>
  <c r="Q658" i="1"/>
  <c r="P658" i="1"/>
  <c r="O658" i="1"/>
  <c r="N658" i="1"/>
  <c r="L658" i="1"/>
  <c r="I658" i="1"/>
  <c r="K658" i="1" s="1"/>
  <c r="H658" i="1"/>
  <c r="G658" i="1"/>
  <c r="F658" i="1"/>
  <c r="E658" i="1"/>
  <c r="B658" i="1"/>
  <c r="S657" i="1"/>
  <c r="R657" i="1"/>
  <c r="Q657" i="1"/>
  <c r="P657" i="1"/>
  <c r="O657" i="1"/>
  <c r="N657" i="1"/>
  <c r="L657" i="1"/>
  <c r="I657" i="1"/>
  <c r="K657" i="1" s="1"/>
  <c r="H657" i="1"/>
  <c r="G657" i="1"/>
  <c r="F657" i="1"/>
  <c r="E657" i="1"/>
  <c r="B657" i="1"/>
  <c r="S656" i="1"/>
  <c r="R656" i="1"/>
  <c r="Q656" i="1"/>
  <c r="P656" i="1"/>
  <c r="O656" i="1"/>
  <c r="N656" i="1"/>
  <c r="L656" i="1"/>
  <c r="I656" i="1"/>
  <c r="K656" i="1" s="1"/>
  <c r="H656" i="1"/>
  <c r="G656" i="1"/>
  <c r="F656" i="1"/>
  <c r="E656" i="1"/>
  <c r="B656" i="1"/>
  <c r="S655" i="1"/>
  <c r="R655" i="1"/>
  <c r="Q655" i="1"/>
  <c r="P655" i="1"/>
  <c r="O655" i="1"/>
  <c r="N655" i="1"/>
  <c r="L655" i="1"/>
  <c r="I655" i="1"/>
  <c r="K655" i="1" s="1"/>
  <c r="H655" i="1"/>
  <c r="G655" i="1"/>
  <c r="F655" i="1"/>
  <c r="E655" i="1"/>
  <c r="B655" i="1"/>
  <c r="S654" i="1"/>
  <c r="R654" i="1"/>
  <c r="Q654" i="1"/>
  <c r="P654" i="1"/>
  <c r="O654" i="1"/>
  <c r="N654" i="1"/>
  <c r="L654" i="1"/>
  <c r="K654" i="1"/>
  <c r="I654" i="1"/>
  <c r="H654" i="1"/>
  <c r="G654" i="1"/>
  <c r="F654" i="1"/>
  <c r="E654" i="1"/>
  <c r="B654" i="1"/>
  <c r="S653" i="1"/>
  <c r="R653" i="1"/>
  <c r="Q653" i="1"/>
  <c r="P653" i="1"/>
  <c r="O653" i="1"/>
  <c r="N653" i="1"/>
  <c r="L653" i="1"/>
  <c r="I653" i="1"/>
  <c r="K653" i="1" s="1"/>
  <c r="H653" i="1"/>
  <c r="G653" i="1"/>
  <c r="F653" i="1"/>
  <c r="E653" i="1"/>
  <c r="B653" i="1"/>
  <c r="S652" i="1"/>
  <c r="R652" i="1"/>
  <c r="Q652" i="1"/>
  <c r="P652" i="1"/>
  <c r="O652" i="1"/>
  <c r="N652" i="1"/>
  <c r="L652" i="1"/>
  <c r="I652" i="1"/>
  <c r="K652" i="1" s="1"/>
  <c r="H652" i="1"/>
  <c r="G652" i="1"/>
  <c r="F652" i="1"/>
  <c r="E652" i="1"/>
  <c r="B652" i="1"/>
  <c r="S651" i="1"/>
  <c r="R651" i="1"/>
  <c r="Q651" i="1"/>
  <c r="P651" i="1"/>
  <c r="O651" i="1"/>
  <c r="N651" i="1"/>
  <c r="L651" i="1"/>
  <c r="I651" i="1"/>
  <c r="K651" i="1" s="1"/>
  <c r="H651" i="1"/>
  <c r="G651" i="1"/>
  <c r="F651" i="1"/>
  <c r="E651" i="1"/>
  <c r="B651" i="1"/>
  <c r="S650" i="1"/>
  <c r="R650" i="1"/>
  <c r="Q650" i="1"/>
  <c r="P650" i="1"/>
  <c r="O650" i="1"/>
  <c r="N650" i="1"/>
  <c r="L650" i="1"/>
  <c r="I650" i="1"/>
  <c r="K650" i="1" s="1"/>
  <c r="H650" i="1"/>
  <c r="G650" i="1"/>
  <c r="F650" i="1"/>
  <c r="E650" i="1"/>
  <c r="B650" i="1"/>
  <c r="S649" i="1"/>
  <c r="R649" i="1"/>
  <c r="Q649" i="1"/>
  <c r="P649" i="1"/>
  <c r="O649" i="1"/>
  <c r="N649" i="1"/>
  <c r="L649" i="1"/>
  <c r="I649" i="1"/>
  <c r="K649" i="1" s="1"/>
  <c r="H649" i="1"/>
  <c r="G649" i="1"/>
  <c r="F649" i="1"/>
  <c r="E649" i="1"/>
  <c r="B649" i="1"/>
  <c r="S648" i="1"/>
  <c r="R648" i="1"/>
  <c r="Q648" i="1"/>
  <c r="P648" i="1"/>
  <c r="O648" i="1"/>
  <c r="N648" i="1"/>
  <c r="L648" i="1"/>
  <c r="I648" i="1"/>
  <c r="K648" i="1" s="1"/>
  <c r="H648" i="1"/>
  <c r="G648" i="1"/>
  <c r="F648" i="1"/>
  <c r="E648" i="1"/>
  <c r="B648" i="1"/>
  <c r="S647" i="1"/>
  <c r="R647" i="1"/>
  <c r="Q647" i="1"/>
  <c r="P647" i="1"/>
  <c r="O647" i="1"/>
  <c r="N647" i="1"/>
  <c r="L647" i="1"/>
  <c r="I647" i="1"/>
  <c r="K647" i="1" s="1"/>
  <c r="H647" i="1"/>
  <c r="G647" i="1"/>
  <c r="F647" i="1"/>
  <c r="E647" i="1"/>
  <c r="B647" i="1"/>
  <c r="S646" i="1"/>
  <c r="R646" i="1"/>
  <c r="Q646" i="1"/>
  <c r="P646" i="1"/>
  <c r="O646" i="1"/>
  <c r="N646" i="1"/>
  <c r="L646" i="1"/>
  <c r="I646" i="1"/>
  <c r="K646" i="1" s="1"/>
  <c r="H646" i="1"/>
  <c r="G646" i="1"/>
  <c r="F646" i="1"/>
  <c r="E646" i="1"/>
  <c r="B646" i="1"/>
  <c r="S645" i="1"/>
  <c r="R645" i="1"/>
  <c r="Q645" i="1"/>
  <c r="P645" i="1"/>
  <c r="O645" i="1"/>
  <c r="N645" i="1"/>
  <c r="L645" i="1"/>
  <c r="I645" i="1"/>
  <c r="K645" i="1" s="1"/>
  <c r="H645" i="1"/>
  <c r="G645" i="1"/>
  <c r="F645" i="1"/>
  <c r="E645" i="1"/>
  <c r="B645" i="1"/>
  <c r="S644" i="1"/>
  <c r="R644" i="1"/>
  <c r="Q644" i="1"/>
  <c r="P644" i="1"/>
  <c r="O644" i="1"/>
  <c r="N644" i="1"/>
  <c r="L644" i="1"/>
  <c r="I644" i="1"/>
  <c r="K644" i="1" s="1"/>
  <c r="H644" i="1"/>
  <c r="G644" i="1"/>
  <c r="F644" i="1"/>
  <c r="E644" i="1"/>
  <c r="B644" i="1"/>
  <c r="S643" i="1"/>
  <c r="R643" i="1"/>
  <c r="Q643" i="1"/>
  <c r="P643" i="1"/>
  <c r="O643" i="1"/>
  <c r="N643" i="1"/>
  <c r="L643" i="1"/>
  <c r="I643" i="1"/>
  <c r="K643" i="1" s="1"/>
  <c r="H643" i="1"/>
  <c r="G643" i="1"/>
  <c r="F643" i="1"/>
  <c r="E643" i="1"/>
  <c r="B643" i="1"/>
  <c r="S642" i="1"/>
  <c r="R642" i="1"/>
  <c r="Q642" i="1"/>
  <c r="P642" i="1"/>
  <c r="O642" i="1"/>
  <c r="N642" i="1"/>
  <c r="L642" i="1"/>
  <c r="I642" i="1"/>
  <c r="K642" i="1" s="1"/>
  <c r="H642" i="1"/>
  <c r="G642" i="1"/>
  <c r="F642" i="1"/>
  <c r="E642" i="1"/>
  <c r="B642" i="1"/>
  <c r="S641" i="1"/>
  <c r="R641" i="1"/>
  <c r="Q641" i="1"/>
  <c r="P641" i="1"/>
  <c r="O641" i="1"/>
  <c r="N641" i="1"/>
  <c r="L641" i="1"/>
  <c r="I641" i="1"/>
  <c r="K641" i="1" s="1"/>
  <c r="H641" i="1"/>
  <c r="G641" i="1"/>
  <c r="F641" i="1"/>
  <c r="E641" i="1"/>
  <c r="B641" i="1"/>
  <c r="S640" i="1"/>
  <c r="R640" i="1"/>
  <c r="Q640" i="1"/>
  <c r="P640" i="1"/>
  <c r="O640" i="1"/>
  <c r="N640" i="1"/>
  <c r="L640" i="1"/>
  <c r="I640" i="1"/>
  <c r="K640" i="1" s="1"/>
  <c r="H640" i="1"/>
  <c r="G640" i="1"/>
  <c r="F640" i="1"/>
  <c r="E640" i="1"/>
  <c r="B640" i="1"/>
  <c r="S639" i="1"/>
  <c r="R639" i="1"/>
  <c r="Q639" i="1"/>
  <c r="P639" i="1"/>
  <c r="O639" i="1"/>
  <c r="N639" i="1"/>
  <c r="L639" i="1"/>
  <c r="I639" i="1"/>
  <c r="K639" i="1" s="1"/>
  <c r="H639" i="1"/>
  <c r="G639" i="1"/>
  <c r="F639" i="1"/>
  <c r="E639" i="1"/>
  <c r="B639" i="1"/>
  <c r="S638" i="1"/>
  <c r="R638" i="1"/>
  <c r="Q638" i="1"/>
  <c r="P638" i="1"/>
  <c r="O638" i="1"/>
  <c r="N638" i="1"/>
  <c r="L638" i="1"/>
  <c r="I638" i="1"/>
  <c r="K638" i="1" s="1"/>
  <c r="H638" i="1"/>
  <c r="G638" i="1"/>
  <c r="F638" i="1"/>
  <c r="E638" i="1"/>
  <c r="B638" i="1"/>
  <c r="S637" i="1"/>
  <c r="R637" i="1"/>
  <c r="Q637" i="1"/>
  <c r="P637" i="1"/>
  <c r="O637" i="1"/>
  <c r="N637" i="1"/>
  <c r="L637" i="1"/>
  <c r="I637" i="1"/>
  <c r="K637" i="1" s="1"/>
  <c r="H637" i="1"/>
  <c r="G637" i="1"/>
  <c r="F637" i="1"/>
  <c r="E637" i="1"/>
  <c r="B637" i="1"/>
  <c r="S636" i="1"/>
  <c r="R636" i="1"/>
  <c r="Q636" i="1"/>
  <c r="P636" i="1"/>
  <c r="O636" i="1"/>
  <c r="N636" i="1"/>
  <c r="L636" i="1"/>
  <c r="I636" i="1"/>
  <c r="K636" i="1" s="1"/>
  <c r="H636" i="1"/>
  <c r="G636" i="1"/>
  <c r="F636" i="1"/>
  <c r="E636" i="1"/>
  <c r="B636" i="1"/>
  <c r="S635" i="1"/>
  <c r="R635" i="1"/>
  <c r="Q635" i="1"/>
  <c r="P635" i="1"/>
  <c r="O635" i="1"/>
  <c r="N635" i="1"/>
  <c r="L635" i="1"/>
  <c r="I635" i="1"/>
  <c r="K635" i="1" s="1"/>
  <c r="H635" i="1"/>
  <c r="G635" i="1"/>
  <c r="F635" i="1"/>
  <c r="E635" i="1"/>
  <c r="B635" i="1"/>
  <c r="S634" i="1"/>
  <c r="R634" i="1"/>
  <c r="Q634" i="1"/>
  <c r="P634" i="1"/>
  <c r="O634" i="1"/>
  <c r="N634" i="1"/>
  <c r="L634" i="1"/>
  <c r="I634" i="1"/>
  <c r="K634" i="1" s="1"/>
  <c r="H634" i="1"/>
  <c r="G634" i="1"/>
  <c r="F634" i="1"/>
  <c r="E634" i="1"/>
  <c r="B634" i="1"/>
  <c r="S633" i="1"/>
  <c r="R633" i="1"/>
  <c r="Q633" i="1"/>
  <c r="P633" i="1"/>
  <c r="O633" i="1"/>
  <c r="N633" i="1"/>
  <c r="L633" i="1"/>
  <c r="I633" i="1"/>
  <c r="K633" i="1" s="1"/>
  <c r="H633" i="1"/>
  <c r="G633" i="1"/>
  <c r="F633" i="1"/>
  <c r="E633" i="1"/>
  <c r="B633" i="1"/>
  <c r="S632" i="1"/>
  <c r="R632" i="1"/>
  <c r="Q632" i="1"/>
  <c r="P632" i="1"/>
  <c r="O632" i="1"/>
  <c r="N632" i="1"/>
  <c r="L632" i="1"/>
  <c r="I632" i="1"/>
  <c r="K632" i="1" s="1"/>
  <c r="H632" i="1"/>
  <c r="G632" i="1"/>
  <c r="F632" i="1"/>
  <c r="E632" i="1"/>
  <c r="B632" i="1"/>
  <c r="S631" i="1"/>
  <c r="R631" i="1"/>
  <c r="Q631" i="1"/>
  <c r="P631" i="1"/>
  <c r="O631" i="1"/>
  <c r="N631" i="1"/>
  <c r="L631" i="1"/>
  <c r="I631" i="1"/>
  <c r="K631" i="1" s="1"/>
  <c r="H631" i="1"/>
  <c r="G631" i="1"/>
  <c r="F631" i="1"/>
  <c r="E631" i="1"/>
  <c r="B631" i="1"/>
  <c r="S630" i="1"/>
  <c r="R630" i="1"/>
  <c r="Q630" i="1"/>
  <c r="P630" i="1"/>
  <c r="O630" i="1"/>
  <c r="N630" i="1"/>
  <c r="L630" i="1"/>
  <c r="I630" i="1"/>
  <c r="K630" i="1" s="1"/>
  <c r="H630" i="1"/>
  <c r="G630" i="1"/>
  <c r="F630" i="1"/>
  <c r="E630" i="1"/>
  <c r="B630" i="1"/>
  <c r="S629" i="1"/>
  <c r="R629" i="1"/>
  <c r="Q629" i="1"/>
  <c r="P629" i="1"/>
  <c r="O629" i="1"/>
  <c r="N629" i="1"/>
  <c r="L629" i="1"/>
  <c r="I629" i="1"/>
  <c r="K629" i="1" s="1"/>
  <c r="H629" i="1"/>
  <c r="G629" i="1"/>
  <c r="F629" i="1"/>
  <c r="E629" i="1"/>
  <c r="B629" i="1"/>
  <c r="S628" i="1"/>
  <c r="R628" i="1"/>
  <c r="Q628" i="1"/>
  <c r="P628" i="1"/>
  <c r="O628" i="1"/>
  <c r="N628" i="1"/>
  <c r="L628" i="1"/>
  <c r="I628" i="1"/>
  <c r="K628" i="1" s="1"/>
  <c r="H628" i="1"/>
  <c r="G628" i="1"/>
  <c r="F628" i="1"/>
  <c r="E628" i="1"/>
  <c r="B628" i="1"/>
  <c r="S627" i="1"/>
  <c r="R627" i="1"/>
  <c r="Q627" i="1"/>
  <c r="P627" i="1"/>
  <c r="O627" i="1"/>
  <c r="N627" i="1"/>
  <c r="L627" i="1"/>
  <c r="I627" i="1"/>
  <c r="K627" i="1" s="1"/>
  <c r="H627" i="1"/>
  <c r="G627" i="1"/>
  <c r="F627" i="1"/>
  <c r="E627" i="1"/>
  <c r="B627" i="1"/>
  <c r="S626" i="1"/>
  <c r="R626" i="1"/>
  <c r="Q626" i="1"/>
  <c r="P626" i="1"/>
  <c r="O626" i="1"/>
  <c r="N626" i="1"/>
  <c r="L626" i="1"/>
  <c r="I626" i="1"/>
  <c r="K626" i="1" s="1"/>
  <c r="H626" i="1"/>
  <c r="G626" i="1"/>
  <c r="F626" i="1"/>
  <c r="E626" i="1"/>
  <c r="B626" i="1"/>
  <c r="S625" i="1"/>
  <c r="R625" i="1"/>
  <c r="Q625" i="1"/>
  <c r="P625" i="1"/>
  <c r="O625" i="1"/>
  <c r="N625" i="1"/>
  <c r="L625" i="1"/>
  <c r="I625" i="1"/>
  <c r="K625" i="1" s="1"/>
  <c r="H625" i="1"/>
  <c r="G625" i="1"/>
  <c r="F625" i="1"/>
  <c r="E625" i="1"/>
  <c r="B625" i="1"/>
  <c r="S624" i="1"/>
  <c r="R624" i="1"/>
  <c r="Q624" i="1"/>
  <c r="P624" i="1"/>
  <c r="O624" i="1"/>
  <c r="N624" i="1"/>
  <c r="L624" i="1"/>
  <c r="I624" i="1"/>
  <c r="K624" i="1" s="1"/>
  <c r="H624" i="1"/>
  <c r="G624" i="1"/>
  <c r="F624" i="1"/>
  <c r="E624" i="1"/>
  <c r="B624" i="1"/>
  <c r="S623" i="1"/>
  <c r="R623" i="1"/>
  <c r="Q623" i="1"/>
  <c r="P623" i="1"/>
  <c r="O623" i="1"/>
  <c r="N623" i="1"/>
  <c r="L623" i="1"/>
  <c r="I623" i="1"/>
  <c r="K623" i="1" s="1"/>
  <c r="H623" i="1"/>
  <c r="G623" i="1"/>
  <c r="F623" i="1"/>
  <c r="E623" i="1"/>
  <c r="B623" i="1"/>
  <c r="S622" i="1"/>
  <c r="R622" i="1"/>
  <c r="Q622" i="1"/>
  <c r="P622" i="1"/>
  <c r="O622" i="1"/>
  <c r="N622" i="1"/>
  <c r="L622" i="1"/>
  <c r="K622" i="1"/>
  <c r="I622" i="1"/>
  <c r="H622" i="1"/>
  <c r="G622" i="1"/>
  <c r="F622" i="1"/>
  <c r="E622" i="1"/>
  <c r="B622" i="1"/>
  <c r="S621" i="1"/>
  <c r="R621" i="1"/>
  <c r="Q621" i="1"/>
  <c r="P621" i="1"/>
  <c r="O621" i="1"/>
  <c r="N621" i="1"/>
  <c r="L621" i="1"/>
  <c r="I621" i="1"/>
  <c r="K621" i="1" s="1"/>
  <c r="H621" i="1"/>
  <c r="G621" i="1"/>
  <c r="F621" i="1"/>
  <c r="E621" i="1"/>
  <c r="B621" i="1"/>
  <c r="S620" i="1"/>
  <c r="R620" i="1"/>
  <c r="Q620" i="1"/>
  <c r="P620" i="1"/>
  <c r="O620" i="1"/>
  <c r="N620" i="1"/>
  <c r="L620" i="1"/>
  <c r="I620" i="1"/>
  <c r="K620" i="1" s="1"/>
  <c r="H620" i="1"/>
  <c r="G620" i="1"/>
  <c r="F620" i="1"/>
  <c r="E620" i="1"/>
  <c r="B620" i="1"/>
  <c r="S619" i="1"/>
  <c r="R619" i="1"/>
  <c r="Q619" i="1"/>
  <c r="P619" i="1"/>
  <c r="O619" i="1"/>
  <c r="N619" i="1"/>
  <c r="L619" i="1"/>
  <c r="I619" i="1"/>
  <c r="K619" i="1" s="1"/>
  <c r="H619" i="1"/>
  <c r="G619" i="1"/>
  <c r="F619" i="1"/>
  <c r="E619" i="1"/>
  <c r="B619" i="1"/>
  <c r="S618" i="1"/>
  <c r="R618" i="1"/>
  <c r="Q618" i="1"/>
  <c r="P618" i="1"/>
  <c r="O618" i="1"/>
  <c r="N618" i="1"/>
  <c r="L618" i="1"/>
  <c r="I618" i="1"/>
  <c r="K618" i="1" s="1"/>
  <c r="H618" i="1"/>
  <c r="G618" i="1"/>
  <c r="F618" i="1"/>
  <c r="E618" i="1"/>
  <c r="B618" i="1"/>
  <c r="S617" i="1"/>
  <c r="R617" i="1"/>
  <c r="Q617" i="1"/>
  <c r="P617" i="1"/>
  <c r="O617" i="1"/>
  <c r="N617" i="1"/>
  <c r="L617" i="1"/>
  <c r="I617" i="1"/>
  <c r="K617" i="1" s="1"/>
  <c r="H617" i="1"/>
  <c r="G617" i="1"/>
  <c r="F617" i="1"/>
  <c r="E617" i="1"/>
  <c r="B617" i="1"/>
  <c r="S616" i="1"/>
  <c r="R616" i="1"/>
  <c r="Q616" i="1"/>
  <c r="P616" i="1"/>
  <c r="O616" i="1"/>
  <c r="N616" i="1"/>
  <c r="L616" i="1"/>
  <c r="I616" i="1"/>
  <c r="K616" i="1" s="1"/>
  <c r="H616" i="1"/>
  <c r="G616" i="1"/>
  <c r="F616" i="1"/>
  <c r="E616" i="1"/>
  <c r="B616" i="1"/>
  <c r="S615" i="1"/>
  <c r="R615" i="1"/>
  <c r="Q615" i="1"/>
  <c r="P615" i="1"/>
  <c r="O615" i="1"/>
  <c r="N615" i="1"/>
  <c r="L615" i="1"/>
  <c r="I615" i="1"/>
  <c r="K615" i="1" s="1"/>
  <c r="H615" i="1"/>
  <c r="G615" i="1"/>
  <c r="F615" i="1"/>
  <c r="E615" i="1"/>
  <c r="B615" i="1"/>
  <c r="S614" i="1"/>
  <c r="R614" i="1"/>
  <c r="Q614" i="1"/>
  <c r="P614" i="1"/>
  <c r="O614" i="1"/>
  <c r="N614" i="1"/>
  <c r="L614" i="1"/>
  <c r="I614" i="1"/>
  <c r="K614" i="1" s="1"/>
  <c r="H614" i="1"/>
  <c r="G614" i="1"/>
  <c r="F614" i="1"/>
  <c r="E614" i="1"/>
  <c r="B614" i="1"/>
  <c r="S613" i="1"/>
  <c r="R613" i="1"/>
  <c r="Q613" i="1"/>
  <c r="P613" i="1"/>
  <c r="O613" i="1"/>
  <c r="N613" i="1"/>
  <c r="L613" i="1"/>
  <c r="I613" i="1"/>
  <c r="K613" i="1" s="1"/>
  <c r="H613" i="1"/>
  <c r="G613" i="1"/>
  <c r="F613" i="1"/>
  <c r="E613" i="1"/>
  <c r="B613" i="1"/>
  <c r="S612" i="1"/>
  <c r="R612" i="1"/>
  <c r="Q612" i="1"/>
  <c r="P612" i="1"/>
  <c r="O612" i="1"/>
  <c r="N612" i="1"/>
  <c r="L612" i="1"/>
  <c r="I612" i="1"/>
  <c r="K612" i="1" s="1"/>
  <c r="H612" i="1"/>
  <c r="G612" i="1"/>
  <c r="F612" i="1"/>
  <c r="E612" i="1"/>
  <c r="B612" i="1"/>
  <c r="S611" i="1"/>
  <c r="R611" i="1"/>
  <c r="Q611" i="1"/>
  <c r="P611" i="1"/>
  <c r="O611" i="1"/>
  <c r="N611" i="1"/>
  <c r="L611" i="1"/>
  <c r="I611" i="1"/>
  <c r="K611" i="1" s="1"/>
  <c r="H611" i="1"/>
  <c r="G611" i="1"/>
  <c r="F611" i="1"/>
  <c r="E611" i="1"/>
  <c r="B611" i="1"/>
  <c r="S610" i="1"/>
  <c r="R610" i="1"/>
  <c r="Q610" i="1"/>
  <c r="P610" i="1"/>
  <c r="O610" i="1"/>
  <c r="N610" i="1"/>
  <c r="L610" i="1"/>
  <c r="I610" i="1"/>
  <c r="K610" i="1" s="1"/>
  <c r="H610" i="1"/>
  <c r="G610" i="1"/>
  <c r="F610" i="1"/>
  <c r="E610" i="1"/>
  <c r="B610" i="1"/>
  <c r="S609" i="1"/>
  <c r="R609" i="1"/>
  <c r="Q609" i="1"/>
  <c r="P609" i="1"/>
  <c r="O609" i="1"/>
  <c r="N609" i="1"/>
  <c r="L609" i="1"/>
  <c r="I609" i="1"/>
  <c r="K609" i="1" s="1"/>
  <c r="H609" i="1"/>
  <c r="G609" i="1"/>
  <c r="F609" i="1"/>
  <c r="E609" i="1"/>
  <c r="B609" i="1"/>
  <c r="S608" i="1"/>
  <c r="R608" i="1"/>
  <c r="Q608" i="1"/>
  <c r="P608" i="1"/>
  <c r="O608" i="1"/>
  <c r="N608" i="1"/>
  <c r="L608" i="1"/>
  <c r="I608" i="1"/>
  <c r="K608" i="1" s="1"/>
  <c r="H608" i="1"/>
  <c r="G608" i="1"/>
  <c r="F608" i="1"/>
  <c r="E608" i="1"/>
  <c r="B608" i="1"/>
  <c r="S607" i="1"/>
  <c r="R607" i="1"/>
  <c r="Q607" i="1"/>
  <c r="P607" i="1"/>
  <c r="O607" i="1"/>
  <c r="N607" i="1"/>
  <c r="L607" i="1"/>
  <c r="I607" i="1"/>
  <c r="K607" i="1" s="1"/>
  <c r="H607" i="1"/>
  <c r="G607" i="1"/>
  <c r="F607" i="1"/>
  <c r="E607" i="1"/>
  <c r="B607" i="1"/>
  <c r="S606" i="1"/>
  <c r="R606" i="1"/>
  <c r="Q606" i="1"/>
  <c r="P606" i="1"/>
  <c r="O606" i="1"/>
  <c r="N606" i="1"/>
  <c r="L606" i="1"/>
  <c r="I606" i="1"/>
  <c r="K606" i="1" s="1"/>
  <c r="H606" i="1"/>
  <c r="G606" i="1"/>
  <c r="F606" i="1"/>
  <c r="E606" i="1"/>
  <c r="B606" i="1"/>
  <c r="S605" i="1"/>
  <c r="R605" i="1"/>
  <c r="Q605" i="1"/>
  <c r="P605" i="1"/>
  <c r="O605" i="1"/>
  <c r="N605" i="1"/>
  <c r="L605" i="1"/>
  <c r="I605" i="1"/>
  <c r="K605" i="1" s="1"/>
  <c r="H605" i="1"/>
  <c r="G605" i="1"/>
  <c r="F605" i="1"/>
  <c r="E605" i="1"/>
  <c r="B605" i="1"/>
  <c r="S604" i="1"/>
  <c r="R604" i="1"/>
  <c r="Q604" i="1"/>
  <c r="P604" i="1"/>
  <c r="O604" i="1"/>
  <c r="N604" i="1"/>
  <c r="L604" i="1"/>
  <c r="I604" i="1"/>
  <c r="K604" i="1" s="1"/>
  <c r="H604" i="1"/>
  <c r="G604" i="1"/>
  <c r="F604" i="1"/>
  <c r="E604" i="1"/>
  <c r="B604" i="1"/>
  <c r="S603" i="1"/>
  <c r="R603" i="1"/>
  <c r="Q603" i="1"/>
  <c r="P603" i="1"/>
  <c r="O603" i="1"/>
  <c r="N603" i="1"/>
  <c r="L603" i="1"/>
  <c r="I603" i="1"/>
  <c r="K603" i="1" s="1"/>
  <c r="H603" i="1"/>
  <c r="G603" i="1"/>
  <c r="F603" i="1"/>
  <c r="E603" i="1"/>
  <c r="B603" i="1"/>
  <c r="S602" i="1"/>
  <c r="R602" i="1"/>
  <c r="Q602" i="1"/>
  <c r="P602" i="1"/>
  <c r="O602" i="1"/>
  <c r="N602" i="1"/>
  <c r="L602" i="1"/>
  <c r="I602" i="1"/>
  <c r="K602" i="1" s="1"/>
  <c r="H602" i="1"/>
  <c r="G602" i="1"/>
  <c r="F602" i="1"/>
  <c r="E602" i="1"/>
  <c r="B602" i="1"/>
  <c r="S601" i="1"/>
  <c r="R601" i="1"/>
  <c r="Q601" i="1"/>
  <c r="P601" i="1"/>
  <c r="O601" i="1"/>
  <c r="N601" i="1"/>
  <c r="L601" i="1"/>
  <c r="I601" i="1"/>
  <c r="K601" i="1" s="1"/>
  <c r="H601" i="1"/>
  <c r="G601" i="1"/>
  <c r="F601" i="1"/>
  <c r="E601" i="1"/>
  <c r="B601" i="1"/>
  <c r="S600" i="1"/>
  <c r="R600" i="1"/>
  <c r="Q600" i="1"/>
  <c r="P600" i="1"/>
  <c r="O600" i="1"/>
  <c r="N600" i="1"/>
  <c r="L600" i="1"/>
  <c r="I600" i="1"/>
  <c r="K600" i="1" s="1"/>
  <c r="H600" i="1"/>
  <c r="G600" i="1"/>
  <c r="F600" i="1"/>
  <c r="E600" i="1"/>
  <c r="B600" i="1"/>
  <c r="S599" i="1"/>
  <c r="R599" i="1"/>
  <c r="Q599" i="1"/>
  <c r="P599" i="1"/>
  <c r="O599" i="1"/>
  <c r="N599" i="1"/>
  <c r="L599" i="1"/>
  <c r="I599" i="1"/>
  <c r="K599" i="1" s="1"/>
  <c r="H599" i="1"/>
  <c r="G599" i="1"/>
  <c r="F599" i="1"/>
  <c r="E599" i="1"/>
  <c r="B599" i="1"/>
  <c r="S598" i="1"/>
  <c r="R598" i="1"/>
  <c r="Q598" i="1"/>
  <c r="P598" i="1"/>
  <c r="O598" i="1"/>
  <c r="N598" i="1"/>
  <c r="L598" i="1"/>
  <c r="I598" i="1"/>
  <c r="K598" i="1" s="1"/>
  <c r="H598" i="1"/>
  <c r="G598" i="1"/>
  <c r="F598" i="1"/>
  <c r="E598" i="1"/>
  <c r="B598" i="1"/>
  <c r="S597" i="1"/>
  <c r="R597" i="1"/>
  <c r="Q597" i="1"/>
  <c r="P597" i="1"/>
  <c r="O597" i="1"/>
  <c r="N597" i="1"/>
  <c r="L597" i="1"/>
  <c r="I597" i="1"/>
  <c r="K597" i="1" s="1"/>
  <c r="H597" i="1"/>
  <c r="G597" i="1"/>
  <c r="F597" i="1"/>
  <c r="E597" i="1"/>
  <c r="B597" i="1"/>
  <c r="S596" i="1"/>
  <c r="R596" i="1"/>
  <c r="Q596" i="1"/>
  <c r="P596" i="1"/>
  <c r="O596" i="1"/>
  <c r="N596" i="1"/>
  <c r="L596" i="1"/>
  <c r="I596" i="1"/>
  <c r="K596" i="1" s="1"/>
  <c r="H596" i="1"/>
  <c r="G596" i="1"/>
  <c r="F596" i="1"/>
  <c r="E596" i="1"/>
  <c r="B596" i="1"/>
  <c r="S595" i="1"/>
  <c r="R595" i="1"/>
  <c r="Q595" i="1"/>
  <c r="P595" i="1"/>
  <c r="O595" i="1"/>
  <c r="N595" i="1"/>
  <c r="L595" i="1"/>
  <c r="I595" i="1"/>
  <c r="K595" i="1" s="1"/>
  <c r="H595" i="1"/>
  <c r="G595" i="1"/>
  <c r="F595" i="1"/>
  <c r="E595" i="1"/>
  <c r="B595" i="1"/>
  <c r="S594" i="1"/>
  <c r="R594" i="1"/>
  <c r="Q594" i="1"/>
  <c r="P594" i="1"/>
  <c r="O594" i="1"/>
  <c r="N594" i="1"/>
  <c r="L594" i="1"/>
  <c r="I594" i="1"/>
  <c r="K594" i="1" s="1"/>
  <c r="H594" i="1"/>
  <c r="G594" i="1"/>
  <c r="F594" i="1"/>
  <c r="E594" i="1"/>
  <c r="B594" i="1"/>
  <c r="S593" i="1"/>
  <c r="R593" i="1"/>
  <c r="Q593" i="1"/>
  <c r="P593" i="1"/>
  <c r="O593" i="1"/>
  <c r="N593" i="1"/>
  <c r="L593" i="1"/>
  <c r="I593" i="1"/>
  <c r="K593" i="1" s="1"/>
  <c r="H593" i="1"/>
  <c r="G593" i="1"/>
  <c r="F593" i="1"/>
  <c r="E593" i="1"/>
  <c r="B593" i="1"/>
  <c r="S592" i="1"/>
  <c r="R592" i="1"/>
  <c r="Q592" i="1"/>
  <c r="P592" i="1"/>
  <c r="O592" i="1"/>
  <c r="N592" i="1"/>
  <c r="L592" i="1"/>
  <c r="I592" i="1"/>
  <c r="K592" i="1" s="1"/>
  <c r="H592" i="1"/>
  <c r="G592" i="1"/>
  <c r="F592" i="1"/>
  <c r="E592" i="1"/>
  <c r="B592" i="1"/>
  <c r="S591" i="1"/>
  <c r="R591" i="1"/>
  <c r="Q591" i="1"/>
  <c r="P591" i="1"/>
  <c r="O591" i="1"/>
  <c r="N591" i="1"/>
  <c r="L591" i="1"/>
  <c r="K591" i="1"/>
  <c r="I591" i="1"/>
  <c r="H591" i="1"/>
  <c r="G591" i="1"/>
  <c r="F591" i="1"/>
  <c r="E591" i="1"/>
  <c r="B591" i="1"/>
  <c r="S590" i="1"/>
  <c r="R590" i="1"/>
  <c r="Q590" i="1"/>
  <c r="P590" i="1"/>
  <c r="O590" i="1"/>
  <c r="N590" i="1"/>
  <c r="L590" i="1"/>
  <c r="I590" i="1"/>
  <c r="K590" i="1" s="1"/>
  <c r="H590" i="1"/>
  <c r="G590" i="1"/>
  <c r="F590" i="1"/>
  <c r="E590" i="1"/>
  <c r="B590" i="1"/>
  <c r="S589" i="1"/>
  <c r="R589" i="1"/>
  <c r="Q589" i="1"/>
  <c r="P589" i="1"/>
  <c r="O589" i="1"/>
  <c r="N589" i="1"/>
  <c r="L589" i="1"/>
  <c r="I589" i="1"/>
  <c r="K589" i="1" s="1"/>
  <c r="H589" i="1"/>
  <c r="G589" i="1"/>
  <c r="F589" i="1"/>
  <c r="E589" i="1"/>
  <c r="B589" i="1"/>
  <c r="S588" i="1"/>
  <c r="R588" i="1"/>
  <c r="Q588" i="1"/>
  <c r="P588" i="1"/>
  <c r="O588" i="1"/>
  <c r="N588" i="1"/>
  <c r="L588" i="1"/>
  <c r="I588" i="1"/>
  <c r="K588" i="1" s="1"/>
  <c r="H588" i="1"/>
  <c r="G588" i="1"/>
  <c r="F588" i="1"/>
  <c r="E588" i="1"/>
  <c r="B588" i="1"/>
  <c r="S587" i="1"/>
  <c r="R587" i="1"/>
  <c r="Q587" i="1"/>
  <c r="P587" i="1"/>
  <c r="O587" i="1"/>
  <c r="N587" i="1"/>
  <c r="L587" i="1"/>
  <c r="I587" i="1"/>
  <c r="K587" i="1" s="1"/>
  <c r="H587" i="1"/>
  <c r="G587" i="1"/>
  <c r="F587" i="1"/>
  <c r="E587" i="1"/>
  <c r="B587" i="1"/>
  <c r="S586" i="1"/>
  <c r="R586" i="1"/>
  <c r="Q586" i="1"/>
  <c r="P586" i="1"/>
  <c r="O586" i="1"/>
  <c r="N586" i="1"/>
  <c r="L586" i="1"/>
  <c r="I586" i="1"/>
  <c r="K586" i="1" s="1"/>
  <c r="H586" i="1"/>
  <c r="G586" i="1"/>
  <c r="F586" i="1"/>
  <c r="E586" i="1"/>
  <c r="B586" i="1"/>
  <c r="S585" i="1"/>
  <c r="R585" i="1"/>
  <c r="Q585" i="1"/>
  <c r="P585" i="1"/>
  <c r="O585" i="1"/>
  <c r="N585" i="1"/>
  <c r="L585" i="1"/>
  <c r="I585" i="1"/>
  <c r="K585" i="1" s="1"/>
  <c r="H585" i="1"/>
  <c r="G585" i="1"/>
  <c r="F585" i="1"/>
  <c r="E585" i="1"/>
  <c r="B585" i="1"/>
  <c r="S584" i="1"/>
  <c r="R584" i="1"/>
  <c r="Q584" i="1"/>
  <c r="P584" i="1"/>
  <c r="O584" i="1"/>
  <c r="N584" i="1"/>
  <c r="L584" i="1"/>
  <c r="I584" i="1"/>
  <c r="K584" i="1" s="1"/>
  <c r="H584" i="1"/>
  <c r="G584" i="1"/>
  <c r="F584" i="1"/>
  <c r="E584" i="1"/>
  <c r="B584" i="1"/>
  <c r="S583" i="1"/>
  <c r="R583" i="1"/>
  <c r="Q583" i="1"/>
  <c r="P583" i="1"/>
  <c r="O583" i="1"/>
  <c r="N583" i="1"/>
  <c r="L583" i="1"/>
  <c r="I583" i="1"/>
  <c r="K583" i="1" s="1"/>
  <c r="H583" i="1"/>
  <c r="G583" i="1"/>
  <c r="F583" i="1"/>
  <c r="E583" i="1"/>
  <c r="B583" i="1"/>
  <c r="S582" i="1"/>
  <c r="R582" i="1"/>
  <c r="Q582" i="1"/>
  <c r="P582" i="1"/>
  <c r="O582" i="1"/>
  <c r="N582" i="1"/>
  <c r="L582" i="1"/>
  <c r="I582" i="1"/>
  <c r="K582" i="1" s="1"/>
  <c r="H582" i="1"/>
  <c r="G582" i="1"/>
  <c r="F582" i="1"/>
  <c r="E582" i="1"/>
  <c r="B582" i="1"/>
  <c r="S581" i="1"/>
  <c r="R581" i="1"/>
  <c r="Q581" i="1"/>
  <c r="P581" i="1"/>
  <c r="O581" i="1"/>
  <c r="N581" i="1"/>
  <c r="L581" i="1"/>
  <c r="I581" i="1"/>
  <c r="K581" i="1" s="1"/>
  <c r="H581" i="1"/>
  <c r="G581" i="1"/>
  <c r="F581" i="1"/>
  <c r="E581" i="1"/>
  <c r="B581" i="1"/>
  <c r="S580" i="1"/>
  <c r="R580" i="1"/>
  <c r="Q580" i="1"/>
  <c r="P580" i="1"/>
  <c r="O580" i="1"/>
  <c r="N580" i="1"/>
  <c r="L580" i="1"/>
  <c r="I580" i="1"/>
  <c r="K580" i="1" s="1"/>
  <c r="H580" i="1"/>
  <c r="G580" i="1"/>
  <c r="F580" i="1"/>
  <c r="E580" i="1"/>
  <c r="B580" i="1"/>
  <c r="S579" i="1"/>
  <c r="R579" i="1"/>
  <c r="Q579" i="1"/>
  <c r="P579" i="1"/>
  <c r="O579" i="1"/>
  <c r="N579" i="1"/>
  <c r="L579" i="1"/>
  <c r="I579" i="1"/>
  <c r="K579" i="1" s="1"/>
  <c r="H579" i="1"/>
  <c r="G579" i="1"/>
  <c r="F579" i="1"/>
  <c r="E579" i="1"/>
  <c r="B579" i="1"/>
  <c r="S578" i="1"/>
  <c r="R578" i="1"/>
  <c r="Q578" i="1"/>
  <c r="P578" i="1"/>
  <c r="O578" i="1"/>
  <c r="N578" i="1"/>
  <c r="L578" i="1"/>
  <c r="I578" i="1"/>
  <c r="K578" i="1" s="1"/>
  <c r="H578" i="1"/>
  <c r="G578" i="1"/>
  <c r="F578" i="1"/>
  <c r="E578" i="1"/>
  <c r="B578" i="1"/>
  <c r="S577" i="1"/>
  <c r="R577" i="1"/>
  <c r="Q577" i="1"/>
  <c r="P577" i="1"/>
  <c r="O577" i="1"/>
  <c r="N577" i="1"/>
  <c r="L577" i="1"/>
  <c r="I577" i="1"/>
  <c r="K577" i="1" s="1"/>
  <c r="H577" i="1"/>
  <c r="G577" i="1"/>
  <c r="F577" i="1"/>
  <c r="E577" i="1"/>
  <c r="B577" i="1"/>
  <c r="S576" i="1"/>
  <c r="R576" i="1"/>
  <c r="Q576" i="1"/>
  <c r="P576" i="1"/>
  <c r="O576" i="1"/>
  <c r="N576" i="1"/>
  <c r="L576" i="1"/>
  <c r="I576" i="1"/>
  <c r="K576" i="1" s="1"/>
  <c r="H576" i="1"/>
  <c r="G576" i="1"/>
  <c r="F576" i="1"/>
  <c r="E576" i="1"/>
  <c r="B576" i="1"/>
  <c r="S575" i="1"/>
  <c r="R575" i="1"/>
  <c r="Q575" i="1"/>
  <c r="P575" i="1"/>
  <c r="O575" i="1"/>
  <c r="N575" i="1"/>
  <c r="L575" i="1"/>
  <c r="I575" i="1"/>
  <c r="K575" i="1" s="1"/>
  <c r="H575" i="1"/>
  <c r="G575" i="1"/>
  <c r="F575" i="1"/>
  <c r="E575" i="1"/>
  <c r="B575" i="1"/>
  <c r="S574" i="1"/>
  <c r="R574" i="1"/>
  <c r="Q574" i="1"/>
  <c r="P574" i="1"/>
  <c r="O574" i="1"/>
  <c r="N574" i="1"/>
  <c r="L574" i="1"/>
  <c r="I574" i="1"/>
  <c r="K574" i="1" s="1"/>
  <c r="H574" i="1"/>
  <c r="G574" i="1"/>
  <c r="F574" i="1"/>
  <c r="E574" i="1"/>
  <c r="B574" i="1"/>
  <c r="S573" i="1"/>
  <c r="R573" i="1"/>
  <c r="Q573" i="1"/>
  <c r="P573" i="1"/>
  <c r="O573" i="1"/>
  <c r="N573" i="1"/>
  <c r="L573" i="1"/>
  <c r="I573" i="1"/>
  <c r="K573" i="1" s="1"/>
  <c r="H573" i="1"/>
  <c r="G573" i="1"/>
  <c r="F573" i="1"/>
  <c r="E573" i="1"/>
  <c r="B573" i="1"/>
  <c r="S572" i="1"/>
  <c r="R572" i="1"/>
  <c r="Q572" i="1"/>
  <c r="P572" i="1"/>
  <c r="O572" i="1"/>
  <c r="N572" i="1"/>
  <c r="L572" i="1"/>
  <c r="I572" i="1"/>
  <c r="K572" i="1" s="1"/>
  <c r="H572" i="1"/>
  <c r="G572" i="1"/>
  <c r="F572" i="1"/>
  <c r="E572" i="1"/>
  <c r="B572" i="1"/>
  <c r="S571" i="1"/>
  <c r="R571" i="1"/>
  <c r="Q571" i="1"/>
  <c r="P571" i="1"/>
  <c r="O571" i="1"/>
  <c r="N571" i="1"/>
  <c r="L571" i="1"/>
  <c r="I571" i="1"/>
  <c r="K571" i="1" s="1"/>
  <c r="H571" i="1"/>
  <c r="G571" i="1"/>
  <c r="F571" i="1"/>
  <c r="E571" i="1"/>
  <c r="B571" i="1"/>
  <c r="S570" i="1"/>
  <c r="R570" i="1"/>
  <c r="Q570" i="1"/>
  <c r="P570" i="1"/>
  <c r="O570" i="1"/>
  <c r="N570" i="1"/>
  <c r="L570" i="1"/>
  <c r="I570" i="1"/>
  <c r="K570" i="1" s="1"/>
  <c r="H570" i="1"/>
  <c r="G570" i="1"/>
  <c r="F570" i="1"/>
  <c r="E570" i="1"/>
  <c r="B570" i="1"/>
  <c r="S569" i="1"/>
  <c r="R569" i="1"/>
  <c r="Q569" i="1"/>
  <c r="P569" i="1"/>
  <c r="O569" i="1"/>
  <c r="N569" i="1"/>
  <c r="L569" i="1"/>
  <c r="I569" i="1"/>
  <c r="K569" i="1" s="1"/>
  <c r="H569" i="1"/>
  <c r="G569" i="1"/>
  <c r="F569" i="1"/>
  <c r="E569" i="1"/>
  <c r="B569" i="1"/>
  <c r="S568" i="1"/>
  <c r="R568" i="1"/>
  <c r="Q568" i="1"/>
  <c r="P568" i="1"/>
  <c r="O568" i="1"/>
  <c r="N568" i="1"/>
  <c r="L568" i="1"/>
  <c r="I568" i="1"/>
  <c r="K568" i="1" s="1"/>
  <c r="H568" i="1"/>
  <c r="G568" i="1"/>
  <c r="F568" i="1"/>
  <c r="E568" i="1"/>
  <c r="B568" i="1"/>
  <c r="S567" i="1"/>
  <c r="R567" i="1"/>
  <c r="Q567" i="1"/>
  <c r="P567" i="1"/>
  <c r="O567" i="1"/>
  <c r="N567" i="1"/>
  <c r="L567" i="1"/>
  <c r="I567" i="1"/>
  <c r="K567" i="1" s="1"/>
  <c r="H567" i="1"/>
  <c r="G567" i="1"/>
  <c r="F567" i="1"/>
  <c r="E567" i="1"/>
  <c r="B567" i="1"/>
  <c r="S566" i="1"/>
  <c r="R566" i="1"/>
  <c r="Q566" i="1"/>
  <c r="P566" i="1"/>
  <c r="O566" i="1"/>
  <c r="N566" i="1"/>
  <c r="L566" i="1"/>
  <c r="I566" i="1"/>
  <c r="K566" i="1" s="1"/>
  <c r="H566" i="1"/>
  <c r="G566" i="1"/>
  <c r="F566" i="1"/>
  <c r="E566" i="1"/>
  <c r="B566" i="1"/>
  <c r="S565" i="1"/>
  <c r="R565" i="1"/>
  <c r="Q565" i="1"/>
  <c r="P565" i="1"/>
  <c r="O565" i="1"/>
  <c r="N565" i="1"/>
  <c r="L565" i="1"/>
  <c r="I565" i="1"/>
  <c r="K565" i="1" s="1"/>
  <c r="H565" i="1"/>
  <c r="G565" i="1"/>
  <c r="F565" i="1"/>
  <c r="E565" i="1"/>
  <c r="B565" i="1"/>
  <c r="S564" i="1"/>
  <c r="R564" i="1"/>
  <c r="Q564" i="1"/>
  <c r="P564" i="1"/>
  <c r="O564" i="1"/>
  <c r="N564" i="1"/>
  <c r="L564" i="1"/>
  <c r="I564" i="1"/>
  <c r="K564" i="1" s="1"/>
  <c r="H564" i="1"/>
  <c r="G564" i="1"/>
  <c r="F564" i="1"/>
  <c r="E564" i="1"/>
  <c r="B564" i="1"/>
  <c r="S563" i="1"/>
  <c r="R563" i="1"/>
  <c r="Q563" i="1"/>
  <c r="P563" i="1"/>
  <c r="O563" i="1"/>
  <c r="N563" i="1"/>
  <c r="L563" i="1"/>
  <c r="I563" i="1"/>
  <c r="K563" i="1" s="1"/>
  <c r="H563" i="1"/>
  <c r="G563" i="1"/>
  <c r="F563" i="1"/>
  <c r="E563" i="1"/>
  <c r="B563" i="1"/>
  <c r="S562" i="1"/>
  <c r="R562" i="1"/>
  <c r="Q562" i="1"/>
  <c r="P562" i="1"/>
  <c r="O562" i="1"/>
  <c r="N562" i="1"/>
  <c r="L562" i="1"/>
  <c r="I562" i="1"/>
  <c r="K562" i="1" s="1"/>
  <c r="H562" i="1"/>
  <c r="G562" i="1"/>
  <c r="F562" i="1"/>
  <c r="E562" i="1"/>
  <c r="B562" i="1"/>
  <c r="S561" i="1"/>
  <c r="R561" i="1"/>
  <c r="Q561" i="1"/>
  <c r="P561" i="1"/>
  <c r="O561" i="1"/>
  <c r="N561" i="1"/>
  <c r="L561" i="1"/>
  <c r="I561" i="1"/>
  <c r="K561" i="1" s="1"/>
  <c r="H561" i="1"/>
  <c r="G561" i="1"/>
  <c r="F561" i="1"/>
  <c r="E561" i="1"/>
  <c r="B561" i="1"/>
  <c r="S560" i="1"/>
  <c r="R560" i="1"/>
  <c r="Q560" i="1"/>
  <c r="P560" i="1"/>
  <c r="O560" i="1"/>
  <c r="N560" i="1"/>
  <c r="L560" i="1"/>
  <c r="I560" i="1"/>
  <c r="K560" i="1" s="1"/>
  <c r="H560" i="1"/>
  <c r="G560" i="1"/>
  <c r="F560" i="1"/>
  <c r="E560" i="1"/>
  <c r="B560" i="1"/>
  <c r="S559" i="1"/>
  <c r="R559" i="1"/>
  <c r="Q559" i="1"/>
  <c r="P559" i="1"/>
  <c r="O559" i="1"/>
  <c r="N559" i="1"/>
  <c r="L559" i="1"/>
  <c r="K559" i="1"/>
  <c r="I559" i="1"/>
  <c r="H559" i="1"/>
  <c r="G559" i="1"/>
  <c r="F559" i="1"/>
  <c r="E559" i="1"/>
  <c r="B559" i="1"/>
  <c r="S558" i="1"/>
  <c r="R558" i="1"/>
  <c r="Q558" i="1"/>
  <c r="P558" i="1"/>
  <c r="O558" i="1"/>
  <c r="N558" i="1"/>
  <c r="L558" i="1"/>
  <c r="I558" i="1"/>
  <c r="K558" i="1" s="1"/>
  <c r="H558" i="1"/>
  <c r="G558" i="1"/>
  <c r="F558" i="1"/>
  <c r="E558" i="1"/>
  <c r="B558" i="1"/>
  <c r="S557" i="1"/>
  <c r="R557" i="1"/>
  <c r="Q557" i="1"/>
  <c r="P557" i="1"/>
  <c r="O557" i="1"/>
  <c r="N557" i="1"/>
  <c r="L557" i="1"/>
  <c r="I557" i="1"/>
  <c r="K557" i="1" s="1"/>
  <c r="H557" i="1"/>
  <c r="G557" i="1"/>
  <c r="F557" i="1"/>
  <c r="E557" i="1"/>
  <c r="B557" i="1"/>
  <c r="S556" i="1"/>
  <c r="R556" i="1"/>
  <c r="Q556" i="1"/>
  <c r="P556" i="1"/>
  <c r="O556" i="1"/>
  <c r="N556" i="1"/>
  <c r="L556" i="1"/>
  <c r="I556" i="1"/>
  <c r="K556" i="1" s="1"/>
  <c r="H556" i="1"/>
  <c r="G556" i="1"/>
  <c r="F556" i="1"/>
  <c r="E556" i="1"/>
  <c r="B556" i="1"/>
  <c r="S555" i="1"/>
  <c r="R555" i="1"/>
  <c r="Q555" i="1"/>
  <c r="P555" i="1"/>
  <c r="O555" i="1"/>
  <c r="N555" i="1"/>
  <c r="L555" i="1"/>
  <c r="I555" i="1"/>
  <c r="K555" i="1" s="1"/>
  <c r="H555" i="1"/>
  <c r="G555" i="1"/>
  <c r="F555" i="1"/>
  <c r="E555" i="1"/>
  <c r="B555" i="1"/>
  <c r="S554" i="1"/>
  <c r="R554" i="1"/>
  <c r="Q554" i="1"/>
  <c r="P554" i="1"/>
  <c r="O554" i="1"/>
  <c r="N554" i="1"/>
  <c r="L554" i="1"/>
  <c r="I554" i="1"/>
  <c r="K554" i="1" s="1"/>
  <c r="H554" i="1"/>
  <c r="G554" i="1"/>
  <c r="F554" i="1"/>
  <c r="E554" i="1"/>
  <c r="B554" i="1"/>
  <c r="S553" i="1"/>
  <c r="R553" i="1"/>
  <c r="Q553" i="1"/>
  <c r="P553" i="1"/>
  <c r="O553" i="1"/>
  <c r="N553" i="1"/>
  <c r="L553" i="1"/>
  <c r="I553" i="1"/>
  <c r="K553" i="1" s="1"/>
  <c r="H553" i="1"/>
  <c r="G553" i="1"/>
  <c r="F553" i="1"/>
  <c r="E553" i="1"/>
  <c r="B553" i="1"/>
  <c r="S552" i="1"/>
  <c r="R552" i="1"/>
  <c r="Q552" i="1"/>
  <c r="P552" i="1"/>
  <c r="O552" i="1"/>
  <c r="N552" i="1"/>
  <c r="L552" i="1"/>
  <c r="I552" i="1"/>
  <c r="K552" i="1" s="1"/>
  <c r="H552" i="1"/>
  <c r="G552" i="1"/>
  <c r="F552" i="1"/>
  <c r="E552" i="1"/>
  <c r="B552" i="1"/>
  <c r="S551" i="1"/>
  <c r="R551" i="1"/>
  <c r="Q551" i="1"/>
  <c r="P551" i="1"/>
  <c r="O551" i="1"/>
  <c r="N551" i="1"/>
  <c r="L551" i="1"/>
  <c r="I551" i="1"/>
  <c r="K551" i="1" s="1"/>
  <c r="H551" i="1"/>
  <c r="G551" i="1"/>
  <c r="F551" i="1"/>
  <c r="E551" i="1"/>
  <c r="B551" i="1"/>
  <c r="S550" i="1"/>
  <c r="R550" i="1"/>
  <c r="Q550" i="1"/>
  <c r="P550" i="1"/>
  <c r="O550" i="1"/>
  <c r="N550" i="1"/>
  <c r="L550" i="1"/>
  <c r="I550" i="1"/>
  <c r="K550" i="1" s="1"/>
  <c r="H550" i="1"/>
  <c r="G550" i="1"/>
  <c r="F550" i="1"/>
  <c r="E550" i="1"/>
  <c r="B550" i="1"/>
  <c r="S549" i="1"/>
  <c r="R549" i="1"/>
  <c r="Q549" i="1"/>
  <c r="P549" i="1"/>
  <c r="O549" i="1"/>
  <c r="N549" i="1"/>
  <c r="L549" i="1"/>
  <c r="I549" i="1"/>
  <c r="K549" i="1" s="1"/>
  <c r="H549" i="1"/>
  <c r="G549" i="1"/>
  <c r="F549" i="1"/>
  <c r="E549" i="1"/>
  <c r="B549" i="1"/>
  <c r="S548" i="1"/>
  <c r="R548" i="1"/>
  <c r="Q548" i="1"/>
  <c r="P548" i="1"/>
  <c r="O548" i="1"/>
  <c r="N548" i="1"/>
  <c r="L548" i="1"/>
  <c r="I548" i="1"/>
  <c r="K548" i="1" s="1"/>
  <c r="H548" i="1"/>
  <c r="G548" i="1"/>
  <c r="F548" i="1"/>
  <c r="E548" i="1"/>
  <c r="B548" i="1"/>
  <c r="S547" i="1"/>
  <c r="R547" i="1"/>
  <c r="Q547" i="1"/>
  <c r="P547" i="1"/>
  <c r="O547" i="1"/>
  <c r="N547" i="1"/>
  <c r="L547" i="1"/>
  <c r="I547" i="1"/>
  <c r="K547" i="1" s="1"/>
  <c r="H547" i="1"/>
  <c r="G547" i="1"/>
  <c r="F547" i="1"/>
  <c r="E547" i="1"/>
  <c r="B547" i="1"/>
  <c r="S546" i="1"/>
  <c r="R546" i="1"/>
  <c r="Q546" i="1"/>
  <c r="P546" i="1"/>
  <c r="O546" i="1"/>
  <c r="N546" i="1"/>
  <c r="L546" i="1"/>
  <c r="I546" i="1"/>
  <c r="K546" i="1" s="1"/>
  <c r="H546" i="1"/>
  <c r="G546" i="1"/>
  <c r="F546" i="1"/>
  <c r="E546" i="1"/>
  <c r="B546" i="1"/>
  <c r="S545" i="1"/>
  <c r="R545" i="1"/>
  <c r="Q545" i="1"/>
  <c r="P545" i="1"/>
  <c r="O545" i="1"/>
  <c r="N545" i="1"/>
  <c r="L545" i="1"/>
  <c r="I545" i="1"/>
  <c r="K545" i="1" s="1"/>
  <c r="H545" i="1"/>
  <c r="G545" i="1"/>
  <c r="F545" i="1"/>
  <c r="E545" i="1"/>
  <c r="B545" i="1"/>
  <c r="S544" i="1"/>
  <c r="R544" i="1"/>
  <c r="Q544" i="1"/>
  <c r="P544" i="1"/>
  <c r="O544" i="1"/>
  <c r="N544" i="1"/>
  <c r="L544" i="1"/>
  <c r="I544" i="1"/>
  <c r="K544" i="1" s="1"/>
  <c r="H544" i="1"/>
  <c r="G544" i="1"/>
  <c r="F544" i="1"/>
  <c r="E544" i="1"/>
  <c r="B544" i="1"/>
  <c r="S543" i="1"/>
  <c r="R543" i="1"/>
  <c r="Q543" i="1"/>
  <c r="P543" i="1"/>
  <c r="O543" i="1"/>
  <c r="N543" i="1"/>
  <c r="L543" i="1"/>
  <c r="I543" i="1"/>
  <c r="K543" i="1" s="1"/>
  <c r="H543" i="1"/>
  <c r="G543" i="1"/>
  <c r="F543" i="1"/>
  <c r="E543" i="1"/>
  <c r="B543" i="1"/>
  <c r="S542" i="1"/>
  <c r="R542" i="1"/>
  <c r="Q542" i="1"/>
  <c r="P542" i="1"/>
  <c r="O542" i="1"/>
  <c r="N542" i="1"/>
  <c r="L542" i="1"/>
  <c r="I542" i="1"/>
  <c r="K542" i="1" s="1"/>
  <c r="H542" i="1"/>
  <c r="G542" i="1"/>
  <c r="F542" i="1"/>
  <c r="E542" i="1"/>
  <c r="B542" i="1"/>
  <c r="S541" i="1"/>
  <c r="R541" i="1"/>
  <c r="Q541" i="1"/>
  <c r="P541" i="1"/>
  <c r="O541" i="1"/>
  <c r="N541" i="1"/>
  <c r="L541" i="1"/>
  <c r="I541" i="1"/>
  <c r="K541" i="1" s="1"/>
  <c r="H541" i="1"/>
  <c r="G541" i="1"/>
  <c r="F541" i="1"/>
  <c r="E541" i="1"/>
  <c r="B541" i="1"/>
  <c r="S540" i="1"/>
  <c r="R540" i="1"/>
  <c r="Q540" i="1"/>
  <c r="P540" i="1"/>
  <c r="O540" i="1"/>
  <c r="N540" i="1"/>
  <c r="L540" i="1"/>
  <c r="I540" i="1"/>
  <c r="K540" i="1" s="1"/>
  <c r="H540" i="1"/>
  <c r="G540" i="1"/>
  <c r="F540" i="1"/>
  <c r="E540" i="1"/>
  <c r="B540" i="1"/>
  <c r="S539" i="1"/>
  <c r="R539" i="1"/>
  <c r="Q539" i="1"/>
  <c r="P539" i="1"/>
  <c r="O539" i="1"/>
  <c r="N539" i="1"/>
  <c r="L539" i="1"/>
  <c r="I539" i="1"/>
  <c r="K539" i="1" s="1"/>
  <c r="H539" i="1"/>
  <c r="G539" i="1"/>
  <c r="F539" i="1"/>
  <c r="E539" i="1"/>
  <c r="B539" i="1"/>
  <c r="S538" i="1"/>
  <c r="R538" i="1"/>
  <c r="Q538" i="1"/>
  <c r="P538" i="1"/>
  <c r="O538" i="1"/>
  <c r="N538" i="1"/>
  <c r="L538" i="1"/>
  <c r="I538" i="1"/>
  <c r="K538" i="1" s="1"/>
  <c r="H538" i="1"/>
  <c r="G538" i="1"/>
  <c r="F538" i="1"/>
  <c r="E538" i="1"/>
  <c r="B538" i="1"/>
  <c r="S537" i="1"/>
  <c r="R537" i="1"/>
  <c r="Q537" i="1"/>
  <c r="P537" i="1"/>
  <c r="O537" i="1"/>
  <c r="N537" i="1"/>
  <c r="L537" i="1"/>
  <c r="I537" i="1"/>
  <c r="K537" i="1" s="1"/>
  <c r="H537" i="1"/>
  <c r="G537" i="1"/>
  <c r="F537" i="1"/>
  <c r="E537" i="1"/>
  <c r="B537" i="1"/>
  <c r="S536" i="1"/>
  <c r="R536" i="1"/>
  <c r="Q536" i="1"/>
  <c r="P536" i="1"/>
  <c r="O536" i="1"/>
  <c r="N536" i="1"/>
  <c r="L536" i="1"/>
  <c r="I536" i="1"/>
  <c r="K536" i="1" s="1"/>
  <c r="H536" i="1"/>
  <c r="G536" i="1"/>
  <c r="F536" i="1"/>
  <c r="E536" i="1"/>
  <c r="B536" i="1"/>
  <c r="S535" i="1"/>
  <c r="R535" i="1"/>
  <c r="Q535" i="1"/>
  <c r="P535" i="1"/>
  <c r="O535" i="1"/>
  <c r="N535" i="1"/>
  <c r="L535" i="1"/>
  <c r="I535" i="1"/>
  <c r="K535" i="1" s="1"/>
  <c r="H535" i="1"/>
  <c r="G535" i="1"/>
  <c r="F535" i="1"/>
  <c r="E535" i="1"/>
  <c r="B535" i="1"/>
  <c r="S534" i="1"/>
  <c r="R534" i="1"/>
  <c r="Q534" i="1"/>
  <c r="P534" i="1"/>
  <c r="O534" i="1"/>
  <c r="N534" i="1"/>
  <c r="L534" i="1"/>
  <c r="I534" i="1"/>
  <c r="K534" i="1" s="1"/>
  <c r="H534" i="1"/>
  <c r="G534" i="1"/>
  <c r="F534" i="1"/>
  <c r="E534" i="1"/>
  <c r="B534" i="1"/>
  <c r="S533" i="1"/>
  <c r="R533" i="1"/>
  <c r="Q533" i="1"/>
  <c r="P533" i="1"/>
  <c r="O533" i="1"/>
  <c r="N533" i="1"/>
  <c r="L533" i="1"/>
  <c r="I533" i="1"/>
  <c r="K533" i="1" s="1"/>
  <c r="H533" i="1"/>
  <c r="G533" i="1"/>
  <c r="F533" i="1"/>
  <c r="E533" i="1"/>
  <c r="B533" i="1"/>
  <c r="S532" i="1"/>
  <c r="R532" i="1"/>
  <c r="Q532" i="1"/>
  <c r="P532" i="1"/>
  <c r="O532" i="1"/>
  <c r="N532" i="1"/>
  <c r="L532" i="1"/>
  <c r="I532" i="1"/>
  <c r="K532" i="1" s="1"/>
  <c r="H532" i="1"/>
  <c r="G532" i="1"/>
  <c r="F532" i="1"/>
  <c r="E532" i="1"/>
  <c r="B532" i="1"/>
  <c r="S531" i="1"/>
  <c r="R531" i="1"/>
  <c r="Q531" i="1"/>
  <c r="P531" i="1"/>
  <c r="O531" i="1"/>
  <c r="N531" i="1"/>
  <c r="L531" i="1"/>
  <c r="I531" i="1"/>
  <c r="K531" i="1" s="1"/>
  <c r="H531" i="1"/>
  <c r="G531" i="1"/>
  <c r="F531" i="1"/>
  <c r="E531" i="1"/>
  <c r="B531" i="1"/>
  <c r="S530" i="1"/>
  <c r="R530" i="1"/>
  <c r="Q530" i="1"/>
  <c r="P530" i="1"/>
  <c r="O530" i="1"/>
  <c r="N530" i="1"/>
  <c r="L530" i="1"/>
  <c r="I530" i="1"/>
  <c r="K530" i="1" s="1"/>
  <c r="H530" i="1"/>
  <c r="G530" i="1"/>
  <c r="F530" i="1"/>
  <c r="E530" i="1"/>
  <c r="B530" i="1"/>
  <c r="S529" i="1"/>
  <c r="R529" i="1"/>
  <c r="Q529" i="1"/>
  <c r="P529" i="1"/>
  <c r="O529" i="1"/>
  <c r="N529" i="1"/>
  <c r="L529" i="1"/>
  <c r="I529" i="1"/>
  <c r="K529" i="1" s="1"/>
  <c r="H529" i="1"/>
  <c r="G529" i="1"/>
  <c r="F529" i="1"/>
  <c r="E529" i="1"/>
  <c r="B529" i="1"/>
  <c r="S528" i="1"/>
  <c r="R528" i="1"/>
  <c r="Q528" i="1"/>
  <c r="P528" i="1"/>
  <c r="O528" i="1"/>
  <c r="N528" i="1"/>
  <c r="L528" i="1"/>
  <c r="I528" i="1"/>
  <c r="K528" i="1" s="1"/>
  <c r="H528" i="1"/>
  <c r="G528" i="1"/>
  <c r="F528" i="1"/>
  <c r="E528" i="1"/>
  <c r="B528" i="1"/>
  <c r="S527" i="1"/>
  <c r="R527" i="1"/>
  <c r="Q527" i="1"/>
  <c r="P527" i="1"/>
  <c r="O527" i="1"/>
  <c r="N527" i="1"/>
  <c r="L527" i="1"/>
  <c r="I527" i="1"/>
  <c r="K527" i="1" s="1"/>
  <c r="H527" i="1"/>
  <c r="G527" i="1"/>
  <c r="F527" i="1"/>
  <c r="E527" i="1"/>
  <c r="B527" i="1"/>
  <c r="S526" i="1"/>
  <c r="R526" i="1"/>
  <c r="Q526" i="1"/>
  <c r="P526" i="1"/>
  <c r="O526" i="1"/>
  <c r="N526" i="1"/>
  <c r="L526" i="1"/>
  <c r="K526" i="1"/>
  <c r="I526" i="1"/>
  <c r="H526" i="1"/>
  <c r="G526" i="1"/>
  <c r="F526" i="1"/>
  <c r="E526" i="1"/>
  <c r="B526" i="1"/>
  <c r="S525" i="1"/>
  <c r="R525" i="1"/>
  <c r="Q525" i="1"/>
  <c r="P525" i="1"/>
  <c r="O525" i="1"/>
  <c r="N525" i="1"/>
  <c r="L525" i="1"/>
  <c r="I525" i="1"/>
  <c r="K525" i="1" s="1"/>
  <c r="H525" i="1"/>
  <c r="G525" i="1"/>
  <c r="F525" i="1"/>
  <c r="E525" i="1"/>
  <c r="B525" i="1"/>
  <c r="S524" i="1"/>
  <c r="R524" i="1"/>
  <c r="Q524" i="1"/>
  <c r="P524" i="1"/>
  <c r="O524" i="1"/>
  <c r="N524" i="1"/>
  <c r="L524" i="1"/>
  <c r="I524" i="1"/>
  <c r="K524" i="1" s="1"/>
  <c r="H524" i="1"/>
  <c r="G524" i="1"/>
  <c r="F524" i="1"/>
  <c r="E524" i="1"/>
  <c r="B524" i="1"/>
  <c r="S523" i="1"/>
  <c r="R523" i="1"/>
  <c r="Q523" i="1"/>
  <c r="P523" i="1"/>
  <c r="O523" i="1"/>
  <c r="N523" i="1"/>
  <c r="L523" i="1"/>
  <c r="I523" i="1"/>
  <c r="K523" i="1" s="1"/>
  <c r="H523" i="1"/>
  <c r="G523" i="1"/>
  <c r="F523" i="1"/>
  <c r="E523" i="1"/>
  <c r="B523" i="1"/>
  <c r="S522" i="1"/>
  <c r="R522" i="1"/>
  <c r="Q522" i="1"/>
  <c r="P522" i="1"/>
  <c r="O522" i="1"/>
  <c r="N522" i="1"/>
  <c r="L522" i="1"/>
  <c r="I522" i="1"/>
  <c r="K522" i="1" s="1"/>
  <c r="H522" i="1"/>
  <c r="G522" i="1"/>
  <c r="F522" i="1"/>
  <c r="E522" i="1"/>
  <c r="B522" i="1"/>
  <c r="S521" i="1"/>
  <c r="R521" i="1"/>
  <c r="Q521" i="1"/>
  <c r="P521" i="1"/>
  <c r="O521" i="1"/>
  <c r="N521" i="1"/>
  <c r="L521" i="1"/>
  <c r="I521" i="1"/>
  <c r="K521" i="1" s="1"/>
  <c r="H521" i="1"/>
  <c r="G521" i="1"/>
  <c r="F521" i="1"/>
  <c r="E521" i="1"/>
  <c r="B521" i="1"/>
  <c r="S520" i="1"/>
  <c r="R520" i="1"/>
  <c r="Q520" i="1"/>
  <c r="P520" i="1"/>
  <c r="O520" i="1"/>
  <c r="N520" i="1"/>
  <c r="L520" i="1"/>
  <c r="I520" i="1"/>
  <c r="K520" i="1" s="1"/>
  <c r="H520" i="1"/>
  <c r="G520" i="1"/>
  <c r="F520" i="1"/>
  <c r="E520" i="1"/>
  <c r="B520" i="1"/>
  <c r="S519" i="1"/>
  <c r="R519" i="1"/>
  <c r="Q519" i="1"/>
  <c r="P519" i="1"/>
  <c r="O519" i="1"/>
  <c r="N519" i="1"/>
  <c r="L519" i="1"/>
  <c r="I519" i="1"/>
  <c r="K519" i="1" s="1"/>
  <c r="H519" i="1"/>
  <c r="G519" i="1"/>
  <c r="F519" i="1"/>
  <c r="E519" i="1"/>
  <c r="B519" i="1"/>
  <c r="S518" i="1"/>
  <c r="R518" i="1"/>
  <c r="Q518" i="1"/>
  <c r="P518" i="1"/>
  <c r="O518" i="1"/>
  <c r="N518" i="1"/>
  <c r="L518" i="1"/>
  <c r="I518" i="1"/>
  <c r="K518" i="1" s="1"/>
  <c r="H518" i="1"/>
  <c r="G518" i="1"/>
  <c r="F518" i="1"/>
  <c r="E518" i="1"/>
  <c r="B518" i="1"/>
  <c r="S517" i="1"/>
  <c r="R517" i="1"/>
  <c r="Q517" i="1"/>
  <c r="P517" i="1"/>
  <c r="O517" i="1"/>
  <c r="N517" i="1"/>
  <c r="L517" i="1"/>
  <c r="I517" i="1"/>
  <c r="K517" i="1" s="1"/>
  <c r="H517" i="1"/>
  <c r="G517" i="1"/>
  <c r="F517" i="1"/>
  <c r="E517" i="1"/>
  <c r="B517" i="1"/>
  <c r="S516" i="1"/>
  <c r="R516" i="1"/>
  <c r="Q516" i="1"/>
  <c r="P516" i="1"/>
  <c r="O516" i="1"/>
  <c r="N516" i="1"/>
  <c r="L516" i="1"/>
  <c r="I516" i="1"/>
  <c r="K516" i="1" s="1"/>
  <c r="H516" i="1"/>
  <c r="G516" i="1"/>
  <c r="F516" i="1"/>
  <c r="E516" i="1"/>
  <c r="B516" i="1"/>
  <c r="S515" i="1"/>
  <c r="R515" i="1"/>
  <c r="Q515" i="1"/>
  <c r="P515" i="1"/>
  <c r="O515" i="1"/>
  <c r="N515" i="1"/>
  <c r="L515" i="1"/>
  <c r="I515" i="1"/>
  <c r="K515" i="1" s="1"/>
  <c r="H515" i="1"/>
  <c r="G515" i="1"/>
  <c r="F515" i="1"/>
  <c r="E515" i="1"/>
  <c r="B515" i="1"/>
  <c r="S514" i="1"/>
  <c r="R514" i="1"/>
  <c r="Q514" i="1"/>
  <c r="P514" i="1"/>
  <c r="O514" i="1"/>
  <c r="N514" i="1"/>
  <c r="L514" i="1"/>
  <c r="I514" i="1"/>
  <c r="K514" i="1" s="1"/>
  <c r="H514" i="1"/>
  <c r="G514" i="1"/>
  <c r="F514" i="1"/>
  <c r="E514" i="1"/>
  <c r="B514" i="1"/>
  <c r="S513" i="1"/>
  <c r="R513" i="1"/>
  <c r="Q513" i="1"/>
  <c r="P513" i="1"/>
  <c r="O513" i="1"/>
  <c r="N513" i="1"/>
  <c r="L513" i="1"/>
  <c r="I513" i="1"/>
  <c r="K513" i="1" s="1"/>
  <c r="H513" i="1"/>
  <c r="G513" i="1"/>
  <c r="F513" i="1"/>
  <c r="E513" i="1"/>
  <c r="B513" i="1"/>
  <c r="S512" i="1"/>
  <c r="R512" i="1"/>
  <c r="Q512" i="1"/>
  <c r="P512" i="1"/>
  <c r="O512" i="1"/>
  <c r="N512" i="1"/>
  <c r="L512" i="1"/>
  <c r="I512" i="1"/>
  <c r="K512" i="1" s="1"/>
  <c r="H512" i="1"/>
  <c r="G512" i="1"/>
  <c r="F512" i="1"/>
  <c r="E512" i="1"/>
  <c r="B512" i="1"/>
  <c r="S511" i="1"/>
  <c r="R511" i="1"/>
  <c r="Q511" i="1"/>
  <c r="P511" i="1"/>
  <c r="O511" i="1"/>
  <c r="N511" i="1"/>
  <c r="L511" i="1"/>
  <c r="I511" i="1"/>
  <c r="K511" i="1" s="1"/>
  <c r="H511" i="1"/>
  <c r="G511" i="1"/>
  <c r="F511" i="1"/>
  <c r="E511" i="1"/>
  <c r="B511" i="1"/>
  <c r="S510" i="1"/>
  <c r="R510" i="1"/>
  <c r="Q510" i="1"/>
  <c r="P510" i="1"/>
  <c r="O510" i="1"/>
  <c r="N510" i="1"/>
  <c r="L510" i="1"/>
  <c r="I510" i="1"/>
  <c r="K510" i="1" s="1"/>
  <c r="H510" i="1"/>
  <c r="G510" i="1"/>
  <c r="F510" i="1"/>
  <c r="E510" i="1"/>
  <c r="B510" i="1"/>
  <c r="S509" i="1"/>
  <c r="R509" i="1"/>
  <c r="Q509" i="1"/>
  <c r="P509" i="1"/>
  <c r="O509" i="1"/>
  <c r="N509" i="1"/>
  <c r="L509" i="1"/>
  <c r="I509" i="1"/>
  <c r="K509" i="1" s="1"/>
  <c r="H509" i="1"/>
  <c r="G509" i="1"/>
  <c r="F509" i="1"/>
  <c r="E509" i="1"/>
  <c r="B509" i="1"/>
  <c r="S508" i="1"/>
  <c r="R508" i="1"/>
  <c r="Q508" i="1"/>
  <c r="P508" i="1"/>
  <c r="O508" i="1"/>
  <c r="N508" i="1"/>
  <c r="L508" i="1"/>
  <c r="I508" i="1"/>
  <c r="K508" i="1" s="1"/>
  <c r="H508" i="1"/>
  <c r="G508" i="1"/>
  <c r="F508" i="1"/>
  <c r="E508" i="1"/>
  <c r="B508" i="1"/>
  <c r="S507" i="1"/>
  <c r="R507" i="1"/>
  <c r="Q507" i="1"/>
  <c r="P507" i="1"/>
  <c r="O507" i="1"/>
  <c r="N507" i="1"/>
  <c r="L507" i="1"/>
  <c r="I507" i="1"/>
  <c r="K507" i="1" s="1"/>
  <c r="H507" i="1"/>
  <c r="G507" i="1"/>
  <c r="F507" i="1"/>
  <c r="E507" i="1"/>
  <c r="B507" i="1"/>
  <c r="S506" i="1"/>
  <c r="R506" i="1"/>
  <c r="Q506" i="1"/>
  <c r="P506" i="1"/>
  <c r="O506" i="1"/>
  <c r="N506" i="1"/>
  <c r="L506" i="1"/>
  <c r="I506" i="1"/>
  <c r="K506" i="1" s="1"/>
  <c r="H506" i="1"/>
  <c r="G506" i="1"/>
  <c r="F506" i="1"/>
  <c r="E506" i="1"/>
  <c r="B506" i="1"/>
  <c r="S505" i="1"/>
  <c r="R505" i="1"/>
  <c r="Q505" i="1"/>
  <c r="P505" i="1"/>
  <c r="O505" i="1"/>
  <c r="N505" i="1"/>
  <c r="L505" i="1"/>
  <c r="I505" i="1"/>
  <c r="K505" i="1" s="1"/>
  <c r="H505" i="1"/>
  <c r="G505" i="1"/>
  <c r="F505" i="1"/>
  <c r="E505" i="1"/>
  <c r="B505" i="1"/>
  <c r="S504" i="1"/>
  <c r="R504" i="1"/>
  <c r="Q504" i="1"/>
  <c r="P504" i="1"/>
  <c r="O504" i="1"/>
  <c r="N504" i="1"/>
  <c r="L504" i="1"/>
  <c r="I504" i="1"/>
  <c r="K504" i="1" s="1"/>
  <c r="H504" i="1"/>
  <c r="G504" i="1"/>
  <c r="F504" i="1"/>
  <c r="E504" i="1"/>
  <c r="B504" i="1"/>
  <c r="S503" i="1"/>
  <c r="R503" i="1"/>
  <c r="Q503" i="1"/>
  <c r="P503" i="1"/>
  <c r="O503" i="1"/>
  <c r="N503" i="1"/>
  <c r="L503" i="1"/>
  <c r="I503" i="1"/>
  <c r="K503" i="1" s="1"/>
  <c r="H503" i="1"/>
  <c r="G503" i="1"/>
  <c r="F503" i="1"/>
  <c r="E503" i="1"/>
  <c r="B503" i="1"/>
  <c r="S502" i="1"/>
  <c r="R502" i="1"/>
  <c r="Q502" i="1"/>
  <c r="P502" i="1"/>
  <c r="O502" i="1"/>
  <c r="N502" i="1"/>
  <c r="L502" i="1"/>
  <c r="I502" i="1"/>
  <c r="K502" i="1" s="1"/>
  <c r="H502" i="1"/>
  <c r="G502" i="1"/>
  <c r="F502" i="1"/>
  <c r="E502" i="1"/>
  <c r="B502" i="1"/>
  <c r="S501" i="1"/>
  <c r="R501" i="1"/>
  <c r="Q501" i="1"/>
  <c r="P501" i="1"/>
  <c r="O501" i="1"/>
  <c r="N501" i="1"/>
  <c r="L501" i="1"/>
  <c r="I501" i="1"/>
  <c r="K501" i="1" s="1"/>
  <c r="H501" i="1"/>
  <c r="G501" i="1"/>
  <c r="F501" i="1"/>
  <c r="E501" i="1"/>
  <c r="B501" i="1"/>
  <c r="S500" i="1"/>
  <c r="R500" i="1"/>
  <c r="Q500" i="1"/>
  <c r="P500" i="1"/>
  <c r="O500" i="1"/>
  <c r="N500" i="1"/>
  <c r="L500" i="1"/>
  <c r="I500" i="1"/>
  <c r="K500" i="1" s="1"/>
  <c r="H500" i="1"/>
  <c r="G500" i="1"/>
  <c r="F500" i="1"/>
  <c r="E500" i="1"/>
  <c r="B500" i="1"/>
  <c r="S499" i="1"/>
  <c r="R499" i="1"/>
  <c r="Q499" i="1"/>
  <c r="P499" i="1"/>
  <c r="O499" i="1"/>
  <c r="N499" i="1"/>
  <c r="L499" i="1"/>
  <c r="I499" i="1"/>
  <c r="K499" i="1" s="1"/>
  <c r="H499" i="1"/>
  <c r="G499" i="1"/>
  <c r="F499" i="1"/>
  <c r="E499" i="1"/>
  <c r="B499" i="1"/>
  <c r="S498" i="1"/>
  <c r="R498" i="1"/>
  <c r="Q498" i="1"/>
  <c r="P498" i="1"/>
  <c r="O498" i="1"/>
  <c r="N498" i="1"/>
  <c r="L498" i="1"/>
  <c r="I498" i="1"/>
  <c r="K498" i="1" s="1"/>
  <c r="H498" i="1"/>
  <c r="G498" i="1"/>
  <c r="F498" i="1"/>
  <c r="E498" i="1"/>
  <c r="B498" i="1"/>
  <c r="S497" i="1"/>
  <c r="R497" i="1"/>
  <c r="Q497" i="1"/>
  <c r="P497" i="1"/>
  <c r="O497" i="1"/>
  <c r="N497" i="1"/>
  <c r="L497" i="1"/>
  <c r="I497" i="1"/>
  <c r="K497" i="1" s="1"/>
  <c r="H497" i="1"/>
  <c r="G497" i="1"/>
  <c r="F497" i="1"/>
  <c r="E497" i="1"/>
  <c r="B497" i="1"/>
  <c r="S496" i="1"/>
  <c r="R496" i="1"/>
  <c r="Q496" i="1"/>
  <c r="P496" i="1"/>
  <c r="O496" i="1"/>
  <c r="N496" i="1"/>
  <c r="L496" i="1"/>
  <c r="I496" i="1"/>
  <c r="K496" i="1" s="1"/>
  <c r="H496" i="1"/>
  <c r="G496" i="1"/>
  <c r="F496" i="1"/>
  <c r="E496" i="1"/>
  <c r="B496" i="1"/>
  <c r="S495" i="1"/>
  <c r="R495" i="1"/>
  <c r="Q495" i="1"/>
  <c r="P495" i="1"/>
  <c r="O495" i="1"/>
  <c r="N495" i="1"/>
  <c r="L495" i="1"/>
  <c r="I495" i="1"/>
  <c r="K495" i="1" s="1"/>
  <c r="H495" i="1"/>
  <c r="G495" i="1"/>
  <c r="F495" i="1"/>
  <c r="E495" i="1"/>
  <c r="B495" i="1"/>
  <c r="S494" i="1"/>
  <c r="R494" i="1"/>
  <c r="Q494" i="1"/>
  <c r="P494" i="1"/>
  <c r="O494" i="1"/>
  <c r="N494" i="1"/>
  <c r="L494" i="1"/>
  <c r="K494" i="1"/>
  <c r="I494" i="1"/>
  <c r="H494" i="1"/>
  <c r="G494" i="1"/>
  <c r="F494" i="1"/>
  <c r="E494" i="1"/>
  <c r="B494" i="1"/>
  <c r="S493" i="1"/>
  <c r="R493" i="1"/>
  <c r="Q493" i="1"/>
  <c r="P493" i="1"/>
  <c r="O493" i="1"/>
  <c r="N493" i="1"/>
  <c r="L493" i="1"/>
  <c r="I493" i="1"/>
  <c r="K493" i="1" s="1"/>
  <c r="H493" i="1"/>
  <c r="G493" i="1"/>
  <c r="F493" i="1"/>
  <c r="E493" i="1"/>
  <c r="B493" i="1"/>
  <c r="S492" i="1"/>
  <c r="R492" i="1"/>
  <c r="Q492" i="1"/>
  <c r="P492" i="1"/>
  <c r="O492" i="1"/>
  <c r="N492" i="1"/>
  <c r="L492" i="1"/>
  <c r="I492" i="1"/>
  <c r="K492" i="1" s="1"/>
  <c r="H492" i="1"/>
  <c r="G492" i="1"/>
  <c r="F492" i="1"/>
  <c r="E492" i="1"/>
  <c r="B492" i="1"/>
  <c r="S491" i="1"/>
  <c r="R491" i="1"/>
  <c r="Q491" i="1"/>
  <c r="P491" i="1"/>
  <c r="O491" i="1"/>
  <c r="N491" i="1"/>
  <c r="L491" i="1"/>
  <c r="I491" i="1"/>
  <c r="K491" i="1" s="1"/>
  <c r="H491" i="1"/>
  <c r="G491" i="1"/>
  <c r="F491" i="1"/>
  <c r="E491" i="1"/>
  <c r="B491" i="1"/>
  <c r="S490" i="1"/>
  <c r="R490" i="1"/>
  <c r="Q490" i="1"/>
  <c r="P490" i="1"/>
  <c r="O490" i="1"/>
  <c r="N490" i="1"/>
  <c r="L490" i="1"/>
  <c r="I490" i="1"/>
  <c r="K490" i="1" s="1"/>
  <c r="H490" i="1"/>
  <c r="G490" i="1"/>
  <c r="F490" i="1"/>
  <c r="E490" i="1"/>
  <c r="B490" i="1"/>
  <c r="S489" i="1"/>
  <c r="R489" i="1"/>
  <c r="Q489" i="1"/>
  <c r="P489" i="1"/>
  <c r="O489" i="1"/>
  <c r="N489" i="1"/>
  <c r="L489" i="1"/>
  <c r="I489" i="1"/>
  <c r="K489" i="1" s="1"/>
  <c r="H489" i="1"/>
  <c r="G489" i="1"/>
  <c r="F489" i="1"/>
  <c r="E489" i="1"/>
  <c r="B489" i="1"/>
  <c r="S488" i="1"/>
  <c r="R488" i="1"/>
  <c r="Q488" i="1"/>
  <c r="P488" i="1"/>
  <c r="O488" i="1"/>
  <c r="N488" i="1"/>
  <c r="L488" i="1"/>
  <c r="I488" i="1"/>
  <c r="K488" i="1" s="1"/>
  <c r="H488" i="1"/>
  <c r="G488" i="1"/>
  <c r="F488" i="1"/>
  <c r="E488" i="1"/>
  <c r="B488" i="1"/>
  <c r="S487" i="1"/>
  <c r="R487" i="1"/>
  <c r="Q487" i="1"/>
  <c r="P487" i="1"/>
  <c r="O487" i="1"/>
  <c r="N487" i="1"/>
  <c r="L487" i="1"/>
  <c r="I487" i="1"/>
  <c r="K487" i="1" s="1"/>
  <c r="H487" i="1"/>
  <c r="G487" i="1"/>
  <c r="F487" i="1"/>
  <c r="E487" i="1"/>
  <c r="B487" i="1"/>
  <c r="S486" i="1"/>
  <c r="R486" i="1"/>
  <c r="Q486" i="1"/>
  <c r="P486" i="1"/>
  <c r="O486" i="1"/>
  <c r="N486" i="1"/>
  <c r="L486" i="1"/>
  <c r="I486" i="1"/>
  <c r="K486" i="1" s="1"/>
  <c r="H486" i="1"/>
  <c r="G486" i="1"/>
  <c r="F486" i="1"/>
  <c r="E486" i="1"/>
  <c r="B486" i="1"/>
  <c r="S485" i="1"/>
  <c r="R485" i="1"/>
  <c r="Q485" i="1"/>
  <c r="P485" i="1"/>
  <c r="O485" i="1"/>
  <c r="N485" i="1"/>
  <c r="L485" i="1"/>
  <c r="I485" i="1"/>
  <c r="K485" i="1" s="1"/>
  <c r="H485" i="1"/>
  <c r="G485" i="1"/>
  <c r="F485" i="1"/>
  <c r="E485" i="1"/>
  <c r="B485" i="1"/>
  <c r="S484" i="1"/>
  <c r="R484" i="1"/>
  <c r="Q484" i="1"/>
  <c r="P484" i="1"/>
  <c r="O484" i="1"/>
  <c r="N484" i="1"/>
  <c r="L484" i="1"/>
  <c r="I484" i="1"/>
  <c r="K484" i="1" s="1"/>
  <c r="H484" i="1"/>
  <c r="G484" i="1"/>
  <c r="F484" i="1"/>
  <c r="E484" i="1"/>
  <c r="B484" i="1"/>
  <c r="S483" i="1"/>
  <c r="R483" i="1"/>
  <c r="Q483" i="1"/>
  <c r="P483" i="1"/>
  <c r="O483" i="1"/>
  <c r="N483" i="1"/>
  <c r="L483" i="1"/>
  <c r="I483" i="1"/>
  <c r="K483" i="1" s="1"/>
  <c r="H483" i="1"/>
  <c r="G483" i="1"/>
  <c r="F483" i="1"/>
  <c r="E483" i="1"/>
  <c r="B483" i="1"/>
  <c r="S482" i="1"/>
  <c r="R482" i="1"/>
  <c r="Q482" i="1"/>
  <c r="P482" i="1"/>
  <c r="O482" i="1"/>
  <c r="N482" i="1"/>
  <c r="L482" i="1"/>
  <c r="I482" i="1"/>
  <c r="K482" i="1" s="1"/>
  <c r="H482" i="1"/>
  <c r="G482" i="1"/>
  <c r="F482" i="1"/>
  <c r="E482" i="1"/>
  <c r="B482" i="1"/>
  <c r="S481" i="1"/>
  <c r="R481" i="1"/>
  <c r="Q481" i="1"/>
  <c r="P481" i="1"/>
  <c r="O481" i="1"/>
  <c r="N481" i="1"/>
  <c r="L481" i="1"/>
  <c r="I481" i="1"/>
  <c r="K481" i="1" s="1"/>
  <c r="H481" i="1"/>
  <c r="G481" i="1"/>
  <c r="F481" i="1"/>
  <c r="E481" i="1"/>
  <c r="B481" i="1"/>
  <c r="S480" i="1"/>
  <c r="R480" i="1"/>
  <c r="Q480" i="1"/>
  <c r="P480" i="1"/>
  <c r="O480" i="1"/>
  <c r="N480" i="1"/>
  <c r="L480" i="1"/>
  <c r="I480" i="1"/>
  <c r="K480" i="1" s="1"/>
  <c r="H480" i="1"/>
  <c r="G480" i="1"/>
  <c r="F480" i="1"/>
  <c r="E480" i="1"/>
  <c r="B480" i="1"/>
  <c r="S479" i="1"/>
  <c r="R479" i="1"/>
  <c r="Q479" i="1"/>
  <c r="P479" i="1"/>
  <c r="O479" i="1"/>
  <c r="N479" i="1"/>
  <c r="L479" i="1"/>
  <c r="I479" i="1"/>
  <c r="K479" i="1" s="1"/>
  <c r="H479" i="1"/>
  <c r="G479" i="1"/>
  <c r="F479" i="1"/>
  <c r="E479" i="1"/>
  <c r="B479" i="1"/>
  <c r="S478" i="1"/>
  <c r="R478" i="1"/>
  <c r="Q478" i="1"/>
  <c r="P478" i="1"/>
  <c r="O478" i="1"/>
  <c r="N478" i="1"/>
  <c r="L478" i="1"/>
  <c r="I478" i="1"/>
  <c r="K478" i="1" s="1"/>
  <c r="H478" i="1"/>
  <c r="G478" i="1"/>
  <c r="F478" i="1"/>
  <c r="E478" i="1"/>
  <c r="B478" i="1"/>
  <c r="S477" i="1"/>
  <c r="R477" i="1"/>
  <c r="Q477" i="1"/>
  <c r="P477" i="1"/>
  <c r="O477" i="1"/>
  <c r="N477" i="1"/>
  <c r="L477" i="1"/>
  <c r="I477" i="1"/>
  <c r="K477" i="1" s="1"/>
  <c r="H477" i="1"/>
  <c r="G477" i="1"/>
  <c r="F477" i="1"/>
  <c r="E477" i="1"/>
  <c r="B477" i="1"/>
  <c r="S476" i="1"/>
  <c r="R476" i="1"/>
  <c r="Q476" i="1"/>
  <c r="P476" i="1"/>
  <c r="O476" i="1"/>
  <c r="N476" i="1"/>
  <c r="L476" i="1"/>
  <c r="I476" i="1"/>
  <c r="K476" i="1" s="1"/>
  <c r="H476" i="1"/>
  <c r="G476" i="1"/>
  <c r="F476" i="1"/>
  <c r="E476" i="1"/>
  <c r="B476" i="1"/>
  <c r="S475" i="1"/>
  <c r="R475" i="1"/>
  <c r="Q475" i="1"/>
  <c r="P475" i="1"/>
  <c r="O475" i="1"/>
  <c r="N475" i="1"/>
  <c r="L475" i="1"/>
  <c r="I475" i="1"/>
  <c r="K475" i="1" s="1"/>
  <c r="H475" i="1"/>
  <c r="G475" i="1"/>
  <c r="F475" i="1"/>
  <c r="E475" i="1"/>
  <c r="B475" i="1"/>
  <c r="S474" i="1"/>
  <c r="R474" i="1"/>
  <c r="Q474" i="1"/>
  <c r="P474" i="1"/>
  <c r="O474" i="1"/>
  <c r="N474" i="1"/>
  <c r="L474" i="1"/>
  <c r="I474" i="1"/>
  <c r="K474" i="1" s="1"/>
  <c r="H474" i="1"/>
  <c r="G474" i="1"/>
  <c r="F474" i="1"/>
  <c r="E474" i="1"/>
  <c r="B474" i="1"/>
  <c r="S473" i="1"/>
  <c r="R473" i="1"/>
  <c r="Q473" i="1"/>
  <c r="P473" i="1"/>
  <c r="O473" i="1"/>
  <c r="N473" i="1"/>
  <c r="L473" i="1"/>
  <c r="I473" i="1"/>
  <c r="K473" i="1" s="1"/>
  <c r="H473" i="1"/>
  <c r="G473" i="1"/>
  <c r="F473" i="1"/>
  <c r="E473" i="1"/>
  <c r="B473" i="1"/>
  <c r="S472" i="1"/>
  <c r="R472" i="1"/>
  <c r="Q472" i="1"/>
  <c r="P472" i="1"/>
  <c r="O472" i="1"/>
  <c r="N472" i="1"/>
  <c r="L472" i="1"/>
  <c r="I472" i="1"/>
  <c r="K472" i="1" s="1"/>
  <c r="H472" i="1"/>
  <c r="G472" i="1"/>
  <c r="F472" i="1"/>
  <c r="E472" i="1"/>
  <c r="B472" i="1"/>
  <c r="S471" i="1"/>
  <c r="R471" i="1"/>
  <c r="Q471" i="1"/>
  <c r="P471" i="1"/>
  <c r="O471" i="1"/>
  <c r="N471" i="1"/>
  <c r="L471" i="1"/>
  <c r="I471" i="1"/>
  <c r="K471" i="1" s="1"/>
  <c r="H471" i="1"/>
  <c r="G471" i="1"/>
  <c r="F471" i="1"/>
  <c r="E471" i="1"/>
  <c r="B471" i="1"/>
  <c r="S470" i="1"/>
  <c r="R470" i="1"/>
  <c r="Q470" i="1"/>
  <c r="P470" i="1"/>
  <c r="O470" i="1"/>
  <c r="N470" i="1"/>
  <c r="L470" i="1"/>
  <c r="I470" i="1"/>
  <c r="K470" i="1" s="1"/>
  <c r="H470" i="1"/>
  <c r="G470" i="1"/>
  <c r="F470" i="1"/>
  <c r="E470" i="1"/>
  <c r="B470" i="1"/>
  <c r="S469" i="1"/>
  <c r="R469" i="1"/>
  <c r="Q469" i="1"/>
  <c r="P469" i="1"/>
  <c r="O469" i="1"/>
  <c r="N469" i="1"/>
  <c r="L469" i="1"/>
  <c r="I469" i="1"/>
  <c r="K469" i="1" s="1"/>
  <c r="H469" i="1"/>
  <c r="G469" i="1"/>
  <c r="F469" i="1"/>
  <c r="E469" i="1"/>
  <c r="B469" i="1"/>
  <c r="S468" i="1"/>
  <c r="R468" i="1"/>
  <c r="Q468" i="1"/>
  <c r="P468" i="1"/>
  <c r="O468" i="1"/>
  <c r="N468" i="1"/>
  <c r="L468" i="1"/>
  <c r="I468" i="1"/>
  <c r="K468" i="1" s="1"/>
  <c r="H468" i="1"/>
  <c r="G468" i="1"/>
  <c r="F468" i="1"/>
  <c r="E468" i="1"/>
  <c r="B468" i="1"/>
  <c r="S467" i="1"/>
  <c r="R467" i="1"/>
  <c r="Q467" i="1"/>
  <c r="P467" i="1"/>
  <c r="O467" i="1"/>
  <c r="N467" i="1"/>
  <c r="L467" i="1"/>
  <c r="I467" i="1"/>
  <c r="K467" i="1" s="1"/>
  <c r="H467" i="1"/>
  <c r="G467" i="1"/>
  <c r="F467" i="1"/>
  <c r="E467" i="1"/>
  <c r="B467" i="1"/>
  <c r="S466" i="1"/>
  <c r="R466" i="1"/>
  <c r="Q466" i="1"/>
  <c r="P466" i="1"/>
  <c r="O466" i="1"/>
  <c r="N466" i="1"/>
  <c r="L466" i="1"/>
  <c r="I466" i="1"/>
  <c r="K466" i="1" s="1"/>
  <c r="H466" i="1"/>
  <c r="G466" i="1"/>
  <c r="F466" i="1"/>
  <c r="E466" i="1"/>
  <c r="B466" i="1"/>
  <c r="S465" i="1"/>
  <c r="R465" i="1"/>
  <c r="Q465" i="1"/>
  <c r="P465" i="1"/>
  <c r="O465" i="1"/>
  <c r="N465" i="1"/>
  <c r="L465" i="1"/>
  <c r="I465" i="1"/>
  <c r="K465" i="1" s="1"/>
  <c r="H465" i="1"/>
  <c r="G465" i="1"/>
  <c r="F465" i="1"/>
  <c r="E465" i="1"/>
  <c r="B465" i="1"/>
  <c r="S464" i="1"/>
  <c r="R464" i="1"/>
  <c r="Q464" i="1"/>
  <c r="P464" i="1"/>
  <c r="O464" i="1"/>
  <c r="N464" i="1"/>
  <c r="L464" i="1"/>
  <c r="I464" i="1"/>
  <c r="K464" i="1" s="1"/>
  <c r="H464" i="1"/>
  <c r="G464" i="1"/>
  <c r="F464" i="1"/>
  <c r="E464" i="1"/>
  <c r="B464" i="1"/>
  <c r="S463" i="1"/>
  <c r="R463" i="1"/>
  <c r="Q463" i="1"/>
  <c r="P463" i="1"/>
  <c r="O463" i="1"/>
  <c r="N463" i="1"/>
  <c r="L463" i="1"/>
  <c r="I463" i="1"/>
  <c r="K463" i="1" s="1"/>
  <c r="H463" i="1"/>
  <c r="G463" i="1"/>
  <c r="F463" i="1"/>
  <c r="E463" i="1"/>
  <c r="B463" i="1"/>
  <c r="S462" i="1"/>
  <c r="R462" i="1"/>
  <c r="Q462" i="1"/>
  <c r="P462" i="1"/>
  <c r="O462" i="1"/>
  <c r="N462" i="1"/>
  <c r="L462" i="1"/>
  <c r="I462" i="1"/>
  <c r="K462" i="1" s="1"/>
  <c r="H462" i="1"/>
  <c r="G462" i="1"/>
  <c r="F462" i="1"/>
  <c r="E462" i="1"/>
  <c r="B462" i="1"/>
  <c r="S461" i="1"/>
  <c r="R461" i="1"/>
  <c r="Q461" i="1"/>
  <c r="P461" i="1"/>
  <c r="O461" i="1"/>
  <c r="N461" i="1"/>
  <c r="L461" i="1"/>
  <c r="I461" i="1"/>
  <c r="K461" i="1" s="1"/>
  <c r="H461" i="1"/>
  <c r="G461" i="1"/>
  <c r="F461" i="1"/>
  <c r="E461" i="1"/>
  <c r="B461" i="1"/>
  <c r="S460" i="1"/>
  <c r="R460" i="1"/>
  <c r="Q460" i="1"/>
  <c r="P460" i="1"/>
  <c r="O460" i="1"/>
  <c r="N460" i="1"/>
  <c r="L460" i="1"/>
  <c r="K460" i="1"/>
  <c r="I460" i="1"/>
  <c r="H460" i="1"/>
  <c r="G460" i="1"/>
  <c r="F460" i="1"/>
  <c r="E460" i="1"/>
  <c r="B460" i="1"/>
  <c r="S459" i="1"/>
  <c r="R459" i="1"/>
  <c r="Q459" i="1"/>
  <c r="P459" i="1"/>
  <c r="O459" i="1"/>
  <c r="N459" i="1"/>
  <c r="L459" i="1"/>
  <c r="I459" i="1"/>
  <c r="K459" i="1" s="1"/>
  <c r="H459" i="1"/>
  <c r="G459" i="1"/>
  <c r="F459" i="1"/>
  <c r="E459" i="1"/>
  <c r="B459" i="1"/>
  <c r="S458" i="1"/>
  <c r="R458" i="1"/>
  <c r="Q458" i="1"/>
  <c r="P458" i="1"/>
  <c r="O458" i="1"/>
  <c r="N458" i="1"/>
  <c r="L458" i="1"/>
  <c r="I458" i="1"/>
  <c r="K458" i="1" s="1"/>
  <c r="H458" i="1"/>
  <c r="G458" i="1"/>
  <c r="F458" i="1"/>
  <c r="E458" i="1"/>
  <c r="B458" i="1"/>
  <c r="S457" i="1"/>
  <c r="R457" i="1"/>
  <c r="Q457" i="1"/>
  <c r="P457" i="1"/>
  <c r="O457" i="1"/>
  <c r="N457" i="1"/>
  <c r="L457" i="1"/>
  <c r="I457" i="1"/>
  <c r="K457" i="1" s="1"/>
  <c r="H457" i="1"/>
  <c r="G457" i="1"/>
  <c r="F457" i="1"/>
  <c r="E457" i="1"/>
  <c r="B457" i="1"/>
  <c r="S456" i="1"/>
  <c r="R456" i="1"/>
  <c r="Q456" i="1"/>
  <c r="P456" i="1"/>
  <c r="O456" i="1"/>
  <c r="N456" i="1"/>
  <c r="L456" i="1"/>
  <c r="I456" i="1"/>
  <c r="K456" i="1" s="1"/>
  <c r="H456" i="1"/>
  <c r="G456" i="1"/>
  <c r="F456" i="1"/>
  <c r="E456" i="1"/>
  <c r="B456" i="1"/>
  <c r="S455" i="1"/>
  <c r="R455" i="1"/>
  <c r="Q455" i="1"/>
  <c r="P455" i="1"/>
  <c r="O455" i="1"/>
  <c r="N455" i="1"/>
  <c r="L455" i="1"/>
  <c r="I455" i="1"/>
  <c r="K455" i="1" s="1"/>
  <c r="H455" i="1"/>
  <c r="G455" i="1"/>
  <c r="F455" i="1"/>
  <c r="E455" i="1"/>
  <c r="B455" i="1"/>
  <c r="S454" i="1"/>
  <c r="R454" i="1"/>
  <c r="Q454" i="1"/>
  <c r="P454" i="1"/>
  <c r="O454" i="1"/>
  <c r="N454" i="1"/>
  <c r="L454" i="1"/>
  <c r="I454" i="1"/>
  <c r="K454" i="1" s="1"/>
  <c r="H454" i="1"/>
  <c r="G454" i="1"/>
  <c r="F454" i="1"/>
  <c r="E454" i="1"/>
  <c r="B454" i="1"/>
  <c r="S453" i="1"/>
  <c r="R453" i="1"/>
  <c r="Q453" i="1"/>
  <c r="P453" i="1"/>
  <c r="O453" i="1"/>
  <c r="N453" i="1"/>
  <c r="L453" i="1"/>
  <c r="I453" i="1"/>
  <c r="K453" i="1" s="1"/>
  <c r="H453" i="1"/>
  <c r="G453" i="1"/>
  <c r="F453" i="1"/>
  <c r="E453" i="1"/>
  <c r="B453" i="1"/>
  <c r="S452" i="1"/>
  <c r="R452" i="1"/>
  <c r="Q452" i="1"/>
  <c r="P452" i="1"/>
  <c r="O452" i="1"/>
  <c r="N452" i="1"/>
  <c r="L452" i="1"/>
  <c r="I452" i="1"/>
  <c r="K452" i="1" s="1"/>
  <c r="H452" i="1"/>
  <c r="G452" i="1"/>
  <c r="F452" i="1"/>
  <c r="E452" i="1"/>
  <c r="B452" i="1"/>
  <c r="S451" i="1"/>
  <c r="R451" i="1"/>
  <c r="Q451" i="1"/>
  <c r="P451" i="1"/>
  <c r="O451" i="1"/>
  <c r="N451" i="1"/>
  <c r="L451" i="1"/>
  <c r="I451" i="1"/>
  <c r="K451" i="1" s="1"/>
  <c r="H451" i="1"/>
  <c r="G451" i="1"/>
  <c r="F451" i="1"/>
  <c r="E451" i="1"/>
  <c r="B451" i="1"/>
  <c r="S450" i="1"/>
  <c r="R450" i="1"/>
  <c r="Q450" i="1"/>
  <c r="P450" i="1"/>
  <c r="O450" i="1"/>
  <c r="N450" i="1"/>
  <c r="L450" i="1"/>
  <c r="I450" i="1"/>
  <c r="K450" i="1" s="1"/>
  <c r="H450" i="1"/>
  <c r="G450" i="1"/>
  <c r="F450" i="1"/>
  <c r="E450" i="1"/>
  <c r="B450" i="1"/>
  <c r="S449" i="1"/>
  <c r="R449" i="1"/>
  <c r="Q449" i="1"/>
  <c r="P449" i="1"/>
  <c r="O449" i="1"/>
  <c r="N449" i="1"/>
  <c r="L449" i="1"/>
  <c r="I449" i="1"/>
  <c r="K449" i="1" s="1"/>
  <c r="H449" i="1"/>
  <c r="G449" i="1"/>
  <c r="F449" i="1"/>
  <c r="E449" i="1"/>
  <c r="B449" i="1"/>
  <c r="S448" i="1"/>
  <c r="R448" i="1"/>
  <c r="Q448" i="1"/>
  <c r="P448" i="1"/>
  <c r="O448" i="1"/>
  <c r="N448" i="1"/>
  <c r="L448" i="1"/>
  <c r="I448" i="1"/>
  <c r="K448" i="1" s="1"/>
  <c r="H448" i="1"/>
  <c r="G448" i="1"/>
  <c r="F448" i="1"/>
  <c r="E448" i="1"/>
  <c r="B448" i="1"/>
  <c r="S447" i="1"/>
  <c r="R447" i="1"/>
  <c r="Q447" i="1"/>
  <c r="P447" i="1"/>
  <c r="O447" i="1"/>
  <c r="N447" i="1"/>
  <c r="L447" i="1"/>
  <c r="I447" i="1"/>
  <c r="K447" i="1" s="1"/>
  <c r="H447" i="1"/>
  <c r="G447" i="1"/>
  <c r="F447" i="1"/>
  <c r="E447" i="1"/>
  <c r="B447" i="1"/>
  <c r="S446" i="1"/>
  <c r="R446" i="1"/>
  <c r="Q446" i="1"/>
  <c r="P446" i="1"/>
  <c r="O446" i="1"/>
  <c r="N446" i="1"/>
  <c r="L446" i="1"/>
  <c r="I446" i="1"/>
  <c r="K446" i="1" s="1"/>
  <c r="H446" i="1"/>
  <c r="G446" i="1"/>
  <c r="F446" i="1"/>
  <c r="E446" i="1"/>
  <c r="B446" i="1"/>
  <c r="S445" i="1"/>
  <c r="R445" i="1"/>
  <c r="Q445" i="1"/>
  <c r="P445" i="1"/>
  <c r="O445" i="1"/>
  <c r="N445" i="1"/>
  <c r="L445" i="1"/>
  <c r="I445" i="1"/>
  <c r="K445" i="1" s="1"/>
  <c r="H445" i="1"/>
  <c r="G445" i="1"/>
  <c r="F445" i="1"/>
  <c r="E445" i="1"/>
  <c r="B445" i="1"/>
  <c r="S444" i="1"/>
  <c r="R444" i="1"/>
  <c r="Q444" i="1"/>
  <c r="P444" i="1"/>
  <c r="O444" i="1"/>
  <c r="N444" i="1"/>
  <c r="L444" i="1"/>
  <c r="I444" i="1"/>
  <c r="K444" i="1" s="1"/>
  <c r="H444" i="1"/>
  <c r="G444" i="1"/>
  <c r="F444" i="1"/>
  <c r="E444" i="1"/>
  <c r="B444" i="1"/>
  <c r="S443" i="1"/>
  <c r="R443" i="1"/>
  <c r="Q443" i="1"/>
  <c r="P443" i="1"/>
  <c r="O443" i="1"/>
  <c r="N443" i="1"/>
  <c r="L443" i="1"/>
  <c r="I443" i="1"/>
  <c r="K443" i="1" s="1"/>
  <c r="H443" i="1"/>
  <c r="G443" i="1"/>
  <c r="F443" i="1"/>
  <c r="E443" i="1"/>
  <c r="B443" i="1"/>
  <c r="S442" i="1"/>
  <c r="R442" i="1"/>
  <c r="Q442" i="1"/>
  <c r="P442" i="1"/>
  <c r="O442" i="1"/>
  <c r="N442" i="1"/>
  <c r="L442" i="1"/>
  <c r="I442" i="1"/>
  <c r="K442" i="1" s="1"/>
  <c r="H442" i="1"/>
  <c r="G442" i="1"/>
  <c r="F442" i="1"/>
  <c r="E442" i="1"/>
  <c r="B442" i="1"/>
  <c r="S441" i="1"/>
  <c r="R441" i="1"/>
  <c r="Q441" i="1"/>
  <c r="P441" i="1"/>
  <c r="O441" i="1"/>
  <c r="N441" i="1"/>
  <c r="L441" i="1"/>
  <c r="I441" i="1"/>
  <c r="K441" i="1" s="1"/>
  <c r="H441" i="1"/>
  <c r="G441" i="1"/>
  <c r="F441" i="1"/>
  <c r="E441" i="1"/>
  <c r="B441" i="1"/>
  <c r="S440" i="1"/>
  <c r="R440" i="1"/>
  <c r="Q440" i="1"/>
  <c r="P440" i="1"/>
  <c r="O440" i="1"/>
  <c r="N440" i="1"/>
  <c r="L440" i="1"/>
  <c r="I440" i="1"/>
  <c r="K440" i="1" s="1"/>
  <c r="H440" i="1"/>
  <c r="G440" i="1"/>
  <c r="F440" i="1"/>
  <c r="E440" i="1"/>
  <c r="B440" i="1"/>
  <c r="S439" i="1"/>
  <c r="R439" i="1"/>
  <c r="Q439" i="1"/>
  <c r="P439" i="1"/>
  <c r="O439" i="1"/>
  <c r="N439" i="1"/>
  <c r="L439" i="1"/>
  <c r="I439" i="1"/>
  <c r="K439" i="1" s="1"/>
  <c r="H439" i="1"/>
  <c r="G439" i="1"/>
  <c r="F439" i="1"/>
  <c r="E439" i="1"/>
  <c r="B439" i="1"/>
  <c r="S438" i="1"/>
  <c r="R438" i="1"/>
  <c r="Q438" i="1"/>
  <c r="P438" i="1"/>
  <c r="O438" i="1"/>
  <c r="N438" i="1"/>
  <c r="L438" i="1"/>
  <c r="I438" i="1"/>
  <c r="K438" i="1" s="1"/>
  <c r="H438" i="1"/>
  <c r="G438" i="1"/>
  <c r="F438" i="1"/>
  <c r="E438" i="1"/>
  <c r="B438" i="1"/>
  <c r="S437" i="1"/>
  <c r="R437" i="1"/>
  <c r="Q437" i="1"/>
  <c r="P437" i="1"/>
  <c r="O437" i="1"/>
  <c r="N437" i="1"/>
  <c r="L437" i="1"/>
  <c r="I437" i="1"/>
  <c r="K437" i="1" s="1"/>
  <c r="H437" i="1"/>
  <c r="G437" i="1"/>
  <c r="F437" i="1"/>
  <c r="E437" i="1"/>
  <c r="B437" i="1"/>
  <c r="S436" i="1"/>
  <c r="R436" i="1"/>
  <c r="Q436" i="1"/>
  <c r="P436" i="1"/>
  <c r="O436" i="1"/>
  <c r="N436" i="1"/>
  <c r="L436" i="1"/>
  <c r="I436" i="1"/>
  <c r="K436" i="1" s="1"/>
  <c r="H436" i="1"/>
  <c r="G436" i="1"/>
  <c r="F436" i="1"/>
  <c r="E436" i="1"/>
  <c r="B436" i="1"/>
  <c r="S435" i="1"/>
  <c r="R435" i="1"/>
  <c r="Q435" i="1"/>
  <c r="P435" i="1"/>
  <c r="O435" i="1"/>
  <c r="N435" i="1"/>
  <c r="L435" i="1"/>
  <c r="I435" i="1"/>
  <c r="K435" i="1" s="1"/>
  <c r="H435" i="1"/>
  <c r="G435" i="1"/>
  <c r="F435" i="1"/>
  <c r="E435" i="1"/>
  <c r="B435" i="1"/>
  <c r="S434" i="1"/>
  <c r="R434" i="1"/>
  <c r="Q434" i="1"/>
  <c r="P434" i="1"/>
  <c r="O434" i="1"/>
  <c r="N434" i="1"/>
  <c r="L434" i="1"/>
  <c r="I434" i="1"/>
  <c r="K434" i="1" s="1"/>
  <c r="H434" i="1"/>
  <c r="G434" i="1"/>
  <c r="F434" i="1"/>
  <c r="E434" i="1"/>
  <c r="B434" i="1"/>
  <c r="S433" i="1"/>
  <c r="R433" i="1"/>
  <c r="Q433" i="1"/>
  <c r="P433" i="1"/>
  <c r="O433" i="1"/>
  <c r="N433" i="1"/>
  <c r="L433" i="1"/>
  <c r="I433" i="1"/>
  <c r="K433" i="1" s="1"/>
  <c r="H433" i="1"/>
  <c r="G433" i="1"/>
  <c r="F433" i="1"/>
  <c r="E433" i="1"/>
  <c r="B433" i="1"/>
  <c r="S432" i="1"/>
  <c r="R432" i="1"/>
  <c r="Q432" i="1"/>
  <c r="P432" i="1"/>
  <c r="O432" i="1"/>
  <c r="N432" i="1"/>
  <c r="L432" i="1"/>
  <c r="I432" i="1"/>
  <c r="K432" i="1" s="1"/>
  <c r="H432" i="1"/>
  <c r="G432" i="1"/>
  <c r="F432" i="1"/>
  <c r="E432" i="1"/>
  <c r="B432" i="1"/>
  <c r="S431" i="1"/>
  <c r="R431" i="1"/>
  <c r="Q431" i="1"/>
  <c r="P431" i="1"/>
  <c r="O431" i="1"/>
  <c r="N431" i="1"/>
  <c r="L431" i="1"/>
  <c r="I431" i="1"/>
  <c r="K431" i="1" s="1"/>
  <c r="H431" i="1"/>
  <c r="G431" i="1"/>
  <c r="F431" i="1"/>
  <c r="E431" i="1"/>
  <c r="B431" i="1"/>
  <c r="S430" i="1"/>
  <c r="R430" i="1"/>
  <c r="Q430" i="1"/>
  <c r="P430" i="1"/>
  <c r="O430" i="1"/>
  <c r="N430" i="1"/>
  <c r="L430" i="1"/>
  <c r="I430" i="1"/>
  <c r="K430" i="1" s="1"/>
  <c r="H430" i="1"/>
  <c r="G430" i="1"/>
  <c r="F430" i="1"/>
  <c r="E430" i="1"/>
  <c r="B430" i="1"/>
  <c r="S429" i="1"/>
  <c r="R429" i="1"/>
  <c r="Q429" i="1"/>
  <c r="P429" i="1"/>
  <c r="O429" i="1"/>
  <c r="N429" i="1"/>
  <c r="L429" i="1"/>
  <c r="I429" i="1"/>
  <c r="K429" i="1" s="1"/>
  <c r="H429" i="1"/>
  <c r="G429" i="1"/>
  <c r="F429" i="1"/>
  <c r="E429" i="1"/>
  <c r="B429" i="1"/>
  <c r="S428" i="1"/>
  <c r="R428" i="1"/>
  <c r="Q428" i="1"/>
  <c r="P428" i="1"/>
  <c r="O428" i="1"/>
  <c r="N428" i="1"/>
  <c r="L428" i="1"/>
  <c r="K428" i="1"/>
  <c r="I428" i="1"/>
  <c r="H428" i="1"/>
  <c r="G428" i="1"/>
  <c r="F428" i="1"/>
  <c r="E428" i="1"/>
  <c r="B428" i="1"/>
  <c r="S427" i="1"/>
  <c r="R427" i="1"/>
  <c r="Q427" i="1"/>
  <c r="P427" i="1"/>
  <c r="O427" i="1"/>
  <c r="N427" i="1"/>
  <c r="L427" i="1"/>
  <c r="I427" i="1"/>
  <c r="K427" i="1" s="1"/>
  <c r="H427" i="1"/>
  <c r="G427" i="1"/>
  <c r="F427" i="1"/>
  <c r="E427" i="1"/>
  <c r="B427" i="1"/>
  <c r="S426" i="1"/>
  <c r="R426" i="1"/>
  <c r="Q426" i="1"/>
  <c r="P426" i="1"/>
  <c r="O426" i="1"/>
  <c r="N426" i="1"/>
  <c r="L426" i="1"/>
  <c r="I426" i="1"/>
  <c r="K426" i="1" s="1"/>
  <c r="H426" i="1"/>
  <c r="G426" i="1"/>
  <c r="F426" i="1"/>
  <c r="E426" i="1"/>
  <c r="B426" i="1"/>
  <c r="S425" i="1"/>
  <c r="R425" i="1"/>
  <c r="Q425" i="1"/>
  <c r="P425" i="1"/>
  <c r="O425" i="1"/>
  <c r="N425" i="1"/>
  <c r="L425" i="1"/>
  <c r="I425" i="1"/>
  <c r="K425" i="1" s="1"/>
  <c r="H425" i="1"/>
  <c r="G425" i="1"/>
  <c r="F425" i="1"/>
  <c r="E425" i="1"/>
  <c r="B425" i="1"/>
  <c r="S424" i="1"/>
  <c r="R424" i="1"/>
  <c r="Q424" i="1"/>
  <c r="P424" i="1"/>
  <c r="O424" i="1"/>
  <c r="N424" i="1"/>
  <c r="L424" i="1"/>
  <c r="I424" i="1"/>
  <c r="K424" i="1" s="1"/>
  <c r="H424" i="1"/>
  <c r="G424" i="1"/>
  <c r="F424" i="1"/>
  <c r="E424" i="1"/>
  <c r="B424" i="1"/>
  <c r="S423" i="1"/>
  <c r="R423" i="1"/>
  <c r="Q423" i="1"/>
  <c r="P423" i="1"/>
  <c r="O423" i="1"/>
  <c r="N423" i="1"/>
  <c r="L423" i="1"/>
  <c r="I423" i="1"/>
  <c r="K423" i="1" s="1"/>
  <c r="H423" i="1"/>
  <c r="G423" i="1"/>
  <c r="F423" i="1"/>
  <c r="E423" i="1"/>
  <c r="B423" i="1"/>
  <c r="S422" i="1"/>
  <c r="R422" i="1"/>
  <c r="Q422" i="1"/>
  <c r="P422" i="1"/>
  <c r="O422" i="1"/>
  <c r="N422" i="1"/>
  <c r="L422" i="1"/>
  <c r="I422" i="1"/>
  <c r="K422" i="1" s="1"/>
  <c r="H422" i="1"/>
  <c r="G422" i="1"/>
  <c r="F422" i="1"/>
  <c r="E422" i="1"/>
  <c r="B422" i="1"/>
  <c r="S421" i="1"/>
  <c r="R421" i="1"/>
  <c r="Q421" i="1"/>
  <c r="P421" i="1"/>
  <c r="O421" i="1"/>
  <c r="N421" i="1"/>
  <c r="L421" i="1"/>
  <c r="I421" i="1"/>
  <c r="K421" i="1" s="1"/>
  <c r="H421" i="1"/>
  <c r="G421" i="1"/>
  <c r="F421" i="1"/>
  <c r="E421" i="1"/>
  <c r="B421" i="1"/>
  <c r="S420" i="1"/>
  <c r="R420" i="1"/>
  <c r="Q420" i="1"/>
  <c r="P420" i="1"/>
  <c r="O420" i="1"/>
  <c r="N420" i="1"/>
  <c r="L420" i="1"/>
  <c r="I420" i="1"/>
  <c r="K420" i="1" s="1"/>
  <c r="H420" i="1"/>
  <c r="G420" i="1"/>
  <c r="F420" i="1"/>
  <c r="E420" i="1"/>
  <c r="B420" i="1"/>
  <c r="S419" i="1"/>
  <c r="R419" i="1"/>
  <c r="Q419" i="1"/>
  <c r="P419" i="1"/>
  <c r="O419" i="1"/>
  <c r="N419" i="1"/>
  <c r="L419" i="1"/>
  <c r="I419" i="1"/>
  <c r="K419" i="1" s="1"/>
  <c r="H419" i="1"/>
  <c r="G419" i="1"/>
  <c r="F419" i="1"/>
  <c r="E419" i="1"/>
  <c r="B419" i="1"/>
  <c r="S418" i="1"/>
  <c r="R418" i="1"/>
  <c r="Q418" i="1"/>
  <c r="P418" i="1"/>
  <c r="O418" i="1"/>
  <c r="N418" i="1"/>
  <c r="L418" i="1"/>
  <c r="I418" i="1"/>
  <c r="K418" i="1" s="1"/>
  <c r="H418" i="1"/>
  <c r="G418" i="1"/>
  <c r="F418" i="1"/>
  <c r="E418" i="1"/>
  <c r="B418" i="1"/>
  <c r="S417" i="1"/>
  <c r="R417" i="1"/>
  <c r="Q417" i="1"/>
  <c r="P417" i="1"/>
  <c r="O417" i="1"/>
  <c r="N417" i="1"/>
  <c r="L417" i="1"/>
  <c r="I417" i="1"/>
  <c r="K417" i="1" s="1"/>
  <c r="H417" i="1"/>
  <c r="G417" i="1"/>
  <c r="F417" i="1"/>
  <c r="E417" i="1"/>
  <c r="B417" i="1"/>
  <c r="S416" i="1"/>
  <c r="R416" i="1"/>
  <c r="Q416" i="1"/>
  <c r="P416" i="1"/>
  <c r="O416" i="1"/>
  <c r="N416" i="1"/>
  <c r="L416" i="1"/>
  <c r="I416" i="1"/>
  <c r="K416" i="1" s="1"/>
  <c r="H416" i="1"/>
  <c r="G416" i="1"/>
  <c r="F416" i="1"/>
  <c r="E416" i="1"/>
  <c r="B416" i="1"/>
  <c r="S415" i="1"/>
  <c r="R415" i="1"/>
  <c r="Q415" i="1"/>
  <c r="P415" i="1"/>
  <c r="O415" i="1"/>
  <c r="N415" i="1"/>
  <c r="L415" i="1"/>
  <c r="I415" i="1"/>
  <c r="K415" i="1" s="1"/>
  <c r="H415" i="1"/>
  <c r="G415" i="1"/>
  <c r="F415" i="1"/>
  <c r="E415" i="1"/>
  <c r="B415" i="1"/>
  <c r="S414" i="1"/>
  <c r="R414" i="1"/>
  <c r="Q414" i="1"/>
  <c r="P414" i="1"/>
  <c r="O414" i="1"/>
  <c r="N414" i="1"/>
  <c r="L414" i="1"/>
  <c r="I414" i="1"/>
  <c r="K414" i="1" s="1"/>
  <c r="H414" i="1"/>
  <c r="G414" i="1"/>
  <c r="F414" i="1"/>
  <c r="E414" i="1"/>
  <c r="B414" i="1"/>
  <c r="S413" i="1"/>
  <c r="R413" i="1"/>
  <c r="Q413" i="1"/>
  <c r="P413" i="1"/>
  <c r="O413" i="1"/>
  <c r="N413" i="1"/>
  <c r="L413" i="1"/>
  <c r="I413" i="1"/>
  <c r="K413" i="1" s="1"/>
  <c r="H413" i="1"/>
  <c r="G413" i="1"/>
  <c r="F413" i="1"/>
  <c r="E413" i="1"/>
  <c r="B413" i="1"/>
  <c r="S412" i="1"/>
  <c r="R412" i="1"/>
  <c r="Q412" i="1"/>
  <c r="P412" i="1"/>
  <c r="O412" i="1"/>
  <c r="N412" i="1"/>
  <c r="L412" i="1"/>
  <c r="I412" i="1"/>
  <c r="K412" i="1" s="1"/>
  <c r="H412" i="1"/>
  <c r="G412" i="1"/>
  <c r="F412" i="1"/>
  <c r="E412" i="1"/>
  <c r="B412" i="1"/>
  <c r="S411" i="1"/>
  <c r="R411" i="1"/>
  <c r="Q411" i="1"/>
  <c r="P411" i="1"/>
  <c r="O411" i="1"/>
  <c r="N411" i="1"/>
  <c r="L411" i="1"/>
  <c r="I411" i="1"/>
  <c r="K411" i="1" s="1"/>
  <c r="H411" i="1"/>
  <c r="G411" i="1"/>
  <c r="F411" i="1"/>
  <c r="E411" i="1"/>
  <c r="B411" i="1"/>
  <c r="S410" i="1"/>
  <c r="R410" i="1"/>
  <c r="Q410" i="1"/>
  <c r="P410" i="1"/>
  <c r="O410" i="1"/>
  <c r="N410" i="1"/>
  <c r="L410" i="1"/>
  <c r="I410" i="1"/>
  <c r="K410" i="1" s="1"/>
  <c r="H410" i="1"/>
  <c r="G410" i="1"/>
  <c r="F410" i="1"/>
  <c r="E410" i="1"/>
  <c r="B410" i="1"/>
  <c r="S409" i="1"/>
  <c r="R409" i="1"/>
  <c r="Q409" i="1"/>
  <c r="P409" i="1"/>
  <c r="O409" i="1"/>
  <c r="N409" i="1"/>
  <c r="L409" i="1"/>
  <c r="I409" i="1"/>
  <c r="K409" i="1" s="1"/>
  <c r="H409" i="1"/>
  <c r="G409" i="1"/>
  <c r="F409" i="1"/>
  <c r="E409" i="1"/>
  <c r="B409" i="1"/>
  <c r="S408" i="1"/>
  <c r="R408" i="1"/>
  <c r="Q408" i="1"/>
  <c r="P408" i="1"/>
  <c r="O408" i="1"/>
  <c r="N408" i="1"/>
  <c r="L408" i="1"/>
  <c r="I408" i="1"/>
  <c r="K408" i="1" s="1"/>
  <c r="H408" i="1"/>
  <c r="G408" i="1"/>
  <c r="F408" i="1"/>
  <c r="E408" i="1"/>
  <c r="B408" i="1"/>
  <c r="S407" i="1"/>
  <c r="R407" i="1"/>
  <c r="Q407" i="1"/>
  <c r="P407" i="1"/>
  <c r="O407" i="1"/>
  <c r="N407" i="1"/>
  <c r="L407" i="1"/>
  <c r="I407" i="1"/>
  <c r="K407" i="1" s="1"/>
  <c r="H407" i="1"/>
  <c r="G407" i="1"/>
  <c r="F407" i="1"/>
  <c r="E407" i="1"/>
  <c r="B407" i="1"/>
  <c r="S406" i="1"/>
  <c r="R406" i="1"/>
  <c r="Q406" i="1"/>
  <c r="P406" i="1"/>
  <c r="O406" i="1"/>
  <c r="N406" i="1"/>
  <c r="L406" i="1"/>
  <c r="I406" i="1"/>
  <c r="K406" i="1" s="1"/>
  <c r="H406" i="1"/>
  <c r="G406" i="1"/>
  <c r="F406" i="1"/>
  <c r="E406" i="1"/>
  <c r="B406" i="1"/>
  <c r="S405" i="1"/>
  <c r="R405" i="1"/>
  <c r="Q405" i="1"/>
  <c r="P405" i="1"/>
  <c r="O405" i="1"/>
  <c r="N405" i="1"/>
  <c r="L405" i="1"/>
  <c r="I405" i="1"/>
  <c r="K405" i="1" s="1"/>
  <c r="H405" i="1"/>
  <c r="G405" i="1"/>
  <c r="F405" i="1"/>
  <c r="E405" i="1"/>
  <c r="B405" i="1"/>
  <c r="S404" i="1"/>
  <c r="R404" i="1"/>
  <c r="Q404" i="1"/>
  <c r="P404" i="1"/>
  <c r="O404" i="1"/>
  <c r="N404" i="1"/>
  <c r="L404" i="1"/>
  <c r="I404" i="1"/>
  <c r="K404" i="1" s="1"/>
  <c r="H404" i="1"/>
  <c r="G404" i="1"/>
  <c r="F404" i="1"/>
  <c r="E404" i="1"/>
  <c r="B404" i="1"/>
  <c r="S403" i="1"/>
  <c r="R403" i="1"/>
  <c r="Q403" i="1"/>
  <c r="P403" i="1"/>
  <c r="O403" i="1"/>
  <c r="N403" i="1"/>
  <c r="L403" i="1"/>
  <c r="I403" i="1"/>
  <c r="K403" i="1" s="1"/>
  <c r="H403" i="1"/>
  <c r="G403" i="1"/>
  <c r="F403" i="1"/>
  <c r="E403" i="1"/>
  <c r="B403" i="1"/>
  <c r="S402" i="1"/>
  <c r="R402" i="1"/>
  <c r="Q402" i="1"/>
  <c r="P402" i="1"/>
  <c r="O402" i="1"/>
  <c r="N402" i="1"/>
  <c r="L402" i="1"/>
  <c r="I402" i="1"/>
  <c r="K402" i="1" s="1"/>
  <c r="H402" i="1"/>
  <c r="G402" i="1"/>
  <c r="F402" i="1"/>
  <c r="E402" i="1"/>
  <c r="B402" i="1"/>
  <c r="S401" i="1"/>
  <c r="R401" i="1"/>
  <c r="Q401" i="1"/>
  <c r="P401" i="1"/>
  <c r="O401" i="1"/>
  <c r="N401" i="1"/>
  <c r="L401" i="1"/>
  <c r="I401" i="1"/>
  <c r="K401" i="1" s="1"/>
  <c r="H401" i="1"/>
  <c r="G401" i="1"/>
  <c r="F401" i="1"/>
  <c r="E401" i="1"/>
  <c r="B401" i="1"/>
  <c r="S400" i="1"/>
  <c r="R400" i="1"/>
  <c r="Q400" i="1"/>
  <c r="P400" i="1"/>
  <c r="O400" i="1"/>
  <c r="N400" i="1"/>
  <c r="L400" i="1"/>
  <c r="I400" i="1"/>
  <c r="K400" i="1" s="1"/>
  <c r="H400" i="1"/>
  <c r="G400" i="1"/>
  <c r="F400" i="1"/>
  <c r="E400" i="1"/>
  <c r="B400" i="1"/>
  <c r="S399" i="1"/>
  <c r="R399" i="1"/>
  <c r="Q399" i="1"/>
  <c r="P399" i="1"/>
  <c r="O399" i="1"/>
  <c r="N399" i="1"/>
  <c r="L399" i="1"/>
  <c r="I399" i="1"/>
  <c r="K399" i="1" s="1"/>
  <c r="H399" i="1"/>
  <c r="G399" i="1"/>
  <c r="F399" i="1"/>
  <c r="E399" i="1"/>
  <c r="B399" i="1"/>
  <c r="S398" i="1"/>
  <c r="R398" i="1"/>
  <c r="Q398" i="1"/>
  <c r="P398" i="1"/>
  <c r="O398" i="1"/>
  <c r="N398" i="1"/>
  <c r="L398" i="1"/>
  <c r="K398" i="1"/>
  <c r="I398" i="1"/>
  <c r="H398" i="1"/>
  <c r="G398" i="1"/>
  <c r="F398" i="1"/>
  <c r="E398" i="1"/>
  <c r="B398" i="1"/>
  <c r="S397" i="1"/>
  <c r="R397" i="1"/>
  <c r="Q397" i="1"/>
  <c r="P397" i="1"/>
  <c r="O397" i="1"/>
  <c r="N397" i="1"/>
  <c r="L397" i="1"/>
  <c r="I397" i="1"/>
  <c r="K397" i="1" s="1"/>
  <c r="H397" i="1"/>
  <c r="G397" i="1"/>
  <c r="F397" i="1"/>
  <c r="E397" i="1"/>
  <c r="B397" i="1"/>
  <c r="S396" i="1"/>
  <c r="R396" i="1"/>
  <c r="Q396" i="1"/>
  <c r="P396" i="1"/>
  <c r="O396" i="1"/>
  <c r="N396" i="1"/>
  <c r="L396" i="1"/>
  <c r="I396" i="1"/>
  <c r="K396" i="1" s="1"/>
  <c r="H396" i="1"/>
  <c r="G396" i="1"/>
  <c r="F396" i="1"/>
  <c r="E396" i="1"/>
  <c r="B396" i="1"/>
  <c r="S395" i="1"/>
  <c r="R395" i="1"/>
  <c r="Q395" i="1"/>
  <c r="P395" i="1"/>
  <c r="O395" i="1"/>
  <c r="N395" i="1"/>
  <c r="L395" i="1"/>
  <c r="I395" i="1"/>
  <c r="K395" i="1" s="1"/>
  <c r="H395" i="1"/>
  <c r="G395" i="1"/>
  <c r="F395" i="1"/>
  <c r="E395" i="1"/>
  <c r="B395" i="1"/>
  <c r="S394" i="1"/>
  <c r="R394" i="1"/>
  <c r="Q394" i="1"/>
  <c r="P394" i="1"/>
  <c r="O394" i="1"/>
  <c r="N394" i="1"/>
  <c r="L394" i="1"/>
  <c r="I394" i="1"/>
  <c r="K394" i="1" s="1"/>
  <c r="H394" i="1"/>
  <c r="G394" i="1"/>
  <c r="F394" i="1"/>
  <c r="E394" i="1"/>
  <c r="B394" i="1"/>
  <c r="S393" i="1"/>
  <c r="R393" i="1"/>
  <c r="Q393" i="1"/>
  <c r="P393" i="1"/>
  <c r="O393" i="1"/>
  <c r="N393" i="1"/>
  <c r="L393" i="1"/>
  <c r="I393" i="1"/>
  <c r="K393" i="1" s="1"/>
  <c r="H393" i="1"/>
  <c r="G393" i="1"/>
  <c r="F393" i="1"/>
  <c r="E393" i="1"/>
  <c r="B393" i="1"/>
  <c r="S392" i="1"/>
  <c r="R392" i="1"/>
  <c r="Q392" i="1"/>
  <c r="P392" i="1"/>
  <c r="O392" i="1"/>
  <c r="N392" i="1"/>
  <c r="L392" i="1"/>
  <c r="I392" i="1"/>
  <c r="K392" i="1" s="1"/>
  <c r="H392" i="1"/>
  <c r="G392" i="1"/>
  <c r="F392" i="1"/>
  <c r="E392" i="1"/>
  <c r="B392" i="1"/>
  <c r="S391" i="1"/>
  <c r="R391" i="1"/>
  <c r="Q391" i="1"/>
  <c r="P391" i="1"/>
  <c r="O391" i="1"/>
  <c r="N391" i="1"/>
  <c r="L391" i="1"/>
  <c r="I391" i="1"/>
  <c r="K391" i="1" s="1"/>
  <c r="H391" i="1"/>
  <c r="G391" i="1"/>
  <c r="F391" i="1"/>
  <c r="E391" i="1"/>
  <c r="B391" i="1"/>
  <c r="S390" i="1"/>
  <c r="R390" i="1"/>
  <c r="Q390" i="1"/>
  <c r="P390" i="1"/>
  <c r="O390" i="1"/>
  <c r="N390" i="1"/>
  <c r="L390" i="1"/>
  <c r="I390" i="1"/>
  <c r="K390" i="1" s="1"/>
  <c r="H390" i="1"/>
  <c r="G390" i="1"/>
  <c r="F390" i="1"/>
  <c r="E390" i="1"/>
  <c r="B390" i="1"/>
  <c r="S389" i="1"/>
  <c r="R389" i="1"/>
  <c r="Q389" i="1"/>
  <c r="P389" i="1"/>
  <c r="O389" i="1"/>
  <c r="N389" i="1"/>
  <c r="L389" i="1"/>
  <c r="I389" i="1"/>
  <c r="K389" i="1" s="1"/>
  <c r="H389" i="1"/>
  <c r="G389" i="1"/>
  <c r="F389" i="1"/>
  <c r="E389" i="1"/>
  <c r="B389" i="1"/>
  <c r="S388" i="1"/>
  <c r="R388" i="1"/>
  <c r="Q388" i="1"/>
  <c r="P388" i="1"/>
  <c r="O388" i="1"/>
  <c r="N388" i="1"/>
  <c r="L388" i="1"/>
  <c r="I388" i="1"/>
  <c r="K388" i="1" s="1"/>
  <c r="H388" i="1"/>
  <c r="G388" i="1"/>
  <c r="F388" i="1"/>
  <c r="E388" i="1"/>
  <c r="B388" i="1"/>
  <c r="S387" i="1"/>
  <c r="R387" i="1"/>
  <c r="Q387" i="1"/>
  <c r="P387" i="1"/>
  <c r="O387" i="1"/>
  <c r="N387" i="1"/>
  <c r="L387" i="1"/>
  <c r="I387" i="1"/>
  <c r="K387" i="1" s="1"/>
  <c r="H387" i="1"/>
  <c r="G387" i="1"/>
  <c r="F387" i="1"/>
  <c r="E387" i="1"/>
  <c r="B387" i="1"/>
  <c r="S386" i="1"/>
  <c r="R386" i="1"/>
  <c r="Q386" i="1"/>
  <c r="P386" i="1"/>
  <c r="O386" i="1"/>
  <c r="N386" i="1"/>
  <c r="L386" i="1"/>
  <c r="I386" i="1"/>
  <c r="K386" i="1" s="1"/>
  <c r="H386" i="1"/>
  <c r="G386" i="1"/>
  <c r="F386" i="1"/>
  <c r="E386" i="1"/>
  <c r="B386" i="1"/>
  <c r="S385" i="1"/>
  <c r="R385" i="1"/>
  <c r="Q385" i="1"/>
  <c r="P385" i="1"/>
  <c r="O385" i="1"/>
  <c r="N385" i="1"/>
  <c r="L385" i="1"/>
  <c r="I385" i="1"/>
  <c r="K385" i="1" s="1"/>
  <c r="H385" i="1"/>
  <c r="G385" i="1"/>
  <c r="F385" i="1"/>
  <c r="E385" i="1"/>
  <c r="B385" i="1"/>
  <c r="S384" i="1"/>
  <c r="R384" i="1"/>
  <c r="Q384" i="1"/>
  <c r="P384" i="1"/>
  <c r="O384" i="1"/>
  <c r="N384" i="1"/>
  <c r="L384" i="1"/>
  <c r="I384" i="1"/>
  <c r="K384" i="1" s="1"/>
  <c r="H384" i="1"/>
  <c r="G384" i="1"/>
  <c r="F384" i="1"/>
  <c r="E384" i="1"/>
  <c r="B384" i="1"/>
  <c r="S383" i="1"/>
  <c r="R383" i="1"/>
  <c r="Q383" i="1"/>
  <c r="P383" i="1"/>
  <c r="O383" i="1"/>
  <c r="N383" i="1"/>
  <c r="L383" i="1"/>
  <c r="I383" i="1"/>
  <c r="K383" i="1" s="1"/>
  <c r="H383" i="1"/>
  <c r="G383" i="1"/>
  <c r="F383" i="1"/>
  <c r="E383" i="1"/>
  <c r="B383" i="1"/>
  <c r="S382" i="1"/>
  <c r="R382" i="1"/>
  <c r="Q382" i="1"/>
  <c r="P382" i="1"/>
  <c r="O382" i="1"/>
  <c r="N382" i="1"/>
  <c r="L382" i="1"/>
  <c r="I382" i="1"/>
  <c r="K382" i="1" s="1"/>
  <c r="H382" i="1"/>
  <c r="G382" i="1"/>
  <c r="F382" i="1"/>
  <c r="E382" i="1"/>
  <c r="B382" i="1"/>
  <c r="S381" i="1"/>
  <c r="R381" i="1"/>
  <c r="Q381" i="1"/>
  <c r="P381" i="1"/>
  <c r="O381" i="1"/>
  <c r="N381" i="1"/>
  <c r="L381" i="1"/>
  <c r="I381" i="1"/>
  <c r="K381" i="1" s="1"/>
  <c r="H381" i="1"/>
  <c r="G381" i="1"/>
  <c r="F381" i="1"/>
  <c r="E381" i="1"/>
  <c r="B381" i="1"/>
  <c r="S380" i="1"/>
  <c r="R380" i="1"/>
  <c r="Q380" i="1"/>
  <c r="P380" i="1"/>
  <c r="O380" i="1"/>
  <c r="N380" i="1"/>
  <c r="L380" i="1"/>
  <c r="I380" i="1"/>
  <c r="K380" i="1" s="1"/>
  <c r="H380" i="1"/>
  <c r="G380" i="1"/>
  <c r="F380" i="1"/>
  <c r="E380" i="1"/>
  <c r="B380" i="1"/>
  <c r="S379" i="1"/>
  <c r="R379" i="1"/>
  <c r="Q379" i="1"/>
  <c r="P379" i="1"/>
  <c r="O379" i="1"/>
  <c r="N379" i="1"/>
  <c r="L379" i="1"/>
  <c r="I379" i="1"/>
  <c r="K379" i="1" s="1"/>
  <c r="H379" i="1"/>
  <c r="G379" i="1"/>
  <c r="F379" i="1"/>
  <c r="E379" i="1"/>
  <c r="B379" i="1"/>
  <c r="S378" i="1"/>
  <c r="R378" i="1"/>
  <c r="Q378" i="1"/>
  <c r="P378" i="1"/>
  <c r="O378" i="1"/>
  <c r="N378" i="1"/>
  <c r="L378" i="1"/>
  <c r="I378" i="1"/>
  <c r="K378" i="1" s="1"/>
  <c r="H378" i="1"/>
  <c r="G378" i="1"/>
  <c r="F378" i="1"/>
  <c r="E378" i="1"/>
  <c r="B378" i="1"/>
  <c r="S377" i="1"/>
  <c r="R377" i="1"/>
  <c r="Q377" i="1"/>
  <c r="P377" i="1"/>
  <c r="O377" i="1"/>
  <c r="N377" i="1"/>
  <c r="L377" i="1"/>
  <c r="I377" i="1"/>
  <c r="K377" i="1" s="1"/>
  <c r="H377" i="1"/>
  <c r="G377" i="1"/>
  <c r="F377" i="1"/>
  <c r="E377" i="1"/>
  <c r="B377" i="1"/>
  <c r="S376" i="1"/>
  <c r="R376" i="1"/>
  <c r="Q376" i="1"/>
  <c r="P376" i="1"/>
  <c r="O376" i="1"/>
  <c r="N376" i="1"/>
  <c r="L376" i="1"/>
  <c r="I376" i="1"/>
  <c r="K376" i="1" s="1"/>
  <c r="H376" i="1"/>
  <c r="G376" i="1"/>
  <c r="F376" i="1"/>
  <c r="E376" i="1"/>
  <c r="B376" i="1"/>
  <c r="S375" i="1"/>
  <c r="R375" i="1"/>
  <c r="Q375" i="1"/>
  <c r="P375" i="1"/>
  <c r="O375" i="1"/>
  <c r="N375" i="1"/>
  <c r="L375" i="1"/>
  <c r="I375" i="1"/>
  <c r="K375" i="1" s="1"/>
  <c r="H375" i="1"/>
  <c r="G375" i="1"/>
  <c r="F375" i="1"/>
  <c r="E375" i="1"/>
  <c r="B375" i="1"/>
  <c r="S374" i="1"/>
  <c r="R374" i="1"/>
  <c r="Q374" i="1"/>
  <c r="P374" i="1"/>
  <c r="O374" i="1"/>
  <c r="N374" i="1"/>
  <c r="L374" i="1"/>
  <c r="I374" i="1"/>
  <c r="K374" i="1" s="1"/>
  <c r="H374" i="1"/>
  <c r="G374" i="1"/>
  <c r="F374" i="1"/>
  <c r="E374" i="1"/>
  <c r="B374" i="1"/>
  <c r="S373" i="1"/>
  <c r="R373" i="1"/>
  <c r="Q373" i="1"/>
  <c r="P373" i="1"/>
  <c r="O373" i="1"/>
  <c r="N373" i="1"/>
  <c r="L373" i="1"/>
  <c r="I373" i="1"/>
  <c r="K373" i="1" s="1"/>
  <c r="H373" i="1"/>
  <c r="G373" i="1"/>
  <c r="F373" i="1"/>
  <c r="E373" i="1"/>
  <c r="B373" i="1"/>
  <c r="S372" i="1"/>
  <c r="R372" i="1"/>
  <c r="Q372" i="1"/>
  <c r="P372" i="1"/>
  <c r="O372" i="1"/>
  <c r="N372" i="1"/>
  <c r="L372" i="1"/>
  <c r="I372" i="1"/>
  <c r="K372" i="1" s="1"/>
  <c r="H372" i="1"/>
  <c r="G372" i="1"/>
  <c r="F372" i="1"/>
  <c r="E372" i="1"/>
  <c r="B372" i="1"/>
  <c r="S371" i="1"/>
  <c r="R371" i="1"/>
  <c r="Q371" i="1"/>
  <c r="P371" i="1"/>
  <c r="O371" i="1"/>
  <c r="N371" i="1"/>
  <c r="L371" i="1"/>
  <c r="I371" i="1"/>
  <c r="K371" i="1" s="1"/>
  <c r="H371" i="1"/>
  <c r="G371" i="1"/>
  <c r="F371" i="1"/>
  <c r="E371" i="1"/>
  <c r="B371" i="1"/>
  <c r="S370" i="1"/>
  <c r="R370" i="1"/>
  <c r="Q370" i="1"/>
  <c r="P370" i="1"/>
  <c r="O370" i="1"/>
  <c r="N370" i="1"/>
  <c r="L370" i="1"/>
  <c r="I370" i="1"/>
  <c r="K370" i="1" s="1"/>
  <c r="H370" i="1"/>
  <c r="G370" i="1"/>
  <c r="F370" i="1"/>
  <c r="E370" i="1"/>
  <c r="B370" i="1"/>
  <c r="S369" i="1"/>
  <c r="R369" i="1"/>
  <c r="Q369" i="1"/>
  <c r="P369" i="1"/>
  <c r="O369" i="1"/>
  <c r="N369" i="1"/>
  <c r="L369" i="1"/>
  <c r="I369" i="1"/>
  <c r="K369" i="1" s="1"/>
  <c r="H369" i="1"/>
  <c r="G369" i="1"/>
  <c r="F369" i="1"/>
  <c r="E369" i="1"/>
  <c r="B369" i="1"/>
  <c r="S368" i="1"/>
  <c r="R368" i="1"/>
  <c r="Q368" i="1"/>
  <c r="P368" i="1"/>
  <c r="O368" i="1"/>
  <c r="N368" i="1"/>
  <c r="L368" i="1"/>
  <c r="I368" i="1"/>
  <c r="K368" i="1" s="1"/>
  <c r="H368" i="1"/>
  <c r="G368" i="1"/>
  <c r="F368" i="1"/>
  <c r="E368" i="1"/>
  <c r="B368" i="1"/>
  <c r="S367" i="1"/>
  <c r="R367" i="1"/>
  <c r="Q367" i="1"/>
  <c r="P367" i="1"/>
  <c r="O367" i="1"/>
  <c r="N367" i="1"/>
  <c r="L367" i="1"/>
  <c r="I367" i="1"/>
  <c r="K367" i="1" s="1"/>
  <c r="H367" i="1"/>
  <c r="G367" i="1"/>
  <c r="F367" i="1"/>
  <c r="E367" i="1"/>
  <c r="B367" i="1"/>
  <c r="S366" i="1"/>
  <c r="R366" i="1"/>
  <c r="Q366" i="1"/>
  <c r="P366" i="1"/>
  <c r="O366" i="1"/>
  <c r="N366" i="1"/>
  <c r="L366" i="1"/>
  <c r="I366" i="1"/>
  <c r="K366" i="1" s="1"/>
  <c r="H366" i="1"/>
  <c r="G366" i="1"/>
  <c r="F366" i="1"/>
  <c r="E366" i="1"/>
  <c r="B366" i="1"/>
  <c r="S365" i="1"/>
  <c r="R365" i="1"/>
  <c r="Q365" i="1"/>
  <c r="P365" i="1"/>
  <c r="O365" i="1"/>
  <c r="N365" i="1"/>
  <c r="L365" i="1"/>
  <c r="I365" i="1"/>
  <c r="K365" i="1" s="1"/>
  <c r="H365" i="1"/>
  <c r="G365" i="1"/>
  <c r="F365" i="1"/>
  <c r="E365" i="1"/>
  <c r="B365" i="1"/>
  <c r="S364" i="1"/>
  <c r="R364" i="1"/>
  <c r="Q364" i="1"/>
  <c r="P364" i="1"/>
  <c r="O364" i="1"/>
  <c r="N364" i="1"/>
  <c r="L364" i="1"/>
  <c r="K364" i="1"/>
  <c r="I364" i="1"/>
  <c r="H364" i="1"/>
  <c r="G364" i="1"/>
  <c r="F364" i="1"/>
  <c r="E364" i="1"/>
  <c r="B364" i="1"/>
  <c r="S363" i="1"/>
  <c r="R363" i="1"/>
  <c r="Q363" i="1"/>
  <c r="P363" i="1"/>
  <c r="O363" i="1"/>
  <c r="N363" i="1"/>
  <c r="L363" i="1"/>
  <c r="I363" i="1"/>
  <c r="K363" i="1" s="1"/>
  <c r="H363" i="1"/>
  <c r="G363" i="1"/>
  <c r="F363" i="1"/>
  <c r="E363" i="1"/>
  <c r="B363" i="1"/>
  <c r="S362" i="1"/>
  <c r="R362" i="1"/>
  <c r="Q362" i="1"/>
  <c r="P362" i="1"/>
  <c r="O362" i="1"/>
  <c r="N362" i="1"/>
  <c r="L362" i="1"/>
  <c r="I362" i="1"/>
  <c r="K362" i="1" s="1"/>
  <c r="H362" i="1"/>
  <c r="G362" i="1"/>
  <c r="F362" i="1"/>
  <c r="E362" i="1"/>
  <c r="B362" i="1"/>
  <c r="S361" i="1"/>
  <c r="R361" i="1"/>
  <c r="Q361" i="1"/>
  <c r="P361" i="1"/>
  <c r="O361" i="1"/>
  <c r="N361" i="1"/>
  <c r="L361" i="1"/>
  <c r="I361" i="1"/>
  <c r="K361" i="1" s="1"/>
  <c r="H361" i="1"/>
  <c r="G361" i="1"/>
  <c r="F361" i="1"/>
  <c r="E361" i="1"/>
  <c r="B361" i="1"/>
  <c r="S360" i="1"/>
  <c r="R360" i="1"/>
  <c r="Q360" i="1"/>
  <c r="P360" i="1"/>
  <c r="O360" i="1"/>
  <c r="N360" i="1"/>
  <c r="L360" i="1"/>
  <c r="I360" i="1"/>
  <c r="K360" i="1" s="1"/>
  <c r="H360" i="1"/>
  <c r="G360" i="1"/>
  <c r="F360" i="1"/>
  <c r="E360" i="1"/>
  <c r="B360" i="1"/>
  <c r="S359" i="1"/>
  <c r="R359" i="1"/>
  <c r="Q359" i="1"/>
  <c r="P359" i="1"/>
  <c r="O359" i="1"/>
  <c r="N359" i="1"/>
  <c r="L359" i="1"/>
  <c r="I359" i="1"/>
  <c r="K359" i="1" s="1"/>
  <c r="H359" i="1"/>
  <c r="G359" i="1"/>
  <c r="F359" i="1"/>
  <c r="E359" i="1"/>
  <c r="B359" i="1"/>
  <c r="S358" i="1"/>
  <c r="R358" i="1"/>
  <c r="Q358" i="1"/>
  <c r="P358" i="1"/>
  <c r="O358" i="1"/>
  <c r="N358" i="1"/>
  <c r="L358" i="1"/>
  <c r="I358" i="1"/>
  <c r="K358" i="1" s="1"/>
  <c r="H358" i="1"/>
  <c r="G358" i="1"/>
  <c r="F358" i="1"/>
  <c r="E358" i="1"/>
  <c r="B358" i="1"/>
  <c r="S357" i="1"/>
  <c r="R357" i="1"/>
  <c r="Q357" i="1"/>
  <c r="P357" i="1"/>
  <c r="O357" i="1"/>
  <c r="N357" i="1"/>
  <c r="L357" i="1"/>
  <c r="I357" i="1"/>
  <c r="K357" i="1" s="1"/>
  <c r="H357" i="1"/>
  <c r="G357" i="1"/>
  <c r="F357" i="1"/>
  <c r="E357" i="1"/>
  <c r="B357" i="1"/>
  <c r="S356" i="1"/>
  <c r="R356" i="1"/>
  <c r="Q356" i="1"/>
  <c r="P356" i="1"/>
  <c r="O356" i="1"/>
  <c r="N356" i="1"/>
  <c r="L356" i="1"/>
  <c r="I356" i="1"/>
  <c r="K356" i="1" s="1"/>
  <c r="H356" i="1"/>
  <c r="G356" i="1"/>
  <c r="F356" i="1"/>
  <c r="E356" i="1"/>
  <c r="B356" i="1"/>
  <c r="S355" i="1"/>
  <c r="R355" i="1"/>
  <c r="Q355" i="1"/>
  <c r="P355" i="1"/>
  <c r="O355" i="1"/>
  <c r="N355" i="1"/>
  <c r="L355" i="1"/>
  <c r="I355" i="1"/>
  <c r="K355" i="1" s="1"/>
  <c r="H355" i="1"/>
  <c r="G355" i="1"/>
  <c r="F355" i="1"/>
  <c r="E355" i="1"/>
  <c r="B355" i="1"/>
  <c r="S354" i="1"/>
  <c r="R354" i="1"/>
  <c r="Q354" i="1"/>
  <c r="P354" i="1"/>
  <c r="O354" i="1"/>
  <c r="N354" i="1"/>
  <c r="L354" i="1"/>
  <c r="I354" i="1"/>
  <c r="K354" i="1" s="1"/>
  <c r="H354" i="1"/>
  <c r="G354" i="1"/>
  <c r="F354" i="1"/>
  <c r="E354" i="1"/>
  <c r="B354" i="1"/>
  <c r="S353" i="1"/>
  <c r="R353" i="1"/>
  <c r="Q353" i="1"/>
  <c r="P353" i="1"/>
  <c r="O353" i="1"/>
  <c r="N353" i="1"/>
  <c r="L353" i="1"/>
  <c r="I353" i="1"/>
  <c r="K353" i="1" s="1"/>
  <c r="H353" i="1"/>
  <c r="G353" i="1"/>
  <c r="F353" i="1"/>
  <c r="E353" i="1"/>
  <c r="B353" i="1"/>
  <c r="S352" i="1"/>
  <c r="R352" i="1"/>
  <c r="Q352" i="1"/>
  <c r="P352" i="1"/>
  <c r="O352" i="1"/>
  <c r="N352" i="1"/>
  <c r="L352" i="1"/>
  <c r="I352" i="1"/>
  <c r="K352" i="1" s="1"/>
  <c r="H352" i="1"/>
  <c r="G352" i="1"/>
  <c r="F352" i="1"/>
  <c r="E352" i="1"/>
  <c r="B352" i="1"/>
  <c r="S351" i="1"/>
  <c r="R351" i="1"/>
  <c r="Q351" i="1"/>
  <c r="P351" i="1"/>
  <c r="O351" i="1"/>
  <c r="N351" i="1"/>
  <c r="L351" i="1"/>
  <c r="I351" i="1"/>
  <c r="K351" i="1" s="1"/>
  <c r="H351" i="1"/>
  <c r="G351" i="1"/>
  <c r="F351" i="1"/>
  <c r="E351" i="1"/>
  <c r="B351" i="1"/>
  <c r="S350" i="1"/>
  <c r="R350" i="1"/>
  <c r="Q350" i="1"/>
  <c r="P350" i="1"/>
  <c r="O350" i="1"/>
  <c r="N350" i="1"/>
  <c r="L350" i="1"/>
  <c r="I350" i="1"/>
  <c r="K350" i="1" s="1"/>
  <c r="H350" i="1"/>
  <c r="G350" i="1"/>
  <c r="F350" i="1"/>
  <c r="E350" i="1"/>
  <c r="B350" i="1"/>
  <c r="S349" i="1"/>
  <c r="R349" i="1"/>
  <c r="Q349" i="1"/>
  <c r="P349" i="1"/>
  <c r="O349" i="1"/>
  <c r="N349" i="1"/>
  <c r="L349" i="1"/>
  <c r="I349" i="1"/>
  <c r="K349" i="1" s="1"/>
  <c r="H349" i="1"/>
  <c r="G349" i="1"/>
  <c r="F349" i="1"/>
  <c r="E349" i="1"/>
  <c r="B349" i="1"/>
  <c r="S348" i="1"/>
  <c r="R348" i="1"/>
  <c r="Q348" i="1"/>
  <c r="P348" i="1"/>
  <c r="O348" i="1"/>
  <c r="N348" i="1"/>
  <c r="L348" i="1"/>
  <c r="I348" i="1"/>
  <c r="K348" i="1" s="1"/>
  <c r="H348" i="1"/>
  <c r="G348" i="1"/>
  <c r="F348" i="1"/>
  <c r="E348" i="1"/>
  <c r="B348" i="1"/>
  <c r="S347" i="1"/>
  <c r="R347" i="1"/>
  <c r="Q347" i="1"/>
  <c r="P347" i="1"/>
  <c r="O347" i="1"/>
  <c r="N347" i="1"/>
  <c r="L347" i="1"/>
  <c r="I347" i="1"/>
  <c r="K347" i="1" s="1"/>
  <c r="H347" i="1"/>
  <c r="G347" i="1"/>
  <c r="F347" i="1"/>
  <c r="E347" i="1"/>
  <c r="B347" i="1"/>
  <c r="S346" i="1"/>
  <c r="R346" i="1"/>
  <c r="Q346" i="1"/>
  <c r="P346" i="1"/>
  <c r="O346" i="1"/>
  <c r="N346" i="1"/>
  <c r="L346" i="1"/>
  <c r="I346" i="1"/>
  <c r="K346" i="1" s="1"/>
  <c r="H346" i="1"/>
  <c r="G346" i="1"/>
  <c r="F346" i="1"/>
  <c r="E346" i="1"/>
  <c r="B346" i="1"/>
  <c r="S345" i="1"/>
  <c r="R345" i="1"/>
  <c r="Q345" i="1"/>
  <c r="P345" i="1"/>
  <c r="O345" i="1"/>
  <c r="N345" i="1"/>
  <c r="L345" i="1"/>
  <c r="I345" i="1"/>
  <c r="K345" i="1" s="1"/>
  <c r="H345" i="1"/>
  <c r="G345" i="1"/>
  <c r="F345" i="1"/>
  <c r="E345" i="1"/>
  <c r="B345" i="1"/>
  <c r="S344" i="1"/>
  <c r="R344" i="1"/>
  <c r="Q344" i="1"/>
  <c r="P344" i="1"/>
  <c r="O344" i="1"/>
  <c r="N344" i="1"/>
  <c r="L344" i="1"/>
  <c r="I344" i="1"/>
  <c r="K344" i="1" s="1"/>
  <c r="H344" i="1"/>
  <c r="G344" i="1"/>
  <c r="F344" i="1"/>
  <c r="E344" i="1"/>
  <c r="B344" i="1"/>
  <c r="S343" i="1"/>
  <c r="R343" i="1"/>
  <c r="Q343" i="1"/>
  <c r="P343" i="1"/>
  <c r="O343" i="1"/>
  <c r="N343" i="1"/>
  <c r="L343" i="1"/>
  <c r="I343" i="1"/>
  <c r="K343" i="1" s="1"/>
  <c r="H343" i="1"/>
  <c r="G343" i="1"/>
  <c r="F343" i="1"/>
  <c r="E343" i="1"/>
  <c r="B343" i="1"/>
  <c r="S342" i="1"/>
  <c r="R342" i="1"/>
  <c r="Q342" i="1"/>
  <c r="P342" i="1"/>
  <c r="O342" i="1"/>
  <c r="N342" i="1"/>
  <c r="L342" i="1"/>
  <c r="I342" i="1"/>
  <c r="K342" i="1" s="1"/>
  <c r="H342" i="1"/>
  <c r="G342" i="1"/>
  <c r="F342" i="1"/>
  <c r="E342" i="1"/>
  <c r="B342" i="1"/>
  <c r="S341" i="1"/>
  <c r="R341" i="1"/>
  <c r="Q341" i="1"/>
  <c r="P341" i="1"/>
  <c r="O341" i="1"/>
  <c r="N341" i="1"/>
  <c r="L341" i="1"/>
  <c r="I341" i="1"/>
  <c r="K341" i="1" s="1"/>
  <c r="H341" i="1"/>
  <c r="G341" i="1"/>
  <c r="F341" i="1"/>
  <c r="E341" i="1"/>
  <c r="B341" i="1"/>
  <c r="S340" i="1"/>
  <c r="R340" i="1"/>
  <c r="Q340" i="1"/>
  <c r="P340" i="1"/>
  <c r="O340" i="1"/>
  <c r="N340" i="1"/>
  <c r="L340" i="1"/>
  <c r="I340" i="1"/>
  <c r="K340" i="1" s="1"/>
  <c r="H340" i="1"/>
  <c r="G340" i="1"/>
  <c r="F340" i="1"/>
  <c r="E340" i="1"/>
  <c r="B340" i="1"/>
  <c r="S339" i="1"/>
  <c r="R339" i="1"/>
  <c r="Q339" i="1"/>
  <c r="P339" i="1"/>
  <c r="O339" i="1"/>
  <c r="N339" i="1"/>
  <c r="L339" i="1"/>
  <c r="I339" i="1"/>
  <c r="K339" i="1" s="1"/>
  <c r="H339" i="1"/>
  <c r="G339" i="1"/>
  <c r="F339" i="1"/>
  <c r="E339" i="1"/>
  <c r="B339" i="1"/>
  <c r="S338" i="1"/>
  <c r="R338" i="1"/>
  <c r="Q338" i="1"/>
  <c r="P338" i="1"/>
  <c r="O338" i="1"/>
  <c r="N338" i="1"/>
  <c r="L338" i="1"/>
  <c r="I338" i="1"/>
  <c r="K338" i="1" s="1"/>
  <c r="H338" i="1"/>
  <c r="G338" i="1"/>
  <c r="F338" i="1"/>
  <c r="E338" i="1"/>
  <c r="B338" i="1"/>
  <c r="S337" i="1"/>
  <c r="R337" i="1"/>
  <c r="Q337" i="1"/>
  <c r="P337" i="1"/>
  <c r="O337" i="1"/>
  <c r="N337" i="1"/>
  <c r="L337" i="1"/>
  <c r="I337" i="1"/>
  <c r="K337" i="1" s="1"/>
  <c r="H337" i="1"/>
  <c r="G337" i="1"/>
  <c r="F337" i="1"/>
  <c r="E337" i="1"/>
  <c r="B337" i="1"/>
  <c r="S336" i="1"/>
  <c r="R336" i="1"/>
  <c r="Q336" i="1"/>
  <c r="P336" i="1"/>
  <c r="O336" i="1"/>
  <c r="N336" i="1"/>
  <c r="L336" i="1"/>
  <c r="I336" i="1"/>
  <c r="K336" i="1" s="1"/>
  <c r="H336" i="1"/>
  <c r="G336" i="1"/>
  <c r="F336" i="1"/>
  <c r="E336" i="1"/>
  <c r="B336" i="1"/>
  <c r="S335" i="1"/>
  <c r="R335" i="1"/>
  <c r="Q335" i="1"/>
  <c r="P335" i="1"/>
  <c r="O335" i="1"/>
  <c r="N335" i="1"/>
  <c r="L335" i="1"/>
  <c r="I335" i="1"/>
  <c r="K335" i="1" s="1"/>
  <c r="H335" i="1"/>
  <c r="G335" i="1"/>
  <c r="F335" i="1"/>
  <c r="E335" i="1"/>
  <c r="B335" i="1"/>
  <c r="S334" i="1"/>
  <c r="R334" i="1"/>
  <c r="Q334" i="1"/>
  <c r="P334" i="1"/>
  <c r="O334" i="1"/>
  <c r="N334" i="1"/>
  <c r="L334" i="1"/>
  <c r="I334" i="1"/>
  <c r="K334" i="1" s="1"/>
  <c r="H334" i="1"/>
  <c r="G334" i="1"/>
  <c r="F334" i="1"/>
  <c r="E334" i="1"/>
  <c r="B334" i="1"/>
  <c r="S333" i="1"/>
  <c r="R333" i="1"/>
  <c r="Q333" i="1"/>
  <c r="P333" i="1"/>
  <c r="O333" i="1"/>
  <c r="N333" i="1"/>
  <c r="L333" i="1"/>
  <c r="I333" i="1"/>
  <c r="K333" i="1" s="1"/>
  <c r="H333" i="1"/>
  <c r="G333" i="1"/>
  <c r="F333" i="1"/>
  <c r="E333" i="1"/>
  <c r="B333" i="1"/>
  <c r="S332" i="1"/>
  <c r="R332" i="1"/>
  <c r="Q332" i="1"/>
  <c r="P332" i="1"/>
  <c r="O332" i="1"/>
  <c r="N332" i="1"/>
  <c r="L332" i="1"/>
  <c r="I332" i="1"/>
  <c r="K332" i="1" s="1"/>
  <c r="H332" i="1"/>
  <c r="G332" i="1"/>
  <c r="F332" i="1"/>
  <c r="E332" i="1"/>
  <c r="B332" i="1"/>
  <c r="S331" i="1"/>
  <c r="R331" i="1"/>
  <c r="Q331" i="1"/>
  <c r="P331" i="1"/>
  <c r="O331" i="1"/>
  <c r="N331" i="1"/>
  <c r="L331" i="1"/>
  <c r="K331" i="1"/>
  <c r="I331" i="1"/>
  <c r="H331" i="1"/>
  <c r="G331" i="1"/>
  <c r="F331" i="1"/>
  <c r="E331" i="1"/>
  <c r="B331" i="1"/>
  <c r="S330" i="1"/>
  <c r="R330" i="1"/>
  <c r="Q330" i="1"/>
  <c r="P330" i="1"/>
  <c r="O330" i="1"/>
  <c r="N330" i="1"/>
  <c r="L330" i="1"/>
  <c r="I330" i="1"/>
  <c r="K330" i="1" s="1"/>
  <c r="H330" i="1"/>
  <c r="G330" i="1"/>
  <c r="F330" i="1"/>
  <c r="E330" i="1"/>
  <c r="B330" i="1"/>
  <c r="S329" i="1"/>
  <c r="R329" i="1"/>
  <c r="Q329" i="1"/>
  <c r="P329" i="1"/>
  <c r="O329" i="1"/>
  <c r="N329" i="1"/>
  <c r="L329" i="1"/>
  <c r="I329" i="1"/>
  <c r="K329" i="1" s="1"/>
  <c r="H329" i="1"/>
  <c r="G329" i="1"/>
  <c r="F329" i="1"/>
  <c r="E329" i="1"/>
  <c r="B329" i="1"/>
  <c r="S328" i="1"/>
  <c r="R328" i="1"/>
  <c r="Q328" i="1"/>
  <c r="P328" i="1"/>
  <c r="O328" i="1"/>
  <c r="N328" i="1"/>
  <c r="L328" i="1"/>
  <c r="I328" i="1"/>
  <c r="K328" i="1" s="1"/>
  <c r="H328" i="1"/>
  <c r="G328" i="1"/>
  <c r="F328" i="1"/>
  <c r="E328" i="1"/>
  <c r="B328" i="1"/>
  <c r="S327" i="1"/>
  <c r="R327" i="1"/>
  <c r="Q327" i="1"/>
  <c r="P327" i="1"/>
  <c r="O327" i="1"/>
  <c r="N327" i="1"/>
  <c r="L327" i="1"/>
  <c r="I327" i="1"/>
  <c r="K327" i="1" s="1"/>
  <c r="H327" i="1"/>
  <c r="G327" i="1"/>
  <c r="F327" i="1"/>
  <c r="E327" i="1"/>
  <c r="B327" i="1"/>
  <c r="S326" i="1"/>
  <c r="R326" i="1"/>
  <c r="Q326" i="1"/>
  <c r="P326" i="1"/>
  <c r="O326" i="1"/>
  <c r="N326" i="1"/>
  <c r="L326" i="1"/>
  <c r="I326" i="1"/>
  <c r="K326" i="1" s="1"/>
  <c r="H326" i="1"/>
  <c r="G326" i="1"/>
  <c r="F326" i="1"/>
  <c r="E326" i="1"/>
  <c r="B326" i="1"/>
  <c r="S325" i="1"/>
  <c r="R325" i="1"/>
  <c r="Q325" i="1"/>
  <c r="P325" i="1"/>
  <c r="O325" i="1"/>
  <c r="N325" i="1"/>
  <c r="L325" i="1"/>
  <c r="I325" i="1"/>
  <c r="K325" i="1" s="1"/>
  <c r="H325" i="1"/>
  <c r="G325" i="1"/>
  <c r="F325" i="1"/>
  <c r="E325" i="1"/>
  <c r="B325" i="1"/>
  <c r="S324" i="1"/>
  <c r="R324" i="1"/>
  <c r="Q324" i="1"/>
  <c r="P324" i="1"/>
  <c r="O324" i="1"/>
  <c r="N324" i="1"/>
  <c r="L324" i="1"/>
  <c r="I324" i="1"/>
  <c r="K324" i="1" s="1"/>
  <c r="H324" i="1"/>
  <c r="G324" i="1"/>
  <c r="F324" i="1"/>
  <c r="E324" i="1"/>
  <c r="B324" i="1"/>
  <c r="S323" i="1"/>
  <c r="R323" i="1"/>
  <c r="Q323" i="1"/>
  <c r="P323" i="1"/>
  <c r="O323" i="1"/>
  <c r="N323" i="1"/>
  <c r="L323" i="1"/>
  <c r="I323" i="1"/>
  <c r="K323" i="1" s="1"/>
  <c r="H323" i="1"/>
  <c r="G323" i="1"/>
  <c r="F323" i="1"/>
  <c r="E323" i="1"/>
  <c r="B323" i="1"/>
  <c r="S322" i="1"/>
  <c r="R322" i="1"/>
  <c r="Q322" i="1"/>
  <c r="P322" i="1"/>
  <c r="O322" i="1"/>
  <c r="N322" i="1"/>
  <c r="L322" i="1"/>
  <c r="I322" i="1"/>
  <c r="K322" i="1" s="1"/>
  <c r="H322" i="1"/>
  <c r="G322" i="1"/>
  <c r="F322" i="1"/>
  <c r="E322" i="1"/>
  <c r="B322" i="1"/>
  <c r="S321" i="1"/>
  <c r="R321" i="1"/>
  <c r="Q321" i="1"/>
  <c r="P321" i="1"/>
  <c r="O321" i="1"/>
  <c r="N321" i="1"/>
  <c r="L321" i="1"/>
  <c r="I321" i="1"/>
  <c r="K321" i="1" s="1"/>
  <c r="H321" i="1"/>
  <c r="G321" i="1"/>
  <c r="F321" i="1"/>
  <c r="E321" i="1"/>
  <c r="B321" i="1"/>
  <c r="S320" i="1"/>
  <c r="R320" i="1"/>
  <c r="Q320" i="1"/>
  <c r="P320" i="1"/>
  <c r="O320" i="1"/>
  <c r="N320" i="1"/>
  <c r="L320" i="1"/>
  <c r="I320" i="1"/>
  <c r="K320" i="1" s="1"/>
  <c r="H320" i="1"/>
  <c r="G320" i="1"/>
  <c r="F320" i="1"/>
  <c r="E320" i="1"/>
  <c r="B320" i="1"/>
  <c r="S319" i="1"/>
  <c r="R319" i="1"/>
  <c r="Q319" i="1"/>
  <c r="P319" i="1"/>
  <c r="O319" i="1"/>
  <c r="N319" i="1"/>
  <c r="L319" i="1"/>
  <c r="I319" i="1"/>
  <c r="K319" i="1" s="1"/>
  <c r="H319" i="1"/>
  <c r="G319" i="1"/>
  <c r="F319" i="1"/>
  <c r="E319" i="1"/>
  <c r="B319" i="1"/>
  <c r="S318" i="1"/>
  <c r="R318" i="1"/>
  <c r="Q318" i="1"/>
  <c r="P318" i="1"/>
  <c r="O318" i="1"/>
  <c r="N318" i="1"/>
  <c r="L318" i="1"/>
  <c r="I318" i="1"/>
  <c r="K318" i="1" s="1"/>
  <c r="H318" i="1"/>
  <c r="G318" i="1"/>
  <c r="F318" i="1"/>
  <c r="E318" i="1"/>
  <c r="B318" i="1"/>
  <c r="S317" i="1"/>
  <c r="R317" i="1"/>
  <c r="Q317" i="1"/>
  <c r="P317" i="1"/>
  <c r="O317" i="1"/>
  <c r="N317" i="1"/>
  <c r="L317" i="1"/>
  <c r="I317" i="1"/>
  <c r="K317" i="1" s="1"/>
  <c r="H317" i="1"/>
  <c r="G317" i="1"/>
  <c r="F317" i="1"/>
  <c r="E317" i="1"/>
  <c r="B317" i="1"/>
  <c r="S316" i="1"/>
  <c r="R316" i="1"/>
  <c r="Q316" i="1"/>
  <c r="P316" i="1"/>
  <c r="O316" i="1"/>
  <c r="N316" i="1"/>
  <c r="L316" i="1"/>
  <c r="I316" i="1"/>
  <c r="K316" i="1" s="1"/>
  <c r="H316" i="1"/>
  <c r="G316" i="1"/>
  <c r="F316" i="1"/>
  <c r="E316" i="1"/>
  <c r="B316" i="1"/>
  <c r="S315" i="1"/>
  <c r="R315" i="1"/>
  <c r="Q315" i="1"/>
  <c r="P315" i="1"/>
  <c r="O315" i="1"/>
  <c r="N315" i="1"/>
  <c r="L315" i="1"/>
  <c r="I315" i="1"/>
  <c r="K315" i="1" s="1"/>
  <c r="H315" i="1"/>
  <c r="G315" i="1"/>
  <c r="F315" i="1"/>
  <c r="E315" i="1"/>
  <c r="B315" i="1"/>
  <c r="S314" i="1"/>
  <c r="R314" i="1"/>
  <c r="Q314" i="1"/>
  <c r="P314" i="1"/>
  <c r="O314" i="1"/>
  <c r="N314" i="1"/>
  <c r="L314" i="1"/>
  <c r="I314" i="1"/>
  <c r="K314" i="1" s="1"/>
  <c r="H314" i="1"/>
  <c r="G314" i="1"/>
  <c r="F314" i="1"/>
  <c r="E314" i="1"/>
  <c r="B314" i="1"/>
  <c r="S313" i="1"/>
  <c r="R313" i="1"/>
  <c r="Q313" i="1"/>
  <c r="P313" i="1"/>
  <c r="O313" i="1"/>
  <c r="N313" i="1"/>
  <c r="L313" i="1"/>
  <c r="I313" i="1"/>
  <c r="K313" i="1" s="1"/>
  <c r="H313" i="1"/>
  <c r="G313" i="1"/>
  <c r="F313" i="1"/>
  <c r="E313" i="1"/>
  <c r="B313" i="1"/>
  <c r="S312" i="1"/>
  <c r="R312" i="1"/>
  <c r="Q312" i="1"/>
  <c r="P312" i="1"/>
  <c r="O312" i="1"/>
  <c r="N312" i="1"/>
  <c r="L312" i="1"/>
  <c r="I312" i="1"/>
  <c r="K312" i="1" s="1"/>
  <c r="H312" i="1"/>
  <c r="G312" i="1"/>
  <c r="F312" i="1"/>
  <c r="E312" i="1"/>
  <c r="B312" i="1"/>
  <c r="S311" i="1"/>
  <c r="R311" i="1"/>
  <c r="Q311" i="1"/>
  <c r="P311" i="1"/>
  <c r="O311" i="1"/>
  <c r="N311" i="1"/>
  <c r="L311" i="1"/>
  <c r="I311" i="1"/>
  <c r="K311" i="1" s="1"/>
  <c r="H311" i="1"/>
  <c r="G311" i="1"/>
  <c r="F311" i="1"/>
  <c r="E311" i="1"/>
  <c r="B311" i="1"/>
  <c r="S310" i="1"/>
  <c r="R310" i="1"/>
  <c r="Q310" i="1"/>
  <c r="P310" i="1"/>
  <c r="O310" i="1"/>
  <c r="N310" i="1"/>
  <c r="L310" i="1"/>
  <c r="I310" i="1"/>
  <c r="K310" i="1" s="1"/>
  <c r="H310" i="1"/>
  <c r="G310" i="1"/>
  <c r="F310" i="1"/>
  <c r="E310" i="1"/>
  <c r="B310" i="1"/>
  <c r="S309" i="1"/>
  <c r="R309" i="1"/>
  <c r="Q309" i="1"/>
  <c r="P309" i="1"/>
  <c r="O309" i="1"/>
  <c r="N309" i="1"/>
  <c r="L309" i="1"/>
  <c r="I309" i="1"/>
  <c r="K309" i="1" s="1"/>
  <c r="H309" i="1"/>
  <c r="G309" i="1"/>
  <c r="F309" i="1"/>
  <c r="E309" i="1"/>
  <c r="B309" i="1"/>
  <c r="S308" i="1"/>
  <c r="R308" i="1"/>
  <c r="Q308" i="1"/>
  <c r="P308" i="1"/>
  <c r="O308" i="1"/>
  <c r="N308" i="1"/>
  <c r="L308" i="1"/>
  <c r="I308" i="1"/>
  <c r="K308" i="1" s="1"/>
  <c r="H308" i="1"/>
  <c r="G308" i="1"/>
  <c r="F308" i="1"/>
  <c r="E308" i="1"/>
  <c r="B308" i="1"/>
  <c r="S307" i="1"/>
  <c r="R307" i="1"/>
  <c r="Q307" i="1"/>
  <c r="P307" i="1"/>
  <c r="O307" i="1"/>
  <c r="N307" i="1"/>
  <c r="L307" i="1"/>
  <c r="I307" i="1"/>
  <c r="K307" i="1" s="1"/>
  <c r="H307" i="1"/>
  <c r="G307" i="1"/>
  <c r="F307" i="1"/>
  <c r="E307" i="1"/>
  <c r="B307" i="1"/>
  <c r="S306" i="1"/>
  <c r="R306" i="1"/>
  <c r="Q306" i="1"/>
  <c r="P306" i="1"/>
  <c r="O306" i="1"/>
  <c r="N306" i="1"/>
  <c r="L306" i="1"/>
  <c r="I306" i="1"/>
  <c r="K306" i="1" s="1"/>
  <c r="H306" i="1"/>
  <c r="G306" i="1"/>
  <c r="F306" i="1"/>
  <c r="E306" i="1"/>
  <c r="B306" i="1"/>
  <c r="S305" i="1"/>
  <c r="R305" i="1"/>
  <c r="Q305" i="1"/>
  <c r="P305" i="1"/>
  <c r="O305" i="1"/>
  <c r="N305" i="1"/>
  <c r="L305" i="1"/>
  <c r="I305" i="1"/>
  <c r="K305" i="1" s="1"/>
  <c r="H305" i="1"/>
  <c r="G305" i="1"/>
  <c r="F305" i="1"/>
  <c r="E305" i="1"/>
  <c r="B305" i="1"/>
  <c r="S304" i="1"/>
  <c r="R304" i="1"/>
  <c r="Q304" i="1"/>
  <c r="P304" i="1"/>
  <c r="O304" i="1"/>
  <c r="N304" i="1"/>
  <c r="L304" i="1"/>
  <c r="I304" i="1"/>
  <c r="K304" i="1" s="1"/>
  <c r="H304" i="1"/>
  <c r="G304" i="1"/>
  <c r="F304" i="1"/>
  <c r="E304" i="1"/>
  <c r="B304" i="1"/>
  <c r="S303" i="1"/>
  <c r="R303" i="1"/>
  <c r="Q303" i="1"/>
  <c r="P303" i="1"/>
  <c r="O303" i="1"/>
  <c r="N303" i="1"/>
  <c r="L303" i="1"/>
  <c r="I303" i="1"/>
  <c r="K303" i="1" s="1"/>
  <c r="H303" i="1"/>
  <c r="G303" i="1"/>
  <c r="F303" i="1"/>
  <c r="E303" i="1"/>
  <c r="B303" i="1"/>
  <c r="S302" i="1"/>
  <c r="R302" i="1"/>
  <c r="Q302" i="1"/>
  <c r="P302" i="1"/>
  <c r="O302" i="1"/>
  <c r="N302" i="1"/>
  <c r="L302" i="1"/>
  <c r="I302" i="1"/>
  <c r="K302" i="1" s="1"/>
  <c r="H302" i="1"/>
  <c r="G302" i="1"/>
  <c r="F302" i="1"/>
  <c r="E302" i="1"/>
  <c r="B302" i="1"/>
  <c r="S301" i="1"/>
  <c r="R301" i="1"/>
  <c r="Q301" i="1"/>
  <c r="P301" i="1"/>
  <c r="O301" i="1"/>
  <c r="N301" i="1"/>
  <c r="L301" i="1"/>
  <c r="I301" i="1"/>
  <c r="K301" i="1" s="1"/>
  <c r="H301" i="1"/>
  <c r="G301" i="1"/>
  <c r="F301" i="1"/>
  <c r="E301" i="1"/>
  <c r="B301" i="1"/>
  <c r="S300" i="1"/>
  <c r="R300" i="1"/>
  <c r="Q300" i="1"/>
  <c r="P300" i="1"/>
  <c r="O300" i="1"/>
  <c r="N300" i="1"/>
  <c r="L300" i="1"/>
  <c r="I300" i="1"/>
  <c r="K300" i="1" s="1"/>
  <c r="H300" i="1"/>
  <c r="G300" i="1"/>
  <c r="F300" i="1"/>
  <c r="E300" i="1"/>
  <c r="B300" i="1"/>
  <c r="S299" i="1"/>
  <c r="R299" i="1"/>
  <c r="Q299" i="1"/>
  <c r="P299" i="1"/>
  <c r="O299" i="1"/>
  <c r="N299" i="1"/>
  <c r="L299" i="1"/>
  <c r="K299" i="1"/>
  <c r="I299" i="1"/>
  <c r="H299" i="1"/>
  <c r="G299" i="1"/>
  <c r="F299" i="1"/>
  <c r="E299" i="1"/>
  <c r="B299" i="1"/>
  <c r="S298" i="1"/>
  <c r="R298" i="1"/>
  <c r="Q298" i="1"/>
  <c r="P298" i="1"/>
  <c r="O298" i="1"/>
  <c r="N298" i="1"/>
  <c r="L298" i="1"/>
  <c r="I298" i="1"/>
  <c r="K298" i="1" s="1"/>
  <c r="H298" i="1"/>
  <c r="G298" i="1"/>
  <c r="F298" i="1"/>
  <c r="E298" i="1"/>
  <c r="B298" i="1"/>
  <c r="S297" i="1"/>
  <c r="R297" i="1"/>
  <c r="Q297" i="1"/>
  <c r="P297" i="1"/>
  <c r="O297" i="1"/>
  <c r="N297" i="1"/>
  <c r="L297" i="1"/>
  <c r="I297" i="1"/>
  <c r="K297" i="1" s="1"/>
  <c r="H297" i="1"/>
  <c r="G297" i="1"/>
  <c r="F297" i="1"/>
  <c r="E297" i="1"/>
  <c r="B297" i="1"/>
  <c r="S296" i="1"/>
  <c r="R296" i="1"/>
  <c r="Q296" i="1"/>
  <c r="P296" i="1"/>
  <c r="O296" i="1"/>
  <c r="N296" i="1"/>
  <c r="L296" i="1"/>
  <c r="I296" i="1"/>
  <c r="K296" i="1" s="1"/>
  <c r="H296" i="1"/>
  <c r="G296" i="1"/>
  <c r="F296" i="1"/>
  <c r="E296" i="1"/>
  <c r="B296" i="1"/>
  <c r="S295" i="1"/>
  <c r="R295" i="1"/>
  <c r="Q295" i="1"/>
  <c r="P295" i="1"/>
  <c r="O295" i="1"/>
  <c r="N295" i="1"/>
  <c r="L295" i="1"/>
  <c r="I295" i="1"/>
  <c r="K295" i="1" s="1"/>
  <c r="H295" i="1"/>
  <c r="G295" i="1"/>
  <c r="F295" i="1"/>
  <c r="E295" i="1"/>
  <c r="B295" i="1"/>
  <c r="S294" i="1"/>
  <c r="R294" i="1"/>
  <c r="Q294" i="1"/>
  <c r="P294" i="1"/>
  <c r="O294" i="1"/>
  <c r="N294" i="1"/>
  <c r="L294" i="1"/>
  <c r="I294" i="1"/>
  <c r="K294" i="1" s="1"/>
  <c r="H294" i="1"/>
  <c r="G294" i="1"/>
  <c r="F294" i="1"/>
  <c r="E294" i="1"/>
  <c r="B294" i="1"/>
  <c r="S293" i="1"/>
  <c r="R293" i="1"/>
  <c r="Q293" i="1"/>
  <c r="P293" i="1"/>
  <c r="O293" i="1"/>
  <c r="N293" i="1"/>
  <c r="L293" i="1"/>
  <c r="I293" i="1"/>
  <c r="K293" i="1" s="1"/>
  <c r="H293" i="1"/>
  <c r="G293" i="1"/>
  <c r="F293" i="1"/>
  <c r="E293" i="1"/>
  <c r="B293" i="1"/>
  <c r="S292" i="1"/>
  <c r="R292" i="1"/>
  <c r="Q292" i="1"/>
  <c r="P292" i="1"/>
  <c r="O292" i="1"/>
  <c r="N292" i="1"/>
  <c r="L292" i="1"/>
  <c r="I292" i="1"/>
  <c r="K292" i="1" s="1"/>
  <c r="H292" i="1"/>
  <c r="G292" i="1"/>
  <c r="F292" i="1"/>
  <c r="E292" i="1"/>
  <c r="B292" i="1"/>
  <c r="S291" i="1"/>
  <c r="R291" i="1"/>
  <c r="Q291" i="1"/>
  <c r="P291" i="1"/>
  <c r="O291" i="1"/>
  <c r="N291" i="1"/>
  <c r="L291" i="1"/>
  <c r="I291" i="1"/>
  <c r="K291" i="1" s="1"/>
  <c r="H291" i="1"/>
  <c r="G291" i="1"/>
  <c r="F291" i="1"/>
  <c r="E291" i="1"/>
  <c r="B291" i="1"/>
  <c r="S290" i="1"/>
  <c r="R290" i="1"/>
  <c r="Q290" i="1"/>
  <c r="P290" i="1"/>
  <c r="O290" i="1"/>
  <c r="N290" i="1"/>
  <c r="L290" i="1"/>
  <c r="I290" i="1"/>
  <c r="K290" i="1" s="1"/>
  <c r="H290" i="1"/>
  <c r="G290" i="1"/>
  <c r="F290" i="1"/>
  <c r="E290" i="1"/>
  <c r="B290" i="1"/>
  <c r="S289" i="1"/>
  <c r="R289" i="1"/>
  <c r="Q289" i="1"/>
  <c r="P289" i="1"/>
  <c r="O289" i="1"/>
  <c r="N289" i="1"/>
  <c r="L289" i="1"/>
  <c r="I289" i="1"/>
  <c r="K289" i="1" s="1"/>
  <c r="H289" i="1"/>
  <c r="G289" i="1"/>
  <c r="F289" i="1"/>
  <c r="E289" i="1"/>
  <c r="B289" i="1"/>
  <c r="S288" i="1"/>
  <c r="R288" i="1"/>
  <c r="Q288" i="1"/>
  <c r="P288" i="1"/>
  <c r="O288" i="1"/>
  <c r="N288" i="1"/>
  <c r="L288" i="1"/>
  <c r="I288" i="1"/>
  <c r="K288" i="1" s="1"/>
  <c r="H288" i="1"/>
  <c r="G288" i="1"/>
  <c r="F288" i="1"/>
  <c r="E288" i="1"/>
  <c r="B288" i="1"/>
  <c r="S287" i="1"/>
  <c r="R287" i="1"/>
  <c r="Q287" i="1"/>
  <c r="P287" i="1"/>
  <c r="O287" i="1"/>
  <c r="N287" i="1"/>
  <c r="L287" i="1"/>
  <c r="I287" i="1"/>
  <c r="K287" i="1" s="1"/>
  <c r="H287" i="1"/>
  <c r="G287" i="1"/>
  <c r="F287" i="1"/>
  <c r="E287" i="1"/>
  <c r="B287" i="1"/>
  <c r="S286" i="1"/>
  <c r="R286" i="1"/>
  <c r="Q286" i="1"/>
  <c r="P286" i="1"/>
  <c r="O286" i="1"/>
  <c r="N286" i="1"/>
  <c r="L286" i="1"/>
  <c r="I286" i="1"/>
  <c r="K286" i="1" s="1"/>
  <c r="H286" i="1"/>
  <c r="G286" i="1"/>
  <c r="F286" i="1"/>
  <c r="E286" i="1"/>
  <c r="B286" i="1"/>
  <c r="S285" i="1"/>
  <c r="R285" i="1"/>
  <c r="Q285" i="1"/>
  <c r="P285" i="1"/>
  <c r="O285" i="1"/>
  <c r="N285" i="1"/>
  <c r="L285" i="1"/>
  <c r="I285" i="1"/>
  <c r="K285" i="1" s="1"/>
  <c r="H285" i="1"/>
  <c r="G285" i="1"/>
  <c r="F285" i="1"/>
  <c r="E285" i="1"/>
  <c r="B285" i="1"/>
  <c r="S284" i="1"/>
  <c r="R284" i="1"/>
  <c r="Q284" i="1"/>
  <c r="P284" i="1"/>
  <c r="O284" i="1"/>
  <c r="N284" i="1"/>
  <c r="L284" i="1"/>
  <c r="I284" i="1"/>
  <c r="K284" i="1" s="1"/>
  <c r="H284" i="1"/>
  <c r="G284" i="1"/>
  <c r="F284" i="1"/>
  <c r="E284" i="1"/>
  <c r="B284" i="1"/>
  <c r="S283" i="1"/>
  <c r="R283" i="1"/>
  <c r="Q283" i="1"/>
  <c r="P283" i="1"/>
  <c r="O283" i="1"/>
  <c r="N283" i="1"/>
  <c r="L283" i="1"/>
  <c r="I283" i="1"/>
  <c r="K283" i="1" s="1"/>
  <c r="H283" i="1"/>
  <c r="G283" i="1"/>
  <c r="F283" i="1"/>
  <c r="E283" i="1"/>
  <c r="B283" i="1"/>
  <c r="S282" i="1"/>
  <c r="R282" i="1"/>
  <c r="Q282" i="1"/>
  <c r="P282" i="1"/>
  <c r="O282" i="1"/>
  <c r="N282" i="1"/>
  <c r="L282" i="1"/>
  <c r="I282" i="1"/>
  <c r="K282" i="1" s="1"/>
  <c r="H282" i="1"/>
  <c r="G282" i="1"/>
  <c r="F282" i="1"/>
  <c r="E282" i="1"/>
  <c r="B282" i="1"/>
  <c r="S281" i="1"/>
  <c r="R281" i="1"/>
  <c r="Q281" i="1"/>
  <c r="P281" i="1"/>
  <c r="O281" i="1"/>
  <c r="N281" i="1"/>
  <c r="L281" i="1"/>
  <c r="I281" i="1"/>
  <c r="K281" i="1" s="1"/>
  <c r="H281" i="1"/>
  <c r="G281" i="1"/>
  <c r="F281" i="1"/>
  <c r="E281" i="1"/>
  <c r="B281" i="1"/>
  <c r="S280" i="1"/>
  <c r="R280" i="1"/>
  <c r="Q280" i="1"/>
  <c r="P280" i="1"/>
  <c r="O280" i="1"/>
  <c r="N280" i="1"/>
  <c r="L280" i="1"/>
  <c r="I280" i="1"/>
  <c r="K280" i="1" s="1"/>
  <c r="H280" i="1"/>
  <c r="G280" i="1"/>
  <c r="F280" i="1"/>
  <c r="E280" i="1"/>
  <c r="B280" i="1"/>
  <c r="S279" i="1"/>
  <c r="R279" i="1"/>
  <c r="Q279" i="1"/>
  <c r="P279" i="1"/>
  <c r="O279" i="1"/>
  <c r="N279" i="1"/>
  <c r="L279" i="1"/>
  <c r="I279" i="1"/>
  <c r="K279" i="1" s="1"/>
  <c r="H279" i="1"/>
  <c r="G279" i="1"/>
  <c r="F279" i="1"/>
  <c r="E279" i="1"/>
  <c r="B279" i="1"/>
  <c r="S278" i="1"/>
  <c r="R278" i="1"/>
  <c r="Q278" i="1"/>
  <c r="P278" i="1"/>
  <c r="O278" i="1"/>
  <c r="N278" i="1"/>
  <c r="L278" i="1"/>
  <c r="I278" i="1"/>
  <c r="K278" i="1" s="1"/>
  <c r="H278" i="1"/>
  <c r="G278" i="1"/>
  <c r="F278" i="1"/>
  <c r="E278" i="1"/>
  <c r="B278" i="1"/>
  <c r="S277" i="1"/>
  <c r="R277" i="1"/>
  <c r="Q277" i="1"/>
  <c r="P277" i="1"/>
  <c r="O277" i="1"/>
  <c r="N277" i="1"/>
  <c r="L277" i="1"/>
  <c r="I277" i="1"/>
  <c r="K277" i="1" s="1"/>
  <c r="H277" i="1"/>
  <c r="G277" i="1"/>
  <c r="F277" i="1"/>
  <c r="E277" i="1"/>
  <c r="B277" i="1"/>
  <c r="S276" i="1"/>
  <c r="R276" i="1"/>
  <c r="Q276" i="1"/>
  <c r="P276" i="1"/>
  <c r="O276" i="1"/>
  <c r="N276" i="1"/>
  <c r="L276" i="1"/>
  <c r="I276" i="1"/>
  <c r="K276" i="1" s="1"/>
  <c r="H276" i="1"/>
  <c r="G276" i="1"/>
  <c r="F276" i="1"/>
  <c r="E276" i="1"/>
  <c r="B276" i="1"/>
  <c r="S275" i="1"/>
  <c r="R275" i="1"/>
  <c r="Q275" i="1"/>
  <c r="P275" i="1"/>
  <c r="O275" i="1"/>
  <c r="N275" i="1"/>
  <c r="L275" i="1"/>
  <c r="I275" i="1"/>
  <c r="K275" i="1" s="1"/>
  <c r="H275" i="1"/>
  <c r="G275" i="1"/>
  <c r="F275" i="1"/>
  <c r="E275" i="1"/>
  <c r="B275" i="1"/>
  <c r="S274" i="1"/>
  <c r="R274" i="1"/>
  <c r="Q274" i="1"/>
  <c r="P274" i="1"/>
  <c r="O274" i="1"/>
  <c r="N274" i="1"/>
  <c r="L274" i="1"/>
  <c r="I274" i="1"/>
  <c r="K274" i="1" s="1"/>
  <c r="H274" i="1"/>
  <c r="G274" i="1"/>
  <c r="F274" i="1"/>
  <c r="E274" i="1"/>
  <c r="B274" i="1"/>
  <c r="S273" i="1"/>
  <c r="R273" i="1"/>
  <c r="Q273" i="1"/>
  <c r="P273" i="1"/>
  <c r="O273" i="1"/>
  <c r="N273" i="1"/>
  <c r="L273" i="1"/>
  <c r="I273" i="1"/>
  <c r="K273" i="1" s="1"/>
  <c r="H273" i="1"/>
  <c r="G273" i="1"/>
  <c r="F273" i="1"/>
  <c r="E273" i="1"/>
  <c r="B273" i="1"/>
  <c r="S272" i="1"/>
  <c r="R272" i="1"/>
  <c r="Q272" i="1"/>
  <c r="P272" i="1"/>
  <c r="O272" i="1"/>
  <c r="N272" i="1"/>
  <c r="L272" i="1"/>
  <c r="I272" i="1"/>
  <c r="K272" i="1" s="1"/>
  <c r="H272" i="1"/>
  <c r="G272" i="1"/>
  <c r="F272" i="1"/>
  <c r="E272" i="1"/>
  <c r="B272" i="1"/>
  <c r="S271" i="1"/>
  <c r="R271" i="1"/>
  <c r="Q271" i="1"/>
  <c r="P271" i="1"/>
  <c r="O271" i="1"/>
  <c r="N271" i="1"/>
  <c r="L271" i="1"/>
  <c r="I271" i="1"/>
  <c r="K271" i="1" s="1"/>
  <c r="H271" i="1"/>
  <c r="G271" i="1"/>
  <c r="F271" i="1"/>
  <c r="E271" i="1"/>
  <c r="B271" i="1"/>
  <c r="S270" i="1"/>
  <c r="R270" i="1"/>
  <c r="Q270" i="1"/>
  <c r="P270" i="1"/>
  <c r="O270" i="1"/>
  <c r="N270" i="1"/>
  <c r="L270" i="1"/>
  <c r="K270" i="1"/>
  <c r="I270" i="1"/>
  <c r="H270" i="1"/>
  <c r="G270" i="1"/>
  <c r="F270" i="1"/>
  <c r="E270" i="1"/>
  <c r="B270" i="1"/>
  <c r="S269" i="1"/>
  <c r="R269" i="1"/>
  <c r="Q269" i="1"/>
  <c r="P269" i="1"/>
  <c r="O269" i="1"/>
  <c r="N269" i="1"/>
  <c r="L269" i="1"/>
  <c r="I269" i="1"/>
  <c r="K269" i="1" s="1"/>
  <c r="H269" i="1"/>
  <c r="G269" i="1"/>
  <c r="F269" i="1"/>
  <c r="E269" i="1"/>
  <c r="B269" i="1"/>
  <c r="S268" i="1"/>
  <c r="R268" i="1"/>
  <c r="Q268" i="1"/>
  <c r="P268" i="1"/>
  <c r="O268" i="1"/>
  <c r="N268" i="1"/>
  <c r="L268" i="1"/>
  <c r="I268" i="1"/>
  <c r="K268" i="1" s="1"/>
  <c r="H268" i="1"/>
  <c r="G268" i="1"/>
  <c r="F268" i="1"/>
  <c r="E268" i="1"/>
  <c r="B268" i="1"/>
  <c r="S267" i="1"/>
  <c r="R267" i="1"/>
  <c r="Q267" i="1"/>
  <c r="P267" i="1"/>
  <c r="O267" i="1"/>
  <c r="N267" i="1"/>
  <c r="L267" i="1"/>
  <c r="I267" i="1"/>
  <c r="K267" i="1" s="1"/>
  <c r="H267" i="1"/>
  <c r="G267" i="1"/>
  <c r="F267" i="1"/>
  <c r="E267" i="1"/>
  <c r="B267" i="1"/>
  <c r="S266" i="1"/>
  <c r="R266" i="1"/>
  <c r="Q266" i="1"/>
  <c r="P266" i="1"/>
  <c r="O266" i="1"/>
  <c r="N266" i="1"/>
  <c r="L266" i="1"/>
  <c r="I266" i="1"/>
  <c r="K266" i="1" s="1"/>
  <c r="H266" i="1"/>
  <c r="G266" i="1"/>
  <c r="F266" i="1"/>
  <c r="E266" i="1"/>
  <c r="B266" i="1"/>
  <c r="S265" i="1"/>
  <c r="R265" i="1"/>
  <c r="Q265" i="1"/>
  <c r="P265" i="1"/>
  <c r="O265" i="1"/>
  <c r="N265" i="1"/>
  <c r="L265" i="1"/>
  <c r="I265" i="1"/>
  <c r="K265" i="1" s="1"/>
  <c r="H265" i="1"/>
  <c r="G265" i="1"/>
  <c r="F265" i="1"/>
  <c r="E265" i="1"/>
  <c r="B265" i="1"/>
  <c r="S264" i="1"/>
  <c r="R264" i="1"/>
  <c r="Q264" i="1"/>
  <c r="P264" i="1"/>
  <c r="O264" i="1"/>
  <c r="N264" i="1"/>
  <c r="L264" i="1"/>
  <c r="I264" i="1"/>
  <c r="K264" i="1" s="1"/>
  <c r="H264" i="1"/>
  <c r="G264" i="1"/>
  <c r="F264" i="1"/>
  <c r="E264" i="1"/>
  <c r="B264" i="1"/>
  <c r="S263" i="1"/>
  <c r="R263" i="1"/>
  <c r="Q263" i="1"/>
  <c r="P263" i="1"/>
  <c r="O263" i="1"/>
  <c r="N263" i="1"/>
  <c r="L263" i="1"/>
  <c r="I263" i="1"/>
  <c r="K263" i="1" s="1"/>
  <c r="H263" i="1"/>
  <c r="G263" i="1"/>
  <c r="F263" i="1"/>
  <c r="E263" i="1"/>
  <c r="B263" i="1"/>
  <c r="S262" i="1"/>
  <c r="R262" i="1"/>
  <c r="Q262" i="1"/>
  <c r="P262" i="1"/>
  <c r="O262" i="1"/>
  <c r="N262" i="1"/>
  <c r="L262" i="1"/>
  <c r="I262" i="1"/>
  <c r="K262" i="1" s="1"/>
  <c r="H262" i="1"/>
  <c r="G262" i="1"/>
  <c r="F262" i="1"/>
  <c r="E262" i="1"/>
  <c r="B262" i="1"/>
  <c r="S261" i="1"/>
  <c r="R261" i="1"/>
  <c r="Q261" i="1"/>
  <c r="P261" i="1"/>
  <c r="O261" i="1"/>
  <c r="N261" i="1"/>
  <c r="L261" i="1"/>
  <c r="I261" i="1"/>
  <c r="K261" i="1" s="1"/>
  <c r="H261" i="1"/>
  <c r="G261" i="1"/>
  <c r="F261" i="1"/>
  <c r="E261" i="1"/>
  <c r="B261" i="1"/>
  <c r="S260" i="1"/>
  <c r="R260" i="1"/>
  <c r="Q260" i="1"/>
  <c r="P260" i="1"/>
  <c r="O260" i="1"/>
  <c r="N260" i="1"/>
  <c r="L260" i="1"/>
  <c r="I260" i="1"/>
  <c r="K260" i="1" s="1"/>
  <c r="H260" i="1"/>
  <c r="G260" i="1"/>
  <c r="F260" i="1"/>
  <c r="E260" i="1"/>
  <c r="B260" i="1"/>
  <c r="S259" i="1"/>
  <c r="R259" i="1"/>
  <c r="Q259" i="1"/>
  <c r="P259" i="1"/>
  <c r="O259" i="1"/>
  <c r="N259" i="1"/>
  <c r="L259" i="1"/>
  <c r="I259" i="1"/>
  <c r="K259" i="1" s="1"/>
  <c r="H259" i="1"/>
  <c r="G259" i="1"/>
  <c r="F259" i="1"/>
  <c r="E259" i="1"/>
  <c r="B259" i="1"/>
  <c r="S258" i="1"/>
  <c r="R258" i="1"/>
  <c r="Q258" i="1"/>
  <c r="P258" i="1"/>
  <c r="O258" i="1"/>
  <c r="N258" i="1"/>
  <c r="L258" i="1"/>
  <c r="I258" i="1"/>
  <c r="K258" i="1" s="1"/>
  <c r="H258" i="1"/>
  <c r="G258" i="1"/>
  <c r="F258" i="1"/>
  <c r="E258" i="1"/>
  <c r="B258" i="1"/>
  <c r="S257" i="1"/>
  <c r="R257" i="1"/>
  <c r="Q257" i="1"/>
  <c r="P257" i="1"/>
  <c r="O257" i="1"/>
  <c r="N257" i="1"/>
  <c r="L257" i="1"/>
  <c r="I257" i="1"/>
  <c r="K257" i="1" s="1"/>
  <c r="H257" i="1"/>
  <c r="G257" i="1"/>
  <c r="F257" i="1"/>
  <c r="E257" i="1"/>
  <c r="B257" i="1"/>
  <c r="S256" i="1"/>
  <c r="R256" i="1"/>
  <c r="Q256" i="1"/>
  <c r="P256" i="1"/>
  <c r="O256" i="1"/>
  <c r="N256" i="1"/>
  <c r="L256" i="1"/>
  <c r="I256" i="1"/>
  <c r="K256" i="1" s="1"/>
  <c r="H256" i="1"/>
  <c r="G256" i="1"/>
  <c r="F256" i="1"/>
  <c r="E256" i="1"/>
  <c r="B256" i="1"/>
  <c r="S255" i="1"/>
  <c r="R255" i="1"/>
  <c r="Q255" i="1"/>
  <c r="P255" i="1"/>
  <c r="O255" i="1"/>
  <c r="N255" i="1"/>
  <c r="L255" i="1"/>
  <c r="I255" i="1"/>
  <c r="K255" i="1" s="1"/>
  <c r="H255" i="1"/>
  <c r="G255" i="1"/>
  <c r="F255" i="1"/>
  <c r="E255" i="1"/>
  <c r="B255" i="1"/>
  <c r="S254" i="1"/>
  <c r="R254" i="1"/>
  <c r="Q254" i="1"/>
  <c r="P254" i="1"/>
  <c r="O254" i="1"/>
  <c r="N254" i="1"/>
  <c r="L254" i="1"/>
  <c r="I254" i="1"/>
  <c r="K254" i="1" s="1"/>
  <c r="H254" i="1"/>
  <c r="G254" i="1"/>
  <c r="F254" i="1"/>
  <c r="E254" i="1"/>
  <c r="B254" i="1"/>
  <c r="S253" i="1"/>
  <c r="R253" i="1"/>
  <c r="Q253" i="1"/>
  <c r="P253" i="1"/>
  <c r="O253" i="1"/>
  <c r="N253" i="1"/>
  <c r="L253" i="1"/>
  <c r="I253" i="1"/>
  <c r="K253" i="1" s="1"/>
  <c r="H253" i="1"/>
  <c r="G253" i="1"/>
  <c r="F253" i="1"/>
  <c r="E253" i="1"/>
  <c r="B253" i="1"/>
  <c r="S252" i="1"/>
  <c r="R252" i="1"/>
  <c r="Q252" i="1"/>
  <c r="P252" i="1"/>
  <c r="O252" i="1"/>
  <c r="N252" i="1"/>
  <c r="L252" i="1"/>
  <c r="I252" i="1"/>
  <c r="K252" i="1" s="1"/>
  <c r="H252" i="1"/>
  <c r="G252" i="1"/>
  <c r="F252" i="1"/>
  <c r="E252" i="1"/>
  <c r="B252" i="1"/>
  <c r="S251" i="1"/>
  <c r="R251" i="1"/>
  <c r="Q251" i="1"/>
  <c r="P251" i="1"/>
  <c r="O251" i="1"/>
  <c r="N251" i="1"/>
  <c r="L251" i="1"/>
  <c r="I251" i="1"/>
  <c r="K251" i="1" s="1"/>
  <c r="H251" i="1"/>
  <c r="G251" i="1"/>
  <c r="F251" i="1"/>
  <c r="E251" i="1"/>
  <c r="B251" i="1"/>
  <c r="S250" i="1"/>
  <c r="R250" i="1"/>
  <c r="Q250" i="1"/>
  <c r="P250" i="1"/>
  <c r="O250" i="1"/>
  <c r="N250" i="1"/>
  <c r="L250" i="1"/>
  <c r="I250" i="1"/>
  <c r="K250" i="1" s="1"/>
  <c r="H250" i="1"/>
  <c r="G250" i="1"/>
  <c r="F250" i="1"/>
  <c r="E250" i="1"/>
  <c r="B250" i="1"/>
  <c r="S249" i="1"/>
  <c r="R249" i="1"/>
  <c r="Q249" i="1"/>
  <c r="P249" i="1"/>
  <c r="O249" i="1"/>
  <c r="N249" i="1"/>
  <c r="L249" i="1"/>
  <c r="I249" i="1"/>
  <c r="K249" i="1" s="1"/>
  <c r="H249" i="1"/>
  <c r="G249" i="1"/>
  <c r="F249" i="1"/>
  <c r="E249" i="1"/>
  <c r="B249" i="1"/>
  <c r="S248" i="1"/>
  <c r="R248" i="1"/>
  <c r="Q248" i="1"/>
  <c r="P248" i="1"/>
  <c r="O248" i="1"/>
  <c r="N248" i="1"/>
  <c r="L248" i="1"/>
  <c r="I248" i="1"/>
  <c r="K248" i="1" s="1"/>
  <c r="H248" i="1"/>
  <c r="G248" i="1"/>
  <c r="F248" i="1"/>
  <c r="E248" i="1"/>
  <c r="B248" i="1"/>
  <c r="S247" i="1"/>
  <c r="R247" i="1"/>
  <c r="Q247" i="1"/>
  <c r="P247" i="1"/>
  <c r="O247" i="1"/>
  <c r="N247" i="1"/>
  <c r="L247" i="1"/>
  <c r="I247" i="1"/>
  <c r="K247" i="1" s="1"/>
  <c r="H247" i="1"/>
  <c r="G247" i="1"/>
  <c r="F247" i="1"/>
  <c r="E247" i="1"/>
  <c r="B247" i="1"/>
  <c r="S246" i="1"/>
  <c r="R246" i="1"/>
  <c r="Q246" i="1"/>
  <c r="P246" i="1"/>
  <c r="O246" i="1"/>
  <c r="N246" i="1"/>
  <c r="L246" i="1"/>
  <c r="I246" i="1"/>
  <c r="K246" i="1" s="1"/>
  <c r="H246" i="1"/>
  <c r="G246" i="1"/>
  <c r="F246" i="1"/>
  <c r="E246" i="1"/>
  <c r="B246" i="1"/>
  <c r="S245" i="1"/>
  <c r="R245" i="1"/>
  <c r="Q245" i="1"/>
  <c r="P245" i="1"/>
  <c r="O245" i="1"/>
  <c r="N245" i="1"/>
  <c r="L245" i="1"/>
  <c r="K245" i="1"/>
  <c r="I245" i="1"/>
  <c r="H245" i="1"/>
  <c r="G245" i="1"/>
  <c r="F245" i="1"/>
  <c r="E245" i="1"/>
  <c r="B245" i="1"/>
  <c r="S244" i="1"/>
  <c r="R244" i="1"/>
  <c r="Q244" i="1"/>
  <c r="P244" i="1"/>
  <c r="O244" i="1"/>
  <c r="N244" i="1"/>
  <c r="L244" i="1"/>
  <c r="I244" i="1"/>
  <c r="K244" i="1" s="1"/>
  <c r="H244" i="1"/>
  <c r="G244" i="1"/>
  <c r="F244" i="1"/>
  <c r="E244" i="1"/>
  <c r="B244" i="1"/>
  <c r="S243" i="1"/>
  <c r="R243" i="1"/>
  <c r="Q243" i="1"/>
  <c r="P243" i="1"/>
  <c r="O243" i="1"/>
  <c r="N243" i="1"/>
  <c r="L243" i="1"/>
  <c r="I243" i="1"/>
  <c r="K243" i="1" s="1"/>
  <c r="H243" i="1"/>
  <c r="G243" i="1"/>
  <c r="F243" i="1"/>
  <c r="E243" i="1"/>
  <c r="B243" i="1"/>
  <c r="S242" i="1"/>
  <c r="R242" i="1"/>
  <c r="Q242" i="1"/>
  <c r="P242" i="1"/>
  <c r="O242" i="1"/>
  <c r="N242" i="1"/>
  <c r="L242" i="1"/>
  <c r="I242" i="1"/>
  <c r="K242" i="1" s="1"/>
  <c r="H242" i="1"/>
  <c r="G242" i="1"/>
  <c r="F242" i="1"/>
  <c r="E242" i="1"/>
  <c r="B242" i="1"/>
  <c r="S241" i="1"/>
  <c r="R241" i="1"/>
  <c r="Q241" i="1"/>
  <c r="P241" i="1"/>
  <c r="O241" i="1"/>
  <c r="N241" i="1"/>
  <c r="L241" i="1"/>
  <c r="I241" i="1"/>
  <c r="K241" i="1" s="1"/>
  <c r="H241" i="1"/>
  <c r="G241" i="1"/>
  <c r="F241" i="1"/>
  <c r="E241" i="1"/>
  <c r="B241" i="1"/>
  <c r="S240" i="1"/>
  <c r="R240" i="1"/>
  <c r="Q240" i="1"/>
  <c r="P240" i="1"/>
  <c r="O240" i="1"/>
  <c r="N240" i="1"/>
  <c r="L240" i="1"/>
  <c r="I240" i="1"/>
  <c r="K240" i="1" s="1"/>
  <c r="H240" i="1"/>
  <c r="G240" i="1"/>
  <c r="F240" i="1"/>
  <c r="E240" i="1"/>
  <c r="B240" i="1"/>
  <c r="S239" i="1"/>
  <c r="R239" i="1"/>
  <c r="Q239" i="1"/>
  <c r="P239" i="1"/>
  <c r="O239" i="1"/>
  <c r="N239" i="1"/>
  <c r="L239" i="1"/>
  <c r="I239" i="1"/>
  <c r="K239" i="1" s="1"/>
  <c r="H239" i="1"/>
  <c r="G239" i="1"/>
  <c r="F239" i="1"/>
  <c r="E239" i="1"/>
  <c r="B239" i="1"/>
  <c r="S238" i="1"/>
  <c r="R238" i="1"/>
  <c r="Q238" i="1"/>
  <c r="P238" i="1"/>
  <c r="O238" i="1"/>
  <c r="N238" i="1"/>
  <c r="L238" i="1"/>
  <c r="I238" i="1"/>
  <c r="K238" i="1" s="1"/>
  <c r="H238" i="1"/>
  <c r="G238" i="1"/>
  <c r="F238" i="1"/>
  <c r="E238" i="1"/>
  <c r="B238" i="1"/>
  <c r="S237" i="1"/>
  <c r="R237" i="1"/>
  <c r="Q237" i="1"/>
  <c r="P237" i="1"/>
  <c r="O237" i="1"/>
  <c r="N237" i="1"/>
  <c r="L237" i="1"/>
  <c r="I237" i="1"/>
  <c r="K237" i="1" s="1"/>
  <c r="H237" i="1"/>
  <c r="G237" i="1"/>
  <c r="F237" i="1"/>
  <c r="E237" i="1"/>
  <c r="B237" i="1"/>
  <c r="S236" i="1"/>
  <c r="R236" i="1"/>
  <c r="Q236" i="1"/>
  <c r="P236" i="1"/>
  <c r="O236" i="1"/>
  <c r="N236" i="1"/>
  <c r="L236" i="1"/>
  <c r="I236" i="1"/>
  <c r="K236" i="1" s="1"/>
  <c r="H236" i="1"/>
  <c r="G236" i="1"/>
  <c r="F236" i="1"/>
  <c r="E236" i="1"/>
  <c r="B236" i="1"/>
  <c r="S235" i="1"/>
  <c r="R235" i="1"/>
  <c r="Q235" i="1"/>
  <c r="P235" i="1"/>
  <c r="O235" i="1"/>
  <c r="N235" i="1"/>
  <c r="L235" i="1"/>
  <c r="I235" i="1"/>
  <c r="K235" i="1" s="1"/>
  <c r="H235" i="1"/>
  <c r="G235" i="1"/>
  <c r="F235" i="1"/>
  <c r="E235" i="1"/>
  <c r="B235" i="1"/>
  <c r="S234" i="1"/>
  <c r="R234" i="1"/>
  <c r="Q234" i="1"/>
  <c r="P234" i="1"/>
  <c r="O234" i="1"/>
  <c r="N234" i="1"/>
  <c r="L234" i="1"/>
  <c r="I234" i="1"/>
  <c r="K234" i="1" s="1"/>
  <c r="H234" i="1"/>
  <c r="G234" i="1"/>
  <c r="F234" i="1"/>
  <c r="E234" i="1"/>
  <c r="B234" i="1"/>
  <c r="S233" i="1"/>
  <c r="R233" i="1"/>
  <c r="Q233" i="1"/>
  <c r="P233" i="1"/>
  <c r="O233" i="1"/>
  <c r="N233" i="1"/>
  <c r="L233" i="1"/>
  <c r="I233" i="1"/>
  <c r="K233" i="1" s="1"/>
  <c r="H233" i="1"/>
  <c r="G233" i="1"/>
  <c r="F233" i="1"/>
  <c r="E233" i="1"/>
  <c r="B233" i="1"/>
  <c r="S232" i="1"/>
  <c r="R232" i="1"/>
  <c r="Q232" i="1"/>
  <c r="P232" i="1"/>
  <c r="O232" i="1"/>
  <c r="N232" i="1"/>
  <c r="L232" i="1"/>
  <c r="I232" i="1"/>
  <c r="K232" i="1" s="1"/>
  <c r="H232" i="1"/>
  <c r="G232" i="1"/>
  <c r="F232" i="1"/>
  <c r="E232" i="1"/>
  <c r="B232" i="1"/>
  <c r="S231" i="1"/>
  <c r="R231" i="1"/>
  <c r="Q231" i="1"/>
  <c r="P231" i="1"/>
  <c r="O231" i="1"/>
  <c r="N231" i="1"/>
  <c r="L231" i="1"/>
  <c r="I231" i="1"/>
  <c r="K231" i="1" s="1"/>
  <c r="H231" i="1"/>
  <c r="G231" i="1"/>
  <c r="F231" i="1"/>
  <c r="E231" i="1"/>
  <c r="B231" i="1"/>
  <c r="S230" i="1"/>
  <c r="R230" i="1"/>
  <c r="Q230" i="1"/>
  <c r="P230" i="1"/>
  <c r="O230" i="1"/>
  <c r="N230" i="1"/>
  <c r="L230" i="1"/>
  <c r="I230" i="1"/>
  <c r="K230" i="1" s="1"/>
  <c r="H230" i="1"/>
  <c r="G230" i="1"/>
  <c r="F230" i="1"/>
  <c r="E230" i="1"/>
  <c r="B230" i="1"/>
  <c r="S229" i="1"/>
  <c r="R229" i="1"/>
  <c r="Q229" i="1"/>
  <c r="P229" i="1"/>
  <c r="O229" i="1"/>
  <c r="N229" i="1"/>
  <c r="L229" i="1"/>
  <c r="I229" i="1"/>
  <c r="K229" i="1" s="1"/>
  <c r="H229" i="1"/>
  <c r="G229" i="1"/>
  <c r="F229" i="1"/>
  <c r="E229" i="1"/>
  <c r="B229" i="1"/>
  <c r="S228" i="1"/>
  <c r="R228" i="1"/>
  <c r="Q228" i="1"/>
  <c r="P228" i="1"/>
  <c r="O228" i="1"/>
  <c r="N228" i="1"/>
  <c r="L228" i="1"/>
  <c r="I228" i="1"/>
  <c r="K228" i="1" s="1"/>
  <c r="H228" i="1"/>
  <c r="G228" i="1"/>
  <c r="F228" i="1"/>
  <c r="E228" i="1"/>
  <c r="B228" i="1"/>
  <c r="S227" i="1"/>
  <c r="R227" i="1"/>
  <c r="Q227" i="1"/>
  <c r="P227" i="1"/>
  <c r="O227" i="1"/>
  <c r="N227" i="1"/>
  <c r="L227" i="1"/>
  <c r="I227" i="1"/>
  <c r="K227" i="1" s="1"/>
  <c r="H227" i="1"/>
  <c r="G227" i="1"/>
  <c r="F227" i="1"/>
  <c r="E227" i="1"/>
  <c r="B227" i="1"/>
  <c r="S226" i="1"/>
  <c r="R226" i="1"/>
  <c r="Q226" i="1"/>
  <c r="P226" i="1"/>
  <c r="O226" i="1"/>
  <c r="N226" i="1"/>
  <c r="L226" i="1"/>
  <c r="I226" i="1"/>
  <c r="K226" i="1" s="1"/>
  <c r="H226" i="1"/>
  <c r="G226" i="1"/>
  <c r="F226" i="1"/>
  <c r="E226" i="1"/>
  <c r="B226" i="1"/>
  <c r="S225" i="1"/>
  <c r="R225" i="1"/>
  <c r="Q225" i="1"/>
  <c r="P225" i="1"/>
  <c r="O225" i="1"/>
  <c r="N225" i="1"/>
  <c r="L225" i="1"/>
  <c r="I225" i="1"/>
  <c r="K225" i="1" s="1"/>
  <c r="H225" i="1"/>
  <c r="G225" i="1"/>
  <c r="F225" i="1"/>
  <c r="E225" i="1"/>
  <c r="B225" i="1"/>
  <c r="S224" i="1"/>
  <c r="R224" i="1"/>
  <c r="Q224" i="1"/>
  <c r="P224" i="1"/>
  <c r="O224" i="1"/>
  <c r="N224" i="1"/>
  <c r="L224" i="1"/>
  <c r="I224" i="1"/>
  <c r="K224" i="1" s="1"/>
  <c r="H224" i="1"/>
  <c r="G224" i="1"/>
  <c r="F224" i="1"/>
  <c r="E224" i="1"/>
  <c r="B224" i="1"/>
  <c r="S223" i="1"/>
  <c r="R223" i="1"/>
  <c r="Q223" i="1"/>
  <c r="P223" i="1"/>
  <c r="O223" i="1"/>
  <c r="N223" i="1"/>
  <c r="L223" i="1"/>
  <c r="I223" i="1"/>
  <c r="K223" i="1" s="1"/>
  <c r="H223" i="1"/>
  <c r="G223" i="1"/>
  <c r="F223" i="1"/>
  <c r="E223" i="1"/>
  <c r="B223" i="1"/>
  <c r="S222" i="1"/>
  <c r="R222" i="1"/>
  <c r="Q222" i="1"/>
  <c r="P222" i="1"/>
  <c r="O222" i="1"/>
  <c r="N222" i="1"/>
  <c r="L222" i="1"/>
  <c r="I222" i="1"/>
  <c r="K222" i="1" s="1"/>
  <c r="H222" i="1"/>
  <c r="G222" i="1"/>
  <c r="F222" i="1"/>
  <c r="E222" i="1"/>
  <c r="B222" i="1"/>
  <c r="S221" i="1"/>
  <c r="R221" i="1"/>
  <c r="Q221" i="1"/>
  <c r="P221" i="1"/>
  <c r="O221" i="1"/>
  <c r="N221" i="1"/>
  <c r="L221" i="1"/>
  <c r="I221" i="1"/>
  <c r="K221" i="1" s="1"/>
  <c r="H221" i="1"/>
  <c r="G221" i="1"/>
  <c r="F221" i="1"/>
  <c r="E221" i="1"/>
  <c r="B221" i="1"/>
  <c r="S220" i="1"/>
  <c r="R220" i="1"/>
  <c r="Q220" i="1"/>
  <c r="P220" i="1"/>
  <c r="O220" i="1"/>
  <c r="N220" i="1"/>
  <c r="L220" i="1"/>
  <c r="K220" i="1"/>
  <c r="I220" i="1"/>
  <c r="H220" i="1"/>
  <c r="G220" i="1"/>
  <c r="F220" i="1"/>
  <c r="E220" i="1"/>
  <c r="B220" i="1"/>
  <c r="S219" i="1"/>
  <c r="R219" i="1"/>
  <c r="Q219" i="1"/>
  <c r="P219" i="1"/>
  <c r="O219" i="1"/>
  <c r="N219" i="1"/>
  <c r="L219" i="1"/>
  <c r="I219" i="1"/>
  <c r="K219" i="1" s="1"/>
  <c r="H219" i="1"/>
  <c r="G219" i="1"/>
  <c r="F219" i="1"/>
  <c r="E219" i="1"/>
  <c r="B219" i="1"/>
  <c r="S218" i="1"/>
  <c r="R218" i="1"/>
  <c r="Q218" i="1"/>
  <c r="P218" i="1"/>
  <c r="O218" i="1"/>
  <c r="N218" i="1"/>
  <c r="L218" i="1"/>
  <c r="I218" i="1"/>
  <c r="K218" i="1" s="1"/>
  <c r="H218" i="1"/>
  <c r="G218" i="1"/>
  <c r="F218" i="1"/>
  <c r="E218" i="1"/>
  <c r="B218" i="1"/>
  <c r="S217" i="1"/>
  <c r="R217" i="1"/>
  <c r="Q217" i="1"/>
  <c r="P217" i="1"/>
  <c r="O217" i="1"/>
  <c r="N217" i="1"/>
  <c r="L217" i="1"/>
  <c r="I217" i="1"/>
  <c r="K217" i="1" s="1"/>
  <c r="H217" i="1"/>
  <c r="G217" i="1"/>
  <c r="F217" i="1"/>
  <c r="E217" i="1"/>
  <c r="B217" i="1"/>
  <c r="S216" i="1"/>
  <c r="R216" i="1"/>
  <c r="Q216" i="1"/>
  <c r="P216" i="1"/>
  <c r="O216" i="1"/>
  <c r="N216" i="1"/>
  <c r="L216" i="1"/>
  <c r="I216" i="1"/>
  <c r="K216" i="1" s="1"/>
  <c r="H216" i="1"/>
  <c r="G216" i="1"/>
  <c r="F216" i="1"/>
  <c r="E216" i="1"/>
  <c r="B216" i="1"/>
  <c r="S215" i="1"/>
  <c r="R215" i="1"/>
  <c r="Q215" i="1"/>
  <c r="P215" i="1"/>
  <c r="O215" i="1"/>
  <c r="N215" i="1"/>
  <c r="L215" i="1"/>
  <c r="I215" i="1"/>
  <c r="K215" i="1" s="1"/>
  <c r="H215" i="1"/>
  <c r="G215" i="1"/>
  <c r="F215" i="1"/>
  <c r="E215" i="1"/>
  <c r="B215" i="1"/>
  <c r="S214" i="1"/>
  <c r="R214" i="1"/>
  <c r="Q214" i="1"/>
  <c r="P214" i="1"/>
  <c r="O214" i="1"/>
  <c r="N214" i="1"/>
  <c r="L214" i="1"/>
  <c r="I214" i="1"/>
  <c r="K214" i="1" s="1"/>
  <c r="H214" i="1"/>
  <c r="G214" i="1"/>
  <c r="F214" i="1"/>
  <c r="E214" i="1"/>
  <c r="B214" i="1"/>
  <c r="S213" i="1"/>
  <c r="R213" i="1"/>
  <c r="Q213" i="1"/>
  <c r="P213" i="1"/>
  <c r="O213" i="1"/>
  <c r="N213" i="1"/>
  <c r="L213" i="1"/>
  <c r="I213" i="1"/>
  <c r="K213" i="1" s="1"/>
  <c r="H213" i="1"/>
  <c r="G213" i="1"/>
  <c r="F213" i="1"/>
  <c r="E213" i="1"/>
  <c r="B213" i="1"/>
  <c r="S212" i="1"/>
  <c r="R212" i="1"/>
  <c r="Q212" i="1"/>
  <c r="P212" i="1"/>
  <c r="O212" i="1"/>
  <c r="N212" i="1"/>
  <c r="L212" i="1"/>
  <c r="I212" i="1"/>
  <c r="K212" i="1" s="1"/>
  <c r="H212" i="1"/>
  <c r="G212" i="1"/>
  <c r="F212" i="1"/>
  <c r="E212" i="1"/>
  <c r="B212" i="1"/>
  <c r="S211" i="1"/>
  <c r="R211" i="1"/>
  <c r="Q211" i="1"/>
  <c r="P211" i="1"/>
  <c r="O211" i="1"/>
  <c r="N211" i="1"/>
  <c r="L211" i="1"/>
  <c r="I211" i="1"/>
  <c r="K211" i="1" s="1"/>
  <c r="H211" i="1"/>
  <c r="G211" i="1"/>
  <c r="F211" i="1"/>
  <c r="E211" i="1"/>
  <c r="B211" i="1"/>
  <c r="S210" i="1"/>
  <c r="R210" i="1"/>
  <c r="Q210" i="1"/>
  <c r="P210" i="1"/>
  <c r="O210" i="1"/>
  <c r="N210" i="1"/>
  <c r="L210" i="1"/>
  <c r="I210" i="1"/>
  <c r="K210" i="1" s="1"/>
  <c r="H210" i="1"/>
  <c r="G210" i="1"/>
  <c r="F210" i="1"/>
  <c r="E210" i="1"/>
  <c r="B210" i="1"/>
  <c r="S209" i="1"/>
  <c r="R209" i="1"/>
  <c r="Q209" i="1"/>
  <c r="P209" i="1"/>
  <c r="O209" i="1"/>
  <c r="N209" i="1"/>
  <c r="L209" i="1"/>
  <c r="I209" i="1"/>
  <c r="K209" i="1" s="1"/>
  <c r="H209" i="1"/>
  <c r="G209" i="1"/>
  <c r="F209" i="1"/>
  <c r="E209" i="1"/>
  <c r="B209" i="1"/>
  <c r="S208" i="1"/>
  <c r="R208" i="1"/>
  <c r="Q208" i="1"/>
  <c r="P208" i="1"/>
  <c r="O208" i="1"/>
  <c r="N208" i="1"/>
  <c r="L208" i="1"/>
  <c r="I208" i="1"/>
  <c r="K208" i="1" s="1"/>
  <c r="H208" i="1"/>
  <c r="G208" i="1"/>
  <c r="F208" i="1"/>
  <c r="E208" i="1"/>
  <c r="B208" i="1"/>
  <c r="S207" i="1"/>
  <c r="R207" i="1"/>
  <c r="Q207" i="1"/>
  <c r="P207" i="1"/>
  <c r="O207" i="1"/>
  <c r="N207" i="1"/>
  <c r="L207" i="1"/>
  <c r="I207" i="1"/>
  <c r="K207" i="1" s="1"/>
  <c r="H207" i="1"/>
  <c r="G207" i="1"/>
  <c r="F207" i="1"/>
  <c r="E207" i="1"/>
  <c r="B207" i="1"/>
  <c r="S206" i="1"/>
  <c r="R206" i="1"/>
  <c r="Q206" i="1"/>
  <c r="P206" i="1"/>
  <c r="O206" i="1"/>
  <c r="N206" i="1"/>
  <c r="L206" i="1"/>
  <c r="I206" i="1"/>
  <c r="K206" i="1" s="1"/>
  <c r="H206" i="1"/>
  <c r="G206" i="1"/>
  <c r="F206" i="1"/>
  <c r="E206" i="1"/>
  <c r="B206" i="1"/>
  <c r="S205" i="1"/>
  <c r="R205" i="1"/>
  <c r="Q205" i="1"/>
  <c r="P205" i="1"/>
  <c r="O205" i="1"/>
  <c r="N205" i="1"/>
  <c r="L205" i="1"/>
  <c r="I205" i="1"/>
  <c r="K205" i="1" s="1"/>
  <c r="H205" i="1"/>
  <c r="G205" i="1"/>
  <c r="F205" i="1"/>
  <c r="E205" i="1"/>
  <c r="B205" i="1"/>
  <c r="S204" i="1"/>
  <c r="R204" i="1"/>
  <c r="Q204" i="1"/>
  <c r="P204" i="1"/>
  <c r="O204" i="1"/>
  <c r="N204" i="1"/>
  <c r="L204" i="1"/>
  <c r="I204" i="1"/>
  <c r="K204" i="1" s="1"/>
  <c r="H204" i="1"/>
  <c r="G204" i="1"/>
  <c r="F204" i="1"/>
  <c r="E204" i="1"/>
  <c r="B204" i="1"/>
  <c r="S203" i="1"/>
  <c r="R203" i="1"/>
  <c r="Q203" i="1"/>
  <c r="P203" i="1"/>
  <c r="O203" i="1"/>
  <c r="N203" i="1"/>
  <c r="L203" i="1"/>
  <c r="I203" i="1"/>
  <c r="K203" i="1" s="1"/>
  <c r="H203" i="1"/>
  <c r="G203" i="1"/>
  <c r="F203" i="1"/>
  <c r="E203" i="1"/>
  <c r="B203" i="1"/>
  <c r="S202" i="1"/>
  <c r="R202" i="1"/>
  <c r="Q202" i="1"/>
  <c r="P202" i="1"/>
  <c r="O202" i="1"/>
  <c r="N202" i="1"/>
  <c r="L202" i="1"/>
  <c r="I202" i="1"/>
  <c r="K202" i="1" s="1"/>
  <c r="H202" i="1"/>
  <c r="G202" i="1"/>
  <c r="F202" i="1"/>
  <c r="E202" i="1"/>
  <c r="B202" i="1"/>
  <c r="S201" i="1"/>
  <c r="R201" i="1"/>
  <c r="Q201" i="1"/>
  <c r="P201" i="1"/>
  <c r="O201" i="1"/>
  <c r="N201" i="1"/>
  <c r="L201" i="1"/>
  <c r="I201" i="1"/>
  <c r="K201" i="1" s="1"/>
  <c r="H201" i="1"/>
  <c r="G201" i="1"/>
  <c r="F201" i="1"/>
  <c r="E201" i="1"/>
  <c r="B201" i="1"/>
  <c r="S200" i="1"/>
  <c r="R200" i="1"/>
  <c r="Q200" i="1"/>
  <c r="P200" i="1"/>
  <c r="O200" i="1"/>
  <c r="N200" i="1"/>
  <c r="L200" i="1"/>
  <c r="I200" i="1"/>
  <c r="K200" i="1" s="1"/>
  <c r="H200" i="1"/>
  <c r="G200" i="1"/>
  <c r="F200" i="1"/>
  <c r="E200" i="1"/>
  <c r="B200" i="1"/>
  <c r="S199" i="1"/>
  <c r="R199" i="1"/>
  <c r="Q199" i="1"/>
  <c r="P199" i="1"/>
  <c r="O199" i="1"/>
  <c r="N199" i="1"/>
  <c r="L199" i="1"/>
  <c r="I199" i="1"/>
  <c r="K199" i="1" s="1"/>
  <c r="H199" i="1"/>
  <c r="G199" i="1"/>
  <c r="F199" i="1"/>
  <c r="E199" i="1"/>
  <c r="B199" i="1"/>
  <c r="S198" i="1"/>
  <c r="R198" i="1"/>
  <c r="Q198" i="1"/>
  <c r="P198" i="1"/>
  <c r="O198" i="1"/>
  <c r="N198" i="1"/>
  <c r="L198" i="1"/>
  <c r="I198" i="1"/>
  <c r="K198" i="1" s="1"/>
  <c r="H198" i="1"/>
  <c r="G198" i="1"/>
  <c r="F198" i="1"/>
  <c r="E198" i="1"/>
  <c r="B198" i="1"/>
  <c r="S197" i="1"/>
  <c r="R197" i="1"/>
  <c r="Q197" i="1"/>
  <c r="P197" i="1"/>
  <c r="O197" i="1"/>
  <c r="N197" i="1"/>
  <c r="L197" i="1"/>
  <c r="I197" i="1"/>
  <c r="K197" i="1" s="1"/>
  <c r="H197" i="1"/>
  <c r="G197" i="1"/>
  <c r="F197" i="1"/>
  <c r="E197" i="1"/>
  <c r="B197" i="1"/>
  <c r="S196" i="1"/>
  <c r="R196" i="1"/>
  <c r="Q196" i="1"/>
  <c r="P196" i="1"/>
  <c r="O196" i="1"/>
  <c r="N196" i="1"/>
  <c r="L196" i="1"/>
  <c r="I196" i="1"/>
  <c r="K196" i="1" s="1"/>
  <c r="H196" i="1"/>
  <c r="G196" i="1"/>
  <c r="F196" i="1"/>
  <c r="E196" i="1"/>
  <c r="B196" i="1"/>
  <c r="S195" i="1"/>
  <c r="R195" i="1"/>
  <c r="Q195" i="1"/>
  <c r="P195" i="1"/>
  <c r="O195" i="1"/>
  <c r="N195" i="1"/>
  <c r="L195" i="1"/>
  <c r="I195" i="1"/>
  <c r="K195" i="1" s="1"/>
  <c r="H195" i="1"/>
  <c r="G195" i="1"/>
  <c r="F195" i="1"/>
  <c r="E195" i="1"/>
  <c r="B195" i="1"/>
  <c r="S194" i="1"/>
  <c r="R194" i="1"/>
  <c r="Q194" i="1"/>
  <c r="P194" i="1"/>
  <c r="O194" i="1"/>
  <c r="N194" i="1"/>
  <c r="L194" i="1"/>
  <c r="I194" i="1"/>
  <c r="K194" i="1" s="1"/>
  <c r="H194" i="1"/>
  <c r="G194" i="1"/>
  <c r="F194" i="1"/>
  <c r="E194" i="1"/>
  <c r="B194" i="1"/>
  <c r="S193" i="1"/>
  <c r="R193" i="1"/>
  <c r="Q193" i="1"/>
  <c r="P193" i="1"/>
  <c r="O193" i="1"/>
  <c r="N193" i="1"/>
  <c r="L193" i="1"/>
  <c r="I193" i="1"/>
  <c r="K193" i="1" s="1"/>
  <c r="H193" i="1"/>
  <c r="G193" i="1"/>
  <c r="F193" i="1"/>
  <c r="E193" i="1"/>
  <c r="B193" i="1"/>
  <c r="S192" i="1"/>
  <c r="R192" i="1"/>
  <c r="Q192" i="1"/>
  <c r="P192" i="1"/>
  <c r="O192" i="1"/>
  <c r="N192" i="1"/>
  <c r="L192" i="1"/>
  <c r="I192" i="1"/>
  <c r="K192" i="1" s="1"/>
  <c r="H192" i="1"/>
  <c r="G192" i="1"/>
  <c r="F192" i="1"/>
  <c r="E192" i="1"/>
  <c r="B192" i="1"/>
  <c r="S191" i="1"/>
  <c r="R191" i="1"/>
  <c r="Q191" i="1"/>
  <c r="P191" i="1"/>
  <c r="O191" i="1"/>
  <c r="N191" i="1"/>
  <c r="L191" i="1"/>
  <c r="I191" i="1"/>
  <c r="K191" i="1" s="1"/>
  <c r="H191" i="1"/>
  <c r="G191" i="1"/>
  <c r="F191" i="1"/>
  <c r="E191" i="1"/>
  <c r="B191" i="1"/>
  <c r="S190" i="1"/>
  <c r="R190" i="1"/>
  <c r="Q190" i="1"/>
  <c r="P190" i="1"/>
  <c r="O190" i="1"/>
  <c r="N190" i="1"/>
  <c r="L190" i="1"/>
  <c r="I190" i="1"/>
  <c r="K190" i="1" s="1"/>
  <c r="H190" i="1"/>
  <c r="G190" i="1"/>
  <c r="F190" i="1"/>
  <c r="E190" i="1"/>
  <c r="B190" i="1"/>
  <c r="S189" i="1"/>
  <c r="R189" i="1"/>
  <c r="Q189" i="1"/>
  <c r="P189" i="1"/>
  <c r="O189" i="1"/>
  <c r="N189" i="1"/>
  <c r="L189" i="1"/>
  <c r="I189" i="1"/>
  <c r="K189" i="1" s="1"/>
  <c r="H189" i="1"/>
  <c r="G189" i="1"/>
  <c r="F189" i="1"/>
  <c r="E189" i="1"/>
  <c r="B189" i="1"/>
  <c r="S188" i="1"/>
  <c r="R188" i="1"/>
  <c r="Q188" i="1"/>
  <c r="P188" i="1"/>
  <c r="O188" i="1"/>
  <c r="N188" i="1"/>
  <c r="L188" i="1"/>
  <c r="I188" i="1"/>
  <c r="K188" i="1" s="1"/>
  <c r="H188" i="1"/>
  <c r="G188" i="1"/>
  <c r="F188" i="1"/>
  <c r="E188" i="1"/>
  <c r="B188" i="1"/>
  <c r="S187" i="1"/>
  <c r="R187" i="1"/>
  <c r="Q187" i="1"/>
  <c r="P187" i="1"/>
  <c r="O187" i="1"/>
  <c r="N187" i="1"/>
  <c r="L187" i="1"/>
  <c r="I187" i="1"/>
  <c r="K187" i="1" s="1"/>
  <c r="H187" i="1"/>
  <c r="G187" i="1"/>
  <c r="F187" i="1"/>
  <c r="E187" i="1"/>
  <c r="B187" i="1"/>
  <c r="S186" i="1"/>
  <c r="R186" i="1"/>
  <c r="Q186" i="1"/>
  <c r="P186" i="1"/>
  <c r="O186" i="1"/>
  <c r="N186" i="1"/>
  <c r="L186" i="1"/>
  <c r="I186" i="1"/>
  <c r="K186" i="1" s="1"/>
  <c r="H186" i="1"/>
  <c r="G186" i="1"/>
  <c r="F186" i="1"/>
  <c r="E186" i="1"/>
  <c r="B186" i="1"/>
  <c r="S185" i="1"/>
  <c r="R185" i="1"/>
  <c r="Q185" i="1"/>
  <c r="P185" i="1"/>
  <c r="O185" i="1"/>
  <c r="N185" i="1"/>
  <c r="L185" i="1"/>
  <c r="I185" i="1"/>
  <c r="K185" i="1" s="1"/>
  <c r="H185" i="1"/>
  <c r="G185" i="1"/>
  <c r="F185" i="1"/>
  <c r="E185" i="1"/>
  <c r="B185" i="1"/>
  <c r="S184" i="1"/>
  <c r="R184" i="1"/>
  <c r="Q184" i="1"/>
  <c r="P184" i="1"/>
  <c r="O184" i="1"/>
  <c r="N184" i="1"/>
  <c r="L184" i="1"/>
  <c r="I184" i="1"/>
  <c r="K184" i="1" s="1"/>
  <c r="H184" i="1"/>
  <c r="G184" i="1"/>
  <c r="F184" i="1"/>
  <c r="E184" i="1"/>
  <c r="B184" i="1"/>
  <c r="S183" i="1"/>
  <c r="R183" i="1"/>
  <c r="Q183" i="1"/>
  <c r="P183" i="1"/>
  <c r="O183" i="1"/>
  <c r="N183" i="1"/>
  <c r="L183" i="1"/>
  <c r="I183" i="1"/>
  <c r="K183" i="1" s="1"/>
  <c r="H183" i="1"/>
  <c r="G183" i="1"/>
  <c r="F183" i="1"/>
  <c r="E183" i="1"/>
  <c r="B183" i="1"/>
  <c r="S182" i="1"/>
  <c r="R182" i="1"/>
  <c r="Q182" i="1"/>
  <c r="P182" i="1"/>
  <c r="O182" i="1"/>
  <c r="N182" i="1"/>
  <c r="L182" i="1"/>
  <c r="K182" i="1"/>
  <c r="I182" i="1"/>
  <c r="H182" i="1"/>
  <c r="G182" i="1"/>
  <c r="F182" i="1"/>
  <c r="E182" i="1"/>
  <c r="B182" i="1"/>
  <c r="S181" i="1"/>
  <c r="R181" i="1"/>
  <c r="Q181" i="1"/>
  <c r="P181" i="1"/>
  <c r="O181" i="1"/>
  <c r="N181" i="1"/>
  <c r="L181" i="1"/>
  <c r="I181" i="1"/>
  <c r="K181" i="1" s="1"/>
  <c r="H181" i="1"/>
  <c r="G181" i="1"/>
  <c r="F181" i="1"/>
  <c r="E181" i="1"/>
  <c r="B181" i="1"/>
  <c r="S180" i="1"/>
  <c r="R180" i="1"/>
  <c r="Q180" i="1"/>
  <c r="P180" i="1"/>
  <c r="O180" i="1"/>
  <c r="N180" i="1"/>
  <c r="L180" i="1"/>
  <c r="I180" i="1"/>
  <c r="K180" i="1" s="1"/>
  <c r="H180" i="1"/>
  <c r="G180" i="1"/>
  <c r="F180" i="1"/>
  <c r="E180" i="1"/>
  <c r="B180" i="1"/>
  <c r="S179" i="1"/>
  <c r="R179" i="1"/>
  <c r="Q179" i="1"/>
  <c r="P179" i="1"/>
  <c r="O179" i="1"/>
  <c r="N179" i="1"/>
  <c r="L179" i="1"/>
  <c r="I179" i="1"/>
  <c r="K179" i="1" s="1"/>
  <c r="H179" i="1"/>
  <c r="G179" i="1"/>
  <c r="F179" i="1"/>
  <c r="E179" i="1"/>
  <c r="B179" i="1"/>
  <c r="S178" i="1"/>
  <c r="R178" i="1"/>
  <c r="Q178" i="1"/>
  <c r="P178" i="1"/>
  <c r="O178" i="1"/>
  <c r="N178" i="1"/>
  <c r="L178" i="1"/>
  <c r="I178" i="1"/>
  <c r="K178" i="1" s="1"/>
  <c r="H178" i="1"/>
  <c r="G178" i="1"/>
  <c r="F178" i="1"/>
  <c r="E178" i="1"/>
  <c r="B178" i="1"/>
  <c r="S177" i="1"/>
  <c r="R177" i="1"/>
  <c r="Q177" i="1"/>
  <c r="P177" i="1"/>
  <c r="O177" i="1"/>
  <c r="N177" i="1"/>
  <c r="L177" i="1"/>
  <c r="I177" i="1"/>
  <c r="K177" i="1" s="1"/>
  <c r="H177" i="1"/>
  <c r="G177" i="1"/>
  <c r="F177" i="1"/>
  <c r="E177" i="1"/>
  <c r="B177" i="1"/>
  <c r="S176" i="1"/>
  <c r="R176" i="1"/>
  <c r="Q176" i="1"/>
  <c r="P176" i="1"/>
  <c r="O176" i="1"/>
  <c r="N176" i="1"/>
  <c r="L176" i="1"/>
  <c r="I176" i="1"/>
  <c r="K176" i="1" s="1"/>
  <c r="H176" i="1"/>
  <c r="G176" i="1"/>
  <c r="F176" i="1"/>
  <c r="E176" i="1"/>
  <c r="B176" i="1"/>
  <c r="S175" i="1"/>
  <c r="R175" i="1"/>
  <c r="Q175" i="1"/>
  <c r="P175" i="1"/>
  <c r="O175" i="1"/>
  <c r="N175" i="1"/>
  <c r="L175" i="1"/>
  <c r="I175" i="1"/>
  <c r="K175" i="1" s="1"/>
  <c r="H175" i="1"/>
  <c r="G175" i="1"/>
  <c r="F175" i="1"/>
  <c r="E175" i="1"/>
  <c r="B175" i="1"/>
  <c r="S174" i="1"/>
  <c r="R174" i="1"/>
  <c r="Q174" i="1"/>
  <c r="P174" i="1"/>
  <c r="O174" i="1"/>
  <c r="N174" i="1"/>
  <c r="L174" i="1"/>
  <c r="I174" i="1"/>
  <c r="K174" i="1" s="1"/>
  <c r="H174" i="1"/>
  <c r="G174" i="1"/>
  <c r="F174" i="1"/>
  <c r="E174" i="1"/>
  <c r="B174" i="1"/>
  <c r="S173" i="1"/>
  <c r="R173" i="1"/>
  <c r="Q173" i="1"/>
  <c r="P173" i="1"/>
  <c r="O173" i="1"/>
  <c r="N173" i="1"/>
  <c r="L173" i="1"/>
  <c r="I173" i="1"/>
  <c r="K173" i="1" s="1"/>
  <c r="H173" i="1"/>
  <c r="G173" i="1"/>
  <c r="F173" i="1"/>
  <c r="E173" i="1"/>
  <c r="B173" i="1"/>
  <c r="S172" i="1"/>
  <c r="R172" i="1"/>
  <c r="Q172" i="1"/>
  <c r="P172" i="1"/>
  <c r="O172" i="1"/>
  <c r="N172" i="1"/>
  <c r="L172" i="1"/>
  <c r="I172" i="1"/>
  <c r="K172" i="1" s="1"/>
  <c r="H172" i="1"/>
  <c r="G172" i="1"/>
  <c r="F172" i="1"/>
  <c r="E172" i="1"/>
  <c r="B172" i="1"/>
  <c r="S171" i="1"/>
  <c r="R171" i="1"/>
  <c r="Q171" i="1"/>
  <c r="P171" i="1"/>
  <c r="O171" i="1"/>
  <c r="N171" i="1"/>
  <c r="L171" i="1"/>
  <c r="I171" i="1"/>
  <c r="K171" i="1" s="1"/>
  <c r="H171" i="1"/>
  <c r="G171" i="1"/>
  <c r="F171" i="1"/>
  <c r="E171" i="1"/>
  <c r="B171" i="1"/>
  <c r="S170" i="1"/>
  <c r="R170" i="1"/>
  <c r="Q170" i="1"/>
  <c r="P170" i="1"/>
  <c r="O170" i="1"/>
  <c r="N170" i="1"/>
  <c r="L170" i="1"/>
  <c r="I170" i="1"/>
  <c r="K170" i="1" s="1"/>
  <c r="H170" i="1"/>
  <c r="G170" i="1"/>
  <c r="F170" i="1"/>
  <c r="E170" i="1"/>
  <c r="B170" i="1"/>
  <c r="S169" i="1"/>
  <c r="R169" i="1"/>
  <c r="Q169" i="1"/>
  <c r="P169" i="1"/>
  <c r="O169" i="1"/>
  <c r="N169" i="1"/>
  <c r="L169" i="1"/>
  <c r="I169" i="1"/>
  <c r="K169" i="1" s="1"/>
  <c r="H169" i="1"/>
  <c r="G169" i="1"/>
  <c r="F169" i="1"/>
  <c r="E169" i="1"/>
  <c r="B169" i="1"/>
  <c r="S168" i="1"/>
  <c r="R168" i="1"/>
  <c r="Q168" i="1"/>
  <c r="P168" i="1"/>
  <c r="O168" i="1"/>
  <c r="N168" i="1"/>
  <c r="L168" i="1"/>
  <c r="I168" i="1"/>
  <c r="K168" i="1" s="1"/>
  <c r="H168" i="1"/>
  <c r="G168" i="1"/>
  <c r="F168" i="1"/>
  <c r="E168" i="1"/>
  <c r="B168" i="1"/>
  <c r="S167" i="1"/>
  <c r="R167" i="1"/>
  <c r="Q167" i="1"/>
  <c r="P167" i="1"/>
  <c r="O167" i="1"/>
  <c r="N167" i="1"/>
  <c r="L167" i="1"/>
  <c r="I167" i="1"/>
  <c r="K167" i="1" s="1"/>
  <c r="H167" i="1"/>
  <c r="G167" i="1"/>
  <c r="F167" i="1"/>
  <c r="E167" i="1"/>
  <c r="B167" i="1"/>
  <c r="S166" i="1"/>
  <c r="R166" i="1"/>
  <c r="Q166" i="1"/>
  <c r="P166" i="1"/>
  <c r="O166" i="1"/>
  <c r="N166" i="1"/>
  <c r="L166" i="1"/>
  <c r="I166" i="1"/>
  <c r="K166" i="1" s="1"/>
  <c r="H166" i="1"/>
  <c r="G166" i="1"/>
  <c r="F166" i="1"/>
  <c r="E166" i="1"/>
  <c r="B166" i="1"/>
  <c r="S165" i="1"/>
  <c r="R165" i="1"/>
  <c r="Q165" i="1"/>
  <c r="P165" i="1"/>
  <c r="O165" i="1"/>
  <c r="N165" i="1"/>
  <c r="L165" i="1"/>
  <c r="I165" i="1"/>
  <c r="K165" i="1" s="1"/>
  <c r="H165" i="1"/>
  <c r="G165" i="1"/>
  <c r="F165" i="1"/>
  <c r="E165" i="1"/>
  <c r="B165" i="1"/>
  <c r="S164" i="1"/>
  <c r="R164" i="1"/>
  <c r="Q164" i="1"/>
  <c r="P164" i="1"/>
  <c r="O164" i="1"/>
  <c r="N164" i="1"/>
  <c r="L164" i="1"/>
  <c r="I164" i="1"/>
  <c r="K164" i="1" s="1"/>
  <c r="H164" i="1"/>
  <c r="G164" i="1"/>
  <c r="F164" i="1"/>
  <c r="E164" i="1"/>
  <c r="B164" i="1"/>
  <c r="S163" i="1"/>
  <c r="R163" i="1"/>
  <c r="Q163" i="1"/>
  <c r="P163" i="1"/>
  <c r="O163" i="1"/>
  <c r="N163" i="1"/>
  <c r="L163" i="1"/>
  <c r="I163" i="1"/>
  <c r="K163" i="1" s="1"/>
  <c r="H163" i="1"/>
  <c r="G163" i="1"/>
  <c r="F163" i="1"/>
  <c r="E163" i="1"/>
  <c r="B163" i="1"/>
  <c r="S162" i="1"/>
  <c r="R162" i="1"/>
  <c r="Q162" i="1"/>
  <c r="P162" i="1"/>
  <c r="O162" i="1"/>
  <c r="N162" i="1"/>
  <c r="L162" i="1"/>
  <c r="I162" i="1"/>
  <c r="K162" i="1" s="1"/>
  <c r="H162" i="1"/>
  <c r="G162" i="1"/>
  <c r="F162" i="1"/>
  <c r="E162" i="1"/>
  <c r="B162" i="1"/>
  <c r="S161" i="1"/>
  <c r="R161" i="1"/>
  <c r="Q161" i="1"/>
  <c r="P161" i="1"/>
  <c r="O161" i="1"/>
  <c r="N161" i="1"/>
  <c r="L161" i="1"/>
  <c r="I161" i="1"/>
  <c r="K161" i="1" s="1"/>
  <c r="H161" i="1"/>
  <c r="G161" i="1"/>
  <c r="F161" i="1"/>
  <c r="E161" i="1"/>
  <c r="B161" i="1"/>
  <c r="S160" i="1"/>
  <c r="R160" i="1"/>
  <c r="Q160" i="1"/>
  <c r="P160" i="1"/>
  <c r="O160" i="1"/>
  <c r="N160" i="1"/>
  <c r="L160" i="1"/>
  <c r="I160" i="1"/>
  <c r="K160" i="1" s="1"/>
  <c r="H160" i="1"/>
  <c r="G160" i="1"/>
  <c r="F160" i="1"/>
  <c r="E160" i="1"/>
  <c r="B160" i="1"/>
  <c r="S159" i="1"/>
  <c r="R159" i="1"/>
  <c r="Q159" i="1"/>
  <c r="P159" i="1"/>
  <c r="O159" i="1"/>
  <c r="N159" i="1"/>
  <c r="L159" i="1"/>
  <c r="I159" i="1"/>
  <c r="K159" i="1" s="1"/>
  <c r="H159" i="1"/>
  <c r="G159" i="1"/>
  <c r="F159" i="1"/>
  <c r="E159" i="1"/>
  <c r="B159" i="1"/>
  <c r="S158" i="1"/>
  <c r="R158" i="1"/>
  <c r="Q158" i="1"/>
  <c r="P158" i="1"/>
  <c r="O158" i="1"/>
  <c r="N158" i="1"/>
  <c r="L158" i="1"/>
  <c r="I158" i="1"/>
  <c r="K158" i="1" s="1"/>
  <c r="H158" i="1"/>
  <c r="G158" i="1"/>
  <c r="F158" i="1"/>
  <c r="E158" i="1"/>
  <c r="B158" i="1"/>
  <c r="S157" i="1"/>
  <c r="R157" i="1"/>
  <c r="Q157" i="1"/>
  <c r="P157" i="1"/>
  <c r="O157" i="1"/>
  <c r="N157" i="1"/>
  <c r="L157" i="1"/>
  <c r="I157" i="1"/>
  <c r="K157" i="1" s="1"/>
  <c r="H157" i="1"/>
  <c r="G157" i="1"/>
  <c r="F157" i="1"/>
  <c r="E157" i="1"/>
  <c r="B157" i="1"/>
  <c r="S156" i="1"/>
  <c r="R156" i="1"/>
  <c r="Q156" i="1"/>
  <c r="P156" i="1"/>
  <c r="O156" i="1"/>
  <c r="N156" i="1"/>
  <c r="L156" i="1"/>
  <c r="I156" i="1"/>
  <c r="K156" i="1" s="1"/>
  <c r="H156" i="1"/>
  <c r="G156" i="1"/>
  <c r="F156" i="1"/>
  <c r="E156" i="1"/>
  <c r="B156" i="1"/>
  <c r="S155" i="1"/>
  <c r="R155" i="1"/>
  <c r="Q155" i="1"/>
  <c r="P155" i="1"/>
  <c r="O155" i="1"/>
  <c r="N155" i="1"/>
  <c r="L155" i="1"/>
  <c r="I155" i="1"/>
  <c r="K155" i="1" s="1"/>
  <c r="H155" i="1"/>
  <c r="G155" i="1"/>
  <c r="F155" i="1"/>
  <c r="E155" i="1"/>
  <c r="B155" i="1"/>
  <c r="S154" i="1"/>
  <c r="R154" i="1"/>
  <c r="Q154" i="1"/>
  <c r="P154" i="1"/>
  <c r="O154" i="1"/>
  <c r="N154" i="1"/>
  <c r="L154" i="1"/>
  <c r="I154" i="1"/>
  <c r="K154" i="1" s="1"/>
  <c r="H154" i="1"/>
  <c r="G154" i="1"/>
  <c r="F154" i="1"/>
  <c r="E154" i="1"/>
  <c r="B154" i="1"/>
  <c r="S153" i="1"/>
  <c r="R153" i="1"/>
  <c r="Q153" i="1"/>
  <c r="P153" i="1"/>
  <c r="O153" i="1"/>
  <c r="N153" i="1"/>
  <c r="L153" i="1"/>
  <c r="I153" i="1"/>
  <c r="K153" i="1" s="1"/>
  <c r="H153" i="1"/>
  <c r="G153" i="1"/>
  <c r="F153" i="1"/>
  <c r="E153" i="1"/>
  <c r="B153" i="1"/>
  <c r="S152" i="1"/>
  <c r="R152" i="1"/>
  <c r="Q152" i="1"/>
  <c r="P152" i="1"/>
  <c r="O152" i="1"/>
  <c r="N152" i="1"/>
  <c r="L152" i="1"/>
  <c r="I152" i="1"/>
  <c r="K152" i="1" s="1"/>
  <c r="H152" i="1"/>
  <c r="G152" i="1"/>
  <c r="F152" i="1"/>
  <c r="E152" i="1"/>
  <c r="B152" i="1"/>
  <c r="S151" i="1"/>
  <c r="R151" i="1"/>
  <c r="Q151" i="1"/>
  <c r="P151" i="1"/>
  <c r="O151" i="1"/>
  <c r="N151" i="1"/>
  <c r="L151" i="1"/>
  <c r="I151" i="1"/>
  <c r="K151" i="1" s="1"/>
  <c r="H151" i="1"/>
  <c r="G151" i="1"/>
  <c r="F151" i="1"/>
  <c r="E151" i="1"/>
  <c r="B151" i="1"/>
  <c r="S150" i="1"/>
  <c r="R150" i="1"/>
  <c r="Q150" i="1"/>
  <c r="P150" i="1"/>
  <c r="O150" i="1"/>
  <c r="N150" i="1"/>
  <c r="L150" i="1"/>
  <c r="K150" i="1"/>
  <c r="I150" i="1"/>
  <c r="H150" i="1"/>
  <c r="G150" i="1"/>
  <c r="F150" i="1"/>
  <c r="E150" i="1"/>
  <c r="B150" i="1"/>
  <c r="S149" i="1"/>
  <c r="R149" i="1"/>
  <c r="Q149" i="1"/>
  <c r="P149" i="1"/>
  <c r="O149" i="1"/>
  <c r="N149" i="1"/>
  <c r="L149" i="1"/>
  <c r="H149" i="1"/>
  <c r="G149" i="1"/>
  <c r="F149" i="1"/>
  <c r="E149" i="1"/>
  <c r="B149" i="1"/>
  <c r="S148" i="1"/>
  <c r="R148" i="1"/>
  <c r="Q148" i="1"/>
  <c r="P148" i="1"/>
  <c r="O148" i="1"/>
  <c r="N148" i="1"/>
  <c r="L148" i="1"/>
  <c r="H148" i="1"/>
  <c r="G148" i="1"/>
  <c r="F148" i="1"/>
  <c r="E148" i="1"/>
  <c r="B148" i="1"/>
  <c r="S147" i="1"/>
  <c r="R147" i="1"/>
  <c r="Q147" i="1"/>
  <c r="P147" i="1"/>
  <c r="O147" i="1"/>
  <c r="N147" i="1"/>
  <c r="L147" i="1"/>
  <c r="H147" i="1"/>
  <c r="G147" i="1"/>
  <c r="F147" i="1"/>
  <c r="E147" i="1"/>
  <c r="B147" i="1"/>
  <c r="S146" i="1"/>
  <c r="R146" i="1"/>
  <c r="Q146" i="1"/>
  <c r="P146" i="1"/>
  <c r="O146" i="1"/>
  <c r="N146" i="1"/>
  <c r="L146" i="1"/>
  <c r="H146" i="1"/>
  <c r="G146" i="1"/>
  <c r="F146" i="1"/>
  <c r="E146" i="1"/>
  <c r="B146" i="1"/>
  <c r="S145" i="1"/>
  <c r="R145" i="1"/>
  <c r="Q145" i="1"/>
  <c r="P145" i="1"/>
  <c r="O145" i="1"/>
  <c r="N145" i="1"/>
  <c r="L145" i="1"/>
  <c r="H145" i="1"/>
  <c r="G145" i="1"/>
  <c r="F145" i="1"/>
  <c r="E145" i="1"/>
  <c r="B145" i="1"/>
  <c r="S144" i="1"/>
  <c r="R144" i="1"/>
  <c r="Q144" i="1"/>
  <c r="P144" i="1"/>
  <c r="O144" i="1"/>
  <c r="N144" i="1"/>
  <c r="L144" i="1"/>
  <c r="H144" i="1"/>
  <c r="G144" i="1"/>
  <c r="F144" i="1"/>
  <c r="E144" i="1"/>
  <c r="B144" i="1"/>
  <c r="S143" i="1"/>
  <c r="R143" i="1"/>
  <c r="Q143" i="1"/>
  <c r="P143" i="1"/>
  <c r="O143" i="1"/>
  <c r="N143" i="1"/>
  <c r="L143" i="1"/>
  <c r="H143" i="1"/>
  <c r="G143" i="1"/>
  <c r="F143" i="1"/>
  <c r="E143" i="1"/>
  <c r="B143" i="1"/>
  <c r="S142" i="1"/>
  <c r="R142" i="1"/>
  <c r="Q142" i="1"/>
  <c r="P142" i="1"/>
  <c r="O142" i="1"/>
  <c r="N142" i="1"/>
  <c r="L142" i="1"/>
  <c r="H142" i="1"/>
  <c r="G142" i="1"/>
  <c r="F142" i="1"/>
  <c r="E142" i="1"/>
  <c r="B142" i="1"/>
  <c r="S141" i="1"/>
  <c r="R141" i="1"/>
  <c r="Q141" i="1"/>
  <c r="P141" i="1"/>
  <c r="O141" i="1"/>
  <c r="N141" i="1"/>
  <c r="L141" i="1"/>
  <c r="H141" i="1"/>
  <c r="G141" i="1"/>
  <c r="F141" i="1"/>
  <c r="E141" i="1"/>
  <c r="B141" i="1"/>
  <c r="S140" i="1"/>
  <c r="R140" i="1"/>
  <c r="Q140" i="1"/>
  <c r="P140" i="1"/>
  <c r="O140" i="1"/>
  <c r="N140" i="1"/>
  <c r="L140" i="1"/>
  <c r="H140" i="1"/>
  <c r="G140" i="1"/>
  <c r="F140" i="1"/>
  <c r="E140" i="1"/>
  <c r="B140" i="1"/>
  <c r="S139" i="1"/>
  <c r="R139" i="1"/>
  <c r="Q139" i="1"/>
  <c r="P139" i="1"/>
  <c r="O139" i="1"/>
  <c r="N139" i="1"/>
  <c r="L139" i="1"/>
  <c r="H139" i="1"/>
  <c r="G139" i="1"/>
  <c r="F139" i="1"/>
  <c r="E139" i="1"/>
  <c r="B139" i="1"/>
  <c r="S138" i="1"/>
  <c r="R138" i="1"/>
  <c r="Q138" i="1"/>
  <c r="P138" i="1"/>
  <c r="O138" i="1"/>
  <c r="N138" i="1"/>
  <c r="L138" i="1"/>
  <c r="H138" i="1"/>
  <c r="G138" i="1"/>
  <c r="F138" i="1"/>
  <c r="E138" i="1"/>
  <c r="B138" i="1"/>
  <c r="S137" i="1"/>
  <c r="R137" i="1"/>
  <c r="Q137" i="1"/>
  <c r="P137" i="1"/>
  <c r="O137" i="1"/>
  <c r="N137" i="1"/>
  <c r="L137" i="1"/>
  <c r="H137" i="1"/>
  <c r="G137" i="1"/>
  <c r="F137" i="1"/>
  <c r="E137" i="1"/>
  <c r="B137" i="1"/>
  <c r="S136" i="1"/>
  <c r="R136" i="1"/>
  <c r="Q136" i="1"/>
  <c r="P136" i="1"/>
  <c r="O136" i="1"/>
  <c r="N136" i="1"/>
  <c r="L136" i="1"/>
  <c r="H136" i="1"/>
  <c r="G136" i="1"/>
  <c r="F136" i="1"/>
  <c r="E136" i="1"/>
  <c r="B136" i="1"/>
  <c r="S135" i="1"/>
  <c r="R135" i="1"/>
  <c r="Q135" i="1"/>
  <c r="P135" i="1"/>
  <c r="O135" i="1"/>
  <c r="N135" i="1"/>
  <c r="L135" i="1"/>
  <c r="H135" i="1"/>
  <c r="G135" i="1"/>
  <c r="F135" i="1"/>
  <c r="E135" i="1"/>
  <c r="B135" i="1"/>
  <c r="S134" i="1"/>
  <c r="R134" i="1"/>
  <c r="Q134" i="1"/>
  <c r="P134" i="1"/>
  <c r="O134" i="1"/>
  <c r="N134" i="1"/>
  <c r="L134" i="1"/>
  <c r="H134" i="1"/>
  <c r="G134" i="1"/>
  <c r="F134" i="1"/>
  <c r="E134" i="1"/>
  <c r="B134" i="1"/>
  <c r="S133" i="1"/>
  <c r="R133" i="1"/>
  <c r="Q133" i="1"/>
  <c r="P133" i="1"/>
  <c r="O133" i="1"/>
  <c r="N133" i="1"/>
  <c r="L133" i="1"/>
  <c r="H133" i="1"/>
  <c r="G133" i="1"/>
  <c r="F133" i="1"/>
  <c r="E133" i="1"/>
  <c r="B133" i="1"/>
  <c r="S132" i="1"/>
  <c r="R132" i="1"/>
  <c r="Q132" i="1"/>
  <c r="P132" i="1"/>
  <c r="O132" i="1"/>
  <c r="N132" i="1"/>
  <c r="L132" i="1"/>
  <c r="H132" i="1"/>
  <c r="G132" i="1"/>
  <c r="F132" i="1"/>
  <c r="E132" i="1"/>
  <c r="B132" i="1"/>
  <c r="S131" i="1"/>
  <c r="R131" i="1"/>
  <c r="Q131" i="1"/>
  <c r="P131" i="1"/>
  <c r="O131" i="1"/>
  <c r="N131" i="1"/>
  <c r="L131" i="1"/>
  <c r="H131" i="1"/>
  <c r="G131" i="1"/>
  <c r="F131" i="1"/>
  <c r="E131" i="1"/>
  <c r="B131" i="1"/>
  <c r="S130" i="1"/>
  <c r="R130" i="1"/>
  <c r="Q130" i="1"/>
  <c r="P130" i="1"/>
  <c r="O130" i="1"/>
  <c r="N130" i="1"/>
  <c r="L130" i="1"/>
  <c r="H130" i="1"/>
  <c r="G130" i="1"/>
  <c r="F130" i="1"/>
  <c r="E130" i="1"/>
  <c r="B130" i="1"/>
  <c r="S129" i="1"/>
  <c r="R129" i="1"/>
  <c r="Q129" i="1"/>
  <c r="P129" i="1"/>
  <c r="O129" i="1"/>
  <c r="N129" i="1"/>
  <c r="L129" i="1"/>
  <c r="H129" i="1"/>
  <c r="G129" i="1"/>
  <c r="F129" i="1"/>
  <c r="E129" i="1"/>
  <c r="B129" i="1"/>
  <c r="S128" i="1"/>
  <c r="R128" i="1"/>
  <c r="Q128" i="1"/>
  <c r="P128" i="1"/>
  <c r="O128" i="1"/>
  <c r="N128" i="1"/>
  <c r="L128" i="1"/>
  <c r="H128" i="1"/>
  <c r="G128" i="1"/>
  <c r="F128" i="1"/>
  <c r="E128" i="1"/>
  <c r="B128" i="1"/>
  <c r="S127" i="1"/>
  <c r="R127" i="1"/>
  <c r="Q127" i="1"/>
  <c r="P127" i="1"/>
  <c r="O127" i="1"/>
  <c r="N127" i="1"/>
  <c r="L127" i="1"/>
  <c r="H127" i="1"/>
  <c r="G127" i="1"/>
  <c r="F127" i="1"/>
  <c r="E127" i="1"/>
  <c r="B127" i="1"/>
  <c r="S126" i="1"/>
  <c r="R126" i="1"/>
  <c r="Q126" i="1"/>
  <c r="P126" i="1"/>
  <c r="O126" i="1"/>
  <c r="N126" i="1"/>
  <c r="L126" i="1"/>
  <c r="H126" i="1"/>
  <c r="G126" i="1"/>
  <c r="F126" i="1"/>
  <c r="E126" i="1"/>
  <c r="B126" i="1"/>
  <c r="S125" i="1"/>
  <c r="R125" i="1"/>
  <c r="Q125" i="1"/>
  <c r="P125" i="1"/>
  <c r="O125" i="1"/>
  <c r="N125" i="1"/>
  <c r="L125" i="1"/>
  <c r="H125" i="1"/>
  <c r="G125" i="1"/>
  <c r="F125" i="1"/>
  <c r="E125" i="1"/>
  <c r="B125" i="1"/>
  <c r="S124" i="1"/>
  <c r="R124" i="1"/>
  <c r="Q124" i="1"/>
  <c r="P124" i="1"/>
  <c r="O124" i="1"/>
  <c r="N124" i="1"/>
  <c r="L124" i="1"/>
  <c r="H124" i="1"/>
  <c r="G124" i="1"/>
  <c r="F124" i="1"/>
  <c r="E124" i="1"/>
  <c r="B124" i="1"/>
  <c r="S123" i="1"/>
  <c r="R123" i="1"/>
  <c r="Q123" i="1"/>
  <c r="P123" i="1"/>
  <c r="O123" i="1"/>
  <c r="N123" i="1"/>
  <c r="L123" i="1"/>
  <c r="H123" i="1"/>
  <c r="G123" i="1"/>
  <c r="F123" i="1"/>
  <c r="E123" i="1"/>
  <c r="B123" i="1"/>
  <c r="S122" i="1"/>
  <c r="R122" i="1"/>
  <c r="Q122" i="1"/>
  <c r="P122" i="1"/>
  <c r="O122" i="1"/>
  <c r="N122" i="1"/>
  <c r="L122" i="1"/>
  <c r="H122" i="1"/>
  <c r="G122" i="1"/>
  <c r="F122" i="1"/>
  <c r="E122" i="1"/>
  <c r="B122" i="1"/>
  <c r="S121" i="1"/>
  <c r="R121" i="1"/>
  <c r="Q121" i="1"/>
  <c r="P121" i="1"/>
  <c r="O121" i="1"/>
  <c r="N121" i="1"/>
  <c r="L121" i="1"/>
  <c r="H121" i="1"/>
  <c r="G121" i="1"/>
  <c r="F121" i="1"/>
  <c r="E121" i="1"/>
  <c r="B121" i="1"/>
  <c r="S120" i="1"/>
  <c r="R120" i="1"/>
  <c r="Q120" i="1"/>
  <c r="P120" i="1"/>
  <c r="O120" i="1"/>
  <c r="N120" i="1"/>
  <c r="L120" i="1"/>
  <c r="H120" i="1"/>
  <c r="G120" i="1"/>
  <c r="F120" i="1"/>
  <c r="E120" i="1"/>
  <c r="B120" i="1"/>
  <c r="S119" i="1"/>
  <c r="R119" i="1"/>
  <c r="Q119" i="1"/>
  <c r="P119" i="1"/>
  <c r="O119" i="1"/>
  <c r="N119" i="1"/>
  <c r="L119" i="1"/>
  <c r="H119" i="1"/>
  <c r="G119" i="1"/>
  <c r="F119" i="1"/>
  <c r="E119" i="1"/>
  <c r="B119" i="1"/>
  <c r="S118" i="1"/>
  <c r="R118" i="1"/>
  <c r="Q118" i="1"/>
  <c r="P118" i="1"/>
  <c r="O118" i="1"/>
  <c r="N118" i="1"/>
  <c r="L118" i="1"/>
  <c r="H118" i="1"/>
  <c r="G118" i="1"/>
  <c r="F118" i="1"/>
  <c r="E118" i="1"/>
  <c r="B118" i="1"/>
  <c r="S117" i="1"/>
  <c r="R117" i="1"/>
  <c r="Q117" i="1"/>
  <c r="P117" i="1"/>
  <c r="O117" i="1"/>
  <c r="N117" i="1"/>
  <c r="L117" i="1"/>
  <c r="H117" i="1"/>
  <c r="G117" i="1"/>
  <c r="F117" i="1"/>
  <c r="E117" i="1"/>
  <c r="B117" i="1"/>
  <c r="S116" i="1"/>
  <c r="R116" i="1"/>
  <c r="Q116" i="1"/>
  <c r="P116" i="1"/>
  <c r="O116" i="1"/>
  <c r="N116" i="1"/>
  <c r="L116" i="1"/>
  <c r="H116" i="1"/>
  <c r="G116" i="1"/>
  <c r="F116" i="1"/>
  <c r="E116" i="1"/>
  <c r="B116" i="1"/>
  <c r="S115" i="1"/>
  <c r="R115" i="1"/>
  <c r="Q115" i="1"/>
  <c r="P115" i="1"/>
  <c r="O115" i="1"/>
  <c r="N115" i="1"/>
  <c r="L115" i="1"/>
  <c r="H115" i="1"/>
  <c r="G115" i="1"/>
  <c r="F115" i="1"/>
  <c r="E115" i="1"/>
  <c r="B115" i="1"/>
  <c r="S114" i="1"/>
  <c r="R114" i="1"/>
  <c r="Q114" i="1"/>
  <c r="P114" i="1"/>
  <c r="O114" i="1"/>
  <c r="N114" i="1"/>
  <c r="L114" i="1"/>
  <c r="H114" i="1"/>
  <c r="G114" i="1"/>
  <c r="F114" i="1"/>
  <c r="E114" i="1"/>
  <c r="B114" i="1"/>
  <c r="S113" i="1"/>
  <c r="R113" i="1"/>
  <c r="Q113" i="1"/>
  <c r="P113" i="1"/>
  <c r="O113" i="1"/>
  <c r="N113" i="1"/>
  <c r="L113" i="1"/>
  <c r="H113" i="1"/>
  <c r="G113" i="1"/>
  <c r="F113" i="1"/>
  <c r="E113" i="1"/>
  <c r="B113" i="1"/>
  <c r="S112" i="1"/>
  <c r="R112" i="1"/>
  <c r="Q112" i="1"/>
  <c r="P112" i="1"/>
  <c r="O112" i="1"/>
  <c r="N112" i="1"/>
  <c r="L112" i="1"/>
  <c r="H112" i="1"/>
  <c r="G112" i="1"/>
  <c r="F112" i="1"/>
  <c r="E112" i="1"/>
  <c r="B112" i="1"/>
  <c r="S111" i="1"/>
  <c r="R111" i="1"/>
  <c r="Q111" i="1"/>
  <c r="P111" i="1"/>
  <c r="O111" i="1"/>
  <c r="N111" i="1"/>
  <c r="L111" i="1"/>
  <c r="H111" i="1"/>
  <c r="G111" i="1"/>
  <c r="F111" i="1"/>
  <c r="E111" i="1"/>
  <c r="B111" i="1"/>
  <c r="S110" i="1"/>
  <c r="R110" i="1"/>
  <c r="Q110" i="1"/>
  <c r="P110" i="1"/>
  <c r="O110" i="1"/>
  <c r="N110" i="1"/>
  <c r="L110" i="1"/>
  <c r="H110" i="1"/>
  <c r="G110" i="1"/>
  <c r="F110" i="1"/>
  <c r="E110" i="1"/>
  <c r="B110" i="1"/>
  <c r="S109" i="1"/>
  <c r="R109" i="1"/>
  <c r="Q109" i="1"/>
  <c r="P109" i="1"/>
  <c r="O109" i="1"/>
  <c r="N109" i="1"/>
  <c r="L109" i="1"/>
  <c r="H109" i="1"/>
  <c r="G109" i="1"/>
  <c r="F109" i="1"/>
  <c r="E109" i="1"/>
  <c r="B109" i="1"/>
  <c r="S108" i="1"/>
  <c r="R108" i="1"/>
  <c r="Q108" i="1"/>
  <c r="P108" i="1"/>
  <c r="O108" i="1"/>
  <c r="N108" i="1"/>
  <c r="L108" i="1"/>
  <c r="H108" i="1"/>
  <c r="G108" i="1"/>
  <c r="F108" i="1"/>
  <c r="E108" i="1"/>
  <c r="B108" i="1"/>
  <c r="S107" i="1"/>
  <c r="R107" i="1"/>
  <c r="Q107" i="1"/>
  <c r="P107" i="1"/>
  <c r="O107" i="1"/>
  <c r="N107" i="1"/>
  <c r="L107" i="1"/>
  <c r="H107" i="1"/>
  <c r="G107" i="1"/>
  <c r="F107" i="1"/>
  <c r="E107" i="1"/>
  <c r="B107" i="1"/>
  <c r="S106" i="1"/>
  <c r="R106" i="1"/>
  <c r="Q106" i="1"/>
  <c r="P106" i="1"/>
  <c r="O106" i="1"/>
  <c r="N106" i="1"/>
  <c r="L106" i="1"/>
  <c r="H106" i="1"/>
  <c r="G106" i="1"/>
  <c r="F106" i="1"/>
  <c r="E106" i="1"/>
  <c r="B106" i="1"/>
  <c r="S105" i="1"/>
  <c r="R105" i="1"/>
  <c r="Q105" i="1"/>
  <c r="P105" i="1"/>
  <c r="O105" i="1"/>
  <c r="N105" i="1"/>
  <c r="L105" i="1"/>
  <c r="H105" i="1"/>
  <c r="G105" i="1"/>
  <c r="F105" i="1"/>
  <c r="E105" i="1"/>
  <c r="B105" i="1"/>
  <c r="S104" i="1"/>
  <c r="R104" i="1"/>
  <c r="Q104" i="1"/>
  <c r="P104" i="1"/>
  <c r="O104" i="1"/>
  <c r="N104" i="1"/>
  <c r="L104" i="1"/>
  <c r="H104" i="1"/>
  <c r="G104" i="1"/>
  <c r="F104" i="1"/>
  <c r="E104" i="1"/>
  <c r="B104" i="1"/>
  <c r="S103" i="1"/>
  <c r="R103" i="1"/>
  <c r="Q103" i="1"/>
  <c r="P103" i="1"/>
  <c r="O103" i="1"/>
  <c r="N103" i="1"/>
  <c r="L103" i="1"/>
  <c r="H103" i="1"/>
  <c r="G103" i="1"/>
  <c r="F103" i="1"/>
  <c r="E103" i="1"/>
  <c r="B103" i="1"/>
  <c r="S102" i="1"/>
  <c r="R102" i="1"/>
  <c r="Q102" i="1"/>
  <c r="P102" i="1"/>
  <c r="O102" i="1"/>
  <c r="N102" i="1"/>
  <c r="L102" i="1"/>
  <c r="H102" i="1"/>
  <c r="G102" i="1"/>
  <c r="F102" i="1"/>
  <c r="E102" i="1"/>
  <c r="B102" i="1"/>
  <c r="S101" i="1"/>
  <c r="R101" i="1"/>
  <c r="Q101" i="1"/>
  <c r="P101" i="1"/>
  <c r="O101" i="1"/>
  <c r="N101" i="1"/>
  <c r="L101" i="1"/>
  <c r="H101" i="1"/>
  <c r="G101" i="1"/>
  <c r="F101" i="1"/>
  <c r="E101" i="1"/>
  <c r="B101" i="1"/>
  <c r="S100" i="1"/>
  <c r="R100" i="1"/>
  <c r="Q100" i="1"/>
  <c r="P100" i="1"/>
  <c r="O100" i="1"/>
  <c r="N100" i="1"/>
  <c r="L100" i="1"/>
  <c r="H100" i="1"/>
  <c r="G100" i="1"/>
  <c r="F100" i="1"/>
  <c r="E100" i="1"/>
  <c r="B100" i="1"/>
  <c r="S99" i="1"/>
  <c r="R99" i="1"/>
  <c r="Q99" i="1"/>
  <c r="P99" i="1"/>
  <c r="O99" i="1"/>
  <c r="N99" i="1"/>
  <c r="L99" i="1"/>
  <c r="H99" i="1"/>
  <c r="G99" i="1"/>
  <c r="F99" i="1"/>
  <c r="E99" i="1"/>
  <c r="B99" i="1"/>
  <c r="S98" i="1"/>
  <c r="R98" i="1"/>
  <c r="Q98" i="1"/>
  <c r="P98" i="1"/>
  <c r="O98" i="1"/>
  <c r="N98" i="1"/>
  <c r="L98" i="1"/>
  <c r="H98" i="1"/>
  <c r="G98" i="1"/>
  <c r="F98" i="1"/>
  <c r="E98" i="1"/>
  <c r="B98" i="1"/>
  <c r="S97" i="1"/>
  <c r="R97" i="1"/>
  <c r="Q97" i="1"/>
  <c r="P97" i="1"/>
  <c r="O97" i="1"/>
  <c r="N97" i="1"/>
  <c r="L97" i="1"/>
  <c r="H97" i="1"/>
  <c r="G97" i="1"/>
  <c r="F97" i="1"/>
  <c r="E97" i="1"/>
  <c r="B97" i="1"/>
  <c r="S96" i="1"/>
  <c r="R96" i="1"/>
  <c r="Q96" i="1"/>
  <c r="P96" i="1"/>
  <c r="O96" i="1"/>
  <c r="N96" i="1"/>
  <c r="L96" i="1"/>
  <c r="H96" i="1"/>
  <c r="G96" i="1"/>
  <c r="F96" i="1"/>
  <c r="E96" i="1"/>
  <c r="B96" i="1"/>
  <c r="S95" i="1"/>
  <c r="R95" i="1"/>
  <c r="Q95" i="1"/>
  <c r="P95" i="1"/>
  <c r="O95" i="1"/>
  <c r="N95" i="1"/>
  <c r="L95" i="1"/>
  <c r="H95" i="1"/>
  <c r="G95" i="1"/>
  <c r="F95" i="1"/>
  <c r="E95" i="1"/>
  <c r="B95" i="1"/>
  <c r="S94" i="1"/>
  <c r="R94" i="1"/>
  <c r="Q94" i="1"/>
  <c r="P94" i="1"/>
  <c r="O94" i="1"/>
  <c r="N94" i="1"/>
  <c r="L94" i="1"/>
  <c r="H94" i="1"/>
  <c r="G94" i="1"/>
  <c r="F94" i="1"/>
  <c r="E94" i="1"/>
  <c r="B94" i="1"/>
  <c r="S93" i="1"/>
  <c r="R93" i="1"/>
  <c r="Q93" i="1"/>
  <c r="P93" i="1"/>
  <c r="O93" i="1"/>
  <c r="N93" i="1"/>
  <c r="L93" i="1"/>
  <c r="H93" i="1"/>
  <c r="G93" i="1"/>
  <c r="F93" i="1"/>
  <c r="E93" i="1"/>
  <c r="B93" i="1"/>
  <c r="S92" i="1"/>
  <c r="R92" i="1"/>
  <c r="Q92" i="1"/>
  <c r="P92" i="1"/>
  <c r="O92" i="1"/>
  <c r="N92" i="1"/>
  <c r="L92" i="1"/>
  <c r="H92" i="1"/>
  <c r="G92" i="1"/>
  <c r="F92" i="1"/>
  <c r="E92" i="1"/>
  <c r="B92" i="1"/>
  <c r="S91" i="1"/>
  <c r="R91" i="1"/>
  <c r="Q91" i="1"/>
  <c r="P91" i="1"/>
  <c r="O91" i="1"/>
  <c r="N91" i="1"/>
  <c r="L91" i="1"/>
  <c r="H91" i="1"/>
  <c r="G91" i="1"/>
  <c r="F91" i="1"/>
  <c r="E91" i="1"/>
  <c r="B91" i="1"/>
  <c r="S90" i="1"/>
  <c r="R90" i="1"/>
  <c r="Q90" i="1"/>
  <c r="P90" i="1"/>
  <c r="O90" i="1"/>
  <c r="N90" i="1"/>
  <c r="L90" i="1"/>
  <c r="H90" i="1"/>
  <c r="G90" i="1"/>
  <c r="F90" i="1"/>
  <c r="E90" i="1"/>
  <c r="B90" i="1"/>
  <c r="S89" i="1"/>
  <c r="R89" i="1"/>
  <c r="Q89" i="1"/>
  <c r="P89" i="1"/>
  <c r="O89" i="1"/>
  <c r="N89" i="1"/>
  <c r="L89" i="1"/>
  <c r="H89" i="1"/>
  <c r="G89" i="1"/>
  <c r="F89" i="1"/>
  <c r="E89" i="1"/>
  <c r="B89" i="1"/>
  <c r="S88" i="1"/>
  <c r="R88" i="1"/>
  <c r="Q88" i="1"/>
  <c r="P88" i="1"/>
  <c r="O88" i="1"/>
  <c r="N88" i="1"/>
  <c r="L88" i="1"/>
  <c r="H88" i="1"/>
  <c r="G88" i="1"/>
  <c r="F88" i="1"/>
  <c r="E88" i="1"/>
  <c r="B88" i="1"/>
  <c r="S87" i="1"/>
  <c r="R87" i="1"/>
  <c r="Q87" i="1"/>
  <c r="P87" i="1"/>
  <c r="O87" i="1"/>
  <c r="N87" i="1"/>
  <c r="L87" i="1"/>
  <c r="H87" i="1"/>
  <c r="G87" i="1"/>
  <c r="F87" i="1"/>
  <c r="E87" i="1"/>
  <c r="B87" i="1"/>
  <c r="S86" i="1"/>
  <c r="R86" i="1"/>
  <c r="Q86" i="1"/>
  <c r="P86" i="1"/>
  <c r="O86" i="1"/>
  <c r="N86" i="1"/>
  <c r="L86" i="1"/>
  <c r="H86" i="1"/>
  <c r="G86" i="1"/>
  <c r="F86" i="1"/>
  <c r="E86" i="1"/>
  <c r="B86" i="1"/>
  <c r="S85" i="1"/>
  <c r="R85" i="1"/>
  <c r="Q85" i="1"/>
  <c r="P85" i="1"/>
  <c r="O85" i="1"/>
  <c r="N85" i="1"/>
  <c r="L85" i="1"/>
  <c r="H85" i="1"/>
  <c r="G85" i="1"/>
  <c r="F85" i="1"/>
  <c r="E85" i="1"/>
  <c r="B85" i="1"/>
  <c r="S84" i="1"/>
  <c r="R84" i="1"/>
  <c r="Q84" i="1"/>
  <c r="P84" i="1"/>
  <c r="O84" i="1"/>
  <c r="N84" i="1"/>
  <c r="L84" i="1"/>
  <c r="H84" i="1"/>
  <c r="G84" i="1"/>
  <c r="F84" i="1"/>
  <c r="E84" i="1"/>
  <c r="B84" i="1"/>
  <c r="S83" i="1"/>
  <c r="R83" i="1"/>
  <c r="Q83" i="1"/>
  <c r="P83" i="1"/>
  <c r="O83" i="1"/>
  <c r="N83" i="1"/>
  <c r="L83" i="1"/>
  <c r="H83" i="1"/>
  <c r="G83" i="1"/>
  <c r="F83" i="1"/>
  <c r="E83" i="1"/>
  <c r="B83" i="1"/>
  <c r="S82" i="1"/>
  <c r="R82" i="1"/>
  <c r="Q82" i="1"/>
  <c r="P82" i="1"/>
  <c r="O82" i="1"/>
  <c r="N82" i="1"/>
  <c r="L82" i="1"/>
  <c r="H82" i="1"/>
  <c r="G82" i="1"/>
  <c r="F82" i="1"/>
  <c r="E82" i="1"/>
  <c r="B82" i="1"/>
  <c r="S81" i="1"/>
  <c r="R81" i="1"/>
  <c r="Q81" i="1"/>
  <c r="P81" i="1"/>
  <c r="O81" i="1"/>
  <c r="N81" i="1"/>
  <c r="L81" i="1"/>
  <c r="H81" i="1"/>
  <c r="G81" i="1"/>
  <c r="F81" i="1"/>
  <c r="E81" i="1"/>
  <c r="B81" i="1"/>
  <c r="S80" i="1"/>
  <c r="R80" i="1"/>
  <c r="Q80" i="1"/>
  <c r="P80" i="1"/>
  <c r="O80" i="1"/>
  <c r="N80" i="1"/>
  <c r="L80" i="1"/>
  <c r="H80" i="1"/>
  <c r="G80" i="1"/>
  <c r="F80" i="1"/>
  <c r="E80" i="1"/>
  <c r="B80" i="1"/>
  <c r="S79" i="1"/>
  <c r="R79" i="1"/>
  <c r="Q79" i="1"/>
  <c r="P79" i="1"/>
  <c r="O79" i="1"/>
  <c r="N79" i="1"/>
  <c r="L79" i="1"/>
  <c r="H79" i="1"/>
  <c r="G79" i="1"/>
  <c r="F79" i="1"/>
  <c r="E79" i="1"/>
  <c r="B79" i="1"/>
  <c r="S78" i="1"/>
  <c r="R78" i="1"/>
  <c r="Q78" i="1"/>
  <c r="P78" i="1"/>
  <c r="O78" i="1"/>
  <c r="N78" i="1"/>
  <c r="L78" i="1"/>
  <c r="H78" i="1"/>
  <c r="G78" i="1"/>
  <c r="F78" i="1"/>
  <c r="E78" i="1"/>
  <c r="B78" i="1"/>
  <c r="S77" i="1"/>
  <c r="R77" i="1"/>
  <c r="Q77" i="1"/>
  <c r="P77" i="1"/>
  <c r="O77" i="1"/>
  <c r="N77" i="1"/>
  <c r="L77" i="1"/>
  <c r="H77" i="1"/>
  <c r="G77" i="1"/>
  <c r="F77" i="1"/>
  <c r="E77" i="1"/>
  <c r="B77" i="1"/>
  <c r="S76" i="1"/>
  <c r="R76" i="1"/>
  <c r="Q76" i="1"/>
  <c r="P76" i="1"/>
  <c r="O76" i="1"/>
  <c r="N76" i="1"/>
  <c r="L76" i="1"/>
  <c r="H76" i="1"/>
  <c r="G76" i="1"/>
  <c r="F76" i="1"/>
  <c r="E76" i="1"/>
  <c r="B76" i="1"/>
  <c r="S75" i="1"/>
  <c r="R75" i="1"/>
  <c r="Q75" i="1"/>
  <c r="P75" i="1"/>
  <c r="O75" i="1"/>
  <c r="N75" i="1"/>
  <c r="L75" i="1"/>
  <c r="H75" i="1"/>
  <c r="G75" i="1"/>
  <c r="F75" i="1"/>
  <c r="E75" i="1"/>
  <c r="B75" i="1"/>
  <c r="S74" i="1"/>
  <c r="R74" i="1"/>
  <c r="Q74" i="1"/>
  <c r="P74" i="1"/>
  <c r="O74" i="1"/>
  <c r="N74" i="1"/>
  <c r="L74" i="1"/>
  <c r="H74" i="1"/>
  <c r="G74" i="1"/>
  <c r="F74" i="1"/>
  <c r="E74" i="1"/>
  <c r="B74" i="1"/>
  <c r="S73" i="1"/>
  <c r="R73" i="1"/>
  <c r="Q73" i="1"/>
  <c r="P73" i="1"/>
  <c r="O73" i="1"/>
  <c r="N73" i="1"/>
  <c r="L73" i="1"/>
  <c r="H73" i="1"/>
  <c r="G73" i="1"/>
  <c r="F73" i="1"/>
  <c r="E73" i="1"/>
  <c r="B73" i="1"/>
  <c r="S72" i="1"/>
  <c r="R72" i="1"/>
  <c r="Q72" i="1"/>
  <c r="P72" i="1"/>
  <c r="O72" i="1"/>
  <c r="N72" i="1"/>
  <c r="L72" i="1"/>
  <c r="H72" i="1"/>
  <c r="G72" i="1"/>
  <c r="F72" i="1"/>
  <c r="E72" i="1"/>
  <c r="B72" i="1"/>
  <c r="S71" i="1"/>
  <c r="R71" i="1"/>
  <c r="Q71" i="1"/>
  <c r="P71" i="1"/>
  <c r="O71" i="1"/>
  <c r="N71" i="1"/>
  <c r="L71" i="1"/>
  <c r="H71" i="1"/>
  <c r="G71" i="1"/>
  <c r="F71" i="1"/>
  <c r="E71" i="1"/>
  <c r="B71" i="1"/>
  <c r="S70" i="1"/>
  <c r="R70" i="1"/>
  <c r="Q70" i="1"/>
  <c r="P70" i="1"/>
  <c r="O70" i="1"/>
  <c r="N70" i="1"/>
  <c r="L70" i="1"/>
  <c r="H70" i="1"/>
  <c r="G70" i="1"/>
  <c r="F70" i="1"/>
  <c r="E70" i="1"/>
  <c r="B70" i="1"/>
  <c r="S69" i="1"/>
  <c r="R69" i="1"/>
  <c r="Q69" i="1"/>
  <c r="P69" i="1"/>
  <c r="O69" i="1"/>
  <c r="N69" i="1"/>
  <c r="L69" i="1"/>
  <c r="H69" i="1"/>
  <c r="G69" i="1"/>
  <c r="F69" i="1"/>
  <c r="E69" i="1"/>
  <c r="B69" i="1"/>
  <c r="S68" i="1"/>
  <c r="R68" i="1"/>
  <c r="Q68" i="1"/>
  <c r="P68" i="1"/>
  <c r="O68" i="1"/>
  <c r="N68" i="1"/>
  <c r="L68" i="1"/>
  <c r="H68" i="1"/>
  <c r="G68" i="1"/>
  <c r="F68" i="1"/>
  <c r="E68" i="1"/>
  <c r="B68" i="1"/>
  <c r="S67" i="1"/>
  <c r="R67" i="1"/>
  <c r="Q67" i="1"/>
  <c r="P67" i="1"/>
  <c r="O67" i="1"/>
  <c r="N67" i="1"/>
  <c r="L67" i="1"/>
  <c r="H67" i="1"/>
  <c r="G67" i="1"/>
  <c r="F67" i="1"/>
  <c r="E67" i="1"/>
  <c r="B67" i="1"/>
  <c r="S66" i="1"/>
  <c r="R66" i="1"/>
  <c r="Q66" i="1"/>
  <c r="P66" i="1"/>
  <c r="O66" i="1"/>
  <c r="N66" i="1"/>
  <c r="L66" i="1"/>
  <c r="H66" i="1"/>
  <c r="G66" i="1"/>
  <c r="F66" i="1"/>
  <c r="E66" i="1"/>
  <c r="B66" i="1"/>
  <c r="S65" i="1"/>
  <c r="R65" i="1"/>
  <c r="Q65" i="1"/>
  <c r="P65" i="1"/>
  <c r="O65" i="1"/>
  <c r="N65" i="1"/>
  <c r="L65" i="1"/>
  <c r="H65" i="1"/>
  <c r="G65" i="1"/>
  <c r="F65" i="1"/>
  <c r="E65" i="1"/>
  <c r="B65" i="1"/>
  <c r="S64" i="1"/>
  <c r="R64" i="1"/>
  <c r="Q64" i="1"/>
  <c r="P64" i="1"/>
  <c r="O64" i="1"/>
  <c r="N64" i="1"/>
  <c r="L64" i="1"/>
  <c r="H64" i="1"/>
  <c r="G64" i="1"/>
  <c r="F64" i="1"/>
  <c r="E64" i="1"/>
  <c r="B64" i="1"/>
  <c r="S63" i="1"/>
  <c r="R63" i="1"/>
  <c r="Q63" i="1"/>
  <c r="P63" i="1"/>
  <c r="O63" i="1"/>
  <c r="N63" i="1"/>
  <c r="L63" i="1"/>
  <c r="H63" i="1"/>
  <c r="G63" i="1"/>
  <c r="F63" i="1"/>
  <c r="E63" i="1"/>
  <c r="B63" i="1"/>
  <c r="S62" i="1"/>
  <c r="R62" i="1"/>
  <c r="Q62" i="1"/>
  <c r="P62" i="1"/>
  <c r="O62" i="1"/>
  <c r="N62" i="1"/>
  <c r="L62" i="1"/>
  <c r="H62" i="1"/>
  <c r="G62" i="1"/>
  <c r="F62" i="1"/>
  <c r="E62" i="1"/>
  <c r="B62" i="1"/>
  <c r="S61" i="1"/>
  <c r="R61" i="1"/>
  <c r="Q61" i="1"/>
  <c r="P61" i="1"/>
  <c r="O61" i="1"/>
  <c r="N61" i="1"/>
  <c r="L61" i="1"/>
  <c r="H61" i="1"/>
  <c r="G61" i="1"/>
  <c r="F61" i="1"/>
  <c r="E61" i="1"/>
  <c r="B61" i="1"/>
  <c r="S60" i="1"/>
  <c r="R60" i="1"/>
  <c r="Q60" i="1"/>
  <c r="P60" i="1"/>
  <c r="O60" i="1"/>
  <c r="N60" i="1"/>
  <c r="L60" i="1"/>
  <c r="H60" i="1"/>
  <c r="G60" i="1"/>
  <c r="F60" i="1"/>
  <c r="E60" i="1"/>
  <c r="B60" i="1"/>
  <c r="S59" i="1"/>
  <c r="R59" i="1"/>
  <c r="Q59" i="1"/>
  <c r="P59" i="1"/>
  <c r="O59" i="1"/>
  <c r="N59" i="1"/>
  <c r="L59" i="1"/>
  <c r="H59" i="1"/>
  <c r="G59" i="1"/>
  <c r="F59" i="1"/>
  <c r="E59" i="1"/>
  <c r="B59" i="1"/>
  <c r="S58" i="1"/>
  <c r="R58" i="1"/>
  <c r="Q58" i="1"/>
  <c r="P58" i="1"/>
  <c r="O58" i="1"/>
  <c r="N58" i="1"/>
  <c r="L58" i="1"/>
  <c r="H58" i="1"/>
  <c r="G58" i="1"/>
  <c r="F58" i="1"/>
  <c r="E58" i="1"/>
  <c r="B58" i="1"/>
  <c r="S57" i="1"/>
  <c r="R57" i="1"/>
  <c r="Q57" i="1"/>
  <c r="P57" i="1"/>
  <c r="O57" i="1"/>
  <c r="N57" i="1"/>
  <c r="L57" i="1"/>
  <c r="H57" i="1"/>
  <c r="G57" i="1"/>
  <c r="F57" i="1"/>
  <c r="E57" i="1"/>
  <c r="B57" i="1"/>
  <c r="S56" i="1"/>
  <c r="R56" i="1"/>
  <c r="Q56" i="1"/>
  <c r="P56" i="1"/>
  <c r="O56" i="1"/>
  <c r="N56" i="1"/>
  <c r="L56" i="1"/>
  <c r="H56" i="1"/>
  <c r="G56" i="1"/>
  <c r="F56" i="1"/>
  <c r="E56" i="1"/>
  <c r="B56" i="1"/>
  <c r="S55" i="1"/>
  <c r="R55" i="1"/>
  <c r="Q55" i="1"/>
  <c r="P55" i="1"/>
  <c r="O55" i="1"/>
  <c r="N55" i="1"/>
  <c r="L55" i="1"/>
  <c r="H55" i="1"/>
  <c r="G55" i="1"/>
  <c r="F55" i="1"/>
  <c r="E55" i="1"/>
  <c r="B55" i="1"/>
  <c r="S54" i="1"/>
  <c r="R54" i="1"/>
  <c r="Q54" i="1"/>
  <c r="P54" i="1"/>
  <c r="O54" i="1"/>
  <c r="N54" i="1"/>
  <c r="L54" i="1"/>
  <c r="H54" i="1"/>
  <c r="G54" i="1"/>
  <c r="F54" i="1"/>
  <c r="E54" i="1"/>
  <c r="B54" i="1"/>
  <c r="S53" i="1"/>
  <c r="R53" i="1"/>
  <c r="Q53" i="1"/>
  <c r="P53" i="1"/>
  <c r="O53" i="1"/>
  <c r="N53" i="1"/>
  <c r="L53" i="1"/>
  <c r="H53" i="1"/>
  <c r="G53" i="1"/>
  <c r="F53" i="1"/>
  <c r="E53" i="1"/>
  <c r="B53" i="1"/>
  <c r="S52" i="1"/>
  <c r="R52" i="1"/>
  <c r="Q52" i="1"/>
  <c r="P52" i="1"/>
  <c r="O52" i="1"/>
  <c r="N52" i="1"/>
  <c r="L52" i="1"/>
  <c r="H52" i="1"/>
  <c r="G52" i="1"/>
  <c r="F52" i="1"/>
  <c r="E52" i="1"/>
  <c r="B52" i="1"/>
  <c r="S51" i="1"/>
  <c r="R51" i="1"/>
  <c r="Q51" i="1"/>
  <c r="P51" i="1"/>
  <c r="O51" i="1"/>
  <c r="N51" i="1"/>
  <c r="L51" i="1"/>
  <c r="H51" i="1"/>
  <c r="G51" i="1"/>
  <c r="F51" i="1"/>
  <c r="E51" i="1"/>
  <c r="B51" i="1"/>
  <c r="S50" i="1"/>
  <c r="R50" i="1"/>
  <c r="Q50" i="1"/>
  <c r="P50" i="1"/>
  <c r="O50" i="1"/>
  <c r="N50" i="1"/>
  <c r="L50" i="1"/>
  <c r="H50" i="1"/>
  <c r="G50" i="1"/>
  <c r="F50" i="1"/>
  <c r="E50" i="1"/>
  <c r="B50" i="1"/>
  <c r="S49" i="1"/>
  <c r="R49" i="1"/>
  <c r="Q49" i="1"/>
  <c r="P49" i="1"/>
  <c r="O49" i="1"/>
  <c r="N49" i="1"/>
  <c r="L49" i="1"/>
  <c r="H49" i="1"/>
  <c r="G49" i="1"/>
  <c r="F49" i="1"/>
  <c r="E49" i="1"/>
  <c r="B49" i="1"/>
  <c r="S48" i="1"/>
  <c r="R48" i="1"/>
  <c r="Q48" i="1"/>
  <c r="P48" i="1"/>
  <c r="O48" i="1"/>
  <c r="N48" i="1"/>
  <c r="L48" i="1"/>
  <c r="H48" i="1"/>
  <c r="G48" i="1"/>
  <c r="F48" i="1"/>
  <c r="E48" i="1"/>
  <c r="B48" i="1"/>
  <c r="S47" i="1"/>
  <c r="R47" i="1"/>
  <c r="Q47" i="1"/>
  <c r="P47" i="1"/>
  <c r="O47" i="1"/>
  <c r="N47" i="1"/>
  <c r="L47" i="1"/>
  <c r="H47" i="1"/>
  <c r="G47" i="1"/>
  <c r="F47" i="1"/>
  <c r="E47" i="1"/>
  <c r="B47" i="1"/>
  <c r="S46" i="1"/>
  <c r="R46" i="1"/>
  <c r="Q46" i="1"/>
  <c r="P46" i="1"/>
  <c r="O46" i="1"/>
  <c r="N46" i="1"/>
  <c r="L46" i="1"/>
  <c r="H46" i="1"/>
  <c r="G46" i="1"/>
  <c r="F46" i="1"/>
  <c r="E46" i="1"/>
  <c r="B46" i="1"/>
  <c r="S45" i="1"/>
  <c r="R45" i="1"/>
  <c r="Q45" i="1"/>
  <c r="P45" i="1"/>
  <c r="O45" i="1"/>
  <c r="N45" i="1"/>
  <c r="L45" i="1"/>
  <c r="H45" i="1"/>
  <c r="G45" i="1"/>
  <c r="F45" i="1"/>
  <c r="E45" i="1"/>
  <c r="B45" i="1"/>
  <c r="S44" i="1"/>
  <c r="R44" i="1"/>
  <c r="Q44" i="1"/>
  <c r="P44" i="1"/>
  <c r="O44" i="1"/>
  <c r="N44" i="1"/>
  <c r="L44" i="1"/>
  <c r="H44" i="1"/>
  <c r="G44" i="1"/>
  <c r="F44" i="1"/>
  <c r="E44" i="1"/>
  <c r="B44" i="1"/>
  <c r="S43" i="1"/>
  <c r="R43" i="1"/>
  <c r="Q43" i="1"/>
  <c r="P43" i="1"/>
  <c r="O43" i="1"/>
  <c r="N43" i="1"/>
  <c r="L43" i="1"/>
  <c r="H43" i="1"/>
  <c r="G43" i="1"/>
  <c r="F43" i="1"/>
  <c r="E43" i="1"/>
  <c r="B43" i="1"/>
  <c r="S42" i="1"/>
  <c r="R42" i="1"/>
  <c r="Q42" i="1"/>
  <c r="P42" i="1"/>
  <c r="O42" i="1"/>
  <c r="N42" i="1"/>
  <c r="L42" i="1"/>
  <c r="H42" i="1"/>
  <c r="G42" i="1"/>
  <c r="F42" i="1"/>
  <c r="E42" i="1"/>
  <c r="B42" i="1"/>
  <c r="S41" i="1"/>
  <c r="R41" i="1"/>
  <c r="Q41" i="1"/>
  <c r="P41" i="1"/>
  <c r="O41" i="1"/>
  <c r="N41" i="1"/>
  <c r="L41" i="1"/>
  <c r="H41" i="1"/>
  <c r="G41" i="1"/>
  <c r="F41" i="1"/>
  <c r="E41" i="1"/>
  <c r="B41" i="1"/>
  <c r="S40" i="1"/>
  <c r="R40" i="1"/>
  <c r="Q40" i="1"/>
  <c r="P40" i="1"/>
  <c r="O40" i="1"/>
  <c r="N40" i="1"/>
  <c r="L40" i="1"/>
  <c r="H40" i="1"/>
  <c r="G40" i="1"/>
  <c r="F40" i="1"/>
  <c r="E40" i="1"/>
  <c r="B40" i="1"/>
  <c r="S39" i="1"/>
  <c r="R39" i="1"/>
  <c r="Q39" i="1"/>
  <c r="P39" i="1"/>
  <c r="O39" i="1"/>
  <c r="N39" i="1"/>
  <c r="L39" i="1"/>
  <c r="H39" i="1"/>
  <c r="G39" i="1"/>
  <c r="F39" i="1"/>
  <c r="E39" i="1"/>
  <c r="B39" i="1"/>
  <c r="S38" i="1"/>
  <c r="R38" i="1"/>
  <c r="Q38" i="1"/>
  <c r="P38" i="1"/>
  <c r="O38" i="1"/>
  <c r="N38" i="1"/>
  <c r="L38" i="1"/>
  <c r="H38" i="1"/>
  <c r="G38" i="1"/>
  <c r="F38" i="1"/>
  <c r="E38" i="1"/>
  <c r="B38" i="1"/>
  <c r="S37" i="1"/>
  <c r="R37" i="1"/>
  <c r="Q37" i="1"/>
  <c r="P37" i="1"/>
  <c r="O37" i="1"/>
  <c r="N37" i="1"/>
  <c r="L37" i="1"/>
  <c r="H37" i="1"/>
  <c r="G37" i="1"/>
  <c r="F37" i="1"/>
  <c r="E37" i="1"/>
  <c r="B37" i="1"/>
  <c r="S36" i="1"/>
  <c r="R36" i="1"/>
  <c r="Q36" i="1"/>
  <c r="P36" i="1"/>
  <c r="O36" i="1"/>
  <c r="N36" i="1"/>
  <c r="L36" i="1"/>
  <c r="H36" i="1"/>
  <c r="G36" i="1"/>
  <c r="F36" i="1"/>
  <c r="E36" i="1"/>
  <c r="B36" i="1"/>
  <c r="S35" i="1"/>
  <c r="R35" i="1"/>
  <c r="Q35" i="1"/>
  <c r="P35" i="1"/>
  <c r="O35" i="1"/>
  <c r="N35" i="1"/>
  <c r="L35" i="1"/>
  <c r="H35" i="1"/>
  <c r="G35" i="1"/>
  <c r="F35" i="1"/>
  <c r="E35" i="1"/>
  <c r="B35" i="1"/>
  <c r="S34" i="1"/>
  <c r="R34" i="1"/>
  <c r="Q34" i="1"/>
  <c r="P34" i="1"/>
  <c r="O34" i="1"/>
  <c r="N34" i="1"/>
  <c r="L34" i="1"/>
  <c r="H34" i="1"/>
  <c r="G34" i="1"/>
  <c r="F34" i="1"/>
  <c r="E34" i="1"/>
  <c r="B34" i="1"/>
  <c r="S33" i="1"/>
  <c r="R33" i="1"/>
  <c r="Q33" i="1"/>
  <c r="P33" i="1"/>
  <c r="O33" i="1"/>
  <c r="N33" i="1"/>
  <c r="L33" i="1"/>
  <c r="H33" i="1"/>
  <c r="G33" i="1"/>
  <c r="F33" i="1"/>
  <c r="E33" i="1"/>
  <c r="B33" i="1"/>
  <c r="S32" i="1"/>
  <c r="R32" i="1"/>
  <c r="Q32" i="1"/>
  <c r="P32" i="1"/>
  <c r="O32" i="1"/>
  <c r="N32" i="1"/>
  <c r="L32" i="1"/>
  <c r="H32" i="1"/>
  <c r="G32" i="1"/>
  <c r="F32" i="1"/>
  <c r="E32" i="1"/>
  <c r="B32" i="1"/>
  <c r="S31" i="1"/>
  <c r="R31" i="1"/>
  <c r="Q31" i="1"/>
  <c r="P31" i="1"/>
  <c r="O31" i="1"/>
  <c r="N31" i="1"/>
  <c r="L31" i="1"/>
  <c r="V31" i="1" s="1" a="1"/>
  <c r="V31" i="1" s="1"/>
  <c r="H31" i="1"/>
  <c r="G31" i="1"/>
  <c r="F31" i="1"/>
  <c r="E31" i="1"/>
  <c r="B31" i="1"/>
  <c r="S30" i="1"/>
  <c r="R30" i="1"/>
  <c r="Q30" i="1"/>
  <c r="P30" i="1"/>
  <c r="O30" i="1"/>
  <c r="N30" i="1"/>
  <c r="L30" i="1"/>
  <c r="H30" i="1"/>
  <c r="G30" i="1"/>
  <c r="F30" i="1"/>
  <c r="E30" i="1"/>
  <c r="B30" i="1"/>
  <c r="S29" i="1"/>
  <c r="R29" i="1"/>
  <c r="Q29" i="1"/>
  <c r="P29" i="1"/>
  <c r="O29" i="1"/>
  <c r="N29" i="1"/>
  <c r="L29" i="1"/>
  <c r="H29" i="1"/>
  <c r="G29" i="1"/>
  <c r="F29" i="1"/>
  <c r="E29" i="1"/>
  <c r="B29" i="1"/>
  <c r="S28" i="1"/>
  <c r="R28" i="1"/>
  <c r="Q28" i="1"/>
  <c r="P28" i="1"/>
  <c r="O28" i="1"/>
  <c r="N28" i="1"/>
  <c r="L28" i="1"/>
  <c r="H28" i="1"/>
  <c r="G28" i="1"/>
  <c r="F28" i="1"/>
  <c r="E28" i="1"/>
  <c r="B28" i="1"/>
  <c r="S27" i="1"/>
  <c r="R27" i="1"/>
  <c r="Q27" i="1"/>
  <c r="P27" i="1"/>
  <c r="O27" i="1"/>
  <c r="N27" i="1"/>
  <c r="L27" i="1"/>
  <c r="H27" i="1"/>
  <c r="G27" i="1"/>
  <c r="F27" i="1"/>
  <c r="E27" i="1"/>
  <c r="B27" i="1"/>
  <c r="S26" i="1"/>
  <c r="R26" i="1"/>
  <c r="Q26" i="1"/>
  <c r="P26" i="1"/>
  <c r="O26" i="1"/>
  <c r="N26" i="1"/>
  <c r="L26" i="1"/>
  <c r="H26" i="1"/>
  <c r="G26" i="1"/>
  <c r="F26" i="1"/>
  <c r="E26" i="1"/>
  <c r="B26" i="1"/>
  <c r="S25" i="1"/>
  <c r="R25" i="1"/>
  <c r="Q25" i="1"/>
  <c r="P25" i="1"/>
  <c r="O25" i="1"/>
  <c r="N25" i="1"/>
  <c r="L25" i="1"/>
  <c r="H25" i="1"/>
  <c r="G25" i="1"/>
  <c r="F25" i="1"/>
  <c r="E25" i="1"/>
  <c r="B25" i="1"/>
  <c r="S24" i="1"/>
  <c r="R24" i="1"/>
  <c r="Q24" i="1"/>
  <c r="P24" i="1"/>
  <c r="O24" i="1"/>
  <c r="N24" i="1"/>
  <c r="L24" i="1"/>
  <c r="H24" i="1"/>
  <c r="G24" i="1"/>
  <c r="F24" i="1"/>
  <c r="E24" i="1"/>
  <c r="B24" i="1"/>
  <c r="S23" i="1"/>
  <c r="R23" i="1"/>
  <c r="Q23" i="1"/>
  <c r="P23" i="1"/>
  <c r="O23" i="1"/>
  <c r="N23" i="1"/>
  <c r="L23" i="1"/>
  <c r="H23" i="1"/>
  <c r="G23" i="1"/>
  <c r="F23" i="1"/>
  <c r="E23" i="1"/>
  <c r="B23" i="1"/>
  <c r="S22" i="1"/>
  <c r="R22" i="1"/>
  <c r="Q22" i="1"/>
  <c r="P22" i="1"/>
  <c r="O22" i="1"/>
  <c r="N22" i="1"/>
  <c r="L22" i="1"/>
  <c r="H22" i="1"/>
  <c r="G22" i="1"/>
  <c r="F22" i="1"/>
  <c r="E22" i="1"/>
  <c r="B22" i="1"/>
  <c r="S21" i="1"/>
  <c r="R21" i="1"/>
  <c r="Q21" i="1"/>
  <c r="P21" i="1"/>
  <c r="O21" i="1"/>
  <c r="N21" i="1"/>
  <c r="L21" i="1"/>
  <c r="H21" i="1"/>
  <c r="G21" i="1"/>
  <c r="F21" i="1"/>
  <c r="E21" i="1"/>
  <c r="B21" i="1"/>
  <c r="S20" i="1"/>
  <c r="R20" i="1"/>
  <c r="Q20" i="1"/>
  <c r="P20" i="1"/>
  <c r="O20" i="1"/>
  <c r="N20" i="1"/>
  <c r="L20" i="1"/>
  <c r="H20" i="1"/>
  <c r="G20" i="1"/>
  <c r="F20" i="1"/>
  <c r="E20" i="1"/>
  <c r="B20" i="1"/>
  <c r="S19" i="1"/>
  <c r="R19" i="1"/>
  <c r="Q19" i="1"/>
  <c r="P19" i="1"/>
  <c r="O19" i="1"/>
  <c r="N19" i="1"/>
  <c r="L19" i="1"/>
  <c r="V19" i="1" s="1" a="1"/>
  <c r="V19" i="1" s="1"/>
  <c r="H19" i="1"/>
  <c r="G19" i="1"/>
  <c r="F19" i="1"/>
  <c r="E19" i="1"/>
  <c r="B19" i="1"/>
  <c r="S18" i="1"/>
  <c r="R18" i="1"/>
  <c r="Q18" i="1"/>
  <c r="P18" i="1"/>
  <c r="O18" i="1"/>
  <c r="N18" i="1"/>
  <c r="L18" i="1"/>
  <c r="V18" i="1" s="1" a="1"/>
  <c r="V18" i="1" s="1"/>
  <c r="H18" i="1"/>
  <c r="G18" i="1"/>
  <c r="F18" i="1"/>
  <c r="E18" i="1"/>
  <c r="B18" i="1"/>
  <c r="S17" i="1"/>
  <c r="R17" i="1"/>
  <c r="Q17" i="1"/>
  <c r="P17" i="1"/>
  <c r="O17" i="1"/>
  <c r="N17" i="1"/>
  <c r="L17" i="1"/>
  <c r="V17" i="1" s="1" a="1"/>
  <c r="V17" i="1" s="1"/>
  <c r="H17" i="1"/>
  <c r="G17" i="1"/>
  <c r="F17" i="1"/>
  <c r="E17" i="1"/>
  <c r="B17" i="1"/>
  <c r="S16" i="1"/>
  <c r="R16" i="1"/>
  <c r="Q16" i="1"/>
  <c r="P16" i="1"/>
  <c r="O16" i="1"/>
  <c r="N16" i="1"/>
  <c r="L16" i="1"/>
  <c r="V16" i="1" s="1" a="1"/>
  <c r="V16" i="1" s="1"/>
  <c r="H16" i="1"/>
  <c r="G16" i="1"/>
  <c r="F16" i="1"/>
  <c r="E16" i="1"/>
  <c r="B16" i="1"/>
  <c r="S15" i="1"/>
  <c r="R15" i="1"/>
  <c r="Q15" i="1"/>
  <c r="P15" i="1"/>
  <c r="O15" i="1"/>
  <c r="N15" i="1"/>
  <c r="L15" i="1"/>
  <c r="V15" i="1" s="1" a="1"/>
  <c r="V15" i="1" s="1"/>
  <c r="H15" i="1"/>
  <c r="G15" i="1"/>
  <c r="F15" i="1"/>
  <c r="E15" i="1"/>
  <c r="B15" i="1"/>
  <c r="S14" i="1"/>
  <c r="R14" i="1"/>
  <c r="Q14" i="1"/>
  <c r="P14" i="1"/>
  <c r="O14" i="1"/>
  <c r="N14" i="1"/>
  <c r="L14" i="1"/>
  <c r="V14" i="1" s="1" a="1"/>
  <c r="V14" i="1" s="1"/>
  <c r="H14" i="1"/>
  <c r="G14" i="1"/>
  <c r="F14" i="1"/>
  <c r="E14" i="1"/>
  <c r="B14" i="1"/>
  <c r="S13" i="1"/>
  <c r="R13" i="1"/>
  <c r="Q13" i="1"/>
  <c r="P13" i="1"/>
  <c r="O13" i="1"/>
  <c r="N13" i="1"/>
  <c r="L13" i="1"/>
  <c r="V13" i="1" s="1" a="1"/>
  <c r="V13" i="1" s="1"/>
  <c r="H13" i="1"/>
  <c r="G13" i="1"/>
  <c r="F13" i="1"/>
  <c r="E13" i="1"/>
  <c r="B13" i="1"/>
  <c r="S12" i="1"/>
  <c r="R12" i="1"/>
  <c r="Q12" i="1"/>
  <c r="P12" i="1"/>
  <c r="O12" i="1"/>
  <c r="N12" i="1"/>
  <c r="L12" i="1"/>
  <c r="V12" i="1" s="1" a="1"/>
  <c r="V12" i="1" s="1"/>
  <c r="H12" i="1"/>
  <c r="G12" i="1"/>
  <c r="F12" i="1"/>
  <c r="E12" i="1"/>
  <c r="B12" i="1"/>
  <c r="S11" i="1"/>
  <c r="R11" i="1"/>
  <c r="Q11" i="1"/>
  <c r="P11" i="1"/>
  <c r="O11" i="1"/>
  <c r="N11" i="1"/>
  <c r="L11" i="1"/>
  <c r="V11" i="1" s="1" a="1"/>
  <c r="V11" i="1" s="1"/>
  <c r="H11" i="1"/>
  <c r="G11" i="1"/>
  <c r="F11" i="1"/>
  <c r="E11" i="1"/>
  <c r="B11" i="1"/>
  <c r="S10" i="1"/>
  <c r="R10" i="1"/>
  <c r="Q10" i="1"/>
  <c r="P10" i="1"/>
  <c r="O10" i="1"/>
  <c r="N10" i="1"/>
  <c r="L10" i="1"/>
  <c r="V10" i="1" s="1" a="1"/>
  <c r="V10" i="1" s="1"/>
  <c r="H10" i="1"/>
  <c r="G10" i="1"/>
  <c r="F10" i="1"/>
  <c r="E10" i="1"/>
  <c r="B10" i="1"/>
  <c r="S9" i="1"/>
  <c r="R9" i="1"/>
  <c r="Q9" i="1"/>
  <c r="P9" i="1"/>
  <c r="O9" i="1"/>
  <c r="N9" i="1"/>
  <c r="L9" i="1"/>
  <c r="V9" i="1" s="1" a="1"/>
  <c r="V9" i="1" s="1"/>
  <c r="H9" i="1"/>
  <c r="G9" i="1"/>
  <c r="F9" i="1"/>
  <c r="E9" i="1"/>
  <c r="B9" i="1"/>
  <c r="S8" i="1"/>
  <c r="R8" i="1"/>
  <c r="Q8" i="1"/>
  <c r="P8" i="1"/>
  <c r="O8" i="1"/>
  <c r="N8" i="1"/>
  <c r="L8" i="1"/>
  <c r="V8" i="1" s="1" a="1"/>
  <c r="V8" i="1" s="1"/>
  <c r="H8" i="1"/>
  <c r="G8" i="1"/>
  <c r="F8" i="1"/>
  <c r="E8" i="1"/>
  <c r="B8" i="1"/>
  <c r="S7" i="1"/>
  <c r="R7" i="1"/>
  <c r="Q7" i="1"/>
  <c r="P7" i="1"/>
  <c r="O7" i="1"/>
  <c r="N7" i="1"/>
  <c r="L7" i="1"/>
  <c r="V7" i="1" s="1" a="1"/>
  <c r="V7" i="1" s="1"/>
  <c r="H7" i="1"/>
  <c r="G7" i="1"/>
  <c r="F7" i="1"/>
  <c r="E7" i="1"/>
  <c r="B7" i="1"/>
  <c r="S6" i="1"/>
  <c r="R6" i="1"/>
  <c r="Q6" i="1"/>
  <c r="P6" i="1"/>
  <c r="O6" i="1"/>
  <c r="N6" i="1"/>
  <c r="L6" i="1"/>
  <c r="V6" i="1" s="1" a="1"/>
  <c r="V6" i="1" s="1"/>
  <c r="H6" i="1"/>
  <c r="G6" i="1"/>
  <c r="F6" i="1"/>
  <c r="E6" i="1"/>
  <c r="B6" i="1"/>
  <c r="S5" i="1"/>
  <c r="R5" i="1"/>
  <c r="Q5" i="1"/>
  <c r="P5" i="1"/>
  <c r="O5" i="1"/>
  <c r="N5" i="1"/>
  <c r="L5" i="1"/>
  <c r="V5" i="1" s="1" a="1"/>
  <c r="V5" i="1" s="1"/>
  <c r="H5" i="1"/>
  <c r="G5" i="1"/>
  <c r="F5" i="1"/>
  <c r="E5" i="1"/>
  <c r="B5" i="1"/>
  <c r="S4" i="1"/>
  <c r="R4" i="1"/>
  <c r="Q4" i="1"/>
  <c r="P4" i="1"/>
  <c r="O4" i="1"/>
  <c r="N4" i="1"/>
  <c r="L4" i="1"/>
  <c r="V4" i="1" s="1" a="1"/>
  <c r="V4" i="1" s="1"/>
  <c r="H4" i="1"/>
  <c r="G4" i="1"/>
  <c r="F4" i="1"/>
  <c r="E4" i="1"/>
  <c r="B4" i="1"/>
  <c r="S3" i="1"/>
  <c r="R3" i="1"/>
  <c r="Q3" i="1"/>
  <c r="P3" i="1"/>
  <c r="O3" i="1"/>
  <c r="N3" i="1"/>
  <c r="L3" i="1"/>
  <c r="V3" i="1" s="1" a="1"/>
  <c r="V3" i="1" s="1"/>
  <c r="H3" i="1"/>
  <c r="G3" i="1"/>
  <c r="F3" i="1"/>
  <c r="E3" i="1"/>
  <c r="B3" i="1"/>
  <c r="T670" i="1" l="1"/>
  <c r="T862" i="1"/>
  <c r="T252" i="1"/>
  <c r="T404" i="1"/>
  <c r="T436" i="1"/>
  <c r="T468" i="1"/>
  <c r="T500" i="1"/>
  <c r="T532" i="1"/>
  <c r="T694" i="1"/>
  <c r="T212" i="1"/>
  <c r="T294" i="1"/>
  <c r="T388" i="1"/>
  <c r="T420" i="1"/>
  <c r="T452" i="1"/>
  <c r="T484" i="1"/>
  <c r="T516" i="1"/>
  <c r="T548" i="1"/>
  <c r="T806" i="1"/>
  <c r="T838" i="1"/>
  <c r="T249" i="1"/>
  <c r="T261" i="1"/>
  <c r="T561" i="1"/>
  <c r="T577" i="1"/>
  <c r="T593" i="1"/>
  <c r="T609" i="1"/>
  <c r="T755" i="1"/>
  <c r="T398" i="1"/>
  <c r="T412" i="1"/>
  <c r="T428" i="1"/>
  <c r="T460" i="1"/>
  <c r="T476" i="1"/>
  <c r="T494" i="1"/>
  <c r="T526" i="1"/>
  <c r="T734" i="1"/>
  <c r="T750" i="1"/>
  <c r="T766" i="1"/>
  <c r="T830" i="1"/>
  <c r="T846" i="1"/>
  <c r="T220" i="1"/>
  <c r="T444" i="1"/>
  <c r="T718" i="1"/>
  <c r="T217" i="1"/>
  <c r="T229" i="1"/>
  <c r="T297" i="1"/>
  <c r="T311" i="1"/>
  <c r="T327" i="1"/>
  <c r="T342" i="1"/>
  <c r="T395" i="1"/>
  <c r="T555" i="1"/>
  <c r="T587" i="1"/>
  <c r="T779" i="1"/>
  <c r="T818" i="1"/>
  <c r="T196" i="1"/>
  <c r="T201" i="1"/>
  <c r="T153" i="1"/>
  <c r="T161" i="1"/>
  <c r="T169" i="1"/>
  <c r="T177" i="1"/>
  <c r="T193" i="1"/>
  <c r="T224" i="1"/>
  <c r="T256" i="1"/>
  <c r="T298" i="1"/>
  <c r="T301" i="1"/>
  <c r="T307" i="1"/>
  <c r="T314" i="1"/>
  <c r="T317" i="1"/>
  <c r="T323" i="1"/>
  <c r="T330" i="1"/>
  <c r="T333" i="1"/>
  <c r="T339" i="1"/>
  <c r="T492" i="1"/>
  <c r="T502" i="1"/>
  <c r="T524" i="1"/>
  <c r="T534" i="1"/>
  <c r="T563" i="1"/>
  <c r="T585" i="1"/>
  <c r="T595" i="1"/>
  <c r="T630" i="1"/>
  <c r="T723" i="1"/>
  <c r="T739" i="1"/>
  <c r="T771" i="1"/>
  <c r="T810" i="1"/>
  <c r="T622" i="1"/>
  <c r="T654" i="1"/>
  <c r="T686" i="1"/>
  <c r="T702" i="1"/>
  <c r="T33" i="1"/>
  <c r="T42" i="1"/>
  <c r="T45" i="1"/>
  <c r="T53" i="1"/>
  <c r="T61" i="1"/>
  <c r="T134" i="1"/>
  <c r="T141" i="1"/>
  <c r="T149" i="1"/>
  <c r="T157" i="1"/>
  <c r="T165" i="1"/>
  <c r="T173" i="1"/>
  <c r="T181" i="1"/>
  <c r="T184" i="1"/>
  <c r="T189" i="1"/>
  <c r="T204" i="1"/>
  <c r="T209" i="1"/>
  <c r="T240" i="1"/>
  <c r="T269" i="1"/>
  <c r="T275" i="1"/>
  <c r="T282" i="1"/>
  <c r="T285" i="1"/>
  <c r="T291" i="1"/>
  <c r="T347" i="1"/>
  <c r="T350" i="1"/>
  <c r="T356" i="1"/>
  <c r="T363" i="1"/>
  <c r="T372" i="1"/>
  <c r="T392" i="1"/>
  <c r="T406" i="1"/>
  <c r="T414" i="1"/>
  <c r="T422" i="1"/>
  <c r="T430" i="1"/>
  <c r="T438" i="1"/>
  <c r="T446" i="1"/>
  <c r="T454" i="1"/>
  <c r="T462" i="1"/>
  <c r="T470" i="1"/>
  <c r="T478" i="1"/>
  <c r="T486" i="1"/>
  <c r="T508" i="1"/>
  <c r="T518" i="1"/>
  <c r="T540" i="1"/>
  <c r="T550" i="1"/>
  <c r="T569" i="1"/>
  <c r="T579" i="1"/>
  <c r="T601" i="1"/>
  <c r="T614" i="1"/>
  <c r="T646" i="1"/>
  <c r="T731" i="1"/>
  <c r="T747" i="1"/>
  <c r="T763" i="1"/>
  <c r="T233" i="1"/>
  <c r="T236" i="1"/>
  <c r="T245" i="1"/>
  <c r="T265" i="1"/>
  <c r="T279" i="1"/>
  <c r="T344" i="1"/>
  <c r="T360" i="1"/>
  <c r="T376" i="1"/>
  <c r="T510" i="1"/>
  <c r="T542" i="1"/>
  <c r="T571" i="1"/>
  <c r="T603" i="1"/>
  <c r="T638" i="1"/>
  <c r="T662" i="1"/>
  <c r="T678" i="1"/>
  <c r="T710" i="1"/>
  <c r="T726" i="1"/>
  <c r="T742" i="1"/>
  <c r="T758" i="1"/>
  <c r="T774" i="1"/>
  <c r="T790" i="1"/>
  <c r="T822" i="1"/>
  <c r="T854" i="1"/>
  <c r="T869" i="1"/>
  <c r="T871" i="1"/>
  <c r="T873" i="1"/>
  <c r="T875" i="1"/>
  <c r="T877" i="1"/>
  <c r="T879" i="1"/>
  <c r="T881" i="1"/>
  <c r="T883" i="1"/>
  <c r="T884" i="1"/>
  <c r="T891" i="1"/>
  <c r="T916" i="1"/>
  <c r="T616" i="1"/>
  <c r="T624" i="1"/>
  <c r="T632" i="1"/>
  <c r="T640" i="1"/>
  <c r="T648" i="1"/>
  <c r="T656" i="1"/>
  <c r="T664" i="1"/>
  <c r="T672" i="1"/>
  <c r="T680" i="1"/>
  <c r="T688" i="1"/>
  <c r="T696" i="1"/>
  <c r="T704" i="1"/>
  <c r="T712" i="1"/>
  <c r="T720" i="1"/>
  <c r="T728" i="1"/>
  <c r="T736" i="1"/>
  <c r="T744" i="1"/>
  <c r="T752" i="1"/>
  <c r="T760" i="1"/>
  <c r="T768" i="1"/>
  <c r="T776" i="1"/>
  <c r="T784" i="1"/>
  <c r="T792" i="1"/>
  <c r="T800" i="1"/>
  <c r="T808" i="1"/>
  <c r="T816" i="1"/>
  <c r="T824" i="1"/>
  <c r="T832" i="1"/>
  <c r="T840" i="1"/>
  <c r="T856" i="1"/>
  <c r="T864" i="1"/>
  <c r="T7" i="1"/>
  <c r="T11" i="1"/>
  <c r="T35" i="1"/>
  <c r="T37" i="1"/>
  <c r="T39" i="1"/>
  <c r="T55" i="1"/>
  <c r="T79" i="1"/>
  <c r="T95" i="1"/>
  <c r="T98" i="1"/>
  <c r="T99" i="1"/>
  <c r="T111" i="1"/>
  <c r="T114" i="1"/>
  <c r="T126" i="1"/>
  <c r="T127" i="1"/>
  <c r="T130" i="1"/>
  <c r="T132" i="1"/>
  <c r="T152" i="1"/>
  <c r="T156" i="1"/>
  <c r="T160" i="1"/>
  <c r="T164" i="1"/>
  <c r="T168" i="1"/>
  <c r="T172" i="1"/>
  <c r="T176" i="1"/>
  <c r="T180" i="1"/>
  <c r="T192" i="1"/>
  <c r="T200" i="1"/>
  <c r="T208" i="1"/>
  <c r="T216" i="1"/>
  <c r="T232" i="1"/>
  <c r="T248" i="1"/>
  <c r="T264" i="1"/>
  <c r="T24" i="1"/>
  <c r="T28" i="1"/>
  <c r="T52" i="1"/>
  <c r="T72" i="1"/>
  <c r="T88" i="1"/>
  <c r="T104" i="1"/>
  <c r="T120" i="1"/>
  <c r="T151" i="1"/>
  <c r="T155" i="1"/>
  <c r="T159" i="1"/>
  <c r="T163" i="1"/>
  <c r="T167" i="1"/>
  <c r="T171" i="1"/>
  <c r="T175" i="1"/>
  <c r="T179" i="1"/>
  <c r="T188" i="1"/>
  <c r="T197" i="1"/>
  <c r="T205" i="1"/>
  <c r="T213" i="1"/>
  <c r="T225" i="1"/>
  <c r="T228" i="1"/>
  <c r="T241" i="1"/>
  <c r="T244" i="1"/>
  <c r="T257" i="1"/>
  <c r="T260" i="1"/>
  <c r="T278" i="1"/>
  <c r="T281" i="1"/>
  <c r="T58" i="1"/>
  <c r="T32" i="1"/>
  <c r="T40" i="1"/>
  <c r="T48" i="1"/>
  <c r="T56" i="1"/>
  <c r="T64" i="1"/>
  <c r="T140" i="1"/>
  <c r="T146" i="1"/>
  <c r="T148" i="1"/>
  <c r="T150" i="1"/>
  <c r="T154" i="1"/>
  <c r="T158" i="1"/>
  <c r="T162" i="1"/>
  <c r="T166" i="1"/>
  <c r="T170" i="1"/>
  <c r="T174" i="1"/>
  <c r="T178" i="1"/>
  <c r="T185" i="1"/>
  <c r="T221" i="1"/>
  <c r="T237" i="1"/>
  <c r="T253" i="1"/>
  <c r="T295" i="1"/>
  <c r="T310" i="1"/>
  <c r="T313" i="1"/>
  <c r="T326" i="1"/>
  <c r="T329" i="1"/>
  <c r="T343" i="1"/>
  <c r="T346" i="1"/>
  <c r="T359" i="1"/>
  <c r="T362" i="1"/>
  <c r="T375" i="1"/>
  <c r="T394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4" i="1"/>
  <c r="T277" i="1"/>
  <c r="T287" i="1"/>
  <c r="T290" i="1"/>
  <c r="T293" i="1"/>
  <c r="T303" i="1"/>
  <c r="T306" i="1"/>
  <c r="T309" i="1"/>
  <c r="T319" i="1"/>
  <c r="T322" i="1"/>
  <c r="T325" i="1"/>
  <c r="T335" i="1"/>
  <c r="T338" i="1"/>
  <c r="T341" i="1"/>
  <c r="T352" i="1"/>
  <c r="T355" i="1"/>
  <c r="T358" i="1"/>
  <c r="T368" i="1"/>
  <c r="T371" i="1"/>
  <c r="T384" i="1"/>
  <c r="T387" i="1"/>
  <c r="T400" i="1"/>
  <c r="T408" i="1"/>
  <c r="T416" i="1"/>
  <c r="T424" i="1"/>
  <c r="T432" i="1"/>
  <c r="T440" i="1"/>
  <c r="T448" i="1"/>
  <c r="T456" i="1"/>
  <c r="T464" i="1"/>
  <c r="T472" i="1"/>
  <c r="T480" i="1"/>
  <c r="T488" i="1"/>
  <c r="T496" i="1"/>
  <c r="T504" i="1"/>
  <c r="T512" i="1"/>
  <c r="T520" i="1"/>
  <c r="T528" i="1"/>
  <c r="T536" i="1"/>
  <c r="T544" i="1"/>
  <c r="T552" i="1"/>
  <c r="T557" i="1"/>
  <c r="T565" i="1"/>
  <c r="T573" i="1"/>
  <c r="T581" i="1"/>
  <c r="T589" i="1"/>
  <c r="T597" i="1"/>
  <c r="T605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3" i="1"/>
  <c r="T283" i="1"/>
  <c r="T286" i="1"/>
  <c r="T289" i="1"/>
  <c r="T299" i="1"/>
  <c r="T302" i="1"/>
  <c r="T305" i="1"/>
  <c r="T315" i="1"/>
  <c r="T318" i="1"/>
  <c r="T321" i="1"/>
  <c r="T331" i="1"/>
  <c r="T334" i="1"/>
  <c r="T337" i="1"/>
  <c r="T348" i="1"/>
  <c r="T351" i="1"/>
  <c r="T354" i="1"/>
  <c r="T364" i="1"/>
  <c r="T367" i="1"/>
  <c r="T380" i="1"/>
  <c r="T383" i="1"/>
  <c r="T396" i="1"/>
  <c r="T402" i="1"/>
  <c r="T410" i="1"/>
  <c r="T418" i="1"/>
  <c r="T426" i="1"/>
  <c r="T434" i="1"/>
  <c r="T442" i="1"/>
  <c r="T450" i="1"/>
  <c r="T458" i="1"/>
  <c r="T466" i="1"/>
  <c r="T474" i="1"/>
  <c r="T482" i="1"/>
  <c r="T490" i="1"/>
  <c r="T498" i="1"/>
  <c r="T506" i="1"/>
  <c r="T514" i="1"/>
  <c r="T522" i="1"/>
  <c r="T530" i="1"/>
  <c r="T538" i="1"/>
  <c r="T546" i="1"/>
  <c r="T553" i="1"/>
  <c r="T559" i="1"/>
  <c r="T567" i="1"/>
  <c r="T575" i="1"/>
  <c r="T583" i="1"/>
  <c r="T591" i="1"/>
  <c r="T599" i="1"/>
  <c r="T607" i="1"/>
  <c r="T618" i="1"/>
  <c r="T626" i="1"/>
  <c r="T634" i="1"/>
  <c r="T642" i="1"/>
  <c r="T650" i="1"/>
  <c r="T658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2" i="1"/>
  <c r="T620" i="1"/>
  <c r="T628" i="1"/>
  <c r="T636" i="1"/>
  <c r="T644" i="1"/>
  <c r="T652" i="1"/>
  <c r="T660" i="1"/>
  <c r="T668" i="1"/>
  <c r="T676" i="1"/>
  <c r="T684" i="1"/>
  <c r="T692" i="1"/>
  <c r="T700" i="1"/>
  <c r="T708" i="1"/>
  <c r="T716" i="1"/>
  <c r="T782" i="1"/>
  <c r="T798" i="1"/>
  <c r="T81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5" i="1"/>
  <c r="T349" i="1"/>
  <c r="T353" i="1"/>
  <c r="T357" i="1"/>
  <c r="T361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610" i="1"/>
  <c r="T666" i="1"/>
  <c r="T674" i="1"/>
  <c r="T682" i="1"/>
  <c r="T690" i="1"/>
  <c r="T698" i="1"/>
  <c r="T706" i="1"/>
  <c r="T714" i="1"/>
  <c r="T786" i="1"/>
  <c r="T794" i="1"/>
  <c r="T802" i="1"/>
  <c r="T826" i="1"/>
  <c r="T834" i="1"/>
  <c r="T842" i="1"/>
  <c r="T850" i="1"/>
  <c r="T858" i="1"/>
  <c r="T866" i="1"/>
  <c r="T611" i="1"/>
  <c r="T615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2" i="1"/>
  <c r="T732" i="1"/>
  <c r="T735" i="1"/>
  <c r="T738" i="1"/>
  <c r="T748" i="1"/>
  <c r="T751" i="1"/>
  <c r="T754" i="1"/>
  <c r="T764" i="1"/>
  <c r="T767" i="1"/>
  <c r="T770" i="1"/>
  <c r="T780" i="1"/>
  <c r="T788" i="1"/>
  <c r="T796" i="1"/>
  <c r="T804" i="1"/>
  <c r="T812" i="1"/>
  <c r="T820" i="1"/>
  <c r="T828" i="1"/>
  <c r="T836" i="1"/>
  <c r="T844" i="1"/>
  <c r="T852" i="1"/>
  <c r="T860" i="1"/>
  <c r="T932" i="1"/>
  <c r="T964" i="1"/>
  <c r="T613" i="1"/>
  <c r="T617" i="1"/>
  <c r="T621" i="1"/>
  <c r="T625" i="1"/>
  <c r="T629" i="1"/>
  <c r="T633" i="1"/>
  <c r="T637" i="1"/>
  <c r="T641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4" i="1"/>
  <c r="T727" i="1"/>
  <c r="T730" i="1"/>
  <c r="T740" i="1"/>
  <c r="T743" i="1"/>
  <c r="T746" i="1"/>
  <c r="T756" i="1"/>
  <c r="T759" i="1"/>
  <c r="T762" i="1"/>
  <c r="T772" i="1"/>
  <c r="T775" i="1"/>
  <c r="T778" i="1"/>
  <c r="T848" i="1"/>
  <c r="T892" i="1"/>
  <c r="T899" i="1"/>
  <c r="T908" i="1"/>
  <c r="T924" i="1"/>
  <c r="T783" i="1"/>
  <c r="T787" i="1"/>
  <c r="T791" i="1"/>
  <c r="T795" i="1"/>
  <c r="T799" i="1"/>
  <c r="T803" i="1"/>
  <c r="T807" i="1"/>
  <c r="T811" i="1"/>
  <c r="T815" i="1"/>
  <c r="T819" i="1"/>
  <c r="T823" i="1"/>
  <c r="T827" i="1"/>
  <c r="T831" i="1"/>
  <c r="T835" i="1"/>
  <c r="T839" i="1"/>
  <c r="T843" i="1"/>
  <c r="T847" i="1"/>
  <c r="T851" i="1"/>
  <c r="T855" i="1"/>
  <c r="T859" i="1"/>
  <c r="T863" i="1"/>
  <c r="T867" i="1"/>
  <c r="T902" i="1"/>
  <c r="T942" i="1"/>
  <c r="T721" i="1"/>
  <c r="T725" i="1"/>
  <c r="T729" i="1"/>
  <c r="T733" i="1"/>
  <c r="T737" i="1"/>
  <c r="T741" i="1"/>
  <c r="T745" i="1"/>
  <c r="T749" i="1"/>
  <c r="T753" i="1"/>
  <c r="T757" i="1"/>
  <c r="T761" i="1"/>
  <c r="T765" i="1"/>
  <c r="T769" i="1"/>
  <c r="T773" i="1"/>
  <c r="T777" i="1"/>
  <c r="T781" i="1"/>
  <c r="T785" i="1"/>
  <c r="T789" i="1"/>
  <c r="T793" i="1"/>
  <c r="T797" i="1"/>
  <c r="T801" i="1"/>
  <c r="T805" i="1"/>
  <c r="T809" i="1"/>
  <c r="T813" i="1"/>
  <c r="T817" i="1"/>
  <c r="T821" i="1"/>
  <c r="T825" i="1"/>
  <c r="T829" i="1"/>
  <c r="T833" i="1"/>
  <c r="T837" i="1"/>
  <c r="T841" i="1"/>
  <c r="T845" i="1"/>
  <c r="T849" i="1"/>
  <c r="T853" i="1"/>
  <c r="T857" i="1"/>
  <c r="T861" i="1"/>
  <c r="T865" i="1"/>
  <c r="T85" i="1"/>
  <c r="T100" i="1"/>
  <c r="T113" i="1"/>
  <c r="T116" i="1"/>
  <c r="T143" i="1"/>
  <c r="T3" i="1"/>
  <c r="T22" i="1"/>
  <c r="T366" i="1"/>
  <c r="T370" i="1"/>
  <c r="T374" i="1"/>
  <c r="T378" i="1"/>
  <c r="T382" i="1"/>
  <c r="T386" i="1"/>
  <c r="T390" i="1"/>
  <c r="T365" i="1"/>
  <c r="T369" i="1"/>
  <c r="T373" i="1"/>
  <c r="T20" i="1"/>
  <c r="T9" i="1"/>
  <c r="T81" i="1"/>
  <c r="T84" i="1"/>
  <c r="T101" i="1"/>
  <c r="T117" i="1"/>
  <c r="T379" i="1"/>
  <c r="T391" i="1"/>
  <c r="T8" i="1"/>
  <c r="T12" i="1"/>
  <c r="T13" i="1"/>
  <c r="T16" i="1"/>
  <c r="T44" i="1"/>
  <c r="T47" i="1"/>
  <c r="T50" i="1"/>
  <c r="T60" i="1"/>
  <c r="T63" i="1"/>
  <c r="T78" i="1"/>
  <c r="T86" i="1"/>
  <c r="T94" i="1"/>
  <c r="T102" i="1"/>
  <c r="T110" i="1"/>
  <c r="T118" i="1"/>
  <c r="T4" i="1"/>
  <c r="T5" i="1"/>
  <c r="T10" i="1"/>
  <c r="T21" i="1"/>
  <c r="T25" i="1"/>
  <c r="T29" i="1"/>
  <c r="T17" i="1"/>
  <c r="T43" i="1"/>
  <c r="T46" i="1"/>
  <c r="T49" i="1"/>
  <c r="T59" i="1"/>
  <c r="T62" i="1"/>
  <c r="T65" i="1"/>
  <c r="T70" i="1"/>
  <c r="T73" i="1"/>
  <c r="T76" i="1"/>
  <c r="T77" i="1"/>
  <c r="T87" i="1"/>
  <c r="T91" i="1"/>
  <c r="T108" i="1"/>
  <c r="T109" i="1"/>
  <c r="T119" i="1"/>
  <c r="T122" i="1"/>
  <c r="T133" i="1"/>
  <c r="T34" i="1"/>
  <c r="T38" i="1"/>
  <c r="T41" i="1"/>
  <c r="T51" i="1"/>
  <c r="T54" i="1"/>
  <c r="T57" i="1"/>
  <c r="T66" i="1"/>
  <c r="T69" i="1"/>
  <c r="T71" i="1"/>
  <c r="T74" i="1"/>
  <c r="T92" i="1"/>
  <c r="T93" i="1"/>
  <c r="T103" i="1"/>
  <c r="T106" i="1"/>
  <c r="T107" i="1"/>
  <c r="T124" i="1"/>
  <c r="T125" i="1"/>
  <c r="T136" i="1"/>
  <c r="T142" i="1"/>
  <c r="T145" i="1"/>
  <c r="T36" i="1"/>
  <c r="T80" i="1"/>
  <c r="T96" i="1"/>
  <c r="T112" i="1"/>
  <c r="T128" i="1"/>
  <c r="T131" i="1"/>
  <c r="T137" i="1"/>
  <c r="T138" i="1"/>
  <c r="T888" i="1"/>
  <c r="T895" i="1"/>
  <c r="T898" i="1"/>
  <c r="T904" i="1"/>
  <c r="T910" i="1"/>
  <c r="T918" i="1"/>
  <c r="T926" i="1"/>
  <c r="T934" i="1"/>
  <c r="T950" i="1"/>
  <c r="T958" i="1"/>
  <c r="T966" i="1"/>
  <c r="T894" i="1"/>
  <c r="T900" i="1"/>
  <c r="T912" i="1"/>
  <c r="T920" i="1"/>
  <c r="T928" i="1"/>
  <c r="T936" i="1"/>
  <c r="T944" i="1"/>
  <c r="T952" i="1"/>
  <c r="T960" i="1"/>
  <c r="T968" i="1"/>
  <c r="T129" i="1"/>
  <c r="T135" i="1"/>
  <c r="T144" i="1"/>
  <c r="T147" i="1"/>
  <c r="T887" i="1"/>
  <c r="T890" i="1"/>
  <c r="T896" i="1"/>
  <c r="T903" i="1"/>
  <c r="T906" i="1"/>
  <c r="T914" i="1"/>
  <c r="T922" i="1"/>
  <c r="T930" i="1"/>
  <c r="T938" i="1"/>
  <c r="T946" i="1"/>
  <c r="T954" i="1"/>
  <c r="T962" i="1"/>
  <c r="T868" i="1"/>
  <c r="T870" i="1"/>
  <c r="T872" i="1"/>
  <c r="T874" i="1"/>
  <c r="T876" i="1"/>
  <c r="T878" i="1"/>
  <c r="T880" i="1"/>
  <c r="T882" i="1"/>
  <c r="T886" i="1"/>
  <c r="T940" i="1"/>
  <c r="T948" i="1"/>
  <c r="T956" i="1"/>
  <c r="T885" i="1"/>
  <c r="T889" i="1"/>
  <c r="T893" i="1"/>
  <c r="T897" i="1"/>
  <c r="T901" i="1"/>
  <c r="T905" i="1"/>
  <c r="T909" i="1"/>
  <c r="T913" i="1"/>
  <c r="T917" i="1"/>
  <c r="T921" i="1"/>
  <c r="T925" i="1"/>
  <c r="T929" i="1"/>
  <c r="T933" i="1"/>
  <c r="T937" i="1"/>
  <c r="T941" i="1"/>
  <c r="T945" i="1"/>
  <c r="T949" i="1"/>
  <c r="T953" i="1"/>
  <c r="T957" i="1"/>
  <c r="T961" i="1"/>
  <c r="T965" i="1"/>
  <c r="T972" i="1"/>
  <c r="T976" i="1"/>
  <c r="T980" i="1"/>
  <c r="T984" i="1"/>
  <c r="T988" i="1"/>
  <c r="T992" i="1"/>
  <c r="T996" i="1"/>
  <c r="T1000" i="1"/>
  <c r="T1004" i="1"/>
  <c r="T1008" i="1"/>
  <c r="T907" i="1"/>
  <c r="T911" i="1"/>
  <c r="T915" i="1"/>
  <c r="T919" i="1"/>
  <c r="T923" i="1"/>
  <c r="T927" i="1"/>
  <c r="T931" i="1"/>
  <c r="T935" i="1"/>
  <c r="T939" i="1"/>
  <c r="T943" i="1"/>
  <c r="T947" i="1"/>
  <c r="T951" i="1"/>
  <c r="T955" i="1"/>
  <c r="T959" i="1"/>
  <c r="T963" i="1"/>
  <c r="T967" i="1"/>
  <c r="T983" i="1"/>
  <c r="T987" i="1"/>
  <c r="T991" i="1"/>
  <c r="T995" i="1"/>
  <c r="T999" i="1"/>
  <c r="T1003" i="1"/>
  <c r="T1007" i="1"/>
  <c r="T1011" i="1"/>
  <c r="T68" i="1"/>
  <c r="T75" i="1"/>
  <c r="T82" i="1"/>
  <c r="T97" i="1"/>
  <c r="T115" i="1"/>
  <c r="T121" i="1"/>
  <c r="T15" i="1"/>
  <c r="T23" i="1"/>
  <c r="T27" i="1"/>
  <c r="T31" i="1"/>
  <c r="T67" i="1"/>
  <c r="T14" i="1"/>
  <c r="T90" i="1"/>
  <c r="T105" i="1"/>
  <c r="T123" i="1"/>
  <c r="T139" i="1"/>
  <c r="T18" i="1"/>
  <c r="T19" i="1"/>
  <c r="T26" i="1"/>
  <c r="T30" i="1"/>
  <c r="T83" i="1"/>
  <c r="T89" i="1"/>
  <c r="T6" i="1"/>
  <c r="T971" i="1"/>
  <c r="T975" i="1"/>
  <c r="T979" i="1"/>
  <c r="T970" i="1"/>
  <c r="T974" i="1"/>
  <c r="T978" i="1"/>
  <c r="T982" i="1"/>
  <c r="T986" i="1"/>
  <c r="T990" i="1"/>
  <c r="T994" i="1"/>
  <c r="T998" i="1"/>
  <c r="T1002" i="1"/>
  <c r="T1006" i="1"/>
  <c r="T1010" i="1"/>
  <c r="T969" i="1"/>
  <c r="T973" i="1"/>
  <c r="T977" i="1"/>
  <c r="T981" i="1"/>
  <c r="T985" i="1"/>
  <c r="T989" i="1"/>
  <c r="T993" i="1"/>
  <c r="T997" i="1"/>
  <c r="T1001" i="1"/>
  <c r="T1005" i="1"/>
  <c r="T1009" i="1"/>
  <c r="I104" i="1" l="1"/>
  <c r="K104" i="1" s="1"/>
  <c r="I46" i="1"/>
  <c r="K46" i="1" s="1"/>
  <c r="I42" i="1"/>
  <c r="K42" i="1" s="1"/>
  <c r="I34" i="1"/>
  <c r="K34" i="1" s="1"/>
  <c r="I110" i="1"/>
  <c r="K110" i="1" s="1"/>
  <c r="I146" i="1"/>
  <c r="K146" i="1" s="1"/>
  <c r="I69" i="1"/>
  <c r="K69" i="1" s="1"/>
  <c r="I26" i="1"/>
  <c r="K26" i="1" s="1"/>
  <c r="I10" i="1"/>
  <c r="K10" i="1" s="1"/>
  <c r="I72" i="1"/>
  <c r="K72" i="1" s="1"/>
  <c r="I39" i="1"/>
  <c r="K39" i="1" s="1"/>
  <c r="I64" i="1"/>
  <c r="K64" i="1" s="1"/>
  <c r="I38" i="1"/>
  <c r="K38" i="1" s="1"/>
  <c r="I117" i="1"/>
  <c r="K117" i="1" s="1"/>
  <c r="I41" i="1"/>
  <c r="K41" i="1" s="1"/>
  <c r="I94" i="1"/>
  <c r="K94" i="1" s="1"/>
  <c r="I89" i="1"/>
  <c r="K89" i="1" s="1"/>
  <c r="I126" i="1"/>
  <c r="K126" i="1" s="1"/>
  <c r="I99" i="1"/>
  <c r="K99" i="1" s="1"/>
  <c r="I77" i="1"/>
  <c r="K77" i="1" s="1"/>
  <c r="I92" i="1"/>
  <c r="K92" i="1" s="1"/>
  <c r="I124" i="1"/>
  <c r="K124" i="1" s="1"/>
  <c r="I11" i="1"/>
  <c r="K11" i="1" s="1"/>
  <c r="I96" i="1"/>
  <c r="K96" i="1" s="1"/>
  <c r="I105" i="1"/>
  <c r="K105" i="1" s="1"/>
  <c r="I107" i="1"/>
  <c r="K107" i="1" s="1"/>
  <c r="I95" i="1"/>
  <c r="K95" i="1" s="1"/>
  <c r="I91" i="1"/>
  <c r="K91" i="1" s="1"/>
  <c r="I123" i="1"/>
  <c r="K123" i="1" s="1"/>
  <c r="I133" i="1"/>
  <c r="K133" i="1" s="1"/>
  <c r="I115" i="1"/>
  <c r="K115" i="1" s="1"/>
  <c r="I97" i="1"/>
  <c r="K97" i="1" s="1"/>
  <c r="I83" i="1"/>
  <c r="K83" i="1" s="1"/>
  <c r="I129" i="1"/>
  <c r="K129" i="1" s="1"/>
  <c r="I78" i="1"/>
  <c r="K78" i="1" s="1"/>
  <c r="I75" i="1"/>
  <c r="K75" i="1" s="1"/>
  <c r="I6" i="1"/>
  <c r="K6" i="1" s="1"/>
  <c r="I18" i="1"/>
  <c r="K18" i="1" s="1"/>
  <c r="I14" i="1"/>
  <c r="K14" i="1" s="1"/>
  <c r="I53" i="1"/>
  <c r="K53" i="1" s="1"/>
  <c r="I62" i="1"/>
  <c r="K62" i="1" s="1"/>
  <c r="I113" i="1"/>
  <c r="K113" i="1" s="1"/>
  <c r="I4" i="1"/>
  <c r="K4" i="1" s="1"/>
  <c r="I80" i="1"/>
  <c r="K80" i="1" s="1"/>
  <c r="I108" i="1"/>
  <c r="K108" i="1" s="1"/>
  <c r="I61" i="1"/>
  <c r="K61" i="1" s="1"/>
  <c r="I118" i="1"/>
  <c r="K118" i="1" s="1"/>
  <c r="I19" i="1"/>
  <c r="K19" i="1" s="1"/>
  <c r="I32" i="1"/>
  <c r="K32" i="1" s="1"/>
  <c r="I47" i="1"/>
  <c r="K47" i="1" s="1"/>
  <c r="I49" i="1"/>
  <c r="K49" i="1" s="1"/>
  <c r="I24" i="1"/>
  <c r="K24" i="1" s="1"/>
  <c r="I56" i="1"/>
  <c r="K56" i="1" s="1"/>
  <c r="I50" i="1"/>
  <c r="K50" i="1" s="1"/>
  <c r="I130" i="1"/>
  <c r="K130" i="1" s="1"/>
  <c r="I23" i="1"/>
  <c r="K23" i="1" s="1"/>
  <c r="I36" i="1"/>
  <c r="K36" i="1" s="1"/>
  <c r="I16" i="1"/>
  <c r="K16" i="1" s="1"/>
  <c r="I114" i="1"/>
  <c r="K114" i="1" s="1"/>
  <c r="I13" i="1"/>
  <c r="K13" i="1" s="1"/>
  <c r="I68" i="1"/>
  <c r="K68" i="1" s="1"/>
  <c r="I20" i="1"/>
  <c r="K20" i="1" s="1"/>
  <c r="I88" i="1"/>
  <c r="K88" i="1" s="1"/>
  <c r="I15" i="1"/>
  <c r="K15" i="1" s="1"/>
  <c r="I51" i="1"/>
  <c r="K51" i="1" s="1"/>
  <c r="I63" i="1"/>
  <c r="K63" i="1" s="1"/>
  <c r="I116" i="1"/>
  <c r="K116" i="1" s="1"/>
  <c r="I31" i="1"/>
  <c r="K31" i="1" s="1"/>
  <c r="I67" i="1"/>
  <c r="K67" i="1" s="1"/>
  <c r="I135" i="1"/>
  <c r="K135" i="1" s="1"/>
  <c r="I112" i="1"/>
  <c r="K112" i="1" s="1"/>
  <c r="I140" i="1"/>
  <c r="K140" i="1" s="1"/>
  <c r="I81" i="1"/>
  <c r="K81" i="1" s="1"/>
  <c r="I79" i="1"/>
  <c r="K79" i="1" s="1"/>
  <c r="I57" i="1"/>
  <c r="K57" i="1" s="1"/>
  <c r="I55" i="1"/>
  <c r="K55" i="1" s="1"/>
  <c r="I128" i="1"/>
  <c r="K128" i="1" s="1"/>
  <c r="I12" i="1"/>
  <c r="K12" i="1" s="1"/>
  <c r="I132" i="1"/>
  <c r="K132" i="1" s="1"/>
  <c r="I90" i="1"/>
  <c r="K90" i="1" s="1"/>
  <c r="I98" i="1"/>
  <c r="K98" i="1" s="1"/>
  <c r="I131" i="1"/>
  <c r="K131" i="1" s="1"/>
  <c r="I82" i="1"/>
  <c r="K82" i="1" s="1"/>
  <c r="I93" i="1"/>
  <c r="K93" i="1" s="1"/>
  <c r="I106" i="1"/>
  <c r="K106" i="1" s="1"/>
  <c r="I101" i="1"/>
  <c r="K101" i="1" s="1"/>
  <c r="I59" i="1"/>
  <c r="K59" i="1" s="1"/>
  <c r="I3" i="1"/>
  <c r="K3" i="1" s="1"/>
  <c r="I52" i="1"/>
  <c r="K52" i="1" s="1"/>
  <c r="I5" i="1"/>
  <c r="K5" i="1" s="1"/>
  <c r="I70" i="1"/>
  <c r="K70" i="1" s="1"/>
  <c r="I48" i="1"/>
  <c r="K48" i="1" s="1"/>
  <c r="I58" i="1"/>
  <c r="K58" i="1" s="1"/>
  <c r="I103" i="1"/>
  <c r="K103" i="1" s="1"/>
  <c r="I37" i="1"/>
  <c r="K37" i="1" s="1"/>
  <c r="I100" i="1"/>
  <c r="K100" i="1" s="1"/>
  <c r="I109" i="1"/>
  <c r="K109" i="1" s="1"/>
  <c r="I29" i="1" l="1"/>
  <c r="K29" i="1" s="1"/>
  <c r="I122" i="1"/>
  <c r="K122" i="1" s="1"/>
  <c r="I44" i="1"/>
  <c r="K44" i="1" s="1"/>
  <c r="I125" i="1"/>
  <c r="K125" i="1" s="1"/>
  <c r="I84" i="1"/>
  <c r="K84" i="1" s="1"/>
  <c r="I22" i="1"/>
  <c r="K22" i="1" s="1"/>
  <c r="I66" i="1"/>
  <c r="K66" i="1" s="1"/>
  <c r="I17" i="1"/>
  <c r="K17" i="1" s="1"/>
  <c r="I76" i="1"/>
  <c r="K76" i="1" s="1"/>
  <c r="I85" i="1"/>
  <c r="K85" i="1" s="1"/>
  <c r="I21" i="1"/>
  <c r="K21" i="1" s="1"/>
  <c r="I60" i="1"/>
  <c r="K60" i="1" s="1"/>
  <c r="I121" i="1"/>
  <c r="K121" i="1" s="1"/>
  <c r="I8" i="1"/>
  <c r="K8" i="1" s="1"/>
  <c r="I87" i="1"/>
  <c r="K87" i="1" s="1"/>
  <c r="I43" i="1"/>
  <c r="K43" i="1" s="1"/>
  <c r="I27" i="1"/>
  <c r="K27" i="1" s="1"/>
  <c r="I74" i="1"/>
  <c r="K74" i="1" s="1"/>
  <c r="I119" i="1"/>
  <c r="K119" i="1" s="1"/>
  <c r="I134" i="1"/>
  <c r="K134" i="1" s="1"/>
  <c r="I120" i="1"/>
  <c r="K120" i="1" s="1"/>
  <c r="I111" i="1"/>
  <c r="K111" i="1" s="1"/>
  <c r="I71" i="1"/>
  <c r="K71" i="1" s="1"/>
  <c r="I9" i="1"/>
  <c r="K9" i="1" s="1"/>
  <c r="I40" i="1"/>
  <c r="K40" i="1" s="1"/>
  <c r="I7" i="1"/>
  <c r="K7" i="1" s="1"/>
  <c r="I30" i="1"/>
  <c r="K30" i="1" s="1"/>
  <c r="I73" i="1"/>
  <c r="K73" i="1" s="1"/>
  <c r="I35" i="1"/>
  <c r="K35" i="1" s="1"/>
  <c r="I54" i="1"/>
  <c r="K54" i="1" s="1"/>
  <c r="I65" i="1"/>
  <c r="K65" i="1" s="1"/>
  <c r="I25" i="1"/>
  <c r="K25" i="1" s="1"/>
  <c r="I102" i="1"/>
  <c r="K102" i="1" s="1"/>
  <c r="I45" i="1"/>
  <c r="K45" i="1" s="1"/>
  <c r="I28" i="1"/>
  <c r="K28" i="1" s="1"/>
  <c r="I137" i="1"/>
  <c r="K137" i="1" s="1"/>
  <c r="I127" i="1"/>
  <c r="K127" i="1" s="1"/>
  <c r="I136" i="1"/>
  <c r="K136" i="1" s="1"/>
  <c r="I139" i="1"/>
  <c r="K139" i="1" s="1"/>
  <c r="I138" i="1"/>
  <c r="K138" i="1" s="1"/>
  <c r="I142" i="1"/>
  <c r="K142" i="1" s="1"/>
  <c r="I141" i="1"/>
  <c r="K141" i="1" s="1"/>
  <c r="I143" i="1"/>
  <c r="K143" i="1" s="1"/>
  <c r="I144" i="1"/>
  <c r="K144" i="1" s="1"/>
  <c r="I86" i="1"/>
  <c r="K86" i="1" s="1"/>
  <c r="I33" i="1"/>
  <c r="K33" i="1" s="1"/>
  <c r="I145" i="1"/>
  <c r="K145" i="1" s="1"/>
  <c r="I149" i="1"/>
  <c r="K149" i="1" s="1"/>
  <c r="I147" i="1"/>
  <c r="K147" i="1" s="1"/>
  <c r="I148" i="1"/>
  <c r="K14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<sst xmlns="http://schemas.openxmlformats.org/spreadsheetml/2006/main" count="2311" uniqueCount="629">
  <si>
    <t>PRONTA ENTREGA</t>
  </si>
  <si>
    <t>ATUALIZADO EM:</t>
  </si>
  <si>
    <t>Cod.Movelsoft</t>
  </si>
  <si>
    <t>MARCA</t>
  </si>
  <si>
    <t>DE</t>
  </si>
  <si>
    <t>DESCONTO</t>
  </si>
  <si>
    <t>POR</t>
  </si>
  <si>
    <t>MODULARES</t>
  </si>
  <si>
    <t>LOJA TEODORO</t>
  </si>
  <si>
    <t>LOJA LAR CENTER</t>
  </si>
  <si>
    <t>LOJA D&amp;D</t>
  </si>
  <si>
    <t>LOJA GABRIEL</t>
  </si>
  <si>
    <t>ESTOQUE 8000</t>
  </si>
  <si>
    <t>CLAMI SOFA</t>
  </si>
  <si>
    <t>SOFA LAGO</t>
  </si>
  <si>
    <t>379991 | 379989 | 379986</t>
  </si>
  <si>
    <t>SOFA SONETTO</t>
  </si>
  <si>
    <t>379923 | 379922</t>
  </si>
  <si>
    <t>SOFA SONETTO SMALL</t>
  </si>
  <si>
    <t>379920 | 379917 | 379915</t>
  </si>
  <si>
    <t>379927 | 379925</t>
  </si>
  <si>
    <t>CLAMI MESA CENTRO</t>
  </si>
  <si>
    <t>TAMPO MONDRIAN (RBD)</t>
  </si>
  <si>
    <t>380411 | 379868</t>
  </si>
  <si>
    <t>CLAMI CHAISE</t>
  </si>
  <si>
    <t>CHAISE MONDRIAN (RBD)</t>
  </si>
  <si>
    <t>379891 | 379890 | 379889</t>
  </si>
  <si>
    <t>SOFA MONDRIAN (RBD)</t>
  </si>
  <si>
    <t>ACESSORIO DIXON</t>
  </si>
  <si>
    <t>379996 | 379652 | 379651 | 379650</t>
  </si>
  <si>
    <t>SOFA DIXON</t>
  </si>
  <si>
    <t>SOFA TARANTO</t>
  </si>
  <si>
    <t>335217 | 335216</t>
  </si>
  <si>
    <t>CLAMI APARADOR</t>
  </si>
  <si>
    <t>379799 | 379526</t>
  </si>
  <si>
    <t>APARADOR MONDRIAN (RBD)</t>
  </si>
  <si>
    <t>CLAMI COMPONENTE ALMOFADA</t>
  </si>
  <si>
    <t>ALMOFADA PARATY</t>
  </si>
  <si>
    <t>300472 | 300469 | 300476 | 300471 | 300470 | 300467</t>
  </si>
  <si>
    <t>CLAMI PUFF</t>
  </si>
  <si>
    <t>SOFA PARATY (CLAMI)</t>
  </si>
  <si>
    <t>MESA CENTRO MONDRIAN (RBD)</t>
  </si>
  <si>
    <t>379870 | 379868</t>
  </si>
  <si>
    <t>381897 | 379864</t>
  </si>
  <si>
    <t>379520 | 379519</t>
  </si>
  <si>
    <t>379522 | 379521</t>
  </si>
  <si>
    <t>379537 | 379536 | 379535 | 379534</t>
  </si>
  <si>
    <t>SOFA HIMALAYA (RBD)</t>
  </si>
  <si>
    <t>374358 | 374357 | 374356</t>
  </si>
  <si>
    <t>CLAMI ESTANTE</t>
  </si>
  <si>
    <t>ESTANTE VO</t>
  </si>
  <si>
    <t>309891 | 299562 | 299533</t>
  </si>
  <si>
    <t>CLAMI MESA JANTAR</t>
  </si>
  <si>
    <t>TAMPO NINA (F9025)</t>
  </si>
  <si>
    <t>371721 | 371720</t>
  </si>
  <si>
    <t>MESA JANTAR NINA</t>
  </si>
  <si>
    <t>CLAMI BUFFET</t>
  </si>
  <si>
    <t>BUFFET YAACOV</t>
  </si>
  <si>
    <t>372118 | 371961</t>
  </si>
  <si>
    <t>TAMPO BUFFET YAACOV (F9025)</t>
  </si>
  <si>
    <t>SOFA MALONE</t>
  </si>
  <si>
    <t>319559 | 319558</t>
  </si>
  <si>
    <t>SOFA NEW CHATEAU</t>
  </si>
  <si>
    <t>224382 | 224381</t>
  </si>
  <si>
    <t>MESA JANTAR HOLG</t>
  </si>
  <si>
    <t>371917 | 371916</t>
  </si>
  <si>
    <t>TAMPO MARMORE</t>
  </si>
  <si>
    <t>TAMPO MARMORE (F9025)</t>
  </si>
  <si>
    <t>SOFA ORSAGO (FL)</t>
  </si>
  <si>
    <t>361215 | 361214 | 361213</t>
  </si>
  <si>
    <t>CLAMI BANQUETA BAR</t>
  </si>
  <si>
    <t>BANQUETA BAR DOTY (FL)</t>
  </si>
  <si>
    <t>235153 | 235154</t>
  </si>
  <si>
    <t>SOFA CLEAN</t>
  </si>
  <si>
    <t>361743 | 361742</t>
  </si>
  <si>
    <t>SOFA DALOA</t>
  </si>
  <si>
    <t>327347 | 327346</t>
  </si>
  <si>
    <t>307904 | 302765</t>
  </si>
  <si>
    <t>334520 | 334519 | 334518</t>
  </si>
  <si>
    <t>SOFA HARRY (FL)</t>
  </si>
  <si>
    <t>223414 | 223413</t>
  </si>
  <si>
    <t>SOFA LUME (FL)</t>
  </si>
  <si>
    <t>277841 | 277838</t>
  </si>
  <si>
    <t>CLAMI MESA LATERAL</t>
  </si>
  <si>
    <t>MESA LATERAL FLY (FL)</t>
  </si>
  <si>
    <t>275791 | 275789 | 275790</t>
  </si>
  <si>
    <t>SOFA FLY (FL)</t>
  </si>
  <si>
    <t>270576 | 270499 | 270495</t>
  </si>
  <si>
    <t>MESA LATERAL PACO (FL)</t>
  </si>
  <si>
    <t>318595 | 318592 | 318591</t>
  </si>
  <si>
    <t>354548 | 336556</t>
  </si>
  <si>
    <t>CLAMI POLTRONA</t>
  </si>
  <si>
    <t>POLTRONA PACO (FL)</t>
  </si>
  <si>
    <t>SOFA AURORA</t>
  </si>
  <si>
    <t>335215 | 335214 | 335213</t>
  </si>
  <si>
    <t>354547 | 336696</t>
  </si>
  <si>
    <t>328727 | 328726 | 328725 | 328716</t>
  </si>
  <si>
    <t>SOFA ICARUS (FL)</t>
  </si>
  <si>
    <t>339718 | 339717</t>
  </si>
  <si>
    <t>302831 | 302830</t>
  </si>
  <si>
    <t>334172 | 334159</t>
  </si>
  <si>
    <t>TAMPO PREMIUM (F9025)</t>
  </si>
  <si>
    <t>334249 | 334248 | 334247</t>
  </si>
  <si>
    <t>334206 | 334205</t>
  </si>
  <si>
    <t>SOFA ATLAS (FL)</t>
  </si>
  <si>
    <t>334346 | 334345</t>
  </si>
  <si>
    <t>SOFA ARAGON</t>
  </si>
  <si>
    <t>334183 | 334182 | 334184</t>
  </si>
  <si>
    <t>270800 | 270794</t>
  </si>
  <si>
    <t>MESA JANTAR GRAZ (FL)</t>
  </si>
  <si>
    <t>322235 | 206601 | 206600 | 206602</t>
  </si>
  <si>
    <t>206603 | 273693 | 273692 | 273691</t>
  </si>
  <si>
    <t>APARADOR MAZAS (FL)</t>
  </si>
  <si>
    <t>78082 | 151718</t>
  </si>
  <si>
    <t>TAMPO CRISTAL</t>
  </si>
  <si>
    <t>TAMPO CRISTAL (15MM)</t>
  </si>
  <si>
    <t>274729 | 274727 | 274732</t>
  </si>
  <si>
    <t>SOFA LENCOIS MARANHENSES</t>
  </si>
  <si>
    <t>251464 | 251463 | 244137</t>
  </si>
  <si>
    <t>MESA JANTAR PREMIUM</t>
  </si>
  <si>
    <t>307837 | 307836</t>
  </si>
  <si>
    <t>402424 | 402423</t>
  </si>
  <si>
    <t>SOFA BELO HORIZONTE (FL)</t>
  </si>
  <si>
    <t>270720 | 270719 | 270718</t>
  </si>
  <si>
    <t>SOFA NEW PADOVA (FL)</t>
  </si>
  <si>
    <t>233163 | 233162</t>
  </si>
  <si>
    <t>SOFA CLICK (FL)</t>
  </si>
  <si>
    <t>178912 | 178910</t>
  </si>
  <si>
    <t>277833 | 277830</t>
  </si>
  <si>
    <t>381908 | 381907 | 381905</t>
  </si>
  <si>
    <t>CLAMI ACESSORIOS</t>
  </si>
  <si>
    <t>ALMOFADA DECORATIVA</t>
  </si>
  <si>
    <t>BANDEJA MONDRIAN (RBD)</t>
  </si>
  <si>
    <t>BANDEJA MATISSE (RBD)</t>
  </si>
  <si>
    <t>BANDEJA RITMO</t>
  </si>
  <si>
    <t>BANDEJA OCA</t>
  </si>
  <si>
    <t>ACESSORIO BANDEJA VYS</t>
  </si>
  <si>
    <t>ACESSORIO DECORATIVO</t>
  </si>
  <si>
    <t>REVISTEIRO TECA (FL)</t>
  </si>
  <si>
    <t>REVISTEIRO THORK (FL)</t>
  </si>
  <si>
    <t>BIOMBO ESPECIAL</t>
  </si>
  <si>
    <t>BANDEJA ALD (FL)</t>
  </si>
  <si>
    <t>PORTA LAPIS (FL)</t>
  </si>
  <si>
    <t>QUADRO DECORATIVO</t>
  </si>
  <si>
    <t>MANCEBO DIX (FL)</t>
  </si>
  <si>
    <t>CLAMI ALMOFADA DECORATIVA</t>
  </si>
  <si>
    <t>ALMOFADA DECORATIVA (F 670)</t>
  </si>
  <si>
    <t>ALMOFADA DECORATIVA (F 965)</t>
  </si>
  <si>
    <t>APARADOR REGIA</t>
  </si>
  <si>
    <t>APARADOR UNI</t>
  </si>
  <si>
    <t>APARADOR ZINA</t>
  </si>
  <si>
    <t>APARADOR MAR ADENTRO</t>
  </si>
  <si>
    <t>APARADOR PHOENIX</t>
  </si>
  <si>
    <t>APARADOR VELL</t>
  </si>
  <si>
    <t>APARADOR ELLE (FL)</t>
  </si>
  <si>
    <t>APARADOR BRISTOL (FL)</t>
  </si>
  <si>
    <t>APARADOR BALI (FL)</t>
  </si>
  <si>
    <t>APARADOR VILALBA (FL)</t>
  </si>
  <si>
    <t>APARADOR CARAJAS (FL)</t>
  </si>
  <si>
    <t>APARADOR NEST (FL)</t>
  </si>
  <si>
    <t>APARADOR RIOS (FL)</t>
  </si>
  <si>
    <t>APARADOR AMALFI (FL)</t>
  </si>
  <si>
    <t>APARADOR REDENTOR (FL)</t>
  </si>
  <si>
    <t>APARADOR BARCENA (FL)</t>
  </si>
  <si>
    <t>APARADOR LISA (FL)</t>
  </si>
  <si>
    <t>APARADOR DONNA (FL)</t>
  </si>
  <si>
    <t>APARADOR TRINTA (FL)</t>
  </si>
  <si>
    <t>APARADOR TAY (FL)</t>
  </si>
  <si>
    <t>APARADOR JOVE (FL)</t>
  </si>
  <si>
    <t>APARADOR COOLER (FL)</t>
  </si>
  <si>
    <t>APARADOR RENE (FL)</t>
  </si>
  <si>
    <t>APARADOR X (FL)</t>
  </si>
  <si>
    <t>CLAMI AREA EXTERNA</t>
  </si>
  <si>
    <t>POLTRONA BELLAGIO</t>
  </si>
  <si>
    <t>CHAISE BELLAGIO</t>
  </si>
  <si>
    <t>ALMOFADA BELLAGIO</t>
  </si>
  <si>
    <t>MESA CENTRO ANGRA (FL)</t>
  </si>
  <si>
    <t>BANCO CARTIER (FL)</t>
  </si>
  <si>
    <t>MESA CENTRO ALECRIM (FL)</t>
  </si>
  <si>
    <t>MESA CENTRO LUMINA (FL)</t>
  </si>
  <si>
    <t>BANCO STRONGER (FL)</t>
  </si>
  <si>
    <t>MESA CENTRO BERTALHA (FL)</t>
  </si>
  <si>
    <t>CLAMI BANCO</t>
  </si>
  <si>
    <t>BANCO DALI</t>
  </si>
  <si>
    <t>BANCO CROCCO (FL)</t>
  </si>
  <si>
    <t>BANCO PINO (FL)</t>
  </si>
  <si>
    <t>BANCO WOOD (FL)</t>
  </si>
  <si>
    <t>BANCO LILLY II (FL)</t>
  </si>
  <si>
    <t>BANCO PI (FL)</t>
  </si>
  <si>
    <t>BANCO JULIA (FL)</t>
  </si>
  <si>
    <t>BANCO KEI (FL)</t>
  </si>
  <si>
    <t>BANCO BETA (FL)</t>
  </si>
  <si>
    <t>BANCO BRASILIS (FL)</t>
  </si>
  <si>
    <t>BANCO GARDEN SEAT (FL)</t>
  </si>
  <si>
    <t>BANCO VITE (FL)</t>
  </si>
  <si>
    <t>BANCO CLARICE (FL)</t>
  </si>
  <si>
    <t>BANCO SALOMI (FL)</t>
  </si>
  <si>
    <t>BANCO CHINO (FL)</t>
  </si>
  <si>
    <t>BANCO UZI (FL)</t>
  </si>
  <si>
    <t>BANCO GAL (FL)</t>
  </si>
  <si>
    <t>BANCO PHILLIPS (FL)</t>
  </si>
  <si>
    <t>BANCO EVO (FL)</t>
  </si>
  <si>
    <t>BANCO EOS (FL)</t>
  </si>
  <si>
    <t>BANCO FLOR (FL)</t>
  </si>
  <si>
    <t>BANCO ROCCO (FL)</t>
  </si>
  <si>
    <t>CLAMI BANQUETA</t>
  </si>
  <si>
    <t>BANQUETA CACAU</t>
  </si>
  <si>
    <t>BANQUETA KAZZ</t>
  </si>
  <si>
    <t>BANQUETA PATER</t>
  </si>
  <si>
    <t>BANQUETA POMME</t>
  </si>
  <si>
    <t>BANQUETA YUMI</t>
  </si>
  <si>
    <t>BANQUETA SOFT</t>
  </si>
  <si>
    <t>BANQUETA JOB (FL)</t>
  </si>
  <si>
    <t>BANQUETA DORA (FL)</t>
  </si>
  <si>
    <t>BANQUETA 150 (FL)</t>
  </si>
  <si>
    <t>BANQUETA MARE (FL)</t>
  </si>
  <si>
    <t>BANQUETA MAKALU (FL)</t>
  </si>
  <si>
    <t>BANQUETA ONDAS (FL)</t>
  </si>
  <si>
    <t>BANQUETA BAR HIMALAYA (RBD)</t>
  </si>
  <si>
    <t>BANQUETA BAR MOI</t>
  </si>
  <si>
    <t>BANQUETA BAR FINA</t>
  </si>
  <si>
    <t>BANQUETA BAR QUERO QUERO</t>
  </si>
  <si>
    <t>BANQUETA BAR MEDALHINHA</t>
  </si>
  <si>
    <t>BANQUETA BAR MELIZA</t>
  </si>
  <si>
    <t>BANQUETA BAR APOLLO</t>
  </si>
  <si>
    <t>BANQUETA BAR CILINDRO</t>
  </si>
  <si>
    <t>BANQUETA BAR BOSSA (FL)</t>
  </si>
  <si>
    <t>BANQUETA BAR GIU (FL)</t>
  </si>
  <si>
    <t>BANQUETA BAR FINN (FL)</t>
  </si>
  <si>
    <t>BANQUETA BAR PHILLIPS (FL)</t>
  </si>
  <si>
    <t>BANQUETA BAR CHICAGO (FL)</t>
  </si>
  <si>
    <t>BANQUETA BAR ELDORADO (FL)</t>
  </si>
  <si>
    <t>BANQUETA BAR (FL)</t>
  </si>
  <si>
    <t>BANQUETA BAR MASS (FL)</t>
  </si>
  <si>
    <t>BANQUETA BAR 102 (FL)</t>
  </si>
  <si>
    <t>BANQUETA BAR BOSSA PALHA (FL)</t>
  </si>
  <si>
    <t>BANQUETA BAR PAULISTA (FL)</t>
  </si>
  <si>
    <t>BANQUETA BAR AYLA (FL)</t>
  </si>
  <si>
    <t>BANQUETA BAR ZIG (FL)</t>
  </si>
  <si>
    <t>BANQUETA BAR EASY (FL)</t>
  </si>
  <si>
    <t>BANQUETA BAR EVO (FL)</t>
  </si>
  <si>
    <t>BANQUETA BAR ANNA (FL)</t>
  </si>
  <si>
    <t>BANQUETA BAR LISBOA (FL)</t>
  </si>
  <si>
    <t>BUFFET CROCCO (FL)</t>
  </si>
  <si>
    <t>BUFFET THETYS (FL)</t>
  </si>
  <si>
    <t>BUFFET COPA (FL)</t>
  </si>
  <si>
    <t>BUFFET CURVO (FL)</t>
  </si>
  <si>
    <t>BUFFET TOKYO (FL)</t>
  </si>
  <si>
    <t>BUFFET AD (FL)</t>
  </si>
  <si>
    <t>BUFFET MICHELLE II (FL)</t>
  </si>
  <si>
    <t>BUFFET CHAN (FL)</t>
  </si>
  <si>
    <t>BUFFET DIXIE (FL)</t>
  </si>
  <si>
    <t>BUFFET BRELL (FL)</t>
  </si>
  <si>
    <t>CLAMI CADEIRA</t>
  </si>
  <si>
    <t>CADEIRA KEEF</t>
  </si>
  <si>
    <t>CADEIRA RENDEIRA</t>
  </si>
  <si>
    <t>CADEIRA 60</t>
  </si>
  <si>
    <t>CADEIRA FINA</t>
  </si>
  <si>
    <t>CADEIRA RAMONA</t>
  </si>
  <si>
    <t>CADEIRA MEDALHINHA</t>
  </si>
  <si>
    <t>CADEIRA DESIREE</t>
  </si>
  <si>
    <t>CADEIRA YASMIM</t>
  </si>
  <si>
    <t>CADEIRA ERICA</t>
  </si>
  <si>
    <t>CADEIRA JULIETA</t>
  </si>
  <si>
    <t>CADEIRA PI</t>
  </si>
  <si>
    <t>CADEIRA WOODY</t>
  </si>
  <si>
    <t>CADEIRA QUERO QUERO</t>
  </si>
  <si>
    <t>CADEIRA LUIZA</t>
  </si>
  <si>
    <t>CADEIRA CACAU</t>
  </si>
  <si>
    <t>CADEIRA CLARA</t>
  </si>
  <si>
    <t>CADEIRA MELIZA</t>
  </si>
  <si>
    <t>CADEIRA ALE</t>
  </si>
  <si>
    <t>CADEIRA MOI</t>
  </si>
  <si>
    <t>CADEIRA JULIA</t>
  </si>
  <si>
    <t>CADEIRA DYLAN</t>
  </si>
  <si>
    <t>CADEIRA MEG</t>
  </si>
  <si>
    <t>CADEIRA LOGAN</t>
  </si>
  <si>
    <t>CADEIRA JUSSARA</t>
  </si>
  <si>
    <t>CADEIRA BOSSA (FL)</t>
  </si>
  <si>
    <t>CADEIRA TEKA (FL)</t>
  </si>
  <si>
    <t>CADEIRA JOSEPHINA</t>
  </si>
  <si>
    <t>CADEIRA JET (FL)</t>
  </si>
  <si>
    <t>CADEIRA MIRA (FL)</t>
  </si>
  <si>
    <t>CADEIRA MARTA (FL)</t>
  </si>
  <si>
    <t>CADEIRA MILLA (FL)</t>
  </si>
  <si>
    <t>CADEIRA MR2 (FL)</t>
  </si>
  <si>
    <t>CADEIRA LUIZA (FL)</t>
  </si>
  <si>
    <t>CADEIRA JULIANA (FL)</t>
  </si>
  <si>
    <t>CADEIRA 5124 (FL)</t>
  </si>
  <si>
    <t>CADEIRA SARDEGNA (FL)</t>
  </si>
  <si>
    <t>CADEIRA CHICAGO (FL)</t>
  </si>
  <si>
    <t>CADEIRA DIX (FL)</t>
  </si>
  <si>
    <t>CADEIRA PLIS (FL)</t>
  </si>
  <si>
    <t>CADEIRA GIU (FL)</t>
  </si>
  <si>
    <t>CADEIRA BASEL (FL)</t>
  </si>
  <si>
    <t>CADEIRA PRIMA (FL)</t>
  </si>
  <si>
    <t>CADEIRA VANITY (FL)</t>
  </si>
  <si>
    <t>CADEIRA FEMME (FL)</t>
  </si>
  <si>
    <t>CADEIRA HELVETICA (FL)</t>
  </si>
  <si>
    <t>BANCO NINA (FL)</t>
  </si>
  <si>
    <t>CADEIRA NICK (FL)</t>
  </si>
  <si>
    <t>CADEIRA BALI (FL)</t>
  </si>
  <si>
    <t>CADEIRA MEL (FL)</t>
  </si>
  <si>
    <t>CADEIRA ZAZ (FL)</t>
  </si>
  <si>
    <t>CADEIRA 213 (FL)</t>
  </si>
  <si>
    <t>CADEIRA SMALL (FL)</t>
  </si>
  <si>
    <t>CADEIRA CRIS (FL)</t>
  </si>
  <si>
    <t>CADEIRA TEREZA (FL)</t>
  </si>
  <si>
    <t>CADEIRA MEDALHAO (FL)</t>
  </si>
  <si>
    <t>CADEIRA BASICA (FL)</t>
  </si>
  <si>
    <t>CADEIRA JOY (FL)</t>
  </si>
  <si>
    <t>CADEIRA GIO (FL)</t>
  </si>
  <si>
    <t>CADEIRA PADAUNG (FL)</t>
  </si>
  <si>
    <t>CADEIRA MAIA (FL)</t>
  </si>
  <si>
    <t>CADEIRA WILL (FL)</t>
  </si>
  <si>
    <t>CADEIRA MIA (FL)</t>
  </si>
  <si>
    <t>CADEIRA ZARA (FL)</t>
  </si>
  <si>
    <t>CADEIRA PRADA (FL)</t>
  </si>
  <si>
    <t>CADEIRA 128 (FL)</t>
  </si>
  <si>
    <t>CADEIRA FILO (FL)</t>
  </si>
  <si>
    <t>CADEIRA DONNA (FL)</t>
  </si>
  <si>
    <t>CADEIRA MADDA (FL)</t>
  </si>
  <si>
    <t>CADEIRA GAVEA (FL)</t>
  </si>
  <si>
    <t>CADEIRA FLORA (FL)</t>
  </si>
  <si>
    <t>CADEIRA DORA (FL)</t>
  </si>
  <si>
    <t>CADEIRA EVO (FL)</t>
  </si>
  <si>
    <t>CADEIRA DIOR (FL)</t>
  </si>
  <si>
    <t>CADEIRA WING (FL)</t>
  </si>
  <si>
    <t>CADEIRA ANNA (FL)</t>
  </si>
  <si>
    <t>CADEIRA ELLA (FL)</t>
  </si>
  <si>
    <t>CADEIRA CLAD (FL)</t>
  </si>
  <si>
    <t>CADEIRA LIA (FL)</t>
  </si>
  <si>
    <t>CADEIRA MADRE (FL)</t>
  </si>
  <si>
    <t>CADEIRA COLLANA (FL)</t>
  </si>
  <si>
    <t>CADEIRA GOLF (FL)</t>
  </si>
  <si>
    <t>CADEIRA SINUET (FL)</t>
  </si>
  <si>
    <t>CADEIRA DALLAS (FL)</t>
  </si>
  <si>
    <t>CADEIRA MUNICK (FL)</t>
  </si>
  <si>
    <t>CADEIRA TWIN (FL)</t>
  </si>
  <si>
    <t>CADEIRA VIA (FL)</t>
  </si>
  <si>
    <t>CADEIRA NINA (FL)</t>
  </si>
  <si>
    <t>CADEIRA PLIE (FL)</t>
  </si>
  <si>
    <t>CLAMI CARRINHO BAR</t>
  </si>
  <si>
    <t>CARRINHO BAR CARRELLO (FL)</t>
  </si>
  <si>
    <t>CARRINHO BAR MIMO (FL)</t>
  </si>
  <si>
    <t>CARRINHO BAR SAVASSI (FL)</t>
  </si>
  <si>
    <t>CHAISE REGIA</t>
  </si>
  <si>
    <t>CHAISE NIGHT</t>
  </si>
  <si>
    <t>CHAISE MARAIS (FL)</t>
  </si>
  <si>
    <t>CHAISE ALF (FL)</t>
  </si>
  <si>
    <t>CHAISE SAN ANDRES (FL)</t>
  </si>
  <si>
    <t>TAPETE DECORATIVO</t>
  </si>
  <si>
    <t>CLAMI COMODA</t>
  </si>
  <si>
    <t>COMODA MIXED (FL)</t>
  </si>
  <si>
    <t>ALMOFADA HIMALAYA (RBD)</t>
  </si>
  <si>
    <t>COMPONENTE FUTON BANCO CLARICE (FL)</t>
  </si>
  <si>
    <t>CLAMI ESPELHO</t>
  </si>
  <si>
    <t>ESPELHO DESLIZE</t>
  </si>
  <si>
    <t>ESTANTE VENEZIA (FL)</t>
  </si>
  <si>
    <t>ESTANTE BASIC (FL)</t>
  </si>
  <si>
    <t>PRATELEIRA CODE (FL)</t>
  </si>
  <si>
    <t>ESTANTE CODE (FL)</t>
  </si>
  <si>
    <t>CRISTALEIRA TIME (FL)</t>
  </si>
  <si>
    <t>HASTE ESTANTE ICON (FL)</t>
  </si>
  <si>
    <t>PRATELEIRA ESTANTE ICON (FL)</t>
  </si>
  <si>
    <t>ESTANTE MORE (FL)</t>
  </si>
  <si>
    <t>ESTANTE EIXO (FL)</t>
  </si>
  <si>
    <t>CLAMI HOME</t>
  </si>
  <si>
    <t>HOME CHAN (FL)</t>
  </si>
  <si>
    <t>HOME CODE (FL)</t>
  </si>
  <si>
    <t>HOME ELLE (FL)</t>
  </si>
  <si>
    <t>HOME CINE (FL)</t>
  </si>
  <si>
    <t>CLAMI LUMINARIA</t>
  </si>
  <si>
    <t>LUMINARIA MATISSE (FL)</t>
  </si>
  <si>
    <t>LUMINARIA TOTO (FL)</t>
  </si>
  <si>
    <t>LUMINARIA LUMIER (FL)</t>
  </si>
  <si>
    <t>LUMINARIA PINN (FL)</t>
  </si>
  <si>
    <t>LUMINARIA STRECH</t>
  </si>
  <si>
    <t>LUMINARIA TROY</t>
  </si>
  <si>
    <t>MESA CENTRO PISAC</t>
  </si>
  <si>
    <t>MESA CENTRO CRUX</t>
  </si>
  <si>
    <t>MESA CENTRO ARAL</t>
  </si>
  <si>
    <t>MESA CENTRO ESSENCE</t>
  </si>
  <si>
    <t>MESA CENTRO HIMALAYA (F11395)</t>
  </si>
  <si>
    <t>MESA CENTRO ECLIPSE</t>
  </si>
  <si>
    <t>MESA CENTRO PLANALTO</t>
  </si>
  <si>
    <t>MESA CENTRO CACAU</t>
  </si>
  <si>
    <t>MESA CENTRO MATISSE (RBD)</t>
  </si>
  <si>
    <t>MESA CENTRO MATISSE ORGANICA (RBD)</t>
  </si>
  <si>
    <t>MESA CENTRO BALLET II</t>
  </si>
  <si>
    <t>MESA CENTRO CANCUN</t>
  </si>
  <si>
    <t>MESA CENTRO ARGOLA</t>
  </si>
  <si>
    <t>MESA CENTRO SANTIAGO</t>
  </si>
  <si>
    <t>MESA CENTRO MATIZ</t>
  </si>
  <si>
    <t>MESA CENTRO IPANEMA</t>
  </si>
  <si>
    <t>MESA CENTRO ESPECIAL</t>
  </si>
  <si>
    <t>GAVETEIRO ESPECIAL</t>
  </si>
  <si>
    <t>MOVEL AUXILIAR ESPECIAL</t>
  </si>
  <si>
    <t>MESA CENTRO LEE (FL)</t>
  </si>
  <si>
    <t>MESA CENTRO (FL)</t>
  </si>
  <si>
    <t>MESA CENTRO VIENA (FL)</t>
  </si>
  <si>
    <t>MESA CENTRO PD 27 (FL)</t>
  </si>
  <si>
    <t>MESA CENTRO PD27 (FL)</t>
  </si>
  <si>
    <t>MESA CENTRO PASSAREDO (FL)</t>
  </si>
  <si>
    <t>MESA CENTRO CASULO (FL)</t>
  </si>
  <si>
    <t>MESA CENTRO MOENA (FL)</t>
  </si>
  <si>
    <t>MESA CENTRO MOSS (FL)</t>
  </si>
  <si>
    <t>MESA CENTRO ODESSA (FL)</t>
  </si>
  <si>
    <t>MESA CENTRO GALDI (FL)</t>
  </si>
  <si>
    <t>MESA CENTRO CATARINA (FL)</t>
  </si>
  <si>
    <t>MESA CENTRO NEST (FL)</t>
  </si>
  <si>
    <t>MESA CENTRO LODD (FL)</t>
  </si>
  <si>
    <t>MESA CENTRO CHINO (FL)</t>
  </si>
  <si>
    <t>MESA CENTRO TOM (FL)</t>
  </si>
  <si>
    <t>MESA CENTRO TRAVES (FL)</t>
  </si>
  <si>
    <t>MESA CENTRO MOOVE (FL)</t>
  </si>
  <si>
    <t>MESA CENTRO CLOS (FL)</t>
  </si>
  <si>
    <t>MESA CENTRO KOBO (FL)</t>
  </si>
  <si>
    <t>MESA CENTRO PEAO (FL)</t>
  </si>
  <si>
    <t>MESA CENTRO TUNIS (FL)</t>
  </si>
  <si>
    <t>MESA CENTRO MATRIZ (FL)</t>
  </si>
  <si>
    <t>MESA CENTRO NOMAN (FL)</t>
  </si>
  <si>
    <t>MESA CENTRO VERSO (FL)</t>
  </si>
  <si>
    <t>MESA CENTRO SMITH (FL)</t>
  </si>
  <si>
    <t>MESA CENTRO POSH (FL)</t>
  </si>
  <si>
    <t>MESA CENTRO AYLA (FL)</t>
  </si>
  <si>
    <t>MESA CENTRO WHITE (FL)</t>
  </si>
  <si>
    <t>MESA CENTRO ORGAN (FL)</t>
  </si>
  <si>
    <t>MESA CENTRO JABUTI (FL)</t>
  </si>
  <si>
    <t>MESA CENTRO RUSTICA (FL)</t>
  </si>
  <si>
    <t>MESA JANTAR ABACATE</t>
  </si>
  <si>
    <t>MESA JANTAR ORIENTE</t>
  </si>
  <si>
    <t>MESA JANTAR MONIZ</t>
  </si>
  <si>
    <t>MESA JANTAR TWINS</t>
  </si>
  <si>
    <t>MESA JANTAR HIMALAYA (F11395)</t>
  </si>
  <si>
    <t>MESA JANTAR BELIZE</t>
  </si>
  <si>
    <t>MESA JANTAR PETRA</t>
  </si>
  <si>
    <t>MESA JANTAR MATISSE (RBD)</t>
  </si>
  <si>
    <t>MESA JANTAR MAR ADENTRO</t>
  </si>
  <si>
    <t>MESA JANTAR VELL</t>
  </si>
  <si>
    <t>MESA JANTAR ELISE</t>
  </si>
  <si>
    <t>MESA JANTAR SAARINEN</t>
  </si>
  <si>
    <t>MESA JANTAR LEQUE (FL)</t>
  </si>
  <si>
    <t>MESA JANTAR EIFFEL (FL)</t>
  </si>
  <si>
    <t>TAMPO SAARINEN (FL)</t>
  </si>
  <si>
    <t>MESA JANTAR MULTILAMINADA (FL)</t>
  </si>
  <si>
    <t>MESA JANTAR ALTAMIRA (FL)</t>
  </si>
  <si>
    <t>MESA JANTAR (FL)</t>
  </si>
  <si>
    <t>MESA JANTAR RAIZES</t>
  </si>
  <si>
    <t>MESA JANTAR VERMONT</t>
  </si>
  <si>
    <t>MESA JANTAR REDE</t>
  </si>
  <si>
    <t>MESA JANTAR COPACABANA (FL)</t>
  </si>
  <si>
    <t>MESA JANTAR ESPLANADA (FL)</t>
  </si>
  <si>
    <t>MESA JANTAR MANZANA (FL)</t>
  </si>
  <si>
    <t>MESA JANTAR ARIS (FL)</t>
  </si>
  <si>
    <t>MESA JANTAR BANK (FL)</t>
  </si>
  <si>
    <t>MESA JANTAR TRIBECA (FL)</t>
  </si>
  <si>
    <t>MESA JANTAR BARCELONA (FL)</t>
  </si>
  <si>
    <t>MESA JANTAR COOLER (FL)</t>
  </si>
  <si>
    <t>MESA JANTAR AYLA (FL)</t>
  </si>
  <si>
    <t>MESA JANTAR QUADRATTA (FL)</t>
  </si>
  <si>
    <t>MESA JANTAR LISBOA (FL)</t>
  </si>
  <si>
    <t>MESA LATERAL PIN</t>
  </si>
  <si>
    <t>MESA LATERAL IPANEMA</t>
  </si>
  <si>
    <t>MESA LATERAL LUSA</t>
  </si>
  <si>
    <t>MESA LATERAL LEED</t>
  </si>
  <si>
    <t>MESA LATERAL MARINA</t>
  </si>
  <si>
    <t>MESA LATERAL DUOMO (FL)</t>
  </si>
  <si>
    <t>MESA LATERAL FIX (FL)</t>
  </si>
  <si>
    <t>MESA LATERAL ONDA (FL)</t>
  </si>
  <si>
    <t>MESA LATERAL EROS (FL)</t>
  </si>
  <si>
    <t>MESA APOIO TULIPA (FL)</t>
  </si>
  <si>
    <t>MESA LATERAL LOLA</t>
  </si>
  <si>
    <t>MESA LATERAL ZARA (FL)</t>
  </si>
  <si>
    <t>MESA LATERAL BUNI (FL)</t>
  </si>
  <si>
    <t>MESA LATERAL JOAQUINA (FL)</t>
  </si>
  <si>
    <t>MESA LATERAL MUD (FL)</t>
  </si>
  <si>
    <t>MESA LATERAL MARI (FL)</t>
  </si>
  <si>
    <t>MESA LATERAL CILLI (FL)</t>
  </si>
  <si>
    <t>MESA LATERAL DOTY BISTRO MOD 1 (FL)</t>
  </si>
  <si>
    <t>MESA LATERAL IPANEMA (FL)</t>
  </si>
  <si>
    <t>MESA LATERAL WINNIE (FL)</t>
  </si>
  <si>
    <t>MESA LATERAL PALITO (FL)</t>
  </si>
  <si>
    <t>MESA LAETRAL TRIBO</t>
  </si>
  <si>
    <t>MESA LATERAL ARBOL (FL)</t>
  </si>
  <si>
    <t>CLAMI MOVEL BAR</t>
  </si>
  <si>
    <t>MOVEL BAR FORZATTO (FL)</t>
  </si>
  <si>
    <t>MOVEL BAR BARTHO (FL)</t>
  </si>
  <si>
    <t>POLTRONA SALVADOR</t>
  </si>
  <si>
    <t>POLTRONA ETTRO</t>
  </si>
  <si>
    <t>POLTRONA CACAU</t>
  </si>
  <si>
    <t>POLTRONA SOFT</t>
  </si>
  <si>
    <t>POLTRONA RAMONA</t>
  </si>
  <si>
    <t>POLTRONA HARRY</t>
  </si>
  <si>
    <t>POLTRONA BARISTA</t>
  </si>
  <si>
    <t>POLTRONA MONDRIAN (RBD)</t>
  </si>
  <si>
    <t>POLTRONA PATER</t>
  </si>
  <si>
    <t>POLTRONA MUXA</t>
  </si>
  <si>
    <t>POLTRONA GALAPAGOS</t>
  </si>
  <si>
    <t>POLTRONA AGHATA PLUS</t>
  </si>
  <si>
    <t>POLTRONA BUBA</t>
  </si>
  <si>
    <t>POLTRONA ALE</t>
  </si>
  <si>
    <t>POLTRONA MOI</t>
  </si>
  <si>
    <t>POLTRONA PIAF (FL)</t>
  </si>
  <si>
    <t>POLTRONA KAZZ</t>
  </si>
  <si>
    <t>POLTRONA LILAH (FL)</t>
  </si>
  <si>
    <t>POLTRONA SU (FL)</t>
  </si>
  <si>
    <t>POLTRONA CROCCO (FL)</t>
  </si>
  <si>
    <t>POLTRONA TOLEDO (FL)</t>
  </si>
  <si>
    <t>POLTRONA ITA (FL)</t>
  </si>
  <si>
    <t>POLTRONA 5003 (FL)</t>
  </si>
  <si>
    <t>POLTRONA POLTRONETE (FL)</t>
  </si>
  <si>
    <t>POLTRONA BEATRIZ (FL)</t>
  </si>
  <si>
    <t>POLTRONA JOB (FL)</t>
  </si>
  <si>
    <t>POLTRONA BEBELA (FL)</t>
  </si>
  <si>
    <t>POLTRONA CANADA (FL)</t>
  </si>
  <si>
    <t>POLTRONA MILAO (FL)</t>
  </si>
  <si>
    <t>POLTRONA MARIA (FL)</t>
  </si>
  <si>
    <t>POLTRONA MOON (FL)</t>
  </si>
  <si>
    <t>POLTRONA MIRAH (FL)</t>
  </si>
  <si>
    <t>POLTRONA CUSCO (FL)</t>
  </si>
  <si>
    <t>POLTRONA DORA (FL)</t>
  </si>
  <si>
    <t>POLTRONA STUART (FL)</t>
  </si>
  <si>
    <t>POLTRONA VEGA (FL)</t>
  </si>
  <si>
    <t>POLTRONA SOLAR (FL)</t>
  </si>
  <si>
    <t>POLTRONA JULIA (FL)</t>
  </si>
  <si>
    <t>POLTRONA REVERE (FL)</t>
  </si>
  <si>
    <t>POLTRONA GAVEA (FL)</t>
  </si>
  <si>
    <t>POLTRONA ARENA (FL)</t>
  </si>
  <si>
    <t>PRONTRONA FIRENZE (FL)</t>
  </si>
  <si>
    <t>POLTRONA FIBRA FL)</t>
  </si>
  <si>
    <t>POLTRONA HAPI (FL)</t>
  </si>
  <si>
    <t>POLTRONA KORINA (FL)</t>
  </si>
  <si>
    <t>POLTRONA CENA (FL)</t>
  </si>
  <si>
    <t>POLTRONA NADI (FL)</t>
  </si>
  <si>
    <t>POLTRONA PAINEIRAS (FL)</t>
  </si>
  <si>
    <t>POLTRONA NANA (FL)</t>
  </si>
  <si>
    <t>POLTRONA FLEX (FL)</t>
  </si>
  <si>
    <t>POLTRONA CUBO (FL)</t>
  </si>
  <si>
    <t>POLTROMA COOL (FL)</t>
  </si>
  <si>
    <t>POLTRONA ACCOR (FL)</t>
  </si>
  <si>
    <t>POLTRONA PAETE (FL)</t>
  </si>
  <si>
    <t>POLTRONA VOGUE (FL)</t>
  </si>
  <si>
    <t>POLTRONA DONNA (FL)</t>
  </si>
  <si>
    <t>POLTRONA EIXO (FL)</t>
  </si>
  <si>
    <t>POLTRONA FLY (CAPUCCINO) (FL)</t>
  </si>
  <si>
    <t>POLTRONA LIVEA (FL)</t>
  </si>
  <si>
    <t>POLTRONA CAPITU (FL)</t>
  </si>
  <si>
    <t>POLTRONA DIONE (FL)</t>
  </si>
  <si>
    <t>POLTRONA IRIS (FL)</t>
  </si>
  <si>
    <t>POLTRONA DIX (FL)</t>
  </si>
  <si>
    <t>POLTRONA 150 (ESTRUTURA (FL)</t>
  </si>
  <si>
    <t>POLTRONA EOS (FL)</t>
  </si>
  <si>
    <t>POLTRONA LUNA (FL)</t>
  </si>
  <si>
    <t>POLTRONA COLLANA (FL)</t>
  </si>
  <si>
    <t>POLTRONA MENTARI (FL)</t>
  </si>
  <si>
    <t>POLTRONA ABAS (FL)</t>
  </si>
  <si>
    <t>POLTRONA SOHO (FL)</t>
  </si>
  <si>
    <t>POLTRONA LEYVA (FL)</t>
  </si>
  <si>
    <t>POLTRONA APOLLO (FL)</t>
  </si>
  <si>
    <t>POLTRONA AMBURANA (FL)</t>
  </si>
  <si>
    <t>POLTRONA MARTHA (FL)</t>
  </si>
  <si>
    <t>POLTRONA MARE (FL)</t>
  </si>
  <si>
    <t>POLTRONA CAIOBA (FL)</t>
  </si>
  <si>
    <t>POLTRONA ALBA (FL)</t>
  </si>
  <si>
    <t>POLTRONA ORION (FL)</t>
  </si>
  <si>
    <t>POLTRONA ONDAS (FL)</t>
  </si>
  <si>
    <t>POLTRONA 164 (FL)</t>
  </si>
  <si>
    <t>PUFF HIMALAYA (RBD)</t>
  </si>
  <si>
    <t>PUFF OLY</t>
  </si>
  <si>
    <t>PUFF ALCALA</t>
  </si>
  <si>
    <t>PUFF MONDRIAN (RBD)</t>
  </si>
  <si>
    <t>SOFA POMME</t>
  </si>
  <si>
    <t>PUFF SOHO</t>
  </si>
  <si>
    <t>PUFF ELLUS</t>
  </si>
  <si>
    <t>PUFF TOPOGRAFIA (FL)</t>
  </si>
  <si>
    <t>PUFF SEIXOS (FL)</t>
  </si>
  <si>
    <t>PUFF BRISTOL (FL)</t>
  </si>
  <si>
    <t>PUFF RAVENNA (FL)</t>
  </si>
  <si>
    <t>PUFF CLOUD (FL)</t>
  </si>
  <si>
    <t>PUFF THOR (FL)</t>
  </si>
  <si>
    <t>PUFF CHEIG (FL)</t>
  </si>
  <si>
    <t>PUFF 150 (TAUARI (FL)</t>
  </si>
  <si>
    <t>PUFF FREMONT (FL)</t>
  </si>
  <si>
    <t>PUFF ZEN (FL)</t>
  </si>
  <si>
    <t>PUFF DINN (FL)</t>
  </si>
  <si>
    <t>PUFF REED (FL)</t>
  </si>
  <si>
    <t>PUFF MAFALDA (FL)</t>
  </si>
  <si>
    <t>MODULO PUFF AUSTIN (FL)</t>
  </si>
  <si>
    <t>PUFF UFO (FL)</t>
  </si>
  <si>
    <t>PUFF BABI (FL)</t>
  </si>
  <si>
    <t>SOFA IZADORA</t>
  </si>
  <si>
    <t>SOFA ANDROS</t>
  </si>
  <si>
    <t>SOFA DOMO</t>
  </si>
  <si>
    <t>SOFA LENCOIS MARANHENSES OUTDOOR</t>
  </si>
  <si>
    <t>SOFA OCA</t>
  </si>
  <si>
    <t>COMPONENTE CAPA LENCOIS M</t>
  </si>
  <si>
    <t>SOFA CHATEAU (FL)</t>
  </si>
  <si>
    <t>SOFA ILHA BELA (FL)</t>
  </si>
  <si>
    <t>SOFA LINA (FL)</t>
  </si>
  <si>
    <t>SOFA CLOUD (FL)</t>
  </si>
  <si>
    <t>SOFA GENEVA (FL)</t>
  </si>
  <si>
    <t>SOFA BRISTOL (FL)</t>
  </si>
  <si>
    <t>SOFA REVERE (FL)</t>
  </si>
  <si>
    <t>SOFA ARMANI CODE (FL)</t>
  </si>
  <si>
    <t>SOFA ZEUS (FL)</t>
  </si>
  <si>
    <t>SOFA AFTONE (FL)</t>
  </si>
  <si>
    <t>SOFA CLASS (FL)</t>
  </si>
  <si>
    <t>CLAMI SOFA TABLE</t>
  </si>
  <si>
    <t>SOFA TABLE POSITANO (FL)</t>
  </si>
  <si>
    <t>SOFA TABLE COOLER (FL)</t>
  </si>
  <si>
    <t>CLAMI TAPETE</t>
  </si>
  <si>
    <t>TAPETE TROPICAL</t>
  </si>
  <si>
    <t>TAPETE (F 504)</t>
  </si>
  <si>
    <t>TAPETE AREIA</t>
  </si>
  <si>
    <t>TAMPO CRISTAL (12MM)</t>
  </si>
  <si>
    <t>TAMPO CRISTAL (10MM)</t>
  </si>
  <si>
    <t>TAMPO CRISTAL (06MM)</t>
  </si>
  <si>
    <t>TAMPO MARMORE (FL)</t>
  </si>
  <si>
    <t>CODIGO DO PRODUTO</t>
  </si>
  <si>
    <t>ESTOQUE DISPONIVEL</t>
  </si>
  <si>
    <t>-</t>
  </si>
  <si>
    <t>DESCRIÇÃO DO PRODUTO</t>
  </si>
  <si>
    <t>COMPRIMENTO</t>
  </si>
  <si>
    <t>LARGURA</t>
  </si>
  <si>
    <t>ALTURA</t>
  </si>
  <si>
    <t>DIAMETRO</t>
  </si>
  <si>
    <t>LINK_IMAGEM</t>
  </si>
  <si>
    <t>P:\PROJETO\STATIC\IMAGENS\SOFA SONETO_379922_379923.jpg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</si>
</sst>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/>
    <xf numFmtId="10" fontId="0" fillId="2" borderId="0" xfId="2" applyNumberFormat="1" applyFont="1" applyFill="1"/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 applyAlignment="1">
      <alignment horizontal="center"/>
    </xf>
    <xf numFmtId="164" fontId="0" fillId="3" borderId="0" xfId="1" applyFont="1" applyFill="1"/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left"/>
    </xf>
  </cellXfs>
  <cellStyles count="3">
    <cellStyle name="Moeda" xfId="1" builtinId="4"/>
    <cellStyle name="Normal" xfId="0" builtinId="0"/>
    <cellStyle name="Porcentagem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18144</xdr:colOff>
      <xdr:row>0</xdr:row>
      <xdr:rowOff>45357</xdr:rowOff>
    </xdr:from>
    <xdr:ext cx="814349" cy="502223"/>
    <xdr:pic>
      <xdr:nvPicPr>
        <xdr:cNvPr id="2" name="Imagem 1">
          <a:extLst>
            <a:ext uri="{FF2B5EF4-FFF2-40B4-BE49-F238E27FC236}">
              <a16:creationId xmlns:a16="http://schemas.microsoft.com/office/drawing/2014/main" id="{380F9537-872D-4BA4-AC85-4C2FCEF7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44" y="45357"/>
          <a:ext cx="814349" cy="50222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_MARK%20UP_PRAZOS/CLAMI%20ETIQUETAS%203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ETIQUETAS"/>
      <sheetName val="PRONTA ENTREGA CLAMI 2"/>
      <sheetName val="PRONTA ENTREGA TOTAL"/>
      <sheetName val="Planilha2"/>
      <sheetName val="LINKS"/>
      <sheetName val="PRONTA ENTREGA DPOT"/>
      <sheetName val="IMPRESSÃO GRANDE"/>
      <sheetName val="ETIQUETA TECIDO"/>
      <sheetName val="IMPRESSÃO DPOT"/>
      <sheetName val="ESTOQUE"/>
      <sheetName val="SISTEMA TOTAL"/>
      <sheetName val="IMPRESSÃO PEQ"/>
    </sheetNames>
    <sheetDataSet>
      <sheetData sheetId="0">
        <row r="1">
          <cell r="C1"/>
          <cell r="D1"/>
          <cell r="R1"/>
          <cell r="S1"/>
        </row>
        <row r="2">
          <cell r="C2"/>
          <cell r="D2"/>
          <cell r="P2" t="str">
            <v>DECOR SALE</v>
          </cell>
          <cell r="R2"/>
          <cell r="S2"/>
          <cell r="AA2" t="str">
            <v>CT</v>
          </cell>
        </row>
        <row r="3">
          <cell r="C3"/>
          <cell r="D3"/>
          <cell r="R3"/>
          <cell r="S3"/>
          <cell r="AA3" t="str">
            <v>DB</v>
          </cell>
        </row>
        <row r="4">
          <cell r="C4"/>
          <cell r="D4"/>
          <cell r="R4"/>
          <cell r="S4"/>
        </row>
        <row r="5">
          <cell r="C5"/>
          <cell r="D5"/>
          <cell r="R5"/>
          <cell r="S5"/>
        </row>
        <row r="6">
          <cell r="C6"/>
          <cell r="D6"/>
          <cell r="E6"/>
          <cell r="F6"/>
          <cell r="H6"/>
          <cell r="O6">
            <v>1</v>
          </cell>
          <cell r="P6">
            <v>2</v>
          </cell>
          <cell r="Q6">
            <v>3</v>
          </cell>
          <cell r="R6">
            <v>4</v>
          </cell>
          <cell r="S6">
            <v>5</v>
          </cell>
          <cell r="T6">
            <v>6</v>
          </cell>
          <cell r="U6">
            <v>7</v>
          </cell>
          <cell r="V6">
            <v>8</v>
          </cell>
          <cell r="W6">
            <v>9</v>
          </cell>
          <cell r="X6">
            <v>10</v>
          </cell>
          <cell r="Y6">
            <v>11</v>
          </cell>
          <cell r="Z6">
            <v>12</v>
          </cell>
          <cell r="AA6">
            <v>13</v>
          </cell>
          <cell r="AB6">
            <v>14</v>
          </cell>
        </row>
        <row r="7">
          <cell r="C7" t="str">
            <v>TEO</v>
          </cell>
          <cell r="D7" t="str">
            <v>LC</v>
          </cell>
          <cell r="E7" t="str">
            <v>DD</v>
          </cell>
          <cell r="F7" t="str">
            <v>GB</v>
          </cell>
          <cell r="H7">
            <v>8000</v>
          </cell>
          <cell r="O7" t="str">
            <v>COMP OC</v>
          </cell>
          <cell r="R7"/>
          <cell r="S7"/>
          <cell r="Y7">
            <v>44788</v>
          </cell>
        </row>
        <row r="8">
          <cell r="C8">
            <v>2</v>
          </cell>
          <cell r="D8">
            <v>3</v>
          </cell>
          <cell r="E8">
            <v>4</v>
          </cell>
          <cell r="F8">
            <v>5</v>
          </cell>
          <cell r="H8">
            <v>7</v>
          </cell>
          <cell r="O8">
            <v>14</v>
          </cell>
          <cell r="P8">
            <v>15</v>
          </cell>
          <cell r="Q8">
            <v>16</v>
          </cell>
          <cell r="R8">
            <v>17</v>
          </cell>
          <cell r="S8">
            <v>18</v>
          </cell>
          <cell r="T8">
            <v>19</v>
          </cell>
          <cell r="U8">
            <v>20</v>
          </cell>
          <cell r="V8">
            <v>21</v>
          </cell>
          <cell r="W8">
            <v>22</v>
          </cell>
          <cell r="X8">
            <v>23</v>
          </cell>
          <cell r="Y8">
            <v>24</v>
          </cell>
          <cell r="Z8">
            <v>25</v>
          </cell>
          <cell r="AA8">
            <v>26</v>
          </cell>
          <cell r="AB8">
            <v>27</v>
          </cell>
        </row>
        <row r="9">
          <cell r="C9" t="str">
            <v>1 - TEODORO</v>
          </cell>
          <cell r="D9" t="str">
            <v>2 - LAR CENTER</v>
          </cell>
          <cell r="E9" t="str">
            <v>3 - CLAMI - D&amp;D</v>
          </cell>
          <cell r="F9" t="str">
            <v>8 - CLAMI - GABRIEL</v>
          </cell>
          <cell r="H9" t="str">
            <v>CD - 02</v>
          </cell>
          <cell r="O9" t="str">
            <v>COD PROD</v>
          </cell>
          <cell r="P9" t="str">
            <v>PROTOCOLO</v>
          </cell>
          <cell r="Q9" t="str">
            <v>DESCRIÇÃO SISTEMA</v>
          </cell>
          <cell r="R9"/>
          <cell r="S9"/>
          <cell r="T9" t="str">
            <v>Comp.</v>
          </cell>
          <cell r="U9" t="str">
            <v>Larg.</v>
          </cell>
          <cell r="V9" t="str">
            <v>Altura</v>
          </cell>
          <cell r="W9" t="str">
            <v>Diam.</v>
          </cell>
          <cell r="X9" t="str">
            <v>CONCATENAR</v>
          </cell>
          <cell r="Y9" t="str">
            <v>DE</v>
          </cell>
          <cell r="Z9" t="str">
            <v>DESCONTO</v>
          </cell>
          <cell r="AA9" t="str">
            <v>POR</v>
          </cell>
          <cell r="AB9"/>
        </row>
        <row r="10">
          <cell r="C10">
            <v>1</v>
          </cell>
          <cell r="D10">
            <v>0</v>
          </cell>
          <cell r="E10">
            <v>0</v>
          </cell>
          <cell r="F10">
            <v>0</v>
          </cell>
          <cell r="H10">
            <v>0</v>
          </cell>
          <cell r="O10">
            <v>389916</v>
          </cell>
          <cell r="P10" t="str">
            <v>2024/241-0010-01</v>
          </cell>
          <cell r="Q10" t="str">
            <v>EST MODULO BRACO DIR ADANA (PES MTX MARROM) TC B2220</v>
          </cell>
          <cell r="R10">
            <v>3.3</v>
          </cell>
          <cell r="S10">
            <v>0.97</v>
          </cell>
          <cell r="T10">
            <v>2.4</v>
          </cell>
          <cell r="U10">
            <v>0.97</v>
          </cell>
          <cell r="V10">
            <v>0.92</v>
          </cell>
          <cell r="W10">
            <v>0</v>
          </cell>
          <cell r="X10" t="str">
            <v>EST MODULO BRACO DIR ADANA (PES MTX MARROM) TC B2220 - 2,4x0,97x0,92H</v>
          </cell>
          <cell r="Y10">
            <v>59567.069999999992</v>
          </cell>
          <cell r="Z10">
            <v>0.35</v>
          </cell>
          <cell r="AA10">
            <v>38718.595499999996</v>
          </cell>
          <cell r="AB10" t="str">
            <v>AA</v>
          </cell>
        </row>
        <row r="11">
          <cell r="C11">
            <v>1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O11">
            <v>389917</v>
          </cell>
          <cell r="P11" t="str">
            <v>2024/241-0011-01</v>
          </cell>
          <cell r="Q11" t="str">
            <v>EST MODULO S/BRACO C/PUFF ADANA (PES MTX MARROM) TC B2220</v>
          </cell>
          <cell r="R11">
            <v>3.3</v>
          </cell>
          <cell r="S11">
            <v>0.97</v>
          </cell>
          <cell r="T11">
            <v>2.2000000000000002</v>
          </cell>
          <cell r="U11">
            <v>0.97</v>
          </cell>
          <cell r="V11">
            <v>0.92</v>
          </cell>
          <cell r="W11">
            <v>0</v>
          </cell>
          <cell r="X11" t="str">
            <v>EST MODULO S/BRACO C/PUFF ADANA (PES MTX MARROM) TC B2220 - 2,2x0,97x0,92H</v>
          </cell>
          <cell r="Y11">
            <v>59567.069999999992</v>
          </cell>
          <cell r="Z11">
            <v>0.35</v>
          </cell>
          <cell r="AA11">
            <v>38718.595499999996</v>
          </cell>
          <cell r="AB11" t="str">
            <v>AA</v>
          </cell>
        </row>
        <row r="12">
          <cell r="C12">
            <v>1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O12">
            <v>389918</v>
          </cell>
          <cell r="P12" t="str">
            <v>2024/241-0012-01</v>
          </cell>
          <cell r="Q12" t="str">
            <v>EST MODULO PUFF CANTO ADANA (PES MTX MARROM) TC B2220</v>
          </cell>
          <cell r="R12">
            <v>3.3</v>
          </cell>
          <cell r="S12">
            <v>0.97</v>
          </cell>
          <cell r="T12">
            <v>0.9</v>
          </cell>
          <cell r="U12">
            <v>0.9</v>
          </cell>
          <cell r="V12">
            <v>0.46</v>
          </cell>
          <cell r="W12">
            <v>0</v>
          </cell>
          <cell r="X12" t="str">
            <v>EST MODULO PUFF CANTO ADANA (PES MTX MARROM) TC B2220 - 0,9x0,9x0,46H</v>
          </cell>
          <cell r="Y12">
            <v>59567.069999999992</v>
          </cell>
          <cell r="Z12">
            <v>0.35</v>
          </cell>
          <cell r="AA12">
            <v>38718.595499999996</v>
          </cell>
          <cell r="AB12" t="str">
            <v>AA</v>
          </cell>
        </row>
        <row r="13">
          <cell r="C13">
            <v>0</v>
          </cell>
          <cell r="D13">
            <v>1</v>
          </cell>
          <cell r="E13">
            <v>0</v>
          </cell>
          <cell r="F13">
            <v>0</v>
          </cell>
          <cell r="H13">
            <v>0</v>
          </cell>
          <cell r="O13">
            <v>390201</v>
          </cell>
          <cell r="P13" t="str">
            <v>2024/261-0044-01</v>
          </cell>
          <cell r="Q13" t="str">
            <v>EST MODULO BRACO DIR PRESLEY TC B2206 (VRNZ NOZES)</v>
          </cell>
          <cell r="R13">
            <v>2.8</v>
          </cell>
          <cell r="S13">
            <v>0.95</v>
          </cell>
          <cell r="T13">
            <v>1.4</v>
          </cell>
          <cell r="U13">
            <v>0.95</v>
          </cell>
          <cell r="V13">
            <v>0.9</v>
          </cell>
          <cell r="W13">
            <v>0</v>
          </cell>
          <cell r="X13" t="str">
            <v>EST MODULO BRACO DIR PRESLEY TC B2206 (VRNZ NOZES) - 1,4x0,95x0,9H</v>
          </cell>
          <cell r="Y13">
            <v>42532.32</v>
          </cell>
          <cell r="Z13">
            <v>0.35</v>
          </cell>
          <cell r="AA13">
            <v>27646.008000000002</v>
          </cell>
          <cell r="AB13" t="str">
            <v>AB</v>
          </cell>
        </row>
        <row r="14">
          <cell r="C14">
            <v>0</v>
          </cell>
          <cell r="D14">
            <v>1</v>
          </cell>
          <cell r="E14">
            <v>0</v>
          </cell>
          <cell r="F14">
            <v>0</v>
          </cell>
          <cell r="H14">
            <v>0</v>
          </cell>
          <cell r="O14">
            <v>390202</v>
          </cell>
          <cell r="P14" t="str">
            <v>2024/261-0045-01</v>
          </cell>
          <cell r="Q14" t="str">
            <v>EST MODULO BRACO ESQ PRESLEY TC B2206 (VRNZ NOZES)</v>
          </cell>
          <cell r="R14">
            <v>2.8</v>
          </cell>
          <cell r="S14">
            <v>0.95</v>
          </cell>
          <cell r="T14">
            <v>1.4</v>
          </cell>
          <cell r="U14">
            <v>0.95</v>
          </cell>
          <cell r="V14">
            <v>0.9</v>
          </cell>
          <cell r="W14">
            <v>0</v>
          </cell>
          <cell r="X14" t="str">
            <v>EST MODULO BRACO ESQ PRESLEY TC B2206 (VRNZ NOZES) - 1,4x0,95x0,9H</v>
          </cell>
          <cell r="Y14">
            <v>42532.32</v>
          </cell>
          <cell r="Z14">
            <v>0.35</v>
          </cell>
          <cell r="AA14">
            <v>27646.008000000002</v>
          </cell>
          <cell r="AB14" t="str">
            <v>AB</v>
          </cell>
        </row>
        <row r="15">
          <cell r="C15">
            <v>1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O15">
            <v>400737</v>
          </cell>
          <cell r="P15" t="str">
            <v>2025/064-0018-01</v>
          </cell>
          <cell r="Q15" t="str">
            <v>EST MODULO CHAISE BRACO ESQ JOPLIN FX B2221</v>
          </cell>
          <cell r="R15">
            <v>2.2000000000000002</v>
          </cell>
          <cell r="S15">
            <v>1.6</v>
          </cell>
          <cell r="T15">
            <v>1.1000000000000001</v>
          </cell>
          <cell r="U15">
            <v>1.6</v>
          </cell>
          <cell r="V15">
            <v>0.84</v>
          </cell>
          <cell r="W15">
            <v>0</v>
          </cell>
          <cell r="X15" t="str">
            <v>EST MODULO CHAISE BRACO ESQ JOPLIN FX B2221 - 1,1x1,6x0,84H</v>
          </cell>
          <cell r="Y15">
            <v>42532.32</v>
          </cell>
          <cell r="Z15">
            <v>0.35</v>
          </cell>
          <cell r="AA15">
            <v>27646.008000000002</v>
          </cell>
          <cell r="AB15" t="str">
            <v>AB</v>
          </cell>
        </row>
        <row r="16">
          <cell r="C16">
            <v>1</v>
          </cell>
          <cell r="D16">
            <v>0</v>
          </cell>
          <cell r="E16">
            <v>0</v>
          </cell>
          <cell r="F16">
            <v>0</v>
          </cell>
          <cell r="H16">
            <v>0</v>
          </cell>
          <cell r="O16">
            <v>400738</v>
          </cell>
          <cell r="P16" t="str">
            <v>2025/064-0019-01</v>
          </cell>
          <cell r="Q16" t="str">
            <v>EST MODULO CHAISE BRACO DIR JOPLIN FX B2221</v>
          </cell>
          <cell r="R16">
            <v>2.2000000000000002</v>
          </cell>
          <cell r="S16">
            <v>1.6</v>
          </cell>
          <cell r="T16">
            <v>1.1000000000000001</v>
          </cell>
          <cell r="U16">
            <v>1.6</v>
          </cell>
          <cell r="V16">
            <v>0.84</v>
          </cell>
          <cell r="W16">
            <v>0</v>
          </cell>
          <cell r="X16" t="str">
            <v>EST MODULO CHAISE BRACO DIR JOPLIN FX B2221 - 1,1x1,6x0,84H</v>
          </cell>
          <cell r="Y16">
            <v>42532.32</v>
          </cell>
          <cell r="Z16">
            <v>0.35</v>
          </cell>
          <cell r="AA16">
            <v>27646.008000000002</v>
          </cell>
          <cell r="AB16" t="str">
            <v>AB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1</v>
          </cell>
          <cell r="O17">
            <v>381905</v>
          </cell>
          <cell r="P17" t="str">
            <v>2024/117-0001-01</v>
          </cell>
          <cell r="Q17" t="str">
            <v>EST MODULO PUFF HIMALAYA (CON) COURO FIRENZE 12</v>
          </cell>
          <cell r="R17">
            <v>5.05</v>
          </cell>
          <cell r="S17">
            <v>1.05</v>
          </cell>
          <cell r="T17">
            <v>1.05</v>
          </cell>
          <cell r="U17">
            <v>1.05</v>
          </cell>
          <cell r="V17">
            <v>0.42</v>
          </cell>
          <cell r="W17">
            <v>0</v>
          </cell>
          <cell r="X17" t="str">
            <v>EST MODULO PUFF HIMALAYA (CON) COURO FIRENZE 12 - 1,05x1,05x0,42H</v>
          </cell>
          <cell r="Y17">
            <v>94963.58</v>
          </cell>
          <cell r="Z17">
            <v>0.5</v>
          </cell>
          <cell r="AA17">
            <v>47481.79</v>
          </cell>
          <cell r="AB17" t="str">
            <v>AC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1</v>
          </cell>
          <cell r="O18">
            <v>381907</v>
          </cell>
          <cell r="P18" t="str">
            <v>2024/117-0002-01</v>
          </cell>
          <cell r="Q18" t="str">
            <v>EST MODULO ANGULAR ESQ S/B HIMALAYA (CON) COURO FIRENZE12</v>
          </cell>
          <cell r="R18">
            <v>5.05</v>
          </cell>
          <cell r="S18">
            <v>1.05</v>
          </cell>
          <cell r="T18">
            <v>2</v>
          </cell>
          <cell r="U18">
            <v>1.05</v>
          </cell>
          <cell r="V18">
            <v>0.74</v>
          </cell>
          <cell r="W18">
            <v>0</v>
          </cell>
          <cell r="X18" t="str">
            <v>EST MODULO ANGULAR ESQ S/B HIMALAYA (CON) COURO FIRENZE12 - 2x1,05x0,74H</v>
          </cell>
          <cell r="Y18">
            <v>94963.58</v>
          </cell>
          <cell r="Z18">
            <v>0.5</v>
          </cell>
          <cell r="AA18">
            <v>47481.79</v>
          </cell>
          <cell r="AB18" t="str">
            <v>AC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1</v>
          </cell>
          <cell r="O19">
            <v>381908</v>
          </cell>
          <cell r="P19" t="str">
            <v>2024/117-0003-01</v>
          </cell>
          <cell r="Q19" t="str">
            <v>EST MODULO ANGULAR DIR S/B HIMALAYA (CON) COURO FIRENZE 12</v>
          </cell>
          <cell r="R19">
            <v>5.05</v>
          </cell>
          <cell r="S19">
            <v>1.05</v>
          </cell>
          <cell r="T19">
            <v>2</v>
          </cell>
          <cell r="U19">
            <v>1.05</v>
          </cell>
          <cell r="V19">
            <v>0.74</v>
          </cell>
          <cell r="W19">
            <v>0</v>
          </cell>
          <cell r="X19" t="str">
            <v>EST MODULO ANGULAR DIR S/B HIMALAYA (CON) COURO FIRENZE 12 - 2x1,05x0,74H</v>
          </cell>
          <cell r="Y19">
            <v>94963.58</v>
          </cell>
          <cell r="Z19">
            <v>0.5</v>
          </cell>
          <cell r="AA19">
            <v>47481.79</v>
          </cell>
          <cell r="AB19" t="str">
            <v>AC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1</v>
          </cell>
          <cell r="O20">
            <v>277830</v>
          </cell>
          <cell r="P20" t="str">
            <v>2021/182-0078-01</v>
          </cell>
          <cell r="Q20" t="str">
            <v>EST MODULO BRACO ESQUERDO AURORA FX6587/MTZ PRATA</v>
          </cell>
          <cell r="R20">
            <v>3.79</v>
          </cell>
          <cell r="S20">
            <v>0.87</v>
          </cell>
          <cell r="T20">
            <v>1.92</v>
          </cell>
          <cell r="U20">
            <v>0.87</v>
          </cell>
          <cell r="V20">
            <v>0.7</v>
          </cell>
          <cell r="W20">
            <v>0</v>
          </cell>
          <cell r="X20" t="str">
            <v>EST MODULO BRACO ESQUERDO AURORA FX6587/MTZ PRATA - 1,92x0,87x0,7H</v>
          </cell>
          <cell r="Y20">
            <v>49695.479999999996</v>
          </cell>
          <cell r="Z20">
            <v>0.5</v>
          </cell>
          <cell r="AA20">
            <v>24847.739999999998</v>
          </cell>
          <cell r="AB20" t="str">
            <v>AD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1</v>
          </cell>
          <cell r="O21">
            <v>277833</v>
          </cell>
          <cell r="P21" t="str">
            <v>2021/182-0079-01</v>
          </cell>
          <cell r="Q21" t="str">
            <v>EST MODULO BRACO DIREITO C/PUFF AURORA FX6587/MTZ PRATA</v>
          </cell>
          <cell r="R21">
            <v>3.79</v>
          </cell>
          <cell r="S21">
            <v>0.87</v>
          </cell>
          <cell r="T21">
            <v>1.87</v>
          </cell>
          <cell r="U21">
            <v>0.87</v>
          </cell>
          <cell r="V21">
            <v>0.7</v>
          </cell>
          <cell r="W21">
            <v>0</v>
          </cell>
          <cell r="X21" t="str">
            <v>EST MODULO BRACO DIREITO C/PUFF AURORA FX6587/MTZ PRATA - 1,87x0,87x0,7H</v>
          </cell>
          <cell r="Y21">
            <v>49695.479999999996</v>
          </cell>
          <cell r="Z21">
            <v>0.5</v>
          </cell>
          <cell r="AA21">
            <v>24847.739999999998</v>
          </cell>
          <cell r="AB21" t="str">
            <v>AD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1</v>
          </cell>
          <cell r="O22">
            <v>178910</v>
          </cell>
          <cell r="P22" t="str">
            <v>2015/316-0014-01</v>
          </cell>
          <cell r="Q22" t="str">
            <v>EST MODULO BRACO ESQ CLICK (B25) TC B2034 C/KIT MOTOR TOUCH</v>
          </cell>
          <cell r="R22">
            <v>2.9</v>
          </cell>
          <cell r="S22">
            <v>1.3</v>
          </cell>
          <cell r="T22">
            <v>1.45</v>
          </cell>
          <cell r="U22">
            <v>1.3</v>
          </cell>
          <cell r="V22">
            <v>0.66</v>
          </cell>
          <cell r="W22">
            <v>0</v>
          </cell>
          <cell r="X22" t="str">
            <v>EST MODULO BRACO ESQ CLICK (B25) TC B2034 C/KIT MOTOR TOUCH - 1,45x1,3x0,66H</v>
          </cell>
          <cell r="Y22">
            <v>32166.400000000001</v>
          </cell>
          <cell r="Z22">
            <v>0.5</v>
          </cell>
          <cell r="AA22">
            <v>16083.2</v>
          </cell>
          <cell r="AB22" t="str">
            <v>AE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1</v>
          </cell>
          <cell r="O23">
            <v>178912</v>
          </cell>
          <cell r="P23" t="str">
            <v>2015/316-0015-01</v>
          </cell>
          <cell r="Q23" t="str">
            <v>EST MODULO BRACO DIR CLICK (B25) TC B2034 C/KIT MOTOR TOUCH</v>
          </cell>
          <cell r="R23">
            <v>2.9</v>
          </cell>
          <cell r="S23">
            <v>1.3</v>
          </cell>
          <cell r="T23">
            <v>1.45</v>
          </cell>
          <cell r="U23">
            <v>1.3</v>
          </cell>
          <cell r="V23">
            <v>0.66</v>
          </cell>
          <cell r="W23">
            <v>0</v>
          </cell>
          <cell r="X23" t="str">
            <v>EST MODULO BRACO DIR CLICK (B25) TC B2034 C/KIT MOTOR TOUCH - 1,45x1,3x0,66H</v>
          </cell>
          <cell r="Y23">
            <v>32166.400000000001</v>
          </cell>
          <cell r="Z23">
            <v>0.5</v>
          </cell>
          <cell r="AA23">
            <v>16083.2</v>
          </cell>
          <cell r="AB23" t="str">
            <v>AE</v>
          </cell>
        </row>
        <row r="24">
          <cell r="C24">
            <v>0</v>
          </cell>
          <cell r="D24">
            <v>0</v>
          </cell>
          <cell r="E24">
            <v>1</v>
          </cell>
          <cell r="F24">
            <v>0</v>
          </cell>
          <cell r="H24">
            <v>0</v>
          </cell>
          <cell r="O24">
            <v>276355</v>
          </cell>
          <cell r="P24" t="str">
            <v>2021/117-0011-01</v>
          </cell>
          <cell r="Q24" t="str">
            <v>EST MODULO S/BRACO CLEAN (1AS) FX 2290</v>
          </cell>
          <cell r="R24">
            <v>3.06</v>
          </cell>
          <cell r="S24">
            <v>1.1499999999999999</v>
          </cell>
          <cell r="T24">
            <v>1</v>
          </cell>
          <cell r="U24">
            <v>1.1499999999999999</v>
          </cell>
          <cell r="V24">
            <v>0.8</v>
          </cell>
          <cell r="W24">
            <v>0</v>
          </cell>
          <cell r="X24" t="str">
            <v>EST MODULO S/BRACO CLEAN (1AS) FX 2290 - 1x1,15x0,8H</v>
          </cell>
          <cell r="Y24">
            <v>36829.360000000001</v>
          </cell>
          <cell r="Z24">
            <v>0.35</v>
          </cell>
          <cell r="AA24">
            <v>23939.084000000003</v>
          </cell>
          <cell r="AB24" t="str">
            <v>AF</v>
          </cell>
        </row>
        <row r="25">
          <cell r="C25">
            <v>0</v>
          </cell>
          <cell r="D25">
            <v>0</v>
          </cell>
          <cell r="E25">
            <v>1</v>
          </cell>
          <cell r="F25">
            <v>0</v>
          </cell>
          <cell r="H25">
            <v>0</v>
          </cell>
          <cell r="O25">
            <v>276360</v>
          </cell>
          <cell r="P25" t="str">
            <v>2024/022-0016-01</v>
          </cell>
          <cell r="Q25" t="str">
            <v>EST MODULO BRACO DIREITO CLEAN (B06) (1AS) FX 2290</v>
          </cell>
          <cell r="R25">
            <v>3.06</v>
          </cell>
          <cell r="S25">
            <v>1.1499999999999999</v>
          </cell>
          <cell r="T25">
            <v>1.06</v>
          </cell>
          <cell r="U25">
            <v>1.1499999999999999</v>
          </cell>
          <cell r="V25">
            <v>0.8</v>
          </cell>
          <cell r="W25">
            <v>0</v>
          </cell>
          <cell r="X25" t="str">
            <v>EST MODULO BRACO DIREITO CLEAN (B06) (1AS) FX 2290 - 1,06x1,15x0,8H</v>
          </cell>
          <cell r="Y25">
            <v>36829.360000000001</v>
          </cell>
          <cell r="Z25">
            <v>0.35</v>
          </cell>
          <cell r="AA25">
            <v>23939.084000000003</v>
          </cell>
          <cell r="AB25" t="str">
            <v>AF</v>
          </cell>
        </row>
        <row r="26">
          <cell r="C26">
            <v>0</v>
          </cell>
          <cell r="D26">
            <v>0</v>
          </cell>
          <cell r="E26">
            <v>1</v>
          </cell>
          <cell r="F26">
            <v>0</v>
          </cell>
          <cell r="H26">
            <v>0</v>
          </cell>
          <cell r="O26">
            <v>276361</v>
          </cell>
          <cell r="P26" t="str">
            <v>2024/022-0017-01</v>
          </cell>
          <cell r="Q26" t="str">
            <v>EST MODULO BRACO ESQUERDO CLEAN (B06) (1AS) FX 2290</v>
          </cell>
          <cell r="R26">
            <v>3.06</v>
          </cell>
          <cell r="S26">
            <v>1.1499999999999999</v>
          </cell>
          <cell r="T26">
            <v>1.06</v>
          </cell>
          <cell r="U26">
            <v>1.1499999999999999</v>
          </cell>
          <cell r="V26">
            <v>0.8</v>
          </cell>
          <cell r="W26">
            <v>0</v>
          </cell>
          <cell r="X26" t="str">
            <v>EST MODULO BRACO ESQUERDO CLEAN (B06) (1AS) FX 2290 - 1,06x1,15x0,8H</v>
          </cell>
          <cell r="Y26">
            <v>36829.360000000001</v>
          </cell>
          <cell r="Z26">
            <v>0.35</v>
          </cell>
          <cell r="AA26">
            <v>23939.084000000003</v>
          </cell>
          <cell r="AB26" t="str">
            <v>AF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1</v>
          </cell>
          <cell r="O27">
            <v>233162</v>
          </cell>
          <cell r="P27" t="str">
            <v>2019/092-0025-01</v>
          </cell>
          <cell r="Q27" t="str">
            <v>EST MODULO BRACO ESQUERDO NEW PADOVA FX B2177</v>
          </cell>
          <cell r="R27">
            <v>3</v>
          </cell>
          <cell r="S27">
            <v>1.02</v>
          </cell>
          <cell r="T27">
            <v>1.4</v>
          </cell>
          <cell r="U27">
            <v>1.02</v>
          </cell>
          <cell r="V27">
            <v>0.82</v>
          </cell>
          <cell r="W27">
            <v>0</v>
          </cell>
          <cell r="X27" t="str">
            <v>EST MODULO BRACO ESQUERDO NEW PADOVA FX B2177 - 1,4x1,02x0,82H</v>
          </cell>
          <cell r="Y27">
            <v>38272.639999999999</v>
          </cell>
          <cell r="Z27">
            <v>0.5</v>
          </cell>
          <cell r="AA27">
            <v>19136.32</v>
          </cell>
          <cell r="AB27" t="str">
            <v>AG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1</v>
          </cell>
          <cell r="O28">
            <v>233163</v>
          </cell>
          <cell r="P28" t="str">
            <v>2022/230-0105-01</v>
          </cell>
          <cell r="Q28" t="str">
            <v>EST MODULO S/BRACO C/APARADOR NEW PADOVA FX B2177/MARM NERO</v>
          </cell>
          <cell r="R28">
            <v>3</v>
          </cell>
          <cell r="S28">
            <v>1.02</v>
          </cell>
          <cell r="T28">
            <v>1.6</v>
          </cell>
          <cell r="U28">
            <v>1.02</v>
          </cell>
          <cell r="V28">
            <v>0.82</v>
          </cell>
          <cell r="W28">
            <v>0</v>
          </cell>
          <cell r="X28" t="str">
            <v>EST MODULO S/BRACO C/APARADOR NEW PADOVA FX B2177/MARM NERO - 1,6x1,02x0,82H</v>
          </cell>
          <cell r="Y28">
            <v>38272.639999999999</v>
          </cell>
          <cell r="Z28">
            <v>0.5</v>
          </cell>
          <cell r="AA28">
            <v>19136.32</v>
          </cell>
          <cell r="AB28" t="str">
            <v>AG</v>
          </cell>
        </row>
        <row r="29">
          <cell r="C29">
            <v>0</v>
          </cell>
          <cell r="D29">
            <v>0</v>
          </cell>
          <cell r="E29">
            <v>1</v>
          </cell>
          <cell r="F29">
            <v>0</v>
          </cell>
          <cell r="H29">
            <v>0</v>
          </cell>
          <cell r="O29">
            <v>394883</v>
          </cell>
          <cell r="P29" t="str">
            <v>2024/331-0034-01</v>
          </cell>
          <cell r="Q29" t="str">
            <v>EST MODULO BRACO ESQ AGREABLE (FX C3184)</v>
          </cell>
          <cell r="R29">
            <v>3.7</v>
          </cell>
          <cell r="S29">
            <v>1</v>
          </cell>
          <cell r="T29">
            <v>1.3</v>
          </cell>
          <cell r="U29">
            <v>1</v>
          </cell>
          <cell r="V29">
            <v>0.77</v>
          </cell>
          <cell r="W29">
            <v>0</v>
          </cell>
          <cell r="X29" t="str">
            <v>EST MODULO BRACO ESQ AGREABLE (FX C3184) - 1,3x1x0,77H</v>
          </cell>
          <cell r="Y29">
            <v>43828.740000000005</v>
          </cell>
          <cell r="Z29">
            <v>0.35</v>
          </cell>
          <cell r="AA29">
            <v>28488.681000000004</v>
          </cell>
          <cell r="AB29" t="str">
            <v>AH</v>
          </cell>
        </row>
        <row r="30">
          <cell r="C30">
            <v>0</v>
          </cell>
          <cell r="D30">
            <v>0</v>
          </cell>
          <cell r="E30">
            <v>1</v>
          </cell>
          <cell r="F30">
            <v>0</v>
          </cell>
          <cell r="H30">
            <v>0</v>
          </cell>
          <cell r="O30">
            <v>394884</v>
          </cell>
          <cell r="P30" t="str">
            <v>2024/331-0035-01</v>
          </cell>
          <cell r="Q30" t="str">
            <v>EST MODULO S/BRACO AGREABLE (FX C3184)</v>
          </cell>
          <cell r="R30">
            <v>3.7</v>
          </cell>
          <cell r="S30">
            <v>1</v>
          </cell>
          <cell r="T30">
            <v>1.1000000000000001</v>
          </cell>
          <cell r="U30">
            <v>1</v>
          </cell>
          <cell r="V30">
            <v>0.77</v>
          </cell>
          <cell r="W30">
            <v>0</v>
          </cell>
          <cell r="X30" t="str">
            <v>EST MODULO S/BRACO AGREABLE (FX C3184) - 1,1x1x0,77H</v>
          </cell>
          <cell r="Y30">
            <v>43828.740000000005</v>
          </cell>
          <cell r="Z30">
            <v>0.35</v>
          </cell>
          <cell r="AA30">
            <v>28488.681000000004</v>
          </cell>
          <cell r="AB30" t="str">
            <v>AH</v>
          </cell>
        </row>
        <row r="31">
          <cell r="C31">
            <v>0</v>
          </cell>
          <cell r="D31">
            <v>0</v>
          </cell>
          <cell r="E31">
            <v>1</v>
          </cell>
          <cell r="F31">
            <v>0</v>
          </cell>
          <cell r="H31">
            <v>0</v>
          </cell>
          <cell r="O31">
            <v>394891</v>
          </cell>
          <cell r="P31" t="str">
            <v>2024/331-0036-01</v>
          </cell>
          <cell r="Q31" t="str">
            <v>EST MODULO BRACO DIR AGREABLE (FX C3184)</v>
          </cell>
          <cell r="R31">
            <v>3.7</v>
          </cell>
          <cell r="S31">
            <v>1</v>
          </cell>
          <cell r="T31">
            <v>1.3</v>
          </cell>
          <cell r="U31">
            <v>1</v>
          </cell>
          <cell r="V31">
            <v>0.77</v>
          </cell>
          <cell r="W31">
            <v>0</v>
          </cell>
          <cell r="X31" t="str">
            <v>EST MODULO BRACO DIR AGREABLE (FX C3184) - 1,3x1x0,77H</v>
          </cell>
          <cell r="Y31">
            <v>43828.740000000005</v>
          </cell>
          <cell r="Z31">
            <v>0.35</v>
          </cell>
          <cell r="AA31">
            <v>28488.681000000004</v>
          </cell>
          <cell r="AB31" t="str">
            <v>AH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>
            <v>1</v>
          </cell>
          <cell r="O32">
            <v>270718</v>
          </cell>
          <cell r="P32" t="str">
            <v>2020/303-0245-01</v>
          </cell>
          <cell r="Q32" t="str">
            <v>EST MODULO ILHA BRACO C/CHAISE BRAC DIR BELO HORIZONTE D4193</v>
          </cell>
          <cell r="R32">
            <v>4</v>
          </cell>
          <cell r="S32">
            <v>2.4</v>
          </cell>
          <cell r="T32">
            <v>1.3</v>
          </cell>
          <cell r="U32">
            <v>2.4</v>
          </cell>
          <cell r="V32">
            <v>0.9</v>
          </cell>
          <cell r="W32">
            <v>0</v>
          </cell>
          <cell r="X32" t="str">
            <v>EST MODULO ILHA BRACO C/CHAISE BRAC DIR BELO HORIZONTE D4193 - 1,3x2,4x0,9H</v>
          </cell>
          <cell r="Y32">
            <v>91827.63</v>
          </cell>
          <cell r="Z32">
            <v>0.5</v>
          </cell>
          <cell r="AA32">
            <v>45913.815000000002</v>
          </cell>
          <cell r="AB32" t="str">
            <v>AI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1</v>
          </cell>
          <cell r="O33">
            <v>270719</v>
          </cell>
          <cell r="P33" t="str">
            <v>2020/303-0246-01</v>
          </cell>
          <cell r="Q33" t="str">
            <v>EST MODULO ILHA S/BRACO BELO HORIZONTE FX D4193</v>
          </cell>
          <cell r="R33">
            <v>4</v>
          </cell>
          <cell r="S33">
            <v>2.4</v>
          </cell>
          <cell r="T33">
            <v>1.1000000000000001</v>
          </cell>
          <cell r="U33">
            <v>1.8</v>
          </cell>
          <cell r="V33">
            <v>0.9</v>
          </cell>
          <cell r="W33">
            <v>0</v>
          </cell>
          <cell r="X33" t="str">
            <v>EST MODULO ILHA S/BRACO BELO HORIZONTE FX D4193 - 1,1x1,8x0,9H</v>
          </cell>
          <cell r="Y33">
            <v>91827.63</v>
          </cell>
          <cell r="Z33">
            <v>0.5</v>
          </cell>
          <cell r="AA33">
            <v>45913.815000000002</v>
          </cell>
          <cell r="AB33" t="str">
            <v>AI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1</v>
          </cell>
          <cell r="O34">
            <v>270720</v>
          </cell>
          <cell r="P34" t="str">
            <v>2020/303-0247-01</v>
          </cell>
          <cell r="Q34" t="str">
            <v>EST MODULO ILHA RECAMIER BELO HORIZONTE FX D4193</v>
          </cell>
          <cell r="R34">
            <v>4</v>
          </cell>
          <cell r="S34">
            <v>2.4</v>
          </cell>
          <cell r="T34">
            <v>1.6</v>
          </cell>
          <cell r="U34">
            <v>1.8</v>
          </cell>
          <cell r="V34">
            <v>0.9</v>
          </cell>
          <cell r="W34">
            <v>0</v>
          </cell>
          <cell r="X34" t="str">
            <v>EST MODULO ILHA RECAMIER BELO HORIZONTE FX D4193 - 1,6x1,8x0,9H</v>
          </cell>
          <cell r="Y34">
            <v>91827.63</v>
          </cell>
          <cell r="Z34">
            <v>0.5</v>
          </cell>
          <cell r="AA34">
            <v>45913.815000000002</v>
          </cell>
          <cell r="AB34" t="str">
            <v>AI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1</v>
          </cell>
          <cell r="H35">
            <v>0</v>
          </cell>
          <cell r="O35">
            <v>394897</v>
          </cell>
          <cell r="P35" t="str">
            <v>2024/311-0016-01</v>
          </cell>
          <cell r="Q35" t="str">
            <v>EST MODULO BRACO ESQ AGREABLE (FX G7138)</v>
          </cell>
          <cell r="R35">
            <v>3.4</v>
          </cell>
          <cell r="S35">
            <v>1</v>
          </cell>
          <cell r="T35">
            <v>1.2</v>
          </cell>
          <cell r="U35">
            <v>1</v>
          </cell>
          <cell r="V35">
            <v>0.77</v>
          </cell>
          <cell r="W35">
            <v>0</v>
          </cell>
          <cell r="X35" t="str">
            <v>EST MODULO BRACO ESQ AGREABLE (FX G7138) - 1,2x1x0,77H</v>
          </cell>
          <cell r="Y35">
            <v>49561.71</v>
          </cell>
          <cell r="Z35">
            <v>0.35</v>
          </cell>
          <cell r="AA35">
            <v>32215.111499999999</v>
          </cell>
          <cell r="AB35" t="str">
            <v>AJ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1</v>
          </cell>
          <cell r="H36">
            <v>0</v>
          </cell>
          <cell r="O36">
            <v>394898</v>
          </cell>
          <cell r="P36" t="str">
            <v>2024/311-0017-01</v>
          </cell>
          <cell r="Q36" t="str">
            <v>EST MODULO S/BRACO AGREABLE (FX G7138)</v>
          </cell>
          <cell r="R36">
            <v>3.4</v>
          </cell>
          <cell r="S36">
            <v>1</v>
          </cell>
          <cell r="T36">
            <v>1</v>
          </cell>
          <cell r="U36">
            <v>1</v>
          </cell>
          <cell r="V36">
            <v>0.77</v>
          </cell>
          <cell r="W36">
            <v>0</v>
          </cell>
          <cell r="X36" t="str">
            <v>EST MODULO S/BRACO AGREABLE (FX G7138) - 1x1x0,77H</v>
          </cell>
          <cell r="Y36">
            <v>49561.71</v>
          </cell>
          <cell r="Z36">
            <v>0.35</v>
          </cell>
          <cell r="AA36">
            <v>32215.111499999999</v>
          </cell>
          <cell r="AB36" t="str">
            <v>AJ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1</v>
          </cell>
          <cell r="H37">
            <v>0</v>
          </cell>
          <cell r="O37">
            <v>394899</v>
          </cell>
          <cell r="P37" t="str">
            <v>2024/311-0018-01</v>
          </cell>
          <cell r="Q37" t="str">
            <v>EST MODULO BRACO DIR AGREABLE (FX G7138)</v>
          </cell>
          <cell r="R37">
            <v>3.4</v>
          </cell>
          <cell r="S37">
            <v>1</v>
          </cell>
          <cell r="T37">
            <v>1.2</v>
          </cell>
          <cell r="U37">
            <v>1</v>
          </cell>
          <cell r="V37">
            <v>0.77</v>
          </cell>
          <cell r="W37">
            <v>0</v>
          </cell>
          <cell r="X37" t="str">
            <v>EST MODULO BRACO DIR AGREABLE (FX G7138) - 1,2x1x0,77H</v>
          </cell>
          <cell r="Y37">
            <v>49561.71</v>
          </cell>
          <cell r="Z37">
            <v>0.35</v>
          </cell>
          <cell r="AA37">
            <v>32215.111499999999</v>
          </cell>
          <cell r="AB37" t="str">
            <v>AJ</v>
          </cell>
        </row>
        <row r="38">
          <cell r="C38">
            <v>1</v>
          </cell>
          <cell r="D38">
            <v>0</v>
          </cell>
          <cell r="E38">
            <v>0</v>
          </cell>
          <cell r="F38">
            <v>0</v>
          </cell>
          <cell r="H38">
            <v>0</v>
          </cell>
          <cell r="O38">
            <v>387818</v>
          </cell>
          <cell r="P38" t="str">
            <v>2024/309-0002-01</v>
          </cell>
          <cell r="Q38" t="str">
            <v>EST MODULO CHAISE BC ESQ C/AV BS DALOA TC SENNA 190 FREIJO</v>
          </cell>
          <cell r="R38">
            <v>2.78</v>
          </cell>
          <cell r="S38">
            <v>1.55</v>
          </cell>
          <cell r="T38">
            <v>1.45</v>
          </cell>
          <cell r="U38">
            <v>1.55</v>
          </cell>
          <cell r="V38">
            <v>0.85</v>
          </cell>
          <cell r="W38">
            <v>0</v>
          </cell>
          <cell r="X38" t="str">
            <v>EST MODULO CHAISE BC ESQ C/AV BS DALOA TC SENNA 190 FREIJO - 1,45x1,55x0,85H</v>
          </cell>
          <cell r="Y38">
            <v>52118.759999999995</v>
          </cell>
          <cell r="Z38">
            <v>0.5</v>
          </cell>
          <cell r="AA38">
            <v>26059.379999999997</v>
          </cell>
          <cell r="AB38" t="str">
            <v>AK</v>
          </cell>
        </row>
        <row r="39">
          <cell r="C39">
            <v>1</v>
          </cell>
          <cell r="D39">
            <v>0</v>
          </cell>
          <cell r="E39">
            <v>0</v>
          </cell>
          <cell r="F39">
            <v>0</v>
          </cell>
          <cell r="H39">
            <v>0</v>
          </cell>
          <cell r="O39">
            <v>398998</v>
          </cell>
          <cell r="P39" t="str">
            <v>2024/309-0001-01</v>
          </cell>
          <cell r="Q39" t="str">
            <v>EST MODULO BRACO DIR DALOA TC SENNA 190 FREIJO</v>
          </cell>
          <cell r="R39">
            <v>2.78</v>
          </cell>
          <cell r="S39">
            <v>1.55</v>
          </cell>
          <cell r="T39">
            <v>1.33</v>
          </cell>
          <cell r="U39">
            <v>1</v>
          </cell>
          <cell r="V39">
            <v>0.85</v>
          </cell>
          <cell r="W39">
            <v>0</v>
          </cell>
          <cell r="X39" t="str">
            <v>EST MODULO BRACO DIR DALOA TC SENNA 190 FREIJO - 1,33x1x0,85H</v>
          </cell>
          <cell r="Y39">
            <v>52118.759999999995</v>
          </cell>
          <cell r="Z39">
            <v>0.5</v>
          </cell>
          <cell r="AA39">
            <v>26059.379999999997</v>
          </cell>
          <cell r="AB39" t="str">
            <v>AK</v>
          </cell>
        </row>
        <row r="40">
          <cell r="C40">
            <v>0</v>
          </cell>
          <cell r="D40">
            <v>1</v>
          </cell>
          <cell r="E40">
            <v>0</v>
          </cell>
          <cell r="F40">
            <v>0</v>
          </cell>
          <cell r="H40">
            <v>0</v>
          </cell>
          <cell r="O40">
            <v>399502</v>
          </cell>
          <cell r="P40" t="str">
            <v>2025/037-0005-01</v>
          </cell>
          <cell r="Q40" t="str">
            <v>EST MODULO B/ESQ HIMALAYA (CLA) (NOG) (DB3001) TC TARENTO 12</v>
          </cell>
          <cell r="R40">
            <v>3.5</v>
          </cell>
          <cell r="S40">
            <v>1.05</v>
          </cell>
          <cell r="T40">
            <v>1.75</v>
          </cell>
          <cell r="U40">
            <v>1.05</v>
          </cell>
          <cell r="V40">
            <v>0.74</v>
          </cell>
          <cell r="W40">
            <v>0</v>
          </cell>
          <cell r="X40" t="str">
            <v>EST MODULO B/ESQ HIMALAYA (CLA) (NOG) (DB3001) TC TARENTO 12 - 1,75x1,05x0,74H</v>
          </cell>
          <cell r="Y40">
            <v>58751.646999999997</v>
          </cell>
          <cell r="Z40">
            <v>0.35</v>
          </cell>
          <cell r="AA40">
            <v>38188.570550000004</v>
          </cell>
          <cell r="AB40" t="str">
            <v>AL</v>
          </cell>
        </row>
        <row r="41">
          <cell r="C41">
            <v>0</v>
          </cell>
          <cell r="D41">
            <v>1</v>
          </cell>
          <cell r="E41">
            <v>0</v>
          </cell>
          <cell r="F41">
            <v>0</v>
          </cell>
          <cell r="H41">
            <v>0</v>
          </cell>
          <cell r="O41">
            <v>399503</v>
          </cell>
          <cell r="P41" t="str">
            <v>2025/037-0006-01</v>
          </cell>
          <cell r="Q41" t="str">
            <v>EST MODULO B/DIR HIMALAYA (CLA) (NOG) (DB3001) TC TARENTO 12</v>
          </cell>
          <cell r="R41">
            <v>3.5</v>
          </cell>
          <cell r="S41">
            <v>1.05</v>
          </cell>
          <cell r="T41">
            <v>1.75</v>
          </cell>
          <cell r="U41">
            <v>1.05</v>
          </cell>
          <cell r="V41">
            <v>0.74</v>
          </cell>
          <cell r="W41">
            <v>0</v>
          </cell>
          <cell r="X41" t="str">
            <v>EST MODULO B/DIR HIMALAYA (CLA) (NOG) (DB3001) TC TARENTO 12 - 1,75x1,05x0,74H</v>
          </cell>
          <cell r="Y41">
            <v>58751.646999999997</v>
          </cell>
          <cell r="Z41">
            <v>0.35</v>
          </cell>
          <cell r="AA41">
            <v>38188.570550000004</v>
          </cell>
          <cell r="AB41" t="str">
            <v>AL</v>
          </cell>
        </row>
        <row r="42">
          <cell r="C42">
            <v>1</v>
          </cell>
          <cell r="D42">
            <v>0</v>
          </cell>
          <cell r="E42">
            <v>0</v>
          </cell>
          <cell r="F42">
            <v>0</v>
          </cell>
          <cell r="H42">
            <v>0</v>
          </cell>
          <cell r="O42">
            <v>399499</v>
          </cell>
          <cell r="P42" t="str">
            <v>2025/017-0014-01</v>
          </cell>
          <cell r="Q42" t="str">
            <v>EST MODULO BRACO DIR DIXON (FX E5001) (PES 2584)</v>
          </cell>
          <cell r="R42">
            <v>3</v>
          </cell>
          <cell r="S42">
            <v>1.02</v>
          </cell>
          <cell r="T42">
            <v>1.5</v>
          </cell>
          <cell r="U42">
            <v>1.02</v>
          </cell>
          <cell r="V42">
            <v>0.8</v>
          </cell>
          <cell r="W42">
            <v>0</v>
          </cell>
          <cell r="X42" t="str">
            <v>EST MODULO BRACO DIR DIXON (FX E5001) (PES 2584) - 1,5x1,02x0,8H</v>
          </cell>
          <cell r="Y42">
            <v>32823.08</v>
          </cell>
          <cell r="Z42">
            <v>0.35</v>
          </cell>
          <cell r="AA42">
            <v>21335.002</v>
          </cell>
          <cell r="AB42" t="str">
            <v>AO</v>
          </cell>
        </row>
        <row r="43">
          <cell r="C43">
            <v>1</v>
          </cell>
          <cell r="D43">
            <v>0</v>
          </cell>
          <cell r="E43">
            <v>0</v>
          </cell>
          <cell r="F43">
            <v>0</v>
          </cell>
          <cell r="H43">
            <v>0</v>
          </cell>
          <cell r="O43">
            <v>399501</v>
          </cell>
          <cell r="P43" t="str">
            <v>2025/017-0015-01</v>
          </cell>
          <cell r="Q43" t="str">
            <v>EST MODULO BRACO ESQ DIXON (FX E5001) (PES 2584)</v>
          </cell>
          <cell r="R43">
            <v>3</v>
          </cell>
          <cell r="S43">
            <v>1.02</v>
          </cell>
          <cell r="T43">
            <v>1.5</v>
          </cell>
          <cell r="U43">
            <v>1.02</v>
          </cell>
          <cell r="V43">
            <v>0.8</v>
          </cell>
          <cell r="W43">
            <v>0</v>
          </cell>
          <cell r="X43" t="str">
            <v>EST MODULO BRACO ESQ DIXON (FX E5001) (PES 2584) - 1,5x1,02x0,8H</v>
          </cell>
          <cell r="Y43">
            <v>32823.08</v>
          </cell>
          <cell r="Z43">
            <v>0.35</v>
          </cell>
          <cell r="AA43">
            <v>21335.002</v>
          </cell>
          <cell r="AB43" t="str">
            <v>AO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1</v>
          </cell>
          <cell r="O44">
            <v>402423</v>
          </cell>
          <cell r="P44" t="str">
            <v>2025/048-0002-01</v>
          </cell>
          <cell r="Q44" t="str">
            <v>EST MODULO B/ESQ HIMALAYA (CLA) (NOG) FX 50070</v>
          </cell>
          <cell r="R44">
            <v>3.5</v>
          </cell>
          <cell r="S44">
            <v>1.05</v>
          </cell>
          <cell r="T44">
            <v>1.75</v>
          </cell>
          <cell r="U44">
            <v>1.05</v>
          </cell>
          <cell r="V44">
            <v>0.74</v>
          </cell>
          <cell r="W44">
            <v>0</v>
          </cell>
          <cell r="X44" t="str">
            <v>EST MODULO B/ESQ HIMALAYA (CLA) (NOG) FX 50070 - 1,75x1,05x0,74H</v>
          </cell>
          <cell r="Y44">
            <v>47216.7</v>
          </cell>
          <cell r="Z44">
            <v>0.35</v>
          </cell>
          <cell r="AA44">
            <v>30690.855</v>
          </cell>
          <cell r="AB44" t="str">
            <v>AP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1</v>
          </cell>
          <cell r="O45">
            <v>402424</v>
          </cell>
          <cell r="P45" t="str">
            <v>2025/048-0001-01</v>
          </cell>
          <cell r="Q45" t="str">
            <v>EST MODULO B/DIR HIMALAYA (CLA) (NOG) FX 50070</v>
          </cell>
          <cell r="R45">
            <v>3.5</v>
          </cell>
          <cell r="S45">
            <v>1.05</v>
          </cell>
          <cell r="T45">
            <v>1.75</v>
          </cell>
          <cell r="U45">
            <v>1.05</v>
          </cell>
          <cell r="V45">
            <v>0.74</v>
          </cell>
          <cell r="W45">
            <v>0</v>
          </cell>
          <cell r="X45" t="str">
            <v>EST MODULO B/DIR HIMALAYA (CLA) (NOG) FX 50070 - 1,75x1,05x0,74H</v>
          </cell>
          <cell r="Y45">
            <v>47216.7</v>
          </cell>
          <cell r="Z45">
            <v>0.35</v>
          </cell>
          <cell r="AA45">
            <v>30690.855</v>
          </cell>
          <cell r="AB45" t="str">
            <v>AP</v>
          </cell>
        </row>
        <row r="46">
          <cell r="C46">
            <v>1</v>
          </cell>
          <cell r="D46">
            <v>0</v>
          </cell>
          <cell r="E46">
            <v>0</v>
          </cell>
          <cell r="F46">
            <v>0</v>
          </cell>
          <cell r="H46">
            <v>0</v>
          </cell>
          <cell r="O46">
            <v>391644</v>
          </cell>
          <cell r="P46" t="str">
            <v>2024/297-0117-01</v>
          </cell>
          <cell r="Q46" t="str">
            <v>EST MODULO BRACO DIR NEW LIVORNO (BC07) (FX B2221)</v>
          </cell>
          <cell r="R46">
            <v>3.14</v>
          </cell>
          <cell r="S46">
            <v>1.1499999999999999</v>
          </cell>
          <cell r="T46">
            <v>1.07</v>
          </cell>
          <cell r="U46">
            <v>1.1499999999999999</v>
          </cell>
          <cell r="V46">
            <v>0.9</v>
          </cell>
          <cell r="W46">
            <v>0</v>
          </cell>
          <cell r="X46" t="str">
            <v>EST MODULO BRACO DIR NEW LIVORNO (BC07) (FX B2221) - 1,07x1,15x0,9H</v>
          </cell>
          <cell r="Y46">
            <v>40066.26</v>
          </cell>
          <cell r="Z46">
            <v>0.35</v>
          </cell>
          <cell r="AA46">
            <v>26043.069000000003</v>
          </cell>
          <cell r="AB46" t="str">
            <v>AQ</v>
          </cell>
        </row>
        <row r="47">
          <cell r="C47">
            <v>1</v>
          </cell>
          <cell r="D47">
            <v>0</v>
          </cell>
          <cell r="E47">
            <v>0</v>
          </cell>
          <cell r="F47">
            <v>0</v>
          </cell>
          <cell r="H47">
            <v>0</v>
          </cell>
          <cell r="O47">
            <v>391645</v>
          </cell>
          <cell r="P47" t="str">
            <v>2024/297-0118-01</v>
          </cell>
          <cell r="Q47" t="str">
            <v>EST MODULO BRACO ESQ NEW LIVORNO (BC07) (FX B2221)</v>
          </cell>
          <cell r="R47">
            <v>3.14</v>
          </cell>
          <cell r="S47">
            <v>1.1499999999999999</v>
          </cell>
          <cell r="T47">
            <v>1.07</v>
          </cell>
          <cell r="U47">
            <v>1.1499999999999999</v>
          </cell>
          <cell r="V47">
            <v>0.9</v>
          </cell>
          <cell r="W47">
            <v>0</v>
          </cell>
          <cell r="X47" t="str">
            <v>EST MODULO BRACO ESQ NEW LIVORNO (BC07) (FX B2221) - 1,07x1,15x0,9H</v>
          </cell>
          <cell r="Y47">
            <v>40066.26</v>
          </cell>
          <cell r="Z47">
            <v>0.35</v>
          </cell>
          <cell r="AA47">
            <v>26043.069000000003</v>
          </cell>
          <cell r="AB47" t="str">
            <v>AQ</v>
          </cell>
        </row>
        <row r="48">
          <cell r="C48">
            <v>1</v>
          </cell>
          <cell r="D48">
            <v>0</v>
          </cell>
          <cell r="E48">
            <v>0</v>
          </cell>
          <cell r="F48">
            <v>0</v>
          </cell>
          <cell r="H48">
            <v>0</v>
          </cell>
          <cell r="O48">
            <v>391646</v>
          </cell>
          <cell r="P48" t="str">
            <v>2024/297-0119-01</v>
          </cell>
          <cell r="Q48" t="str">
            <v>EST MODULO S/BRACO NEW LIVORNO (FX B2221)</v>
          </cell>
          <cell r="R48">
            <v>3.14</v>
          </cell>
          <cell r="S48">
            <v>1.1499999999999999</v>
          </cell>
          <cell r="T48">
            <v>1</v>
          </cell>
          <cell r="U48">
            <v>1.1499999999999999</v>
          </cell>
          <cell r="V48">
            <v>0.9</v>
          </cell>
          <cell r="W48">
            <v>0</v>
          </cell>
          <cell r="X48" t="str">
            <v>EST MODULO S/BRACO NEW LIVORNO (FX B2221) - 1x1,15x0,9H</v>
          </cell>
          <cell r="Y48">
            <v>40066.26</v>
          </cell>
          <cell r="Z48">
            <v>0.35</v>
          </cell>
          <cell r="AA48">
            <v>26043.069000000003</v>
          </cell>
          <cell r="AB48" t="str">
            <v>AQ</v>
          </cell>
        </row>
        <row r="49">
          <cell r="C49">
            <v>1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O49">
            <v>400739</v>
          </cell>
          <cell r="P49" t="str">
            <v>2025/064-0020-01</v>
          </cell>
          <cell r="Q49" t="str">
            <v>EST MODULO BRACO DIR JOPLIN FX B2221</v>
          </cell>
          <cell r="R49">
            <v>3.8</v>
          </cell>
          <cell r="S49">
            <v>0.9</v>
          </cell>
          <cell r="T49">
            <v>1.3</v>
          </cell>
          <cell r="U49">
            <v>0.9</v>
          </cell>
          <cell r="V49">
            <v>0.84</v>
          </cell>
          <cell r="W49">
            <v>0</v>
          </cell>
          <cell r="X49" t="str">
            <v>EST MODULO BRACO DIR JOPLIN FX B2221 - 1,3x0,9x0,84H</v>
          </cell>
          <cell r="Y49">
            <v>26183.050000000003</v>
          </cell>
          <cell r="Z49">
            <v>0.35</v>
          </cell>
          <cell r="AA49">
            <v>17018.982500000002</v>
          </cell>
          <cell r="AB49" t="str">
            <v>AR</v>
          </cell>
        </row>
        <row r="50">
          <cell r="C50">
            <v>1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O50">
            <v>400740</v>
          </cell>
          <cell r="P50" t="str">
            <v>2025/064-0021-01</v>
          </cell>
          <cell r="Q50" t="str">
            <v>EST MODULO BRACO ESQ JOPLIN FX B2221</v>
          </cell>
          <cell r="R50">
            <v>3.8</v>
          </cell>
          <cell r="S50">
            <v>0.9</v>
          </cell>
          <cell r="T50">
            <v>1.3</v>
          </cell>
          <cell r="U50">
            <v>0.9</v>
          </cell>
          <cell r="V50">
            <v>0.84</v>
          </cell>
          <cell r="W50">
            <v>0</v>
          </cell>
          <cell r="X50" t="str">
            <v>EST MODULO BRACO ESQ JOPLIN FX B2221 - 1,3x0,9x0,84H</v>
          </cell>
          <cell r="Y50">
            <v>26183.050000000003</v>
          </cell>
          <cell r="Z50">
            <v>0.35</v>
          </cell>
          <cell r="AA50">
            <v>17018.982500000002</v>
          </cell>
          <cell r="AB50" t="str">
            <v>AR</v>
          </cell>
        </row>
        <row r="51">
          <cell r="C51">
            <v>1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O51">
            <v>400742</v>
          </cell>
          <cell r="P51" t="str">
            <v>2025/064-0022-01</v>
          </cell>
          <cell r="Q51" t="str">
            <v>EST MODULO S/BRACO JOPLIN FX B2221</v>
          </cell>
          <cell r="R51">
            <v>3.8</v>
          </cell>
          <cell r="S51">
            <v>0.9</v>
          </cell>
          <cell r="T51">
            <v>1.2</v>
          </cell>
          <cell r="U51">
            <v>0.9</v>
          </cell>
          <cell r="V51">
            <v>0.84</v>
          </cell>
          <cell r="W51">
            <v>0</v>
          </cell>
          <cell r="X51" t="str">
            <v>EST MODULO S/BRACO JOPLIN FX B2221 - 1,2x0,9x0,84H</v>
          </cell>
          <cell r="Y51">
            <v>26183.050000000003</v>
          </cell>
          <cell r="Z51">
            <v>0.35</v>
          </cell>
          <cell r="AA51">
            <v>17018.982500000002</v>
          </cell>
          <cell r="AB51" t="str">
            <v>AR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1</v>
          </cell>
          <cell r="H52">
            <v>0</v>
          </cell>
          <cell r="O52">
            <v>394837</v>
          </cell>
          <cell r="P52" t="str">
            <v>2024/345-0049-01</v>
          </cell>
          <cell r="Q52" t="str">
            <v>EST MODULO CHAISE ENC VIR (AP 70 DIR) REFUGE (NERO) FX C3186</v>
          </cell>
          <cell r="R52">
            <v>4.55</v>
          </cell>
          <cell r="S52">
            <v>3</v>
          </cell>
          <cell r="T52">
            <v>1.1000000000000001</v>
          </cell>
          <cell r="U52">
            <v>3</v>
          </cell>
          <cell r="V52">
            <v>0.95</v>
          </cell>
          <cell r="W52">
            <v>0</v>
          </cell>
          <cell r="X52" t="str">
            <v>EST MODULO CHAISE ENC VIR (AP 70 DIR) REFUGE (NERO) FX C3186 - 1,1x3x0,95H</v>
          </cell>
          <cell r="Y52">
            <v>85905.03</v>
          </cell>
          <cell r="Z52">
            <v>0.35</v>
          </cell>
          <cell r="AA52">
            <v>55838.269500000002</v>
          </cell>
          <cell r="AB52" t="str">
            <v>AS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1</v>
          </cell>
          <cell r="H53">
            <v>0</v>
          </cell>
          <cell r="O53">
            <v>394838</v>
          </cell>
          <cell r="P53" t="str">
            <v>2024/345-0050-01</v>
          </cell>
          <cell r="Q53" t="str">
            <v>EST MODULO S/B REFUGE (FX C3186)</v>
          </cell>
          <cell r="R53">
            <v>4.55</v>
          </cell>
          <cell r="S53">
            <v>3</v>
          </cell>
          <cell r="T53">
            <v>2.2000000000000002</v>
          </cell>
          <cell r="U53">
            <v>1.1000000000000001</v>
          </cell>
          <cell r="V53">
            <v>0.95</v>
          </cell>
          <cell r="W53">
            <v>0</v>
          </cell>
          <cell r="X53" t="str">
            <v>EST MODULO S/B REFUGE (FX C3186) - 2,2x1,1x0,95H</v>
          </cell>
          <cell r="Y53">
            <v>85905.03</v>
          </cell>
          <cell r="Z53">
            <v>0.35</v>
          </cell>
          <cell r="AA53">
            <v>55838.269500000002</v>
          </cell>
          <cell r="AB53" t="str">
            <v>AS</v>
          </cell>
        </row>
        <row r="54">
          <cell r="C54">
            <v>0</v>
          </cell>
          <cell r="D54">
            <v>0</v>
          </cell>
          <cell r="E54">
            <v>0</v>
          </cell>
          <cell r="F54">
            <v>1</v>
          </cell>
          <cell r="H54">
            <v>0</v>
          </cell>
          <cell r="O54">
            <v>394839</v>
          </cell>
          <cell r="P54" t="str">
            <v>2024/345-0051-01</v>
          </cell>
          <cell r="Q54" t="str">
            <v>EST MODULO CHAISE BRACO DIR REFUGE (FX C3186)</v>
          </cell>
          <cell r="R54">
            <v>4.55</v>
          </cell>
          <cell r="S54">
            <v>3</v>
          </cell>
          <cell r="T54">
            <v>1.25</v>
          </cell>
          <cell r="U54">
            <v>1.6</v>
          </cell>
          <cell r="V54">
            <v>0.95</v>
          </cell>
          <cell r="W54">
            <v>0</v>
          </cell>
          <cell r="X54" t="str">
            <v>EST MODULO CHAISE BRACO DIR REFUGE (FX C3186) - 1,25x1,6x0,95H</v>
          </cell>
          <cell r="Y54">
            <v>85905.03</v>
          </cell>
          <cell r="Z54">
            <v>0.35</v>
          </cell>
          <cell r="AA54">
            <v>55838.269500000002</v>
          </cell>
          <cell r="AB54" t="str">
            <v>AS</v>
          </cell>
        </row>
        <row r="55">
          <cell r="C55">
            <v>0</v>
          </cell>
          <cell r="D55">
            <v>0</v>
          </cell>
          <cell r="E55">
            <v>1</v>
          </cell>
          <cell r="F55">
            <v>0</v>
          </cell>
          <cell r="H55">
            <v>0</v>
          </cell>
          <cell r="O55">
            <v>394835</v>
          </cell>
          <cell r="P55" t="str">
            <v>2025/022-0028-01</v>
          </cell>
          <cell r="Q55" t="str">
            <v>EST MODULO BRACO ESQ C/MODULO S/BRACO REFUGE (FX G7125)</v>
          </cell>
          <cell r="R55">
            <v>4.25</v>
          </cell>
          <cell r="S55">
            <v>1.1000000000000001</v>
          </cell>
          <cell r="T55">
            <v>2.4500000000000002</v>
          </cell>
          <cell r="U55">
            <v>1.1000000000000001</v>
          </cell>
          <cell r="V55">
            <v>0.95</v>
          </cell>
          <cell r="W55">
            <v>0</v>
          </cell>
          <cell r="X55" t="str">
            <v>EST MODULO BRACO ESQ C/MODULO S/BRACO REFUGE (FX G7125) - 2,45x1,1x0,95H</v>
          </cell>
          <cell r="Y55">
            <v>63854.47</v>
          </cell>
          <cell r="Z55">
            <v>0.35</v>
          </cell>
          <cell r="AA55">
            <v>41505.405500000001</v>
          </cell>
          <cell r="AB55" t="str">
            <v>AT</v>
          </cell>
        </row>
        <row r="56">
          <cell r="C56">
            <v>0</v>
          </cell>
          <cell r="D56">
            <v>0</v>
          </cell>
          <cell r="E56">
            <v>1</v>
          </cell>
          <cell r="F56">
            <v>0</v>
          </cell>
          <cell r="H56">
            <v>0</v>
          </cell>
          <cell r="O56">
            <v>394836</v>
          </cell>
          <cell r="P56" t="str">
            <v>2025/022-0029-01</v>
          </cell>
          <cell r="Q56" t="str">
            <v>EST MODULO S/B (AP 70 DIR) REFUGE (MTZ MOCCA) (FX G7125)</v>
          </cell>
          <cell r="R56">
            <v>4.25</v>
          </cell>
          <cell r="S56">
            <v>1.1000000000000001</v>
          </cell>
          <cell r="T56">
            <v>1.8</v>
          </cell>
          <cell r="U56">
            <v>1.1000000000000001</v>
          </cell>
          <cell r="V56">
            <v>0.95</v>
          </cell>
          <cell r="W56">
            <v>0</v>
          </cell>
          <cell r="X56" t="str">
            <v>EST MODULO S/B (AP 70 DIR) REFUGE (MTZ MOCCA) (FX G7125) - 1,8x1,1x0,95H</v>
          </cell>
          <cell r="Y56">
            <v>63854.47</v>
          </cell>
          <cell r="Z56">
            <v>0.35</v>
          </cell>
          <cell r="AA56">
            <v>41505.405500000001</v>
          </cell>
          <cell r="AB56" t="str">
            <v>AT</v>
          </cell>
        </row>
        <row r="57">
          <cell r="C57">
            <v>0</v>
          </cell>
          <cell r="D57">
            <v>1</v>
          </cell>
          <cell r="E57">
            <v>0</v>
          </cell>
          <cell r="F57">
            <v>0</v>
          </cell>
          <cell r="H57">
            <v>0</v>
          </cell>
          <cell r="O57">
            <v>394867</v>
          </cell>
          <cell r="P57" t="str">
            <v>2024/352-0071-01</v>
          </cell>
          <cell r="Q57" t="str">
            <v>EST MODULO S/B C/AVANCO ESQ REFUGE (FX D4237)</v>
          </cell>
          <cell r="R57"/>
          <cell r="S57"/>
          <cell r="T57">
            <v>1.5</v>
          </cell>
          <cell r="U57">
            <v>1.1000000000000001</v>
          </cell>
          <cell r="V57">
            <v>0.95</v>
          </cell>
          <cell r="W57">
            <v>0</v>
          </cell>
          <cell r="X57" t="str">
            <v>EST MODULO S/B C/AVANCO ESQ REFUGE (FX D4237) - 1,5x1,1x0,95H</v>
          </cell>
          <cell r="Y57">
            <v>74151.930000000008</v>
          </cell>
          <cell r="Z57">
            <v>0.35</v>
          </cell>
          <cell r="AA57">
            <v>48198.75450000001</v>
          </cell>
          <cell r="AB57" t="str">
            <v>AU</v>
          </cell>
        </row>
        <row r="58">
          <cell r="C58">
            <v>0</v>
          </cell>
          <cell r="D58">
            <v>1</v>
          </cell>
          <cell r="E58">
            <v>0</v>
          </cell>
          <cell r="F58">
            <v>0</v>
          </cell>
          <cell r="H58">
            <v>0</v>
          </cell>
          <cell r="O58">
            <v>394872</v>
          </cell>
          <cell r="P58" t="str">
            <v>2024/352-0072-01</v>
          </cell>
          <cell r="Q58" t="str">
            <v>EST MODULO CHAISE ENC VIRADO ESQ REFUGE (FX D4237)</v>
          </cell>
          <cell r="R58"/>
          <cell r="S58"/>
          <cell r="T58">
            <v>1.1000000000000001</v>
          </cell>
          <cell r="U58">
            <v>2.1</v>
          </cell>
          <cell r="V58">
            <v>0.95</v>
          </cell>
          <cell r="W58">
            <v>0</v>
          </cell>
          <cell r="X58" t="str">
            <v>EST MODULO CHAISE ENC VIRADO ESQ REFUGE (FX D4237) - 1,1x2,1x0,95H</v>
          </cell>
          <cell r="Y58">
            <v>74151.930000000008</v>
          </cell>
          <cell r="Z58">
            <v>0.35</v>
          </cell>
          <cell r="AA58">
            <v>48198.75450000001</v>
          </cell>
          <cell r="AB58" t="str">
            <v>AU</v>
          </cell>
        </row>
        <row r="59">
          <cell r="C59">
            <v>0</v>
          </cell>
          <cell r="D59">
            <v>1</v>
          </cell>
          <cell r="E59">
            <v>0</v>
          </cell>
          <cell r="F59">
            <v>0</v>
          </cell>
          <cell r="H59">
            <v>0</v>
          </cell>
          <cell r="O59">
            <v>394874</v>
          </cell>
          <cell r="P59" t="str">
            <v>2024/352-0073-01</v>
          </cell>
          <cell r="Q59" t="str">
            <v>EST MODULO S/B C/PUFF LATERAL DIR REFUGE (FX D4237)</v>
          </cell>
          <cell r="R59"/>
          <cell r="S59"/>
          <cell r="T59">
            <v>2</v>
          </cell>
          <cell r="U59">
            <v>1.1000000000000001</v>
          </cell>
          <cell r="V59">
            <v>0.95</v>
          </cell>
          <cell r="W59">
            <v>0</v>
          </cell>
          <cell r="X59" t="str">
            <v>EST MODULO S/B C/PUFF LATERAL DIR REFUGE (FX D4237) - 2x1,1x0,95H</v>
          </cell>
          <cell r="Y59">
            <v>74151.930000000008</v>
          </cell>
          <cell r="Z59">
            <v>0.35</v>
          </cell>
          <cell r="AA59">
            <v>48198.75450000001</v>
          </cell>
          <cell r="AB59" t="str">
            <v>AU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</v>
          </cell>
          <cell r="H60">
            <v>0</v>
          </cell>
          <cell r="O60">
            <v>394876</v>
          </cell>
          <cell r="P60" t="str">
            <v>2024/347-0032-01</v>
          </cell>
          <cell r="Q60" t="str">
            <v>EST MODULO BRACO ESQ REFUGE (FX D4139)</v>
          </cell>
          <cell r="R60"/>
          <cell r="S60"/>
          <cell r="T60">
            <v>2.25</v>
          </cell>
          <cell r="U60">
            <v>1.1000000000000001</v>
          </cell>
          <cell r="V60">
            <v>0.95</v>
          </cell>
          <cell r="W60">
            <v>0</v>
          </cell>
          <cell r="X60" t="str">
            <v>EST MODULO BRACO ESQ REFUGE (FX D4139) - 2,25x1,1x0,95H</v>
          </cell>
          <cell r="Y60">
            <v>65790.28</v>
          </cell>
          <cell r="Z60">
            <v>0.35</v>
          </cell>
          <cell r="AA60">
            <v>42763.682000000001</v>
          </cell>
          <cell r="AB60" t="str">
            <v>AV</v>
          </cell>
        </row>
        <row r="61">
          <cell r="C61">
            <v>1</v>
          </cell>
          <cell r="D61">
            <v>0</v>
          </cell>
          <cell r="E61">
            <v>0</v>
          </cell>
          <cell r="F61">
            <v>0</v>
          </cell>
          <cell r="H61">
            <v>0</v>
          </cell>
          <cell r="O61">
            <v>394881</v>
          </cell>
          <cell r="P61" t="str">
            <v>2024/347-0033-01</v>
          </cell>
          <cell r="Q61" t="str">
            <v>EST MODULO S/B CURVO (AP 100 DIR) REFUGE (GRIGIO) (FX D4139)</v>
          </cell>
          <cell r="R61"/>
          <cell r="S61"/>
          <cell r="T61">
            <v>3.1</v>
          </cell>
          <cell r="U61">
            <v>1.55</v>
          </cell>
          <cell r="V61">
            <v>0.95</v>
          </cell>
          <cell r="W61">
            <v>0</v>
          </cell>
          <cell r="X61" t="str">
            <v>EST MODULO S/B CURVO (AP 100 DIR) REFUGE (GRIGIO) (FX D4139) - 3,1x1,55x0,95H</v>
          </cell>
          <cell r="Y61">
            <v>65790.28</v>
          </cell>
          <cell r="Z61">
            <v>0.35</v>
          </cell>
          <cell r="AA61">
            <v>42763.682000000001</v>
          </cell>
          <cell r="AB61" t="str">
            <v>AV</v>
          </cell>
        </row>
        <row r="62">
          <cell r="C62">
            <v>0</v>
          </cell>
          <cell r="D62">
            <v>0</v>
          </cell>
          <cell r="E62">
            <v>0</v>
          </cell>
          <cell r="F62">
            <v>0</v>
          </cell>
          <cell r="H62">
            <v>0</v>
          </cell>
          <cell r="O62">
            <v>402453</v>
          </cell>
          <cell r="P62" t="str">
            <v>2025/107-0035-01</v>
          </cell>
          <cell r="Q62" t="str">
            <v>EST BASE JANTAR BELIZE ORGANICA (P/TP 3,00X1,40) (NOG)</v>
          </cell>
          <cell r="R62"/>
          <cell r="S62"/>
          <cell r="T62">
            <v>2.8</v>
          </cell>
          <cell r="U62">
            <v>1.2</v>
          </cell>
          <cell r="V62">
            <v>0.74</v>
          </cell>
          <cell r="W62">
            <v>0</v>
          </cell>
          <cell r="X62" t="str">
            <v>EST BASE JANTAR BELIZE ORGANICA (P/TP 3,00X1,40) (NOG) - 2,8x1,2x0,74H</v>
          </cell>
          <cell r="Y62">
            <v>85018.134000000005</v>
          </cell>
          <cell r="Z62">
            <v>0.35</v>
          </cell>
          <cell r="AA62">
            <v>55261.787100000001</v>
          </cell>
          <cell r="AB62" t="str">
            <v>AX</v>
          </cell>
        </row>
        <row r="63">
          <cell r="C63">
            <v>0</v>
          </cell>
          <cell r="D63">
            <v>0</v>
          </cell>
          <cell r="E63">
            <v>0</v>
          </cell>
          <cell r="F63">
            <v>0</v>
          </cell>
          <cell r="H63">
            <v>0</v>
          </cell>
          <cell r="O63">
            <v>402755</v>
          </cell>
          <cell r="P63" t="str">
            <v>2025/146-0003-01</v>
          </cell>
          <cell r="Q63" t="str">
            <v>EST TAMPO MARMORE (F12038) (GRUPO 5 TAJ MAHAL) (ORGANICO)</v>
          </cell>
          <cell r="R63"/>
          <cell r="S63"/>
          <cell r="T63">
            <v>3</v>
          </cell>
          <cell r="U63">
            <v>1.4</v>
          </cell>
          <cell r="V63">
            <v>0.02</v>
          </cell>
          <cell r="W63">
            <v>0</v>
          </cell>
          <cell r="X63" t="str">
            <v>EST TAMPO MARMORE (F12038) (GRUPO 5 TAJ MAHAL) (ORGANICO) - 3x1,4x0,02H</v>
          </cell>
          <cell r="Y63">
            <v>85018.134000000005</v>
          </cell>
          <cell r="Z63">
            <v>0.35</v>
          </cell>
          <cell r="AA63">
            <v>55261.787100000001</v>
          </cell>
          <cell r="AB63" t="str">
            <v>AX</v>
          </cell>
        </row>
        <row r="64">
          <cell r="C64">
            <v>1</v>
          </cell>
          <cell r="D64">
            <v>0</v>
          </cell>
          <cell r="E64">
            <v>0</v>
          </cell>
          <cell r="F64">
            <v>0</v>
          </cell>
          <cell r="H64">
            <v>0</v>
          </cell>
          <cell r="O64">
            <v>394903</v>
          </cell>
          <cell r="P64" t="str">
            <v>2024/341-0004-01</v>
          </cell>
          <cell r="Q64" t="str">
            <v>EST MODULO BRACO DIR AGREABLE (FX C3164)</v>
          </cell>
          <cell r="R64"/>
          <cell r="S64"/>
          <cell r="T64">
            <v>1.3</v>
          </cell>
          <cell r="U64">
            <v>1</v>
          </cell>
          <cell r="V64">
            <v>0.77</v>
          </cell>
          <cell r="W64">
            <v>0</v>
          </cell>
          <cell r="X64" t="str">
            <v>EST MODULO BRACO DIR AGREABLE (FX C3164) - 1,3x1x0,77H</v>
          </cell>
          <cell r="Y64">
            <v>98509.42</v>
          </cell>
          <cell r="Z64">
            <v>0.35</v>
          </cell>
          <cell r="AA64">
            <v>64031.123</v>
          </cell>
          <cell r="AB64" t="str">
            <v>AY</v>
          </cell>
        </row>
        <row r="65">
          <cell r="C65">
            <v>2</v>
          </cell>
          <cell r="D65">
            <v>0</v>
          </cell>
          <cell r="E65">
            <v>0</v>
          </cell>
          <cell r="F65">
            <v>0</v>
          </cell>
          <cell r="H65">
            <v>0</v>
          </cell>
          <cell r="O65">
            <v>394904</v>
          </cell>
          <cell r="P65" t="str">
            <v>2024/341-0005-01</v>
          </cell>
          <cell r="Q65" t="str">
            <v>EST MODULO S/BRACO AGREABLE (FX C3164)</v>
          </cell>
          <cell r="R65"/>
          <cell r="S65"/>
          <cell r="T65">
            <v>1.1000000000000001</v>
          </cell>
          <cell r="U65">
            <v>1</v>
          </cell>
          <cell r="V65">
            <v>0.77</v>
          </cell>
          <cell r="W65">
            <v>0</v>
          </cell>
          <cell r="X65" t="str">
            <v>EST MODULO S/BRACO AGREABLE (FX C3164) - 1,1x1x0,77H</v>
          </cell>
          <cell r="Y65">
            <v>98509.42</v>
          </cell>
          <cell r="Z65">
            <v>0.35</v>
          </cell>
          <cell r="AA65">
            <v>64031.123</v>
          </cell>
          <cell r="AB65" t="str">
            <v>AY</v>
          </cell>
        </row>
        <row r="66">
          <cell r="C66">
            <v>2</v>
          </cell>
          <cell r="D66">
            <v>0</v>
          </cell>
          <cell r="E66">
            <v>0</v>
          </cell>
          <cell r="F66">
            <v>0</v>
          </cell>
          <cell r="H66">
            <v>0</v>
          </cell>
          <cell r="O66">
            <v>394904</v>
          </cell>
          <cell r="P66" t="str">
            <v>2024/341-0006-01</v>
          </cell>
          <cell r="Q66" t="str">
            <v>EST MODULO S/BRACO AGREABLE (FX C3164)</v>
          </cell>
          <cell r="R66"/>
          <cell r="S66"/>
          <cell r="T66">
            <v>1.1000000000000001</v>
          </cell>
          <cell r="U66">
            <v>1</v>
          </cell>
          <cell r="V66">
            <v>0.77</v>
          </cell>
          <cell r="W66">
            <v>0</v>
          </cell>
          <cell r="X66" t="str">
            <v>EST MODULO S/BRACO AGREABLE (FX C3164) - 1,1x1x0,77H</v>
          </cell>
          <cell r="Y66">
            <v>98509.42</v>
          </cell>
          <cell r="Z66">
            <v>0.35</v>
          </cell>
          <cell r="AA66">
            <v>64031.123</v>
          </cell>
          <cell r="AB66" t="str">
            <v>AY</v>
          </cell>
        </row>
        <row r="67">
          <cell r="C67">
            <v>1</v>
          </cell>
          <cell r="D67">
            <v>0</v>
          </cell>
          <cell r="E67">
            <v>0</v>
          </cell>
          <cell r="F67">
            <v>0</v>
          </cell>
          <cell r="H67">
            <v>0</v>
          </cell>
          <cell r="O67">
            <v>394905</v>
          </cell>
          <cell r="P67" t="str">
            <v>2024/341-0007-01</v>
          </cell>
          <cell r="Q67" t="str">
            <v>EST MODULO CANTO CHAISE AGREABLE (FX C3164)</v>
          </cell>
          <cell r="R67"/>
          <cell r="S67"/>
          <cell r="T67">
            <v>1.35</v>
          </cell>
          <cell r="U67">
            <v>1.35</v>
          </cell>
          <cell r="V67">
            <v>0.77</v>
          </cell>
          <cell r="W67">
            <v>0</v>
          </cell>
          <cell r="X67" t="str">
            <v>EST MODULO CANTO CHAISE AGREABLE (FX C3164) - 1,35x1,35x0,77H</v>
          </cell>
          <cell r="Y67">
            <v>98509.42</v>
          </cell>
          <cell r="Z67">
            <v>0.35</v>
          </cell>
          <cell r="AA67">
            <v>64031.123</v>
          </cell>
          <cell r="AB67" t="str">
            <v>AY</v>
          </cell>
        </row>
        <row r="68">
          <cell r="C68">
            <v>1</v>
          </cell>
          <cell r="D68">
            <v>0</v>
          </cell>
          <cell r="E68">
            <v>0</v>
          </cell>
          <cell r="F68">
            <v>0</v>
          </cell>
          <cell r="H68">
            <v>0</v>
          </cell>
          <cell r="O68">
            <v>394906</v>
          </cell>
          <cell r="P68" t="str">
            <v>2024/341-0008-01</v>
          </cell>
          <cell r="Q68" t="str">
            <v>EST MODULO PUFF CENTRAL AGREABLE (FX C3164)</v>
          </cell>
          <cell r="R68"/>
          <cell r="S68"/>
          <cell r="T68">
            <v>1.1000000000000001</v>
          </cell>
          <cell r="U68">
            <v>1</v>
          </cell>
          <cell r="V68">
            <v>0.77</v>
          </cell>
          <cell r="W68">
            <v>0</v>
          </cell>
          <cell r="X68" t="str">
            <v>EST MODULO PUFF CENTRAL AGREABLE (FX C3164) - 1,1x1x0,77H</v>
          </cell>
          <cell r="Y68">
            <v>98509.42</v>
          </cell>
          <cell r="Z68">
            <v>0.35</v>
          </cell>
          <cell r="AA68">
            <v>64031.123</v>
          </cell>
          <cell r="AB68" t="str">
            <v>AY</v>
          </cell>
        </row>
        <row r="69">
          <cell r="C69">
            <v>1</v>
          </cell>
          <cell r="D69">
            <v>0</v>
          </cell>
          <cell r="E69">
            <v>0</v>
          </cell>
          <cell r="F69">
            <v>0</v>
          </cell>
          <cell r="H69">
            <v>0</v>
          </cell>
          <cell r="O69">
            <v>394907</v>
          </cell>
          <cell r="P69" t="str">
            <v>2024/341-0009-01</v>
          </cell>
          <cell r="Q69" t="str">
            <v>EST MODULO BRACO ESQ AGREABLE (FX C3164)</v>
          </cell>
          <cell r="R69"/>
          <cell r="S69"/>
          <cell r="T69">
            <v>1.3</v>
          </cell>
          <cell r="U69">
            <v>1</v>
          </cell>
          <cell r="V69">
            <v>0.77</v>
          </cell>
          <cell r="W69">
            <v>0</v>
          </cell>
          <cell r="X69" t="str">
            <v>EST MODULO BRACO ESQ AGREABLE (FX C3164) - 1,3x1x0,77H</v>
          </cell>
          <cell r="Y69">
            <v>98509.42</v>
          </cell>
          <cell r="Z69">
            <v>0.35</v>
          </cell>
          <cell r="AA69">
            <v>64031.123</v>
          </cell>
          <cell r="AB69" t="str">
            <v>AY</v>
          </cell>
        </row>
        <row r="70">
          <cell r="C70">
            <v>1</v>
          </cell>
          <cell r="D70">
            <v>0</v>
          </cell>
          <cell r="E70">
            <v>0</v>
          </cell>
          <cell r="F70">
            <v>0</v>
          </cell>
          <cell r="H70">
            <v>0</v>
          </cell>
          <cell r="O70">
            <v>394908</v>
          </cell>
          <cell r="P70" t="str">
            <v>2024/341-0010-01</v>
          </cell>
          <cell r="Q70" t="str">
            <v>EST MODULO PUFF AGREABLE (FX C3164)</v>
          </cell>
          <cell r="R70"/>
          <cell r="S70"/>
          <cell r="T70">
            <v>1</v>
          </cell>
          <cell r="U70">
            <v>1</v>
          </cell>
          <cell r="V70">
            <v>0.45</v>
          </cell>
          <cell r="W70">
            <v>0</v>
          </cell>
          <cell r="X70" t="str">
            <v>EST MODULO PUFF AGREABLE (FX C3164) - 1x1x0,45H</v>
          </cell>
          <cell r="Y70">
            <v>98509.42</v>
          </cell>
          <cell r="Z70">
            <v>0.35</v>
          </cell>
          <cell r="AA70">
            <v>64031.123</v>
          </cell>
          <cell r="AB70" t="str">
            <v>AY</v>
          </cell>
        </row>
        <row r="71">
          <cell r="C71">
            <v>0</v>
          </cell>
          <cell r="D71">
            <v>1</v>
          </cell>
          <cell r="E71">
            <v>0</v>
          </cell>
          <cell r="F71">
            <v>0</v>
          </cell>
          <cell r="H71">
            <v>0</v>
          </cell>
          <cell r="O71">
            <v>394900</v>
          </cell>
          <cell r="P71" t="str">
            <v>2024/352-0069-01</v>
          </cell>
          <cell r="Q71" t="str">
            <v>EST MODULO CHAISE BRACO ESQ AGREABLE (FX D4178)</v>
          </cell>
          <cell r="R71"/>
          <cell r="S71"/>
          <cell r="T71">
            <v>1.4</v>
          </cell>
          <cell r="U71">
            <v>1.7</v>
          </cell>
          <cell r="V71">
            <v>0.77</v>
          </cell>
          <cell r="W71">
            <v>0</v>
          </cell>
          <cell r="X71" t="str">
            <v>EST MODULO CHAISE BRACO ESQ AGREABLE (FX D4178) - 1,4x1,7x0,77H</v>
          </cell>
          <cell r="Y71">
            <v>59908.75</v>
          </cell>
          <cell r="Z71">
            <v>0.35</v>
          </cell>
          <cell r="AA71">
            <v>38940.6875</v>
          </cell>
          <cell r="AB71" t="str">
            <v>AZ</v>
          </cell>
        </row>
        <row r="72">
          <cell r="C72">
            <v>0</v>
          </cell>
          <cell r="D72">
            <v>1</v>
          </cell>
          <cell r="E72">
            <v>0</v>
          </cell>
          <cell r="F72">
            <v>0</v>
          </cell>
          <cell r="H72">
            <v>0</v>
          </cell>
          <cell r="O72">
            <v>394901</v>
          </cell>
          <cell r="P72" t="str">
            <v>2024/352-0074-01</v>
          </cell>
          <cell r="Q72" t="str">
            <v>EST MODULO S/BRACO AGREABLE (FX D4178)</v>
          </cell>
          <cell r="R72"/>
          <cell r="S72"/>
          <cell r="T72">
            <v>1.2</v>
          </cell>
          <cell r="U72">
            <v>1</v>
          </cell>
          <cell r="V72">
            <v>0.77</v>
          </cell>
          <cell r="W72">
            <v>0</v>
          </cell>
          <cell r="X72" t="str">
            <v>EST MODULO S/BRACO AGREABLE (FX D4178) - 1,2x1x0,77H</v>
          </cell>
          <cell r="Y72">
            <v>59908.75</v>
          </cell>
          <cell r="Z72">
            <v>0.35</v>
          </cell>
          <cell r="AA72">
            <v>38940.6875</v>
          </cell>
          <cell r="AB72" t="str">
            <v>AZ</v>
          </cell>
        </row>
        <row r="73">
          <cell r="C73">
            <v>0</v>
          </cell>
          <cell r="D73">
            <v>1</v>
          </cell>
          <cell r="E73">
            <v>0</v>
          </cell>
          <cell r="F73">
            <v>0</v>
          </cell>
          <cell r="H73">
            <v>0</v>
          </cell>
          <cell r="O73">
            <v>394902</v>
          </cell>
          <cell r="P73" t="str">
            <v>2024/352-0070-01</v>
          </cell>
          <cell r="Q73" t="str">
            <v>EST MODULO BRACO DIR AGREABLE (FX D4178)</v>
          </cell>
          <cell r="R73"/>
          <cell r="S73"/>
          <cell r="T73">
            <v>1.4</v>
          </cell>
          <cell r="U73">
            <v>1</v>
          </cell>
          <cell r="V73">
            <v>0.77</v>
          </cell>
          <cell r="W73">
            <v>0</v>
          </cell>
          <cell r="X73" t="str">
            <v>EST MODULO BRACO DIR AGREABLE (FX D4178) - 1,4x1x0,77H</v>
          </cell>
          <cell r="Y73">
            <v>59908.75</v>
          </cell>
          <cell r="Z73">
            <v>0.35</v>
          </cell>
          <cell r="AA73">
            <v>38940.6875</v>
          </cell>
          <cell r="AB73" t="str">
            <v>AZ</v>
          </cell>
        </row>
        <row r="74">
          <cell r="C74">
            <v>0</v>
          </cell>
          <cell r="D74">
            <v>0</v>
          </cell>
          <cell r="E74">
            <v>1</v>
          </cell>
          <cell r="F74">
            <v>0</v>
          </cell>
          <cell r="H74">
            <v>0</v>
          </cell>
          <cell r="O74">
            <v>373842</v>
          </cell>
          <cell r="P74" t="str">
            <v>2023/307-0021-01</v>
          </cell>
          <cell r="Q74" t="str">
            <v>EST MODULO PUFF LENCOIS M (RVST BG4) TC CANVAS FOREST</v>
          </cell>
          <cell r="R74"/>
          <cell r="S74"/>
          <cell r="T74">
            <v>2.4</v>
          </cell>
          <cell r="U74">
            <v>1</v>
          </cell>
          <cell r="V74">
            <v>0.38</v>
          </cell>
          <cell r="W74">
            <v>0</v>
          </cell>
          <cell r="X74" t="str">
            <v>EST MODULO PUFF LENCOIS M (RVST BG4) TC CANVAS FOREST - 2,4x1x0,38H</v>
          </cell>
          <cell r="Y74">
            <v>87961.68257200002</v>
          </cell>
          <cell r="Z74">
            <v>0.35</v>
          </cell>
          <cell r="AA74">
            <v>57175.093671800016</v>
          </cell>
          <cell r="AB74" t="str">
            <v>BB</v>
          </cell>
        </row>
        <row r="75">
          <cell r="C75">
            <v>0</v>
          </cell>
          <cell r="D75">
            <v>0</v>
          </cell>
          <cell r="E75">
            <v>1</v>
          </cell>
          <cell r="F75">
            <v>0</v>
          </cell>
          <cell r="H75">
            <v>0</v>
          </cell>
          <cell r="O75">
            <v>373843</v>
          </cell>
          <cell r="P75" t="str">
            <v>2023/307-0022-01</v>
          </cell>
          <cell r="Q75" t="str">
            <v>EST MODULO PUFF CHAISE LENCOIS M (RVST BG4) TC CANVAS FOREST</v>
          </cell>
          <cell r="R75"/>
          <cell r="S75"/>
          <cell r="T75">
            <v>2.4</v>
          </cell>
          <cell r="U75">
            <v>1.55</v>
          </cell>
          <cell r="V75">
            <v>0.38</v>
          </cell>
          <cell r="W75">
            <v>0</v>
          </cell>
          <cell r="X75" t="str">
            <v>EST MODULO PUFF CHAISE LENCOIS M (RVST BG4) TC CANVAS FOREST - 2,4x1,55x0,38H</v>
          </cell>
          <cell r="Y75">
            <v>87961.68257200002</v>
          </cell>
          <cell r="Z75">
            <v>0.35</v>
          </cell>
          <cell r="AA75">
            <v>57175.093671800016</v>
          </cell>
          <cell r="AB75" t="str">
            <v>BB</v>
          </cell>
        </row>
        <row r="76">
          <cell r="C76">
            <v>0</v>
          </cell>
          <cell r="D76">
            <v>0</v>
          </cell>
          <cell r="E76">
            <v>1</v>
          </cell>
          <cell r="F76">
            <v>0</v>
          </cell>
          <cell r="H76">
            <v>0</v>
          </cell>
          <cell r="O76">
            <v>373846</v>
          </cell>
          <cell r="P76" t="str">
            <v>2023/307-0023-01</v>
          </cell>
          <cell r="Q76" t="str">
            <v>EST MODULO ENCOSTO RETO LENCOIS M (DET BG4) TC CANVAS FOREST</v>
          </cell>
          <cell r="R76"/>
          <cell r="S76"/>
          <cell r="T76">
            <v>0.7</v>
          </cell>
          <cell r="U76">
            <v>0.26</v>
          </cell>
          <cell r="V76">
            <v>0.26</v>
          </cell>
          <cell r="W76">
            <v>0</v>
          </cell>
          <cell r="X76" t="str">
            <v>EST MODULO ENCOSTO RETO LENCOIS M (DET BG4) TC CANVAS FOREST - 0,7x0,26x0,26H</v>
          </cell>
          <cell r="Y76">
            <v>87961.68257200002</v>
          </cell>
          <cell r="Z76">
            <v>0.35</v>
          </cell>
          <cell r="AA76">
            <v>57175.093671800016</v>
          </cell>
          <cell r="AB76" t="str">
            <v>BB</v>
          </cell>
        </row>
        <row r="77">
          <cell r="C77">
            <v>0</v>
          </cell>
          <cell r="D77">
            <v>0</v>
          </cell>
          <cell r="E77">
            <v>2</v>
          </cell>
          <cell r="F77">
            <v>0</v>
          </cell>
          <cell r="H77">
            <v>0</v>
          </cell>
          <cell r="O77">
            <v>373848</v>
          </cell>
          <cell r="P77" t="str">
            <v>2023/307-0024-01</v>
          </cell>
          <cell r="Q77" t="str">
            <v>EST MODULO ENCOSTO RETO LENCOIS M (DET BG4) TC CANVAS FOREST</v>
          </cell>
          <cell r="R77"/>
          <cell r="S77"/>
          <cell r="T77">
            <v>1.1000000000000001</v>
          </cell>
          <cell r="U77">
            <v>0.26</v>
          </cell>
          <cell r="V77">
            <v>0.26</v>
          </cell>
          <cell r="W77">
            <v>0</v>
          </cell>
          <cell r="X77" t="str">
            <v>EST MODULO ENCOSTO RETO LENCOIS M (DET BG4) TC CANVAS FOREST - 1,1x0,26x0,26H</v>
          </cell>
          <cell r="Y77">
            <v>87961.68257200002</v>
          </cell>
          <cell r="Z77">
            <v>0.35</v>
          </cell>
          <cell r="AA77">
            <v>57175.093671800016</v>
          </cell>
          <cell r="AB77" t="str">
            <v>BB</v>
          </cell>
        </row>
        <row r="78">
          <cell r="C78">
            <v>0</v>
          </cell>
          <cell r="D78">
            <v>0</v>
          </cell>
          <cell r="E78">
            <v>2</v>
          </cell>
          <cell r="F78">
            <v>0</v>
          </cell>
          <cell r="H78">
            <v>0</v>
          </cell>
          <cell r="O78">
            <v>373848</v>
          </cell>
          <cell r="P78" t="str">
            <v>2023/307-0025-01</v>
          </cell>
          <cell r="Q78" t="str">
            <v>EST MODULO ENCOSTO RETO LENCOIS M (DET BG4) TC CANVAS FOREST</v>
          </cell>
          <cell r="R78"/>
          <cell r="S78"/>
          <cell r="T78">
            <v>1.1000000000000001</v>
          </cell>
          <cell r="U78">
            <v>0.26</v>
          </cell>
          <cell r="V78">
            <v>0.26</v>
          </cell>
          <cell r="W78">
            <v>0</v>
          </cell>
          <cell r="X78" t="str">
            <v>EST MODULO ENCOSTO RETO LENCOIS M (DET BG4) TC CANVAS FOREST - 1,1x0,26x0,26H</v>
          </cell>
          <cell r="Y78">
            <v>87961.68257200002</v>
          </cell>
          <cell r="Z78">
            <v>0.35</v>
          </cell>
          <cell r="AA78">
            <v>57175.093671800016</v>
          </cell>
          <cell r="AB78" t="str">
            <v>BB</v>
          </cell>
        </row>
        <row r="79">
          <cell r="C79">
            <v>0</v>
          </cell>
          <cell r="D79">
            <v>0</v>
          </cell>
          <cell r="E79">
            <v>1</v>
          </cell>
          <cell r="F79">
            <v>0</v>
          </cell>
          <cell r="H79">
            <v>0</v>
          </cell>
          <cell r="O79">
            <v>373852</v>
          </cell>
          <cell r="P79" t="str">
            <v>2023/307-0026-01</v>
          </cell>
          <cell r="Q79" t="str">
            <v>EST MODULO ENCOSTO (L) ESQ LENCOIS M (DET BG4) TC CANVAS FOR</v>
          </cell>
          <cell r="R79"/>
          <cell r="S79"/>
          <cell r="T79">
            <v>1.2</v>
          </cell>
          <cell r="U79">
            <v>0.8</v>
          </cell>
          <cell r="V79">
            <v>0.26</v>
          </cell>
          <cell r="W79">
            <v>0</v>
          </cell>
          <cell r="X79" t="str">
            <v>EST MODULO ENCOSTO (L) ESQ LENCOIS M (DET BG4) TC CANVAS FOR - 1,2x0,8x0,26H</v>
          </cell>
          <cell r="Y79">
            <v>87961.68257200002</v>
          </cell>
          <cell r="Z79">
            <v>0.35</v>
          </cell>
          <cell r="AA79">
            <v>57175.093671800016</v>
          </cell>
          <cell r="AB79" t="str">
            <v>BB</v>
          </cell>
        </row>
        <row r="80">
          <cell r="C80">
            <v>0</v>
          </cell>
          <cell r="D80">
            <v>0</v>
          </cell>
          <cell r="E80">
            <v>1</v>
          </cell>
          <cell r="F80">
            <v>0</v>
          </cell>
          <cell r="H80">
            <v>0</v>
          </cell>
          <cell r="O80">
            <v>373884</v>
          </cell>
          <cell r="P80" t="str">
            <v>2023/307-0027-01</v>
          </cell>
          <cell r="Q80" t="str">
            <v>EST MODULO PUFF CANTO 90 LENCOIS M (LISO) TC ROCKYROAD MOSS</v>
          </cell>
          <cell r="R80"/>
          <cell r="S80"/>
          <cell r="T80">
            <v>1</v>
          </cell>
          <cell r="U80">
            <v>1</v>
          </cell>
          <cell r="V80">
            <v>0.38</v>
          </cell>
          <cell r="W80">
            <v>0</v>
          </cell>
          <cell r="X80" t="str">
            <v>EST MODULO PUFF CANTO 90 LENCOIS M (LISO) TC ROCKYROAD MOSS - 1x1x0,38H</v>
          </cell>
          <cell r="Y80">
            <v>87961.68257200002</v>
          </cell>
          <cell r="Z80">
            <v>0.35</v>
          </cell>
          <cell r="AA80">
            <v>57175.093671800016</v>
          </cell>
          <cell r="AB80" t="str">
            <v>BB</v>
          </cell>
        </row>
        <row r="81">
          <cell r="C81">
            <v>0</v>
          </cell>
          <cell r="D81">
            <v>0</v>
          </cell>
          <cell r="E81">
            <v>1</v>
          </cell>
          <cell r="F81">
            <v>0</v>
          </cell>
          <cell r="H81">
            <v>0</v>
          </cell>
          <cell r="O81">
            <v>373885</v>
          </cell>
          <cell r="P81" t="str">
            <v>2023/307-0028-01</v>
          </cell>
          <cell r="Q81" t="str">
            <v>EST MODULO ENCOSTO RETO LENCOIS M (LISO) TC ROCKYROAD MOSS</v>
          </cell>
          <cell r="R81"/>
          <cell r="S81"/>
          <cell r="T81">
            <v>0.7</v>
          </cell>
          <cell r="U81">
            <v>0.26</v>
          </cell>
          <cell r="V81">
            <v>0.26</v>
          </cell>
          <cell r="W81">
            <v>0</v>
          </cell>
          <cell r="X81" t="str">
            <v>EST MODULO ENCOSTO RETO LENCOIS M (LISO) TC ROCKYROAD MOSS - 0,7x0,26x0,26H</v>
          </cell>
          <cell r="Y81">
            <v>87961.68257200002</v>
          </cell>
          <cell r="Z81">
            <v>0.35</v>
          </cell>
          <cell r="AA81">
            <v>57175.093671800016</v>
          </cell>
          <cell r="AB81" t="str">
            <v>BB</v>
          </cell>
        </row>
        <row r="82">
          <cell r="C82">
            <v>0</v>
          </cell>
          <cell r="D82">
            <v>0</v>
          </cell>
          <cell r="E82">
            <v>3</v>
          </cell>
          <cell r="F82">
            <v>0</v>
          </cell>
          <cell r="H82">
            <v>0</v>
          </cell>
          <cell r="O82">
            <v>373886</v>
          </cell>
          <cell r="P82" t="str">
            <v>2023/307-0029-01</v>
          </cell>
          <cell r="Q82" t="str">
            <v>EST ALMOFADA DECORATIVA LENCOIS M (LISO) TC ROCKYROAD MOSS</v>
          </cell>
          <cell r="R82"/>
          <cell r="S82"/>
          <cell r="T82">
            <v>0.5</v>
          </cell>
          <cell r="U82">
            <v>0.5</v>
          </cell>
          <cell r="V82">
            <v>0</v>
          </cell>
          <cell r="W82">
            <v>0</v>
          </cell>
          <cell r="X82" t="str">
            <v>EST ALMOFADA DECORATIVA LENCOIS M (LISO) TC ROCKYROAD MOSS - 0,5x0,5x0H</v>
          </cell>
          <cell r="Y82">
            <v>87961.68257200002</v>
          </cell>
          <cell r="Z82">
            <v>0.35</v>
          </cell>
          <cell r="AA82">
            <v>57175.093671800016</v>
          </cell>
          <cell r="AB82" t="str">
            <v>BB</v>
          </cell>
        </row>
        <row r="83">
          <cell r="C83">
            <v>0</v>
          </cell>
          <cell r="D83">
            <v>0</v>
          </cell>
          <cell r="E83">
            <v>3</v>
          </cell>
          <cell r="F83">
            <v>0</v>
          </cell>
          <cell r="H83">
            <v>0</v>
          </cell>
          <cell r="O83">
            <v>373886</v>
          </cell>
          <cell r="P83" t="str">
            <v>2023/307-0030-01</v>
          </cell>
          <cell r="Q83" t="str">
            <v>EST ALMOFADA DECORATIVA LENCOIS M (LISO) TC ROCKYROAD MOSS</v>
          </cell>
          <cell r="R83"/>
          <cell r="S83"/>
          <cell r="T83">
            <v>0.5</v>
          </cell>
          <cell r="U83">
            <v>0.5</v>
          </cell>
          <cell r="V83">
            <v>0</v>
          </cell>
          <cell r="W83">
            <v>0</v>
          </cell>
          <cell r="X83" t="str">
            <v>EST ALMOFADA DECORATIVA LENCOIS M (LISO) TC ROCKYROAD MOSS - 0,5x0,5x0H</v>
          </cell>
          <cell r="Y83">
            <v>87961.68257200002</v>
          </cell>
          <cell r="Z83">
            <v>0.35</v>
          </cell>
          <cell r="AA83">
            <v>57175.093671800016</v>
          </cell>
          <cell r="AB83" t="str">
            <v>BB</v>
          </cell>
        </row>
        <row r="84">
          <cell r="C84">
            <v>0</v>
          </cell>
          <cell r="D84">
            <v>0</v>
          </cell>
          <cell r="E84">
            <v>3</v>
          </cell>
          <cell r="F84">
            <v>0</v>
          </cell>
          <cell r="H84">
            <v>0</v>
          </cell>
          <cell r="O84">
            <v>373886</v>
          </cell>
          <cell r="P84" t="str">
            <v>2023/307-0031-01</v>
          </cell>
          <cell r="Q84" t="str">
            <v>EST ALMOFADA DECORATIVA LENCOIS M (LISO) TC ROCKYROAD MOSS</v>
          </cell>
          <cell r="R84"/>
          <cell r="S84"/>
          <cell r="T84">
            <v>0.5</v>
          </cell>
          <cell r="U84">
            <v>0.5</v>
          </cell>
          <cell r="V84">
            <v>0</v>
          </cell>
          <cell r="W84">
            <v>0</v>
          </cell>
          <cell r="X84" t="str">
            <v>EST ALMOFADA DECORATIVA LENCOIS M (LISO) TC ROCKYROAD MOSS - 0,5x0,5x0H</v>
          </cell>
          <cell r="Y84">
            <v>87961.68257200002</v>
          </cell>
          <cell r="Z84">
            <v>0.35</v>
          </cell>
          <cell r="AA84">
            <v>57175.093671800016</v>
          </cell>
          <cell r="AB84" t="str">
            <v>BB</v>
          </cell>
        </row>
        <row r="85">
          <cell r="C85">
            <v>0</v>
          </cell>
          <cell r="D85">
            <v>0</v>
          </cell>
          <cell r="E85">
            <v>3</v>
          </cell>
          <cell r="F85">
            <v>0</v>
          </cell>
          <cell r="H85">
            <v>0</v>
          </cell>
          <cell r="O85">
            <v>373887</v>
          </cell>
          <cell r="P85" t="str">
            <v>2023/307-0032-01</v>
          </cell>
          <cell r="Q85" t="str">
            <v>EST ALMOFADA DECORATIVA LENCOIS M (DET BG4) TC CANVAS FOREST</v>
          </cell>
          <cell r="R85"/>
          <cell r="S85"/>
          <cell r="T85">
            <v>0.6</v>
          </cell>
          <cell r="U85">
            <v>0.6</v>
          </cell>
          <cell r="V85">
            <v>0</v>
          </cell>
          <cell r="W85">
            <v>0</v>
          </cell>
          <cell r="X85" t="str">
            <v>EST ALMOFADA DECORATIVA LENCOIS M (DET BG4) TC CANVAS FOREST - 0,6x0,6x0H</v>
          </cell>
          <cell r="Y85">
            <v>87961.68257200002</v>
          </cell>
          <cell r="Z85">
            <v>0.35</v>
          </cell>
          <cell r="AA85">
            <v>57175.093671800016</v>
          </cell>
          <cell r="AB85" t="str">
            <v>BB</v>
          </cell>
        </row>
        <row r="86">
          <cell r="C86">
            <v>0</v>
          </cell>
          <cell r="D86">
            <v>0</v>
          </cell>
          <cell r="E86">
            <v>3</v>
          </cell>
          <cell r="F86">
            <v>0</v>
          </cell>
          <cell r="H86">
            <v>0</v>
          </cell>
          <cell r="O86">
            <v>373887</v>
          </cell>
          <cell r="P86" t="str">
            <v>2023/307-0033-01</v>
          </cell>
          <cell r="Q86" t="str">
            <v>EST ALMOFADA DECORATIVA LENCOIS M (DET BG4) TC CANVAS FOREST</v>
          </cell>
          <cell r="R86"/>
          <cell r="S86"/>
          <cell r="T86">
            <v>0.6</v>
          </cell>
          <cell r="U86">
            <v>0.6</v>
          </cell>
          <cell r="V86">
            <v>0</v>
          </cell>
          <cell r="W86">
            <v>0</v>
          </cell>
          <cell r="X86" t="str">
            <v>EST ALMOFADA DECORATIVA LENCOIS M (DET BG4) TC CANVAS FOREST - 0,6x0,6x0H</v>
          </cell>
          <cell r="Y86">
            <v>87961.68257200002</v>
          </cell>
          <cell r="Z86">
            <v>0.35</v>
          </cell>
          <cell r="AA86">
            <v>57175.093671800016</v>
          </cell>
          <cell r="AB86" t="str">
            <v>BB</v>
          </cell>
        </row>
        <row r="87">
          <cell r="C87">
            <v>0</v>
          </cell>
          <cell r="D87">
            <v>0</v>
          </cell>
          <cell r="E87">
            <v>3</v>
          </cell>
          <cell r="F87">
            <v>0</v>
          </cell>
          <cell r="H87">
            <v>0</v>
          </cell>
          <cell r="O87">
            <v>373887</v>
          </cell>
          <cell r="P87" t="str">
            <v>2023/307-0034-01</v>
          </cell>
          <cell r="Q87" t="str">
            <v>EST ALMOFADA DECORATIVA LENCOIS M (DET BG4) TC CANVAS FOREST</v>
          </cell>
          <cell r="R87"/>
          <cell r="S87"/>
          <cell r="T87">
            <v>0.6</v>
          </cell>
          <cell r="U87">
            <v>0.6</v>
          </cell>
          <cell r="V87">
            <v>0</v>
          </cell>
          <cell r="W87">
            <v>0</v>
          </cell>
          <cell r="X87" t="str">
            <v>EST ALMOFADA DECORATIVA LENCOIS M (DET BG4) TC CANVAS FOREST - 0,6x0,6x0H</v>
          </cell>
          <cell r="Y87">
            <v>87961.68257200002</v>
          </cell>
          <cell r="Z87">
            <v>0.35</v>
          </cell>
          <cell r="AA87">
            <v>57175.093671800016</v>
          </cell>
          <cell r="AB87" t="str">
            <v>BB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1</v>
          </cell>
          <cell r="H88">
            <v>0</v>
          </cell>
          <cell r="O88">
            <v>405869</v>
          </cell>
          <cell r="P88" t="str">
            <v>2025/184-0004-01</v>
          </cell>
          <cell r="Q88" t="str">
            <v>EST MODULO CHAISE BRACO ESQ ELLIE (MTX MARROM) TC D4237</v>
          </cell>
          <cell r="R88"/>
          <cell r="S88"/>
          <cell r="T88">
            <v>1.1000000000000001</v>
          </cell>
          <cell r="U88">
            <v>1.55</v>
          </cell>
          <cell r="V88">
            <v>0.87</v>
          </cell>
          <cell r="W88">
            <v>0</v>
          </cell>
          <cell r="X88" t="str">
            <v>EST MODULO CHAISE BRACO ESQ ELLIE (MTX MARROM) TC D4237 - 1,1x1,55x0,87H</v>
          </cell>
          <cell r="Y88">
            <v>51487.54</v>
          </cell>
          <cell r="Z88">
            <v>0.35</v>
          </cell>
          <cell r="AA88">
            <v>33466.900999999998</v>
          </cell>
          <cell r="AB88" t="str">
            <v>BC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1</v>
          </cell>
          <cell r="H89">
            <v>0</v>
          </cell>
          <cell r="O89">
            <v>405870</v>
          </cell>
          <cell r="P89" t="str">
            <v>2025/184-0005-01</v>
          </cell>
          <cell r="Q89" t="str">
            <v>EST MODULO S/BRACO ELLIE (MTX MARROM) TC D4237</v>
          </cell>
          <cell r="R89"/>
          <cell r="S89"/>
          <cell r="T89">
            <v>0.9</v>
          </cell>
          <cell r="U89">
            <v>1.05</v>
          </cell>
          <cell r="V89">
            <v>0.87</v>
          </cell>
          <cell r="W89">
            <v>0</v>
          </cell>
          <cell r="X89" t="str">
            <v>EST MODULO S/BRACO ELLIE (MTX MARROM) TC D4237 - 0,9x1,05x0,87H</v>
          </cell>
          <cell r="Y89">
            <v>51487.54</v>
          </cell>
          <cell r="Z89">
            <v>0.35</v>
          </cell>
          <cell r="AA89">
            <v>33466.900999999998</v>
          </cell>
          <cell r="AB89" t="str">
            <v>BC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1</v>
          </cell>
          <cell r="H90">
            <v>0</v>
          </cell>
          <cell r="O90">
            <v>405871</v>
          </cell>
          <cell r="P90" t="str">
            <v>2025/184-0006-01</v>
          </cell>
          <cell r="Q90" t="str">
            <v>EST MODULO BRACO DIR ELLIE (MTX MARROM) TC D4237</v>
          </cell>
          <cell r="R90"/>
          <cell r="S90"/>
          <cell r="T90">
            <v>1.1000000000000001</v>
          </cell>
          <cell r="U90">
            <v>1.05</v>
          </cell>
          <cell r="V90">
            <v>0.87</v>
          </cell>
          <cell r="W90">
            <v>0</v>
          </cell>
          <cell r="X90" t="str">
            <v>EST MODULO BRACO DIR ELLIE (MTX MARROM) TC D4237 - 1,1x1,05x0,87H</v>
          </cell>
          <cell r="Y90">
            <v>51487.54</v>
          </cell>
          <cell r="Z90">
            <v>0.35</v>
          </cell>
          <cell r="AA90">
            <v>33466.900999999998</v>
          </cell>
          <cell r="AB90" t="str">
            <v>BC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1</v>
          </cell>
          <cell r="H91">
            <v>0</v>
          </cell>
          <cell r="O91">
            <v>405872</v>
          </cell>
          <cell r="P91" t="str">
            <v>2025/184-0007-01</v>
          </cell>
          <cell r="Q91" t="str">
            <v>EST KIT MOTORIZADO TOUCH (ABERTURA 35) (2 ASSENTOS)</v>
          </cell>
          <cell r="R91"/>
          <cell r="S91"/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 t="str">
            <v>EST KIT MOTORIZADO TOUCH (ABERTURA 35) (2 ASSENTOS) - Ø0x0H</v>
          </cell>
          <cell r="Y91">
            <v>51487.54</v>
          </cell>
          <cell r="Z91">
            <v>0.35</v>
          </cell>
          <cell r="AA91">
            <v>33466.900999999998</v>
          </cell>
          <cell r="AB91" t="str">
            <v>BC</v>
          </cell>
        </row>
        <row r="92">
          <cell r="C92">
            <v>0</v>
          </cell>
          <cell r="D92">
            <v>0</v>
          </cell>
          <cell r="E92">
            <v>1</v>
          </cell>
          <cell r="F92">
            <v>0</v>
          </cell>
          <cell r="H92">
            <v>0</v>
          </cell>
          <cell r="O92">
            <v>405876</v>
          </cell>
          <cell r="P92" t="str">
            <v>2025/184-0008-01</v>
          </cell>
          <cell r="Q92" t="str">
            <v>EST MODULO CHAISE BRACO DIR ELLIE (MTZ CAPPUCCINO) TC D4235</v>
          </cell>
          <cell r="R92"/>
          <cell r="S92"/>
          <cell r="T92">
            <v>1.1000000000000001</v>
          </cell>
          <cell r="U92">
            <v>1.55</v>
          </cell>
          <cell r="V92">
            <v>0.87</v>
          </cell>
          <cell r="W92">
            <v>0</v>
          </cell>
          <cell r="X92" t="str">
            <v>EST MODULO CHAISE BRACO DIR ELLIE (MTZ CAPPUCCINO) TC D4235 - 1,1x1,55x0,87H</v>
          </cell>
          <cell r="Y92">
            <v>53759.91</v>
          </cell>
          <cell r="Z92">
            <v>0.35</v>
          </cell>
          <cell r="AA92">
            <v>34943.941500000001</v>
          </cell>
          <cell r="AB92" t="str">
            <v>BD</v>
          </cell>
        </row>
        <row r="93">
          <cell r="C93">
            <v>0</v>
          </cell>
          <cell r="D93">
            <v>0</v>
          </cell>
          <cell r="E93">
            <v>1</v>
          </cell>
          <cell r="F93">
            <v>0</v>
          </cell>
          <cell r="H93">
            <v>0</v>
          </cell>
          <cell r="O93">
            <v>405877</v>
          </cell>
          <cell r="P93" t="str">
            <v>2025/184-0009-01</v>
          </cell>
          <cell r="Q93" t="str">
            <v>EST MODULO S/BRACO ELLIE (MTZ CAPPUCCINO) TC D4235</v>
          </cell>
          <cell r="R93"/>
          <cell r="S93"/>
          <cell r="T93">
            <v>0.9</v>
          </cell>
          <cell r="U93">
            <v>1.05</v>
          </cell>
          <cell r="V93">
            <v>0.87</v>
          </cell>
          <cell r="W93">
            <v>0</v>
          </cell>
          <cell r="X93" t="str">
            <v>EST MODULO S/BRACO ELLIE (MTZ CAPPUCCINO) TC D4235 - 0,9x1,05x0,87H</v>
          </cell>
          <cell r="Y93">
            <v>53759.91</v>
          </cell>
          <cell r="Z93">
            <v>0.35</v>
          </cell>
          <cell r="AA93">
            <v>34943.941500000001</v>
          </cell>
          <cell r="AB93" t="str">
            <v>BD</v>
          </cell>
        </row>
        <row r="94">
          <cell r="C94">
            <v>0</v>
          </cell>
          <cell r="D94">
            <v>0</v>
          </cell>
          <cell r="E94">
            <v>1</v>
          </cell>
          <cell r="F94">
            <v>0</v>
          </cell>
          <cell r="H94">
            <v>0</v>
          </cell>
          <cell r="O94">
            <v>405879</v>
          </cell>
          <cell r="P94" t="str">
            <v>2025/184-0010-01</v>
          </cell>
          <cell r="Q94" t="str">
            <v>EST MODULO BRACO ESQ ELLIE (MTZ CAPPUCCINO) TC D4235</v>
          </cell>
          <cell r="R94"/>
          <cell r="S94"/>
          <cell r="T94">
            <v>1.1000000000000001</v>
          </cell>
          <cell r="U94">
            <v>1.05</v>
          </cell>
          <cell r="V94">
            <v>0.87</v>
          </cell>
          <cell r="W94">
            <v>0</v>
          </cell>
          <cell r="X94" t="str">
            <v>EST MODULO BRACO ESQ ELLIE (MTZ CAPPUCCINO) TC D4235 - 1,1x1,05x0,87H</v>
          </cell>
          <cell r="Y94">
            <v>53759.91</v>
          </cell>
          <cell r="Z94">
            <v>0.35</v>
          </cell>
          <cell r="AA94">
            <v>34943.941500000001</v>
          </cell>
          <cell r="AB94" t="str">
            <v>BD</v>
          </cell>
        </row>
        <row r="95">
          <cell r="C95">
            <v>0</v>
          </cell>
          <cell r="D95">
            <v>0</v>
          </cell>
          <cell r="E95">
            <v>1</v>
          </cell>
          <cell r="F95">
            <v>0</v>
          </cell>
          <cell r="H95">
            <v>0</v>
          </cell>
          <cell r="O95">
            <v>405891</v>
          </cell>
          <cell r="P95" t="str">
            <v>2025/184-0011-01</v>
          </cell>
          <cell r="Q95" t="str">
            <v>EST KIT MOTORIZADO TOUCH (ABERTURA 35) (2 ASSENTOS)</v>
          </cell>
          <cell r="R95"/>
          <cell r="S95"/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 t="str">
            <v>EST KIT MOTORIZADO TOUCH (ABERTURA 35) (2 ASSENTOS) - Ø0x0H</v>
          </cell>
          <cell r="Y95">
            <v>53759.91</v>
          </cell>
          <cell r="Z95">
            <v>0.35</v>
          </cell>
          <cell r="AA95">
            <v>34943.941500000001</v>
          </cell>
          <cell r="AB95" t="str">
            <v>BD</v>
          </cell>
        </row>
        <row r="96">
          <cell r="C96">
            <v>1</v>
          </cell>
          <cell r="D96">
            <v>0</v>
          </cell>
          <cell r="E96">
            <v>0</v>
          </cell>
          <cell r="F96">
            <v>0</v>
          </cell>
          <cell r="H96">
            <v>0</v>
          </cell>
          <cell r="O96">
            <v>405873</v>
          </cell>
          <cell r="P96" t="str">
            <v>2025/182-0076-01</v>
          </cell>
          <cell r="Q96" t="str">
            <v>EST MODULO BRACO DIR ELLIE (MTZ CONHAQUE) TC D4119</v>
          </cell>
          <cell r="R96"/>
          <cell r="S96"/>
          <cell r="T96">
            <v>1.3</v>
          </cell>
          <cell r="U96">
            <v>1.05</v>
          </cell>
          <cell r="V96">
            <v>0.87</v>
          </cell>
          <cell r="W96">
            <v>0</v>
          </cell>
          <cell r="X96" t="str">
            <v>EST MODULO BRACO DIR ELLIE (MTZ CONHAQUE) TC D4119 - 1,3x1,05x0,87H</v>
          </cell>
          <cell r="Y96">
            <v>59097.510000000009</v>
          </cell>
          <cell r="Z96">
            <v>0.35</v>
          </cell>
          <cell r="AA96">
            <v>38413.381500000003</v>
          </cell>
          <cell r="AB96" t="str">
            <v>BE</v>
          </cell>
        </row>
        <row r="97">
          <cell r="C97">
            <v>1</v>
          </cell>
          <cell r="D97">
            <v>0</v>
          </cell>
          <cell r="E97">
            <v>0</v>
          </cell>
          <cell r="F97">
            <v>0</v>
          </cell>
          <cell r="H97">
            <v>0</v>
          </cell>
          <cell r="O97">
            <v>405874</v>
          </cell>
          <cell r="P97" t="str">
            <v>2025/182-0077-01</v>
          </cell>
          <cell r="Q97" t="str">
            <v>EST MODULO S/BRACO DIR ELLIE (MTZ CONHAQUE) TC D4119</v>
          </cell>
          <cell r="R97"/>
          <cell r="S97"/>
          <cell r="T97">
            <v>1.1000000000000001</v>
          </cell>
          <cell r="U97">
            <v>1.05</v>
          </cell>
          <cell r="V97">
            <v>0.87</v>
          </cell>
          <cell r="W97">
            <v>0</v>
          </cell>
          <cell r="X97" t="str">
            <v>EST MODULO S/BRACO DIR ELLIE (MTZ CONHAQUE) TC D4119 - 1,1x1,05x0,87H</v>
          </cell>
          <cell r="Y97">
            <v>59097.510000000009</v>
          </cell>
          <cell r="Z97">
            <v>0.35</v>
          </cell>
          <cell r="AA97">
            <v>38413.381500000003</v>
          </cell>
          <cell r="AB97" t="str">
            <v>BE</v>
          </cell>
        </row>
        <row r="98">
          <cell r="C98">
            <v>1</v>
          </cell>
          <cell r="D98">
            <v>0</v>
          </cell>
          <cell r="E98">
            <v>0</v>
          </cell>
          <cell r="F98">
            <v>0</v>
          </cell>
          <cell r="H98">
            <v>0</v>
          </cell>
          <cell r="O98">
            <v>405875</v>
          </cell>
          <cell r="P98" t="str">
            <v>2025/182-0078-01</v>
          </cell>
          <cell r="Q98" t="str">
            <v>EST MODULO BRACO ESQ ELLIE (MTZ CONHAQUE) TC D4119</v>
          </cell>
          <cell r="R98"/>
          <cell r="S98"/>
          <cell r="T98">
            <v>1.3</v>
          </cell>
          <cell r="U98">
            <v>1.05</v>
          </cell>
          <cell r="V98">
            <v>0.87</v>
          </cell>
          <cell r="W98">
            <v>0</v>
          </cell>
          <cell r="X98" t="str">
            <v>EST MODULO BRACO ESQ ELLIE (MTZ CONHAQUE) TC D4119 - 1,3x1,05x0,87H</v>
          </cell>
          <cell r="Y98">
            <v>59097.510000000009</v>
          </cell>
          <cell r="Z98">
            <v>0.35</v>
          </cell>
          <cell r="AA98">
            <v>38413.381500000003</v>
          </cell>
          <cell r="AB98" t="str">
            <v>BE</v>
          </cell>
        </row>
        <row r="99">
          <cell r="C99">
            <v>1</v>
          </cell>
          <cell r="D99">
            <v>0</v>
          </cell>
          <cell r="E99">
            <v>0</v>
          </cell>
          <cell r="F99">
            <v>0</v>
          </cell>
          <cell r="H99">
            <v>0</v>
          </cell>
          <cell r="O99">
            <v>405890</v>
          </cell>
          <cell r="P99" t="str">
            <v>2025/182-0079-01</v>
          </cell>
          <cell r="Q99" t="str">
            <v>EST KIT MOTORIZADO TOUCH (ABERTURA 35) (3 ASSENTOS)</v>
          </cell>
          <cell r="R99"/>
          <cell r="S99"/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 t="str">
            <v>EST KIT MOTORIZADO TOUCH (ABERTURA 35) (3 ASSENTOS) - Ø0x0H</v>
          </cell>
          <cell r="Y99">
            <v>59097.510000000009</v>
          </cell>
          <cell r="Z99">
            <v>0.35</v>
          </cell>
          <cell r="AA99">
            <v>38413.381500000003</v>
          </cell>
          <cell r="AB99" t="str">
            <v>BE</v>
          </cell>
        </row>
        <row r="100">
          <cell r="C100">
            <v>1</v>
          </cell>
          <cell r="D100">
            <v>0</v>
          </cell>
          <cell r="E100">
            <v>0</v>
          </cell>
          <cell r="F100">
            <v>0</v>
          </cell>
          <cell r="H100">
            <v>0</v>
          </cell>
          <cell r="O100">
            <v>409780</v>
          </cell>
          <cell r="P100" t="str">
            <v>2025/237-0018-01</v>
          </cell>
          <cell r="Q100" t="str">
            <v>EST MODULO B/ESQ C/AVANCO BASE ESQ DALOA (FREIJO) FX J0500</v>
          </cell>
          <cell r="R100"/>
          <cell r="S100"/>
          <cell r="T100">
            <v>3.15</v>
          </cell>
          <cell r="U100">
            <v>1</v>
          </cell>
          <cell r="V100">
            <v>0.85</v>
          </cell>
          <cell r="W100">
            <v>0</v>
          </cell>
          <cell r="X100" t="str">
            <v>EST MODULO B/ESQ C/AVANCO BASE ESQ DALOA (FREIJO) FX J0500 - 3,15x1x0,85H</v>
          </cell>
          <cell r="Y100">
            <v>75098.649999999994</v>
          </cell>
          <cell r="Z100">
            <v>0.35</v>
          </cell>
          <cell r="AA100">
            <v>48814.122499999998</v>
          </cell>
          <cell r="AB100" t="str">
            <v>BF</v>
          </cell>
        </row>
        <row r="101">
          <cell r="C101">
            <v>1</v>
          </cell>
          <cell r="D101">
            <v>0</v>
          </cell>
          <cell r="E101">
            <v>0</v>
          </cell>
          <cell r="F101">
            <v>0</v>
          </cell>
          <cell r="H101">
            <v>0</v>
          </cell>
          <cell r="O101">
            <v>409781</v>
          </cell>
          <cell r="P101" t="str">
            <v>2025/237-0019-01</v>
          </cell>
          <cell r="Q101" t="str">
            <v>EST MODULO CH ENC V F DIR C/AV BASE DALOA (FREIJO) FX J0500</v>
          </cell>
          <cell r="R101"/>
          <cell r="S101"/>
          <cell r="T101">
            <v>3.02</v>
          </cell>
          <cell r="U101">
            <v>1</v>
          </cell>
          <cell r="V101">
            <v>0.85</v>
          </cell>
          <cell r="W101">
            <v>0</v>
          </cell>
          <cell r="X101" t="str">
            <v>EST MODULO CH ENC V F DIR C/AV BASE DALOA (FREIJO) FX J0500 - 3,02x1x0,85H</v>
          </cell>
          <cell r="Y101">
            <v>75098.649999999994</v>
          </cell>
          <cell r="Z101">
            <v>0.35</v>
          </cell>
          <cell r="AA101">
            <v>48814.122499999998</v>
          </cell>
          <cell r="AB101" t="str">
            <v>BF</v>
          </cell>
        </row>
        <row r="102">
          <cell r="C102">
            <v>1</v>
          </cell>
          <cell r="D102">
            <v>0</v>
          </cell>
          <cell r="E102">
            <v>0</v>
          </cell>
          <cell r="F102">
            <v>0</v>
          </cell>
          <cell r="H102">
            <v>0</v>
          </cell>
          <cell r="O102">
            <v>404111</v>
          </cell>
          <cell r="P102" t="str">
            <v>2025/246-0033-01</v>
          </cell>
          <cell r="Q102" t="str">
            <v>EST OMBRELLONE BELLAGIO (ALU C29 | CORD V01)</v>
          </cell>
          <cell r="R102"/>
          <cell r="S102"/>
          <cell r="T102">
            <v>2.5</v>
          </cell>
          <cell r="U102">
            <v>0</v>
          </cell>
          <cell r="V102">
            <v>2.2000000000000002</v>
          </cell>
          <cell r="W102">
            <v>2.5</v>
          </cell>
          <cell r="X102" t="str">
            <v>EST OMBRELLONE BELLAGIO (ALU C29 | CORD V01) - Ø2,5x2,2H</v>
          </cell>
          <cell r="Y102">
            <v>45566.89</v>
          </cell>
          <cell r="Z102">
            <v>0.35</v>
          </cell>
          <cell r="AA102">
            <v>29618.478500000001</v>
          </cell>
          <cell r="AB102" t="str">
            <v>BG</v>
          </cell>
        </row>
        <row r="103">
          <cell r="C103">
            <v>1</v>
          </cell>
          <cell r="D103">
            <v>0</v>
          </cell>
          <cell r="E103">
            <v>0</v>
          </cell>
          <cell r="F103">
            <v>0</v>
          </cell>
          <cell r="H103">
            <v>0</v>
          </cell>
          <cell r="O103">
            <v>409905</v>
          </cell>
          <cell r="P103" t="str">
            <v>2025/246-0036-01</v>
          </cell>
          <cell r="Q103" t="str">
            <v>EST COMPONENTE BASE OMBRELONE BELLAGIO (ALU C29)</v>
          </cell>
          <cell r="R103"/>
          <cell r="S103"/>
          <cell r="T103">
            <v>0.5</v>
          </cell>
          <cell r="U103">
            <v>0</v>
          </cell>
          <cell r="V103">
            <v>0.35</v>
          </cell>
          <cell r="W103">
            <v>0.5</v>
          </cell>
          <cell r="X103" t="str">
            <v>EST COMPONENTE BASE OMBRELONE BELLAGIO (ALU C29) - Ø0,5x0,35H</v>
          </cell>
          <cell r="Y103">
            <v>45566.89</v>
          </cell>
          <cell r="Z103">
            <v>0.35</v>
          </cell>
          <cell r="AA103">
            <v>29618.478500000001</v>
          </cell>
          <cell r="AB103" t="str">
            <v>BG</v>
          </cell>
        </row>
        <row r="104">
          <cell r="C104">
            <v>1</v>
          </cell>
          <cell r="D104">
            <v>0</v>
          </cell>
          <cell r="E104">
            <v>0</v>
          </cell>
          <cell r="F104">
            <v>0</v>
          </cell>
          <cell r="H104">
            <v>0</v>
          </cell>
          <cell r="O104">
            <v>409782</v>
          </cell>
          <cell r="P104" t="str">
            <v>2025/253-0012-01</v>
          </cell>
          <cell r="Q104" t="str">
            <v>EST MODULO CHAISE BRACO ESQ LAGO FX D4238</v>
          </cell>
          <cell r="R104"/>
          <cell r="S104"/>
          <cell r="T104">
            <v>1.3</v>
          </cell>
          <cell r="U104">
            <v>1.6</v>
          </cell>
          <cell r="V104">
            <v>0.84</v>
          </cell>
          <cell r="W104">
            <v>0</v>
          </cell>
          <cell r="X104" t="str">
            <v>EST MODULO CHAISE BRACO ESQ LAGO FX D4238 - 1,3x1,6x0,84H</v>
          </cell>
          <cell r="Y104">
            <v>51573.24</v>
          </cell>
          <cell r="Z104">
            <v>0.35</v>
          </cell>
          <cell r="AA104">
            <v>33522.606</v>
          </cell>
          <cell r="AB104" t="str">
            <v>BH</v>
          </cell>
        </row>
        <row r="105">
          <cell r="C105">
            <v>1</v>
          </cell>
          <cell r="D105">
            <v>0</v>
          </cell>
          <cell r="E105">
            <v>0</v>
          </cell>
          <cell r="F105">
            <v>0</v>
          </cell>
          <cell r="H105">
            <v>0</v>
          </cell>
          <cell r="O105">
            <v>409783</v>
          </cell>
          <cell r="P105" t="str">
            <v>2025/253-0013-01</v>
          </cell>
          <cell r="Q105" t="str">
            <v>EST MODULO S/BRACO LAGO FX D4238</v>
          </cell>
          <cell r="R105"/>
          <cell r="S105"/>
          <cell r="T105">
            <v>1</v>
          </cell>
          <cell r="U105">
            <v>1.2</v>
          </cell>
          <cell r="V105">
            <v>0.84</v>
          </cell>
          <cell r="W105">
            <v>0</v>
          </cell>
          <cell r="X105" t="str">
            <v>EST MODULO S/BRACO LAGO FX D4238 - 1x1,2x0,84H</v>
          </cell>
          <cell r="Y105">
            <v>51573.24</v>
          </cell>
          <cell r="Z105">
            <v>0.35</v>
          </cell>
          <cell r="AA105">
            <v>33522.606</v>
          </cell>
          <cell r="AB105" t="str">
            <v>BH</v>
          </cell>
        </row>
        <row r="106">
          <cell r="C106">
            <v>1</v>
          </cell>
          <cell r="D106">
            <v>0</v>
          </cell>
          <cell r="E106">
            <v>0</v>
          </cell>
          <cell r="F106">
            <v>0</v>
          </cell>
          <cell r="H106">
            <v>0</v>
          </cell>
          <cell r="O106">
            <v>409784</v>
          </cell>
          <cell r="P106" t="str">
            <v>2025/253-0014-01</v>
          </cell>
          <cell r="Q106" t="str">
            <v>EST MODULO BRACO DIR LAGO FX D4238</v>
          </cell>
          <cell r="R106"/>
          <cell r="S106"/>
          <cell r="T106">
            <v>1.3</v>
          </cell>
          <cell r="U106">
            <v>1.2</v>
          </cell>
          <cell r="V106">
            <v>0.84</v>
          </cell>
          <cell r="W106">
            <v>0</v>
          </cell>
          <cell r="X106" t="str">
            <v>EST MODULO BRACO DIR LAGO FX D4238 - 1,3x1,2x0,84H</v>
          </cell>
          <cell r="Y106">
            <v>51573.24</v>
          </cell>
          <cell r="Z106">
            <v>0.35</v>
          </cell>
          <cell r="AA106">
            <v>33522.606</v>
          </cell>
          <cell r="AB106" t="str">
            <v>BH</v>
          </cell>
        </row>
        <row r="107">
          <cell r="C107">
            <v>1</v>
          </cell>
          <cell r="D107">
            <v>0</v>
          </cell>
          <cell r="E107">
            <v>0</v>
          </cell>
          <cell r="F107">
            <v>0</v>
          </cell>
          <cell r="H107">
            <v>0</v>
          </cell>
          <cell r="O107">
            <v>409785</v>
          </cell>
          <cell r="P107" t="str">
            <v>2025/253-0015-01</v>
          </cell>
          <cell r="Q107" t="str">
            <v>EST KIT MOTORIZADO TOUCH (ABERTURA 40) (1 ASSENTO)</v>
          </cell>
          <cell r="R107"/>
          <cell r="S107"/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 t="str">
            <v>EST KIT MOTORIZADO TOUCH (ABERTURA 40) (1 ASSENTO) - Ø0x0H</v>
          </cell>
          <cell r="Y107">
            <v>51573.24</v>
          </cell>
          <cell r="Z107">
            <v>0.35</v>
          </cell>
          <cell r="AA107">
            <v>33522.606</v>
          </cell>
          <cell r="AB107" t="str">
            <v>BH</v>
          </cell>
        </row>
        <row r="108">
          <cell r="C108">
            <v>1</v>
          </cell>
          <cell r="D108">
            <v>0</v>
          </cell>
          <cell r="E108">
            <v>0</v>
          </cell>
          <cell r="F108">
            <v>0</v>
          </cell>
          <cell r="H108">
            <v>0</v>
          </cell>
          <cell r="O108">
            <v>379873</v>
          </cell>
          <cell r="P108" t="str">
            <v>2024/068-0047-01</v>
          </cell>
          <cell r="Q108" t="str">
            <v>EST BASE APARADOR MONDRIAN (BAIXO) (C/PORTA) (LAM NOG)</v>
          </cell>
          <cell r="R108"/>
          <cell r="S108"/>
          <cell r="T108">
            <v>1.8</v>
          </cell>
          <cell r="U108">
            <v>0.45</v>
          </cell>
          <cell r="V108">
            <v>0.45</v>
          </cell>
          <cell r="W108">
            <v>0</v>
          </cell>
          <cell r="X108" t="str">
            <v>EST BASE APARADOR MONDRIAN (BAIXO) (C/PORTA) (LAM NOG) - 1,8x0,45x0,45H</v>
          </cell>
          <cell r="Y108">
            <v>42894.3</v>
          </cell>
          <cell r="Z108">
            <v>0.5</v>
          </cell>
          <cell r="AA108">
            <v>21447.15</v>
          </cell>
          <cell r="AB108" t="str">
            <v>BI</v>
          </cell>
        </row>
        <row r="109">
          <cell r="C109">
            <v>1</v>
          </cell>
          <cell r="D109">
            <v>0</v>
          </cell>
          <cell r="E109">
            <v>0</v>
          </cell>
          <cell r="F109">
            <v>1</v>
          </cell>
          <cell r="H109">
            <v>0</v>
          </cell>
          <cell r="O109">
            <v>379880</v>
          </cell>
          <cell r="P109" t="str">
            <v>2024/068-0049-01</v>
          </cell>
          <cell r="Q109" t="str">
            <v>EST TAMPO MONDRIAN (PEDRA 2) (QUARTZITO BRONZITE)</v>
          </cell>
          <cell r="R109"/>
          <cell r="S109"/>
          <cell r="T109">
            <v>1.2</v>
          </cell>
          <cell r="U109">
            <v>0.42</v>
          </cell>
          <cell r="V109">
            <v>0.02</v>
          </cell>
          <cell r="W109">
            <v>0</v>
          </cell>
          <cell r="X109" t="str">
            <v>EST TAMPO MONDRIAN (PEDRA 2) (QUARTZITO BRONZITE) - 1,2x0,42x0,02H</v>
          </cell>
          <cell r="Y109">
            <v>42894.3</v>
          </cell>
          <cell r="Z109">
            <v>0.35</v>
          </cell>
          <cell r="AA109">
            <v>27881.295000000006</v>
          </cell>
          <cell r="AB109" t="str">
            <v>BI</v>
          </cell>
        </row>
        <row r="110">
          <cell r="C110">
            <v>0</v>
          </cell>
          <cell r="D110">
            <v>1</v>
          </cell>
          <cell r="E110">
            <v>0</v>
          </cell>
          <cell r="F110">
            <v>0</v>
          </cell>
          <cell r="H110">
            <v>0</v>
          </cell>
          <cell r="O110">
            <v>410919</v>
          </cell>
          <cell r="P110" t="str">
            <v>2025/272-0043-01</v>
          </cell>
          <cell r="Q110" t="str">
            <v>EST MODULO BRACO DIR IZADORA (CAPA/PENA) (2ASS) (TC DEVA 08)</v>
          </cell>
          <cell r="R110"/>
          <cell r="S110"/>
          <cell r="T110">
            <v>1.74</v>
          </cell>
          <cell r="U110">
            <v>1.04</v>
          </cell>
          <cell r="V110">
            <v>0.89</v>
          </cell>
          <cell r="W110">
            <v>0</v>
          </cell>
          <cell r="X110" t="str">
            <v>EST MODULO BRACO DIR IZADORA (CAPA/PENA) (2ASS) (TC DEVA 08) - 1,74x1,04x0,89H</v>
          </cell>
          <cell r="Y110">
            <v>39452.480000000003</v>
          </cell>
          <cell r="Z110">
            <v>0.35</v>
          </cell>
          <cell r="AA110">
            <v>25644.112000000001</v>
          </cell>
          <cell r="AB110" t="str">
            <v>BJ</v>
          </cell>
        </row>
        <row r="111">
          <cell r="C111">
            <v>0</v>
          </cell>
          <cell r="D111">
            <v>1</v>
          </cell>
          <cell r="E111">
            <v>0</v>
          </cell>
          <cell r="F111">
            <v>0</v>
          </cell>
          <cell r="H111">
            <v>0</v>
          </cell>
          <cell r="O111">
            <v>410920</v>
          </cell>
          <cell r="P111" t="str">
            <v>2025/272-0042-01</v>
          </cell>
          <cell r="Q111" t="str">
            <v>EST MODULO BRACO ESQ IZADORA (CAPA/PENA) (2ASS) (TC DEVA 08)</v>
          </cell>
          <cell r="R111"/>
          <cell r="S111"/>
          <cell r="T111">
            <v>1.74</v>
          </cell>
          <cell r="U111">
            <v>1.04</v>
          </cell>
          <cell r="V111">
            <v>0.89</v>
          </cell>
          <cell r="W111">
            <v>0</v>
          </cell>
          <cell r="X111" t="str">
            <v>EST MODULO BRACO ESQ IZADORA (CAPA/PENA) (2ASS) (TC DEVA 08) - 1,74x1,04x0,89H</v>
          </cell>
          <cell r="Y111">
            <v>39452.480000000003</v>
          </cell>
          <cell r="Z111">
            <v>0.35</v>
          </cell>
          <cell r="AA111">
            <v>25644.112000000001</v>
          </cell>
          <cell r="AB111" t="str">
            <v>BJ</v>
          </cell>
        </row>
        <row r="112">
          <cell r="C112">
            <v>0</v>
          </cell>
          <cell r="D112">
            <v>1</v>
          </cell>
          <cell r="E112">
            <v>0</v>
          </cell>
          <cell r="F112">
            <v>0</v>
          </cell>
          <cell r="H112">
            <v>0</v>
          </cell>
          <cell r="O112">
            <v>274728</v>
          </cell>
          <cell r="P112" t="str">
            <v>2021/120-0107-01</v>
          </cell>
          <cell r="Q112" t="str">
            <v>EST MODULO BRACO ESQ ARAGON (1AS) (BC10) (MTX PRETO) D4107</v>
          </cell>
          <cell r="R112"/>
          <cell r="S112"/>
          <cell r="T112">
            <v>1.1000000000000001</v>
          </cell>
          <cell r="U112">
            <v>1</v>
          </cell>
          <cell r="V112">
            <v>0.92</v>
          </cell>
          <cell r="W112">
            <v>0</v>
          </cell>
          <cell r="X112" t="str">
            <v>EST MODULO BRACO ESQ ARAGON (1AS) (BC10) (MTX PRETO) D4107 - 1,1x1x0,92H</v>
          </cell>
          <cell r="Y112">
            <v>70347.42</v>
          </cell>
          <cell r="Z112">
            <v>0.5</v>
          </cell>
          <cell r="AA112">
            <v>35173.71</v>
          </cell>
          <cell r="AB112" t="str">
            <v>BQ</v>
          </cell>
        </row>
        <row r="113">
          <cell r="C113">
            <v>0</v>
          </cell>
          <cell r="D113">
            <v>1</v>
          </cell>
          <cell r="E113">
            <v>0</v>
          </cell>
          <cell r="F113">
            <v>0</v>
          </cell>
          <cell r="H113">
            <v>0</v>
          </cell>
          <cell r="O113">
            <v>274730</v>
          </cell>
          <cell r="P113" t="str">
            <v>2021/120-0108-01</v>
          </cell>
          <cell r="Q113" t="str">
            <v>EST MODULO CURVO ARAGON (MTX PRETO) D4107</v>
          </cell>
          <cell r="R113"/>
          <cell r="S113"/>
          <cell r="T113">
            <v>2.1</v>
          </cell>
          <cell r="U113">
            <v>1.4</v>
          </cell>
          <cell r="V113">
            <v>0.92</v>
          </cell>
          <cell r="W113">
            <v>0</v>
          </cell>
          <cell r="X113" t="str">
            <v>EST MODULO CURVO ARAGON (MTX PRETO) D4107 - 2,1x1,4x0,92H</v>
          </cell>
          <cell r="Y113">
            <v>70347.42</v>
          </cell>
          <cell r="Z113">
            <v>0.5</v>
          </cell>
          <cell r="AA113">
            <v>35173.71</v>
          </cell>
          <cell r="AB113" t="str">
            <v>BQ</v>
          </cell>
        </row>
        <row r="114">
          <cell r="C114">
            <v>0</v>
          </cell>
          <cell r="D114">
            <v>1</v>
          </cell>
          <cell r="E114">
            <v>0</v>
          </cell>
          <cell r="F114">
            <v>0</v>
          </cell>
          <cell r="H114">
            <v>0</v>
          </cell>
          <cell r="O114">
            <v>274733</v>
          </cell>
          <cell r="P114" t="str">
            <v>2021/120-0109-01</v>
          </cell>
          <cell r="Q114" t="str">
            <v>EST MODULO CHAISE BRACO DIR ARAGON (BC30) (MTX PRETO) D4107</v>
          </cell>
          <cell r="R114"/>
          <cell r="S114"/>
          <cell r="T114">
            <v>1.2</v>
          </cell>
          <cell r="U114">
            <v>1.6</v>
          </cell>
          <cell r="V114">
            <v>0.92</v>
          </cell>
          <cell r="W114">
            <v>0</v>
          </cell>
          <cell r="X114" t="str">
            <v>EST MODULO CHAISE BRACO DIR ARAGON (BC30) (MTX PRETO) D4107 - 1,2x1,6x0,92H</v>
          </cell>
          <cell r="Y114">
            <v>70347.42</v>
          </cell>
          <cell r="Z114">
            <v>0.5</v>
          </cell>
          <cell r="AA114">
            <v>35173.71</v>
          </cell>
          <cell r="AB114" t="str">
            <v>BQ</v>
          </cell>
        </row>
        <row r="115">
          <cell r="C115">
            <v>0</v>
          </cell>
          <cell r="D115">
            <v>1</v>
          </cell>
          <cell r="E115">
            <v>1</v>
          </cell>
          <cell r="F115">
            <v>0</v>
          </cell>
          <cell r="H115">
            <v>0</v>
          </cell>
          <cell r="O115">
            <v>300771</v>
          </cell>
          <cell r="P115" t="str">
            <v>2021/341-0088-01</v>
          </cell>
          <cell r="Q115" t="str">
            <v>EST MODULO BRACO ESQ C/AVANCO DALOA FX E5007 FREIJO</v>
          </cell>
          <cell r="R115"/>
          <cell r="S115"/>
          <cell r="T115">
            <v>2.5499999999999998</v>
          </cell>
          <cell r="U115">
            <v>1</v>
          </cell>
          <cell r="V115">
            <v>0.85</v>
          </cell>
          <cell r="W115">
            <v>0</v>
          </cell>
          <cell r="X115" t="str">
            <v>EST MODULO BRACO ESQ C/AVANCO DALOA FX E5007 FREIJO - 2,55x1x0,85H</v>
          </cell>
          <cell r="Y115">
            <v>56161.229999999996</v>
          </cell>
          <cell r="Z115">
            <v>0.35</v>
          </cell>
          <cell r="AA115">
            <v>36504.799499999994</v>
          </cell>
          <cell r="AB115" t="str">
            <v>BY</v>
          </cell>
        </row>
        <row r="116">
          <cell r="C116">
            <v>0</v>
          </cell>
          <cell r="D116">
            <v>1</v>
          </cell>
          <cell r="E116">
            <v>1</v>
          </cell>
          <cell r="F116">
            <v>0</v>
          </cell>
          <cell r="H116">
            <v>0</v>
          </cell>
          <cell r="O116">
            <v>300772</v>
          </cell>
          <cell r="P116" t="str">
            <v>2021/341-0092-01</v>
          </cell>
          <cell r="Q116" t="str">
            <v>EST MODULO CHAISE BRACO DIR C/AVANCO DALOA FX E5007 FREIJO</v>
          </cell>
          <cell r="R116"/>
          <cell r="S116"/>
          <cell r="T116">
            <v>1.55</v>
          </cell>
          <cell r="U116">
            <v>1.55</v>
          </cell>
          <cell r="V116">
            <v>0.85</v>
          </cell>
          <cell r="W116">
            <v>0</v>
          </cell>
          <cell r="X116" t="str">
            <v>EST MODULO CHAISE BRACO DIR C/AVANCO DALOA FX E5007 FREIJO - 1,55x1,55x0,85H</v>
          </cell>
          <cell r="Y116">
            <v>56161.229999999996</v>
          </cell>
          <cell r="Z116">
            <v>0.35</v>
          </cell>
          <cell r="AA116">
            <v>36504.799499999994</v>
          </cell>
          <cell r="AB116" t="str">
            <v>BY</v>
          </cell>
        </row>
        <row r="117">
          <cell r="C117">
            <v>1</v>
          </cell>
          <cell r="D117">
            <v>0</v>
          </cell>
          <cell r="E117">
            <v>0</v>
          </cell>
          <cell r="F117">
            <v>1</v>
          </cell>
          <cell r="H117">
            <v>0</v>
          </cell>
          <cell r="O117">
            <v>404604</v>
          </cell>
          <cell r="P117" t="str">
            <v>2025/246-0037-01</v>
          </cell>
          <cell r="Q117" t="str">
            <v>EST BASE CENTRO BELLAGIO (ALU C29)</v>
          </cell>
          <cell r="R117"/>
          <cell r="S117"/>
          <cell r="T117">
            <v>1.2</v>
          </cell>
          <cell r="U117">
            <v>0</v>
          </cell>
          <cell r="V117">
            <v>0.35</v>
          </cell>
          <cell r="W117">
            <v>1.2</v>
          </cell>
          <cell r="X117" t="str">
            <v>EST BASE CENTRO BELLAGIO (ALU C29) - Ø1,2x0,35H</v>
          </cell>
          <cell r="Y117">
            <v>27488.497599999999</v>
          </cell>
          <cell r="Z117">
            <v>0.35</v>
          </cell>
          <cell r="AA117">
            <v>17867.523439999997</v>
          </cell>
          <cell r="AB117" t="str">
            <v>BZ</v>
          </cell>
        </row>
        <row r="118">
          <cell r="C118">
            <v>1</v>
          </cell>
          <cell r="D118">
            <v>0</v>
          </cell>
          <cell r="E118">
            <v>0</v>
          </cell>
          <cell r="F118">
            <v>1</v>
          </cell>
          <cell r="H118">
            <v>0</v>
          </cell>
          <cell r="O118">
            <v>409056</v>
          </cell>
          <cell r="P118" t="str">
            <v>2025/232-0049-01</v>
          </cell>
          <cell r="Q118" t="str">
            <v>EST TAMPO MARMORE (F10916) (SILVER FOSCO)</v>
          </cell>
          <cell r="R118"/>
          <cell r="S118"/>
          <cell r="T118">
            <v>1.25</v>
          </cell>
          <cell r="U118">
            <v>0</v>
          </cell>
          <cell r="V118">
            <v>0.02</v>
          </cell>
          <cell r="W118">
            <v>1.25</v>
          </cell>
          <cell r="X118" t="str">
            <v>EST TAMPO MARMORE (F10916) (SILVER FOSCO) - Ø1,25x0,02H</v>
          </cell>
          <cell r="Y118">
            <v>27488.497599999999</v>
          </cell>
          <cell r="Z118">
            <v>0.35</v>
          </cell>
          <cell r="AA118">
            <v>17867.523439999997</v>
          </cell>
          <cell r="AB118" t="str">
            <v>BZ</v>
          </cell>
        </row>
        <row r="119"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H119">
            <v>1</v>
          </cell>
          <cell r="O119">
            <v>307836</v>
          </cell>
          <cell r="P119" t="str">
            <v>2022/012-0001-01</v>
          </cell>
          <cell r="Q119" t="str">
            <v>EST BASE JANTAR PREMIUM (BASE PINTURA PRETO FOSCO)</v>
          </cell>
          <cell r="R119"/>
          <cell r="S119"/>
          <cell r="T119">
            <v>2.9</v>
          </cell>
          <cell r="U119">
            <v>1.1000000000000001</v>
          </cell>
          <cell r="V119">
            <v>0.76</v>
          </cell>
          <cell r="W119">
            <v>0</v>
          </cell>
          <cell r="X119" t="str">
            <v>EST BASE JANTAR PREMIUM (BASE PINTURA PRETO FOSCO) - 2,9x1,1x0,76H</v>
          </cell>
          <cell r="Y119">
            <v>97654.11599999998</v>
          </cell>
          <cell r="Z119">
            <v>0.35</v>
          </cell>
          <cell r="AA119">
            <v>63475.175399999986</v>
          </cell>
          <cell r="AB119" t="str">
            <v>C</v>
          </cell>
        </row>
        <row r="120"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H120">
            <v>1</v>
          </cell>
          <cell r="O120">
            <v>307837</v>
          </cell>
          <cell r="P120" t="str">
            <v>2022/025-0160-01</v>
          </cell>
          <cell r="Q120" t="str">
            <v>EST TAMPO MARMORE (F9025) (RETO/CHANF) (G3 VITORIA R LEVIG)</v>
          </cell>
          <cell r="R120"/>
          <cell r="S120"/>
          <cell r="T120">
            <v>3</v>
          </cell>
          <cell r="U120">
            <v>1.2</v>
          </cell>
          <cell r="V120">
            <v>0.02</v>
          </cell>
          <cell r="W120">
            <v>0</v>
          </cell>
          <cell r="X120" t="str">
            <v>EST TAMPO MARMORE (F9025) (RETO/CHANF) (G3 VITORIA R LEVIG) - 3x1,2x0,02H</v>
          </cell>
          <cell r="Y120">
            <v>97654.11599999998</v>
          </cell>
          <cell r="Z120">
            <v>0.35</v>
          </cell>
          <cell r="AA120">
            <v>63475.175399999986</v>
          </cell>
          <cell r="AB120" t="str">
            <v>C</v>
          </cell>
        </row>
        <row r="121">
          <cell r="C121">
            <v>0</v>
          </cell>
          <cell r="D121">
            <v>1</v>
          </cell>
          <cell r="E121">
            <v>0</v>
          </cell>
          <cell r="F121">
            <v>0</v>
          </cell>
          <cell r="H121">
            <v>0</v>
          </cell>
          <cell r="O121">
            <v>270734</v>
          </cell>
          <cell r="P121" t="str">
            <v>2020/338-0071-01</v>
          </cell>
          <cell r="Q121" t="str">
            <v>EST MODULO BRACO DIREITO JOPLIN FX B2109</v>
          </cell>
          <cell r="R121"/>
          <cell r="S121"/>
          <cell r="T121">
            <v>1</v>
          </cell>
          <cell r="U121">
            <v>0.9</v>
          </cell>
          <cell r="V121">
            <v>0.84</v>
          </cell>
          <cell r="W121">
            <v>0</v>
          </cell>
          <cell r="X121" t="str">
            <v>EST MODULO BRACO DIREITO JOPLIN FX B2109 - 1x0,9x0,84H</v>
          </cell>
          <cell r="Y121">
            <v>40556.590000000004</v>
          </cell>
          <cell r="Z121">
            <v>0.35</v>
          </cell>
          <cell r="AA121">
            <v>26361.783500000005</v>
          </cell>
          <cell r="AB121" t="str">
            <v>CA</v>
          </cell>
        </row>
        <row r="122">
          <cell r="C122">
            <v>0</v>
          </cell>
          <cell r="D122">
            <v>1</v>
          </cell>
          <cell r="E122">
            <v>0</v>
          </cell>
          <cell r="F122">
            <v>0</v>
          </cell>
          <cell r="H122">
            <v>0</v>
          </cell>
          <cell r="O122">
            <v>270735</v>
          </cell>
          <cell r="P122" t="str">
            <v>2020/338-0072-01</v>
          </cell>
          <cell r="Q122" t="str">
            <v>EST MODULO BRACO ESQUERDO JOPLIN FX B2109</v>
          </cell>
          <cell r="R122"/>
          <cell r="S122"/>
          <cell r="T122">
            <v>1</v>
          </cell>
          <cell r="U122">
            <v>0.9</v>
          </cell>
          <cell r="V122">
            <v>0.84</v>
          </cell>
          <cell r="W122">
            <v>0</v>
          </cell>
          <cell r="X122" t="str">
            <v>EST MODULO BRACO ESQUERDO JOPLIN FX B2109 - 1x0,9x0,84H</v>
          </cell>
          <cell r="Y122">
            <v>40556.590000000004</v>
          </cell>
          <cell r="Z122">
            <v>0.35</v>
          </cell>
          <cell r="AA122">
            <v>26361.783500000005</v>
          </cell>
          <cell r="AB122" t="str">
            <v>CA</v>
          </cell>
        </row>
        <row r="123">
          <cell r="C123">
            <v>0</v>
          </cell>
          <cell r="D123">
            <v>3</v>
          </cell>
          <cell r="E123">
            <v>0</v>
          </cell>
          <cell r="F123">
            <v>0</v>
          </cell>
          <cell r="H123">
            <v>0</v>
          </cell>
          <cell r="O123">
            <v>270736</v>
          </cell>
          <cell r="P123" t="str">
            <v>2020/338-0073-01</v>
          </cell>
          <cell r="Q123" t="str">
            <v>EST MODULO S/BRACO JOPLIN FX B2109</v>
          </cell>
          <cell r="R123"/>
          <cell r="S123"/>
          <cell r="T123">
            <v>0.9</v>
          </cell>
          <cell r="U123">
            <v>0.9</v>
          </cell>
          <cell r="V123">
            <v>0.84</v>
          </cell>
          <cell r="W123">
            <v>0</v>
          </cell>
          <cell r="X123" t="str">
            <v>EST MODULO S/BRACO JOPLIN FX B2109 - 0,9x0,9x0,84H</v>
          </cell>
          <cell r="Y123">
            <v>40556.590000000004</v>
          </cell>
          <cell r="Z123">
            <v>0.35</v>
          </cell>
          <cell r="AA123">
            <v>26361.783500000005</v>
          </cell>
          <cell r="AB123" t="str">
            <v>CA</v>
          </cell>
        </row>
        <row r="124">
          <cell r="C124">
            <v>0</v>
          </cell>
          <cell r="D124">
            <v>3</v>
          </cell>
          <cell r="E124">
            <v>0</v>
          </cell>
          <cell r="F124">
            <v>0</v>
          </cell>
          <cell r="H124">
            <v>0</v>
          </cell>
          <cell r="O124">
            <v>270736</v>
          </cell>
          <cell r="P124" t="str">
            <v>2020/338-0074-01</v>
          </cell>
          <cell r="Q124" t="str">
            <v>EST MODULO S/BRACO JOPLIN FX B2109</v>
          </cell>
          <cell r="R124"/>
          <cell r="S124"/>
          <cell r="T124">
            <v>0.9</v>
          </cell>
          <cell r="U124">
            <v>0.9</v>
          </cell>
          <cell r="V124">
            <v>0.84</v>
          </cell>
          <cell r="W124">
            <v>0</v>
          </cell>
          <cell r="X124" t="str">
            <v>EST MODULO S/BRACO JOPLIN FX B2109 - 0,9x0,9x0,84H</v>
          </cell>
          <cell r="Y124">
            <v>40556.590000000004</v>
          </cell>
          <cell r="Z124">
            <v>0.35</v>
          </cell>
          <cell r="AA124">
            <v>26361.783500000005</v>
          </cell>
          <cell r="AB124" t="str">
            <v>CA</v>
          </cell>
        </row>
        <row r="125">
          <cell r="C125">
            <v>0</v>
          </cell>
          <cell r="D125">
            <v>3</v>
          </cell>
          <cell r="E125">
            <v>0</v>
          </cell>
          <cell r="F125">
            <v>0</v>
          </cell>
          <cell r="H125">
            <v>0</v>
          </cell>
          <cell r="O125">
            <v>270736</v>
          </cell>
          <cell r="P125" t="str">
            <v>2020/338-0075-01</v>
          </cell>
          <cell r="Q125" t="str">
            <v>EST MODULO S/BRACO JOPLIN FX B2109</v>
          </cell>
          <cell r="R125"/>
          <cell r="S125"/>
          <cell r="T125">
            <v>0.9</v>
          </cell>
          <cell r="U125">
            <v>0.9</v>
          </cell>
          <cell r="V125">
            <v>0.84</v>
          </cell>
          <cell r="W125">
            <v>0</v>
          </cell>
          <cell r="X125" t="str">
            <v>EST MODULO S/BRACO JOPLIN FX B2109 - 0,9x0,9x0,84H</v>
          </cell>
          <cell r="Y125">
            <v>40556.590000000004</v>
          </cell>
          <cell r="Z125">
            <v>0.35</v>
          </cell>
          <cell r="AA125">
            <v>26361.783500000005</v>
          </cell>
          <cell r="AB125" t="str">
            <v>CA</v>
          </cell>
        </row>
        <row r="126">
          <cell r="C126">
            <v>0</v>
          </cell>
          <cell r="D126">
            <v>1</v>
          </cell>
          <cell r="E126">
            <v>0</v>
          </cell>
          <cell r="F126">
            <v>0</v>
          </cell>
          <cell r="H126">
            <v>0</v>
          </cell>
          <cell r="O126">
            <v>270737</v>
          </cell>
          <cell r="P126" t="str">
            <v>2020/338-0076-01</v>
          </cell>
          <cell r="Q126" t="str">
            <v>EST MODULO CANTO JOPLIN FX B2109</v>
          </cell>
          <cell r="R126"/>
          <cell r="S126"/>
          <cell r="T126">
            <v>0.9</v>
          </cell>
          <cell r="U126">
            <v>0.9</v>
          </cell>
          <cell r="V126">
            <v>0.84</v>
          </cell>
          <cell r="W126">
            <v>0</v>
          </cell>
          <cell r="X126" t="str">
            <v>EST MODULO CANTO JOPLIN FX B2109 - 0,9x0,9x0,84H</v>
          </cell>
          <cell r="Y126">
            <v>40556.590000000004</v>
          </cell>
          <cell r="Z126">
            <v>0.35</v>
          </cell>
          <cell r="AA126">
            <v>26361.783500000005</v>
          </cell>
          <cell r="AB126" t="str">
            <v>CA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H127">
            <v>1</v>
          </cell>
          <cell r="O127">
            <v>244137</v>
          </cell>
          <cell r="P127" t="str">
            <v>2019/205-0006-01</v>
          </cell>
          <cell r="Q127" t="str">
            <v>EST MODULO PUFF CANTO 90 LENCOIS M (RVST MR5) (FX7623)</v>
          </cell>
          <cell r="R127"/>
          <cell r="S127"/>
          <cell r="T127">
            <v>1</v>
          </cell>
          <cell r="U127">
            <v>1</v>
          </cell>
          <cell r="V127">
            <v>0.38</v>
          </cell>
          <cell r="W127">
            <v>0</v>
          </cell>
          <cell r="X127" t="str">
            <v>EST MODULO PUFF CANTO 90 LENCOIS M (RVST MR5) (FX7623) - 1x1x0,38H</v>
          </cell>
          <cell r="Y127">
            <v>29964.71</v>
          </cell>
          <cell r="Z127">
            <v>0.5</v>
          </cell>
          <cell r="AA127">
            <v>14982.355</v>
          </cell>
          <cell r="AB127" t="str">
            <v>CB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H128">
            <v>1</v>
          </cell>
          <cell r="O128">
            <v>251463</v>
          </cell>
          <cell r="P128" t="str">
            <v>2019/245-0005-01</v>
          </cell>
          <cell r="Q128" t="str">
            <v>EST MODULO ENCOSTO RETO LENCOIS M (DET MR5) (FX7623)</v>
          </cell>
          <cell r="R128"/>
          <cell r="S128"/>
          <cell r="T128">
            <v>1.2</v>
          </cell>
          <cell r="U128">
            <v>0.26</v>
          </cell>
          <cell r="V128">
            <v>0.26</v>
          </cell>
          <cell r="W128">
            <v>0</v>
          </cell>
          <cell r="X128" t="str">
            <v>EST MODULO ENCOSTO RETO LENCOIS M (DET MR5) (FX7623) - 1,2x0,26x0,26H</v>
          </cell>
          <cell r="Y128">
            <v>29964.71</v>
          </cell>
          <cell r="Z128">
            <v>0.5</v>
          </cell>
          <cell r="AA128">
            <v>14982.355</v>
          </cell>
          <cell r="AB128" t="str">
            <v>CB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H129">
            <v>1</v>
          </cell>
          <cell r="O129">
            <v>251463</v>
          </cell>
          <cell r="P129" t="str">
            <v>2019/245-0006-01</v>
          </cell>
          <cell r="Q129" t="str">
            <v>EST MODULO ENCOSTO RETO LENCOIS M (DET MR5) (FX7623)</v>
          </cell>
          <cell r="R129"/>
          <cell r="S129"/>
          <cell r="T129">
            <v>1.2</v>
          </cell>
          <cell r="U129">
            <v>0.26</v>
          </cell>
          <cell r="V129">
            <v>0.26</v>
          </cell>
          <cell r="W129">
            <v>0</v>
          </cell>
          <cell r="X129" t="str">
            <v>EST MODULO ENCOSTO RETO LENCOIS M (DET MR5) (FX7623) - 1,2x0,26x0,26H</v>
          </cell>
          <cell r="Y129">
            <v>29964.71</v>
          </cell>
          <cell r="Z129">
            <v>0.5</v>
          </cell>
          <cell r="AA129">
            <v>14982.355</v>
          </cell>
          <cell r="AB129" t="str">
            <v>CB</v>
          </cell>
        </row>
        <row r="130"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H130">
            <v>5</v>
          </cell>
          <cell r="O130">
            <v>251464</v>
          </cell>
          <cell r="P130" t="str">
            <v>2019/245-0007-01</v>
          </cell>
          <cell r="Q130" t="str">
            <v>EST MODULO ENCOSTO RETO LENCOIS M (DET MR5) (FX7623)</v>
          </cell>
          <cell r="R130"/>
          <cell r="S130"/>
          <cell r="T130">
            <v>0.7</v>
          </cell>
          <cell r="U130">
            <v>0.26</v>
          </cell>
          <cell r="V130">
            <v>0.26</v>
          </cell>
          <cell r="W130">
            <v>0</v>
          </cell>
          <cell r="X130" t="str">
            <v>EST MODULO ENCOSTO RETO LENCOIS M (DET MR5) (FX7623) - 0,7x0,26x0,26H</v>
          </cell>
          <cell r="Y130">
            <v>29964.71</v>
          </cell>
          <cell r="Z130">
            <v>0.35</v>
          </cell>
          <cell r="AA130">
            <v>19477.0615</v>
          </cell>
          <cell r="AB130" t="str">
            <v>CB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H131">
            <v>5</v>
          </cell>
          <cell r="O131">
            <v>251464</v>
          </cell>
          <cell r="P131" t="str">
            <v>2019/245-0008-01</v>
          </cell>
          <cell r="Q131" t="str">
            <v>EST MODULO ENCOSTO RETO LENCOIS M (DET MR5) (FX7623)</v>
          </cell>
          <cell r="R131"/>
          <cell r="S131"/>
          <cell r="T131">
            <v>0.7</v>
          </cell>
          <cell r="U131">
            <v>0.26</v>
          </cell>
          <cell r="V131">
            <v>0.26</v>
          </cell>
          <cell r="W131">
            <v>0</v>
          </cell>
          <cell r="X131" t="str">
            <v>EST MODULO ENCOSTO RETO LENCOIS M (DET MR5) (FX7623) - 0,7x0,26x0,26H</v>
          </cell>
          <cell r="Y131">
            <v>29964.71</v>
          </cell>
          <cell r="Z131">
            <v>0.35</v>
          </cell>
          <cell r="AA131">
            <v>19477.0615</v>
          </cell>
          <cell r="AB131" t="str">
            <v>CB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>
            <v>5</v>
          </cell>
          <cell r="O132">
            <v>251464</v>
          </cell>
          <cell r="P132" t="str">
            <v>2019/245-0009-01</v>
          </cell>
          <cell r="Q132" t="str">
            <v>EST MODULO ENCOSTO RETO LENCOIS M (DET MR5) (FX7623)</v>
          </cell>
          <cell r="R132"/>
          <cell r="S132"/>
          <cell r="T132">
            <v>0.7</v>
          </cell>
          <cell r="U132">
            <v>0.26</v>
          </cell>
          <cell r="V132">
            <v>0.26</v>
          </cell>
          <cell r="W132">
            <v>0</v>
          </cell>
          <cell r="X132" t="str">
            <v>EST MODULO ENCOSTO RETO LENCOIS M (DET MR5) (FX7623) - 0,7x0,26x0,26H</v>
          </cell>
          <cell r="Y132">
            <v>29964.71</v>
          </cell>
          <cell r="Z132">
            <v>0.35</v>
          </cell>
          <cell r="AA132">
            <v>19477.0615</v>
          </cell>
          <cell r="AB132" t="str">
            <v>CB</v>
          </cell>
        </row>
        <row r="133">
          <cell r="C133">
            <v>1</v>
          </cell>
          <cell r="D133">
            <v>0</v>
          </cell>
          <cell r="E133">
            <v>0</v>
          </cell>
          <cell r="F133">
            <v>1</v>
          </cell>
          <cell r="H133">
            <v>0</v>
          </cell>
          <cell r="O133">
            <v>404604</v>
          </cell>
          <cell r="P133" t="str">
            <v>2025/246-0038-01</v>
          </cell>
          <cell r="Q133" t="str">
            <v>EST BASE CENTRO BELLAGIO (ALU C29)</v>
          </cell>
          <cell r="R133"/>
          <cell r="S133"/>
          <cell r="T133">
            <v>1.2</v>
          </cell>
          <cell r="U133">
            <v>0</v>
          </cell>
          <cell r="V133">
            <v>0.35</v>
          </cell>
          <cell r="W133">
            <v>1.2</v>
          </cell>
          <cell r="X133" t="str">
            <v>EST BASE CENTRO BELLAGIO (ALU C29) - Ø1,2x0,35H</v>
          </cell>
          <cell r="Y133">
            <v>27488.497599999999</v>
          </cell>
          <cell r="Z133">
            <v>0.35</v>
          </cell>
          <cell r="AA133">
            <v>17867.523439999997</v>
          </cell>
          <cell r="AB133" t="str">
            <v>CC</v>
          </cell>
        </row>
        <row r="134">
          <cell r="C134">
            <v>1</v>
          </cell>
          <cell r="D134">
            <v>0</v>
          </cell>
          <cell r="E134">
            <v>0</v>
          </cell>
          <cell r="F134">
            <v>1</v>
          </cell>
          <cell r="H134">
            <v>0</v>
          </cell>
          <cell r="O134">
            <v>409056</v>
          </cell>
          <cell r="P134" t="str">
            <v>2025/232-0050-01</v>
          </cell>
          <cell r="Q134" t="str">
            <v>EST TAMPO MARMORE (F10916) (SILVER FOSCO)</v>
          </cell>
          <cell r="R134"/>
          <cell r="S134"/>
          <cell r="T134">
            <v>1.25</v>
          </cell>
          <cell r="U134">
            <v>0</v>
          </cell>
          <cell r="V134">
            <v>0.02</v>
          </cell>
          <cell r="W134">
            <v>1.25</v>
          </cell>
          <cell r="X134" t="str">
            <v>EST TAMPO MARMORE (F10916) (SILVER FOSCO) - Ø1,25x0,02H</v>
          </cell>
          <cell r="Y134">
            <v>27488.497599999999</v>
          </cell>
          <cell r="Z134">
            <v>0.35</v>
          </cell>
          <cell r="AA134">
            <v>17867.523439999997</v>
          </cell>
          <cell r="AB134" t="str">
            <v>CC</v>
          </cell>
        </row>
        <row r="135">
          <cell r="C135">
            <v>0</v>
          </cell>
          <cell r="D135">
            <v>0</v>
          </cell>
          <cell r="E135">
            <v>0</v>
          </cell>
          <cell r="F135">
            <v>1</v>
          </cell>
          <cell r="H135">
            <v>0</v>
          </cell>
          <cell r="O135">
            <v>404616</v>
          </cell>
          <cell r="P135" t="str">
            <v>2025/154-0024-01</v>
          </cell>
          <cell r="Q135" t="str">
            <v>EST BASE APARADOR BELLAGIO (ALU C29)</v>
          </cell>
          <cell r="R135"/>
          <cell r="S135"/>
          <cell r="T135">
            <v>1.6</v>
          </cell>
          <cell r="U135">
            <v>0.45</v>
          </cell>
          <cell r="V135">
            <v>0.75</v>
          </cell>
          <cell r="W135">
            <v>0</v>
          </cell>
          <cell r="X135" t="str">
            <v>EST BASE APARADOR BELLAGIO (ALU C29) - 1,6x0,45x0,75H</v>
          </cell>
          <cell r="Y135">
            <v>23825.3943</v>
          </cell>
          <cell r="Z135">
            <v>0.35</v>
          </cell>
          <cell r="AA135">
            <v>15486.506295000001</v>
          </cell>
          <cell r="AB135" t="str">
            <v>CD</v>
          </cell>
        </row>
        <row r="136">
          <cell r="C136">
            <v>0</v>
          </cell>
          <cell r="D136">
            <v>0</v>
          </cell>
          <cell r="E136">
            <v>0</v>
          </cell>
          <cell r="F136">
            <v>1</v>
          </cell>
          <cell r="H136">
            <v>0</v>
          </cell>
          <cell r="O136">
            <v>409058</v>
          </cell>
          <cell r="P136" t="str">
            <v>2025/232-0052-01</v>
          </cell>
          <cell r="Q136" t="str">
            <v>EST TAMPO MARMORE (F10916) (SILVER FOSCO)</v>
          </cell>
          <cell r="R136"/>
          <cell r="S136"/>
          <cell r="T136">
            <v>1.65</v>
          </cell>
          <cell r="U136">
            <v>0.5</v>
          </cell>
          <cell r="V136">
            <v>0.02</v>
          </cell>
          <cell r="W136">
            <v>0</v>
          </cell>
          <cell r="X136" t="str">
            <v>EST TAMPO MARMORE (F10916) (SILVER FOSCO) - 1,65x0,5x0,02H</v>
          </cell>
          <cell r="Y136">
            <v>23825.3943</v>
          </cell>
          <cell r="Z136">
            <v>0.35</v>
          </cell>
          <cell r="AA136">
            <v>15486.506295000001</v>
          </cell>
          <cell r="AB136" t="str">
            <v>CD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1</v>
          </cell>
          <cell r="H137">
            <v>0</v>
          </cell>
          <cell r="O137">
            <v>404617</v>
          </cell>
          <cell r="P137" t="str">
            <v>2025/160-0012-01</v>
          </cell>
          <cell r="Q137" t="str">
            <v>EST OMBRELONE BELLAGIO (ALU C24 | CORD V01)</v>
          </cell>
          <cell r="R137"/>
          <cell r="S137"/>
          <cell r="T137">
            <v>2</v>
          </cell>
          <cell r="U137">
            <v>0</v>
          </cell>
          <cell r="V137">
            <v>2.52</v>
          </cell>
          <cell r="W137">
            <v>2</v>
          </cell>
          <cell r="X137" t="str">
            <v>EST OMBRELONE BELLAGIO (ALU C24 | CORD V01) - Ø2x2,52H</v>
          </cell>
          <cell r="Y137">
            <v>38325.189999999995</v>
          </cell>
          <cell r="Z137">
            <v>0.35</v>
          </cell>
          <cell r="AA137">
            <v>24911.373499999998</v>
          </cell>
          <cell r="AB137" t="str">
            <v>CE</v>
          </cell>
        </row>
        <row r="138">
          <cell r="C138">
            <v>0</v>
          </cell>
          <cell r="D138">
            <v>0</v>
          </cell>
          <cell r="E138">
            <v>0</v>
          </cell>
          <cell r="F138">
            <v>1</v>
          </cell>
          <cell r="H138">
            <v>0</v>
          </cell>
          <cell r="O138">
            <v>404619</v>
          </cell>
          <cell r="P138" t="str">
            <v>2025/154-0069-01</v>
          </cell>
          <cell r="Q138" t="str">
            <v>EST COMPONENTE BASE OMBRELONE BELLAGIO (ALU C24)</v>
          </cell>
          <cell r="R138"/>
          <cell r="S138"/>
          <cell r="T138">
            <v>0.5</v>
          </cell>
          <cell r="U138">
            <v>0</v>
          </cell>
          <cell r="V138">
            <v>0.35</v>
          </cell>
          <cell r="W138">
            <v>0.5</v>
          </cell>
          <cell r="X138" t="str">
            <v>EST COMPONENTE BASE OMBRELONE BELLAGIO (ALU C24) - Ø0,5x0,35H</v>
          </cell>
          <cell r="Y138">
            <v>38325.189999999995</v>
          </cell>
          <cell r="Z138">
            <v>0.35</v>
          </cell>
          <cell r="AA138">
            <v>24911.373499999998</v>
          </cell>
          <cell r="AB138" t="str">
            <v>CE</v>
          </cell>
        </row>
        <row r="139">
          <cell r="C139">
            <v>1</v>
          </cell>
          <cell r="D139">
            <v>1</v>
          </cell>
          <cell r="E139">
            <v>0</v>
          </cell>
          <cell r="F139">
            <v>0</v>
          </cell>
          <cell r="H139">
            <v>0</v>
          </cell>
          <cell r="O139">
            <v>219092</v>
          </cell>
          <cell r="P139" t="str">
            <v>2025/042-0008-01</v>
          </cell>
          <cell r="Q139" t="str">
            <v>EST TAMPO CRISTAL LAPIDADO (10MM) INCOLOR CANTO RETO</v>
          </cell>
          <cell r="R139"/>
          <cell r="S139"/>
          <cell r="T139">
            <v>1.4</v>
          </cell>
          <cell r="U139">
            <v>1.4</v>
          </cell>
          <cell r="V139">
            <v>0.01</v>
          </cell>
          <cell r="W139">
            <v>0</v>
          </cell>
          <cell r="X139" t="str">
            <v>EST TAMPO CRISTAL LAPIDADO (10MM) INCOLOR CANTO RETO - 1,4x1,4x0,01H</v>
          </cell>
          <cell r="Y139">
            <v>29014.904399999999</v>
          </cell>
          <cell r="Z139">
            <v>0.35</v>
          </cell>
          <cell r="AA139">
            <v>18859.687859999998</v>
          </cell>
          <cell r="AB139" t="str">
            <v>CF</v>
          </cell>
        </row>
        <row r="140">
          <cell r="C140">
            <v>0</v>
          </cell>
          <cell r="D140">
            <v>1</v>
          </cell>
          <cell r="E140">
            <v>0</v>
          </cell>
          <cell r="F140">
            <v>0</v>
          </cell>
          <cell r="H140">
            <v>0</v>
          </cell>
          <cell r="O140">
            <v>223593</v>
          </cell>
          <cell r="P140" t="str">
            <v>2018/184-0055-01</v>
          </cell>
          <cell r="Q140" t="str">
            <v>EST MESA CENTRO COB (S/VIDRO) (MAD B LOURO ESPECIAL)</v>
          </cell>
          <cell r="R140"/>
          <cell r="S140"/>
          <cell r="T140">
            <v>1.42</v>
          </cell>
          <cell r="U140">
            <v>1.42</v>
          </cell>
          <cell r="V140">
            <v>0.25</v>
          </cell>
          <cell r="W140">
            <v>0</v>
          </cell>
          <cell r="X140" t="str">
            <v>EST MESA CENTRO COB (S/VIDRO) (MAD B LOURO ESPECIAL) - 1,42x1,42x0,25H</v>
          </cell>
          <cell r="Y140">
            <v>29014.904399999999</v>
          </cell>
          <cell r="Z140">
            <v>0.35</v>
          </cell>
          <cell r="AA140">
            <v>18859.687859999998</v>
          </cell>
          <cell r="AB140" t="str">
            <v>CF</v>
          </cell>
        </row>
        <row r="141">
          <cell r="C141">
            <v>1</v>
          </cell>
          <cell r="D141">
            <v>0</v>
          </cell>
          <cell r="E141">
            <v>0</v>
          </cell>
          <cell r="F141">
            <v>0</v>
          </cell>
          <cell r="H141">
            <v>1</v>
          </cell>
          <cell r="O141">
            <v>274727</v>
          </cell>
          <cell r="P141" t="str">
            <v>2021/120-0103-01</v>
          </cell>
          <cell r="Q141" t="str">
            <v>EST MODULO BRACO ESQ ARAGON (1AS) (BC10) (MTX PRETO) E5123</v>
          </cell>
          <cell r="R141"/>
          <cell r="S141"/>
          <cell r="T141">
            <v>1.1000000000000001</v>
          </cell>
          <cell r="U141">
            <v>1</v>
          </cell>
          <cell r="V141">
            <v>0.92</v>
          </cell>
          <cell r="W141">
            <v>0</v>
          </cell>
          <cell r="X141" t="str">
            <v>EST MODULO BRACO ESQ ARAGON (1AS) (BC10) (MTX PRETO) E5123 - 1,1x1x0,92H</v>
          </cell>
          <cell r="Y141">
            <v>72252.28</v>
          </cell>
          <cell r="Z141">
            <v>0.35</v>
          </cell>
          <cell r="AA141">
            <v>46963.982000000004</v>
          </cell>
          <cell r="AB141" t="str">
            <v>CG</v>
          </cell>
        </row>
        <row r="142">
          <cell r="C142">
            <v>1</v>
          </cell>
          <cell r="D142">
            <v>0</v>
          </cell>
          <cell r="E142">
            <v>0</v>
          </cell>
          <cell r="F142">
            <v>0</v>
          </cell>
          <cell r="H142">
            <v>1</v>
          </cell>
          <cell r="O142">
            <v>274729</v>
          </cell>
          <cell r="P142" t="str">
            <v>2021/120-0104-01</v>
          </cell>
          <cell r="Q142" t="str">
            <v>EST MODULO CURVO ARAGON (MTX PRETO) E5123</v>
          </cell>
          <cell r="R142"/>
          <cell r="S142"/>
          <cell r="T142">
            <v>2.1</v>
          </cell>
          <cell r="U142">
            <v>1.4</v>
          </cell>
          <cell r="V142">
            <v>0.92</v>
          </cell>
          <cell r="W142">
            <v>0</v>
          </cell>
          <cell r="X142" t="str">
            <v>EST MODULO CURVO ARAGON (MTX PRETO) E5123 - 2,1x1,4x0,92H</v>
          </cell>
          <cell r="Y142">
            <v>72252.28</v>
          </cell>
          <cell r="Z142">
            <v>0.35</v>
          </cell>
          <cell r="AA142">
            <v>46963.982000000004</v>
          </cell>
          <cell r="AB142" t="str">
            <v>CG</v>
          </cell>
        </row>
        <row r="143">
          <cell r="C143">
            <v>1</v>
          </cell>
          <cell r="D143">
            <v>0</v>
          </cell>
          <cell r="E143">
            <v>0</v>
          </cell>
          <cell r="F143">
            <v>0</v>
          </cell>
          <cell r="H143">
            <v>1</v>
          </cell>
          <cell r="O143">
            <v>274732</v>
          </cell>
          <cell r="P143" t="str">
            <v>2021/120-0105-01</v>
          </cell>
          <cell r="Q143" t="str">
            <v>EST MODULO CHAISE BRACO DIR ARAGON (BC30) (MTX PRETO) E5123</v>
          </cell>
          <cell r="R143"/>
          <cell r="S143"/>
          <cell r="T143">
            <v>1.2</v>
          </cell>
          <cell r="U143">
            <v>1.6</v>
          </cell>
          <cell r="V143">
            <v>0.92</v>
          </cell>
          <cell r="W143">
            <v>0</v>
          </cell>
          <cell r="X143" t="str">
            <v>EST MODULO CHAISE BRACO DIR ARAGON (BC30) (MTX PRETO) E5123 - 1,2x1,6x0,92H</v>
          </cell>
          <cell r="Y143">
            <v>72252.28</v>
          </cell>
          <cell r="Z143">
            <v>0.35</v>
          </cell>
          <cell r="AA143">
            <v>46963.982000000004</v>
          </cell>
          <cell r="AB143" t="str">
            <v>CG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H144">
            <v>1</v>
          </cell>
          <cell r="O144">
            <v>78082</v>
          </cell>
          <cell r="P144" t="str">
            <v>2016/054-0026-01</v>
          </cell>
          <cell r="Q144" t="str">
            <v>EST TAMPO CRISTAL LAPIDADO (15MM) INCOLOR CANTO RETO</v>
          </cell>
          <cell r="R144"/>
          <cell r="S144"/>
          <cell r="T144">
            <v>2</v>
          </cell>
          <cell r="U144">
            <v>0.55000000000000004</v>
          </cell>
          <cell r="V144">
            <v>0.01</v>
          </cell>
          <cell r="W144">
            <v>0</v>
          </cell>
          <cell r="X144" t="str">
            <v>EST TAMPO CRISTAL LAPIDADO (15MM) INCOLOR CANTO RETO - 2x0,55x0,01H</v>
          </cell>
          <cell r="Y144">
            <v>21114.501</v>
          </cell>
          <cell r="Z144">
            <v>0.5</v>
          </cell>
          <cell r="AA144">
            <v>10557.2505</v>
          </cell>
          <cell r="AB144" t="str">
            <v>CJ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H145">
            <v>2</v>
          </cell>
          <cell r="O145">
            <v>151718</v>
          </cell>
          <cell r="P145" t="str">
            <v>2014/199-0109-01</v>
          </cell>
          <cell r="Q145" t="str">
            <v>EST APARADOR MAZAS PES/TP LACA H155 BRILHO</v>
          </cell>
          <cell r="R145"/>
          <cell r="S145"/>
          <cell r="T145">
            <v>2</v>
          </cell>
          <cell r="U145">
            <v>0.5</v>
          </cell>
          <cell r="V145">
            <v>0.76</v>
          </cell>
          <cell r="W145">
            <v>0</v>
          </cell>
          <cell r="X145" t="str">
            <v>EST APARADOR MAZAS PES/TP LACA H155 BRILHO - 2x0,5x0,76H</v>
          </cell>
          <cell r="Y145">
            <v>21114.501</v>
          </cell>
          <cell r="Z145">
            <v>0.5</v>
          </cell>
          <cell r="AA145">
            <v>10557.2505</v>
          </cell>
          <cell r="AB145" t="str">
            <v>CJ</v>
          </cell>
        </row>
        <row r="146">
          <cell r="C146">
            <v>1</v>
          </cell>
          <cell r="D146">
            <v>0</v>
          </cell>
          <cell r="E146">
            <v>0</v>
          </cell>
          <cell r="F146">
            <v>0</v>
          </cell>
          <cell r="H146">
            <v>1</v>
          </cell>
          <cell r="O146">
            <v>274727</v>
          </cell>
          <cell r="P146" t="str">
            <v>2021/120-0110-01</v>
          </cell>
          <cell r="Q146" t="str">
            <v>EST MODULO BRACO ESQ ARAGON (1AS) (BC10) (MTX PRETO) E5123</v>
          </cell>
          <cell r="R146"/>
          <cell r="S146"/>
          <cell r="T146">
            <v>1.1000000000000001</v>
          </cell>
          <cell r="U146">
            <v>1</v>
          </cell>
          <cell r="V146">
            <v>0.92</v>
          </cell>
          <cell r="W146">
            <v>0</v>
          </cell>
          <cell r="X146" t="str">
            <v>EST MODULO BRACO ESQ ARAGON (1AS) (BC10) (MTX PRETO) E5123 - 1,1x1x0,92H</v>
          </cell>
          <cell r="Y146">
            <v>72252.28</v>
          </cell>
          <cell r="Z146">
            <v>0.35</v>
          </cell>
          <cell r="AA146">
            <v>46963.982000000004</v>
          </cell>
          <cell r="AB146" t="str">
            <v>CQ</v>
          </cell>
        </row>
        <row r="147">
          <cell r="C147">
            <v>1</v>
          </cell>
          <cell r="D147">
            <v>0</v>
          </cell>
          <cell r="E147">
            <v>0</v>
          </cell>
          <cell r="F147">
            <v>0</v>
          </cell>
          <cell r="H147">
            <v>1</v>
          </cell>
          <cell r="O147">
            <v>274729</v>
          </cell>
          <cell r="P147" t="str">
            <v>2021/120-0111-01</v>
          </cell>
          <cell r="Q147" t="str">
            <v>EST MODULO CURVO ARAGON (MTX PRETO) E5123</v>
          </cell>
          <cell r="R147"/>
          <cell r="S147"/>
          <cell r="T147">
            <v>2.1</v>
          </cell>
          <cell r="U147">
            <v>1.4</v>
          </cell>
          <cell r="V147">
            <v>0.92</v>
          </cell>
          <cell r="W147">
            <v>0</v>
          </cell>
          <cell r="X147" t="str">
            <v>EST MODULO CURVO ARAGON (MTX PRETO) E5123 - 2,1x1,4x0,92H</v>
          </cell>
          <cell r="Y147">
            <v>72252.28</v>
          </cell>
          <cell r="Z147">
            <v>0.35</v>
          </cell>
          <cell r="AA147">
            <v>46963.982000000004</v>
          </cell>
          <cell r="AB147" t="str">
            <v>CQ</v>
          </cell>
        </row>
        <row r="148">
          <cell r="C148">
            <v>1</v>
          </cell>
          <cell r="D148">
            <v>0</v>
          </cell>
          <cell r="E148">
            <v>0</v>
          </cell>
          <cell r="F148">
            <v>0</v>
          </cell>
          <cell r="H148">
            <v>1</v>
          </cell>
          <cell r="O148">
            <v>274732</v>
          </cell>
          <cell r="P148" t="str">
            <v>2021/120-0112-01</v>
          </cell>
          <cell r="Q148" t="str">
            <v>EST MODULO CHAISE BRACO DIR ARAGON (BC30) (MTX PRETO) E5123</v>
          </cell>
          <cell r="R148"/>
          <cell r="S148"/>
          <cell r="T148">
            <v>1.2</v>
          </cell>
          <cell r="U148">
            <v>1.6</v>
          </cell>
          <cell r="V148">
            <v>0.92</v>
          </cell>
          <cell r="W148">
            <v>0</v>
          </cell>
          <cell r="X148" t="str">
            <v>EST MODULO CHAISE BRACO DIR ARAGON (BC30) (MTX PRETO) E5123 - 1,2x1,6x0,92H</v>
          </cell>
          <cell r="Y148">
            <v>72252.28</v>
          </cell>
          <cell r="Z148">
            <v>0.35</v>
          </cell>
          <cell r="AA148">
            <v>46963.982000000004</v>
          </cell>
          <cell r="AB148" t="str">
            <v>CQ</v>
          </cell>
        </row>
        <row r="149"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H149">
            <v>1</v>
          </cell>
          <cell r="O149">
            <v>206603</v>
          </cell>
          <cell r="P149" t="str">
            <v>2019/137-0110-01</v>
          </cell>
          <cell r="Q149" t="str">
            <v>EST ACESSORIO MESA DIXON (METAL/COURO CAMEL)</v>
          </cell>
          <cell r="R149"/>
          <cell r="S149"/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 t="str">
            <v>EST ACESSORIO MESA DIXON (METAL/COURO CAMEL) - Ø0x0H</v>
          </cell>
          <cell r="Y149">
            <v>58146.82</v>
          </cell>
          <cell r="Z149">
            <v>0.5</v>
          </cell>
          <cell r="AA149">
            <v>29073.41</v>
          </cell>
          <cell r="AB149" t="str">
            <v>CS</v>
          </cell>
        </row>
        <row r="150"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>
            <v>1</v>
          </cell>
          <cell r="O150">
            <v>273691</v>
          </cell>
          <cell r="P150" t="str">
            <v>2021/091-0064-01</v>
          </cell>
          <cell r="Q150" t="str">
            <v>EST MODULO BRACO ESQUERDO DIXON FX C3016/PES PRETO</v>
          </cell>
          <cell r="R150"/>
          <cell r="S150"/>
          <cell r="T150">
            <v>2.75</v>
          </cell>
          <cell r="U150">
            <v>1.02</v>
          </cell>
          <cell r="V150">
            <v>0.8</v>
          </cell>
          <cell r="W150">
            <v>0</v>
          </cell>
          <cell r="X150" t="str">
            <v>EST MODULO BRACO ESQUERDO DIXON FX C3016/PES PRETO - 2,75x1,02x0,8H</v>
          </cell>
          <cell r="Y150">
            <v>58146.82</v>
          </cell>
          <cell r="Z150">
            <v>0.5</v>
          </cell>
          <cell r="AA150">
            <v>29073.41</v>
          </cell>
          <cell r="AB150" t="str">
            <v>CS</v>
          </cell>
        </row>
        <row r="151"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H151">
            <v>1</v>
          </cell>
          <cell r="O151">
            <v>273692</v>
          </cell>
          <cell r="P151" t="str">
            <v>2021/091-0065-01</v>
          </cell>
          <cell r="Q151" t="str">
            <v>EST MODULO S/BRACO C/AVANCO DIREITO DIXON FX C3016/PES PRETO</v>
          </cell>
          <cell r="R151"/>
          <cell r="S151"/>
          <cell r="T151">
            <v>1.65</v>
          </cell>
          <cell r="U151">
            <v>1.02</v>
          </cell>
          <cell r="V151">
            <v>0.8</v>
          </cell>
          <cell r="W151">
            <v>0</v>
          </cell>
          <cell r="X151" t="str">
            <v>EST MODULO S/BRACO C/AVANCO DIREITO DIXON FX C3016/PES PRETO - 1,65x1,02x0,8H</v>
          </cell>
          <cell r="Y151">
            <v>58146.82</v>
          </cell>
          <cell r="Z151">
            <v>0.5</v>
          </cell>
          <cell r="AA151">
            <v>29073.41</v>
          </cell>
          <cell r="AB151" t="str">
            <v>CS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>
            <v>1</v>
          </cell>
          <cell r="O152">
            <v>273693</v>
          </cell>
          <cell r="P152" t="str">
            <v>2021/091-0066-01</v>
          </cell>
          <cell r="Q152" t="str">
            <v>EST MODULO PUFF DIXON FX C3016/PES PRETO</v>
          </cell>
          <cell r="R152"/>
          <cell r="S152"/>
          <cell r="T152">
            <v>1.01</v>
          </cell>
          <cell r="U152">
            <v>1.01</v>
          </cell>
          <cell r="V152">
            <v>0.44</v>
          </cell>
          <cell r="W152">
            <v>0</v>
          </cell>
          <cell r="X152" t="str">
            <v>EST MODULO PUFF DIXON FX C3016/PES PRETO - 1,01x1,01x0,44H</v>
          </cell>
          <cell r="Y152">
            <v>58146.82</v>
          </cell>
          <cell r="Z152">
            <v>0.5</v>
          </cell>
          <cell r="AA152">
            <v>29073.41</v>
          </cell>
          <cell r="AB152" t="str">
            <v>CS</v>
          </cell>
        </row>
        <row r="153">
          <cell r="C153">
            <v>0</v>
          </cell>
          <cell r="D153">
            <v>0</v>
          </cell>
          <cell r="E153">
            <v>1</v>
          </cell>
          <cell r="F153">
            <v>0</v>
          </cell>
          <cell r="H153">
            <v>0</v>
          </cell>
          <cell r="O153">
            <v>223626</v>
          </cell>
          <cell r="P153" t="str">
            <v>2020/317-0024-01</v>
          </cell>
          <cell r="Q153" t="str">
            <v>EST TAMPO CRISTAL LAPIDADO (10MM) INCOLOR CANTO RETO</v>
          </cell>
          <cell r="R153"/>
          <cell r="S153"/>
          <cell r="T153">
            <v>1.1399999999999999</v>
          </cell>
          <cell r="U153">
            <v>1.7</v>
          </cell>
          <cell r="V153">
            <v>0.01</v>
          </cell>
          <cell r="W153">
            <v>0</v>
          </cell>
          <cell r="X153" t="str">
            <v>EST TAMPO CRISTAL LAPIDADO (10MM) INCOLOR CANTO RETO - 1,14x1,7x0,01H</v>
          </cell>
          <cell r="Y153">
            <v>28952.5016</v>
          </cell>
          <cell r="Z153">
            <v>0.35</v>
          </cell>
          <cell r="AA153">
            <v>18819.126040000003</v>
          </cell>
          <cell r="AB153" t="str">
            <v>CT</v>
          </cell>
        </row>
        <row r="154">
          <cell r="C154">
            <v>0</v>
          </cell>
          <cell r="D154">
            <v>0</v>
          </cell>
          <cell r="E154">
            <v>1</v>
          </cell>
          <cell r="F154">
            <v>0</v>
          </cell>
          <cell r="H154">
            <v>0</v>
          </cell>
          <cell r="O154">
            <v>223578</v>
          </cell>
          <cell r="P154" t="str">
            <v>2021/020-0003-01</v>
          </cell>
          <cell r="Q154" t="str">
            <v>EST MESA CENTRO COB (S/VIDRO) (MAD B LOURO ESPECIAL)</v>
          </cell>
          <cell r="R154"/>
          <cell r="S154"/>
          <cell r="T154">
            <v>1.1399999999999999</v>
          </cell>
          <cell r="U154">
            <v>1.7</v>
          </cell>
          <cell r="V154">
            <v>0.25</v>
          </cell>
          <cell r="W154">
            <v>0</v>
          </cell>
          <cell r="X154" t="str">
            <v>EST MESA CENTRO COB (S/VIDRO) (MAD B LOURO ESPECIAL) - 1,14x1,7x0,25H</v>
          </cell>
          <cell r="Y154">
            <v>28952.5016</v>
          </cell>
          <cell r="Z154">
            <v>0.35</v>
          </cell>
          <cell r="AA154">
            <v>18819.126040000003</v>
          </cell>
          <cell r="AB154" t="str">
            <v>CT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H155">
            <v>0</v>
          </cell>
          <cell r="O155">
            <v>242318</v>
          </cell>
          <cell r="P155"/>
          <cell r="Q155" t="str">
            <v>EST MODULO S/BRACO C/AVANCO ASSENTO DIREITO MORETTI FX F6004</v>
          </cell>
          <cell r="R155"/>
          <cell r="S155"/>
          <cell r="T155">
            <v>1.2</v>
          </cell>
          <cell r="U155">
            <v>1.25</v>
          </cell>
          <cell r="V155">
            <v>0.88</v>
          </cell>
          <cell r="W155">
            <v>0</v>
          </cell>
          <cell r="X155" t="str">
            <v>EST MODULO S/BRACO C/AVANCO ASSENTO DIREITO MORETTI FX F6004 - 1,2x1,25x0,88H</v>
          </cell>
          <cell r="Y155">
            <v>56004.17</v>
          </cell>
          <cell r="Z155">
            <v>0.35</v>
          </cell>
          <cell r="AA155">
            <v>36402.710500000001</v>
          </cell>
          <cell r="AB155" t="str">
            <v>CV</v>
          </cell>
        </row>
        <row r="156"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H156">
            <v>0</v>
          </cell>
          <cell r="O156">
            <v>242368</v>
          </cell>
          <cell r="P156"/>
          <cell r="Q156" t="str">
            <v>EST MODULO BRACO ESQUERDO MORETTI FX F6004</v>
          </cell>
          <cell r="R156"/>
          <cell r="S156"/>
          <cell r="T156">
            <v>1.45</v>
          </cell>
          <cell r="U156">
            <v>1.25</v>
          </cell>
          <cell r="V156">
            <v>0.88</v>
          </cell>
          <cell r="W156">
            <v>0</v>
          </cell>
          <cell r="X156" t="str">
            <v>EST MODULO BRACO ESQUERDO MORETTI FX F6004 - 1,45x1,25x0,88H</v>
          </cell>
          <cell r="Y156">
            <v>56004.17</v>
          </cell>
          <cell r="Z156">
            <v>0.35</v>
          </cell>
          <cell r="AA156">
            <v>36402.710500000001</v>
          </cell>
          <cell r="AB156" t="str">
            <v>CV</v>
          </cell>
        </row>
        <row r="157"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H157">
            <v>0</v>
          </cell>
          <cell r="O157">
            <v>242369</v>
          </cell>
          <cell r="P157"/>
          <cell r="Q157" t="str">
            <v>EST MODULO S/BRACO MORETTI FX F6004</v>
          </cell>
          <cell r="R157"/>
          <cell r="S157"/>
          <cell r="T157">
            <v>1.2</v>
          </cell>
          <cell r="U157">
            <v>1.25</v>
          </cell>
          <cell r="V157">
            <v>0.88</v>
          </cell>
          <cell r="W157">
            <v>0</v>
          </cell>
          <cell r="X157" t="str">
            <v>EST MODULO S/BRACO MORETTI FX F6004 - 1,2x1,25x0,88H</v>
          </cell>
          <cell r="Y157">
            <v>56004.17</v>
          </cell>
          <cell r="Z157">
            <v>0.35</v>
          </cell>
          <cell r="AA157">
            <v>36402.710500000001</v>
          </cell>
          <cell r="AB157" t="str">
            <v>CV</v>
          </cell>
        </row>
        <row r="158"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H158">
            <v>1</v>
          </cell>
          <cell r="O158">
            <v>206600</v>
          </cell>
          <cell r="P158" t="str">
            <v>2017/055-0062-01</v>
          </cell>
          <cell r="Q158" t="str">
            <v>EST MODULO BRACO ESQUERDO DIXON FX C3001/PES PRETO</v>
          </cell>
          <cell r="R158"/>
          <cell r="S158"/>
          <cell r="T158">
            <v>2.75</v>
          </cell>
          <cell r="U158">
            <v>1.02</v>
          </cell>
          <cell r="V158">
            <v>0.8</v>
          </cell>
          <cell r="W158">
            <v>0</v>
          </cell>
          <cell r="X158" t="str">
            <v>EST MODULO BRACO ESQUERDO DIXON FX C3001/PES PRETO - 2,75x1,02x0,8H</v>
          </cell>
          <cell r="Y158">
            <v>58146.820000000007</v>
          </cell>
          <cell r="Z158">
            <v>0.5</v>
          </cell>
          <cell r="AA158">
            <v>29073.410000000003</v>
          </cell>
          <cell r="AB158" t="str">
            <v>CY</v>
          </cell>
        </row>
        <row r="159"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H159">
            <v>1</v>
          </cell>
          <cell r="O159">
            <v>206601</v>
          </cell>
          <cell r="P159" t="str">
            <v>2017/055-0063-01</v>
          </cell>
          <cell r="Q159" t="str">
            <v>EST MODULO S/BRACO C/AVANCO DIREITO DIXON FX C3001/PES PRETO</v>
          </cell>
          <cell r="R159"/>
          <cell r="S159"/>
          <cell r="T159">
            <v>1.65</v>
          </cell>
          <cell r="U159">
            <v>1.02</v>
          </cell>
          <cell r="V159">
            <v>0.8</v>
          </cell>
          <cell r="W159">
            <v>0</v>
          </cell>
          <cell r="X159" t="str">
            <v>EST MODULO S/BRACO C/AVANCO DIREITO DIXON FX C3001/PES PRETO - 1,65x1,02x0,8H</v>
          </cell>
          <cell r="Y159">
            <v>58146.820000000007</v>
          </cell>
          <cell r="Z159">
            <v>0.5</v>
          </cell>
          <cell r="AA159">
            <v>29073.410000000003</v>
          </cell>
          <cell r="AB159" t="str">
            <v>CY</v>
          </cell>
        </row>
        <row r="160"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H160">
            <v>1</v>
          </cell>
          <cell r="O160">
            <v>206602</v>
          </cell>
          <cell r="P160" t="str">
            <v>2017/055-0064-01</v>
          </cell>
          <cell r="Q160" t="str">
            <v>EST MODULO PUFF DIXON FX C3001/PES PRETO</v>
          </cell>
          <cell r="R160"/>
          <cell r="S160"/>
          <cell r="T160">
            <v>1.01</v>
          </cell>
          <cell r="U160">
            <v>1.01</v>
          </cell>
          <cell r="V160">
            <v>0.44</v>
          </cell>
          <cell r="W160">
            <v>0</v>
          </cell>
          <cell r="X160" t="str">
            <v>EST MODULO PUFF DIXON FX C3001/PES PRETO - 1,01x1,01x0,44H</v>
          </cell>
          <cell r="Y160">
            <v>58146.820000000007</v>
          </cell>
          <cell r="Z160">
            <v>0.5</v>
          </cell>
          <cell r="AA160">
            <v>29073.410000000003</v>
          </cell>
          <cell r="AB160" t="str">
            <v>CY</v>
          </cell>
        </row>
        <row r="161"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H161">
            <v>1</v>
          </cell>
          <cell r="O161">
            <v>322235</v>
          </cell>
          <cell r="P161" t="str">
            <v>2022/049-0030-01</v>
          </cell>
          <cell r="Q161" t="str">
            <v>EST ACESSORIO MESA DIXON (METAL/COURO CAMEL)</v>
          </cell>
          <cell r="R161"/>
          <cell r="S161"/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 t="str">
            <v>EST ACESSORIO MESA DIXON (METAL/COURO CAMEL) - Ø0x0H</v>
          </cell>
          <cell r="Y161">
            <v>58146.820000000007</v>
          </cell>
          <cell r="Z161">
            <v>0.5</v>
          </cell>
          <cell r="AA161">
            <v>29073.410000000003</v>
          </cell>
          <cell r="AB161" t="str">
            <v>CY</v>
          </cell>
        </row>
        <row r="162">
          <cell r="C162">
            <v>0</v>
          </cell>
          <cell r="D162">
            <v>1</v>
          </cell>
          <cell r="E162">
            <v>0</v>
          </cell>
          <cell r="F162">
            <v>0</v>
          </cell>
          <cell r="H162">
            <v>0</v>
          </cell>
          <cell r="O162">
            <v>254663</v>
          </cell>
          <cell r="P162" t="str">
            <v>2019/309-0029-01</v>
          </cell>
          <cell r="Q162" t="str">
            <v>EST KIT MOTORIZADO SOFT TOUCH (ABERTURA 50) (1 ASSENTO)</v>
          </cell>
          <cell r="R162"/>
          <cell r="S162"/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 t="str">
            <v>EST KIT MOTORIZADO SOFT TOUCH (ABERTURA 50) (1 ASSENTO) - Ø0x0H</v>
          </cell>
          <cell r="Y162">
            <v>54425.68</v>
          </cell>
          <cell r="Z162">
            <v>0.5</v>
          </cell>
          <cell r="AA162">
            <v>27212.84</v>
          </cell>
          <cell r="AB162" t="str">
            <v>CZ</v>
          </cell>
        </row>
        <row r="163">
          <cell r="C163">
            <v>0</v>
          </cell>
          <cell r="D163">
            <v>1</v>
          </cell>
          <cell r="E163">
            <v>0</v>
          </cell>
          <cell r="F163">
            <v>0</v>
          </cell>
          <cell r="H163">
            <v>0</v>
          </cell>
          <cell r="O163">
            <v>254664</v>
          </cell>
          <cell r="P163" t="str">
            <v>2019/309-0030-01</v>
          </cell>
          <cell r="Q163" t="str">
            <v>EST MODULO BRACO ESQ NEW LIVORNO (BC07) (FX D4120)</v>
          </cell>
          <cell r="R163"/>
          <cell r="S163"/>
          <cell r="T163">
            <v>1.07</v>
          </cell>
          <cell r="U163">
            <v>1.1499999999999999</v>
          </cell>
          <cell r="V163">
            <v>0.9</v>
          </cell>
          <cell r="W163">
            <v>0</v>
          </cell>
          <cell r="X163" t="str">
            <v>EST MODULO BRACO ESQ NEW LIVORNO (BC07) (FX D4120) - 1,07x1,15x0,9H</v>
          </cell>
          <cell r="Y163">
            <v>54425.68</v>
          </cell>
          <cell r="Z163">
            <v>0.5</v>
          </cell>
          <cell r="AA163">
            <v>27212.84</v>
          </cell>
          <cell r="AB163" t="str">
            <v>CZ</v>
          </cell>
        </row>
        <row r="164">
          <cell r="C164">
            <v>0</v>
          </cell>
          <cell r="D164">
            <v>1</v>
          </cell>
          <cell r="E164">
            <v>0</v>
          </cell>
          <cell r="F164">
            <v>0</v>
          </cell>
          <cell r="H164">
            <v>0</v>
          </cell>
          <cell r="O164">
            <v>254665</v>
          </cell>
          <cell r="P164" t="str">
            <v>2019/309-0031-01</v>
          </cell>
          <cell r="Q164" t="str">
            <v>EST MODULO BRACO DIREITO NEW LIVORNO (BC07) FX D4120</v>
          </cell>
          <cell r="R164"/>
          <cell r="S164"/>
          <cell r="T164">
            <v>1.07</v>
          </cell>
          <cell r="U164">
            <v>1.1499999999999999</v>
          </cell>
          <cell r="V164">
            <v>0.9</v>
          </cell>
          <cell r="W164">
            <v>0</v>
          </cell>
          <cell r="X164" t="str">
            <v>EST MODULO BRACO DIREITO NEW LIVORNO (BC07) FX D4120 - 1,07x1,15x0,9H</v>
          </cell>
          <cell r="Y164">
            <v>54425.68</v>
          </cell>
          <cell r="Z164">
            <v>0.5</v>
          </cell>
          <cell r="AA164">
            <v>27212.84</v>
          </cell>
          <cell r="AB164" t="str">
            <v>CZ</v>
          </cell>
        </row>
        <row r="165">
          <cell r="C165">
            <v>0</v>
          </cell>
          <cell r="D165">
            <v>1</v>
          </cell>
          <cell r="E165">
            <v>0</v>
          </cell>
          <cell r="F165">
            <v>0</v>
          </cell>
          <cell r="H165">
            <v>0</v>
          </cell>
          <cell r="O165">
            <v>254666</v>
          </cell>
          <cell r="P165" t="str">
            <v>2019/309-0038-01</v>
          </cell>
          <cell r="Q165" t="str">
            <v>EST MODULO S/BRACO NEW LIVORNO (FX D4120)</v>
          </cell>
          <cell r="R165"/>
          <cell r="S165"/>
          <cell r="T165">
            <v>1</v>
          </cell>
          <cell r="U165">
            <v>1.1499999999999999</v>
          </cell>
          <cell r="V165">
            <v>0.9</v>
          </cell>
          <cell r="W165">
            <v>0</v>
          </cell>
          <cell r="X165" t="str">
            <v>EST MODULO S/BRACO NEW LIVORNO (FX D4120) - 1x1,15x0,9H</v>
          </cell>
          <cell r="Y165">
            <v>54425.68</v>
          </cell>
          <cell r="Z165">
            <v>0.5</v>
          </cell>
          <cell r="AA165">
            <v>27212.84</v>
          </cell>
          <cell r="AB165" t="str">
            <v>CZ</v>
          </cell>
        </row>
        <row r="166">
          <cell r="C166">
            <v>1</v>
          </cell>
          <cell r="D166">
            <v>0</v>
          </cell>
          <cell r="E166">
            <v>0</v>
          </cell>
          <cell r="F166">
            <v>0</v>
          </cell>
          <cell r="H166">
            <v>0</v>
          </cell>
          <cell r="O166">
            <v>128969</v>
          </cell>
          <cell r="P166" t="str">
            <v>2013/149-0003-01</v>
          </cell>
          <cell r="Q166" t="str">
            <v>EST TAMPO CRISTAL LAPIDADO (15MM) INCOLOR CANTO MOEDA</v>
          </cell>
          <cell r="R166"/>
          <cell r="S166"/>
          <cell r="T166">
            <v>2.7</v>
          </cell>
          <cell r="U166">
            <v>1.2</v>
          </cell>
          <cell r="V166">
            <v>0.01</v>
          </cell>
          <cell r="W166">
            <v>0</v>
          </cell>
          <cell r="X166" t="str">
            <v>EST TAMPO CRISTAL LAPIDADO (15MM) INCOLOR CANTO MOEDA - 2,7x1,2x0,01H</v>
          </cell>
          <cell r="Y166">
            <v>62590.906399999993</v>
          </cell>
          <cell r="Z166">
            <v>0.5</v>
          </cell>
          <cell r="AA166">
            <v>31295.453199999996</v>
          </cell>
          <cell r="AB166" t="str">
            <v>DA</v>
          </cell>
        </row>
        <row r="167">
          <cell r="C167">
            <v>1</v>
          </cell>
          <cell r="D167">
            <v>0</v>
          </cell>
          <cell r="E167">
            <v>0</v>
          </cell>
          <cell r="F167">
            <v>0</v>
          </cell>
          <cell r="H167">
            <v>2</v>
          </cell>
          <cell r="O167">
            <v>238164</v>
          </cell>
          <cell r="P167" t="str">
            <v>2025/041-0011-01</v>
          </cell>
          <cell r="Q167" t="str">
            <v>EST BASE JANTAR GRAZ (MAD B LOURO ESPECIAL) (INOX ENV)</v>
          </cell>
          <cell r="R167"/>
          <cell r="S167"/>
          <cell r="T167">
            <v>2.5499999999999998</v>
          </cell>
          <cell r="U167">
            <v>1</v>
          </cell>
          <cell r="V167">
            <v>0.74</v>
          </cell>
          <cell r="W167">
            <v>0</v>
          </cell>
          <cell r="X167" t="str">
            <v>EST BASE JANTAR GRAZ (MAD B LOURO ESPECIAL) (INOX ENV) - 2,55x1x0,74H</v>
          </cell>
          <cell r="Y167">
            <v>62590.906399999993</v>
          </cell>
          <cell r="Z167">
            <v>0.5</v>
          </cell>
          <cell r="AA167">
            <v>31295.453199999996</v>
          </cell>
          <cell r="AB167" t="str">
            <v>DA</v>
          </cell>
        </row>
        <row r="168">
          <cell r="C168">
            <v>1</v>
          </cell>
          <cell r="D168">
            <v>1</v>
          </cell>
          <cell r="E168">
            <v>0</v>
          </cell>
          <cell r="F168">
            <v>0</v>
          </cell>
          <cell r="H168">
            <v>0</v>
          </cell>
          <cell r="O168">
            <v>219092</v>
          </cell>
          <cell r="P168" t="str">
            <v>2025/041-0010-01</v>
          </cell>
          <cell r="Q168" t="str">
            <v>EST TAMPO CRISTAL LAPIDADO (10MM) INCOLOR CANTO RETO</v>
          </cell>
          <cell r="R168"/>
          <cell r="S168"/>
          <cell r="T168">
            <v>1.4</v>
          </cell>
          <cell r="U168">
            <v>1.4</v>
          </cell>
          <cell r="V168">
            <v>0.01</v>
          </cell>
          <cell r="W168">
            <v>0</v>
          </cell>
          <cell r="X168" t="str">
            <v>EST TAMPO CRISTAL LAPIDADO (10MM) INCOLOR CANTO RETO - 1,4x1,4x0,01H</v>
          </cell>
          <cell r="Y168">
            <v>32449.818899999998</v>
          </cell>
          <cell r="Z168">
            <v>0.35</v>
          </cell>
          <cell r="AA168">
            <v>21092.382285</v>
          </cell>
          <cell r="AB168" t="str">
            <v>DB</v>
          </cell>
        </row>
        <row r="169">
          <cell r="C169">
            <v>1</v>
          </cell>
          <cell r="D169">
            <v>0</v>
          </cell>
          <cell r="E169">
            <v>0</v>
          </cell>
          <cell r="F169">
            <v>0</v>
          </cell>
          <cell r="H169">
            <v>0</v>
          </cell>
          <cell r="O169">
            <v>217200</v>
          </cell>
          <cell r="P169" t="str">
            <v>2018/219-0118-01</v>
          </cell>
          <cell r="Q169" t="str">
            <v>EST MESA CENTRO COB S/VIDRO (MAD B FREIJO NATURAL)</v>
          </cell>
          <cell r="R169"/>
          <cell r="S169"/>
          <cell r="T169">
            <v>1.42</v>
          </cell>
          <cell r="U169">
            <v>1.42</v>
          </cell>
          <cell r="V169">
            <v>0.25</v>
          </cell>
          <cell r="W169">
            <v>0</v>
          </cell>
          <cell r="X169" t="str">
            <v>EST MESA CENTRO COB S/VIDRO (MAD B FREIJO NATURAL) - 1,42x1,42x0,25H</v>
          </cell>
          <cell r="Y169">
            <v>32449.818899999998</v>
          </cell>
          <cell r="Z169">
            <v>0.35</v>
          </cell>
          <cell r="AA169">
            <v>21092.382285</v>
          </cell>
          <cell r="AB169" t="str">
            <v>DB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H170">
            <v>1</v>
          </cell>
          <cell r="O170">
            <v>270794</v>
          </cell>
          <cell r="P170" t="str">
            <v>2020/338-0061-01</v>
          </cell>
          <cell r="Q170" t="str">
            <v>EST MODULO BRACO ESQ NEW CHATEAU (2AS) (MTX PT) E5123</v>
          </cell>
          <cell r="R170"/>
          <cell r="S170"/>
          <cell r="T170">
            <v>2.31</v>
          </cell>
          <cell r="U170">
            <v>0.96</v>
          </cell>
          <cell r="V170">
            <v>0.8</v>
          </cell>
          <cell r="W170">
            <v>0</v>
          </cell>
          <cell r="X170" t="str">
            <v>EST MODULO BRACO ESQ NEW CHATEAU (2AS) (MTX PT) E5123 - 2,31x0,96x0,8H</v>
          </cell>
          <cell r="Y170">
            <v>56919.16</v>
          </cell>
          <cell r="Z170">
            <v>0.35</v>
          </cell>
          <cell r="AA170">
            <v>36997.454000000005</v>
          </cell>
          <cell r="AB170" t="str">
            <v>DC</v>
          </cell>
        </row>
        <row r="171"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H171">
            <v>1</v>
          </cell>
          <cell r="O171">
            <v>270800</v>
          </cell>
          <cell r="P171" t="str">
            <v>2020/338-0062-01</v>
          </cell>
          <cell r="Q171" t="str">
            <v>EST MODULO CHAISE ENC VIRADO NEW CHATEAU (MTX PT) E5123</v>
          </cell>
          <cell r="R171"/>
          <cell r="S171"/>
          <cell r="T171">
            <v>1.26</v>
          </cell>
          <cell r="U171">
            <v>2.4500000000000002</v>
          </cell>
          <cell r="V171">
            <v>0.8</v>
          </cell>
          <cell r="W171">
            <v>0</v>
          </cell>
          <cell r="X171" t="str">
            <v>EST MODULO CHAISE ENC VIRADO NEW CHATEAU (MTX PT) E5123 - 1,26x2,45x0,8H</v>
          </cell>
          <cell r="Y171">
            <v>56919.16</v>
          </cell>
          <cell r="Z171">
            <v>0.35</v>
          </cell>
          <cell r="AA171">
            <v>36997.454000000005</v>
          </cell>
          <cell r="AB171" t="str">
            <v>DC</v>
          </cell>
        </row>
        <row r="172"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H172">
            <v>0</v>
          </cell>
          <cell r="O172">
            <v>270597</v>
          </cell>
          <cell r="P172" t="str">
            <v>2021/118-0069-01</v>
          </cell>
          <cell r="Q172" t="str">
            <v>EST MODULO BRACO DIREITO MISTI FX6594/PES PRETO FSC</v>
          </cell>
          <cell r="R172"/>
          <cell r="S172"/>
          <cell r="T172">
            <v>1.4</v>
          </cell>
          <cell r="U172">
            <v>1</v>
          </cell>
          <cell r="V172">
            <v>0.67</v>
          </cell>
          <cell r="W172">
            <v>0</v>
          </cell>
          <cell r="X172" t="str">
            <v>EST MODULO BRACO DIREITO MISTI FX6594/PES PRETO FSC - 1,4x1x0,67H</v>
          </cell>
          <cell r="Y172">
            <v>62109.15</v>
          </cell>
          <cell r="Z172">
            <v>0.35</v>
          </cell>
          <cell r="AA172">
            <v>40370.947500000002</v>
          </cell>
          <cell r="AB172" t="str">
            <v>DI</v>
          </cell>
        </row>
        <row r="173"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H173">
            <v>0</v>
          </cell>
          <cell r="O173">
            <v>270598</v>
          </cell>
          <cell r="P173" t="str">
            <v>2021/118-0070-01</v>
          </cell>
          <cell r="Q173" t="str">
            <v>EST MODULO BRACO ESQUERDO MISTI FX6594/PES PRETO FSC</v>
          </cell>
          <cell r="R173"/>
          <cell r="S173"/>
          <cell r="T173">
            <v>1.4</v>
          </cell>
          <cell r="U173">
            <v>1</v>
          </cell>
          <cell r="V173">
            <v>0.67</v>
          </cell>
          <cell r="W173">
            <v>0</v>
          </cell>
          <cell r="X173" t="str">
            <v>EST MODULO BRACO ESQUERDO MISTI FX6594/PES PRETO FSC - 1,4x1x0,67H</v>
          </cell>
          <cell r="Y173">
            <v>62109.15</v>
          </cell>
          <cell r="Z173">
            <v>0.35</v>
          </cell>
          <cell r="AA173">
            <v>40370.947500000002</v>
          </cell>
          <cell r="AB173" t="str">
            <v>DI</v>
          </cell>
        </row>
        <row r="174"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H174">
            <v>0</v>
          </cell>
          <cell r="O174">
            <v>270630</v>
          </cell>
          <cell r="P174" t="str">
            <v>2021/118-0061-01</v>
          </cell>
          <cell r="Q174" t="str">
            <v>EST MODULO S/BRACO C/PUFF DIREITO MISTI FX6594/PES PRETO FSC</v>
          </cell>
          <cell r="R174"/>
          <cell r="S174"/>
          <cell r="T174">
            <v>1.8</v>
          </cell>
          <cell r="U174">
            <v>1</v>
          </cell>
          <cell r="V174">
            <v>0.67</v>
          </cell>
          <cell r="W174">
            <v>0</v>
          </cell>
          <cell r="X174" t="str">
            <v>EST MODULO S/BRACO C/PUFF DIREITO MISTI FX6594/PES PRETO FSC - 1,8x1x0,67H</v>
          </cell>
          <cell r="Y174">
            <v>62109.15</v>
          </cell>
          <cell r="Z174">
            <v>0.35</v>
          </cell>
          <cell r="AA174">
            <v>40370.947500000002</v>
          </cell>
          <cell r="AB174" t="str">
            <v>DI</v>
          </cell>
        </row>
        <row r="175"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H175">
            <v>0</v>
          </cell>
          <cell r="O175">
            <v>270631</v>
          </cell>
          <cell r="P175" t="str">
            <v>2021/118-0072-01</v>
          </cell>
          <cell r="Q175" t="str">
            <v>EST MODULO S/BRACO S/ENCOSTO MISTI FX6594/PES PRETO FSC</v>
          </cell>
          <cell r="R175"/>
          <cell r="S175"/>
          <cell r="T175">
            <v>1.8</v>
          </cell>
          <cell r="U175">
            <v>0.8</v>
          </cell>
          <cell r="V175">
            <v>0.45</v>
          </cell>
          <cell r="W175">
            <v>0</v>
          </cell>
          <cell r="X175" t="str">
            <v>EST MODULO S/BRACO S/ENCOSTO MISTI FX6594/PES PRETO FSC - 1,8x0,8x0,45H</v>
          </cell>
          <cell r="Y175">
            <v>62109.15</v>
          </cell>
          <cell r="Z175">
            <v>0.35</v>
          </cell>
          <cell r="AA175">
            <v>40370.947500000002</v>
          </cell>
          <cell r="AB175" t="str">
            <v>DI</v>
          </cell>
        </row>
        <row r="176"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H176">
            <v>1</v>
          </cell>
          <cell r="O176">
            <v>334182</v>
          </cell>
          <cell r="P176" t="str">
            <v>2022/207-0029-01</v>
          </cell>
          <cell r="Q176" t="str">
            <v>EST MODULO BRACO DIR ARAGON (1AS) (BC10) (MTZ CAPPUC) D4140</v>
          </cell>
          <cell r="R176"/>
          <cell r="S176"/>
          <cell r="T176">
            <v>1.1000000000000001</v>
          </cell>
          <cell r="U176">
            <v>1</v>
          </cell>
          <cell r="V176">
            <v>0.92</v>
          </cell>
          <cell r="W176">
            <v>0</v>
          </cell>
          <cell r="X176" t="str">
            <v>EST MODULO BRACO DIR ARAGON (1AS) (BC10) (MTZ CAPPUC) D4140 - 1,1x1x0,92H</v>
          </cell>
          <cell r="Y176">
            <v>69574.19</v>
          </cell>
          <cell r="Z176">
            <v>0.35</v>
          </cell>
          <cell r="AA176">
            <v>45223.223500000007</v>
          </cell>
          <cell r="AB176" t="str">
            <v>DP</v>
          </cell>
        </row>
        <row r="177"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H177">
            <v>1</v>
          </cell>
          <cell r="O177">
            <v>334183</v>
          </cell>
          <cell r="P177" t="str">
            <v>2022/207-0030-01</v>
          </cell>
          <cell r="Q177" t="str">
            <v>EST MODULO BRACO ESQ ARAGON (1AS) (BC10) (MTZ CAPPUC) D4140</v>
          </cell>
          <cell r="R177"/>
          <cell r="S177"/>
          <cell r="T177">
            <v>1.1000000000000001</v>
          </cell>
          <cell r="U177">
            <v>1</v>
          </cell>
          <cell r="V177">
            <v>0.92</v>
          </cell>
          <cell r="W177">
            <v>0</v>
          </cell>
          <cell r="X177" t="str">
            <v>EST MODULO BRACO ESQ ARAGON (1AS) (BC10) (MTZ CAPPUC) D4140 - 1,1x1x0,92H</v>
          </cell>
          <cell r="Y177">
            <v>69574.19</v>
          </cell>
          <cell r="Z177">
            <v>0.5</v>
          </cell>
          <cell r="AA177">
            <v>34787.095000000001</v>
          </cell>
          <cell r="AB177" t="str">
            <v>DP</v>
          </cell>
        </row>
        <row r="178"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H178">
            <v>1</v>
          </cell>
          <cell r="O178">
            <v>334184</v>
          </cell>
          <cell r="P178" t="str">
            <v>2022/207-0031-01</v>
          </cell>
          <cell r="Q178" t="str">
            <v>EST MODULO S/BRACO CURVO ARAGON (MTZ CAPUCC) D4140</v>
          </cell>
          <cell r="R178"/>
          <cell r="S178"/>
          <cell r="T178">
            <v>2.1</v>
          </cell>
          <cell r="U178">
            <v>1.4</v>
          </cell>
          <cell r="V178">
            <v>0.92</v>
          </cell>
          <cell r="W178">
            <v>0</v>
          </cell>
          <cell r="X178" t="str">
            <v>EST MODULO S/BRACO CURVO ARAGON (MTZ CAPUCC) D4140 - 2,1x1,4x0,92H</v>
          </cell>
          <cell r="Y178">
            <v>69574.19</v>
          </cell>
          <cell r="Z178">
            <v>0.5</v>
          </cell>
          <cell r="AA178">
            <v>34787.095000000001</v>
          </cell>
          <cell r="AB178" t="str">
            <v>DP</v>
          </cell>
        </row>
        <row r="179">
          <cell r="C179">
            <v>0</v>
          </cell>
          <cell r="D179">
            <v>0</v>
          </cell>
          <cell r="E179">
            <v>0</v>
          </cell>
          <cell r="F179">
            <v>1</v>
          </cell>
          <cell r="H179">
            <v>0</v>
          </cell>
          <cell r="O179">
            <v>334201</v>
          </cell>
          <cell r="P179" t="str">
            <v>2022/193-0064-01</v>
          </cell>
          <cell r="Q179" t="str">
            <v>EST MODULO BRACO DIR NEW CHATEAU (2AS) (MTX GRAFITE) E5142</v>
          </cell>
          <cell r="R179"/>
          <cell r="S179"/>
          <cell r="T179">
            <v>2.31</v>
          </cell>
          <cell r="U179">
            <v>0.96</v>
          </cell>
          <cell r="V179">
            <v>0.8</v>
          </cell>
          <cell r="W179">
            <v>0</v>
          </cell>
          <cell r="X179" t="str">
            <v>EST MODULO BRACO DIR NEW CHATEAU (2AS) (MTX GRAFITE) E5142 - 2,31x0,96x0,8H</v>
          </cell>
          <cell r="Y179">
            <v>51067.92</v>
          </cell>
          <cell r="Z179">
            <v>0.35</v>
          </cell>
          <cell r="AA179">
            <v>33194.148000000001</v>
          </cell>
          <cell r="AB179" t="str">
            <v>DQ</v>
          </cell>
        </row>
        <row r="180">
          <cell r="C180">
            <v>0</v>
          </cell>
          <cell r="D180">
            <v>0</v>
          </cell>
          <cell r="E180">
            <v>0</v>
          </cell>
          <cell r="F180">
            <v>1</v>
          </cell>
          <cell r="H180">
            <v>0</v>
          </cell>
          <cell r="O180">
            <v>334202</v>
          </cell>
          <cell r="P180" t="str">
            <v>2022/193-0065-01</v>
          </cell>
          <cell r="Q180" t="str">
            <v>EST MODULO CHAISE BRACO ESQ NEW CHATEAU (MTX GRAFITE) E5142</v>
          </cell>
          <cell r="R180"/>
          <cell r="S180"/>
          <cell r="T180">
            <v>1.18</v>
          </cell>
          <cell r="U180">
            <v>2.0499999999999998</v>
          </cell>
          <cell r="V180">
            <v>0.8</v>
          </cell>
          <cell r="W180">
            <v>0</v>
          </cell>
          <cell r="X180" t="str">
            <v>EST MODULO CHAISE BRACO ESQ NEW CHATEAU (MTX GRAFITE) E5142 - 1,18x2,05x0,8H</v>
          </cell>
          <cell r="Y180">
            <v>51067.92</v>
          </cell>
          <cell r="Z180">
            <v>0.35</v>
          </cell>
          <cell r="AA180">
            <v>33194.148000000001</v>
          </cell>
          <cell r="AB180" t="str">
            <v>DQ</v>
          </cell>
        </row>
        <row r="181"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H181">
            <v>1</v>
          </cell>
          <cell r="O181">
            <v>334345</v>
          </cell>
          <cell r="P181" t="str">
            <v>2024/193-0007-01</v>
          </cell>
          <cell r="Q181" t="str">
            <v>EST MODULO BRACO DIR ATLAS (BASE LAMIN EBANIZ) FX8168</v>
          </cell>
          <cell r="R181"/>
          <cell r="S181"/>
          <cell r="T181">
            <v>1.35</v>
          </cell>
          <cell r="U181">
            <v>1.1200000000000001</v>
          </cell>
          <cell r="V181">
            <v>0.73</v>
          </cell>
          <cell r="W181">
            <v>0</v>
          </cell>
          <cell r="X181" t="str">
            <v>EST MODULO BRACO DIR ATLAS (BASE LAMIN EBANIZ) FX8168 - 1,35x1,12x0,73H</v>
          </cell>
          <cell r="Y181">
            <v>41418.14</v>
          </cell>
          <cell r="Z181">
            <v>0.5</v>
          </cell>
          <cell r="AA181">
            <v>20709.07</v>
          </cell>
          <cell r="AB181" t="str">
            <v>DS</v>
          </cell>
        </row>
        <row r="182"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H182">
            <v>1</v>
          </cell>
          <cell r="O182">
            <v>334346</v>
          </cell>
          <cell r="P182" t="str">
            <v>2024/193-0008-01</v>
          </cell>
          <cell r="Q182" t="str">
            <v>EST MODULO BRACO ESQ ATLAS (BASE LAMIN EBANIZ) FX8168</v>
          </cell>
          <cell r="R182"/>
          <cell r="S182"/>
          <cell r="T182">
            <v>1.35</v>
          </cell>
          <cell r="U182">
            <v>1.1200000000000001</v>
          </cell>
          <cell r="V182">
            <v>0.73</v>
          </cell>
          <cell r="W182">
            <v>0</v>
          </cell>
          <cell r="X182" t="str">
            <v>EST MODULO BRACO ESQ ATLAS (BASE LAMIN EBANIZ) FX8168 - 1,35x1,12x0,73H</v>
          </cell>
          <cell r="Y182">
            <v>41418.14</v>
          </cell>
          <cell r="Z182">
            <v>0.5</v>
          </cell>
          <cell r="AA182">
            <v>20709.07</v>
          </cell>
          <cell r="AB182" t="str">
            <v>DS</v>
          </cell>
        </row>
        <row r="183"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H183">
            <v>1</v>
          </cell>
          <cell r="O183">
            <v>334205</v>
          </cell>
          <cell r="P183" t="str">
            <v>2022/196-0063-01</v>
          </cell>
          <cell r="Q183" t="str">
            <v>EST MODULO BRACO ESQUERDO AURORA FX10009/MTZ PRATA</v>
          </cell>
          <cell r="R183"/>
          <cell r="S183"/>
          <cell r="T183">
            <v>1.92</v>
          </cell>
          <cell r="U183">
            <v>0.87</v>
          </cell>
          <cell r="V183">
            <v>0.7</v>
          </cell>
          <cell r="W183">
            <v>0</v>
          </cell>
          <cell r="X183" t="str">
            <v>EST MODULO BRACO ESQUERDO AURORA FX10009/MTZ PRATA - 1,92x0,87x0,7H</v>
          </cell>
          <cell r="Y183">
            <v>64635.600000000006</v>
          </cell>
          <cell r="Z183">
            <v>0.5</v>
          </cell>
          <cell r="AA183">
            <v>32317.800000000003</v>
          </cell>
          <cell r="AB183" t="str">
            <v>DU</v>
          </cell>
        </row>
        <row r="184"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H184">
            <v>1</v>
          </cell>
          <cell r="O184">
            <v>334206</v>
          </cell>
          <cell r="P184" t="str">
            <v>2022/196-0064-01</v>
          </cell>
          <cell r="Q184" t="str">
            <v>EST MODULO BRACO DIREITO C/PUFF AURORA FX10009/MTZ PRATA</v>
          </cell>
          <cell r="R184"/>
          <cell r="S184"/>
          <cell r="T184">
            <v>1.97</v>
          </cell>
          <cell r="U184">
            <v>0.87</v>
          </cell>
          <cell r="V184">
            <v>0.7</v>
          </cell>
          <cell r="W184">
            <v>0</v>
          </cell>
          <cell r="X184" t="str">
            <v>EST MODULO BRACO DIREITO C/PUFF AURORA FX10009/MTZ PRATA - 1,97x0,87x0,7H</v>
          </cell>
          <cell r="Y184">
            <v>64635.600000000006</v>
          </cell>
          <cell r="Z184">
            <v>0.5</v>
          </cell>
          <cell r="AA184">
            <v>32317.800000000003</v>
          </cell>
          <cell r="AB184" t="str">
            <v>DU</v>
          </cell>
        </row>
        <row r="185"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H185">
            <v>2</v>
          </cell>
          <cell r="O185">
            <v>334247</v>
          </cell>
          <cell r="P185" t="str">
            <v>2022/203-0084-01</v>
          </cell>
          <cell r="Q185" t="str">
            <v>EST MODULO CHAISE S/BRACO PARATY (FX 40030) (COFFEE MATT)</v>
          </cell>
          <cell r="R185"/>
          <cell r="S185"/>
          <cell r="T185">
            <v>0.9</v>
          </cell>
          <cell r="U185">
            <v>1.77</v>
          </cell>
          <cell r="V185">
            <v>0.77</v>
          </cell>
          <cell r="W185">
            <v>0</v>
          </cell>
          <cell r="X185" t="str">
            <v>EST MODULO CHAISE S/BRACO PARATY (FX 40030) (COFFEE MATT) - 0,9x1,77x0,77H</v>
          </cell>
          <cell r="Y185">
            <v>45780.5</v>
          </cell>
          <cell r="Z185">
            <v>0.5</v>
          </cell>
          <cell r="AA185">
            <v>22890.25</v>
          </cell>
          <cell r="AB185" t="str">
            <v>DV</v>
          </cell>
        </row>
        <row r="186"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H186">
            <v>2</v>
          </cell>
          <cell r="O186">
            <v>334248</v>
          </cell>
          <cell r="P186" t="str">
            <v>2022/203-0085-01</v>
          </cell>
          <cell r="Q186" t="str">
            <v>EST MODULO S/BRACO C/ENCOSTO PARATY (FX 40030) (COFFEE MATT)</v>
          </cell>
          <cell r="R186"/>
          <cell r="S186"/>
          <cell r="T186">
            <v>1.8</v>
          </cell>
          <cell r="U186">
            <v>1</v>
          </cell>
          <cell r="V186">
            <v>0.77</v>
          </cell>
          <cell r="W186">
            <v>0</v>
          </cell>
          <cell r="X186" t="str">
            <v>EST MODULO S/BRACO C/ENCOSTO PARATY (FX 40030) (COFFEE MATT) - 1,8x1x0,77H</v>
          </cell>
          <cell r="Y186">
            <v>45780.5</v>
          </cell>
          <cell r="Z186">
            <v>0.5</v>
          </cell>
          <cell r="AA186">
            <v>22890.25</v>
          </cell>
          <cell r="AB186" t="str">
            <v>DV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H187">
            <v>2</v>
          </cell>
          <cell r="O187">
            <v>334249</v>
          </cell>
          <cell r="P187" t="str">
            <v>2022/203-0087-01</v>
          </cell>
          <cell r="Q187" t="str">
            <v>EST MODULO S/BRACO C/ENCOSTO PARATY (FX 40030) (COFFEE MATT)</v>
          </cell>
          <cell r="R187"/>
          <cell r="S187"/>
          <cell r="T187">
            <v>0.9</v>
          </cell>
          <cell r="U187">
            <v>1</v>
          </cell>
          <cell r="V187">
            <v>0.77</v>
          </cell>
          <cell r="W187">
            <v>0</v>
          </cell>
          <cell r="X187" t="str">
            <v>EST MODULO S/BRACO C/ENCOSTO PARATY (FX 40030) (COFFEE MATT) - 0,9x1x0,77H</v>
          </cell>
          <cell r="Y187">
            <v>45780.5</v>
          </cell>
          <cell r="Z187">
            <v>0.5</v>
          </cell>
          <cell r="AA187">
            <v>22890.25</v>
          </cell>
          <cell r="AB187" t="str">
            <v>DV</v>
          </cell>
        </row>
        <row r="188"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H188">
            <v>1</v>
          </cell>
          <cell r="O188">
            <v>334159</v>
          </cell>
          <cell r="P188" t="str">
            <v>2022/180-0033-01</v>
          </cell>
          <cell r="Q188" t="str">
            <v>EST BASE JANTAR HOLG (JEQUITIBA TING DARK WALNUT)</v>
          </cell>
          <cell r="R188"/>
          <cell r="S188"/>
          <cell r="T188">
            <v>1.5</v>
          </cell>
          <cell r="U188">
            <v>1.5</v>
          </cell>
          <cell r="V188">
            <v>0.76</v>
          </cell>
          <cell r="W188">
            <v>0</v>
          </cell>
          <cell r="X188" t="str">
            <v>EST BASE JANTAR HOLG (JEQUITIBA TING DARK WALNUT) - 1,5x1,5x0,76H</v>
          </cell>
          <cell r="Y188">
            <v>70594.675000000003</v>
          </cell>
          <cell r="Z188">
            <v>0.5</v>
          </cell>
          <cell r="AA188">
            <v>35297.337500000001</v>
          </cell>
          <cell r="AB188" t="str">
            <v>DX</v>
          </cell>
        </row>
        <row r="189"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H189">
            <v>1</v>
          </cell>
          <cell r="O189">
            <v>334172</v>
          </cell>
          <cell r="P189" t="str">
            <v>2022/214-0017-01</v>
          </cell>
          <cell r="Q189" t="str">
            <v>EST TAMPO MARMORE (F9025) (RETO/CHANF) (G3-VITORIA R LEVIG)</v>
          </cell>
          <cell r="R189"/>
          <cell r="S189"/>
          <cell r="T189">
            <v>1.5</v>
          </cell>
          <cell r="U189">
            <v>1.5</v>
          </cell>
          <cell r="V189">
            <v>0.02</v>
          </cell>
          <cell r="W189">
            <v>0</v>
          </cell>
          <cell r="X189" t="str">
            <v>EST TAMPO MARMORE (F9025) (RETO/CHANF) (G3-VITORIA R LEVIG) - 1,5x1,5x0,02H</v>
          </cell>
          <cell r="Y189">
            <v>70594.675000000003</v>
          </cell>
          <cell r="Z189">
            <v>0.5</v>
          </cell>
          <cell r="AA189">
            <v>35297.337500000001</v>
          </cell>
          <cell r="AB189" t="str">
            <v>DX</v>
          </cell>
        </row>
        <row r="190">
          <cell r="C190">
            <v>0</v>
          </cell>
          <cell r="D190">
            <v>1</v>
          </cell>
          <cell r="E190">
            <v>0</v>
          </cell>
          <cell r="F190">
            <v>0</v>
          </cell>
          <cell r="H190">
            <v>0</v>
          </cell>
          <cell r="O190">
            <v>182373</v>
          </cell>
          <cell r="P190" t="str">
            <v>2016/349-0188-01</v>
          </cell>
          <cell r="Q190" t="str">
            <v>EST TAMPO CRISTAL LAPIDADO (15MM) INCOLOR (CIRCULAR)</v>
          </cell>
          <cell r="R190"/>
          <cell r="S190"/>
          <cell r="T190">
            <v>1.5</v>
          </cell>
          <cell r="U190">
            <v>0</v>
          </cell>
          <cell r="V190">
            <v>0.01</v>
          </cell>
          <cell r="W190">
            <v>1.5</v>
          </cell>
          <cell r="X190" t="str">
            <v>EST TAMPO CRISTAL LAPIDADO (15MM) INCOLOR (CIRCULAR) - Ø1,5x0,01H</v>
          </cell>
          <cell r="Y190">
            <v>27194.25</v>
          </cell>
          <cell r="Z190">
            <v>0.5</v>
          </cell>
          <cell r="AA190">
            <v>13597.125</v>
          </cell>
          <cell r="AB190" t="str">
            <v>EB</v>
          </cell>
        </row>
        <row r="191">
          <cell r="C191">
            <v>0</v>
          </cell>
          <cell r="D191">
            <v>1</v>
          </cell>
          <cell r="E191">
            <v>0</v>
          </cell>
          <cell r="F191">
            <v>0</v>
          </cell>
          <cell r="H191">
            <v>0</v>
          </cell>
          <cell r="O191">
            <v>223599</v>
          </cell>
          <cell r="P191" t="str">
            <v>2018/191-0057-01</v>
          </cell>
          <cell r="Q191" t="str">
            <v>EST BASE JANTAR CRUZADAS (MAD A MUIRACATIARA POA)</v>
          </cell>
          <cell r="R191"/>
          <cell r="S191"/>
          <cell r="T191">
            <v>0.84</v>
          </cell>
          <cell r="U191">
            <v>0</v>
          </cell>
          <cell r="V191">
            <v>0.73</v>
          </cell>
          <cell r="W191">
            <v>0.84</v>
          </cell>
          <cell r="X191" t="str">
            <v>EST BASE JANTAR CRUZADAS (MAD A MUIRACATIARA POA) - Ø0,84x0,73H</v>
          </cell>
          <cell r="Y191">
            <v>27194.25</v>
          </cell>
          <cell r="Z191">
            <v>0.5</v>
          </cell>
          <cell r="AA191">
            <v>13597.125</v>
          </cell>
          <cell r="AB191" t="str">
            <v>EB</v>
          </cell>
        </row>
        <row r="192"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H192">
            <v>1</v>
          </cell>
          <cell r="O192">
            <v>302830</v>
          </cell>
          <cell r="P192" t="str">
            <v>2021/327-0215-01</v>
          </cell>
          <cell r="Q192" t="str">
            <v>EST MODULO BRACO ESQUERDO LUME (2AS) FX6360/PES NOGUEIRA</v>
          </cell>
          <cell r="R192"/>
          <cell r="S192"/>
          <cell r="T192">
            <v>2.2599999999999998</v>
          </cell>
          <cell r="U192">
            <v>0.93</v>
          </cell>
          <cell r="V192">
            <v>0.67</v>
          </cell>
          <cell r="W192">
            <v>0</v>
          </cell>
          <cell r="X192" t="str">
            <v>EST MODULO BRACO ESQUERDO LUME (2AS) FX6360/PES NOGUEIRA - 2,26x0,93x0,67H</v>
          </cell>
          <cell r="Y192">
            <v>41302.639999999999</v>
          </cell>
          <cell r="Z192">
            <v>0.5</v>
          </cell>
          <cell r="AA192">
            <v>20651.32</v>
          </cell>
          <cell r="AB192" t="str">
            <v>EC</v>
          </cell>
        </row>
        <row r="193"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H193">
            <v>1</v>
          </cell>
          <cell r="O193">
            <v>302831</v>
          </cell>
          <cell r="P193" t="str">
            <v>2021/327-0216-01</v>
          </cell>
          <cell r="Q193" t="str">
            <v>EST MODULO CHAISE BRACO DIREITO LUME FX6360/PES NOGUEIRA</v>
          </cell>
          <cell r="R193"/>
          <cell r="S193"/>
          <cell r="T193">
            <v>1.06</v>
          </cell>
          <cell r="U193">
            <v>1.6</v>
          </cell>
          <cell r="V193">
            <v>0.67</v>
          </cell>
          <cell r="W193">
            <v>0</v>
          </cell>
          <cell r="X193" t="str">
            <v>EST MODULO CHAISE BRACO DIREITO LUME FX6360/PES NOGUEIRA - 1,06x1,6x0,67H</v>
          </cell>
          <cell r="Y193">
            <v>41302.639999999999</v>
          </cell>
          <cell r="Z193">
            <v>0.5</v>
          </cell>
          <cell r="AA193">
            <v>20651.32</v>
          </cell>
          <cell r="AB193" t="str">
            <v>EC</v>
          </cell>
        </row>
        <row r="194"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H194">
            <v>1</v>
          </cell>
          <cell r="O194">
            <v>339717</v>
          </cell>
          <cell r="P194" t="str">
            <v>2022/174-0001-01</v>
          </cell>
          <cell r="Q194" t="str">
            <v>EST MODULO BRACO DIREITO ICARUS (1AS 1,15M) (BC20) FX B2108</v>
          </cell>
          <cell r="R194"/>
          <cell r="S194"/>
          <cell r="T194">
            <v>1.35</v>
          </cell>
          <cell r="U194">
            <v>1.05</v>
          </cell>
          <cell r="V194">
            <v>0.92</v>
          </cell>
          <cell r="W194">
            <v>0</v>
          </cell>
          <cell r="X194" t="str">
            <v>EST MODULO BRACO DIREITO ICARUS (1AS 1,15M) (BC20) FX B2108 - 1,35x1,05x0,92H</v>
          </cell>
          <cell r="Y194">
            <v>28459.56</v>
          </cell>
          <cell r="Z194">
            <v>0.5</v>
          </cell>
          <cell r="AA194">
            <v>14229.78</v>
          </cell>
          <cell r="AB194" t="str">
            <v>EG</v>
          </cell>
        </row>
        <row r="195"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H195">
            <v>1</v>
          </cell>
          <cell r="O195">
            <v>339718</v>
          </cell>
          <cell r="P195" t="str">
            <v>2022/174-0002-01</v>
          </cell>
          <cell r="Q195" t="str">
            <v>EST MODULO BRACO ESQUERDO ICARUS (1AS 1,15M) (BC20) FX B2108</v>
          </cell>
          <cell r="R195"/>
          <cell r="S195"/>
          <cell r="T195">
            <v>1.35</v>
          </cell>
          <cell r="U195">
            <v>1.05</v>
          </cell>
          <cell r="V195">
            <v>0.92</v>
          </cell>
          <cell r="W195">
            <v>0</v>
          </cell>
          <cell r="X195" t="str">
            <v>EST MODULO BRACO ESQUERDO ICARUS (1AS 1,15M) (BC20) FX B2108 - 1,35x1,05x0,92H</v>
          </cell>
          <cell r="Y195">
            <v>28459.56</v>
          </cell>
          <cell r="Z195">
            <v>0.5</v>
          </cell>
          <cell r="AA195">
            <v>14229.78</v>
          </cell>
          <cell r="AB195" t="str">
            <v>EG</v>
          </cell>
        </row>
        <row r="196"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H196">
            <v>1</v>
          </cell>
          <cell r="O196">
            <v>328716</v>
          </cell>
          <cell r="P196" t="str">
            <v>2022/193-0069-01</v>
          </cell>
          <cell r="Q196" t="str">
            <v>EST ACESSORIO MESA DIXON (METAL/COURO PINHAO)</v>
          </cell>
          <cell r="R196"/>
          <cell r="S196"/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 t="str">
            <v>EST ACESSORIO MESA DIXON (METAL/COURO PINHAO) - Ø0x0H</v>
          </cell>
          <cell r="Y196">
            <v>58146.820000000007</v>
          </cell>
          <cell r="Z196">
            <v>0.5</v>
          </cell>
          <cell r="AA196">
            <v>29073.410000000003</v>
          </cell>
          <cell r="AB196" t="str">
            <v>EQ</v>
          </cell>
        </row>
        <row r="197"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H197">
            <v>1</v>
          </cell>
          <cell r="O197">
            <v>328725</v>
          </cell>
          <cell r="P197" t="str">
            <v>2022/193-0070-01</v>
          </cell>
          <cell r="Q197" t="str">
            <v>EST MODULO S/BRACO C/AVANCO DIXON FX C3005/PES MARROM ESCURO</v>
          </cell>
          <cell r="R197"/>
          <cell r="S197"/>
          <cell r="T197">
            <v>1.65</v>
          </cell>
          <cell r="U197">
            <v>1.02</v>
          </cell>
          <cell r="V197">
            <v>0.8</v>
          </cell>
          <cell r="W197">
            <v>0</v>
          </cell>
          <cell r="X197" t="str">
            <v>EST MODULO S/BRACO C/AVANCO DIXON FX C3005/PES MARROM ESCURO - 1,65x1,02x0,8H</v>
          </cell>
          <cell r="Y197">
            <v>58146.820000000007</v>
          </cell>
          <cell r="Z197">
            <v>0.5</v>
          </cell>
          <cell r="AA197">
            <v>29073.410000000003</v>
          </cell>
          <cell r="AB197" t="str">
            <v>EQ</v>
          </cell>
        </row>
        <row r="198"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H198">
            <v>1</v>
          </cell>
          <cell r="O198">
            <v>328726</v>
          </cell>
          <cell r="P198" t="str">
            <v>2022/193-0071-01</v>
          </cell>
          <cell r="Q198" t="str">
            <v>EST MODULO PUFF DIXON FX C3005/PES MARROMO ESCURO</v>
          </cell>
          <cell r="R198"/>
          <cell r="S198"/>
          <cell r="T198">
            <v>1.01</v>
          </cell>
          <cell r="U198">
            <v>1.01</v>
          </cell>
          <cell r="V198">
            <v>0.44</v>
          </cell>
          <cell r="W198">
            <v>0</v>
          </cell>
          <cell r="X198" t="str">
            <v>EST MODULO PUFF DIXON FX C3005/PES MARROMO ESCURO - 1,01x1,01x0,44H</v>
          </cell>
          <cell r="Y198">
            <v>58146.820000000007</v>
          </cell>
          <cell r="Z198">
            <v>0.5</v>
          </cell>
          <cell r="AA198">
            <v>29073.410000000003</v>
          </cell>
          <cell r="AB198" t="str">
            <v>EQ</v>
          </cell>
        </row>
        <row r="199"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H199">
            <v>1</v>
          </cell>
          <cell r="O199">
            <v>328727</v>
          </cell>
          <cell r="P199" t="str">
            <v>2022/193-0072-01</v>
          </cell>
          <cell r="Q199" t="str">
            <v>EST MODULO BRACO ESQUERDO DIXON FX C3005/PES MARROM ESCURO</v>
          </cell>
          <cell r="R199"/>
          <cell r="S199"/>
          <cell r="T199">
            <v>2.75</v>
          </cell>
          <cell r="U199">
            <v>1.02</v>
          </cell>
          <cell r="V199">
            <v>0.8</v>
          </cell>
          <cell r="W199">
            <v>0</v>
          </cell>
          <cell r="X199" t="str">
            <v>EST MODULO BRACO ESQUERDO DIXON FX C3005/PES MARROM ESCURO - 2,75x1,02x0,8H</v>
          </cell>
          <cell r="Y199">
            <v>58146.820000000007</v>
          </cell>
          <cell r="Z199">
            <v>0.5</v>
          </cell>
          <cell r="AA199">
            <v>29073.410000000003</v>
          </cell>
          <cell r="AB199" t="str">
            <v>EQ</v>
          </cell>
        </row>
        <row r="200">
          <cell r="C200">
            <v>1</v>
          </cell>
          <cell r="D200">
            <v>0</v>
          </cell>
          <cell r="E200">
            <v>0</v>
          </cell>
          <cell r="F200">
            <v>0</v>
          </cell>
          <cell r="H200">
            <v>0</v>
          </cell>
          <cell r="O200">
            <v>336615</v>
          </cell>
          <cell r="P200" t="str">
            <v>2022/235-0065-01</v>
          </cell>
          <cell r="Q200" t="str">
            <v>EST BASE JANTAR MAR ADENTRO (PINTURA CS120) (TP FORN)</v>
          </cell>
          <cell r="R200"/>
          <cell r="S200"/>
          <cell r="T200">
            <v>2.9</v>
          </cell>
          <cell r="U200">
            <v>1.1000000000000001</v>
          </cell>
          <cell r="V200">
            <v>0.75</v>
          </cell>
          <cell r="W200">
            <v>0</v>
          </cell>
          <cell r="X200" t="str">
            <v>EST BASE JANTAR MAR ADENTRO (PINTURA CS120) (TP FORN) - 2,9x1,1x0,75H</v>
          </cell>
          <cell r="Y200">
            <v>97800.377999999997</v>
          </cell>
          <cell r="Z200">
            <v>0.5</v>
          </cell>
          <cell r="AA200">
            <v>48900.188999999998</v>
          </cell>
          <cell r="AB200" t="str">
            <v>ER</v>
          </cell>
        </row>
        <row r="201">
          <cell r="C201">
            <v>1</v>
          </cell>
          <cell r="D201">
            <v>0</v>
          </cell>
          <cell r="E201">
            <v>0</v>
          </cell>
          <cell r="F201">
            <v>0</v>
          </cell>
          <cell r="H201">
            <v>0</v>
          </cell>
          <cell r="O201">
            <v>354324</v>
          </cell>
          <cell r="P201" t="str">
            <v>2022/277-0087-01</v>
          </cell>
          <cell r="Q201" t="str">
            <v>EST TAMPO MARMORE (F9025) (RETO/RETA) (G2-RAFFAELLO LEVIG)</v>
          </cell>
          <cell r="R201"/>
          <cell r="S201"/>
          <cell r="T201">
            <v>3</v>
          </cell>
          <cell r="U201">
            <v>1.2</v>
          </cell>
          <cell r="V201">
            <v>0.02</v>
          </cell>
          <cell r="W201">
            <v>0</v>
          </cell>
          <cell r="X201" t="str">
            <v>EST TAMPO MARMORE (F9025) (RETO/RETA) (G2-RAFFAELLO LEVIG) - 3x1,2x0,02H</v>
          </cell>
          <cell r="Y201">
            <v>97800.377999999997</v>
          </cell>
          <cell r="Z201">
            <v>0.5</v>
          </cell>
          <cell r="AA201">
            <v>48900.188999999998</v>
          </cell>
          <cell r="AB201" t="str">
            <v>ER</v>
          </cell>
        </row>
        <row r="202"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H202">
            <v>3</v>
          </cell>
          <cell r="O202">
            <v>336696</v>
          </cell>
          <cell r="P202" t="str">
            <v>2022/243-0015-01</v>
          </cell>
          <cell r="Q202" t="str">
            <v>EST POLTRONA PACO (MAD A TAUARI ENV) TC G10-11202-343</v>
          </cell>
          <cell r="R202"/>
          <cell r="S202"/>
          <cell r="T202">
            <v>0.88</v>
          </cell>
          <cell r="U202">
            <v>1.04</v>
          </cell>
          <cell r="V202">
            <v>0.81</v>
          </cell>
          <cell r="W202">
            <v>0</v>
          </cell>
          <cell r="X202" t="str">
            <v>EST POLTRONA PACO (MAD A TAUARI ENV) TC G10-11202-343 - 0,88x1,04x0,81H</v>
          </cell>
          <cell r="Y202">
            <v>45257.460000000006</v>
          </cell>
          <cell r="Z202">
            <v>0.5</v>
          </cell>
          <cell r="AA202">
            <v>22628.730000000003</v>
          </cell>
          <cell r="AB202" t="str">
            <v>ET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H203">
            <v>2</v>
          </cell>
          <cell r="O203">
            <v>354547</v>
          </cell>
          <cell r="P203" t="str">
            <v>2022/244-0036-01</v>
          </cell>
          <cell r="Q203" t="str">
            <v>EST MESA LATERAL PACO (TAMPO CERAMICA BEGE) INOX ENV</v>
          </cell>
          <cell r="R203"/>
          <cell r="S203"/>
          <cell r="T203">
            <v>0.25</v>
          </cell>
          <cell r="U203">
            <v>0</v>
          </cell>
          <cell r="V203">
            <v>0.52</v>
          </cell>
          <cell r="W203">
            <v>0.25</v>
          </cell>
          <cell r="X203" t="str">
            <v>EST MESA LATERAL PACO (TAMPO CERAMICA BEGE) INOX ENV - Ø0,25x0,52H</v>
          </cell>
          <cell r="Y203">
            <v>45257.460000000006</v>
          </cell>
          <cell r="Z203">
            <v>0.5</v>
          </cell>
          <cell r="AA203">
            <v>22628.730000000003</v>
          </cell>
          <cell r="AB203" t="str">
            <v>ET</v>
          </cell>
        </row>
        <row r="204"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H204">
            <v>1</v>
          </cell>
          <cell r="O204">
            <v>335213</v>
          </cell>
          <cell r="P204" t="str">
            <v>2022/210-0107-01</v>
          </cell>
          <cell r="Q204" t="str">
            <v>EST MODULO S/BRACO C/PUFF ESQUERDO AURORA FX8582 /MTX PRETO</v>
          </cell>
          <cell r="R204"/>
          <cell r="S204"/>
          <cell r="T204">
            <v>1.75</v>
          </cell>
          <cell r="U204">
            <v>0.87</v>
          </cell>
          <cell r="V204">
            <v>0.7</v>
          </cell>
          <cell r="W204">
            <v>0</v>
          </cell>
          <cell r="X204" t="str">
            <v>EST MODULO S/BRACO C/PUFF ESQUERDO AURORA FX8582 /MTX PRETO - 1,75x0,87x0,7H</v>
          </cell>
          <cell r="Y204">
            <v>74409.53</v>
          </cell>
          <cell r="Z204">
            <v>0.5</v>
          </cell>
          <cell r="AA204">
            <v>37204.764999999999</v>
          </cell>
          <cell r="AB204" t="str">
            <v>EU</v>
          </cell>
        </row>
        <row r="205"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H205">
            <v>1</v>
          </cell>
          <cell r="O205">
            <v>335214</v>
          </cell>
          <cell r="P205" t="str">
            <v>2022/210-0108-01</v>
          </cell>
          <cell r="Q205" t="str">
            <v>EST MODULO CANTO C/ASSENTO DIREITO AURORA FX8582 /MTX PRETO</v>
          </cell>
          <cell r="R205"/>
          <cell r="S205"/>
          <cell r="T205">
            <v>1.75</v>
          </cell>
          <cell r="U205">
            <v>0.87</v>
          </cell>
          <cell r="V205">
            <v>0.7</v>
          </cell>
          <cell r="W205">
            <v>0</v>
          </cell>
          <cell r="X205" t="str">
            <v>EST MODULO CANTO C/ASSENTO DIREITO AURORA FX8582 /MTX PRETO - 1,75x0,87x0,7H</v>
          </cell>
          <cell r="Y205">
            <v>74409.53</v>
          </cell>
          <cell r="Z205">
            <v>0.5</v>
          </cell>
          <cell r="AA205">
            <v>37204.764999999999</v>
          </cell>
          <cell r="AB205" t="str">
            <v>EU</v>
          </cell>
        </row>
        <row r="206"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H206">
            <v>1</v>
          </cell>
          <cell r="O206">
            <v>335215</v>
          </cell>
          <cell r="P206" t="str">
            <v>2022/210-0109-01</v>
          </cell>
          <cell r="Q206" t="str">
            <v>EST MODULO BRACO DIREITO C/PUFF AURORA FX8582 /MTX PRETO</v>
          </cell>
          <cell r="R206"/>
          <cell r="S206"/>
          <cell r="T206">
            <v>1.87</v>
          </cell>
          <cell r="U206">
            <v>0.87</v>
          </cell>
          <cell r="V206">
            <v>0.7</v>
          </cell>
          <cell r="W206">
            <v>0</v>
          </cell>
          <cell r="X206" t="str">
            <v>EST MODULO BRACO DIREITO C/PUFF AURORA FX8582 /MTX PRETO - 1,87x0,87x0,7H</v>
          </cell>
          <cell r="Y206">
            <v>74409.53</v>
          </cell>
          <cell r="Z206">
            <v>0.5</v>
          </cell>
          <cell r="AA206">
            <v>37204.764999999999</v>
          </cell>
          <cell r="AB206" t="str">
            <v>EU</v>
          </cell>
        </row>
        <row r="207">
          <cell r="C207">
            <v>0</v>
          </cell>
          <cell r="D207">
            <v>0</v>
          </cell>
          <cell r="E207">
            <v>0</v>
          </cell>
          <cell r="F207">
            <v>1</v>
          </cell>
          <cell r="H207">
            <v>0</v>
          </cell>
          <cell r="O207">
            <v>335218</v>
          </cell>
          <cell r="P207" t="str">
            <v>2022/182-0010-01</v>
          </cell>
          <cell r="Q207" t="str">
            <v>EST MODULO S/BRACO C/AVANCO ASSENTO DIREITO MORETTI FX E5001</v>
          </cell>
          <cell r="R207"/>
          <cell r="S207"/>
          <cell r="T207">
            <v>1.2</v>
          </cell>
          <cell r="U207">
            <v>1.25</v>
          </cell>
          <cell r="V207">
            <v>0.88</v>
          </cell>
          <cell r="W207">
            <v>0</v>
          </cell>
          <cell r="X207" t="str">
            <v>EST MODULO S/BRACO C/AVANCO ASSENTO DIREITO MORETTI FX E5001 - 1,2x1,25x0,88H</v>
          </cell>
          <cell r="Y207">
            <v>54711.25</v>
          </cell>
          <cell r="Z207">
            <v>0.5</v>
          </cell>
          <cell r="AA207">
            <v>27355.625</v>
          </cell>
          <cell r="AB207" t="str">
            <v>EV</v>
          </cell>
        </row>
        <row r="208">
          <cell r="C208">
            <v>0</v>
          </cell>
          <cell r="D208">
            <v>0</v>
          </cell>
          <cell r="E208">
            <v>0</v>
          </cell>
          <cell r="F208">
            <v>1</v>
          </cell>
          <cell r="H208">
            <v>0</v>
          </cell>
          <cell r="O208">
            <v>335219</v>
          </cell>
          <cell r="P208" t="str">
            <v>2022/182-0011-01</v>
          </cell>
          <cell r="Q208" t="str">
            <v>EST MODULO S/BRACO MORETTI FX E5001</v>
          </cell>
          <cell r="R208"/>
          <cell r="S208"/>
          <cell r="T208">
            <v>1.2</v>
          </cell>
          <cell r="U208">
            <v>1.25</v>
          </cell>
          <cell r="V208">
            <v>0.88</v>
          </cell>
          <cell r="W208">
            <v>0</v>
          </cell>
          <cell r="X208" t="str">
            <v>EST MODULO S/BRACO MORETTI FX E5001 - 1,2x1,25x0,88H</v>
          </cell>
          <cell r="Y208">
            <v>54711.25</v>
          </cell>
          <cell r="Z208">
            <v>0.5</v>
          </cell>
          <cell r="AA208">
            <v>27355.625</v>
          </cell>
          <cell r="AB208" t="str">
            <v>EV</v>
          </cell>
        </row>
        <row r="209">
          <cell r="C209">
            <v>0</v>
          </cell>
          <cell r="D209">
            <v>0</v>
          </cell>
          <cell r="E209">
            <v>0</v>
          </cell>
          <cell r="F209">
            <v>1</v>
          </cell>
          <cell r="H209">
            <v>0</v>
          </cell>
          <cell r="O209">
            <v>335220</v>
          </cell>
          <cell r="P209" t="str">
            <v>2022/182-0012-01</v>
          </cell>
          <cell r="Q209" t="str">
            <v>EST MODULO BRACO ESQUERDO MORETTI FX E5001</v>
          </cell>
          <cell r="R209"/>
          <cell r="S209"/>
          <cell r="T209">
            <v>1.45</v>
          </cell>
          <cell r="U209">
            <v>1.25</v>
          </cell>
          <cell r="V209">
            <v>0.88</v>
          </cell>
          <cell r="W209">
            <v>0</v>
          </cell>
          <cell r="X209" t="str">
            <v>EST MODULO BRACO ESQUERDO MORETTI FX E5001 - 1,45x1,25x0,88H</v>
          </cell>
          <cell r="Y209">
            <v>54711.25</v>
          </cell>
          <cell r="Z209">
            <v>0.5</v>
          </cell>
          <cell r="AA209">
            <v>27355.625</v>
          </cell>
          <cell r="AB209" t="str">
            <v>EV</v>
          </cell>
        </row>
        <row r="210">
          <cell r="C210">
            <v>1</v>
          </cell>
          <cell r="D210">
            <v>0</v>
          </cell>
          <cell r="E210">
            <v>0</v>
          </cell>
          <cell r="F210">
            <v>0</v>
          </cell>
          <cell r="H210">
            <v>0</v>
          </cell>
          <cell r="O210">
            <v>353140</v>
          </cell>
          <cell r="P210" t="str">
            <v>2022/262-0056-01</v>
          </cell>
          <cell r="Q210" t="str">
            <v>EST MODULO BRACO ESQ TARANTO (2AS) TC B2206/VRNZ EBNZ</v>
          </cell>
          <cell r="R210"/>
          <cell r="S210"/>
          <cell r="T210">
            <v>2</v>
          </cell>
          <cell r="U210">
            <v>1</v>
          </cell>
          <cell r="V210">
            <v>0.95</v>
          </cell>
          <cell r="W210">
            <v>0</v>
          </cell>
          <cell r="X210" t="str">
            <v>EST MODULO BRACO ESQ TARANTO (2AS) TC B2206/VRNZ EBNZ - 2x1x0,95H</v>
          </cell>
          <cell r="Y210">
            <v>37506.74</v>
          </cell>
          <cell r="Z210">
            <v>0.35</v>
          </cell>
          <cell r="AA210">
            <v>24379.381000000001</v>
          </cell>
          <cell r="AB210" t="str">
            <v>EW</v>
          </cell>
        </row>
        <row r="211">
          <cell r="C211">
            <v>1</v>
          </cell>
          <cell r="D211">
            <v>0</v>
          </cell>
          <cell r="E211">
            <v>0</v>
          </cell>
          <cell r="F211">
            <v>0</v>
          </cell>
          <cell r="H211">
            <v>0</v>
          </cell>
          <cell r="O211">
            <v>353141</v>
          </cell>
          <cell r="P211" t="str">
            <v>2022/262-0057-01</v>
          </cell>
          <cell r="Q211" t="str">
            <v>EST MODULO CHAISE BRACO DIR TARANTO TC B2206/VRNZ EBNZ</v>
          </cell>
          <cell r="R211"/>
          <cell r="S211"/>
          <cell r="T211">
            <v>1.2</v>
          </cell>
          <cell r="U211">
            <v>1.6</v>
          </cell>
          <cell r="V211">
            <v>0.95</v>
          </cell>
          <cell r="W211">
            <v>0</v>
          </cell>
          <cell r="X211" t="str">
            <v>EST MODULO CHAISE BRACO DIR TARANTO TC B2206/VRNZ EBNZ - 1,2x1,6x0,95H</v>
          </cell>
          <cell r="Y211">
            <v>37506.74</v>
          </cell>
          <cell r="Z211">
            <v>0.35</v>
          </cell>
          <cell r="AA211">
            <v>24379.381000000001</v>
          </cell>
          <cell r="AB211" t="str">
            <v>EW</v>
          </cell>
        </row>
        <row r="212">
          <cell r="C212">
            <v>0</v>
          </cell>
          <cell r="D212">
            <v>0</v>
          </cell>
          <cell r="E212">
            <v>0</v>
          </cell>
          <cell r="F212">
            <v>1</v>
          </cell>
          <cell r="H212">
            <v>0</v>
          </cell>
          <cell r="O212">
            <v>334434</v>
          </cell>
          <cell r="P212" t="str">
            <v>2022/213-0001-01</v>
          </cell>
          <cell r="Q212" t="str">
            <v>EST MODULO BRACO DIR TARANTO TC E5117/VRNZ TABACO</v>
          </cell>
          <cell r="R212"/>
          <cell r="S212"/>
          <cell r="T212">
            <v>1.5</v>
          </cell>
          <cell r="U212">
            <v>1</v>
          </cell>
          <cell r="V212">
            <v>0.95</v>
          </cell>
          <cell r="W212">
            <v>0</v>
          </cell>
          <cell r="X212" t="str">
            <v>EST MODULO BRACO DIR TARANTO TC E5117/VRNZ TABACO - 1,5x1x0,95H</v>
          </cell>
          <cell r="Y212">
            <v>40754.300000000003</v>
          </cell>
          <cell r="Z212">
            <v>0.35</v>
          </cell>
          <cell r="AA212">
            <v>26490.295000000002</v>
          </cell>
          <cell r="AB212" t="str">
            <v>EX</v>
          </cell>
        </row>
        <row r="213">
          <cell r="C213">
            <v>0</v>
          </cell>
          <cell r="D213">
            <v>0</v>
          </cell>
          <cell r="E213">
            <v>0</v>
          </cell>
          <cell r="F213">
            <v>1</v>
          </cell>
          <cell r="H213">
            <v>0</v>
          </cell>
          <cell r="O213">
            <v>334435</v>
          </cell>
          <cell r="P213" t="str">
            <v>2022/213-0002-01</v>
          </cell>
          <cell r="Q213" t="str">
            <v>EST MODULO BRACO ESQ TARANTO TC E5117/VRNZ TABACO</v>
          </cell>
          <cell r="R213"/>
          <cell r="S213"/>
          <cell r="T213">
            <v>1.5</v>
          </cell>
          <cell r="U213">
            <v>1</v>
          </cell>
          <cell r="V213">
            <v>0.95</v>
          </cell>
          <cell r="W213">
            <v>0</v>
          </cell>
          <cell r="X213" t="str">
            <v>EST MODULO BRACO ESQ TARANTO TC E5117/VRNZ TABACO - 1,5x1x0,95H</v>
          </cell>
          <cell r="Y213">
            <v>40754.300000000003</v>
          </cell>
          <cell r="Z213">
            <v>0.35</v>
          </cell>
          <cell r="AA213">
            <v>26490.295000000002</v>
          </cell>
          <cell r="AB213" t="str">
            <v>EX</v>
          </cell>
        </row>
        <row r="214"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H214">
            <v>1</v>
          </cell>
          <cell r="O214">
            <v>336556</v>
          </cell>
          <cell r="P214" t="str">
            <v>2022/259-0032-01</v>
          </cell>
          <cell r="Q214" t="str">
            <v>EST POLTRONA PACO (MAD A TAUARI POA) TC RUST BRUN 5230/231</v>
          </cell>
          <cell r="R214"/>
          <cell r="S214"/>
          <cell r="T214">
            <v>0.88</v>
          </cell>
          <cell r="U214">
            <v>1.04</v>
          </cell>
          <cell r="V214">
            <v>0.81</v>
          </cell>
          <cell r="W214">
            <v>0</v>
          </cell>
          <cell r="X214" t="str">
            <v>EST POLTRONA PACO (MAD A TAUARI POA) TC RUST BRUN 5230/231 - 0,88x1,04x0,81H</v>
          </cell>
          <cell r="Y214">
            <v>38816.559999999998</v>
          </cell>
          <cell r="Z214">
            <v>0.5</v>
          </cell>
          <cell r="AA214">
            <v>19408.28</v>
          </cell>
          <cell r="AB214" t="str">
            <v>EZ</v>
          </cell>
        </row>
        <row r="215"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H215">
            <v>1</v>
          </cell>
          <cell r="O215">
            <v>354548</v>
          </cell>
          <cell r="P215" t="str">
            <v>2022/248-0029-01</v>
          </cell>
          <cell r="Q215" t="str">
            <v>EST MESA LATERAL PACO (MAD A TAUARI POA) INOX ENV</v>
          </cell>
          <cell r="R215"/>
          <cell r="S215"/>
          <cell r="T215">
            <v>0.25</v>
          </cell>
          <cell r="U215">
            <v>0</v>
          </cell>
          <cell r="V215">
            <v>0.52</v>
          </cell>
          <cell r="W215">
            <v>0.25</v>
          </cell>
          <cell r="X215" t="str">
            <v>EST MESA LATERAL PACO (MAD A TAUARI POA) INOX ENV - Ø0,25x0,52H</v>
          </cell>
          <cell r="Y215">
            <v>38816.559999999998</v>
          </cell>
          <cell r="Z215">
            <v>0.5</v>
          </cell>
          <cell r="AA215">
            <v>19408.28</v>
          </cell>
          <cell r="AB215" t="str">
            <v>EZ</v>
          </cell>
        </row>
        <row r="216"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H216">
            <v>1</v>
          </cell>
          <cell r="O216">
            <v>318591</v>
          </cell>
          <cell r="P216" t="str">
            <v>2022/021-0051-01</v>
          </cell>
          <cell r="Q216" t="str">
            <v>EST MODULO BRACO DIREITO CLEAN (B06) (1AS) FX 5730</v>
          </cell>
          <cell r="R216"/>
          <cell r="S216"/>
          <cell r="T216">
            <v>1.06</v>
          </cell>
          <cell r="U216">
            <v>1.1499999999999999</v>
          </cell>
          <cell r="V216">
            <v>0.8</v>
          </cell>
          <cell r="W216">
            <v>0</v>
          </cell>
          <cell r="X216" t="str">
            <v>EST MODULO BRACO DIREITO CLEAN (B06) (1AS) FX 5730 - 1,06x1,15x0,8H</v>
          </cell>
          <cell r="Y216">
            <v>43041.24</v>
          </cell>
          <cell r="Z216">
            <v>0.35</v>
          </cell>
          <cell r="AA216">
            <v>27976.806</v>
          </cell>
          <cell r="AB216" t="str">
            <v>F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H217">
            <v>1</v>
          </cell>
          <cell r="O217">
            <v>318592</v>
          </cell>
          <cell r="P217" t="str">
            <v>2022/021-0052-01</v>
          </cell>
          <cell r="Q217" t="str">
            <v>EST MODULO BRACO ESQUERDO CLEAN (B06) (1AS) FX 5730</v>
          </cell>
          <cell r="R217"/>
          <cell r="S217"/>
          <cell r="T217">
            <v>1.06</v>
          </cell>
          <cell r="U217">
            <v>1.1499999999999999</v>
          </cell>
          <cell r="V217">
            <v>0.8</v>
          </cell>
          <cell r="W217">
            <v>0</v>
          </cell>
          <cell r="X217" t="str">
            <v>EST MODULO BRACO ESQUERDO CLEAN (B06) (1AS) FX 5730 - 1,06x1,15x0,8H</v>
          </cell>
          <cell r="Y217">
            <v>43041.24</v>
          </cell>
          <cell r="Z217">
            <v>0.35</v>
          </cell>
          <cell r="AA217">
            <v>27976.806</v>
          </cell>
          <cell r="AB217" t="str">
            <v>F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H218">
            <v>1</v>
          </cell>
          <cell r="O218">
            <v>318595</v>
          </cell>
          <cell r="P218" t="str">
            <v>2022/021-0053-01</v>
          </cell>
          <cell r="Q218" t="str">
            <v>EST MODULO S/BRACO CLEAN (1AS) FX 5730</v>
          </cell>
          <cell r="R218"/>
          <cell r="S218"/>
          <cell r="T218">
            <v>1</v>
          </cell>
          <cell r="U218">
            <v>1.1499999999999999</v>
          </cell>
          <cell r="V218">
            <v>0.8</v>
          </cell>
          <cell r="W218">
            <v>0</v>
          </cell>
          <cell r="X218" t="str">
            <v>EST MODULO S/BRACO CLEAN (1AS) FX 5730 - 1x1,15x0,8H</v>
          </cell>
          <cell r="Y218">
            <v>43041.24</v>
          </cell>
          <cell r="Z218">
            <v>0.35</v>
          </cell>
          <cell r="AA218">
            <v>27976.806</v>
          </cell>
          <cell r="AB218" t="str">
            <v>F</v>
          </cell>
        </row>
        <row r="219">
          <cell r="C219">
            <v>1</v>
          </cell>
          <cell r="D219">
            <v>0</v>
          </cell>
          <cell r="E219">
            <v>0</v>
          </cell>
          <cell r="F219">
            <v>0</v>
          </cell>
          <cell r="H219">
            <v>0</v>
          </cell>
          <cell r="O219">
            <v>328730</v>
          </cell>
          <cell r="P219" t="str">
            <v>2022/195-0053-01</v>
          </cell>
          <cell r="Q219" t="str">
            <v>EST MODULO BRACO DIREITO MORETTI FX E5001</v>
          </cell>
          <cell r="R219"/>
          <cell r="S219"/>
          <cell r="T219">
            <v>1.45</v>
          </cell>
          <cell r="U219">
            <v>1.25</v>
          </cell>
          <cell r="V219">
            <v>0.88</v>
          </cell>
          <cell r="W219">
            <v>0</v>
          </cell>
          <cell r="X219" t="str">
            <v>EST MODULO BRACO DIREITO MORETTI FX E5001 - 1,45x1,25x0,88H</v>
          </cell>
          <cell r="Y219">
            <v>57791.340000000004</v>
          </cell>
          <cell r="Z219">
            <v>0.35</v>
          </cell>
          <cell r="AA219">
            <v>37564.370999999999</v>
          </cell>
          <cell r="AB219" t="str">
            <v>FB</v>
          </cell>
        </row>
        <row r="220">
          <cell r="C220">
            <v>1</v>
          </cell>
          <cell r="D220">
            <v>0</v>
          </cell>
          <cell r="E220">
            <v>0</v>
          </cell>
          <cell r="F220">
            <v>0</v>
          </cell>
          <cell r="H220">
            <v>0</v>
          </cell>
          <cell r="O220">
            <v>328731</v>
          </cell>
          <cell r="P220" t="str">
            <v>2022/195-0054-01</v>
          </cell>
          <cell r="Q220" t="str">
            <v>EST MODULO S/BRACO MORETTI FX E5001</v>
          </cell>
          <cell r="R220"/>
          <cell r="S220"/>
          <cell r="T220">
            <v>1.2</v>
          </cell>
          <cell r="U220">
            <v>1.25</v>
          </cell>
          <cell r="V220">
            <v>0.88</v>
          </cell>
          <cell r="W220">
            <v>0</v>
          </cell>
          <cell r="X220" t="str">
            <v>EST MODULO S/BRACO MORETTI FX E5001 - 1,2x1,25x0,88H</v>
          </cell>
          <cell r="Y220">
            <v>57791.340000000004</v>
          </cell>
          <cell r="Z220">
            <v>0.35</v>
          </cell>
          <cell r="AA220">
            <v>37564.370999999999</v>
          </cell>
          <cell r="AB220" t="str">
            <v>FB</v>
          </cell>
        </row>
        <row r="221">
          <cell r="C221">
            <v>1</v>
          </cell>
          <cell r="D221">
            <v>0</v>
          </cell>
          <cell r="E221">
            <v>0</v>
          </cell>
          <cell r="F221">
            <v>0</v>
          </cell>
          <cell r="H221">
            <v>0</v>
          </cell>
          <cell r="O221">
            <v>328732</v>
          </cell>
          <cell r="P221" t="str">
            <v>2022/195-0055-01</v>
          </cell>
          <cell r="Q221" t="str">
            <v>EST MODULO BRACO ESQUERDO MORETTI FX E5001</v>
          </cell>
          <cell r="R221"/>
          <cell r="S221"/>
          <cell r="T221">
            <v>1.45</v>
          </cell>
          <cell r="U221">
            <v>1.25</v>
          </cell>
          <cell r="V221">
            <v>0.8</v>
          </cell>
          <cell r="W221">
            <v>0</v>
          </cell>
          <cell r="X221" t="str">
            <v>EST MODULO BRACO ESQUERDO MORETTI FX E5001 - 1,45x1,25x0,8H</v>
          </cell>
          <cell r="Y221">
            <v>57791.340000000004</v>
          </cell>
          <cell r="Z221">
            <v>0.35</v>
          </cell>
          <cell r="AA221">
            <v>37564.370999999999</v>
          </cell>
          <cell r="AB221" t="str">
            <v>FB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H222">
            <v>1</v>
          </cell>
          <cell r="O222">
            <v>354545</v>
          </cell>
          <cell r="P222" t="str">
            <v>2022/2940-002-01</v>
          </cell>
          <cell r="Q222" t="str">
            <v>EST MESA LATERAL PACO (MAD A TAUARI ENV) INOX ENV</v>
          </cell>
          <cell r="R222"/>
          <cell r="S222"/>
          <cell r="T222">
            <v>0.25</v>
          </cell>
          <cell r="U222">
            <v>0</v>
          </cell>
          <cell r="V222">
            <v>0.52</v>
          </cell>
          <cell r="W222">
            <v>0.25</v>
          </cell>
          <cell r="X222" t="str">
            <v>EST MESA LATERAL PACO (MAD A TAUARI ENV) INOX ENV - Ø0,25x0,52H</v>
          </cell>
          <cell r="Y222">
            <v>40968.5</v>
          </cell>
          <cell r="Z222">
            <v>0.5</v>
          </cell>
          <cell r="AA222">
            <v>20484.25</v>
          </cell>
          <cell r="AB222" t="str">
            <v>FC</v>
          </cell>
        </row>
        <row r="223"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H223">
            <v>3</v>
          </cell>
          <cell r="O223">
            <v>336696</v>
          </cell>
          <cell r="P223" t="str">
            <v>2022/2230-033-01</v>
          </cell>
          <cell r="Q223" t="str">
            <v>EST POLTRONA PACO (MAD A TAUARI ENV) TC G10-11202-343</v>
          </cell>
          <cell r="R223"/>
          <cell r="S223"/>
          <cell r="T223">
            <v>0.88</v>
          </cell>
          <cell r="U223">
            <v>1.04</v>
          </cell>
          <cell r="V223">
            <v>0.81</v>
          </cell>
          <cell r="W223">
            <v>0</v>
          </cell>
          <cell r="X223" t="str">
            <v>EST POLTRONA PACO (MAD A TAUARI ENV) TC G10-11202-343 - 0,88x1,04x0,81H</v>
          </cell>
          <cell r="Y223">
            <v>40968.5</v>
          </cell>
          <cell r="Z223">
            <v>0.5</v>
          </cell>
          <cell r="AA223">
            <v>20484.25</v>
          </cell>
          <cell r="AB223" t="str">
            <v>FC</v>
          </cell>
        </row>
        <row r="224"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H224">
            <v>1</v>
          </cell>
          <cell r="O224">
            <v>354545</v>
          </cell>
          <cell r="P224" t="str">
            <v>2022/294-0002-01</v>
          </cell>
          <cell r="Q224" t="str">
            <v>EST MESA LATERAL PACO (MAD A TAUARI ENV) INOX ENV</v>
          </cell>
          <cell r="R224"/>
          <cell r="S224"/>
          <cell r="T224">
            <v>0.25</v>
          </cell>
          <cell r="U224">
            <v>0</v>
          </cell>
          <cell r="V224">
            <v>0.52</v>
          </cell>
          <cell r="W224">
            <v>0.25</v>
          </cell>
          <cell r="X224" t="str">
            <v>EST MESA LATERAL PACO (MAD A TAUARI ENV) INOX ENV - Ø0,25x0,52H</v>
          </cell>
          <cell r="Y224">
            <v>2937</v>
          </cell>
          <cell r="Z224">
            <v>0.5</v>
          </cell>
          <cell r="AA224">
            <v>1468.5</v>
          </cell>
          <cell r="AB224" t="str">
            <v>FD</v>
          </cell>
        </row>
        <row r="225"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H225">
            <v>1</v>
          </cell>
          <cell r="O225">
            <v>270495</v>
          </cell>
          <cell r="P225" t="str">
            <v>2020/322-0057-01</v>
          </cell>
          <cell r="Q225" t="str">
            <v>EST SOFA FLY (FREIJO) TC PADRAO C 0700 001</v>
          </cell>
          <cell r="R225"/>
          <cell r="S225"/>
          <cell r="T225">
            <v>3.4</v>
          </cell>
          <cell r="U225">
            <v>0.98</v>
          </cell>
          <cell r="V225">
            <v>0.67</v>
          </cell>
          <cell r="W225">
            <v>0</v>
          </cell>
          <cell r="X225" t="str">
            <v>EST SOFA FLY (FREIJO) TC PADRAO C 0700 001 - 3,4x0,98x0,67H</v>
          </cell>
          <cell r="Y225">
            <v>47625.759999999995</v>
          </cell>
          <cell r="Z225">
            <v>0.5</v>
          </cell>
          <cell r="AA225">
            <v>23812.879999999997</v>
          </cell>
          <cell r="AB225" t="str">
            <v>FG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H226">
            <v>1</v>
          </cell>
          <cell r="O226">
            <v>270499</v>
          </cell>
          <cell r="P226" t="str">
            <v>2020/322-0060-01</v>
          </cell>
          <cell r="Q226" t="str">
            <v>EST MESA LATERAL FLY (QUARTIZITO MONT BLANC POLIDO)</v>
          </cell>
          <cell r="R226"/>
          <cell r="S226"/>
          <cell r="T226">
            <v>0.75</v>
          </cell>
          <cell r="U226">
            <v>0.7</v>
          </cell>
          <cell r="V226">
            <v>0.4</v>
          </cell>
          <cell r="W226">
            <v>0</v>
          </cell>
          <cell r="X226" t="str">
            <v>EST MESA LATERAL FLY (QUARTIZITO MONT BLANC POLIDO) - 0,75x0,7x0,4H</v>
          </cell>
          <cell r="Y226">
            <v>47625.759999999995</v>
          </cell>
          <cell r="Z226">
            <v>0.5</v>
          </cell>
          <cell r="AA226">
            <v>23812.879999999997</v>
          </cell>
          <cell r="AB226" t="str">
            <v>FG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H227">
            <v>1</v>
          </cell>
          <cell r="O227">
            <v>270576</v>
          </cell>
          <cell r="P227" t="str">
            <v>2020/322-0061-01</v>
          </cell>
          <cell r="Q227" t="str">
            <v>EST MESA LATERAL FLY (FREIJO) (ELETROSTATICA MARROM CORTEN)</v>
          </cell>
          <cell r="R227"/>
          <cell r="S227"/>
          <cell r="T227">
            <v>0.6</v>
          </cell>
          <cell r="U227">
            <v>0.35</v>
          </cell>
          <cell r="V227">
            <v>0.4</v>
          </cell>
          <cell r="W227">
            <v>0</v>
          </cell>
          <cell r="X227" t="str">
            <v>EST MESA LATERAL FLY (FREIJO) (ELETROSTATICA MARROM CORTEN) - 0,6x0,35x0,4H</v>
          </cell>
          <cell r="Y227">
            <v>47625.759999999995</v>
          </cell>
          <cell r="Z227">
            <v>0.5</v>
          </cell>
          <cell r="AA227">
            <v>23812.879999999997</v>
          </cell>
          <cell r="AB227" t="str">
            <v>FG</v>
          </cell>
        </row>
        <row r="228"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H228">
            <v>1</v>
          </cell>
          <cell r="O228">
            <v>275789</v>
          </cell>
          <cell r="P228" t="str">
            <v>2021/151-0013-01</v>
          </cell>
          <cell r="Q228" t="str">
            <v>EST SOFA FLY (FREIJO) TC PADRAO C 0700</v>
          </cell>
          <cell r="R228"/>
          <cell r="S228"/>
          <cell r="T228">
            <v>2.35</v>
          </cell>
          <cell r="U228">
            <v>0.98</v>
          </cell>
          <cell r="V228">
            <v>0.88</v>
          </cell>
          <cell r="W228">
            <v>0</v>
          </cell>
          <cell r="X228" t="str">
            <v>EST SOFA FLY (FREIJO) TC PADRAO C 0700 - 2,35x0,98x0,88H</v>
          </cell>
          <cell r="Y228">
            <v>58466.239999999998</v>
          </cell>
          <cell r="Z228">
            <v>0.5</v>
          </cell>
          <cell r="AA228">
            <v>29233.119999999999</v>
          </cell>
          <cell r="AB228" t="str">
            <v>FH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H229">
            <v>1</v>
          </cell>
          <cell r="O229">
            <v>275790</v>
          </cell>
          <cell r="P229" t="str">
            <v>2021/151-0014-01</v>
          </cell>
          <cell r="Q229" t="str">
            <v>EST MESA LATERAL FLY (FREIJO) (MTZ CHAMPAGNE)</v>
          </cell>
          <cell r="R229"/>
          <cell r="S229"/>
          <cell r="T229">
            <v>0.35</v>
          </cell>
          <cell r="U229">
            <v>0.6</v>
          </cell>
          <cell r="V229">
            <v>0.4</v>
          </cell>
          <cell r="W229">
            <v>0</v>
          </cell>
          <cell r="X229" t="str">
            <v>EST MESA LATERAL FLY (FREIJO) (MTZ CHAMPAGNE) - 0,35x0,6x0,4H</v>
          </cell>
          <cell r="Y229">
            <v>58466.239999999998</v>
          </cell>
          <cell r="Z229">
            <v>0.5</v>
          </cell>
          <cell r="AA229">
            <v>29233.119999999999</v>
          </cell>
          <cell r="AB229" t="str">
            <v>FH</v>
          </cell>
        </row>
        <row r="230"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H230">
            <v>1</v>
          </cell>
          <cell r="O230">
            <v>275791</v>
          </cell>
          <cell r="P230" t="str">
            <v>2021/151-0015-01</v>
          </cell>
          <cell r="Q230" t="str">
            <v>EST MESA LATERAL FLY (MARMORE MONT BLANC)</v>
          </cell>
          <cell r="R230"/>
          <cell r="S230"/>
          <cell r="T230">
            <v>0.75</v>
          </cell>
          <cell r="U230">
            <v>0.75</v>
          </cell>
          <cell r="V230">
            <v>0.4</v>
          </cell>
          <cell r="W230">
            <v>0</v>
          </cell>
          <cell r="X230" t="str">
            <v>EST MESA LATERAL FLY (MARMORE MONT BLANC) - 0,75x0,75x0,4H</v>
          </cell>
          <cell r="Y230">
            <v>58466.239999999998</v>
          </cell>
          <cell r="Z230">
            <v>0.5</v>
          </cell>
          <cell r="AA230">
            <v>29233.119999999999</v>
          </cell>
          <cell r="AB230" t="str">
            <v>FH</v>
          </cell>
        </row>
        <row r="231"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H231">
            <v>1</v>
          </cell>
          <cell r="O231">
            <v>277838</v>
          </cell>
          <cell r="P231" t="str">
            <v>2021/182-0076-01</v>
          </cell>
          <cell r="Q231" t="str">
            <v>EST MODULO BRACO DIR LUME FX6363/PES NOG</v>
          </cell>
          <cell r="R231"/>
          <cell r="S231"/>
          <cell r="T231">
            <v>1.86</v>
          </cell>
          <cell r="U231">
            <v>0.93</v>
          </cell>
          <cell r="V231">
            <v>0.67</v>
          </cell>
          <cell r="W231">
            <v>0</v>
          </cell>
          <cell r="X231" t="str">
            <v>EST MODULO BRACO DIR LUME FX6363/PES NOG - 1,86x0,93x0,67H</v>
          </cell>
          <cell r="Y231">
            <v>45572.04</v>
          </cell>
          <cell r="Z231">
            <v>0.5</v>
          </cell>
          <cell r="AA231">
            <v>22786.02</v>
          </cell>
          <cell r="AB231" t="str">
            <v>FI</v>
          </cell>
        </row>
        <row r="232"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H232">
            <v>1</v>
          </cell>
          <cell r="O232">
            <v>277841</v>
          </cell>
          <cell r="P232" t="str">
            <v>2021/182-0077-01</v>
          </cell>
          <cell r="Q232" t="str">
            <v>EST MODULO CHIAISE CHANFRADA LUME BRACO ESQ FX6363/PES NOG</v>
          </cell>
          <cell r="R232"/>
          <cell r="S232"/>
          <cell r="T232">
            <v>1.5</v>
          </cell>
          <cell r="U232">
            <v>1.42</v>
          </cell>
          <cell r="V232">
            <v>0.67</v>
          </cell>
          <cell r="W232">
            <v>0</v>
          </cell>
          <cell r="X232" t="str">
            <v>EST MODULO CHIAISE CHANFRADA LUME BRACO ESQ FX6363/PES NOG - 1,5x1,42x0,67H</v>
          </cell>
          <cell r="Y232">
            <v>45572.04</v>
          </cell>
          <cell r="Z232">
            <v>0.5</v>
          </cell>
          <cell r="AA232">
            <v>22786.02</v>
          </cell>
          <cell r="AB232" t="str">
            <v>FI</v>
          </cell>
        </row>
        <row r="233"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H233">
            <v>1</v>
          </cell>
          <cell r="O233">
            <v>223413</v>
          </cell>
          <cell r="P233" t="str">
            <v>2018/171-0195-01</v>
          </cell>
          <cell r="Q233" t="str">
            <v>EST MODULO BRACO HARRY TC4307/FUME</v>
          </cell>
          <cell r="R233"/>
          <cell r="S233"/>
          <cell r="T233">
            <v>2.25</v>
          </cell>
          <cell r="U233">
            <v>1</v>
          </cell>
          <cell r="V233">
            <v>0.8</v>
          </cell>
          <cell r="W233">
            <v>0</v>
          </cell>
          <cell r="X233" t="str">
            <v>EST MODULO BRACO HARRY TC4307/FUME - 2,25x1x0,8H</v>
          </cell>
          <cell r="Y233">
            <v>33712.22</v>
          </cell>
          <cell r="Z233">
            <v>0.5</v>
          </cell>
          <cell r="AA233">
            <v>16856.11</v>
          </cell>
          <cell r="AB233" t="str">
            <v>FQ</v>
          </cell>
        </row>
        <row r="234"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H234">
            <v>1</v>
          </cell>
          <cell r="O234">
            <v>223414</v>
          </cell>
          <cell r="P234" t="str">
            <v>2018/171-0196-01</v>
          </cell>
          <cell r="Q234" t="str">
            <v>EST MODULO CHAISE BRACO DIR C/BANDEJA HARRY TC4307/FUME</v>
          </cell>
          <cell r="R234"/>
          <cell r="S234"/>
          <cell r="T234">
            <v>2.8</v>
          </cell>
          <cell r="U234">
            <v>1</v>
          </cell>
          <cell r="V234">
            <v>0.8</v>
          </cell>
          <cell r="W234">
            <v>0</v>
          </cell>
          <cell r="X234" t="str">
            <v>EST MODULO CHAISE BRACO DIR C/BANDEJA HARRY TC4307/FUME - 2,8x1x0,8H</v>
          </cell>
          <cell r="Y234">
            <v>33712.22</v>
          </cell>
          <cell r="Z234">
            <v>0.5</v>
          </cell>
          <cell r="AA234">
            <v>16856.11</v>
          </cell>
          <cell r="AB234" t="str">
            <v>FQ</v>
          </cell>
        </row>
        <row r="235">
          <cell r="C235">
            <v>1</v>
          </cell>
          <cell r="D235">
            <v>0</v>
          </cell>
          <cell r="E235">
            <v>0</v>
          </cell>
          <cell r="F235">
            <v>0</v>
          </cell>
          <cell r="H235">
            <v>0</v>
          </cell>
          <cell r="O235">
            <v>334517</v>
          </cell>
          <cell r="P235" t="str">
            <v>2022/207-0007-01</v>
          </cell>
          <cell r="Q235" t="str">
            <v>EST MODULO BRACO ESQUERDO MALONE FX E5001</v>
          </cell>
          <cell r="R235"/>
          <cell r="S235"/>
          <cell r="T235">
            <v>1.3</v>
          </cell>
          <cell r="U235">
            <v>1</v>
          </cell>
          <cell r="V235">
            <v>0.85</v>
          </cell>
          <cell r="W235">
            <v>0</v>
          </cell>
          <cell r="X235" t="str">
            <v>EST MODULO BRACO ESQUERDO MALONE FX E5001 - 1,3x1x0,85H</v>
          </cell>
          <cell r="Y235">
            <v>87044.78</v>
          </cell>
          <cell r="Z235">
            <v>0.5</v>
          </cell>
          <cell r="AA235">
            <v>43522.39</v>
          </cell>
          <cell r="AB235" t="str">
            <v>FS</v>
          </cell>
        </row>
        <row r="236"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H236">
            <v>3</v>
          </cell>
          <cell r="O236">
            <v>334518</v>
          </cell>
          <cell r="P236" t="str">
            <v>2022/207-0008-01</v>
          </cell>
          <cell r="Q236" t="str">
            <v>EST MODULO S/BRACO MALONE FX E5001</v>
          </cell>
          <cell r="R236"/>
          <cell r="S236"/>
          <cell r="T236">
            <v>1.05</v>
          </cell>
          <cell r="U236">
            <v>1</v>
          </cell>
          <cell r="V236">
            <v>0.85</v>
          </cell>
          <cell r="W236">
            <v>0</v>
          </cell>
          <cell r="X236" t="str">
            <v>EST MODULO S/BRACO MALONE FX E5001 - 1,05x1x0,85H</v>
          </cell>
          <cell r="Y236">
            <v>87044.78</v>
          </cell>
          <cell r="Z236">
            <v>0.5</v>
          </cell>
          <cell r="AA236">
            <v>43522.39</v>
          </cell>
          <cell r="AB236" t="str">
            <v>FS</v>
          </cell>
        </row>
        <row r="237"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H237">
            <v>3</v>
          </cell>
          <cell r="O237">
            <v>334518</v>
          </cell>
          <cell r="P237" t="str">
            <v>2022/207-0009-01</v>
          </cell>
          <cell r="Q237" t="str">
            <v>EST MODULO S/BRACO MALONE FX E5001</v>
          </cell>
          <cell r="R237"/>
          <cell r="S237"/>
          <cell r="T237">
            <v>1.05</v>
          </cell>
          <cell r="U237">
            <v>1</v>
          </cell>
          <cell r="V237">
            <v>0.85</v>
          </cell>
          <cell r="W237">
            <v>0</v>
          </cell>
          <cell r="X237" t="str">
            <v>EST MODULO S/BRACO MALONE FX E5001 - 1,05x1x0,85H</v>
          </cell>
          <cell r="Y237">
            <v>87044.78</v>
          </cell>
          <cell r="Z237">
            <v>0.5</v>
          </cell>
          <cell r="AA237">
            <v>43522.39</v>
          </cell>
          <cell r="AB237" t="str">
            <v>FS</v>
          </cell>
        </row>
        <row r="238"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H238">
            <v>3</v>
          </cell>
          <cell r="O238">
            <v>334518</v>
          </cell>
          <cell r="P238" t="str">
            <v>2022/207-0010-01</v>
          </cell>
          <cell r="Q238" t="str">
            <v>EST MODULO S/BRACO MALONE FX E5001</v>
          </cell>
          <cell r="R238"/>
          <cell r="S238"/>
          <cell r="T238">
            <v>1.05</v>
          </cell>
          <cell r="U238">
            <v>1</v>
          </cell>
          <cell r="V238">
            <v>0.85</v>
          </cell>
          <cell r="W238">
            <v>0</v>
          </cell>
          <cell r="X238" t="str">
            <v>EST MODULO S/BRACO MALONE FX E5001 - 1,05x1x0,85H</v>
          </cell>
          <cell r="Y238">
            <v>87044.78</v>
          </cell>
          <cell r="Z238">
            <v>0.5</v>
          </cell>
          <cell r="AA238">
            <v>43522.39</v>
          </cell>
          <cell r="AB238" t="str">
            <v>FS</v>
          </cell>
        </row>
        <row r="239"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H239">
            <v>1</v>
          </cell>
          <cell r="O239">
            <v>334519</v>
          </cell>
          <cell r="P239" t="str">
            <v>2022/207-0011-01</v>
          </cell>
          <cell r="Q239" t="str">
            <v>EST MODULO CANTO MALONE FX E5001</v>
          </cell>
          <cell r="R239"/>
          <cell r="S239"/>
          <cell r="T239">
            <v>1</v>
          </cell>
          <cell r="U239">
            <v>1</v>
          </cell>
          <cell r="V239">
            <v>0.85</v>
          </cell>
          <cell r="W239">
            <v>0</v>
          </cell>
          <cell r="X239" t="str">
            <v>EST MODULO CANTO MALONE FX E5001 - 1x1x0,85H</v>
          </cell>
          <cell r="Y239">
            <v>87044.78</v>
          </cell>
          <cell r="Z239">
            <v>0.5</v>
          </cell>
          <cell r="AA239">
            <v>43522.39</v>
          </cell>
          <cell r="AB239" t="str">
            <v>FS</v>
          </cell>
        </row>
        <row r="240"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H240">
            <v>1</v>
          </cell>
          <cell r="O240">
            <v>334520</v>
          </cell>
          <cell r="P240" t="str">
            <v>2022/207-0012-01</v>
          </cell>
          <cell r="Q240" t="str">
            <v>EST MODULO BRACO DIREITO MALONE FX E5001</v>
          </cell>
          <cell r="R240"/>
          <cell r="S240"/>
          <cell r="T240">
            <v>1.3</v>
          </cell>
          <cell r="U240">
            <v>1</v>
          </cell>
          <cell r="V240">
            <v>0.85</v>
          </cell>
          <cell r="W240">
            <v>0</v>
          </cell>
          <cell r="X240" t="str">
            <v>EST MODULO BRACO DIREITO MALONE FX E5001 - 1,3x1x0,85H</v>
          </cell>
          <cell r="Y240">
            <v>87044.78</v>
          </cell>
          <cell r="Z240">
            <v>0.5</v>
          </cell>
          <cell r="AA240">
            <v>43522.39</v>
          </cell>
          <cell r="AB240" t="str">
            <v>FS</v>
          </cell>
        </row>
        <row r="241">
          <cell r="C241">
            <v>0</v>
          </cell>
          <cell r="D241">
            <v>0</v>
          </cell>
          <cell r="E241">
            <v>0</v>
          </cell>
          <cell r="F241">
            <v>1</v>
          </cell>
          <cell r="H241">
            <v>0</v>
          </cell>
          <cell r="O241">
            <v>334416</v>
          </cell>
          <cell r="P241" t="str">
            <v>2022/221-0008-01</v>
          </cell>
          <cell r="Q241" t="str">
            <v>EST BASE JANTAR PREMIUM (BASE PINTURA PRETO FOSCO)</v>
          </cell>
          <cell r="R241"/>
          <cell r="S241"/>
          <cell r="T241">
            <v>2.9</v>
          </cell>
          <cell r="U241">
            <v>1.1000000000000001</v>
          </cell>
          <cell r="V241">
            <v>0.76</v>
          </cell>
          <cell r="W241">
            <v>0</v>
          </cell>
          <cell r="X241" t="str">
            <v>EST BASE JANTAR PREMIUM (BASE PINTURA PRETO FOSCO) - 2,9x1,1x0,76H</v>
          </cell>
          <cell r="Y241">
            <v>110883.9</v>
          </cell>
          <cell r="Z241">
            <v>0.35</v>
          </cell>
          <cell r="AA241">
            <v>72074.535000000003</v>
          </cell>
          <cell r="AB241" t="str">
            <v>FV</v>
          </cell>
        </row>
        <row r="242">
          <cell r="C242">
            <v>0</v>
          </cell>
          <cell r="D242">
            <v>0</v>
          </cell>
          <cell r="E242">
            <v>0</v>
          </cell>
          <cell r="F242">
            <v>1</v>
          </cell>
          <cell r="H242">
            <v>0</v>
          </cell>
          <cell r="O242">
            <v>334417</v>
          </cell>
          <cell r="P242" t="str">
            <v>2022/235-0062-01</v>
          </cell>
          <cell r="Q242" t="str">
            <v>EST TAMPO MARMORE (F9025) (RETO/CHANF) (G4-OAK B LEVIG)</v>
          </cell>
          <cell r="R242"/>
          <cell r="S242"/>
          <cell r="T242">
            <v>3</v>
          </cell>
          <cell r="U242">
            <v>1.2</v>
          </cell>
          <cell r="V242">
            <v>0.02</v>
          </cell>
          <cell r="W242">
            <v>0</v>
          </cell>
          <cell r="X242" t="str">
            <v>EST TAMPO MARMORE (F9025) (RETO/CHANF) (G4-OAK B LEVIG) - 3x1,2x0,02H</v>
          </cell>
          <cell r="Y242">
            <v>110883.9</v>
          </cell>
          <cell r="Z242">
            <v>0.35</v>
          </cell>
          <cell r="AA242">
            <v>72074.535000000003</v>
          </cell>
          <cell r="AB242" t="str">
            <v>FV</v>
          </cell>
        </row>
        <row r="243">
          <cell r="C243">
            <v>0</v>
          </cell>
          <cell r="D243">
            <v>1</v>
          </cell>
          <cell r="E243">
            <v>0</v>
          </cell>
          <cell r="F243">
            <v>0</v>
          </cell>
          <cell r="H243">
            <v>0</v>
          </cell>
          <cell r="O243">
            <v>277436</v>
          </cell>
          <cell r="P243" t="str">
            <v>2022/115-0046-01</v>
          </cell>
          <cell r="Q243" t="str">
            <v>EST MODULO BRACO ESQUERDO MORETTI FX D4772</v>
          </cell>
          <cell r="R243"/>
          <cell r="S243"/>
          <cell r="T243">
            <v>1.65</v>
          </cell>
          <cell r="U243">
            <v>1.25</v>
          </cell>
          <cell r="V243">
            <v>0.88</v>
          </cell>
          <cell r="W243">
            <v>0</v>
          </cell>
          <cell r="X243" t="str">
            <v>EST MODULO BRACO ESQUERDO MORETTI FX D4772 - 1,65x1,25x0,88H</v>
          </cell>
          <cell r="Y243">
            <v>45521.37</v>
          </cell>
          <cell r="Z243">
            <v>0.35</v>
          </cell>
          <cell r="AA243">
            <v>29588.890500000001</v>
          </cell>
          <cell r="AB243" t="str">
            <v>FW</v>
          </cell>
        </row>
        <row r="244">
          <cell r="C244">
            <v>0</v>
          </cell>
          <cell r="D244">
            <v>1</v>
          </cell>
          <cell r="E244">
            <v>0</v>
          </cell>
          <cell r="F244">
            <v>0</v>
          </cell>
          <cell r="H244">
            <v>0</v>
          </cell>
          <cell r="O244">
            <v>277437</v>
          </cell>
          <cell r="P244" t="str">
            <v>2022/115-0047-01</v>
          </cell>
          <cell r="Q244" t="str">
            <v>EST MODULO CHAISE BRACO DIREITO MORETTI TC D4772</v>
          </cell>
          <cell r="R244"/>
          <cell r="S244"/>
          <cell r="T244">
            <v>1.05</v>
          </cell>
          <cell r="U244">
            <v>2.1</v>
          </cell>
          <cell r="V244">
            <v>0.88</v>
          </cell>
          <cell r="W244">
            <v>0</v>
          </cell>
          <cell r="X244" t="str">
            <v>EST MODULO CHAISE BRACO DIREITO MORETTI TC D4772 - 1,05x2,1x0,88H</v>
          </cell>
          <cell r="Y244">
            <v>45521.37</v>
          </cell>
          <cell r="Z244">
            <v>0.35</v>
          </cell>
          <cell r="AA244">
            <v>29588.890500000001</v>
          </cell>
          <cell r="AB244" t="str">
            <v>FW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H245">
            <v>1</v>
          </cell>
          <cell r="O245">
            <v>302765</v>
          </cell>
          <cell r="P245" t="str">
            <v>2022/028-0016-01</v>
          </cell>
          <cell r="Q245" t="str">
            <v>EST MODULO BRACO DIREITO MALONE FX E5001</v>
          </cell>
          <cell r="R245"/>
          <cell r="S245"/>
          <cell r="T245">
            <v>1.4</v>
          </cell>
          <cell r="U245">
            <v>1</v>
          </cell>
          <cell r="V245">
            <v>0.85</v>
          </cell>
          <cell r="W245">
            <v>0</v>
          </cell>
          <cell r="X245" t="str">
            <v>EST MODULO BRACO DIREITO MALONE FX E5001 - 1,4x1x0,85H</v>
          </cell>
          <cell r="Y245">
            <v>31770.18</v>
          </cell>
          <cell r="Z245">
            <v>0.5</v>
          </cell>
          <cell r="AA245">
            <v>15885.09</v>
          </cell>
          <cell r="AB245" t="str">
            <v>FX</v>
          </cell>
        </row>
        <row r="246"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H246">
            <v>1</v>
          </cell>
          <cell r="O246">
            <v>307904</v>
          </cell>
          <cell r="P246" t="str">
            <v>2022/028-0017-01</v>
          </cell>
          <cell r="Q246" t="str">
            <v>EST MODULO BRACO ESQUERDO MALONE FX E5001</v>
          </cell>
          <cell r="R246"/>
          <cell r="S246"/>
          <cell r="T246">
            <v>1.4</v>
          </cell>
          <cell r="U246">
            <v>1</v>
          </cell>
          <cell r="V246">
            <v>0.85</v>
          </cell>
          <cell r="W246">
            <v>0</v>
          </cell>
          <cell r="X246" t="str">
            <v>EST MODULO BRACO ESQUERDO MALONE FX E5001 - 1,4x1x0,85H</v>
          </cell>
          <cell r="Y246">
            <v>31770.18</v>
          </cell>
          <cell r="Z246">
            <v>0.5</v>
          </cell>
          <cell r="AA246">
            <v>15885.09</v>
          </cell>
          <cell r="AB246" t="str">
            <v>FX</v>
          </cell>
        </row>
        <row r="247"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H247">
            <v>1</v>
          </cell>
          <cell r="O247">
            <v>327346</v>
          </cell>
          <cell r="P247" t="str">
            <v>2022/067-0009-01</v>
          </cell>
          <cell r="Q247" t="str">
            <v>EST MODULO BRACO DIR C/AVANCO BS DALOA FX B2072 FREIJO</v>
          </cell>
          <cell r="R247"/>
          <cell r="S247"/>
          <cell r="T247">
            <v>1.55</v>
          </cell>
          <cell r="U247">
            <v>1</v>
          </cell>
          <cell r="V247">
            <v>0.85</v>
          </cell>
          <cell r="W247">
            <v>0</v>
          </cell>
          <cell r="X247" t="str">
            <v>EST MODULO BRACO DIR C/AVANCO BS DALOA FX B2072 FREIJO - 1,55x1x0,85H</v>
          </cell>
          <cell r="Y247">
            <v>48532.65</v>
          </cell>
          <cell r="Z247">
            <v>0.5</v>
          </cell>
          <cell r="AA247">
            <v>24266.325000000001</v>
          </cell>
          <cell r="AB247" t="str">
            <v>FY</v>
          </cell>
        </row>
        <row r="248"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H248">
            <v>1</v>
          </cell>
          <cell r="O248">
            <v>327347</v>
          </cell>
          <cell r="P248" t="str">
            <v>2022/067-0010-01</v>
          </cell>
          <cell r="Q248" t="str">
            <v>EST MODULO BRACO ESQ DALOA FX B2072 FREIJO</v>
          </cell>
          <cell r="R248"/>
          <cell r="S248"/>
          <cell r="T248">
            <v>2.13</v>
          </cell>
          <cell r="U248">
            <v>1</v>
          </cell>
          <cell r="V248">
            <v>0.85</v>
          </cell>
          <cell r="W248">
            <v>0</v>
          </cell>
          <cell r="X248" t="str">
            <v>EST MODULO BRACO ESQ DALOA FX B2072 FREIJO - 2,13x1x0,85H</v>
          </cell>
          <cell r="Y248">
            <v>48532.65</v>
          </cell>
          <cell r="Z248">
            <v>0.5</v>
          </cell>
          <cell r="AA248">
            <v>24266.325000000001</v>
          </cell>
          <cell r="AB248" t="str">
            <v>FY</v>
          </cell>
        </row>
        <row r="249"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H249">
            <v>1</v>
          </cell>
          <cell r="O249">
            <v>361742</v>
          </cell>
          <cell r="P249" t="str">
            <v>2022/340-0011-01</v>
          </cell>
          <cell r="Q249" t="str">
            <v>EST MODULO BRACO CLEAN (B15) (1AS) TC ALTAMURA MESCLA PT 974</v>
          </cell>
          <cell r="R249"/>
          <cell r="S249"/>
          <cell r="T249">
            <v>1.05</v>
          </cell>
          <cell r="U249">
            <v>1.1499999999999999</v>
          </cell>
          <cell r="V249">
            <v>0.8</v>
          </cell>
          <cell r="W249">
            <v>0</v>
          </cell>
          <cell r="X249" t="str">
            <v>EST MODULO BRACO CLEAN (B15) (1AS) TC ALTAMURA MESCLA PT 974 - 1,05x1,15x0,8H</v>
          </cell>
          <cell r="Y249">
            <v>31418.16</v>
          </cell>
          <cell r="Z249">
            <v>0.5</v>
          </cell>
          <cell r="AA249">
            <v>15709.08</v>
          </cell>
          <cell r="AB249" t="str">
            <v>GD</v>
          </cell>
        </row>
        <row r="250"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H250">
            <v>1</v>
          </cell>
          <cell r="O250">
            <v>361743</v>
          </cell>
          <cell r="P250" t="str">
            <v>2022/340-0012-01</v>
          </cell>
          <cell r="Q250" t="str">
            <v>EST MODULO S/BRACO C/RECUO CLEAN TC ALTAMURA MESCLA PT 974</v>
          </cell>
          <cell r="R250"/>
          <cell r="S250"/>
          <cell r="T250">
            <v>1.4</v>
          </cell>
          <cell r="U250">
            <v>1.1499999999999999</v>
          </cell>
          <cell r="V250">
            <v>0.8</v>
          </cell>
          <cell r="W250">
            <v>0</v>
          </cell>
          <cell r="X250" t="str">
            <v>EST MODULO S/BRACO C/RECUO CLEAN TC ALTAMURA MESCLA PT 974 - 1,4x1,15x0,8H</v>
          </cell>
          <cell r="Y250">
            <v>31418.16</v>
          </cell>
          <cell r="Z250">
            <v>0.5</v>
          </cell>
          <cell r="AA250">
            <v>15709.08</v>
          </cell>
          <cell r="AB250" t="str">
            <v>GD</v>
          </cell>
        </row>
        <row r="251">
          <cell r="C251">
            <v>0</v>
          </cell>
          <cell r="D251">
            <v>1</v>
          </cell>
          <cell r="E251">
            <v>1</v>
          </cell>
          <cell r="F251">
            <v>0</v>
          </cell>
          <cell r="H251">
            <v>0</v>
          </cell>
          <cell r="O251">
            <v>300771</v>
          </cell>
          <cell r="P251" t="str">
            <v>2021/341-0089-01</v>
          </cell>
          <cell r="Q251" t="str">
            <v>EST MODULO BRACO ESQ C/AVANCO DALOA FX E5007 FREIJO</v>
          </cell>
          <cell r="R251"/>
          <cell r="S251"/>
          <cell r="T251">
            <v>2.5499999999999998</v>
          </cell>
          <cell r="U251">
            <v>1</v>
          </cell>
          <cell r="V251">
            <v>0.85</v>
          </cell>
          <cell r="W251">
            <v>0</v>
          </cell>
          <cell r="X251" t="str">
            <v>EST MODULO BRACO ESQ C/AVANCO DALOA FX E5007 FREIJO - 2,55x1x0,85H</v>
          </cell>
          <cell r="Y251">
            <v>56161.229999999996</v>
          </cell>
          <cell r="Z251">
            <v>0.35</v>
          </cell>
          <cell r="AA251">
            <v>36504.799499999994</v>
          </cell>
          <cell r="AB251" t="str">
            <v>GF</v>
          </cell>
        </row>
        <row r="252">
          <cell r="C252">
            <v>0</v>
          </cell>
          <cell r="D252">
            <v>1</v>
          </cell>
          <cell r="E252">
            <v>1</v>
          </cell>
          <cell r="F252">
            <v>0</v>
          </cell>
          <cell r="H252">
            <v>0</v>
          </cell>
          <cell r="O252">
            <v>300772</v>
          </cell>
          <cell r="P252" t="str">
            <v>2021/341-0091-01</v>
          </cell>
          <cell r="Q252" t="str">
            <v>EST MODULO CHAISE BRACO DIR C/AVANCO DALOA FX E5007 FREIJO</v>
          </cell>
          <cell r="R252"/>
          <cell r="S252"/>
          <cell r="T252">
            <v>1.55</v>
          </cell>
          <cell r="U252">
            <v>1.55</v>
          </cell>
          <cell r="V252">
            <v>0.85</v>
          </cell>
          <cell r="W252">
            <v>0</v>
          </cell>
          <cell r="X252" t="str">
            <v>EST MODULO CHAISE BRACO DIR C/AVANCO DALOA FX E5007 FREIJO - 1,55x1,55x0,85H</v>
          </cell>
          <cell r="Y252">
            <v>56161.229999999996</v>
          </cell>
          <cell r="Z252">
            <v>0.35</v>
          </cell>
          <cell r="AA252">
            <v>36504.799499999994</v>
          </cell>
          <cell r="AB252" t="str">
            <v>GF</v>
          </cell>
        </row>
        <row r="253"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H253">
            <v>2</v>
          </cell>
          <cell r="O253">
            <v>334247</v>
          </cell>
          <cell r="P253" t="str">
            <v>2022/203-0083-01</v>
          </cell>
          <cell r="Q253" t="str">
            <v>EST MODULO CHAISE S/BRACO PARATY (FX 40030) (COFFEE MATT)</v>
          </cell>
          <cell r="R253"/>
          <cell r="S253"/>
          <cell r="T253">
            <v>0.9</v>
          </cell>
          <cell r="U253">
            <v>1.77</v>
          </cell>
          <cell r="V253">
            <v>0.77</v>
          </cell>
          <cell r="W253">
            <v>0</v>
          </cell>
          <cell r="X253" t="str">
            <v>EST MODULO CHAISE S/BRACO PARATY (FX 40030) (COFFEE MATT) - 0,9x1,77x0,77H</v>
          </cell>
          <cell r="Y253">
            <v>45780.5</v>
          </cell>
          <cell r="Z253">
            <v>0.5</v>
          </cell>
          <cell r="AA253">
            <v>22890.25</v>
          </cell>
          <cell r="AB253" t="str">
            <v>GG</v>
          </cell>
        </row>
        <row r="254"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H254">
            <v>2</v>
          </cell>
          <cell r="O254">
            <v>334248</v>
          </cell>
          <cell r="P254" t="str">
            <v>2022/203-0086-01</v>
          </cell>
          <cell r="Q254" t="str">
            <v>EST MODULO S/BRACO C/ENCOSTO PARATY (FX 40030) (COFFEE MATT)</v>
          </cell>
          <cell r="R254"/>
          <cell r="S254"/>
          <cell r="T254">
            <v>1.8</v>
          </cell>
          <cell r="U254">
            <v>1</v>
          </cell>
          <cell r="V254">
            <v>0.77</v>
          </cell>
          <cell r="W254">
            <v>0</v>
          </cell>
          <cell r="X254" t="str">
            <v>EST MODULO S/BRACO C/ENCOSTO PARATY (FX 40030) (COFFEE MATT) - 1,8x1x0,77H</v>
          </cell>
          <cell r="Y254">
            <v>45780.5</v>
          </cell>
          <cell r="Z254">
            <v>0.5</v>
          </cell>
          <cell r="AA254">
            <v>22890.25</v>
          </cell>
          <cell r="AB254" t="str">
            <v>GG</v>
          </cell>
        </row>
        <row r="255"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H255">
            <v>2</v>
          </cell>
          <cell r="O255">
            <v>334249</v>
          </cell>
          <cell r="P255" t="str">
            <v>2022/203-0088-01</v>
          </cell>
          <cell r="Q255" t="str">
            <v>EST MODULO S/BRACO C/ENCOSTO PARATY (FX 40030) (COFFEE MATT)</v>
          </cell>
          <cell r="R255"/>
          <cell r="S255"/>
          <cell r="T255">
            <v>0.9</v>
          </cell>
          <cell r="U255">
            <v>1</v>
          </cell>
          <cell r="V255">
            <v>0.77</v>
          </cell>
          <cell r="W255">
            <v>0</v>
          </cell>
          <cell r="X255" t="str">
            <v>EST MODULO S/BRACO C/ENCOSTO PARATY (FX 40030) (COFFEE MATT) - 0,9x1x0,77H</v>
          </cell>
          <cell r="Y255">
            <v>45780.5</v>
          </cell>
          <cell r="Z255">
            <v>0.5</v>
          </cell>
          <cell r="AA255">
            <v>22890.25</v>
          </cell>
          <cell r="AB255" t="str">
            <v>GG</v>
          </cell>
        </row>
        <row r="256"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H256">
            <v>1</v>
          </cell>
          <cell r="O256">
            <v>235153</v>
          </cell>
          <cell r="P256"/>
          <cell r="Q256" t="str">
            <v>EST BANQUETA BAR DOTY (ESTRUTURA PRETO EPOXI) (S/ ALMOFADA)</v>
          </cell>
          <cell r="R256"/>
          <cell r="S256"/>
          <cell r="T256">
            <v>0.56000000000000005</v>
          </cell>
          <cell r="U256">
            <v>0.53</v>
          </cell>
          <cell r="V256">
            <v>0.94</v>
          </cell>
          <cell r="W256">
            <v>0</v>
          </cell>
          <cell r="X256" t="str">
            <v>EST BANQUETA BAR DOTY (ESTRUTURA PRETO EPOXI) (S/ ALMOFADA) - 0,56x0,53x0,94H</v>
          </cell>
          <cell r="Y256">
            <v>5958.4</v>
          </cell>
          <cell r="Z256">
            <v>0.5</v>
          </cell>
          <cell r="AA256">
            <v>2979.2</v>
          </cell>
          <cell r="AB256" t="str">
            <v>GI</v>
          </cell>
        </row>
        <row r="257"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H257">
            <v>1</v>
          </cell>
          <cell r="O257">
            <v>235154</v>
          </cell>
          <cell r="P257" t="str">
            <v>2019/261-0047-01</v>
          </cell>
          <cell r="Q257" t="str">
            <v>EST ALMOFADA BANQUETA BAR DOTY BAR (TC OTOP LINEN DARK GREY)</v>
          </cell>
          <cell r="R257"/>
          <cell r="S257"/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 t="str">
            <v>EST ALMOFADA BANQUETA BAR DOTY BAR (TC OTOP LINEN DARK GREY) - Ø0x0H</v>
          </cell>
          <cell r="Y257">
            <v>5958.4</v>
          </cell>
          <cell r="Z257">
            <v>0.5</v>
          </cell>
          <cell r="AA257">
            <v>2979.2</v>
          </cell>
          <cell r="AB257" t="str">
            <v>GI</v>
          </cell>
        </row>
        <row r="258">
          <cell r="C258">
            <v>1</v>
          </cell>
          <cell r="D258">
            <v>0</v>
          </cell>
          <cell r="E258">
            <v>0</v>
          </cell>
          <cell r="F258">
            <v>0</v>
          </cell>
          <cell r="H258">
            <v>0</v>
          </cell>
          <cell r="O258">
            <v>362570</v>
          </cell>
          <cell r="P258" t="str">
            <v>2023/037-0112-01</v>
          </cell>
          <cell r="Q258" t="str">
            <v>EST BASE APARADOR HOLG (JEQUITIBA TING SMOKE)</v>
          </cell>
          <cell r="R258"/>
          <cell r="S258"/>
          <cell r="T258">
            <v>1.5</v>
          </cell>
          <cell r="U258">
            <v>0.5</v>
          </cell>
          <cell r="V258">
            <v>0.75</v>
          </cell>
          <cell r="W258">
            <v>0</v>
          </cell>
          <cell r="X258" t="str">
            <v>EST BASE APARADOR HOLG (JEQUITIBA TING SMOKE) - 1,5x0,5x0,75H</v>
          </cell>
          <cell r="Y258">
            <v>36143.452000000005</v>
          </cell>
          <cell r="Z258">
            <v>0.5</v>
          </cell>
          <cell r="AA258">
            <v>18071.726000000002</v>
          </cell>
          <cell r="AB258" t="str">
            <v>GJ</v>
          </cell>
        </row>
        <row r="259">
          <cell r="C259">
            <v>1</v>
          </cell>
          <cell r="D259">
            <v>0</v>
          </cell>
          <cell r="E259">
            <v>0</v>
          </cell>
          <cell r="F259">
            <v>0</v>
          </cell>
          <cell r="H259">
            <v>0</v>
          </cell>
          <cell r="O259">
            <v>362571</v>
          </cell>
          <cell r="P259" t="str">
            <v>2023/037-0113-01</v>
          </cell>
          <cell r="Q259" t="str">
            <v>EST TAMPO MARMORE (F9025) (RETO/CHANF) (G4-OAK B LEVIG)</v>
          </cell>
          <cell r="R259"/>
          <cell r="S259"/>
          <cell r="T259">
            <v>1.6</v>
          </cell>
          <cell r="U259">
            <v>0.6</v>
          </cell>
          <cell r="V259">
            <v>0.02</v>
          </cell>
          <cell r="W259">
            <v>0</v>
          </cell>
          <cell r="X259" t="str">
            <v>EST TAMPO MARMORE (F9025) (RETO/CHANF) (G4-OAK B LEVIG) - 1,6x0,6x0,02H</v>
          </cell>
          <cell r="Y259">
            <v>36143.452000000005</v>
          </cell>
          <cell r="Z259">
            <v>0.5</v>
          </cell>
          <cell r="AA259">
            <v>18071.726000000002</v>
          </cell>
          <cell r="AB259" t="str">
            <v>GJ</v>
          </cell>
        </row>
        <row r="260"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H260">
            <v>1</v>
          </cell>
          <cell r="O260">
            <v>361213</v>
          </cell>
          <cell r="P260" t="str">
            <v>2023/055-0055-01</v>
          </cell>
          <cell r="Q260" t="str">
            <v>EST MODULO BRACO ESQ ORSAGO (B20) (1ASS) FX 6553</v>
          </cell>
          <cell r="R260"/>
          <cell r="S260"/>
          <cell r="T260">
            <v>1.4</v>
          </cell>
          <cell r="U260">
            <v>1</v>
          </cell>
          <cell r="V260">
            <v>0.71</v>
          </cell>
          <cell r="W260">
            <v>0</v>
          </cell>
          <cell r="X260" t="str">
            <v>EST MODULO BRACO ESQ ORSAGO (B20) (1ASS) FX 6553 - 1,4x1x0,71H</v>
          </cell>
          <cell r="Y260">
            <v>45429.67</v>
          </cell>
          <cell r="Z260">
            <v>0.5</v>
          </cell>
          <cell r="AA260">
            <v>22714.834999999999</v>
          </cell>
          <cell r="AB260" t="str">
            <v>GK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H261">
            <v>1</v>
          </cell>
          <cell r="O261">
            <v>361214</v>
          </cell>
          <cell r="P261" t="str">
            <v>2023/055-0056-01</v>
          </cell>
          <cell r="Q261" t="str">
            <v>EST MODULO S/BRACO ORSAGO (1ASS) FX 6553</v>
          </cell>
          <cell r="R261"/>
          <cell r="S261"/>
          <cell r="T261">
            <v>1.2</v>
          </cell>
          <cell r="U261">
            <v>1</v>
          </cell>
          <cell r="V261">
            <v>0.71</v>
          </cell>
          <cell r="W261">
            <v>0</v>
          </cell>
          <cell r="X261" t="str">
            <v>EST MODULO S/BRACO ORSAGO (1ASS) FX 6553 - 1,2x1x0,71H</v>
          </cell>
          <cell r="Y261">
            <v>45429.67</v>
          </cell>
          <cell r="Z261">
            <v>0.5</v>
          </cell>
          <cell r="AA261">
            <v>22714.834999999999</v>
          </cell>
          <cell r="AB261" t="str">
            <v>GK</v>
          </cell>
        </row>
        <row r="262"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H262">
            <v>1</v>
          </cell>
          <cell r="O262">
            <v>361215</v>
          </cell>
          <cell r="P262" t="str">
            <v>2023/055-0057-01</v>
          </cell>
          <cell r="Q262" t="str">
            <v>EST MODULO CHAISE BRACO DIR ORSAGO (CIRCULAR) FX 6553</v>
          </cell>
          <cell r="R262"/>
          <cell r="S262"/>
          <cell r="T262">
            <v>1.4</v>
          </cell>
          <cell r="U262">
            <v>1.58</v>
          </cell>
          <cell r="V262">
            <v>0.71</v>
          </cell>
          <cell r="W262">
            <v>0</v>
          </cell>
          <cell r="X262" t="str">
            <v>EST MODULO CHAISE BRACO DIR ORSAGO (CIRCULAR) FX 6553 - 1,4x1,58x0,71H</v>
          </cell>
          <cell r="Y262">
            <v>45429.67</v>
          </cell>
          <cell r="Z262">
            <v>0.5</v>
          </cell>
          <cell r="AA262">
            <v>22714.834999999999</v>
          </cell>
          <cell r="AB262" t="str">
            <v>GK</v>
          </cell>
        </row>
        <row r="263">
          <cell r="C263">
            <v>0</v>
          </cell>
          <cell r="D263">
            <v>1</v>
          </cell>
          <cell r="E263">
            <v>0</v>
          </cell>
          <cell r="F263">
            <v>0</v>
          </cell>
          <cell r="H263">
            <v>0</v>
          </cell>
          <cell r="O263">
            <v>361210</v>
          </cell>
          <cell r="P263" t="str">
            <v>2023/055-0052-01</v>
          </cell>
          <cell r="Q263" t="str">
            <v>EST MODULO BRACO ESQ DOMO (B25) (1AS) FX 4192</v>
          </cell>
          <cell r="R263"/>
          <cell r="S263"/>
          <cell r="T263">
            <v>1.35</v>
          </cell>
          <cell r="U263">
            <v>1.05</v>
          </cell>
          <cell r="V263">
            <v>0.85</v>
          </cell>
          <cell r="W263">
            <v>0</v>
          </cell>
          <cell r="X263" t="str">
            <v>EST MODULO BRACO ESQ DOMO (B25) (1AS) FX 4192 - 1,35x1,05x0,85H</v>
          </cell>
          <cell r="Y263">
            <v>50636.229999999996</v>
          </cell>
          <cell r="Z263">
            <v>0.35</v>
          </cell>
          <cell r="AA263">
            <v>32913.549499999994</v>
          </cell>
          <cell r="AB263" t="str">
            <v>GL</v>
          </cell>
        </row>
        <row r="264">
          <cell r="C264">
            <v>0</v>
          </cell>
          <cell r="D264">
            <v>1</v>
          </cell>
          <cell r="E264">
            <v>0</v>
          </cell>
          <cell r="F264">
            <v>0</v>
          </cell>
          <cell r="H264">
            <v>0</v>
          </cell>
          <cell r="O264">
            <v>361211</v>
          </cell>
          <cell r="P264" t="str">
            <v>2023/055-0053-01</v>
          </cell>
          <cell r="Q264" t="str">
            <v>EST MODULO S/BRACO DOMO (1AS) FX 4192</v>
          </cell>
          <cell r="R264"/>
          <cell r="S264"/>
          <cell r="T264">
            <v>1.1000000000000001</v>
          </cell>
          <cell r="U264">
            <v>1.05</v>
          </cell>
          <cell r="V264">
            <v>0.85</v>
          </cell>
          <cell r="W264">
            <v>0</v>
          </cell>
          <cell r="X264" t="str">
            <v>EST MODULO S/BRACO DOMO (1AS) FX 4192 - 1,1x1,05x0,85H</v>
          </cell>
          <cell r="Y264">
            <v>50636.229999999996</v>
          </cell>
          <cell r="Z264">
            <v>0.35</v>
          </cell>
          <cell r="AA264">
            <v>32913.549499999994</v>
          </cell>
          <cell r="AB264" t="str">
            <v>GL</v>
          </cell>
        </row>
        <row r="265">
          <cell r="C265">
            <v>0</v>
          </cell>
          <cell r="D265">
            <v>1</v>
          </cell>
          <cell r="E265">
            <v>0</v>
          </cell>
          <cell r="F265">
            <v>0</v>
          </cell>
          <cell r="H265">
            <v>0</v>
          </cell>
          <cell r="O265">
            <v>361212</v>
          </cell>
          <cell r="P265" t="str">
            <v>2023/055-0054-01</v>
          </cell>
          <cell r="Q265" t="str">
            <v>EST MODULO CHAISE BRACO DIR DOMO (B25) FX 4192</v>
          </cell>
          <cell r="R265"/>
          <cell r="S265"/>
          <cell r="T265">
            <v>1.35</v>
          </cell>
          <cell r="U265">
            <v>1.65</v>
          </cell>
          <cell r="V265">
            <v>0.85</v>
          </cell>
          <cell r="W265">
            <v>0</v>
          </cell>
          <cell r="X265" t="str">
            <v>EST MODULO CHAISE BRACO DIR DOMO (B25) FX 4192 - 1,35x1,65x0,85H</v>
          </cell>
          <cell r="Y265">
            <v>50636.229999999996</v>
          </cell>
          <cell r="Z265">
            <v>0.35</v>
          </cell>
          <cell r="AA265">
            <v>32913.549499999994</v>
          </cell>
          <cell r="AB265" t="str">
            <v>GL</v>
          </cell>
        </row>
        <row r="266">
          <cell r="C266">
            <v>1</v>
          </cell>
          <cell r="D266">
            <v>0</v>
          </cell>
          <cell r="E266">
            <v>0</v>
          </cell>
          <cell r="F266">
            <v>0</v>
          </cell>
          <cell r="H266">
            <v>0</v>
          </cell>
          <cell r="O266">
            <v>364641</v>
          </cell>
          <cell r="P266" t="str">
            <v>2023/076-0009-01</v>
          </cell>
          <cell r="Q266" t="str">
            <v>EST MODULO CHAISE BRACO DIR C/AVANCO DALOA FX E5007 FREIJO</v>
          </cell>
          <cell r="R266"/>
          <cell r="S266"/>
          <cell r="T266">
            <v>1.55</v>
          </cell>
          <cell r="U266">
            <v>1.55</v>
          </cell>
          <cell r="V266">
            <v>0.85</v>
          </cell>
          <cell r="W266">
            <v>0</v>
          </cell>
          <cell r="X266" t="str">
            <v>EST MODULO CHAISE BRACO DIR C/AVANCO DALOA FX E5007 FREIJO - 1,55x1,55x0,85H</v>
          </cell>
          <cell r="Y266">
            <v>56161.229999999996</v>
          </cell>
          <cell r="Z266">
            <v>0.35</v>
          </cell>
          <cell r="AA266">
            <v>36504.799499999994</v>
          </cell>
          <cell r="AB266" t="str">
            <v>GM</v>
          </cell>
        </row>
        <row r="267">
          <cell r="C267">
            <v>1</v>
          </cell>
          <cell r="D267">
            <v>0</v>
          </cell>
          <cell r="E267">
            <v>0</v>
          </cell>
          <cell r="F267">
            <v>0</v>
          </cell>
          <cell r="H267">
            <v>0</v>
          </cell>
          <cell r="O267">
            <v>364642</v>
          </cell>
          <cell r="P267" t="str">
            <v>2023/076-0010-01</v>
          </cell>
          <cell r="Q267" t="str">
            <v>EST MODULO BRACO ESQ C/AVANCO DALOA FX E5007 FREIJO</v>
          </cell>
          <cell r="R267"/>
          <cell r="S267"/>
          <cell r="T267">
            <v>2.5499999999999998</v>
          </cell>
          <cell r="U267">
            <v>1</v>
          </cell>
          <cell r="V267">
            <v>0.85</v>
          </cell>
          <cell r="W267">
            <v>0</v>
          </cell>
          <cell r="X267" t="str">
            <v>EST MODULO BRACO ESQ C/AVANCO DALOA FX E5007 FREIJO - 2,55x1x0,85H</v>
          </cell>
          <cell r="Y267">
            <v>56161.229999999996</v>
          </cell>
          <cell r="Z267">
            <v>0.35</v>
          </cell>
          <cell r="AA267">
            <v>36504.799499999994</v>
          </cell>
          <cell r="AB267" t="str">
            <v>GM</v>
          </cell>
        </row>
        <row r="268"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H268">
            <v>1</v>
          </cell>
          <cell r="O268">
            <v>371916</v>
          </cell>
          <cell r="P268" t="str">
            <v>2023/202-0034-01</v>
          </cell>
          <cell r="Q268" t="str">
            <v>EST BASE JANTAR HOLG (JEQUITIBA TING NOGUEIRA)</v>
          </cell>
          <cell r="R268"/>
          <cell r="S268"/>
          <cell r="T268">
            <v>2.62</v>
          </cell>
          <cell r="U268">
            <v>1.1200000000000001</v>
          </cell>
          <cell r="V268">
            <v>0.76</v>
          </cell>
          <cell r="W268">
            <v>0</v>
          </cell>
          <cell r="X268" t="str">
            <v>EST BASE JANTAR HOLG (JEQUITIBA TING NOGUEIRA) - 2,62x1,12x0,76H</v>
          </cell>
          <cell r="Y268">
            <v>108840.838</v>
          </cell>
          <cell r="Z268">
            <v>0.5</v>
          </cell>
          <cell r="AA268">
            <v>54420.419000000002</v>
          </cell>
          <cell r="AB268" t="str">
            <v>GW</v>
          </cell>
        </row>
        <row r="269"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H269">
            <v>1</v>
          </cell>
          <cell r="O269">
            <v>371917</v>
          </cell>
          <cell r="P269" t="str">
            <v>2023/202-0035-01</v>
          </cell>
          <cell r="Q269" t="str">
            <v>EST TAMPO MARMORE (F9025) (R40/CHANF) (G4-OAK B LEVIG)</v>
          </cell>
          <cell r="R269"/>
          <cell r="S269"/>
          <cell r="T269">
            <v>2.7</v>
          </cell>
          <cell r="U269">
            <v>1.2</v>
          </cell>
          <cell r="V269">
            <v>0.02</v>
          </cell>
          <cell r="W269">
            <v>0</v>
          </cell>
          <cell r="X269" t="str">
            <v>EST TAMPO MARMORE (F9025) (R40/CHANF) (G4-OAK B LEVIG) - 2,7x1,2x0,02H</v>
          </cell>
          <cell r="Y269">
            <v>108840.838</v>
          </cell>
          <cell r="Z269">
            <v>0.5</v>
          </cell>
          <cell r="AA269">
            <v>54420.419000000002</v>
          </cell>
          <cell r="AB269" t="str">
            <v>GW</v>
          </cell>
        </row>
        <row r="270"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H270">
            <v>1</v>
          </cell>
          <cell r="O270">
            <v>224381</v>
          </cell>
          <cell r="P270" t="str">
            <v>2022/292-0047-01</v>
          </cell>
          <cell r="Q270" t="str">
            <v>EST MODULO BRACO DIR CHATEAU (2AS) (PES MTX PRETO) FX C3062</v>
          </cell>
          <cell r="R270"/>
          <cell r="S270"/>
          <cell r="T270">
            <v>2.2999999999999998</v>
          </cell>
          <cell r="U270">
            <v>0.96</v>
          </cell>
          <cell r="V270">
            <v>0.94</v>
          </cell>
          <cell r="W270">
            <v>0</v>
          </cell>
          <cell r="X270" t="str">
            <v>EST MODULO BRACO DIR CHATEAU (2AS) (PES MTX PRETO) FX C3062 - 2,3x0,96x0,94H</v>
          </cell>
          <cell r="Y270">
            <v>50634.13</v>
          </cell>
          <cell r="Z270">
            <v>0.5</v>
          </cell>
          <cell r="AA270">
            <v>25317.064999999999</v>
          </cell>
          <cell r="AB270" t="str">
            <v>GX</v>
          </cell>
        </row>
        <row r="271"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H271">
            <v>1</v>
          </cell>
          <cell r="O271">
            <v>224382</v>
          </cell>
          <cell r="P271" t="str">
            <v>2022/292-0048-01</v>
          </cell>
          <cell r="Q271" t="str">
            <v>EST MODULO CHAISE BRACO ESQ CHATEAU (PES MTX PRETO) FX C3062</v>
          </cell>
          <cell r="R271"/>
          <cell r="S271"/>
          <cell r="T271">
            <v>1.3</v>
          </cell>
          <cell r="U271">
            <v>2.4500000000000002</v>
          </cell>
          <cell r="V271">
            <v>0.94</v>
          </cell>
          <cell r="W271">
            <v>0</v>
          </cell>
          <cell r="X271" t="str">
            <v>EST MODULO CHAISE BRACO ESQ CHATEAU (PES MTX PRETO) FX C3062 - 1,3x2,45x0,94H</v>
          </cell>
          <cell r="Y271">
            <v>50634.13</v>
          </cell>
          <cell r="Z271">
            <v>0.5</v>
          </cell>
          <cell r="AA271">
            <v>25317.064999999999</v>
          </cell>
          <cell r="AB271" t="str">
            <v>GX</v>
          </cell>
        </row>
        <row r="272">
          <cell r="C272">
            <v>1</v>
          </cell>
          <cell r="D272">
            <v>0</v>
          </cell>
          <cell r="E272">
            <v>0</v>
          </cell>
          <cell r="F272">
            <v>0</v>
          </cell>
          <cell r="H272">
            <v>0</v>
          </cell>
          <cell r="O272">
            <v>410004</v>
          </cell>
          <cell r="P272" t="str">
            <v>2025/266-0050-01</v>
          </cell>
          <cell r="Q272" t="str">
            <v>EST MODULO BRACO ESQ NEW CHATEAU (MTX MARROM) TC E5175</v>
          </cell>
          <cell r="R272"/>
          <cell r="S272"/>
          <cell r="T272">
            <v>2.31</v>
          </cell>
          <cell r="U272">
            <v>0.96</v>
          </cell>
          <cell r="V272">
            <v>0.8</v>
          </cell>
          <cell r="W272">
            <v>0</v>
          </cell>
          <cell r="X272" t="str">
            <v>EST MODULO BRACO ESQ NEW CHATEAU (MTX MARROM) TC E5175 - 2,31x0,96x0,8H</v>
          </cell>
          <cell r="Y272">
            <v>56919.16</v>
          </cell>
          <cell r="Z272">
            <v>0.35</v>
          </cell>
          <cell r="AA272">
            <v>36997.454000000005</v>
          </cell>
          <cell r="AB272" t="str">
            <v>GZ</v>
          </cell>
        </row>
        <row r="273">
          <cell r="C273">
            <v>1</v>
          </cell>
          <cell r="D273">
            <v>0</v>
          </cell>
          <cell r="E273">
            <v>0</v>
          </cell>
          <cell r="F273">
            <v>0</v>
          </cell>
          <cell r="H273">
            <v>0</v>
          </cell>
          <cell r="O273">
            <v>410005</v>
          </cell>
          <cell r="P273" t="str">
            <v>2025/266-0051-01</v>
          </cell>
          <cell r="Q273" t="str">
            <v>EST MODULO CHAISE ENC VIRADO NEW CHATEAU (MTX MAR) TC E5175</v>
          </cell>
          <cell r="R273"/>
          <cell r="S273"/>
          <cell r="T273">
            <v>1.26</v>
          </cell>
          <cell r="U273">
            <v>2.4500000000000002</v>
          </cell>
          <cell r="V273">
            <v>0.8</v>
          </cell>
          <cell r="W273">
            <v>0</v>
          </cell>
          <cell r="X273" t="str">
            <v>EST MODULO CHAISE ENC VIRADO NEW CHATEAU (MTX MAR) TC E5175 - 1,26x2,45x0,8H</v>
          </cell>
          <cell r="Y273">
            <v>56919.16</v>
          </cell>
          <cell r="Z273">
            <v>0.35</v>
          </cell>
          <cell r="AA273">
            <v>36997.454000000005</v>
          </cell>
          <cell r="AB273" t="str">
            <v>GZ</v>
          </cell>
        </row>
        <row r="274"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H274">
            <v>1</v>
          </cell>
          <cell r="O274">
            <v>319558</v>
          </cell>
          <cell r="P274" t="str">
            <v>2022/073-0071-01</v>
          </cell>
          <cell r="Q274" t="str">
            <v>EST MODULO BRACO DIREITO MALONE FX F7140</v>
          </cell>
          <cell r="R274"/>
          <cell r="S274"/>
          <cell r="T274">
            <v>1.5</v>
          </cell>
          <cell r="U274">
            <v>1</v>
          </cell>
          <cell r="V274">
            <v>0.85</v>
          </cell>
          <cell r="W274">
            <v>0</v>
          </cell>
          <cell r="X274" t="str">
            <v>EST MODULO BRACO DIREITO MALONE FX F7140 - 1,5x1x0,85H</v>
          </cell>
          <cell r="Y274">
            <v>33838.959999999999</v>
          </cell>
          <cell r="Z274">
            <v>0.5</v>
          </cell>
          <cell r="AA274">
            <v>16919.48</v>
          </cell>
          <cell r="AB274" t="str">
            <v>H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H275">
            <v>1</v>
          </cell>
          <cell r="O275">
            <v>319559</v>
          </cell>
          <cell r="P275" t="str">
            <v>2022/073-0072-01</v>
          </cell>
          <cell r="Q275" t="str">
            <v>EST MODULO BRACO ESQUERDO MALONE FX F7140</v>
          </cell>
          <cell r="R275"/>
          <cell r="S275"/>
          <cell r="T275">
            <v>1.5</v>
          </cell>
          <cell r="U275">
            <v>1</v>
          </cell>
          <cell r="V275">
            <v>0.85</v>
          </cell>
          <cell r="W275">
            <v>0</v>
          </cell>
          <cell r="X275" t="str">
            <v>EST MODULO BRACO ESQUERDO MALONE FX F7140 - 1,5x1x0,85H</v>
          </cell>
          <cell r="Y275">
            <v>33838.959999999999</v>
          </cell>
          <cell r="Z275">
            <v>0.5</v>
          </cell>
          <cell r="AA275">
            <v>16919.48</v>
          </cell>
          <cell r="AB275" t="str">
            <v>H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1</v>
          </cell>
          <cell r="H276">
            <v>0</v>
          </cell>
          <cell r="O276">
            <v>371714</v>
          </cell>
          <cell r="P276" t="str">
            <v>2023/282-0037-01</v>
          </cell>
          <cell r="Q276" t="str">
            <v>EST BASE JANTAR NINA (TAUARI NATURAL)</v>
          </cell>
          <cell r="R276"/>
          <cell r="S276"/>
          <cell r="T276">
            <v>1.2</v>
          </cell>
          <cell r="U276">
            <v>0</v>
          </cell>
          <cell r="V276">
            <v>0.73</v>
          </cell>
          <cell r="W276">
            <v>1.2</v>
          </cell>
          <cell r="X276" t="str">
            <v>EST BASE JANTAR NINA (TAUARI NATURAL) - Ø1,2x0,73H</v>
          </cell>
          <cell r="Y276">
            <v>69776.399999999994</v>
          </cell>
          <cell r="Z276">
            <v>0.35</v>
          </cell>
          <cell r="AA276">
            <v>45354.659999999996</v>
          </cell>
          <cell r="AB276" t="str">
            <v>HÁ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1</v>
          </cell>
          <cell r="H277">
            <v>0</v>
          </cell>
          <cell r="O277">
            <v>371715</v>
          </cell>
          <cell r="P277" t="str">
            <v>2023/258-0047-01</v>
          </cell>
          <cell r="Q277" t="str">
            <v>EST TAMPO NINA (CIRCULAR) (G2-RAFFAELLO LEVIG)</v>
          </cell>
          <cell r="R277"/>
          <cell r="S277"/>
          <cell r="T277">
            <v>1.8</v>
          </cell>
          <cell r="U277">
            <v>0</v>
          </cell>
          <cell r="V277">
            <v>0.02</v>
          </cell>
          <cell r="W277">
            <v>1.8</v>
          </cell>
          <cell r="X277" t="str">
            <v>EST TAMPO NINA (CIRCULAR) (G2-RAFFAELLO LEVIG) - Ø1,8x0,02H</v>
          </cell>
          <cell r="Y277">
            <v>69776.399999999994</v>
          </cell>
          <cell r="Z277">
            <v>0.35</v>
          </cell>
          <cell r="AA277">
            <v>45354.659999999996</v>
          </cell>
          <cell r="AB277" t="str">
            <v>HÁ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H278">
            <v>2</v>
          </cell>
          <cell r="O278">
            <v>371961</v>
          </cell>
          <cell r="P278" t="str">
            <v>2023/258-0051-01</v>
          </cell>
          <cell r="Q278" t="str">
            <v>EST TAMPO BUFFET YAACOV (G2-RAFFAELLO LEVIG)</v>
          </cell>
          <cell r="R278"/>
          <cell r="S278"/>
          <cell r="T278">
            <v>1</v>
          </cell>
          <cell r="U278">
            <v>0.5</v>
          </cell>
          <cell r="V278">
            <v>0.02</v>
          </cell>
          <cell r="W278">
            <v>0</v>
          </cell>
          <cell r="X278" t="str">
            <v>EST TAMPO BUFFET YAACOV (G2-RAFFAELLO LEVIG) - 1x0,5x0,02H</v>
          </cell>
          <cell r="Y278">
            <v>67969.66</v>
          </cell>
          <cell r="Z278">
            <v>0.35</v>
          </cell>
          <cell r="AA278">
            <v>44180.279000000002</v>
          </cell>
          <cell r="AB278" t="str">
            <v>HB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H279">
            <v>2</v>
          </cell>
          <cell r="O279">
            <v>371961</v>
          </cell>
          <cell r="P279" t="str">
            <v>2023/258-0052-01</v>
          </cell>
          <cell r="Q279" t="str">
            <v>EST TAMPO BUFFET YAACOV (G2-RAFFAELLO LEVIG)</v>
          </cell>
          <cell r="R279"/>
          <cell r="S279"/>
          <cell r="T279">
            <v>1</v>
          </cell>
          <cell r="U279">
            <v>0.5</v>
          </cell>
          <cell r="V279">
            <v>0.02</v>
          </cell>
          <cell r="W279">
            <v>0</v>
          </cell>
          <cell r="X279" t="str">
            <v>EST TAMPO BUFFET YAACOV (G2-RAFFAELLO LEVIG) - 1x0,5x0,02H</v>
          </cell>
          <cell r="Y279">
            <v>67969.66</v>
          </cell>
          <cell r="Z279">
            <v>0.35</v>
          </cell>
          <cell r="AA279">
            <v>44180.279000000002</v>
          </cell>
          <cell r="AB279" t="str">
            <v>HB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H280">
            <v>1</v>
          </cell>
          <cell r="O280">
            <v>372118</v>
          </cell>
          <cell r="P280" t="str">
            <v>2023/282-0002-01</v>
          </cell>
          <cell r="Q280" t="str">
            <v>EST BUFFET YAACOV (B) (TAUARI NATURAL) (TP G2 RAFFAELLO)</v>
          </cell>
          <cell r="R280"/>
          <cell r="S280"/>
          <cell r="T280">
            <v>2.58</v>
          </cell>
          <cell r="U280">
            <v>0.55000000000000004</v>
          </cell>
          <cell r="V280">
            <v>0.7</v>
          </cell>
          <cell r="W280">
            <v>0</v>
          </cell>
          <cell r="X280" t="str">
            <v>EST BUFFET YAACOV (B) (TAUARI NATURAL) (TP G2 RAFFAELLO) - 2,58x0,55x0,7H</v>
          </cell>
          <cell r="Y280">
            <v>67969.66</v>
          </cell>
          <cell r="Z280">
            <v>0.35</v>
          </cell>
          <cell r="AA280">
            <v>44180.279000000002</v>
          </cell>
          <cell r="AB280" t="str">
            <v>HB</v>
          </cell>
        </row>
        <row r="281">
          <cell r="C281">
            <v>0</v>
          </cell>
          <cell r="D281">
            <v>0</v>
          </cell>
          <cell r="E281">
            <v>1</v>
          </cell>
          <cell r="F281">
            <v>0</v>
          </cell>
          <cell r="H281">
            <v>0</v>
          </cell>
          <cell r="O281">
            <v>371951</v>
          </cell>
          <cell r="P281" t="str">
            <v>2023/258-0050-01</v>
          </cell>
          <cell r="Q281" t="str">
            <v>EST TAMPO BUFFET YAACOV (G4-OAK BAMBOO LEVIG)</v>
          </cell>
          <cell r="R281"/>
          <cell r="S281"/>
          <cell r="T281">
            <v>1</v>
          </cell>
          <cell r="U281">
            <v>0.5</v>
          </cell>
          <cell r="V281">
            <v>0.02</v>
          </cell>
          <cell r="W281">
            <v>0</v>
          </cell>
          <cell r="X281" t="str">
            <v>EST TAMPO BUFFET YAACOV (G4-OAK BAMBOO LEVIG) - 1x0,5x0,02H</v>
          </cell>
          <cell r="Y281">
            <v>62383.28</v>
          </cell>
          <cell r="Z281">
            <v>0.35</v>
          </cell>
          <cell r="AA281">
            <v>40549.131999999998</v>
          </cell>
          <cell r="AB281" t="str">
            <v>HC</v>
          </cell>
        </row>
        <row r="282">
          <cell r="C282">
            <v>0</v>
          </cell>
          <cell r="D282">
            <v>0</v>
          </cell>
          <cell r="E282">
            <v>1</v>
          </cell>
          <cell r="F282">
            <v>0</v>
          </cell>
          <cell r="H282">
            <v>0</v>
          </cell>
          <cell r="O282">
            <v>372077</v>
          </cell>
          <cell r="P282" t="str">
            <v>2023/282-0001-01</v>
          </cell>
          <cell r="Q282" t="str">
            <v>EST BUFFET YAACOV (A) (TAUARI NOGUEIRA) (TP G4 OAK BAMBOO)</v>
          </cell>
          <cell r="R282"/>
          <cell r="S282"/>
          <cell r="T282">
            <v>2.58</v>
          </cell>
          <cell r="U282">
            <v>0.55000000000000004</v>
          </cell>
          <cell r="V282">
            <v>0.7</v>
          </cell>
          <cell r="W282">
            <v>0</v>
          </cell>
          <cell r="X282" t="str">
            <v>EST BUFFET YAACOV (A) (TAUARI NOGUEIRA) (TP G4 OAK BAMBOO) - 2,58x0,55x0,7H</v>
          </cell>
          <cell r="Y282">
            <v>62383.28</v>
          </cell>
          <cell r="Z282">
            <v>0.35</v>
          </cell>
          <cell r="AA282">
            <v>40549.131999999998</v>
          </cell>
          <cell r="AB282" t="str">
            <v>HC</v>
          </cell>
        </row>
        <row r="283">
          <cell r="C283">
            <v>0</v>
          </cell>
          <cell r="D283">
            <v>1</v>
          </cell>
          <cell r="E283">
            <v>0</v>
          </cell>
          <cell r="F283">
            <v>0</v>
          </cell>
          <cell r="H283">
            <v>0</v>
          </cell>
          <cell r="O283">
            <v>371966</v>
          </cell>
          <cell r="P283" t="str">
            <v>2023/258-0053-01</v>
          </cell>
          <cell r="Q283" t="str">
            <v>EST TAMPO BUFFET YAACOV (G3-ROMA IMP LEVIG)</v>
          </cell>
          <cell r="R283"/>
          <cell r="S283"/>
          <cell r="T283">
            <v>1.51</v>
          </cell>
          <cell r="U283">
            <v>0.5</v>
          </cell>
          <cell r="V283">
            <v>0.02</v>
          </cell>
          <cell r="W283">
            <v>0</v>
          </cell>
          <cell r="X283" t="str">
            <v>EST TAMPO BUFFET YAACOV (G3-ROMA IMP LEVIG) - 1,51x0,5x0,02H</v>
          </cell>
          <cell r="Y283">
            <v>71462.45</v>
          </cell>
          <cell r="Z283">
            <v>0.35</v>
          </cell>
          <cell r="AA283">
            <v>46450.592499999999</v>
          </cell>
          <cell r="AB283" t="str">
            <v>HE</v>
          </cell>
        </row>
        <row r="284">
          <cell r="C284">
            <v>0</v>
          </cell>
          <cell r="D284">
            <v>1</v>
          </cell>
          <cell r="E284">
            <v>0</v>
          </cell>
          <cell r="F284">
            <v>0</v>
          </cell>
          <cell r="H284">
            <v>0</v>
          </cell>
          <cell r="O284">
            <v>372122</v>
          </cell>
          <cell r="P284" t="str">
            <v>2023/282-0003-01</v>
          </cell>
          <cell r="Q284" t="str">
            <v>EST BUFFET YAACOV (C) (TAUARI NOGUEIRA) (TP G3 R IMPERIALLE)</v>
          </cell>
          <cell r="R284"/>
          <cell r="S284"/>
          <cell r="T284">
            <v>2.58</v>
          </cell>
          <cell r="U284">
            <v>0.55000000000000004</v>
          </cell>
          <cell r="V284">
            <v>0.7</v>
          </cell>
          <cell r="W284">
            <v>0</v>
          </cell>
          <cell r="X284" t="str">
            <v>EST BUFFET YAACOV (C) (TAUARI NOGUEIRA) (TP G3 R IMPERIALLE) - 2,58x0,55x0,7H</v>
          </cell>
          <cell r="Y284">
            <v>71462.45</v>
          </cell>
          <cell r="Z284">
            <v>0.35</v>
          </cell>
          <cell r="AA284">
            <v>46450.592499999999</v>
          </cell>
          <cell r="AB284" t="str">
            <v>HE</v>
          </cell>
        </row>
        <row r="285"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H285">
            <v>1</v>
          </cell>
          <cell r="O285">
            <v>371720</v>
          </cell>
          <cell r="P285" t="str">
            <v>2023/286-0038-01</v>
          </cell>
          <cell r="Q285" t="str">
            <v>EST BASE JANTAR NINA (TAUARI TING NOG)</v>
          </cell>
          <cell r="R285"/>
          <cell r="S285"/>
          <cell r="T285">
            <v>3</v>
          </cell>
          <cell r="U285">
            <v>1.3</v>
          </cell>
          <cell r="V285">
            <v>0.73</v>
          </cell>
          <cell r="W285">
            <v>0</v>
          </cell>
          <cell r="X285" t="str">
            <v>EST BASE JANTAR NINA (TAUARI TING NOG) - 3x1,3x0,73H</v>
          </cell>
          <cell r="Y285">
            <v>88254.43</v>
          </cell>
          <cell r="Z285">
            <v>0.35</v>
          </cell>
          <cell r="AA285">
            <v>57365.379499999995</v>
          </cell>
          <cell r="AB285" t="str">
            <v>HF</v>
          </cell>
        </row>
        <row r="286"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H286">
            <v>1</v>
          </cell>
          <cell r="O286">
            <v>371721</v>
          </cell>
          <cell r="P286" t="str">
            <v>2023/258-0048-01</v>
          </cell>
          <cell r="Q286" t="str">
            <v>EST TAMPO NINA (RAIO 25MM) (G3-ROMA IMP LEVIG)</v>
          </cell>
          <cell r="R286"/>
          <cell r="S286"/>
          <cell r="T286">
            <v>3</v>
          </cell>
          <cell r="U286">
            <v>1.3</v>
          </cell>
          <cell r="V286">
            <v>0.02</v>
          </cell>
          <cell r="W286">
            <v>0</v>
          </cell>
          <cell r="X286" t="str">
            <v>EST TAMPO NINA (RAIO 25MM) (G3-ROMA IMP LEVIG) - 3x1,3x0,02H</v>
          </cell>
          <cell r="Y286">
            <v>88254.43</v>
          </cell>
          <cell r="Z286">
            <v>0.35</v>
          </cell>
          <cell r="AA286">
            <v>57365.379499999995</v>
          </cell>
          <cell r="AB286" t="str">
            <v>HF</v>
          </cell>
        </row>
        <row r="287">
          <cell r="C287">
            <v>1</v>
          </cell>
          <cell r="D287">
            <v>0</v>
          </cell>
          <cell r="E287">
            <v>0</v>
          </cell>
          <cell r="F287">
            <v>0</v>
          </cell>
          <cell r="H287">
            <v>0</v>
          </cell>
          <cell r="O287">
            <v>371723</v>
          </cell>
          <cell r="P287" t="str">
            <v>2023/286-0039-01</v>
          </cell>
          <cell r="Q287" t="str">
            <v>EST BASE JANTAR NINA (TAUARI NATURAL)</v>
          </cell>
          <cell r="R287"/>
          <cell r="S287"/>
          <cell r="T287">
            <v>3</v>
          </cell>
          <cell r="U287">
            <v>1.3</v>
          </cell>
          <cell r="V287">
            <v>0.73</v>
          </cell>
          <cell r="W287">
            <v>0</v>
          </cell>
          <cell r="X287" t="str">
            <v>EST BASE JANTAR NINA (TAUARI NATURAL) - 3x1,3x0,73H</v>
          </cell>
          <cell r="Y287">
            <v>88254.43</v>
          </cell>
          <cell r="Z287">
            <v>0.35</v>
          </cell>
          <cell r="AA287">
            <v>57365.379499999995</v>
          </cell>
          <cell r="AB287" t="str">
            <v>HG</v>
          </cell>
        </row>
        <row r="288">
          <cell r="C288">
            <v>1</v>
          </cell>
          <cell r="D288">
            <v>0</v>
          </cell>
          <cell r="E288">
            <v>0</v>
          </cell>
          <cell r="F288">
            <v>0</v>
          </cell>
          <cell r="H288">
            <v>0</v>
          </cell>
          <cell r="O288">
            <v>371725</v>
          </cell>
          <cell r="P288" t="str">
            <v>2023/258-0049-01</v>
          </cell>
          <cell r="Q288" t="str">
            <v>EST TAMPO NINA (RAIO 25MM) (G3-VITORIA R LEVIG)</v>
          </cell>
          <cell r="R288"/>
          <cell r="S288"/>
          <cell r="T288">
            <v>3</v>
          </cell>
          <cell r="U288">
            <v>1.3</v>
          </cell>
          <cell r="V288">
            <v>0.02</v>
          </cell>
          <cell r="W288">
            <v>0</v>
          </cell>
          <cell r="X288" t="str">
            <v>EST TAMPO NINA (RAIO 25MM) (G3-VITORIA R LEVIG) - 3x1,3x0,02H</v>
          </cell>
          <cell r="Y288">
            <v>88254.43</v>
          </cell>
          <cell r="Z288">
            <v>0.35</v>
          </cell>
          <cell r="AA288">
            <v>57365.379499999995</v>
          </cell>
          <cell r="AB288" t="str">
            <v>HG</v>
          </cell>
        </row>
        <row r="289">
          <cell r="C289">
            <v>1</v>
          </cell>
          <cell r="D289">
            <v>0</v>
          </cell>
          <cell r="E289">
            <v>0</v>
          </cell>
          <cell r="F289">
            <v>0</v>
          </cell>
          <cell r="H289">
            <v>0</v>
          </cell>
          <cell r="O289">
            <v>373141</v>
          </cell>
          <cell r="P289" t="str">
            <v>2023/263-0019-01</v>
          </cell>
          <cell r="Q289" t="str">
            <v>EST MODULO BRACO DIREITO CLEAN (B06) (1AS) FX 4491</v>
          </cell>
          <cell r="R289"/>
          <cell r="S289"/>
          <cell r="T289">
            <v>1.06</v>
          </cell>
          <cell r="U289">
            <v>1.1499999999999999</v>
          </cell>
          <cell r="V289">
            <v>0.8</v>
          </cell>
          <cell r="W289">
            <v>0</v>
          </cell>
          <cell r="X289" t="str">
            <v>EST MODULO BRACO DIREITO CLEAN (B06) (1AS) FX 4491 - 1,06x1,15x0,8H</v>
          </cell>
          <cell r="Y289">
            <v>40455.649999999994</v>
          </cell>
          <cell r="Z289">
            <v>0.35</v>
          </cell>
          <cell r="AA289">
            <v>26296.172499999997</v>
          </cell>
          <cell r="AB289" t="str">
            <v>HH</v>
          </cell>
        </row>
        <row r="290">
          <cell r="C290">
            <v>1</v>
          </cell>
          <cell r="D290">
            <v>0</v>
          </cell>
          <cell r="E290">
            <v>0</v>
          </cell>
          <cell r="F290">
            <v>0</v>
          </cell>
          <cell r="H290">
            <v>0</v>
          </cell>
          <cell r="O290">
            <v>373142</v>
          </cell>
          <cell r="P290" t="str">
            <v>2023/263-0020-01</v>
          </cell>
          <cell r="Q290" t="str">
            <v>EST MODULO BRACO ESQUERDO CLEAN (B06) (1AS) FX 4491</v>
          </cell>
          <cell r="R290"/>
          <cell r="S290"/>
          <cell r="T290">
            <v>1.06</v>
          </cell>
          <cell r="U290">
            <v>1.1499999999999999</v>
          </cell>
          <cell r="V290">
            <v>0.8</v>
          </cell>
          <cell r="W290">
            <v>0</v>
          </cell>
          <cell r="X290" t="str">
            <v>EST MODULO BRACO ESQUERDO CLEAN (B06) (1AS) FX 4491 - 1,06x1,15x0,8H</v>
          </cell>
          <cell r="Y290">
            <v>40455.649999999994</v>
          </cell>
          <cell r="Z290">
            <v>0.35</v>
          </cell>
          <cell r="AA290">
            <v>26296.172499999997</v>
          </cell>
          <cell r="AB290" t="str">
            <v>HH</v>
          </cell>
        </row>
        <row r="291">
          <cell r="C291">
            <v>1</v>
          </cell>
          <cell r="D291">
            <v>0</v>
          </cell>
          <cell r="E291">
            <v>0</v>
          </cell>
          <cell r="F291">
            <v>0</v>
          </cell>
          <cell r="H291">
            <v>0</v>
          </cell>
          <cell r="O291">
            <v>373143</v>
          </cell>
          <cell r="P291" t="str">
            <v>2023/263-0021-01</v>
          </cell>
          <cell r="Q291" t="str">
            <v>EST MODULO S/BRACO CLEAN (1AS) FX 4491</v>
          </cell>
          <cell r="R291"/>
          <cell r="S291"/>
          <cell r="T291">
            <v>1</v>
          </cell>
          <cell r="U291">
            <v>1.1499999999999999</v>
          </cell>
          <cell r="V291">
            <v>0.8</v>
          </cell>
          <cell r="W291">
            <v>0</v>
          </cell>
          <cell r="X291" t="str">
            <v>EST MODULO S/BRACO CLEAN (1AS) FX 4491 - 1x1,15x0,8H</v>
          </cell>
          <cell r="Y291">
            <v>40455.649999999994</v>
          </cell>
          <cell r="Z291">
            <v>0.35</v>
          </cell>
          <cell r="AA291">
            <v>26296.172499999997</v>
          </cell>
          <cell r="AB291" t="str">
            <v>HH</v>
          </cell>
        </row>
        <row r="292">
          <cell r="C292">
            <v>0</v>
          </cell>
          <cell r="D292">
            <v>1</v>
          </cell>
          <cell r="E292">
            <v>0</v>
          </cell>
          <cell r="F292">
            <v>0</v>
          </cell>
          <cell r="H292">
            <v>0</v>
          </cell>
          <cell r="O292">
            <v>374244</v>
          </cell>
          <cell r="P292" t="str">
            <v>2023/300-0054-01</v>
          </cell>
          <cell r="Q292" t="str">
            <v>EST MODULO BRACO DIR NEW CHATEAU (2AS) (MTX PT) B2262</v>
          </cell>
          <cell r="R292"/>
          <cell r="S292"/>
          <cell r="T292">
            <v>2.31</v>
          </cell>
          <cell r="U292">
            <v>0.96</v>
          </cell>
          <cell r="V292">
            <v>0.8</v>
          </cell>
          <cell r="W292">
            <v>0</v>
          </cell>
          <cell r="X292" t="str">
            <v>EST MODULO BRACO DIR NEW CHATEAU (2AS) (MTX PT) B2262 - 2,31x0,96x0,8H</v>
          </cell>
          <cell r="Y292">
            <v>48583.100000000006</v>
          </cell>
          <cell r="Z292">
            <v>0.35</v>
          </cell>
          <cell r="AA292">
            <v>31579.015000000003</v>
          </cell>
          <cell r="AB292" t="str">
            <v>HI</v>
          </cell>
        </row>
        <row r="293">
          <cell r="C293">
            <v>0</v>
          </cell>
          <cell r="D293">
            <v>1</v>
          </cell>
          <cell r="E293">
            <v>0</v>
          </cell>
          <cell r="F293">
            <v>0</v>
          </cell>
          <cell r="H293">
            <v>0</v>
          </cell>
          <cell r="O293">
            <v>374245</v>
          </cell>
          <cell r="P293" t="str">
            <v>2023/300-0055-01</v>
          </cell>
          <cell r="Q293" t="str">
            <v>EST MODULO CHAISE ENC VIRADO ESQ NEW CHATEAU (MTX PT) B2262</v>
          </cell>
          <cell r="R293"/>
          <cell r="S293"/>
          <cell r="T293">
            <v>1.26</v>
          </cell>
          <cell r="U293">
            <v>2.4500000000000002</v>
          </cell>
          <cell r="V293">
            <v>0.8</v>
          </cell>
          <cell r="W293">
            <v>0</v>
          </cell>
          <cell r="X293" t="str">
            <v>EST MODULO CHAISE ENC VIRADO ESQ NEW CHATEAU (MTX PT) B2262 - 1,26x2,45x0,8H</v>
          </cell>
          <cell r="Y293">
            <v>48583.100000000006</v>
          </cell>
          <cell r="Z293">
            <v>0.35</v>
          </cell>
          <cell r="AA293">
            <v>31579.015000000003</v>
          </cell>
          <cell r="AB293" t="str">
            <v>HI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1</v>
          </cell>
          <cell r="H294">
            <v>0</v>
          </cell>
          <cell r="O294">
            <v>377901</v>
          </cell>
          <cell r="P294" t="str">
            <v>2023/348-0021-01</v>
          </cell>
          <cell r="Q294" t="str">
            <v>EST TAMPO MESA JANTAR ABACATE (MARMORE 3 JADORE)</v>
          </cell>
          <cell r="R294"/>
          <cell r="S294"/>
          <cell r="T294">
            <v>3.7</v>
          </cell>
          <cell r="U294">
            <v>1.6</v>
          </cell>
          <cell r="V294">
            <v>0.02</v>
          </cell>
          <cell r="W294">
            <v>0</v>
          </cell>
          <cell r="X294" t="str">
            <v>EST TAMPO MESA JANTAR ABACATE (MARMORE 3 JADORE) - 3,7x1,6x0,02H</v>
          </cell>
          <cell r="Y294">
            <v>202099.08000000002</v>
          </cell>
          <cell r="Z294">
            <v>0.35</v>
          </cell>
          <cell r="AA294">
            <v>131364.402</v>
          </cell>
          <cell r="AB294" t="str">
            <v>HJ</v>
          </cell>
        </row>
        <row r="295">
          <cell r="C295">
            <v>0</v>
          </cell>
          <cell r="D295">
            <v>0</v>
          </cell>
          <cell r="E295">
            <v>0</v>
          </cell>
          <cell r="F295">
            <v>1</v>
          </cell>
          <cell r="H295">
            <v>0</v>
          </cell>
          <cell r="O295">
            <v>377900</v>
          </cell>
          <cell r="P295" t="str">
            <v>2023/348-0022-01</v>
          </cell>
          <cell r="Q295" t="str">
            <v>EST BASE JANTAR ABACATE (LAMINA 2 NOGUEIRA)</v>
          </cell>
          <cell r="R295"/>
          <cell r="S295"/>
          <cell r="T295">
            <v>3.7</v>
          </cell>
          <cell r="U295">
            <v>1.6</v>
          </cell>
          <cell r="V295">
            <v>0.75</v>
          </cell>
          <cell r="W295">
            <v>0</v>
          </cell>
          <cell r="X295" t="str">
            <v>EST BASE JANTAR ABACATE (LAMINA 2 NOGUEIRA) - 3,7x1,6x0,75H</v>
          </cell>
          <cell r="Y295">
            <v>202099.08000000002</v>
          </cell>
          <cell r="Z295">
            <v>0.35</v>
          </cell>
          <cell r="AA295">
            <v>131364.402</v>
          </cell>
          <cell r="AB295" t="str">
            <v>HJ</v>
          </cell>
        </row>
        <row r="296">
          <cell r="C296">
            <v>0</v>
          </cell>
          <cell r="D296">
            <v>1</v>
          </cell>
          <cell r="E296">
            <v>0</v>
          </cell>
          <cell r="F296">
            <v>0</v>
          </cell>
          <cell r="H296">
            <v>0</v>
          </cell>
          <cell r="O296">
            <v>378342</v>
          </cell>
          <cell r="P296" t="str">
            <v>2024/025-0018-01</v>
          </cell>
          <cell r="Q296" t="str">
            <v>EST MODULO BRACO DIR ADANA (PES MTX MARROM) FX B2262</v>
          </cell>
          <cell r="R296"/>
          <cell r="S296"/>
          <cell r="T296">
            <v>1.8</v>
          </cell>
          <cell r="U296">
            <v>0.97</v>
          </cell>
          <cell r="V296">
            <v>0.92</v>
          </cell>
          <cell r="W296">
            <v>0</v>
          </cell>
          <cell r="X296" t="str">
            <v>EST MODULO BRACO DIR ADANA (PES MTX MARROM) FX B2262 - 1,8x0,97x0,92H</v>
          </cell>
          <cell r="Y296">
            <v>69745.850000000006</v>
          </cell>
          <cell r="Z296">
            <v>0.35</v>
          </cell>
          <cell r="AA296">
            <v>45334.802500000005</v>
          </cell>
          <cell r="AB296" t="str">
            <v>HM</v>
          </cell>
        </row>
        <row r="297">
          <cell r="C297">
            <v>0</v>
          </cell>
          <cell r="D297">
            <v>1</v>
          </cell>
          <cell r="E297">
            <v>0</v>
          </cell>
          <cell r="F297">
            <v>0</v>
          </cell>
          <cell r="H297">
            <v>0</v>
          </cell>
          <cell r="O297">
            <v>378343</v>
          </cell>
          <cell r="P297" t="str">
            <v>2024/025-0019-01</v>
          </cell>
          <cell r="Q297" t="str">
            <v>EST MODULO S/BRACO ADANA (PES MTX MARROM) FX B2262</v>
          </cell>
          <cell r="R297"/>
          <cell r="S297"/>
          <cell r="T297">
            <v>0.9</v>
          </cell>
          <cell r="U297">
            <v>0.97</v>
          </cell>
          <cell r="V297">
            <v>0.92</v>
          </cell>
          <cell r="W297">
            <v>0</v>
          </cell>
          <cell r="X297" t="str">
            <v>EST MODULO S/BRACO ADANA (PES MTX MARROM) FX B2262 - 0,9x0,97x0,92H</v>
          </cell>
          <cell r="Y297">
            <v>69745.850000000006</v>
          </cell>
          <cell r="Z297">
            <v>0.35</v>
          </cell>
          <cell r="AA297">
            <v>45334.802500000005</v>
          </cell>
          <cell r="AB297" t="str">
            <v>HM</v>
          </cell>
        </row>
        <row r="298">
          <cell r="C298">
            <v>0</v>
          </cell>
          <cell r="D298">
            <v>1</v>
          </cell>
          <cell r="E298">
            <v>0</v>
          </cell>
          <cell r="F298">
            <v>0</v>
          </cell>
          <cell r="H298">
            <v>0</v>
          </cell>
          <cell r="O298">
            <v>378344</v>
          </cell>
          <cell r="P298" t="str">
            <v>2024/025-0020-01</v>
          </cell>
          <cell r="Q298" t="str">
            <v>EST MODULO CANTO ADANA (PES MTX MARROM) FX B2262</v>
          </cell>
          <cell r="R298"/>
          <cell r="S298"/>
          <cell r="T298">
            <v>0.97</v>
          </cell>
          <cell r="U298">
            <v>0.97</v>
          </cell>
          <cell r="V298">
            <v>0.92</v>
          </cell>
          <cell r="W298">
            <v>0</v>
          </cell>
          <cell r="X298" t="str">
            <v>EST MODULO CANTO ADANA (PES MTX MARROM) FX B2262 - 0,97x0,97x0,92H</v>
          </cell>
          <cell r="Y298">
            <v>69745.850000000006</v>
          </cell>
          <cell r="Z298">
            <v>0.35</v>
          </cell>
          <cell r="AA298">
            <v>45334.802500000005</v>
          </cell>
          <cell r="AB298" t="str">
            <v>HM</v>
          </cell>
        </row>
        <row r="299">
          <cell r="C299">
            <v>0</v>
          </cell>
          <cell r="D299">
            <v>1</v>
          </cell>
          <cell r="E299">
            <v>0</v>
          </cell>
          <cell r="F299">
            <v>0</v>
          </cell>
          <cell r="H299">
            <v>0</v>
          </cell>
          <cell r="O299">
            <v>378345</v>
          </cell>
          <cell r="P299" t="str">
            <v>2024/025-0021-01</v>
          </cell>
          <cell r="Q299" t="str">
            <v>EST MODULO S/BRACO C/PUFF ADANA (PES MTX MARROM) FX B2262</v>
          </cell>
          <cell r="R299"/>
          <cell r="S299"/>
          <cell r="T299">
            <v>1.8</v>
          </cell>
          <cell r="U299">
            <v>0.97</v>
          </cell>
          <cell r="V299">
            <v>0.92</v>
          </cell>
          <cell r="W299">
            <v>0</v>
          </cell>
          <cell r="X299" t="str">
            <v>EST MODULO S/BRACO C/PUFF ADANA (PES MTX MARROM) FX B2262 - 1,8x0,97x0,92H</v>
          </cell>
          <cell r="Y299">
            <v>69745.850000000006</v>
          </cell>
          <cell r="Z299">
            <v>0.35</v>
          </cell>
          <cell r="AA299">
            <v>45334.802500000005</v>
          </cell>
          <cell r="AB299" t="str">
            <v>HM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H300">
            <v>5</v>
          </cell>
          <cell r="O300">
            <v>309891</v>
          </cell>
          <cell r="P300" t="str">
            <v>2022/284-0069-01</v>
          </cell>
          <cell r="Q300" t="str">
            <v>EST COMPONENTE PRATELEIRA ESTANTE VO (UNIAO) (LAM 2 NOG)</v>
          </cell>
          <cell r="R300"/>
          <cell r="S300"/>
          <cell r="T300">
            <v>0.6</v>
          </cell>
          <cell r="U300">
            <v>0.39</v>
          </cell>
          <cell r="V300">
            <v>0.02</v>
          </cell>
          <cell r="W300">
            <v>0</v>
          </cell>
          <cell r="X300" t="str">
            <v>EST COMPONENTE PRATELEIRA ESTANTE VO (UNIAO) (LAM 2 NOG) - 0,6x0,39x0,02H</v>
          </cell>
          <cell r="Y300">
            <v>141393.60999999999</v>
          </cell>
          <cell r="Z300">
            <v>0.5</v>
          </cell>
          <cell r="AA300">
            <v>70696.804999999993</v>
          </cell>
          <cell r="AB300" t="str">
            <v>HN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H301">
            <v>5</v>
          </cell>
          <cell r="O301">
            <v>309891</v>
          </cell>
          <cell r="P301" t="str">
            <v>2022/284-0070-01</v>
          </cell>
          <cell r="Q301" t="str">
            <v>EST COMPONENTE PRATELEIRA ESTANTE VO (UNIAO) (LAM 2 NOG)</v>
          </cell>
          <cell r="R301"/>
          <cell r="S301"/>
          <cell r="T301">
            <v>0.6</v>
          </cell>
          <cell r="U301">
            <v>0.39</v>
          </cell>
          <cell r="V301">
            <v>0.02</v>
          </cell>
          <cell r="W301">
            <v>0</v>
          </cell>
          <cell r="X301" t="str">
            <v>EST COMPONENTE PRATELEIRA ESTANTE VO (UNIAO) (LAM 2 NOG) - 0,6x0,39x0,02H</v>
          </cell>
          <cell r="Y301">
            <v>141393.60999999999</v>
          </cell>
          <cell r="Z301">
            <v>0.5</v>
          </cell>
          <cell r="AA301">
            <v>70696.804999999993</v>
          </cell>
          <cell r="AB301" t="str">
            <v>HN</v>
          </cell>
        </row>
        <row r="302"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H302">
            <v>5</v>
          </cell>
          <cell r="O302">
            <v>309891</v>
          </cell>
          <cell r="P302" t="str">
            <v>2022/284-0071-01</v>
          </cell>
          <cell r="Q302" t="str">
            <v>EST COMPONENTE PRATELEIRA ESTANTE VO (UNIAO) (LAM 2 NOG)</v>
          </cell>
          <cell r="R302"/>
          <cell r="S302"/>
          <cell r="T302">
            <v>0.6</v>
          </cell>
          <cell r="U302">
            <v>0.39</v>
          </cell>
          <cell r="V302">
            <v>0.02</v>
          </cell>
          <cell r="W302">
            <v>0</v>
          </cell>
          <cell r="X302" t="str">
            <v>EST COMPONENTE PRATELEIRA ESTANTE VO (UNIAO) (LAM 2 NOG) - 0,6x0,39x0,02H</v>
          </cell>
          <cell r="Y302">
            <v>141393.60999999999</v>
          </cell>
          <cell r="Z302">
            <v>0.5</v>
          </cell>
          <cell r="AA302">
            <v>70696.804999999993</v>
          </cell>
          <cell r="AB302" t="str">
            <v>HN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H303">
            <v>5</v>
          </cell>
          <cell r="O303">
            <v>309891</v>
          </cell>
          <cell r="P303" t="str">
            <v>2022/284-0072-01</v>
          </cell>
          <cell r="Q303" t="str">
            <v>EST COMPONENTE PRATELEIRA ESTANTE VO (UNIAO) (LAM 2 NOG)</v>
          </cell>
          <cell r="R303"/>
          <cell r="S303"/>
          <cell r="T303">
            <v>0.6</v>
          </cell>
          <cell r="U303">
            <v>0.39</v>
          </cell>
          <cell r="V303">
            <v>0.02</v>
          </cell>
          <cell r="W303">
            <v>0</v>
          </cell>
          <cell r="X303" t="str">
            <v>EST COMPONENTE PRATELEIRA ESTANTE VO (UNIAO) (LAM 2 NOG) - 0,6x0,39x0,02H</v>
          </cell>
          <cell r="Y303">
            <v>141393.60999999999</v>
          </cell>
          <cell r="Z303">
            <v>0.5</v>
          </cell>
          <cell r="AA303">
            <v>70696.804999999993</v>
          </cell>
          <cell r="AB303" t="str">
            <v>HN</v>
          </cell>
        </row>
        <row r="304"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H304">
            <v>5</v>
          </cell>
          <cell r="O304">
            <v>309891</v>
          </cell>
          <cell r="P304" t="str">
            <v>2022/284-0073-01</v>
          </cell>
          <cell r="Q304" t="str">
            <v>EST COMPONENTE PRATELEIRA ESTANTE VO (UNIAO) (LAM 2 NOG)</v>
          </cell>
          <cell r="R304"/>
          <cell r="S304"/>
          <cell r="T304">
            <v>0.6</v>
          </cell>
          <cell r="U304">
            <v>0.39</v>
          </cell>
          <cell r="V304">
            <v>0.02</v>
          </cell>
          <cell r="W304">
            <v>0</v>
          </cell>
          <cell r="X304" t="str">
            <v>EST COMPONENTE PRATELEIRA ESTANTE VO (UNIAO) (LAM 2 NOG) - 0,6x0,39x0,02H</v>
          </cell>
          <cell r="Y304">
            <v>141393.60999999999</v>
          </cell>
          <cell r="Z304">
            <v>0.5</v>
          </cell>
          <cell r="AA304">
            <v>70696.804999999993</v>
          </cell>
          <cell r="AB304" t="str">
            <v>HN</v>
          </cell>
        </row>
        <row r="305"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H305">
            <v>5</v>
          </cell>
          <cell r="O305">
            <v>309891</v>
          </cell>
          <cell r="P305" t="str">
            <v>2022/284-0074-01</v>
          </cell>
          <cell r="Q305" t="str">
            <v>EST COMPONENTE PRATELEIRA ESTANTE VO (UNIAO) (LAM 2 NOG)</v>
          </cell>
          <cell r="R305"/>
          <cell r="S305"/>
          <cell r="T305">
            <v>0.6</v>
          </cell>
          <cell r="U305">
            <v>0.39</v>
          </cell>
          <cell r="V305">
            <v>0.02</v>
          </cell>
          <cell r="W305">
            <v>0</v>
          </cell>
          <cell r="X305" t="str">
            <v>EST COMPONENTE PRATELEIRA ESTANTE VO (UNIAO) (LAM 2 NOG) - 0,6x0,39x0,02H</v>
          </cell>
          <cell r="Y305">
            <v>141393.60999999999</v>
          </cell>
          <cell r="Z305">
            <v>0.5</v>
          </cell>
          <cell r="AA305">
            <v>70696.804999999993</v>
          </cell>
          <cell r="AB305" t="str">
            <v>HN</v>
          </cell>
        </row>
        <row r="306">
          <cell r="C306">
            <v>0</v>
          </cell>
          <cell r="D306">
            <v>0</v>
          </cell>
          <cell r="E306">
            <v>1</v>
          </cell>
          <cell r="F306">
            <v>0</v>
          </cell>
          <cell r="H306">
            <v>1</v>
          </cell>
          <cell r="O306">
            <v>299533</v>
          </cell>
          <cell r="P306" t="str">
            <v>2022/034-0014-01</v>
          </cell>
          <cell r="Q306" t="str">
            <v>EST ESTANTE VO (B) (MTZ ONIX PRETO) (LAM 2 NOGUEIRA)</v>
          </cell>
          <cell r="R306"/>
          <cell r="S306"/>
          <cell r="T306">
            <v>1.04</v>
          </cell>
          <cell r="U306">
            <v>0.45</v>
          </cell>
          <cell r="V306">
            <v>2.11</v>
          </cell>
          <cell r="W306">
            <v>0</v>
          </cell>
          <cell r="X306" t="str">
            <v>EST ESTANTE VO (B) (MTZ ONIX PRETO) (LAM 2 NOGUEIRA) - 1,04x0,45x2,11H</v>
          </cell>
          <cell r="Y306">
            <v>141393.60999999999</v>
          </cell>
          <cell r="Z306">
            <v>0.35</v>
          </cell>
          <cell r="AA306">
            <v>91905.846499999985</v>
          </cell>
          <cell r="AB306" t="str">
            <v>HN</v>
          </cell>
        </row>
        <row r="307">
          <cell r="C307">
            <v>0</v>
          </cell>
          <cell r="D307">
            <v>0</v>
          </cell>
          <cell r="E307">
            <v>1</v>
          </cell>
          <cell r="F307">
            <v>0</v>
          </cell>
          <cell r="H307">
            <v>1</v>
          </cell>
          <cell r="O307">
            <v>299562</v>
          </cell>
          <cell r="P307" t="str">
            <v>2022/034-0015-01</v>
          </cell>
          <cell r="Q307" t="str">
            <v>EST ESTANTE VO (C) (MTZ ONIX PRETO) (LAM 2 NOGUEIRA)</v>
          </cell>
          <cell r="R307"/>
          <cell r="S307"/>
          <cell r="T307">
            <v>1.04</v>
          </cell>
          <cell r="U307">
            <v>0.45</v>
          </cell>
          <cell r="V307">
            <v>2.11</v>
          </cell>
          <cell r="W307">
            <v>0</v>
          </cell>
          <cell r="X307" t="str">
            <v>EST ESTANTE VO (C) (MTZ ONIX PRETO) (LAM 2 NOGUEIRA) - 1,04x0,45x2,11H</v>
          </cell>
          <cell r="Y307">
            <v>141393.60999999999</v>
          </cell>
          <cell r="Z307">
            <v>0.35</v>
          </cell>
          <cell r="AA307">
            <v>91905.846499999985</v>
          </cell>
          <cell r="AB307" t="str">
            <v>HN</v>
          </cell>
        </row>
        <row r="308"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H308">
            <v>1</v>
          </cell>
          <cell r="O308">
            <v>374356</v>
          </cell>
          <cell r="P308" t="str">
            <v>2024/026-0019-01</v>
          </cell>
          <cell r="Q308" t="str">
            <v>EST MODULO ANGULAR B/DIR HIMALAYA (CON) COURO FIRENZE 12</v>
          </cell>
          <cell r="R308"/>
          <cell r="S308"/>
          <cell r="T308">
            <v>2</v>
          </cell>
          <cell r="U308">
            <v>1.05</v>
          </cell>
          <cell r="V308">
            <v>0.74</v>
          </cell>
          <cell r="W308">
            <v>0</v>
          </cell>
          <cell r="X308" t="str">
            <v>EST MODULO ANGULAR B/DIR HIMALAYA (CON) COURO FIRENZE 12 - 2x1,05x0,74H</v>
          </cell>
          <cell r="Y308">
            <v>96372.32</v>
          </cell>
          <cell r="Z308">
            <v>0.35</v>
          </cell>
          <cell r="AA308">
            <v>62642.008000000009</v>
          </cell>
          <cell r="AB308" t="str">
            <v>HO</v>
          </cell>
        </row>
        <row r="309"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H309">
            <v>1</v>
          </cell>
          <cell r="O309">
            <v>374357</v>
          </cell>
          <cell r="P309" t="str">
            <v>2024/026-0020-01</v>
          </cell>
          <cell r="Q309" t="str">
            <v>EST MODULO ANGULAR DIR S/B HIMALAYA (CON) COURO FIRENZE 12</v>
          </cell>
          <cell r="R309"/>
          <cell r="S309"/>
          <cell r="T309">
            <v>2</v>
          </cell>
          <cell r="U309">
            <v>1.05</v>
          </cell>
          <cell r="V309">
            <v>0.74</v>
          </cell>
          <cell r="W309">
            <v>0</v>
          </cell>
          <cell r="X309" t="str">
            <v>EST MODULO ANGULAR DIR S/B HIMALAYA (CON) COURO FIRENZE 12 - 2x1,05x0,74H</v>
          </cell>
          <cell r="Y309">
            <v>96372.32</v>
          </cell>
          <cell r="Z309">
            <v>0.35</v>
          </cell>
          <cell r="AA309">
            <v>62642.008000000009</v>
          </cell>
          <cell r="AB309" t="str">
            <v>HO</v>
          </cell>
        </row>
        <row r="310"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H310">
            <v>1</v>
          </cell>
          <cell r="O310">
            <v>374358</v>
          </cell>
          <cell r="P310" t="str">
            <v>2024/026-0021-01</v>
          </cell>
          <cell r="Q310" t="str">
            <v>EST MODULO PUFF HIMALAYA (CON) COURO FIRENZE 12</v>
          </cell>
          <cell r="R310"/>
          <cell r="S310"/>
          <cell r="T310">
            <v>1.05</v>
          </cell>
          <cell r="U310">
            <v>1.05</v>
          </cell>
          <cell r="V310">
            <v>0.42</v>
          </cell>
          <cell r="W310">
            <v>0</v>
          </cell>
          <cell r="X310" t="str">
            <v>EST MODULO PUFF HIMALAYA (CON) COURO FIRENZE 12 - 1,05x1,05x0,42H</v>
          </cell>
          <cell r="Y310">
            <v>96372.32</v>
          </cell>
          <cell r="Z310">
            <v>0.35</v>
          </cell>
          <cell r="AA310">
            <v>62642.008000000009</v>
          </cell>
          <cell r="AB310" t="str">
            <v>HO</v>
          </cell>
        </row>
        <row r="311">
          <cell r="C311">
            <v>0</v>
          </cell>
          <cell r="D311">
            <v>0</v>
          </cell>
          <cell r="E311">
            <v>0</v>
          </cell>
          <cell r="F311">
            <v>1</v>
          </cell>
          <cell r="H311">
            <v>0</v>
          </cell>
          <cell r="O311">
            <v>374370</v>
          </cell>
          <cell r="P311" t="str">
            <v>2024/026-0053-01</v>
          </cell>
          <cell r="Q311" t="str">
            <v>EST MODULO B/ESQ HIMALAYA (CON) (BS C3001) TC CRAFTED GLAZE</v>
          </cell>
          <cell r="R311"/>
          <cell r="S311"/>
          <cell r="T311">
            <v>2.5</v>
          </cell>
          <cell r="U311">
            <v>1.05</v>
          </cell>
          <cell r="V311">
            <v>0.74</v>
          </cell>
          <cell r="W311">
            <v>0</v>
          </cell>
          <cell r="X311" t="str">
            <v>EST MODULO B/ESQ HIMALAYA (CON) (BS C3001) TC CRAFTED GLAZE - 2,5x1,05x0,74H</v>
          </cell>
          <cell r="Y311">
            <v>110525.7015</v>
          </cell>
          <cell r="Z311">
            <v>0.35</v>
          </cell>
          <cell r="AA311">
            <v>71841.70597499999</v>
          </cell>
          <cell r="AB311" t="str">
            <v>HP</v>
          </cell>
        </row>
        <row r="312">
          <cell r="C312">
            <v>0</v>
          </cell>
          <cell r="D312">
            <v>0</v>
          </cell>
          <cell r="E312">
            <v>0</v>
          </cell>
          <cell r="F312">
            <v>1</v>
          </cell>
          <cell r="H312">
            <v>0</v>
          </cell>
          <cell r="O312">
            <v>374371</v>
          </cell>
          <cell r="P312" t="str">
            <v>2024/026-0054-01</v>
          </cell>
          <cell r="Q312" t="str">
            <v>EST MODULO CANTO HIMALAYA (CON) (BS C3001) TC CRAFTED GLAZE</v>
          </cell>
          <cell r="R312"/>
          <cell r="S312"/>
          <cell r="T312">
            <v>1.05</v>
          </cell>
          <cell r="U312">
            <v>1.05</v>
          </cell>
          <cell r="V312">
            <v>0.74</v>
          </cell>
          <cell r="W312">
            <v>0</v>
          </cell>
          <cell r="X312" t="str">
            <v>EST MODULO CANTO HIMALAYA (CON) (BS C3001) TC CRAFTED GLAZE - 1,05x1,05x0,74H</v>
          </cell>
          <cell r="Y312">
            <v>110525.7015</v>
          </cell>
          <cell r="Z312">
            <v>0.35</v>
          </cell>
          <cell r="AA312">
            <v>71841.70597499999</v>
          </cell>
          <cell r="AB312" t="str">
            <v>HP</v>
          </cell>
        </row>
        <row r="313">
          <cell r="C313">
            <v>0</v>
          </cell>
          <cell r="D313">
            <v>0</v>
          </cell>
          <cell r="E313">
            <v>0</v>
          </cell>
          <cell r="F313">
            <v>1</v>
          </cell>
          <cell r="H313">
            <v>0</v>
          </cell>
          <cell r="O313">
            <v>374372</v>
          </cell>
          <cell r="P313" t="str">
            <v>2024/026-0055-01</v>
          </cell>
          <cell r="Q313" t="str">
            <v>EST MODULO S/B HIMALAYA (CON) (BS C3001) TC CRAFTED GLAZE</v>
          </cell>
          <cell r="R313"/>
          <cell r="S313"/>
          <cell r="T313">
            <v>2.5</v>
          </cell>
          <cell r="U313">
            <v>1.05</v>
          </cell>
          <cell r="V313">
            <v>0.74</v>
          </cell>
          <cell r="W313">
            <v>0</v>
          </cell>
          <cell r="X313" t="str">
            <v>EST MODULO S/B HIMALAYA (CON) (BS C3001) TC CRAFTED GLAZE - 2,5x1,05x0,74H</v>
          </cell>
          <cell r="Y313">
            <v>110525.7015</v>
          </cell>
          <cell r="Z313">
            <v>0.35</v>
          </cell>
          <cell r="AA313">
            <v>71841.70597499999</v>
          </cell>
          <cell r="AB313" t="str">
            <v>HP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1</v>
          </cell>
          <cell r="H314">
            <v>0</v>
          </cell>
          <cell r="O314">
            <v>374373</v>
          </cell>
          <cell r="P314" t="str">
            <v>2024/026-0056-01</v>
          </cell>
          <cell r="Q314" t="str">
            <v>EST MODULO PUFF HIMALAYA (CON) (BS C3001) TC CRAFTED GLAZE</v>
          </cell>
          <cell r="R314"/>
          <cell r="S314"/>
          <cell r="T314">
            <v>1.05</v>
          </cell>
          <cell r="U314">
            <v>1.05</v>
          </cell>
          <cell r="V314">
            <v>0.42</v>
          </cell>
          <cell r="W314">
            <v>0</v>
          </cell>
          <cell r="X314" t="str">
            <v>EST MODULO PUFF HIMALAYA (CON) (BS C3001) TC CRAFTED GLAZE - 1,05x1,05x0,42H</v>
          </cell>
          <cell r="Y314">
            <v>110525.7015</v>
          </cell>
          <cell r="Z314">
            <v>0.35</v>
          </cell>
          <cell r="AA314">
            <v>71841.70597499999</v>
          </cell>
          <cell r="AB314" t="str">
            <v>HP</v>
          </cell>
        </row>
        <row r="315"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H315">
            <v>1</v>
          </cell>
          <cell r="O315">
            <v>379534</v>
          </cell>
          <cell r="P315" t="str">
            <v>2024/068-0010-01</v>
          </cell>
          <cell r="Q315" t="str">
            <v>EST MODULO B/DIR MONDRIAN (ESTOF) (C1 CREME/CARV BR) TC 6651</v>
          </cell>
          <cell r="R315"/>
          <cell r="S315"/>
          <cell r="T315">
            <v>1.94</v>
          </cell>
          <cell r="U315">
            <v>1.05</v>
          </cell>
          <cell r="V315">
            <v>0.71</v>
          </cell>
          <cell r="W315">
            <v>0</v>
          </cell>
          <cell r="X315" t="str">
            <v>EST MODULO B/DIR MONDRIAN (ESTOF) (C1 CREME/CARV BR) TC 6651 - 1,94x1,05x0,71H</v>
          </cell>
          <cell r="Y315">
            <v>180845.37999999998</v>
          </cell>
          <cell r="Z315">
            <v>0.35</v>
          </cell>
          <cell r="AA315">
            <v>117549.49699999999</v>
          </cell>
          <cell r="AB315" t="str">
            <v>HQ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H316">
            <v>1</v>
          </cell>
          <cell r="O316">
            <v>379535</v>
          </cell>
          <cell r="P316" t="str">
            <v>2024/068-0011-01</v>
          </cell>
          <cell r="Q316" t="str">
            <v>EST MODULO S/B MONDRIAN (C1 CREME/CARV BR) TC 6651</v>
          </cell>
          <cell r="R316"/>
          <cell r="S316"/>
          <cell r="T316">
            <v>1.8</v>
          </cell>
          <cell r="U316">
            <v>1.05</v>
          </cell>
          <cell r="V316">
            <v>0.71</v>
          </cell>
          <cell r="W316">
            <v>0</v>
          </cell>
          <cell r="X316" t="str">
            <v>EST MODULO S/B MONDRIAN (C1 CREME/CARV BR) TC 6651 - 1,8x1,05x0,71H</v>
          </cell>
          <cell r="Y316">
            <v>180845.37999999998</v>
          </cell>
          <cell r="Z316">
            <v>0.35</v>
          </cell>
          <cell r="AA316">
            <v>117549.49699999999</v>
          </cell>
          <cell r="AB316" t="str">
            <v>HQ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H317">
            <v>1</v>
          </cell>
          <cell r="O317">
            <v>379536</v>
          </cell>
          <cell r="P317" t="str">
            <v>2024/068-0012-01</v>
          </cell>
          <cell r="Q317" t="str">
            <v>EST MODULO B/ESQ MONDRIAN (MISTO) (C1 CREME/CARV) TC 6651</v>
          </cell>
          <cell r="R317"/>
          <cell r="S317"/>
          <cell r="T317">
            <v>1.84</v>
          </cell>
          <cell r="U317">
            <v>1.05</v>
          </cell>
          <cell r="V317">
            <v>0.71</v>
          </cell>
          <cell r="W317">
            <v>0</v>
          </cell>
          <cell r="X317" t="str">
            <v>EST MODULO B/ESQ MONDRIAN (MISTO) (C1 CREME/CARV) TC 6651 - 1,84x1,05x0,71H</v>
          </cell>
          <cell r="Y317">
            <v>180845.37999999998</v>
          </cell>
          <cell r="Z317">
            <v>0.35</v>
          </cell>
          <cell r="AA317">
            <v>117549.49699999999</v>
          </cell>
          <cell r="AB317" t="str">
            <v>HQ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H318">
            <v>1</v>
          </cell>
          <cell r="O318">
            <v>379537</v>
          </cell>
          <cell r="P318" t="str">
            <v>2024/068-0013-01</v>
          </cell>
          <cell r="Q318" t="str">
            <v>EST MODULO PUFF MONDRIAN (C1 CREME/CARV BR) (C1 CREME)</v>
          </cell>
          <cell r="R318"/>
          <cell r="S318"/>
          <cell r="T318">
            <v>1.05</v>
          </cell>
          <cell r="U318">
            <v>1.05</v>
          </cell>
          <cell r="V318">
            <v>0.43</v>
          </cell>
          <cell r="W318">
            <v>0</v>
          </cell>
          <cell r="X318" t="str">
            <v>EST MODULO PUFF MONDRIAN (C1 CREME/CARV BR) (C1 CREME) - 1,05x1,05x0,43H</v>
          </cell>
          <cell r="Y318">
            <v>180845.37999999998</v>
          </cell>
          <cell r="Z318">
            <v>0.35</v>
          </cell>
          <cell r="AA318">
            <v>117549.49699999999</v>
          </cell>
          <cell r="AB318" t="str">
            <v>HQ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H319">
            <v>1</v>
          </cell>
          <cell r="O319">
            <v>379521</v>
          </cell>
          <cell r="P319" t="str">
            <v>2024/068-0003-01</v>
          </cell>
          <cell r="Q319" t="str">
            <v>EST MODULO B/ESQ MONDRIAN (LAM) (C1 SEPIA/NOG) TC 6590</v>
          </cell>
          <cell r="R319"/>
          <cell r="S319"/>
          <cell r="T319">
            <v>1.84</v>
          </cell>
          <cell r="U319">
            <v>1.05</v>
          </cell>
          <cell r="V319">
            <v>0.71</v>
          </cell>
          <cell r="W319">
            <v>0</v>
          </cell>
          <cell r="X319" t="str">
            <v>EST MODULO B/ESQ MONDRIAN (LAM) (C1 SEPIA/NOG) TC 6590 - 1,84x1,05x0,71H</v>
          </cell>
          <cell r="Y319">
            <v>109172.4</v>
          </cell>
          <cell r="Z319">
            <v>0.35</v>
          </cell>
          <cell r="AA319">
            <v>70962.06</v>
          </cell>
          <cell r="AB319" t="str">
            <v>HR</v>
          </cell>
        </row>
        <row r="320"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H320">
            <v>1</v>
          </cell>
          <cell r="O320">
            <v>379522</v>
          </cell>
          <cell r="P320" t="str">
            <v>2024/068-0004-01</v>
          </cell>
          <cell r="Q320" t="str">
            <v>EST MODULO B/DIR MONDRIAN (LAM) (C1 SEPIA/NOG) TC 6590</v>
          </cell>
          <cell r="R320"/>
          <cell r="S320"/>
          <cell r="T320">
            <v>1.84</v>
          </cell>
          <cell r="U320">
            <v>1.05</v>
          </cell>
          <cell r="V320">
            <v>0.71</v>
          </cell>
          <cell r="W320">
            <v>0</v>
          </cell>
          <cell r="X320" t="str">
            <v>EST MODULO B/DIR MONDRIAN (LAM) (C1 SEPIA/NOG) TC 6590 - 1,84x1,05x0,71H</v>
          </cell>
          <cell r="Y320">
            <v>109172.4</v>
          </cell>
          <cell r="Z320">
            <v>0.35</v>
          </cell>
          <cell r="AA320">
            <v>70962.06</v>
          </cell>
          <cell r="AB320" t="str">
            <v>HR</v>
          </cell>
        </row>
        <row r="321"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H321">
            <v>1</v>
          </cell>
          <cell r="O321">
            <v>379519</v>
          </cell>
          <cell r="P321" t="str">
            <v>2024/068-0001-01</v>
          </cell>
          <cell r="Q321" t="str">
            <v>EST MODULO B/ESQ MONDRIAN (ESTOF) (C1 SEPIA/NOG) TC 6590</v>
          </cell>
          <cell r="R321"/>
          <cell r="S321"/>
          <cell r="T321">
            <v>1.94</v>
          </cell>
          <cell r="U321">
            <v>1.05</v>
          </cell>
          <cell r="V321">
            <v>0.71</v>
          </cell>
          <cell r="W321">
            <v>0</v>
          </cell>
          <cell r="X321" t="str">
            <v>EST MODULO B/ESQ MONDRIAN (ESTOF) (C1 SEPIA/NOG) TC 6590 - 1,94x1,05x0,71H</v>
          </cell>
          <cell r="Y321">
            <v>104737.84</v>
          </cell>
          <cell r="Z321">
            <v>0.35</v>
          </cell>
          <cell r="AA321">
            <v>68079.59599999999</v>
          </cell>
          <cell r="AB321" t="str">
            <v>HS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H322">
            <v>1</v>
          </cell>
          <cell r="O322">
            <v>379520</v>
          </cell>
          <cell r="P322" t="str">
            <v>2024/068-0002-01</v>
          </cell>
          <cell r="Q322" t="str">
            <v>EST MODULO B/DIR MONDRIAN (ESTOF) (C1 SEPIA/NOG) TC 6590</v>
          </cell>
          <cell r="R322"/>
          <cell r="S322"/>
          <cell r="T322">
            <v>1.94</v>
          </cell>
          <cell r="U322">
            <v>1.05</v>
          </cell>
          <cell r="V322">
            <v>0.71</v>
          </cell>
          <cell r="W322">
            <v>0</v>
          </cell>
          <cell r="X322" t="str">
            <v>EST MODULO B/DIR MONDRIAN (ESTOF) (C1 SEPIA/NOG) TC 6590 - 1,94x1,05x0,71H</v>
          </cell>
          <cell r="Y322">
            <v>104737.84</v>
          </cell>
          <cell r="Z322">
            <v>0.35</v>
          </cell>
          <cell r="AA322">
            <v>68079.59599999999</v>
          </cell>
          <cell r="AB322" t="str">
            <v>HS</v>
          </cell>
        </row>
        <row r="323">
          <cell r="C323">
            <v>1</v>
          </cell>
          <cell r="D323">
            <v>0</v>
          </cell>
          <cell r="E323">
            <v>0</v>
          </cell>
          <cell r="F323">
            <v>2</v>
          </cell>
          <cell r="H323">
            <v>2</v>
          </cell>
          <cell r="O323">
            <v>379864</v>
          </cell>
          <cell r="P323" t="str">
            <v>2024/068-0026-01</v>
          </cell>
          <cell r="Q323" t="str">
            <v>EST BASE CENTRO MONDRIAN (LAMINA NOGUEIRA)</v>
          </cell>
          <cell r="R323"/>
          <cell r="S323"/>
          <cell r="T323">
            <v>0.9</v>
          </cell>
          <cell r="U323">
            <v>0.9</v>
          </cell>
          <cell r="V323">
            <v>0.24</v>
          </cell>
          <cell r="W323">
            <v>0</v>
          </cell>
          <cell r="X323" t="str">
            <v>EST BASE CENTRO MONDRIAN (LAMINA NOGUEIRA) - 0,9x0,9x0,24H</v>
          </cell>
          <cell r="Y323">
            <v>22325.91</v>
          </cell>
          <cell r="Z323">
            <v>0.35</v>
          </cell>
          <cell r="AA323">
            <v>14511.8415</v>
          </cell>
          <cell r="AB323" t="str">
            <v>HT</v>
          </cell>
        </row>
        <row r="324">
          <cell r="C324">
            <v>1</v>
          </cell>
          <cell r="D324">
            <v>0</v>
          </cell>
          <cell r="E324">
            <v>0</v>
          </cell>
          <cell r="F324">
            <v>0</v>
          </cell>
          <cell r="H324">
            <v>1</v>
          </cell>
          <cell r="O324">
            <v>381897</v>
          </cell>
          <cell r="P324" t="str">
            <v>2024/068-0061-01</v>
          </cell>
          <cell r="Q324" t="str">
            <v>EST TAMPO MONDRIAN (PEDRA 1) (BRANCO PARANA POLIDO)</v>
          </cell>
          <cell r="R324"/>
          <cell r="S324"/>
          <cell r="T324">
            <v>0.87</v>
          </cell>
          <cell r="U324">
            <v>0.6</v>
          </cell>
          <cell r="V324">
            <v>0.02</v>
          </cell>
          <cell r="W324">
            <v>0</v>
          </cell>
          <cell r="X324" t="str">
            <v>EST TAMPO MONDRIAN (PEDRA 1) (BRANCO PARANA POLIDO) - 0,87x0,6x0,02H</v>
          </cell>
          <cell r="Y324">
            <v>22325.91</v>
          </cell>
          <cell r="Z324">
            <v>0.35</v>
          </cell>
          <cell r="AA324">
            <v>14511.8415</v>
          </cell>
          <cell r="AB324" t="str">
            <v>HT</v>
          </cell>
        </row>
        <row r="325">
          <cell r="C325">
            <v>1</v>
          </cell>
          <cell r="D325">
            <v>0</v>
          </cell>
          <cell r="E325">
            <v>0</v>
          </cell>
          <cell r="F325">
            <v>2</v>
          </cell>
          <cell r="H325">
            <v>2</v>
          </cell>
          <cell r="O325">
            <v>379864</v>
          </cell>
          <cell r="P325" t="str">
            <v>2024/068-0027-01</v>
          </cell>
          <cell r="Q325" t="str">
            <v>EST BASE CENTRO MONDRIAN (LAMINA NOGUEIRA)</v>
          </cell>
          <cell r="R325"/>
          <cell r="S325"/>
          <cell r="T325">
            <v>0.9</v>
          </cell>
          <cell r="U325">
            <v>0.9</v>
          </cell>
          <cell r="V325">
            <v>0.24</v>
          </cell>
          <cell r="W325">
            <v>0</v>
          </cell>
          <cell r="X325" t="str">
            <v>EST BASE CENTRO MONDRIAN (LAMINA NOGUEIRA) - 0,9x0,9x0,24H</v>
          </cell>
          <cell r="Y325">
            <v>22325.91</v>
          </cell>
          <cell r="Z325">
            <v>0.35</v>
          </cell>
          <cell r="AA325">
            <v>14511.8415</v>
          </cell>
          <cell r="AB325" t="str">
            <v>HU</v>
          </cell>
        </row>
        <row r="326">
          <cell r="C326">
            <v>0</v>
          </cell>
          <cell r="D326">
            <v>0</v>
          </cell>
          <cell r="E326">
            <v>0</v>
          </cell>
          <cell r="F326">
            <v>2</v>
          </cell>
          <cell r="H326">
            <v>1</v>
          </cell>
          <cell r="O326">
            <v>379866</v>
          </cell>
          <cell r="P326" t="str">
            <v>2024/068-0031-01</v>
          </cell>
          <cell r="Q326" t="str">
            <v>EST TAMPO MONDRIAN (PEDRA 1) (BRANCO PARANA LEVIGADO)</v>
          </cell>
          <cell r="R326"/>
          <cell r="S326"/>
          <cell r="T326">
            <v>0.87</v>
          </cell>
          <cell r="U326">
            <v>0.6</v>
          </cell>
          <cell r="V326">
            <v>0.02</v>
          </cell>
          <cell r="W326">
            <v>0</v>
          </cell>
          <cell r="X326" t="str">
            <v>EST TAMPO MONDRIAN (PEDRA 1) (BRANCO PARANA LEVIGADO) - 0,87x0,6x0,02H</v>
          </cell>
          <cell r="Y326">
            <v>22325.91</v>
          </cell>
          <cell r="Z326">
            <v>0.35</v>
          </cell>
          <cell r="AA326">
            <v>14511.8415</v>
          </cell>
          <cell r="AB326" t="str">
            <v>HU</v>
          </cell>
        </row>
        <row r="327">
          <cell r="C327">
            <v>1</v>
          </cell>
          <cell r="D327">
            <v>0</v>
          </cell>
          <cell r="E327">
            <v>0</v>
          </cell>
          <cell r="F327">
            <v>2</v>
          </cell>
          <cell r="H327">
            <v>2</v>
          </cell>
          <cell r="O327">
            <v>379864</v>
          </cell>
          <cell r="P327" t="str">
            <v>2024/068-0029-01</v>
          </cell>
          <cell r="Q327" t="str">
            <v>EST BASE CENTRO MONDRIAN (LAMINA NOGUEIRA)</v>
          </cell>
          <cell r="R327"/>
          <cell r="S327"/>
          <cell r="T327">
            <v>0.9</v>
          </cell>
          <cell r="U327">
            <v>0.9</v>
          </cell>
          <cell r="V327">
            <v>0.24</v>
          </cell>
          <cell r="W327">
            <v>0</v>
          </cell>
          <cell r="X327" t="str">
            <v>EST BASE CENTRO MONDRIAN (LAMINA NOGUEIRA) - 0,9x0,9x0,24H</v>
          </cell>
          <cell r="Y327">
            <v>22325.91</v>
          </cell>
          <cell r="Z327">
            <v>0.35</v>
          </cell>
          <cell r="AA327">
            <v>14511.8415</v>
          </cell>
          <cell r="AB327" t="str">
            <v>HV</v>
          </cell>
        </row>
        <row r="328">
          <cell r="C328">
            <v>0</v>
          </cell>
          <cell r="D328">
            <v>0</v>
          </cell>
          <cell r="E328">
            <v>0</v>
          </cell>
          <cell r="F328">
            <v>2</v>
          </cell>
          <cell r="H328">
            <v>1</v>
          </cell>
          <cell r="O328">
            <v>379866</v>
          </cell>
          <cell r="P328" t="str">
            <v>2024/068-0032-01</v>
          </cell>
          <cell r="Q328" t="str">
            <v>EST TAMPO MONDRIAN (PEDRA 1) (BRANCO PARANA LEVIGADO)</v>
          </cell>
          <cell r="R328"/>
          <cell r="S328"/>
          <cell r="T328">
            <v>0.87</v>
          </cell>
          <cell r="U328">
            <v>0.6</v>
          </cell>
          <cell r="V328">
            <v>0.02</v>
          </cell>
          <cell r="W328">
            <v>0</v>
          </cell>
          <cell r="X328" t="str">
            <v>EST TAMPO MONDRIAN (PEDRA 1) (BRANCO PARANA LEVIGADO) - 0,87x0,6x0,02H</v>
          </cell>
          <cell r="Y328">
            <v>22325.91</v>
          </cell>
          <cell r="Z328">
            <v>0.35</v>
          </cell>
          <cell r="AA328">
            <v>14511.8415</v>
          </cell>
          <cell r="AB328" t="str">
            <v>HV</v>
          </cell>
        </row>
        <row r="329"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H329">
            <v>4</v>
          </cell>
          <cell r="O329">
            <v>379868</v>
          </cell>
          <cell r="P329" t="str">
            <v>2024/068-0045-01</v>
          </cell>
          <cell r="Q329" t="str">
            <v>EST BASE CENTRO MONDRIAN (LAMINA CARV BRANCO)</v>
          </cell>
          <cell r="R329"/>
          <cell r="S329"/>
          <cell r="T329">
            <v>1.8</v>
          </cell>
          <cell r="U329">
            <v>0.45</v>
          </cell>
          <cell r="V329">
            <v>0.24</v>
          </cell>
          <cell r="W329">
            <v>0</v>
          </cell>
          <cell r="X329" t="str">
            <v>EST BASE CENTRO MONDRIAN (LAMINA CARV BRANCO) - 1,8x0,45x0,24H</v>
          </cell>
          <cell r="Y329">
            <v>23418.53</v>
          </cell>
          <cell r="Z329">
            <v>0.35</v>
          </cell>
          <cell r="AA329">
            <v>15222.0445</v>
          </cell>
          <cell r="AB329" t="str">
            <v>HX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H330">
            <v>2</v>
          </cell>
          <cell r="O330">
            <v>379870</v>
          </cell>
          <cell r="P330" t="str">
            <v>2024/068-0084-01</v>
          </cell>
          <cell r="Q330" t="str">
            <v>EST TAMPO MONDRIAN (PEDRA 1) (EMERALD GREEN)</v>
          </cell>
          <cell r="R330"/>
          <cell r="S330"/>
          <cell r="T330">
            <v>1.47</v>
          </cell>
          <cell r="U330">
            <v>0.42</v>
          </cell>
          <cell r="V330">
            <v>0.02</v>
          </cell>
          <cell r="W330">
            <v>0</v>
          </cell>
          <cell r="X330" t="str">
            <v>EST TAMPO MONDRIAN (PEDRA 1) (EMERALD GREEN) - 1,47x0,42x0,02H</v>
          </cell>
          <cell r="Y330">
            <v>23418.53</v>
          </cell>
          <cell r="Z330">
            <v>0.35</v>
          </cell>
          <cell r="AA330">
            <v>15222.0445</v>
          </cell>
          <cell r="AB330" t="str">
            <v>HX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H331">
            <v>4</v>
          </cell>
          <cell r="O331">
            <v>379868</v>
          </cell>
          <cell r="P331" t="str">
            <v>2024/068-0046-01</v>
          </cell>
          <cell r="Q331" t="str">
            <v>EST BASE CENTRO MONDRIAN (LAMINA CARV BRANCO)</v>
          </cell>
          <cell r="R331"/>
          <cell r="S331"/>
          <cell r="T331">
            <v>1.8</v>
          </cell>
          <cell r="U331">
            <v>0.45</v>
          </cell>
          <cell r="V331">
            <v>0.24</v>
          </cell>
          <cell r="W331">
            <v>0</v>
          </cell>
          <cell r="X331" t="str">
            <v>EST BASE CENTRO MONDRIAN (LAMINA CARV BRANCO) - 1,8x0,45x0,24H</v>
          </cell>
          <cell r="Y331">
            <v>23418.53</v>
          </cell>
          <cell r="Z331">
            <v>0.35</v>
          </cell>
          <cell r="AA331">
            <v>15222.0445</v>
          </cell>
          <cell r="AB331" t="str">
            <v>HY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H332">
            <v>2</v>
          </cell>
          <cell r="O332">
            <v>379870</v>
          </cell>
          <cell r="P332" t="str">
            <v>2024/068-0085-01</v>
          </cell>
          <cell r="Q332" t="str">
            <v>EST TAMPO MONDRIAN (PEDRA 1) (EMERALD GREEN)</v>
          </cell>
          <cell r="R332"/>
          <cell r="S332"/>
          <cell r="T332">
            <v>1.47</v>
          </cell>
          <cell r="U332">
            <v>0.42</v>
          </cell>
          <cell r="V332">
            <v>0.02</v>
          </cell>
          <cell r="W332">
            <v>0</v>
          </cell>
          <cell r="X332" t="str">
            <v>EST TAMPO MONDRIAN (PEDRA 1) (EMERALD GREEN) - 1,47x0,42x0,02H</v>
          </cell>
          <cell r="Y332">
            <v>23418.53</v>
          </cell>
          <cell r="Z332">
            <v>0.35</v>
          </cell>
          <cell r="AA332">
            <v>15222.0445</v>
          </cell>
          <cell r="AB332" t="str">
            <v>HY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1</v>
          </cell>
          <cell r="H333">
            <v>0</v>
          </cell>
          <cell r="O333">
            <v>379539</v>
          </cell>
          <cell r="P333" t="str">
            <v>2024/068-0014-01</v>
          </cell>
          <cell r="Q333" t="str">
            <v>EST BASE ESCRIVANINHA MONDRIAN (LAM NOG)</v>
          </cell>
          <cell r="R333"/>
          <cell r="S333"/>
          <cell r="T333">
            <v>1.8</v>
          </cell>
          <cell r="U333">
            <v>0.45</v>
          </cell>
          <cell r="V333">
            <v>0.7</v>
          </cell>
          <cell r="W333">
            <v>0</v>
          </cell>
          <cell r="X333" t="str">
            <v>EST BASE ESCRIVANINHA MONDRIAN (LAM NOG) - 1,8x0,45x0,7H</v>
          </cell>
          <cell r="Y333">
            <v>38902.17</v>
          </cell>
          <cell r="Z333">
            <v>0.35</v>
          </cell>
          <cell r="AA333">
            <v>25286.410499999998</v>
          </cell>
          <cell r="AB333" t="str">
            <v>HZ</v>
          </cell>
        </row>
        <row r="334">
          <cell r="C334">
            <v>1</v>
          </cell>
          <cell r="D334">
            <v>0</v>
          </cell>
          <cell r="E334">
            <v>0</v>
          </cell>
          <cell r="F334">
            <v>1</v>
          </cell>
          <cell r="H334">
            <v>0</v>
          </cell>
          <cell r="O334">
            <v>379880</v>
          </cell>
          <cell r="P334" t="str">
            <v>2024/068-0048-01</v>
          </cell>
          <cell r="Q334" t="str">
            <v>EST TAMPO MONDRIAN (PEDRA 2) (QUARTZITO BRONZITE)</v>
          </cell>
          <cell r="R334"/>
          <cell r="S334"/>
          <cell r="T334">
            <v>1.2</v>
          </cell>
          <cell r="U334">
            <v>0.42</v>
          </cell>
          <cell r="V334">
            <v>0.02</v>
          </cell>
          <cell r="W334">
            <v>0</v>
          </cell>
          <cell r="X334" t="str">
            <v>EST TAMPO MONDRIAN (PEDRA 2) (QUARTZITO BRONZITE) - 1,2x0,42x0,02H</v>
          </cell>
          <cell r="Y334">
            <v>38902.17</v>
          </cell>
          <cell r="Z334">
            <v>0.35</v>
          </cell>
          <cell r="AA334">
            <v>25286.410499999998</v>
          </cell>
          <cell r="AB334" t="str">
            <v>HZ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H335">
            <v>1</v>
          </cell>
          <cell r="O335">
            <v>300467</v>
          </cell>
          <cell r="P335" t="str">
            <v>2021/295-0011-01</v>
          </cell>
          <cell r="Q335" t="str">
            <v>EST MODULO CHAISE S/BRACO PARATY (FX 50041) (BLACK GLOSS)</v>
          </cell>
          <cell r="R335"/>
          <cell r="S335"/>
          <cell r="T335">
            <v>0.9</v>
          </cell>
          <cell r="U335">
            <v>1.77</v>
          </cell>
          <cell r="V335">
            <v>0.77</v>
          </cell>
          <cell r="W335">
            <v>0</v>
          </cell>
          <cell r="X335" t="str">
            <v>EST MODULO CHAISE S/BRACO PARATY (FX 50041) (BLACK GLOSS) - 0,9x1,77x0,77H</v>
          </cell>
          <cell r="Y335">
            <v>86407.75999999998</v>
          </cell>
          <cell r="Z335">
            <v>0.35</v>
          </cell>
          <cell r="AA335">
            <v>56165.043999999994</v>
          </cell>
          <cell r="AB335" t="str">
            <v>I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H336">
            <v>3</v>
          </cell>
          <cell r="O336">
            <v>300469</v>
          </cell>
          <cell r="P336" t="str">
            <v>2021/295-0012-01</v>
          </cell>
          <cell r="Q336" t="str">
            <v>EST ALMOFADA BRACO PARATY (FX 50041) (BLACK GLOSS)</v>
          </cell>
          <cell r="R336"/>
          <cell r="S336"/>
          <cell r="T336">
            <v>0.52</v>
          </cell>
          <cell r="U336">
            <v>0.23</v>
          </cell>
          <cell r="V336">
            <v>0.14000000000000001</v>
          </cell>
          <cell r="W336">
            <v>0</v>
          </cell>
          <cell r="X336" t="str">
            <v>EST ALMOFADA BRACO PARATY (FX 50041) (BLACK GLOSS) - 0,52x0,23x0,14H</v>
          </cell>
          <cell r="Y336">
            <v>86407.75999999998</v>
          </cell>
          <cell r="Z336">
            <v>0.35</v>
          </cell>
          <cell r="AA336">
            <v>56165.043999999994</v>
          </cell>
          <cell r="AB336" t="str">
            <v>I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H337">
            <v>3</v>
          </cell>
          <cell r="O337">
            <v>300469</v>
          </cell>
          <cell r="P337" t="str">
            <v>2021/295-0013-01</v>
          </cell>
          <cell r="Q337" t="str">
            <v>EST ALMOFADA BRACO PARATY (FX 50041) (BLACK GLOSS)</v>
          </cell>
          <cell r="R337"/>
          <cell r="S337"/>
          <cell r="T337">
            <v>0.52</v>
          </cell>
          <cell r="U337">
            <v>0.23</v>
          </cell>
          <cell r="V337">
            <v>0.14000000000000001</v>
          </cell>
          <cell r="W337">
            <v>0</v>
          </cell>
          <cell r="X337" t="str">
            <v>EST ALMOFADA BRACO PARATY (FX 50041) (BLACK GLOSS) - 0,52x0,23x0,14H</v>
          </cell>
          <cell r="Y337">
            <v>86407.75999999998</v>
          </cell>
          <cell r="Z337">
            <v>0.35</v>
          </cell>
          <cell r="AA337">
            <v>56165.043999999994</v>
          </cell>
          <cell r="AB337" t="str">
            <v>I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H338">
            <v>3</v>
          </cell>
          <cell r="O338">
            <v>300469</v>
          </cell>
          <cell r="P338" t="str">
            <v>2021/295-0014-01</v>
          </cell>
          <cell r="Q338" t="str">
            <v>EST ALMOFADA BRACO PARATY (FX 50041) (BLACK GLOSS)</v>
          </cell>
          <cell r="R338"/>
          <cell r="S338"/>
          <cell r="T338">
            <v>0.52</v>
          </cell>
          <cell r="U338">
            <v>0.23</v>
          </cell>
          <cell r="V338">
            <v>0.14000000000000001</v>
          </cell>
          <cell r="W338">
            <v>0</v>
          </cell>
          <cell r="X338" t="str">
            <v>EST ALMOFADA BRACO PARATY (FX 50041) (BLACK GLOSS) - 0,52x0,23x0,14H</v>
          </cell>
          <cell r="Y338">
            <v>86407.75999999998</v>
          </cell>
          <cell r="Z338">
            <v>0.35</v>
          </cell>
          <cell r="AA338">
            <v>56165.043999999994</v>
          </cell>
          <cell r="AB338" t="str">
            <v>I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H339">
            <v>6</v>
          </cell>
          <cell r="O339">
            <v>300470</v>
          </cell>
          <cell r="P339" t="str">
            <v>2021/295-0015-01</v>
          </cell>
          <cell r="Q339" t="str">
            <v>EST ALMOFADA ENCOSTO PARATY (FX 50041)</v>
          </cell>
          <cell r="R339"/>
          <cell r="S339"/>
          <cell r="T339">
            <v>0.65</v>
          </cell>
          <cell r="U339">
            <v>0.65</v>
          </cell>
          <cell r="V339">
            <v>0</v>
          </cell>
          <cell r="W339">
            <v>0</v>
          </cell>
          <cell r="X339" t="str">
            <v>EST ALMOFADA ENCOSTO PARATY (FX 50041) - 0,65x0,65x0H</v>
          </cell>
          <cell r="Y339">
            <v>86407.75999999998</v>
          </cell>
          <cell r="Z339">
            <v>0.35</v>
          </cell>
          <cell r="AA339">
            <v>56165.043999999994</v>
          </cell>
          <cell r="AB339" t="str">
            <v>I</v>
          </cell>
        </row>
        <row r="340"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H340">
            <v>6</v>
          </cell>
          <cell r="O340">
            <v>300470</v>
          </cell>
          <cell r="P340" t="str">
            <v>2021/295-0016-01</v>
          </cell>
          <cell r="Q340" t="str">
            <v>EST ALMOFADA ENCOSTO PARATY (FX 50041)</v>
          </cell>
          <cell r="R340"/>
          <cell r="S340"/>
          <cell r="T340">
            <v>0.65</v>
          </cell>
          <cell r="U340">
            <v>0.65</v>
          </cell>
          <cell r="V340">
            <v>0</v>
          </cell>
          <cell r="W340">
            <v>0</v>
          </cell>
          <cell r="X340" t="str">
            <v>EST ALMOFADA ENCOSTO PARATY (FX 50041) - 0,65x0,65x0H</v>
          </cell>
          <cell r="Y340">
            <v>86407.75999999998</v>
          </cell>
          <cell r="Z340">
            <v>0.35</v>
          </cell>
          <cell r="AA340">
            <v>56165.043999999994</v>
          </cell>
          <cell r="AB340" t="str">
            <v>I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H341">
            <v>6</v>
          </cell>
          <cell r="O341">
            <v>300470</v>
          </cell>
          <cell r="P341" t="str">
            <v>2021/295-0017-01</v>
          </cell>
          <cell r="Q341" t="str">
            <v>EST ALMOFADA ENCOSTO PARATY (FX 50041)</v>
          </cell>
          <cell r="R341"/>
          <cell r="S341"/>
          <cell r="T341">
            <v>0.65</v>
          </cell>
          <cell r="U341">
            <v>0.65</v>
          </cell>
          <cell r="V341">
            <v>0</v>
          </cell>
          <cell r="W341">
            <v>0</v>
          </cell>
          <cell r="X341" t="str">
            <v>EST ALMOFADA ENCOSTO PARATY (FX 50041) - 0,65x0,65x0H</v>
          </cell>
          <cell r="Y341">
            <v>86407.75999999998</v>
          </cell>
          <cell r="Z341">
            <v>0.35</v>
          </cell>
          <cell r="AA341">
            <v>56165.043999999994</v>
          </cell>
          <cell r="AB341" t="str">
            <v>I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H342">
            <v>6</v>
          </cell>
          <cell r="O342">
            <v>300470</v>
          </cell>
          <cell r="P342" t="str">
            <v>2021/295-0018-01</v>
          </cell>
          <cell r="Q342" t="str">
            <v>EST ALMOFADA ENCOSTO PARATY (FX 50041)</v>
          </cell>
          <cell r="R342"/>
          <cell r="S342"/>
          <cell r="T342">
            <v>0.65</v>
          </cell>
          <cell r="U342">
            <v>0.65</v>
          </cell>
          <cell r="V342">
            <v>0</v>
          </cell>
          <cell r="W342">
            <v>0</v>
          </cell>
          <cell r="X342" t="str">
            <v>EST ALMOFADA ENCOSTO PARATY (FX 50041) - 0,65x0,65x0H</v>
          </cell>
          <cell r="Y342">
            <v>86407.75999999998</v>
          </cell>
          <cell r="Z342">
            <v>0.35</v>
          </cell>
          <cell r="AA342">
            <v>56165.043999999994</v>
          </cell>
          <cell r="AB342" t="str">
            <v>I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H343">
            <v>6</v>
          </cell>
          <cell r="O343">
            <v>300470</v>
          </cell>
          <cell r="P343" t="str">
            <v>2021/295-0019-01</v>
          </cell>
          <cell r="Q343" t="str">
            <v>EST ALMOFADA ENCOSTO PARATY (FX 50041)</v>
          </cell>
          <cell r="R343"/>
          <cell r="S343"/>
          <cell r="T343">
            <v>0.65</v>
          </cell>
          <cell r="U343">
            <v>0.65</v>
          </cell>
          <cell r="V343">
            <v>0</v>
          </cell>
          <cell r="W343">
            <v>0</v>
          </cell>
          <cell r="X343" t="str">
            <v>EST ALMOFADA ENCOSTO PARATY (FX 50041) - 0,65x0,65x0H</v>
          </cell>
          <cell r="Y343">
            <v>86407.75999999998</v>
          </cell>
          <cell r="Z343">
            <v>0.35</v>
          </cell>
          <cell r="AA343">
            <v>56165.043999999994</v>
          </cell>
          <cell r="AB343" t="str">
            <v>I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H344">
            <v>6</v>
          </cell>
          <cell r="O344">
            <v>300470</v>
          </cell>
          <cell r="P344" t="str">
            <v>2021/295-0020-01</v>
          </cell>
          <cell r="Q344" t="str">
            <v>EST ALMOFADA ENCOSTO PARATY (FX 50041)</v>
          </cell>
          <cell r="R344"/>
          <cell r="S344"/>
          <cell r="T344">
            <v>0.65</v>
          </cell>
          <cell r="U344">
            <v>0.65</v>
          </cell>
          <cell r="V344">
            <v>0</v>
          </cell>
          <cell r="W344">
            <v>0</v>
          </cell>
          <cell r="X344" t="str">
            <v>EST ALMOFADA ENCOSTO PARATY (FX 50041) - 0,65x0,65x0H</v>
          </cell>
          <cell r="Y344">
            <v>86407.75999999998</v>
          </cell>
          <cell r="Z344">
            <v>0.35</v>
          </cell>
          <cell r="AA344">
            <v>56165.043999999994</v>
          </cell>
          <cell r="AB344" t="str">
            <v>I</v>
          </cell>
        </row>
        <row r="345"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H345">
            <v>3</v>
          </cell>
          <cell r="O345">
            <v>300471</v>
          </cell>
          <cell r="P345" t="str">
            <v>2021/295-0021-01</v>
          </cell>
          <cell r="Q345" t="str">
            <v>EST MODULO PUFF PARATY (FX 50041) (BLACK GLOSS)</v>
          </cell>
          <cell r="R345"/>
          <cell r="S345"/>
          <cell r="T345">
            <v>0.9</v>
          </cell>
          <cell r="U345">
            <v>0.72</v>
          </cell>
          <cell r="V345">
            <v>0.4</v>
          </cell>
          <cell r="W345">
            <v>0</v>
          </cell>
          <cell r="X345" t="str">
            <v>EST MODULO PUFF PARATY (FX 50041) (BLACK GLOSS) - 0,9x0,72x0,4H</v>
          </cell>
          <cell r="Y345">
            <v>86407.75999999998</v>
          </cell>
          <cell r="Z345">
            <v>0.35</v>
          </cell>
          <cell r="AA345">
            <v>56165.043999999994</v>
          </cell>
          <cell r="AB345" t="str">
            <v>I</v>
          </cell>
        </row>
        <row r="346"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H346">
            <v>3</v>
          </cell>
          <cell r="O346">
            <v>300471</v>
          </cell>
          <cell r="P346" t="str">
            <v>2021/295-0022-01</v>
          </cell>
          <cell r="Q346" t="str">
            <v>EST MODULO PUFF PARATY (FX 50041) (BLACK GLOSS)</v>
          </cell>
          <cell r="R346"/>
          <cell r="S346"/>
          <cell r="T346">
            <v>0.9</v>
          </cell>
          <cell r="U346">
            <v>0.72</v>
          </cell>
          <cell r="V346">
            <v>0.4</v>
          </cell>
          <cell r="W346">
            <v>0</v>
          </cell>
          <cell r="X346" t="str">
            <v>EST MODULO PUFF PARATY (FX 50041) (BLACK GLOSS) - 0,9x0,72x0,4H</v>
          </cell>
          <cell r="Y346">
            <v>86407.75999999998</v>
          </cell>
          <cell r="Z346">
            <v>0.35</v>
          </cell>
          <cell r="AA346">
            <v>56165.043999999994</v>
          </cell>
          <cell r="AB346" t="str">
            <v>I</v>
          </cell>
        </row>
        <row r="347"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H347">
            <v>3</v>
          </cell>
          <cell r="O347">
            <v>300471</v>
          </cell>
          <cell r="P347" t="str">
            <v>2021/295-0023-01</v>
          </cell>
          <cell r="Q347" t="str">
            <v>EST MODULO PUFF PARATY (FX 50041) (BLACK GLOSS)</v>
          </cell>
          <cell r="R347"/>
          <cell r="S347"/>
          <cell r="T347">
            <v>0.9</v>
          </cell>
          <cell r="U347">
            <v>0.72</v>
          </cell>
          <cell r="V347">
            <v>0.4</v>
          </cell>
          <cell r="W347">
            <v>0</v>
          </cell>
          <cell r="X347" t="str">
            <v>EST MODULO PUFF PARATY (FX 50041) (BLACK GLOSS) - 0,9x0,72x0,4H</v>
          </cell>
          <cell r="Y347">
            <v>86407.75999999998</v>
          </cell>
          <cell r="Z347">
            <v>0.35</v>
          </cell>
          <cell r="AA347">
            <v>56165.043999999994</v>
          </cell>
          <cell r="AB347" t="str">
            <v>I</v>
          </cell>
        </row>
        <row r="348"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H348">
            <v>1</v>
          </cell>
          <cell r="O348">
            <v>300472</v>
          </cell>
          <cell r="P348" t="str">
            <v>2021/295-0024-01</v>
          </cell>
          <cell r="Q348" t="str">
            <v>EST PUFF PARATY (FX 50041) (BLACK GLOSS)</v>
          </cell>
          <cell r="R348"/>
          <cell r="S348"/>
          <cell r="T348">
            <v>1.77</v>
          </cell>
          <cell r="U348">
            <v>0.75</v>
          </cell>
          <cell r="V348">
            <v>0.4</v>
          </cell>
          <cell r="W348">
            <v>0</v>
          </cell>
          <cell r="X348" t="str">
            <v>EST PUFF PARATY (FX 50041) (BLACK GLOSS) - 1,77x0,75x0,4H</v>
          </cell>
          <cell r="Y348">
            <v>86407.75999999998</v>
          </cell>
          <cell r="Z348">
            <v>0.35</v>
          </cell>
          <cell r="AA348">
            <v>56165.043999999994</v>
          </cell>
          <cell r="AB348" t="str">
            <v>I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H349">
            <v>1</v>
          </cell>
          <cell r="O349">
            <v>300476</v>
          </cell>
          <cell r="P349" t="str">
            <v>2021/295-0025-01</v>
          </cell>
          <cell r="Q349" t="str">
            <v>EST MODULO S/BRACO C/ENCOSTO PARATY (FX 50041) (BLACK GLOSS)</v>
          </cell>
          <cell r="R349"/>
          <cell r="S349"/>
          <cell r="T349">
            <v>1.8</v>
          </cell>
          <cell r="U349">
            <v>1</v>
          </cell>
          <cell r="V349">
            <v>0.77</v>
          </cell>
          <cell r="W349">
            <v>0</v>
          </cell>
          <cell r="X349" t="str">
            <v>EST MODULO S/BRACO C/ENCOSTO PARATY (FX 50041) (BLACK GLOSS) - 1,8x1x0,77H</v>
          </cell>
          <cell r="Y349">
            <v>86407.75999999998</v>
          </cell>
          <cell r="Z349">
            <v>0.35</v>
          </cell>
          <cell r="AA349">
            <v>56165.043999999994</v>
          </cell>
          <cell r="AB349" t="str">
            <v>I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H350">
            <v>1</v>
          </cell>
          <cell r="O350">
            <v>379526</v>
          </cell>
          <cell r="P350" t="str">
            <v>2024/068-0016-01</v>
          </cell>
          <cell r="Q350" t="str">
            <v>EST BASE APARADOR MONDRIAN (BAIXO) (C/PORTA) (LAM CARV BR)</v>
          </cell>
          <cell r="R350"/>
          <cell r="S350"/>
          <cell r="T350">
            <v>1.8</v>
          </cell>
          <cell r="U350">
            <v>0.45</v>
          </cell>
          <cell r="V350">
            <v>0.45</v>
          </cell>
          <cell r="W350">
            <v>0</v>
          </cell>
          <cell r="X350" t="str">
            <v>EST BASE APARADOR MONDRIAN (BAIXO) (C/PORTA) (LAM CARV BR) - 1,8x0,45x0,45H</v>
          </cell>
          <cell r="Y350">
            <v>38590.589999999997</v>
          </cell>
          <cell r="Z350">
            <v>0.35</v>
          </cell>
          <cell r="AA350">
            <v>25083.883499999996</v>
          </cell>
          <cell r="AB350" t="str">
            <v>IB</v>
          </cell>
        </row>
        <row r="351"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H351">
            <v>1</v>
          </cell>
          <cell r="O351">
            <v>379799</v>
          </cell>
          <cell r="P351" t="str">
            <v>2024/068-0018-01</v>
          </cell>
          <cell r="Q351" t="str">
            <v>EST TAMPO MONDRIAN (PEDRA 1) (EMERALD GREEN)</v>
          </cell>
          <cell r="R351"/>
          <cell r="S351"/>
          <cell r="T351">
            <v>1.2</v>
          </cell>
          <cell r="U351">
            <v>0.42</v>
          </cell>
          <cell r="V351">
            <v>0.02</v>
          </cell>
          <cell r="W351">
            <v>0</v>
          </cell>
          <cell r="X351" t="str">
            <v>EST TAMPO MONDRIAN (PEDRA 1) (EMERALD GREEN) - 1,2x0,42x0,02H</v>
          </cell>
          <cell r="Y351">
            <v>38590.589999999997</v>
          </cell>
          <cell r="Z351">
            <v>0.35</v>
          </cell>
          <cell r="AA351">
            <v>25083.883499999996</v>
          </cell>
          <cell r="AB351" t="str">
            <v>IB</v>
          </cell>
        </row>
        <row r="352">
          <cell r="C352">
            <v>1</v>
          </cell>
          <cell r="D352">
            <v>0</v>
          </cell>
          <cell r="E352">
            <v>0</v>
          </cell>
          <cell r="F352">
            <v>0</v>
          </cell>
          <cell r="H352">
            <v>0</v>
          </cell>
          <cell r="O352">
            <v>379791</v>
          </cell>
          <cell r="P352" t="str">
            <v>2024/068-0015-01</v>
          </cell>
          <cell r="Q352" t="str">
            <v>EST TAMPO MONDRIAN (PEDRA 1) (BRANCO PARANA POLIDO)</v>
          </cell>
          <cell r="R352"/>
          <cell r="S352"/>
          <cell r="T352">
            <v>1.2</v>
          </cell>
          <cell r="U352">
            <v>0.42</v>
          </cell>
          <cell r="V352">
            <v>0.02</v>
          </cell>
          <cell r="W352">
            <v>0</v>
          </cell>
          <cell r="X352" t="str">
            <v>EST TAMPO MONDRIAN (PEDRA 1) (BRANCO PARANA POLIDO) - 1,2x0,42x0,02H</v>
          </cell>
          <cell r="Y352">
            <v>34598.46</v>
          </cell>
          <cell r="Z352">
            <v>0.35</v>
          </cell>
          <cell r="AA352">
            <v>22488.999</v>
          </cell>
          <cell r="AB352" t="str">
            <v>ID</v>
          </cell>
        </row>
        <row r="353">
          <cell r="C353">
            <v>1</v>
          </cell>
          <cell r="D353">
            <v>0</v>
          </cell>
          <cell r="E353">
            <v>0</v>
          </cell>
          <cell r="F353">
            <v>0</v>
          </cell>
          <cell r="H353">
            <v>0</v>
          </cell>
          <cell r="O353">
            <v>379858</v>
          </cell>
          <cell r="P353" t="str">
            <v>2024/068-0019-01</v>
          </cell>
          <cell r="Q353" t="str">
            <v>EST BASE APARADOR MONDRIAN (ALTO) (S/PORTA) (LAMINA NOG)</v>
          </cell>
          <cell r="R353"/>
          <cell r="S353"/>
          <cell r="T353">
            <v>1.8</v>
          </cell>
          <cell r="U353">
            <v>0.45</v>
          </cell>
          <cell r="V353">
            <v>0.65</v>
          </cell>
          <cell r="W353">
            <v>0</v>
          </cell>
          <cell r="X353" t="str">
            <v>EST BASE APARADOR MONDRIAN (ALTO) (S/PORTA) (LAMINA NOG) - 1,8x0,45x0,65H</v>
          </cell>
          <cell r="Y353">
            <v>34598.46</v>
          </cell>
          <cell r="Z353">
            <v>0.35</v>
          </cell>
          <cell r="AA353">
            <v>22488.999</v>
          </cell>
          <cell r="AB353" t="str">
            <v>ID</v>
          </cell>
        </row>
        <row r="354"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H354">
            <v>0</v>
          </cell>
          <cell r="O354">
            <v>374342</v>
          </cell>
          <cell r="P354" t="str">
            <v>2024/026-0012-01</v>
          </cell>
          <cell r="Q354" t="str">
            <v>EST MODULO B/ESQ HIMALAYA (CLA) (NOG) (DB3001) TC TARENTO 12</v>
          </cell>
          <cell r="R354"/>
          <cell r="S354"/>
          <cell r="T354">
            <v>2.25</v>
          </cell>
          <cell r="U354">
            <v>1.05</v>
          </cell>
          <cell r="V354">
            <v>0.74</v>
          </cell>
          <cell r="W354">
            <v>0</v>
          </cell>
          <cell r="X354" t="str">
            <v>EST MODULO B/ESQ HIMALAYA (CLA) (NOG) (DB3001) TC TARENTO 12 - 2,25x1,05x0,74H</v>
          </cell>
          <cell r="Y354">
            <v>66722.586500000005</v>
          </cell>
          <cell r="Z354">
            <v>0.35</v>
          </cell>
          <cell r="AA354">
            <v>43369.681225000008</v>
          </cell>
          <cell r="AB354" t="str">
            <v>IE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H355">
            <v>0</v>
          </cell>
          <cell r="O355">
            <v>374346</v>
          </cell>
          <cell r="P355" t="str">
            <v>2024/026-0013-01</v>
          </cell>
          <cell r="Q355" t="str">
            <v>EST MODULO CHAISE DIR HIMALAYA (CLA) (DB3001) TC TARENTO 12</v>
          </cell>
          <cell r="R355"/>
          <cell r="S355"/>
          <cell r="T355">
            <v>1.1499999999999999</v>
          </cell>
          <cell r="U355">
            <v>1.7</v>
          </cell>
          <cell r="V355">
            <v>0.74</v>
          </cell>
          <cell r="W355">
            <v>0</v>
          </cell>
          <cell r="X355" t="str">
            <v>EST MODULO CHAISE DIR HIMALAYA (CLA) (DB3001) TC TARENTO 12 - 1,15x1,7x0,74H</v>
          </cell>
          <cell r="Y355">
            <v>66722.586500000005</v>
          </cell>
          <cell r="Z355">
            <v>0.35</v>
          </cell>
          <cell r="AA355">
            <v>43369.681225000008</v>
          </cell>
          <cell r="AB355" t="str">
            <v>IE</v>
          </cell>
        </row>
        <row r="356">
          <cell r="C356">
            <v>1</v>
          </cell>
          <cell r="D356">
            <v>0</v>
          </cell>
          <cell r="E356">
            <v>0</v>
          </cell>
          <cell r="F356">
            <v>2</v>
          </cell>
          <cell r="H356">
            <v>2</v>
          </cell>
          <cell r="O356">
            <v>379864</v>
          </cell>
          <cell r="P356" t="str">
            <v>2024/068-0023-01</v>
          </cell>
          <cell r="Q356" t="str">
            <v>EST BASE CENTRO MONDRIAN (LAMINA NOGUEIRA)</v>
          </cell>
          <cell r="R356"/>
          <cell r="S356"/>
          <cell r="T356">
            <v>0.9</v>
          </cell>
          <cell r="U356">
            <v>0.9</v>
          </cell>
          <cell r="V356">
            <v>0.24</v>
          </cell>
          <cell r="W356">
            <v>0</v>
          </cell>
          <cell r="X356" t="str">
            <v>EST BASE CENTRO MONDRIAN (LAMINA NOGUEIRA) - 0,9x0,9x0,24H</v>
          </cell>
          <cell r="Y356">
            <v>22325.91</v>
          </cell>
          <cell r="Z356">
            <v>0.35</v>
          </cell>
          <cell r="AA356">
            <v>14511.8415</v>
          </cell>
          <cell r="AB356" t="str">
            <v>IH</v>
          </cell>
        </row>
        <row r="357">
          <cell r="C357">
            <v>1</v>
          </cell>
          <cell r="D357">
            <v>0</v>
          </cell>
          <cell r="E357">
            <v>0</v>
          </cell>
          <cell r="F357">
            <v>0</v>
          </cell>
          <cell r="H357">
            <v>1</v>
          </cell>
          <cell r="O357">
            <v>381897</v>
          </cell>
          <cell r="P357" t="str">
            <v>2024/068-0062-01</v>
          </cell>
          <cell r="Q357" t="str">
            <v>EST TAMPO MONDRIAN (PEDRA 1) (BRANCO PARANA POLIDO)</v>
          </cell>
          <cell r="R357"/>
          <cell r="S357"/>
          <cell r="T357">
            <v>0.87</v>
          </cell>
          <cell r="U357">
            <v>0.6</v>
          </cell>
          <cell r="V357">
            <v>0.02</v>
          </cell>
          <cell r="W357">
            <v>0</v>
          </cell>
          <cell r="X357" t="str">
            <v>EST TAMPO MONDRIAN (PEDRA 1) (BRANCO PARANA POLIDO) - 0,87x0,6x0,02H</v>
          </cell>
          <cell r="Y357">
            <v>22325.91</v>
          </cell>
          <cell r="Z357">
            <v>0.35</v>
          </cell>
          <cell r="AA357">
            <v>14511.8415</v>
          </cell>
          <cell r="AB357" t="str">
            <v>IH</v>
          </cell>
        </row>
        <row r="358">
          <cell r="C358">
            <v>1</v>
          </cell>
          <cell r="D358">
            <v>0</v>
          </cell>
          <cell r="E358">
            <v>0</v>
          </cell>
          <cell r="F358">
            <v>0</v>
          </cell>
          <cell r="H358">
            <v>0</v>
          </cell>
          <cell r="O358">
            <v>379756</v>
          </cell>
          <cell r="P358" t="str">
            <v>2024/071-0035-01</v>
          </cell>
          <cell r="Q358" t="str">
            <v>EST MODULO CHAISE BRACO DIR SONETTO (G7124)</v>
          </cell>
          <cell r="R358"/>
          <cell r="S358"/>
          <cell r="T358">
            <v>1.45</v>
          </cell>
          <cell r="U358">
            <v>1.75</v>
          </cell>
          <cell r="V358">
            <v>0.8</v>
          </cell>
          <cell r="W358">
            <v>0</v>
          </cell>
          <cell r="X358" t="str">
            <v>EST MODULO CHAISE BRACO DIR SONETTO (G7124) - 1,45x1,75x0,8H</v>
          </cell>
          <cell r="Y358">
            <v>100668.01999999999</v>
          </cell>
          <cell r="Z358">
            <v>0.35</v>
          </cell>
          <cell r="AA358">
            <v>65434.212999999996</v>
          </cell>
          <cell r="AB358" t="str">
            <v>IK</v>
          </cell>
        </row>
        <row r="359">
          <cell r="C359">
            <v>1</v>
          </cell>
          <cell r="D359">
            <v>0</v>
          </cell>
          <cell r="E359">
            <v>0</v>
          </cell>
          <cell r="F359">
            <v>0</v>
          </cell>
          <cell r="H359">
            <v>0</v>
          </cell>
          <cell r="O359">
            <v>379757</v>
          </cell>
          <cell r="P359" t="str">
            <v>2024/071-0036-01</v>
          </cell>
          <cell r="Q359" t="str">
            <v>EST MODULO S/BRACO SONETTO (G7124)</v>
          </cell>
          <cell r="R359"/>
          <cell r="S359"/>
          <cell r="T359">
            <v>1.2</v>
          </cell>
          <cell r="U359">
            <v>1.35</v>
          </cell>
          <cell r="V359">
            <v>0.8</v>
          </cell>
          <cell r="W359">
            <v>0</v>
          </cell>
          <cell r="X359" t="str">
            <v>EST MODULO S/BRACO SONETTO (G7124) - 1,2x1,35x0,8H</v>
          </cell>
          <cell r="Y359">
            <v>100668.01999999999</v>
          </cell>
          <cell r="Z359">
            <v>0.35</v>
          </cell>
          <cell r="AA359">
            <v>65434.212999999996</v>
          </cell>
          <cell r="AB359" t="str">
            <v>IK</v>
          </cell>
        </row>
        <row r="360">
          <cell r="C360">
            <v>1</v>
          </cell>
          <cell r="D360">
            <v>0</v>
          </cell>
          <cell r="E360">
            <v>0</v>
          </cell>
          <cell r="F360">
            <v>0</v>
          </cell>
          <cell r="H360">
            <v>0</v>
          </cell>
          <cell r="O360">
            <v>379759</v>
          </cell>
          <cell r="P360" t="str">
            <v>2024/071-0037-01</v>
          </cell>
          <cell r="Q360" t="str">
            <v>EST MODULO S/BRACO C/AVANCO ESQ SONETTO (G7124)</v>
          </cell>
          <cell r="R360"/>
          <cell r="S360"/>
          <cell r="T360">
            <v>1.4</v>
          </cell>
          <cell r="U360">
            <v>1.35</v>
          </cell>
          <cell r="V360">
            <v>0.8</v>
          </cell>
          <cell r="W360">
            <v>0</v>
          </cell>
          <cell r="X360" t="str">
            <v>EST MODULO S/BRACO C/AVANCO ESQ SONETTO (G7124) - 1,4x1,35x0,8H</v>
          </cell>
          <cell r="Y360">
            <v>100668.01999999999</v>
          </cell>
          <cell r="Z360">
            <v>0.35</v>
          </cell>
          <cell r="AA360">
            <v>65434.212999999996</v>
          </cell>
          <cell r="AB360" t="str">
            <v>IK</v>
          </cell>
        </row>
        <row r="361">
          <cell r="C361">
            <v>1</v>
          </cell>
          <cell r="D361">
            <v>0</v>
          </cell>
          <cell r="E361">
            <v>0</v>
          </cell>
          <cell r="F361">
            <v>0</v>
          </cell>
          <cell r="H361">
            <v>0</v>
          </cell>
          <cell r="O361">
            <v>379760</v>
          </cell>
          <cell r="P361" t="str">
            <v>2024/071-0038-01</v>
          </cell>
          <cell r="Q361" t="str">
            <v>EST MODULO PUFF SONETTO (G7124)</v>
          </cell>
          <cell r="R361"/>
          <cell r="S361"/>
          <cell r="T361">
            <v>1.3</v>
          </cell>
          <cell r="U361">
            <v>1.35</v>
          </cell>
          <cell r="V361">
            <v>0.4</v>
          </cell>
          <cell r="W361">
            <v>0</v>
          </cell>
          <cell r="X361" t="str">
            <v>EST MODULO PUFF SONETTO (G7124) - 1,3x1,35x0,4H</v>
          </cell>
          <cell r="Y361">
            <v>100668.01999999999</v>
          </cell>
          <cell r="Z361">
            <v>0.35</v>
          </cell>
          <cell r="AA361">
            <v>65434.212999999996</v>
          </cell>
          <cell r="AB361" t="str">
            <v>IK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H362">
            <v>1</v>
          </cell>
          <cell r="O362">
            <v>335216</v>
          </cell>
          <cell r="P362" t="str">
            <v>2022/210-0073-01</v>
          </cell>
          <cell r="Q362" t="str">
            <v>EST MODULO CHAISE BRACO DIR TARANTO TC B2111/VRNZ EBNZ</v>
          </cell>
          <cell r="R362"/>
          <cell r="S362"/>
          <cell r="T362">
            <v>1.2</v>
          </cell>
          <cell r="U362">
            <v>1.8</v>
          </cell>
          <cell r="V362">
            <v>0.95</v>
          </cell>
          <cell r="W362">
            <v>0</v>
          </cell>
          <cell r="X362" t="str">
            <v>EST MODULO CHAISE BRACO DIR TARANTO TC B2111/VRNZ EBNZ - 1,2x1,8x0,95H</v>
          </cell>
          <cell r="Y362">
            <v>37914.78</v>
          </cell>
          <cell r="Z362">
            <v>0.5</v>
          </cell>
          <cell r="AA362">
            <v>18957.39</v>
          </cell>
          <cell r="AB362" t="str">
            <v>IL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H363">
            <v>1</v>
          </cell>
          <cell r="O363">
            <v>335217</v>
          </cell>
          <cell r="P363" t="str">
            <v>2022/210-0074-01</v>
          </cell>
          <cell r="Q363" t="str">
            <v>EST MODULO CHAISE BRACO ESQ TARANTO TC B2111/VRNZ EBNZ</v>
          </cell>
          <cell r="R363"/>
          <cell r="S363"/>
          <cell r="T363">
            <v>1.2</v>
          </cell>
          <cell r="U363">
            <v>1.8</v>
          </cell>
          <cell r="V363">
            <v>0.95</v>
          </cell>
          <cell r="W363">
            <v>0</v>
          </cell>
          <cell r="X363" t="str">
            <v>EST MODULO CHAISE BRACO ESQ TARANTO TC B2111/VRNZ EBNZ - 1,2x1,8x0,95H</v>
          </cell>
          <cell r="Y363">
            <v>37914.78</v>
          </cell>
          <cell r="Z363">
            <v>0.5</v>
          </cell>
          <cell r="AA363">
            <v>18957.39</v>
          </cell>
          <cell r="AB363" t="str">
            <v>IL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H364">
            <v>1</v>
          </cell>
          <cell r="O364">
            <v>379650</v>
          </cell>
          <cell r="P364" t="str">
            <v>2024/071-0039-01</v>
          </cell>
          <cell r="Q364" t="str">
            <v>EST MODULO BRACO ESQ DIXON FX C3005/PES PRETO</v>
          </cell>
          <cell r="R364"/>
          <cell r="S364"/>
          <cell r="T364">
            <v>2.75</v>
          </cell>
          <cell r="U364">
            <v>1.02</v>
          </cell>
          <cell r="V364">
            <v>0.8</v>
          </cell>
          <cell r="W364">
            <v>0</v>
          </cell>
          <cell r="X364" t="str">
            <v>EST MODULO BRACO ESQ DIXON FX C3005/PES PRETO - 2,75x1,02x0,8H</v>
          </cell>
          <cell r="Y364">
            <v>58146.820000000007</v>
          </cell>
          <cell r="Z364">
            <v>0.35</v>
          </cell>
          <cell r="AA364">
            <v>37795.433000000005</v>
          </cell>
          <cell r="AB364" t="str">
            <v>IM</v>
          </cell>
        </row>
        <row r="365"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H365">
            <v>1</v>
          </cell>
          <cell r="O365">
            <v>379651</v>
          </cell>
          <cell r="P365" t="str">
            <v>2024/071-0040-01</v>
          </cell>
          <cell r="Q365" t="str">
            <v>EST MODULO S/B C/AVANCO BASE DIR DIXON FX C3005/PES PRETO</v>
          </cell>
          <cell r="R365"/>
          <cell r="S365"/>
          <cell r="T365">
            <v>1.65</v>
          </cell>
          <cell r="U365">
            <v>1.02</v>
          </cell>
          <cell r="V365">
            <v>0.8</v>
          </cell>
          <cell r="W365">
            <v>0</v>
          </cell>
          <cell r="X365" t="str">
            <v>EST MODULO S/B C/AVANCO BASE DIR DIXON FX C3005/PES PRETO - 1,65x1,02x0,8H</v>
          </cell>
          <cell r="Y365">
            <v>58146.820000000007</v>
          </cell>
          <cell r="Z365">
            <v>0.35</v>
          </cell>
          <cell r="AA365">
            <v>37795.433000000005</v>
          </cell>
          <cell r="AB365" t="str">
            <v>IM</v>
          </cell>
        </row>
        <row r="366"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H366">
            <v>1</v>
          </cell>
          <cell r="O366">
            <v>379652</v>
          </cell>
          <cell r="P366" t="str">
            <v>2024/071-0041-01</v>
          </cell>
          <cell r="Q366" t="str">
            <v>EST MODULO PUFF DIXON FX C3005/PES PRETO</v>
          </cell>
          <cell r="R366"/>
          <cell r="S366"/>
          <cell r="T366">
            <v>1.01</v>
          </cell>
          <cell r="U366">
            <v>1.01</v>
          </cell>
          <cell r="V366">
            <v>0.44</v>
          </cell>
          <cell r="W366">
            <v>0</v>
          </cell>
          <cell r="X366" t="str">
            <v>EST MODULO PUFF DIXON FX C3005/PES PRETO - 1,01x1,01x0,44H</v>
          </cell>
          <cell r="Y366">
            <v>58146.820000000007</v>
          </cell>
          <cell r="Z366">
            <v>0.35</v>
          </cell>
          <cell r="AA366">
            <v>37795.433000000005</v>
          </cell>
          <cell r="AB366" t="str">
            <v>IM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H367">
            <v>1</v>
          </cell>
          <cell r="O367">
            <v>379996</v>
          </cell>
          <cell r="P367" t="str">
            <v>2024/071-0042-01</v>
          </cell>
          <cell r="Q367" t="str">
            <v>EST ACESSORIO DE MESA DIXON METAL/COURO CAMEL</v>
          </cell>
          <cell r="R367"/>
          <cell r="S367"/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 t="str">
            <v>EST ACESSORIO DE MESA DIXON METAL/COURO CAMEL - Ø0x0H</v>
          </cell>
          <cell r="Y367">
            <v>58146.820000000007</v>
          </cell>
          <cell r="Z367">
            <v>0.35</v>
          </cell>
          <cell r="AA367">
            <v>37795.433000000005</v>
          </cell>
          <cell r="AB367" t="str">
            <v>IM</v>
          </cell>
        </row>
        <row r="368">
          <cell r="C368">
            <v>0</v>
          </cell>
          <cell r="D368">
            <v>3</v>
          </cell>
          <cell r="E368">
            <v>0</v>
          </cell>
          <cell r="F368">
            <v>0</v>
          </cell>
          <cell r="H368">
            <v>0</v>
          </cell>
          <cell r="O368">
            <v>379684</v>
          </cell>
          <cell r="P368" t="str">
            <v>2024/094-0031-01</v>
          </cell>
          <cell r="Q368" t="str">
            <v>EST ALMOFADA DECORATIVA LENCOIS M (DET04) TC RUST SENNA 297</v>
          </cell>
          <cell r="R368"/>
          <cell r="S368"/>
          <cell r="T368">
            <v>0.6</v>
          </cell>
          <cell r="U368">
            <v>0.6</v>
          </cell>
          <cell r="V368">
            <v>0</v>
          </cell>
          <cell r="W368">
            <v>0</v>
          </cell>
          <cell r="X368" t="str">
            <v>EST ALMOFADA DECORATIVA LENCOIS M (DET04) TC RUST SENNA 297 - 0,6x0,6x0H</v>
          </cell>
          <cell r="Y368">
            <v>76303.050999999992</v>
          </cell>
          <cell r="Z368">
            <v>0.35</v>
          </cell>
          <cell r="AA368">
            <v>49596.98315</v>
          </cell>
          <cell r="AB368" t="str">
            <v>IN</v>
          </cell>
        </row>
        <row r="369">
          <cell r="C369">
            <v>0</v>
          </cell>
          <cell r="D369">
            <v>3</v>
          </cell>
          <cell r="E369">
            <v>0</v>
          </cell>
          <cell r="F369">
            <v>0</v>
          </cell>
          <cell r="H369">
            <v>0</v>
          </cell>
          <cell r="O369">
            <v>379684</v>
          </cell>
          <cell r="P369" t="str">
            <v>2024/094-0032-01</v>
          </cell>
          <cell r="Q369" t="str">
            <v>EST ALMOFADA DECORATIVA LENCOIS M (DET04) TC RUST SENNA 297</v>
          </cell>
          <cell r="R369"/>
          <cell r="S369"/>
          <cell r="T369">
            <v>0.6</v>
          </cell>
          <cell r="U369">
            <v>0.6</v>
          </cell>
          <cell r="V369">
            <v>0</v>
          </cell>
          <cell r="W369">
            <v>0</v>
          </cell>
          <cell r="X369" t="str">
            <v>EST ALMOFADA DECORATIVA LENCOIS M (DET04) TC RUST SENNA 297 - 0,6x0,6x0H</v>
          </cell>
          <cell r="Y369">
            <v>76303.050999999992</v>
          </cell>
          <cell r="Z369">
            <v>0.35</v>
          </cell>
          <cell r="AA369">
            <v>49596.98315</v>
          </cell>
          <cell r="AB369" t="str">
            <v>IN</v>
          </cell>
        </row>
        <row r="370">
          <cell r="C370">
            <v>0</v>
          </cell>
          <cell r="D370">
            <v>3</v>
          </cell>
          <cell r="E370">
            <v>0</v>
          </cell>
          <cell r="F370">
            <v>0</v>
          </cell>
          <cell r="H370">
            <v>0</v>
          </cell>
          <cell r="O370">
            <v>379684</v>
          </cell>
          <cell r="P370" t="str">
            <v>2024/094-0033-01</v>
          </cell>
          <cell r="Q370" t="str">
            <v>EST ALMOFADA DECORATIVA LENCOIS M (DET04) TC RUST SENNA 297</v>
          </cell>
          <cell r="R370"/>
          <cell r="S370"/>
          <cell r="T370">
            <v>0.6</v>
          </cell>
          <cell r="U370">
            <v>0.6</v>
          </cell>
          <cell r="V370">
            <v>0</v>
          </cell>
          <cell r="W370">
            <v>0</v>
          </cell>
          <cell r="X370" t="str">
            <v>EST ALMOFADA DECORATIVA LENCOIS M (DET04) TC RUST SENNA 297 - 0,6x0,6x0H</v>
          </cell>
          <cell r="Y370">
            <v>76303.050999999992</v>
          </cell>
          <cell r="Z370">
            <v>0.35</v>
          </cell>
          <cell r="AA370">
            <v>49596.98315</v>
          </cell>
          <cell r="AB370" t="str">
            <v>IN</v>
          </cell>
        </row>
        <row r="371">
          <cell r="C371">
            <v>0</v>
          </cell>
          <cell r="D371">
            <v>1</v>
          </cell>
          <cell r="E371">
            <v>0</v>
          </cell>
          <cell r="F371">
            <v>0</v>
          </cell>
          <cell r="H371">
            <v>0</v>
          </cell>
          <cell r="O371">
            <v>379686</v>
          </cell>
          <cell r="P371" t="str">
            <v>2024/094-0034-01</v>
          </cell>
          <cell r="Q371" t="str">
            <v>EST ALMOFADA DECORATIVA LENCOIS M (LISO) TC RUSTICO VAT 410</v>
          </cell>
          <cell r="R371"/>
          <cell r="S371"/>
          <cell r="T371">
            <v>0.5</v>
          </cell>
          <cell r="U371">
            <v>0.5</v>
          </cell>
          <cell r="V371">
            <v>0</v>
          </cell>
          <cell r="W371">
            <v>0</v>
          </cell>
          <cell r="X371" t="str">
            <v>EST ALMOFADA DECORATIVA LENCOIS M (LISO) TC RUSTICO VAT 410 - 0,5x0,5x0H</v>
          </cell>
          <cell r="Y371">
            <v>76303.050999999992</v>
          </cell>
          <cell r="Z371">
            <v>0.35</v>
          </cell>
          <cell r="AA371">
            <v>49596.98315</v>
          </cell>
          <cell r="AB371" t="str">
            <v>IN</v>
          </cell>
        </row>
        <row r="372">
          <cell r="C372">
            <v>0</v>
          </cell>
          <cell r="D372">
            <v>1</v>
          </cell>
          <cell r="E372">
            <v>0</v>
          </cell>
          <cell r="F372">
            <v>0</v>
          </cell>
          <cell r="H372">
            <v>0</v>
          </cell>
          <cell r="O372">
            <v>379686</v>
          </cell>
          <cell r="P372" t="str">
            <v>2024/094-0035-01</v>
          </cell>
          <cell r="Q372" t="str">
            <v>EST ALMOFADA DECORATIVA LENCOIS M (LISO) TC RUSTICO VAT 410</v>
          </cell>
          <cell r="R372"/>
          <cell r="S372"/>
          <cell r="T372">
            <v>0.5</v>
          </cell>
          <cell r="U372">
            <v>0.5</v>
          </cell>
          <cell r="V372">
            <v>0</v>
          </cell>
          <cell r="W372">
            <v>0</v>
          </cell>
          <cell r="X372" t="str">
            <v>EST ALMOFADA DECORATIVA LENCOIS M (LISO) TC RUSTICO VAT 410 - 0,5x0,5x0H</v>
          </cell>
          <cell r="Y372">
            <v>76303.050999999992</v>
          </cell>
          <cell r="Z372">
            <v>0.35</v>
          </cell>
          <cell r="AA372">
            <v>49596.98315</v>
          </cell>
          <cell r="AB372" t="str">
            <v>IN</v>
          </cell>
        </row>
        <row r="373">
          <cell r="C373">
            <v>0</v>
          </cell>
          <cell r="D373">
            <v>1</v>
          </cell>
          <cell r="E373">
            <v>0</v>
          </cell>
          <cell r="F373">
            <v>0</v>
          </cell>
          <cell r="H373">
            <v>0</v>
          </cell>
          <cell r="O373">
            <v>379686</v>
          </cell>
          <cell r="P373" t="str">
            <v>2024/094-0036-01</v>
          </cell>
          <cell r="Q373" t="str">
            <v>EST ALMOFADA DECORATIVA LENCOIS M (LISO) TC RUSTICO VAT 410</v>
          </cell>
          <cell r="R373"/>
          <cell r="S373"/>
          <cell r="T373">
            <v>0.5</v>
          </cell>
          <cell r="U373">
            <v>0.5</v>
          </cell>
          <cell r="V373">
            <v>0</v>
          </cell>
          <cell r="W373">
            <v>0</v>
          </cell>
          <cell r="X373" t="str">
            <v>EST ALMOFADA DECORATIVA LENCOIS M (LISO) TC RUSTICO VAT 410 - 0,5x0,5x0H</v>
          </cell>
          <cell r="Y373">
            <v>76303.050999999992</v>
          </cell>
          <cell r="Z373">
            <v>0.35</v>
          </cell>
          <cell r="AA373">
            <v>49596.98315</v>
          </cell>
          <cell r="AB373" t="str">
            <v>IN</v>
          </cell>
        </row>
        <row r="374">
          <cell r="C374">
            <v>0</v>
          </cell>
          <cell r="D374">
            <v>1</v>
          </cell>
          <cell r="E374">
            <v>0</v>
          </cell>
          <cell r="F374">
            <v>0</v>
          </cell>
          <cell r="H374">
            <v>0</v>
          </cell>
          <cell r="O374">
            <v>379692</v>
          </cell>
          <cell r="P374" t="str">
            <v>2024/094-0037-01</v>
          </cell>
          <cell r="Q374" t="str">
            <v>EST MODULO ENCOSTO (L) LENCOIS M (DET04) TC RUST SENNA 297</v>
          </cell>
          <cell r="R374"/>
          <cell r="S374"/>
          <cell r="T374">
            <v>1.2</v>
          </cell>
          <cell r="U374">
            <v>0.8</v>
          </cell>
          <cell r="V374">
            <v>0.26</v>
          </cell>
          <cell r="W374">
            <v>0</v>
          </cell>
          <cell r="X374" t="str">
            <v>EST MODULO ENCOSTO (L) LENCOIS M (DET04) TC RUST SENNA 297 - 1,2x0,8x0,26H</v>
          </cell>
          <cell r="Y374">
            <v>76303.050999999992</v>
          </cell>
          <cell r="Z374">
            <v>0.35</v>
          </cell>
          <cell r="AA374">
            <v>49596.98315</v>
          </cell>
          <cell r="AB374" t="str">
            <v>IN</v>
          </cell>
        </row>
        <row r="375">
          <cell r="C375">
            <v>0</v>
          </cell>
          <cell r="D375">
            <v>1</v>
          </cell>
          <cell r="E375">
            <v>0</v>
          </cell>
          <cell r="F375">
            <v>0</v>
          </cell>
          <cell r="H375">
            <v>0</v>
          </cell>
          <cell r="O375">
            <v>379693</v>
          </cell>
          <cell r="P375" t="str">
            <v>2024/094-0038-01</v>
          </cell>
          <cell r="Q375" t="str">
            <v>EST MODULO PUFF LENCOIS M (DET04) TC RUST SENNA 297</v>
          </cell>
          <cell r="R375"/>
          <cell r="S375"/>
          <cell r="T375">
            <v>2.4</v>
          </cell>
          <cell r="U375">
            <v>1</v>
          </cell>
          <cell r="V375">
            <v>0.38</v>
          </cell>
          <cell r="W375">
            <v>0</v>
          </cell>
          <cell r="X375" t="str">
            <v>EST MODULO PUFF LENCOIS M (DET04) TC RUST SENNA 297 - 2,4x1x0,38H</v>
          </cell>
          <cell r="Y375">
            <v>76303.050999999992</v>
          </cell>
          <cell r="Z375">
            <v>0.35</v>
          </cell>
          <cell r="AA375">
            <v>49596.98315</v>
          </cell>
          <cell r="AB375" t="str">
            <v>IN</v>
          </cell>
        </row>
        <row r="376">
          <cell r="C376">
            <v>0</v>
          </cell>
          <cell r="D376">
            <v>1</v>
          </cell>
          <cell r="E376">
            <v>0</v>
          </cell>
          <cell r="F376">
            <v>0</v>
          </cell>
          <cell r="H376">
            <v>0</v>
          </cell>
          <cell r="O376">
            <v>379694</v>
          </cell>
          <cell r="P376" t="str">
            <v>2024/094-0039-01</v>
          </cell>
          <cell r="Q376" t="str">
            <v>EST MODULO PUFF CHAISE LENCOIS M (DET04) TC RUST SENNA 297</v>
          </cell>
          <cell r="R376"/>
          <cell r="S376"/>
          <cell r="T376">
            <v>2.4</v>
          </cell>
          <cell r="U376">
            <v>1.55</v>
          </cell>
          <cell r="V376">
            <v>0.38</v>
          </cell>
          <cell r="W376">
            <v>0</v>
          </cell>
          <cell r="X376" t="str">
            <v>EST MODULO PUFF CHAISE LENCOIS M (DET04) TC RUST SENNA 297 - 2,4x1,55x0,38H</v>
          </cell>
          <cell r="Y376">
            <v>76303.050999999992</v>
          </cell>
          <cell r="Z376">
            <v>0.35</v>
          </cell>
          <cell r="AA376">
            <v>49596.98315</v>
          </cell>
          <cell r="AB376" t="str">
            <v>IN</v>
          </cell>
        </row>
        <row r="377">
          <cell r="C377">
            <v>0</v>
          </cell>
          <cell r="D377">
            <v>1</v>
          </cell>
          <cell r="E377">
            <v>0</v>
          </cell>
          <cell r="F377">
            <v>0</v>
          </cell>
          <cell r="H377">
            <v>0</v>
          </cell>
          <cell r="O377">
            <v>379696</v>
          </cell>
          <cell r="P377" t="str">
            <v>2024/094-0040-01</v>
          </cell>
          <cell r="Q377" t="str">
            <v>EST MODULO PUFF CANTO 90 LENCOIS M (LISO) TC RUSTICO VAT 410</v>
          </cell>
          <cell r="R377"/>
          <cell r="S377"/>
          <cell r="T377">
            <v>1</v>
          </cell>
          <cell r="U377">
            <v>1</v>
          </cell>
          <cell r="V377">
            <v>0.38</v>
          </cell>
          <cell r="W377">
            <v>0</v>
          </cell>
          <cell r="X377" t="str">
            <v>EST MODULO PUFF CANTO 90 LENCOIS M (LISO) TC RUSTICO VAT 410 - 1x1x0,38H</v>
          </cell>
          <cell r="Y377">
            <v>76303.050999999992</v>
          </cell>
          <cell r="Z377">
            <v>0.35</v>
          </cell>
          <cell r="AA377">
            <v>49596.98315</v>
          </cell>
          <cell r="AB377" t="str">
            <v>IN</v>
          </cell>
        </row>
        <row r="378">
          <cell r="C378">
            <v>0</v>
          </cell>
          <cell r="D378">
            <v>1</v>
          </cell>
          <cell r="E378">
            <v>0</v>
          </cell>
          <cell r="F378">
            <v>0</v>
          </cell>
          <cell r="H378">
            <v>0</v>
          </cell>
          <cell r="O378">
            <v>379698</v>
          </cell>
          <cell r="P378" t="str">
            <v>2024/094-0041-01</v>
          </cell>
          <cell r="Q378" t="str">
            <v>EST MODULO ENCOSTO RETO LENCOIS M (LISO) TC RUSTICO VAT 410</v>
          </cell>
          <cell r="R378"/>
          <cell r="S378"/>
          <cell r="T378">
            <v>0.7</v>
          </cell>
          <cell r="U378">
            <v>0.26</v>
          </cell>
          <cell r="V378">
            <v>0.26</v>
          </cell>
          <cell r="W378">
            <v>0</v>
          </cell>
          <cell r="X378" t="str">
            <v>EST MODULO ENCOSTO RETO LENCOIS M (LISO) TC RUSTICO VAT 410 - 0,7x0,26x0,26H</v>
          </cell>
          <cell r="Y378">
            <v>76303.050999999992</v>
          </cell>
          <cell r="Z378">
            <v>0.35</v>
          </cell>
          <cell r="AA378">
            <v>49596.98315</v>
          </cell>
          <cell r="AB378" t="str">
            <v>IN</v>
          </cell>
        </row>
        <row r="379">
          <cell r="C379">
            <v>0</v>
          </cell>
          <cell r="D379">
            <v>2</v>
          </cell>
          <cell r="E379">
            <v>0</v>
          </cell>
          <cell r="F379">
            <v>0</v>
          </cell>
          <cell r="H379">
            <v>0</v>
          </cell>
          <cell r="O379">
            <v>379699</v>
          </cell>
          <cell r="P379" t="str">
            <v>2024/094-0042-01</v>
          </cell>
          <cell r="Q379" t="str">
            <v>EST MODULO ENCOSTO RETO LENCOIS M (DET04) TC RUST SENNA 297</v>
          </cell>
          <cell r="R379"/>
          <cell r="S379"/>
          <cell r="T379">
            <v>1.2</v>
          </cell>
          <cell r="U379">
            <v>0.26</v>
          </cell>
          <cell r="V379">
            <v>0.26</v>
          </cell>
          <cell r="W379">
            <v>0</v>
          </cell>
          <cell r="X379" t="str">
            <v>EST MODULO ENCOSTO RETO LENCOIS M (DET04) TC RUST SENNA 297 - 1,2x0,26x0,26H</v>
          </cell>
          <cell r="Y379">
            <v>76303.050999999992</v>
          </cell>
          <cell r="Z379">
            <v>0.35</v>
          </cell>
          <cell r="AA379">
            <v>49596.98315</v>
          </cell>
          <cell r="AB379" t="str">
            <v>IN</v>
          </cell>
        </row>
        <row r="380">
          <cell r="C380">
            <v>0</v>
          </cell>
          <cell r="D380">
            <v>2</v>
          </cell>
          <cell r="E380">
            <v>0</v>
          </cell>
          <cell r="F380">
            <v>0</v>
          </cell>
          <cell r="H380">
            <v>0</v>
          </cell>
          <cell r="O380">
            <v>379699</v>
          </cell>
          <cell r="P380" t="str">
            <v>2024/094-0043-01</v>
          </cell>
          <cell r="Q380" t="str">
            <v>EST MODULO ENCOSTO RETO LENCOIS M (DET04) TC RUST SENNA 297</v>
          </cell>
          <cell r="R380"/>
          <cell r="S380"/>
          <cell r="T380">
            <v>1.2</v>
          </cell>
          <cell r="U380">
            <v>0.26</v>
          </cell>
          <cell r="V380">
            <v>0.26</v>
          </cell>
          <cell r="W380">
            <v>0</v>
          </cell>
          <cell r="X380" t="str">
            <v>EST MODULO ENCOSTO RETO LENCOIS M (DET04) TC RUST SENNA 297 - 1,2x0,26x0,26H</v>
          </cell>
          <cell r="Y380">
            <v>76303.050999999992</v>
          </cell>
          <cell r="Z380">
            <v>0.35</v>
          </cell>
          <cell r="AA380">
            <v>49596.98315</v>
          </cell>
          <cell r="AB380" t="str">
            <v>IN</v>
          </cell>
        </row>
        <row r="381">
          <cell r="C381">
            <v>0</v>
          </cell>
          <cell r="D381">
            <v>1</v>
          </cell>
          <cell r="E381">
            <v>0</v>
          </cell>
          <cell r="F381">
            <v>0</v>
          </cell>
          <cell r="H381">
            <v>0</v>
          </cell>
          <cell r="O381">
            <v>379700</v>
          </cell>
          <cell r="P381" t="str">
            <v>2024/094-0044-01</v>
          </cell>
          <cell r="Q381" t="str">
            <v>EST MODULO ENCOSTO RETO LENCOIS M (DET04) TC RUST SENNA 297</v>
          </cell>
          <cell r="R381"/>
          <cell r="S381"/>
          <cell r="T381">
            <v>0.7</v>
          </cell>
          <cell r="U381">
            <v>0.26</v>
          </cell>
          <cell r="V381">
            <v>0.26</v>
          </cell>
          <cell r="W381">
            <v>0</v>
          </cell>
          <cell r="X381" t="str">
            <v>EST MODULO ENCOSTO RETO LENCOIS M (DET04) TC RUST SENNA 297 - 0,7x0,26x0,26H</v>
          </cell>
          <cell r="Y381">
            <v>76303.050999999992</v>
          </cell>
          <cell r="Z381">
            <v>0.35</v>
          </cell>
          <cell r="AA381">
            <v>49596.98315</v>
          </cell>
          <cell r="AB381" t="str">
            <v>IN</v>
          </cell>
        </row>
        <row r="382"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H382">
            <v>1</v>
          </cell>
          <cell r="O382">
            <v>379890</v>
          </cell>
          <cell r="P382" t="str">
            <v>2024/068-0053-01</v>
          </cell>
          <cell r="Q382" t="str">
            <v>EST MODULO S/BRACO MONDRIAN (C1 CREME/CARV) (TC 6649)</v>
          </cell>
          <cell r="R382"/>
          <cell r="S382"/>
          <cell r="T382">
            <v>0.9</v>
          </cell>
          <cell r="U382">
            <v>0.7</v>
          </cell>
          <cell r="V382">
            <v>0.71</v>
          </cell>
          <cell r="W382">
            <v>0</v>
          </cell>
          <cell r="X382" t="str">
            <v>EST MODULO S/BRACO MONDRIAN (C1 CREME/CARV) (TC 6649) - 0,9x0,7x0,71H</v>
          </cell>
          <cell r="Y382">
            <v>123866.81</v>
          </cell>
          <cell r="Z382">
            <v>0.5</v>
          </cell>
          <cell r="AA382">
            <v>61933.404999999999</v>
          </cell>
          <cell r="AB382" t="str">
            <v>IO</v>
          </cell>
        </row>
        <row r="383"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H383">
            <v>1</v>
          </cell>
          <cell r="O383">
            <v>379889</v>
          </cell>
          <cell r="P383" t="str">
            <v>2024/068-0052-01</v>
          </cell>
          <cell r="Q383" t="str">
            <v>EST CHAISE B/ESQ MONDRIAN (ESTOF) (C1 CREME/CARV) (TC 6649)</v>
          </cell>
          <cell r="R383"/>
          <cell r="S383"/>
          <cell r="T383">
            <v>1.04</v>
          </cell>
          <cell r="U383">
            <v>1.7</v>
          </cell>
          <cell r="V383">
            <v>0.71</v>
          </cell>
          <cell r="W383">
            <v>0</v>
          </cell>
          <cell r="X383" t="str">
            <v>EST CHAISE B/ESQ MONDRIAN (ESTOF) (C1 CREME/CARV) (TC 6649) - 1,04x1,7x0,71H</v>
          </cell>
          <cell r="Y383">
            <v>123866.81</v>
          </cell>
          <cell r="Z383">
            <v>0.5</v>
          </cell>
          <cell r="AA383">
            <v>61933.404999999999</v>
          </cell>
          <cell r="AB383" t="str">
            <v>IO</v>
          </cell>
        </row>
        <row r="384"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H384">
            <v>1</v>
          </cell>
          <cell r="O384">
            <v>379891</v>
          </cell>
          <cell r="P384" t="str">
            <v>2024/068-0054-01</v>
          </cell>
          <cell r="Q384" t="str">
            <v>EST MODULO B/DIR MONDRIAN (ESTOF) (C1 CREME/CARV BR) TC 6649</v>
          </cell>
          <cell r="R384"/>
          <cell r="S384"/>
          <cell r="T384">
            <v>1.94</v>
          </cell>
          <cell r="U384">
            <v>1.05</v>
          </cell>
          <cell r="V384">
            <v>0.71</v>
          </cell>
          <cell r="W384">
            <v>0</v>
          </cell>
          <cell r="X384" t="str">
            <v>EST MODULO B/DIR MONDRIAN (ESTOF) (C1 CREME/CARV BR) TC 6649 - 1,94x1,05x0,71H</v>
          </cell>
          <cell r="Y384">
            <v>123866.81</v>
          </cell>
          <cell r="Z384">
            <v>0.5</v>
          </cell>
          <cell r="AA384">
            <v>61933.404999999999</v>
          </cell>
          <cell r="AB384" t="str">
            <v>IO</v>
          </cell>
        </row>
        <row r="385">
          <cell r="C385">
            <v>0</v>
          </cell>
          <cell r="D385">
            <v>1</v>
          </cell>
          <cell r="E385">
            <v>0</v>
          </cell>
          <cell r="F385">
            <v>0</v>
          </cell>
          <cell r="H385">
            <v>0</v>
          </cell>
          <cell r="O385">
            <v>379541</v>
          </cell>
          <cell r="P385" t="str">
            <v>2024/068-0017-01</v>
          </cell>
          <cell r="Q385" t="str">
            <v>EST BASE APARADOR MONDRIAN (ALTO) (C/PORTA) (LAM CARV)</v>
          </cell>
          <cell r="R385"/>
          <cell r="S385"/>
          <cell r="T385">
            <v>1.8</v>
          </cell>
          <cell r="U385">
            <v>0.45</v>
          </cell>
          <cell r="V385">
            <v>0.65</v>
          </cell>
          <cell r="W385">
            <v>0</v>
          </cell>
          <cell r="X385" t="str">
            <v>EST BASE APARADOR MONDRIAN (ALTO) (C/PORTA) (LAM CARV) - 1,8x0,45x0,65H</v>
          </cell>
          <cell r="Y385">
            <v>38590.589999999997</v>
          </cell>
          <cell r="Z385">
            <v>0.35</v>
          </cell>
          <cell r="AA385">
            <v>25083.883499999996</v>
          </cell>
          <cell r="AB385" t="str">
            <v>IR</v>
          </cell>
        </row>
        <row r="386">
          <cell r="C386">
            <v>0</v>
          </cell>
          <cell r="D386">
            <v>1</v>
          </cell>
          <cell r="E386">
            <v>0</v>
          </cell>
          <cell r="F386">
            <v>0</v>
          </cell>
          <cell r="H386">
            <v>0</v>
          </cell>
          <cell r="O386">
            <v>381924</v>
          </cell>
          <cell r="P386" t="str">
            <v>2024/068-0063-01</v>
          </cell>
          <cell r="Q386" t="str">
            <v>EST TAMPO MONDRIAN (PEDRA 1) (BRANCO PARANA LEVIGADO)</v>
          </cell>
          <cell r="R386"/>
          <cell r="S386"/>
          <cell r="T386">
            <v>1.2</v>
          </cell>
          <cell r="U386">
            <v>0.42</v>
          </cell>
          <cell r="V386">
            <v>0.02</v>
          </cell>
          <cell r="W386">
            <v>0</v>
          </cell>
          <cell r="X386" t="str">
            <v>EST TAMPO MONDRIAN (PEDRA 1) (BRANCO PARANA LEVIGADO) - 1,2x0,42x0,02H</v>
          </cell>
          <cell r="Y386">
            <v>38590.589999999997</v>
          </cell>
          <cell r="Z386">
            <v>0.35</v>
          </cell>
          <cell r="AA386">
            <v>25083.883499999996</v>
          </cell>
          <cell r="AB386" t="str">
            <v>IR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H387">
            <v>4</v>
          </cell>
          <cell r="O387">
            <v>379868</v>
          </cell>
          <cell r="P387" t="str">
            <v>2024/068-0043-01</v>
          </cell>
          <cell r="Q387" t="str">
            <v>EST BASE CENTRO MONDRIAN (LAMINA CARV BRANCO)</v>
          </cell>
          <cell r="R387"/>
          <cell r="S387"/>
          <cell r="T387">
            <v>1.8</v>
          </cell>
          <cell r="U387">
            <v>0.45</v>
          </cell>
          <cell r="V387">
            <v>0.24</v>
          </cell>
          <cell r="W387">
            <v>0</v>
          </cell>
          <cell r="X387" t="str">
            <v>EST BASE CENTRO MONDRIAN (LAMINA CARV BRANCO) - 1,8x0,45x0,24H</v>
          </cell>
          <cell r="Y387">
            <v>23418.53</v>
          </cell>
          <cell r="Z387">
            <v>0.5</v>
          </cell>
          <cell r="AA387">
            <v>11709.264999999999</v>
          </cell>
          <cell r="AB387" t="str">
            <v>IS</v>
          </cell>
        </row>
        <row r="388"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H388">
            <v>1</v>
          </cell>
          <cell r="O388">
            <v>380411</v>
          </cell>
          <cell r="P388" t="str">
            <v>2024/068-0057-01</v>
          </cell>
          <cell r="Q388" t="str">
            <v>EST TAMPO MONDRIAN (PEDRA 1) (BRANCO PARANA LEVIGADO)</v>
          </cell>
          <cell r="R388"/>
          <cell r="S388"/>
          <cell r="T388">
            <v>1.47</v>
          </cell>
          <cell r="U388">
            <v>0.42</v>
          </cell>
          <cell r="V388">
            <v>0.02</v>
          </cell>
          <cell r="W388">
            <v>0</v>
          </cell>
          <cell r="X388" t="str">
            <v>EST TAMPO MONDRIAN (PEDRA 1) (BRANCO PARANA LEVIGADO) - 1,47x0,42x0,02H</v>
          </cell>
          <cell r="Y388">
            <v>23418.53</v>
          </cell>
          <cell r="Z388">
            <v>0.5</v>
          </cell>
          <cell r="AA388">
            <v>11709.264999999999</v>
          </cell>
          <cell r="AB388" t="str">
            <v>IS</v>
          </cell>
        </row>
        <row r="389"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H389">
            <v>4</v>
          </cell>
          <cell r="O389">
            <v>379868</v>
          </cell>
          <cell r="P389" t="str">
            <v>2024/068-0044-01</v>
          </cell>
          <cell r="Q389" t="str">
            <v>EST BASE CENTRO MONDRIAN (LAMINA CARV BRANCO)</v>
          </cell>
          <cell r="R389"/>
          <cell r="S389"/>
          <cell r="T389">
            <v>1.8</v>
          </cell>
          <cell r="U389">
            <v>0.45</v>
          </cell>
          <cell r="V389">
            <v>0.24</v>
          </cell>
          <cell r="W389">
            <v>0</v>
          </cell>
          <cell r="X389" t="str">
            <v>EST BASE CENTRO MONDRIAN (LAMINA CARV BRANCO) - 1,8x0,45x0,24H</v>
          </cell>
          <cell r="Y389">
            <v>23418.53</v>
          </cell>
          <cell r="Z389">
            <v>0.5</v>
          </cell>
          <cell r="AA389">
            <v>11709.264999999999</v>
          </cell>
          <cell r="AB389" t="str">
            <v>IT</v>
          </cell>
        </row>
        <row r="390"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H390">
            <v>1</v>
          </cell>
          <cell r="O390">
            <v>380411</v>
          </cell>
          <cell r="P390" t="str">
            <v>2024/068-0058-01</v>
          </cell>
          <cell r="Q390" t="str">
            <v>EST TAMPO MONDRIAN (PEDRA 1) (BRANCO PARANA LEVIGADO)</v>
          </cell>
          <cell r="R390"/>
          <cell r="S390"/>
          <cell r="T390">
            <v>1.47</v>
          </cell>
          <cell r="U390">
            <v>0.42</v>
          </cell>
          <cell r="V390">
            <v>0.02</v>
          </cell>
          <cell r="W390">
            <v>0</v>
          </cell>
          <cell r="X390" t="str">
            <v>EST TAMPO MONDRIAN (PEDRA 1) (BRANCO PARANA LEVIGADO) - 1,47x0,42x0,02H</v>
          </cell>
          <cell r="Y390">
            <v>23418.53</v>
          </cell>
          <cell r="Z390">
            <v>0.5</v>
          </cell>
          <cell r="AA390">
            <v>11709.264999999999</v>
          </cell>
          <cell r="AB390" t="str">
            <v>IT</v>
          </cell>
        </row>
        <row r="391">
          <cell r="C391">
            <v>1</v>
          </cell>
          <cell r="D391">
            <v>0</v>
          </cell>
          <cell r="E391">
            <v>0</v>
          </cell>
          <cell r="F391">
            <v>0</v>
          </cell>
          <cell r="H391">
            <v>0</v>
          </cell>
          <cell r="O391">
            <v>374381</v>
          </cell>
          <cell r="P391" t="str">
            <v>2024/026-0068-01</v>
          </cell>
          <cell r="Q391" t="str">
            <v>EST MODULO ANGULAR B/DIR HIMALAYA (CON) TC CRAFTED GLAZE</v>
          </cell>
          <cell r="R391"/>
          <cell r="S391"/>
          <cell r="T391">
            <v>2</v>
          </cell>
          <cell r="U391">
            <v>1.05</v>
          </cell>
          <cell r="V391">
            <v>0.74</v>
          </cell>
          <cell r="W391">
            <v>0</v>
          </cell>
          <cell r="X391" t="str">
            <v>EST MODULO ANGULAR B/DIR HIMALAYA (CON) TC CRAFTED GLAZE - 2x1,05x0,74H</v>
          </cell>
          <cell r="Y391">
            <v>71288.620899999994</v>
          </cell>
          <cell r="Z391">
            <v>0.35</v>
          </cell>
          <cell r="AA391">
            <v>46337.603584999997</v>
          </cell>
          <cell r="AB391" t="str">
            <v>IU</v>
          </cell>
        </row>
        <row r="392">
          <cell r="C392">
            <v>1</v>
          </cell>
          <cell r="D392">
            <v>0</v>
          </cell>
          <cell r="E392">
            <v>0</v>
          </cell>
          <cell r="F392">
            <v>0</v>
          </cell>
          <cell r="H392">
            <v>0</v>
          </cell>
          <cell r="O392">
            <v>374382</v>
          </cell>
          <cell r="P392" t="str">
            <v>2024/026-0069-01</v>
          </cell>
          <cell r="Q392" t="str">
            <v>EST MODULO ANGULAR DIR S/B HIMALAYA (CON) TC CRAFTED GLAZE</v>
          </cell>
          <cell r="R392"/>
          <cell r="S392"/>
          <cell r="T392">
            <v>2</v>
          </cell>
          <cell r="U392">
            <v>1.05</v>
          </cell>
          <cell r="V392">
            <v>0.74</v>
          </cell>
          <cell r="W392">
            <v>0</v>
          </cell>
          <cell r="X392" t="str">
            <v>EST MODULO ANGULAR DIR S/B HIMALAYA (CON) TC CRAFTED GLAZE - 2x1,05x0,74H</v>
          </cell>
          <cell r="Y392">
            <v>71288.620899999994</v>
          </cell>
          <cell r="Z392">
            <v>0.35</v>
          </cell>
          <cell r="AA392">
            <v>46337.603584999997</v>
          </cell>
          <cell r="AB392" t="str">
            <v>IU</v>
          </cell>
        </row>
        <row r="393">
          <cell r="C393">
            <v>1</v>
          </cell>
          <cell r="D393">
            <v>0</v>
          </cell>
          <cell r="E393">
            <v>0</v>
          </cell>
          <cell r="F393">
            <v>0</v>
          </cell>
          <cell r="H393">
            <v>0</v>
          </cell>
          <cell r="O393">
            <v>374383</v>
          </cell>
          <cell r="P393" t="str">
            <v>2024/026-0070-01</v>
          </cell>
          <cell r="Q393" t="str">
            <v>EST MODULO PUFF HIMALAYA (CON) TC CRAFTED GLAZE</v>
          </cell>
          <cell r="R393"/>
          <cell r="S393"/>
          <cell r="T393">
            <v>1.05</v>
          </cell>
          <cell r="U393">
            <v>1.05</v>
          </cell>
          <cell r="V393">
            <v>0.42</v>
          </cell>
          <cell r="W393">
            <v>0</v>
          </cell>
          <cell r="X393" t="str">
            <v>EST MODULO PUFF HIMALAYA (CON) TC CRAFTED GLAZE - 1,05x1,05x0,42H</v>
          </cell>
          <cell r="Y393">
            <v>71288.620899999994</v>
          </cell>
          <cell r="Z393">
            <v>0.35</v>
          </cell>
          <cell r="AA393">
            <v>46337.603584999997</v>
          </cell>
          <cell r="AB393" t="str">
            <v>IU</v>
          </cell>
        </row>
        <row r="394"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H394">
            <v>0</v>
          </cell>
          <cell r="O394">
            <v>379663</v>
          </cell>
          <cell r="P394" t="str">
            <v>2024/099-0033-01</v>
          </cell>
          <cell r="Q394" t="str">
            <v>EST MODULO CHAISE B/DIR NEW ARAGON (B20) (MTZ CAPU) TC B2271</v>
          </cell>
          <cell r="R394"/>
          <cell r="S394"/>
          <cell r="T394">
            <v>1.2</v>
          </cell>
          <cell r="U394">
            <v>1.6</v>
          </cell>
          <cell r="V394">
            <v>0.92</v>
          </cell>
          <cell r="W394">
            <v>0</v>
          </cell>
          <cell r="X394" t="str">
            <v>EST MODULO CHAISE B/DIR NEW ARAGON (B20) (MTZ CAPU) TC B2271 - 1,2x1,6x0,92H</v>
          </cell>
          <cell r="Y394">
            <v>65107.08</v>
          </cell>
          <cell r="Z394">
            <v>0.35</v>
          </cell>
          <cell r="AA394">
            <v>42319.601999999999</v>
          </cell>
          <cell r="AB394" t="str">
            <v>IV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O395">
            <v>379681</v>
          </cell>
          <cell r="P395" t="str">
            <v>2024/099-0034-01</v>
          </cell>
          <cell r="Q395" t="str">
            <v>EST MODULO PUFF C/AP NEW ARAGON (WALNUT/CAPU) TC B2271</v>
          </cell>
          <cell r="R395"/>
          <cell r="S395"/>
          <cell r="T395">
            <v>1.25</v>
          </cell>
          <cell r="U395">
            <v>1.25</v>
          </cell>
          <cell r="V395">
            <v>0.45</v>
          </cell>
          <cell r="W395">
            <v>0</v>
          </cell>
          <cell r="X395" t="str">
            <v>EST MODULO PUFF C/AP NEW ARAGON (WALNUT/CAPU) TC B2271 - 1,25x1,25x0,45H</v>
          </cell>
          <cell r="Y395">
            <v>65107.08</v>
          </cell>
          <cell r="Z395">
            <v>0.35</v>
          </cell>
          <cell r="AA395">
            <v>42319.601999999999</v>
          </cell>
          <cell r="AB395" t="str">
            <v>IV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H396">
            <v>0</v>
          </cell>
          <cell r="O396">
            <v>379895</v>
          </cell>
          <cell r="P396" t="str">
            <v>2024/099-0035-01</v>
          </cell>
          <cell r="Q396" t="str">
            <v>EST MODULO B/ESQ NEW ARAGON (B20) (MTZ CAPU) TC B2271</v>
          </cell>
          <cell r="R396"/>
          <cell r="S396"/>
          <cell r="T396">
            <v>1.2</v>
          </cell>
          <cell r="U396">
            <v>1</v>
          </cell>
          <cell r="V396">
            <v>0.92</v>
          </cell>
          <cell r="W396">
            <v>0</v>
          </cell>
          <cell r="X396" t="str">
            <v>EST MODULO B/ESQ NEW ARAGON (B20) (MTZ CAPU) TC B2271 - 1,2x1x0,92H</v>
          </cell>
          <cell r="Y396">
            <v>65107.08</v>
          </cell>
          <cell r="Z396">
            <v>0.35</v>
          </cell>
          <cell r="AA396">
            <v>42319.601999999999</v>
          </cell>
          <cell r="AB396" t="str">
            <v>IV</v>
          </cell>
        </row>
        <row r="397"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H397">
            <v>0</v>
          </cell>
          <cell r="O397">
            <v>379896</v>
          </cell>
          <cell r="P397" t="str">
            <v>2024/099-0036-01</v>
          </cell>
          <cell r="Q397" t="str">
            <v>EST MODULO S/BRACO NEW ARAGON (MTZ CAPU) TC B2271</v>
          </cell>
          <cell r="R397"/>
          <cell r="S397"/>
          <cell r="T397">
            <v>1</v>
          </cell>
          <cell r="U397">
            <v>1</v>
          </cell>
          <cell r="V397">
            <v>0.92</v>
          </cell>
          <cell r="W397">
            <v>0</v>
          </cell>
          <cell r="X397" t="str">
            <v>EST MODULO S/BRACO NEW ARAGON (MTZ CAPU) TC B2271 - 1x1x0,92H</v>
          </cell>
          <cell r="Y397">
            <v>65107.08</v>
          </cell>
          <cell r="Z397">
            <v>0.35</v>
          </cell>
          <cell r="AA397">
            <v>42319.601999999999</v>
          </cell>
          <cell r="AB397" t="str">
            <v>IV</v>
          </cell>
        </row>
        <row r="398"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H398">
            <v>1</v>
          </cell>
          <cell r="O398">
            <v>379925</v>
          </cell>
          <cell r="P398" t="str">
            <v>2024/095-0015-01</v>
          </cell>
          <cell r="Q398" t="str">
            <v>EST MODULO CHAISE BRACO DIR SONETTO (D4139)</v>
          </cell>
          <cell r="R398"/>
          <cell r="S398"/>
          <cell r="T398">
            <v>1.55</v>
          </cell>
          <cell r="U398">
            <v>1.75</v>
          </cell>
          <cell r="V398">
            <v>0.8</v>
          </cell>
          <cell r="W398">
            <v>0</v>
          </cell>
          <cell r="X398" t="str">
            <v>EST MODULO CHAISE BRACO DIR SONETTO (D4139) - 1,55x1,75x0,8H</v>
          </cell>
          <cell r="Y398">
            <v>63418.7</v>
          </cell>
          <cell r="Z398">
            <v>0.5</v>
          </cell>
          <cell r="AA398">
            <v>31709.35</v>
          </cell>
          <cell r="AB398" t="str">
            <v>IW</v>
          </cell>
        </row>
        <row r="399"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H399">
            <v>1</v>
          </cell>
          <cell r="O399">
            <v>379927</v>
          </cell>
          <cell r="P399" t="str">
            <v>2024/095-0016-01</v>
          </cell>
          <cell r="Q399" t="str">
            <v>EST MODULO CHAISE BRACO ESQ SONETTO (D4139)</v>
          </cell>
          <cell r="R399"/>
          <cell r="S399"/>
          <cell r="T399">
            <v>1.55</v>
          </cell>
          <cell r="U399">
            <v>1.75</v>
          </cell>
          <cell r="V399">
            <v>0.8</v>
          </cell>
          <cell r="W399">
            <v>0</v>
          </cell>
          <cell r="X399" t="str">
            <v>EST MODULO CHAISE BRACO ESQ SONETTO (D4139) - 1,55x1,75x0,8H</v>
          </cell>
          <cell r="Y399">
            <v>63418.7</v>
          </cell>
          <cell r="Z399">
            <v>0.5</v>
          </cell>
          <cell r="AA399">
            <v>31709.35</v>
          </cell>
          <cell r="AB399" t="str">
            <v>IW</v>
          </cell>
        </row>
        <row r="400">
          <cell r="C400">
            <v>0</v>
          </cell>
          <cell r="D400">
            <v>0</v>
          </cell>
          <cell r="E400">
            <v>1</v>
          </cell>
          <cell r="F400">
            <v>0</v>
          </cell>
          <cell r="H400">
            <v>0</v>
          </cell>
          <cell r="O400">
            <v>379983</v>
          </cell>
          <cell r="P400" t="str">
            <v>2024/113-0046-01</v>
          </cell>
          <cell r="Q400" t="str">
            <v>EST MODULO BRACO ESQ LAGO (TC E5139)</v>
          </cell>
          <cell r="R400"/>
          <cell r="S400"/>
          <cell r="T400">
            <v>1.5</v>
          </cell>
          <cell r="U400">
            <v>1.2</v>
          </cell>
          <cell r="V400">
            <v>0.85</v>
          </cell>
          <cell r="W400">
            <v>0</v>
          </cell>
          <cell r="X400" t="str">
            <v>EST MODULO BRACO ESQ LAGO (TC E5139) - 1,5x1,2x0,85H</v>
          </cell>
          <cell r="Y400">
            <v>46778.21</v>
          </cell>
          <cell r="Z400">
            <v>0.35</v>
          </cell>
          <cell r="AA400">
            <v>30405.836500000001</v>
          </cell>
          <cell r="AB400" t="str">
            <v>IX</v>
          </cell>
        </row>
        <row r="401">
          <cell r="C401">
            <v>0</v>
          </cell>
          <cell r="D401">
            <v>0</v>
          </cell>
          <cell r="E401">
            <v>1</v>
          </cell>
          <cell r="F401">
            <v>0</v>
          </cell>
          <cell r="H401">
            <v>0</v>
          </cell>
          <cell r="O401">
            <v>379984</v>
          </cell>
          <cell r="P401" t="str">
            <v>2024/113-0047-01</v>
          </cell>
          <cell r="Q401" t="str">
            <v>EST MODULO BRACO DIR LAGO (E5139)</v>
          </cell>
          <cell r="R401"/>
          <cell r="S401"/>
          <cell r="T401">
            <v>1.5</v>
          </cell>
          <cell r="U401">
            <v>1.2</v>
          </cell>
          <cell r="V401">
            <v>0.85</v>
          </cell>
          <cell r="W401">
            <v>0</v>
          </cell>
          <cell r="X401" t="str">
            <v>EST MODULO BRACO DIR LAGO (E5139) - 1,5x1,2x0,85H</v>
          </cell>
          <cell r="Y401">
            <v>46778.21</v>
          </cell>
          <cell r="Z401">
            <v>0.35</v>
          </cell>
          <cell r="AA401">
            <v>30405.836500000001</v>
          </cell>
          <cell r="AB401" t="str">
            <v>IX</v>
          </cell>
        </row>
        <row r="402">
          <cell r="C402">
            <v>0</v>
          </cell>
          <cell r="D402">
            <v>0</v>
          </cell>
          <cell r="E402">
            <v>1</v>
          </cell>
          <cell r="F402">
            <v>0</v>
          </cell>
          <cell r="H402">
            <v>0</v>
          </cell>
          <cell r="O402">
            <v>379985</v>
          </cell>
          <cell r="P402" t="str">
            <v>2024/113-0048-01</v>
          </cell>
          <cell r="Q402" t="str">
            <v>EST KIT MOTORIZADO TOUCH (ABERTURA 40) (2 ASSENTOS)</v>
          </cell>
          <cell r="R402"/>
          <cell r="S402"/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EST KIT MOTORIZADO TOUCH (ABERTURA 40) (2 ASSENTOS) - Ø0x0H</v>
          </cell>
          <cell r="Y402">
            <v>46778.21</v>
          </cell>
          <cell r="Z402">
            <v>0.35</v>
          </cell>
          <cell r="AA402">
            <v>30405.836500000001</v>
          </cell>
          <cell r="AB402" t="str">
            <v>IX</v>
          </cell>
        </row>
        <row r="403">
          <cell r="C403">
            <v>0</v>
          </cell>
          <cell r="D403">
            <v>1</v>
          </cell>
          <cell r="E403">
            <v>0</v>
          </cell>
          <cell r="F403">
            <v>0</v>
          </cell>
          <cell r="H403">
            <v>0</v>
          </cell>
          <cell r="O403">
            <v>379929</v>
          </cell>
          <cell r="P403" t="str">
            <v>2024/116-0009-01</v>
          </cell>
          <cell r="Q403" t="str">
            <v>EST MODULO BRACO ESQ LAGO (TC D4119)</v>
          </cell>
          <cell r="R403"/>
          <cell r="S403"/>
          <cell r="T403">
            <v>1.3</v>
          </cell>
          <cell r="U403">
            <v>1.2</v>
          </cell>
          <cell r="V403">
            <v>0.85</v>
          </cell>
          <cell r="W403">
            <v>0</v>
          </cell>
          <cell r="X403" t="str">
            <v>EST MODULO BRACO ESQ LAGO (TC D4119) - 1,3x1,2x0,85H</v>
          </cell>
          <cell r="Y403">
            <v>42437.590000000004</v>
          </cell>
          <cell r="Z403">
            <v>0.35</v>
          </cell>
          <cell r="AA403">
            <v>27584.433500000003</v>
          </cell>
          <cell r="AB403" t="str">
            <v>IY</v>
          </cell>
        </row>
        <row r="404">
          <cell r="C404">
            <v>0</v>
          </cell>
          <cell r="D404">
            <v>1</v>
          </cell>
          <cell r="E404">
            <v>0</v>
          </cell>
          <cell r="F404">
            <v>0</v>
          </cell>
          <cell r="H404">
            <v>0</v>
          </cell>
          <cell r="O404">
            <v>379930</v>
          </cell>
          <cell r="P404" t="str">
            <v>2024/116-0010-01</v>
          </cell>
          <cell r="Q404" t="str">
            <v>EST MODULO S/BRACO LAGO (TC D4119)</v>
          </cell>
          <cell r="R404"/>
          <cell r="S404"/>
          <cell r="T404">
            <v>1</v>
          </cell>
          <cell r="U404">
            <v>1.2</v>
          </cell>
          <cell r="V404">
            <v>0.85</v>
          </cell>
          <cell r="W404">
            <v>0</v>
          </cell>
          <cell r="X404" t="str">
            <v>EST MODULO S/BRACO LAGO (TC D4119) - 1x1,2x0,85H</v>
          </cell>
          <cell r="Y404">
            <v>42437.590000000004</v>
          </cell>
          <cell r="Z404">
            <v>0.35</v>
          </cell>
          <cell r="AA404">
            <v>27584.433500000003</v>
          </cell>
          <cell r="AB404" t="str">
            <v>IY</v>
          </cell>
        </row>
        <row r="405">
          <cell r="C405">
            <v>0</v>
          </cell>
          <cell r="D405">
            <v>1</v>
          </cell>
          <cell r="E405">
            <v>0</v>
          </cell>
          <cell r="F405">
            <v>0</v>
          </cell>
          <cell r="H405">
            <v>0</v>
          </cell>
          <cell r="O405">
            <v>379982</v>
          </cell>
          <cell r="P405" t="str">
            <v>2024/116-0011-01</v>
          </cell>
          <cell r="Q405" t="str">
            <v>EST MODULO BRACO DIR LAGO (TC D4119)</v>
          </cell>
          <cell r="R405"/>
          <cell r="S405"/>
          <cell r="T405">
            <v>1.3</v>
          </cell>
          <cell r="U405">
            <v>1.2</v>
          </cell>
          <cell r="V405">
            <v>0.85</v>
          </cell>
          <cell r="W405">
            <v>0</v>
          </cell>
          <cell r="X405" t="str">
            <v>EST MODULO BRACO DIR LAGO (TC D4119) - 1,3x1,2x0,85H</v>
          </cell>
          <cell r="Y405">
            <v>42437.590000000004</v>
          </cell>
          <cell r="Z405">
            <v>0.35</v>
          </cell>
          <cell r="AA405">
            <v>27584.433500000003</v>
          </cell>
          <cell r="AB405" t="str">
            <v>IY</v>
          </cell>
        </row>
        <row r="406"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H406">
            <v>1</v>
          </cell>
          <cell r="O406">
            <v>379917</v>
          </cell>
          <cell r="P406" t="str">
            <v>2024/095-0011-01</v>
          </cell>
          <cell r="Q406" t="str">
            <v>EST MODULO S/BRACO SONETTO SMALL (D4236)</v>
          </cell>
          <cell r="R406"/>
          <cell r="S406"/>
          <cell r="T406">
            <v>1.1000000000000001</v>
          </cell>
          <cell r="U406">
            <v>1.1499999999999999</v>
          </cell>
          <cell r="V406">
            <v>0.8</v>
          </cell>
          <cell r="W406">
            <v>0</v>
          </cell>
          <cell r="X406" t="str">
            <v>EST MODULO S/BRACO SONETTO SMALL (D4236) - 1,1x1,15x0,8H</v>
          </cell>
          <cell r="Y406">
            <v>69265.460000000006</v>
          </cell>
          <cell r="Z406">
            <v>0.35</v>
          </cell>
          <cell r="AA406">
            <v>45022.549000000006</v>
          </cell>
          <cell r="AB406" t="str">
            <v>JÁ</v>
          </cell>
        </row>
        <row r="407"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H407">
            <v>1</v>
          </cell>
          <cell r="O407">
            <v>379920</v>
          </cell>
          <cell r="P407" t="str">
            <v>2024/095-0012-01</v>
          </cell>
          <cell r="Q407" t="str">
            <v>EST MODULO BRACO ESQ SONETTO SMALL (D4236)</v>
          </cell>
          <cell r="R407"/>
          <cell r="S407"/>
          <cell r="T407">
            <v>1.35</v>
          </cell>
          <cell r="U407">
            <v>1.1499999999999999</v>
          </cell>
          <cell r="V407">
            <v>0.8</v>
          </cell>
          <cell r="W407">
            <v>0</v>
          </cell>
          <cell r="X407" t="str">
            <v>EST MODULO BRACO ESQ SONETTO SMALL (D4236) - 1,35x1,15x0,8H</v>
          </cell>
          <cell r="Y407">
            <v>69265.460000000006</v>
          </cell>
          <cell r="Z407">
            <v>0.35</v>
          </cell>
          <cell r="AA407">
            <v>45022.549000000006</v>
          </cell>
          <cell r="AB407" t="str">
            <v>JÁ</v>
          </cell>
        </row>
        <row r="408"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H408">
            <v>1</v>
          </cell>
          <cell r="O408">
            <v>379915</v>
          </cell>
          <cell r="P408" t="str">
            <v>2024/095-0010-01</v>
          </cell>
          <cell r="Q408" t="str">
            <v>EST MODULO CHAISE BRACO DIREITO SONETTO SMALL (D4236)</v>
          </cell>
          <cell r="R408"/>
          <cell r="S408"/>
          <cell r="T408">
            <v>1.35</v>
          </cell>
          <cell r="U408">
            <v>1.55</v>
          </cell>
          <cell r="V408">
            <v>0.8</v>
          </cell>
          <cell r="W408">
            <v>0</v>
          </cell>
          <cell r="X408" t="str">
            <v>EST MODULO CHAISE BRACO DIREITO SONETTO SMALL (D4236) - 1,35x1,55x0,8H</v>
          </cell>
          <cell r="Y408">
            <v>69265.460000000006</v>
          </cell>
          <cell r="Z408">
            <v>0.35</v>
          </cell>
          <cell r="AA408">
            <v>45022.549000000006</v>
          </cell>
          <cell r="AB408" t="str">
            <v>JÁ</v>
          </cell>
        </row>
        <row r="409"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H409">
            <v>1</v>
          </cell>
          <cell r="O409">
            <v>379922</v>
          </cell>
          <cell r="P409" t="str">
            <v>2024/095-0013-01</v>
          </cell>
          <cell r="Q409" t="str">
            <v>EST MODULO CHAISE BRACO ESQ SONETTO (G7138)</v>
          </cell>
          <cell r="R409"/>
          <cell r="S409"/>
          <cell r="T409">
            <v>1.75</v>
          </cell>
          <cell r="U409">
            <v>1.75</v>
          </cell>
          <cell r="V409">
            <v>0.8</v>
          </cell>
          <cell r="W409">
            <v>0</v>
          </cell>
          <cell r="X409" t="str">
            <v>EST MODULO CHAISE BRACO ESQ SONETTO (G7138) - 1,75x1,75x0,8H</v>
          </cell>
          <cell r="Y409">
            <v>76597.600000000006</v>
          </cell>
          <cell r="Z409">
            <v>0.35</v>
          </cell>
          <cell r="AA409">
            <v>49788.44</v>
          </cell>
          <cell r="AB409" t="str">
            <v>JB</v>
          </cell>
        </row>
        <row r="410"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H410">
            <v>1</v>
          </cell>
          <cell r="O410">
            <v>379923</v>
          </cell>
          <cell r="P410" t="str">
            <v>2024/095-0014-01</v>
          </cell>
          <cell r="Q410" t="str">
            <v>EST MODULO S/BRACO C/AVANCO DIR SONETTO (G7138)</v>
          </cell>
          <cell r="R410"/>
          <cell r="S410"/>
          <cell r="T410">
            <v>2.1</v>
          </cell>
          <cell r="U410">
            <v>1.35</v>
          </cell>
          <cell r="V410">
            <v>0.8</v>
          </cell>
          <cell r="W410">
            <v>0</v>
          </cell>
          <cell r="X410" t="str">
            <v>EST MODULO S/BRACO C/AVANCO DIR SONETTO (G7138) - 2,1x1,35x0,8H</v>
          </cell>
          <cell r="Y410">
            <v>76597.600000000006</v>
          </cell>
          <cell r="Z410">
            <v>0.35</v>
          </cell>
          <cell r="AA410">
            <v>49788.44</v>
          </cell>
          <cell r="AB410" t="str">
            <v>JB</v>
          </cell>
        </row>
        <row r="411">
          <cell r="C411">
            <v>0</v>
          </cell>
          <cell r="D411">
            <v>0</v>
          </cell>
          <cell r="E411">
            <v>1</v>
          </cell>
          <cell r="F411">
            <v>0</v>
          </cell>
          <cell r="H411">
            <v>0</v>
          </cell>
          <cell r="O411">
            <v>379654</v>
          </cell>
          <cell r="P411" t="str">
            <v>2024/099-0028-01</v>
          </cell>
          <cell r="Q411" t="str">
            <v>EST MODULO B/ESQ NEW ARAGON (1AS) (B10) (MTX PT) TC D4237</v>
          </cell>
          <cell r="R411"/>
          <cell r="S411"/>
          <cell r="T411">
            <v>1.1000000000000001</v>
          </cell>
          <cell r="U411">
            <v>1</v>
          </cell>
          <cell r="V411">
            <v>0.92</v>
          </cell>
          <cell r="W411">
            <v>0</v>
          </cell>
          <cell r="X411" t="str">
            <v>EST MODULO B/ESQ NEW ARAGON (1AS) (B10) (MTX PT) TC D4237 - 1,1x1x0,92H</v>
          </cell>
          <cell r="Y411">
            <v>62874.2</v>
          </cell>
          <cell r="Z411">
            <v>0.35</v>
          </cell>
          <cell r="AA411">
            <v>40868.229999999996</v>
          </cell>
          <cell r="AB411" t="str">
            <v>JC</v>
          </cell>
        </row>
        <row r="412">
          <cell r="C412">
            <v>0</v>
          </cell>
          <cell r="D412">
            <v>0</v>
          </cell>
          <cell r="E412">
            <v>1</v>
          </cell>
          <cell r="F412">
            <v>0</v>
          </cell>
          <cell r="H412">
            <v>0</v>
          </cell>
          <cell r="O412">
            <v>379655</v>
          </cell>
          <cell r="P412" t="str">
            <v>2024/099-0029-01</v>
          </cell>
          <cell r="Q412" t="str">
            <v>EST MODULO S/BRACO CURVO NEW ARAGON (MTX PT) TC D4237</v>
          </cell>
          <cell r="R412"/>
          <cell r="S412"/>
          <cell r="T412">
            <v>2.1</v>
          </cell>
          <cell r="U412">
            <v>1.4</v>
          </cell>
          <cell r="V412">
            <v>0.92</v>
          </cell>
          <cell r="W412">
            <v>0</v>
          </cell>
          <cell r="X412" t="str">
            <v>EST MODULO S/BRACO CURVO NEW ARAGON (MTX PT) TC D4237 - 2,1x1,4x0,92H</v>
          </cell>
          <cell r="Y412">
            <v>62874.2</v>
          </cell>
          <cell r="Z412">
            <v>0.35</v>
          </cell>
          <cell r="AA412">
            <v>40868.229999999996</v>
          </cell>
          <cell r="AB412" t="str">
            <v>JC</v>
          </cell>
        </row>
        <row r="413">
          <cell r="C413">
            <v>0</v>
          </cell>
          <cell r="D413">
            <v>0</v>
          </cell>
          <cell r="E413">
            <v>1</v>
          </cell>
          <cell r="F413">
            <v>0</v>
          </cell>
          <cell r="H413">
            <v>0</v>
          </cell>
          <cell r="O413">
            <v>379656</v>
          </cell>
          <cell r="P413" t="str">
            <v>2024/099-0030-01</v>
          </cell>
          <cell r="Q413" t="str">
            <v>EST MODULO CHAISE B/DIR NEW ARAGON (B30) (MTX PT) TC D4237</v>
          </cell>
          <cell r="R413"/>
          <cell r="S413"/>
          <cell r="T413">
            <v>1.2</v>
          </cell>
          <cell r="U413">
            <v>1.6</v>
          </cell>
          <cell r="V413">
            <v>0.92</v>
          </cell>
          <cell r="W413">
            <v>0</v>
          </cell>
          <cell r="X413" t="str">
            <v>EST MODULO CHAISE B/DIR NEW ARAGON (B30) (MTX PT) TC D4237 - 1,2x1,6x0,92H</v>
          </cell>
          <cell r="Y413">
            <v>62874.2</v>
          </cell>
          <cell r="Z413">
            <v>0.35</v>
          </cell>
          <cell r="AA413">
            <v>40868.229999999996</v>
          </cell>
          <cell r="AB413" t="str">
            <v>JC</v>
          </cell>
        </row>
        <row r="414">
          <cell r="C414">
            <v>0</v>
          </cell>
          <cell r="D414">
            <v>0</v>
          </cell>
          <cell r="E414">
            <v>1</v>
          </cell>
          <cell r="F414">
            <v>0</v>
          </cell>
          <cell r="H414">
            <v>0</v>
          </cell>
          <cell r="O414">
            <v>379657</v>
          </cell>
          <cell r="P414" t="str">
            <v>2024/099-0031-01</v>
          </cell>
          <cell r="Q414" t="str">
            <v>EST APOIO DE CABECA NEW ARAGON (MTX PT) TC D4237</v>
          </cell>
          <cell r="R414"/>
          <cell r="S414"/>
          <cell r="T414">
            <v>0.65</v>
          </cell>
          <cell r="U414">
            <v>0.12</v>
          </cell>
          <cell r="V414">
            <v>0.75</v>
          </cell>
          <cell r="W414">
            <v>0</v>
          </cell>
          <cell r="X414" t="str">
            <v>EST APOIO DE CABECA NEW ARAGON (MTX PT) TC D4237 - 0,65x0,12x0,75H</v>
          </cell>
          <cell r="Y414">
            <v>62874.2</v>
          </cell>
          <cell r="Z414">
            <v>0.35</v>
          </cell>
          <cell r="AA414">
            <v>40868.229999999996</v>
          </cell>
          <cell r="AB414" t="str">
            <v>JC</v>
          </cell>
        </row>
        <row r="415">
          <cell r="C415">
            <v>0</v>
          </cell>
          <cell r="D415">
            <v>0</v>
          </cell>
          <cell r="E415">
            <v>0</v>
          </cell>
          <cell r="F415">
            <v>1</v>
          </cell>
          <cell r="H415">
            <v>0</v>
          </cell>
          <cell r="O415">
            <v>379992</v>
          </cell>
          <cell r="P415" t="str">
            <v>2024/123-0026-01</v>
          </cell>
          <cell r="Q415" t="str">
            <v>EST MODULO BRACO ESQ LAGO (E5139)</v>
          </cell>
          <cell r="R415"/>
          <cell r="S415"/>
          <cell r="T415">
            <v>1.3</v>
          </cell>
          <cell r="U415">
            <v>1.2</v>
          </cell>
          <cell r="V415">
            <v>0.85</v>
          </cell>
          <cell r="W415">
            <v>0</v>
          </cell>
          <cell r="X415" t="str">
            <v>EST MODULO BRACO ESQ LAGO (E5139) - 1,3x1,2x0,85H</v>
          </cell>
          <cell r="Y415">
            <v>62068.07</v>
          </cell>
          <cell r="Z415">
            <v>0.35</v>
          </cell>
          <cell r="AA415">
            <v>40344.245500000005</v>
          </cell>
          <cell r="AB415" t="str">
            <v>JD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1</v>
          </cell>
          <cell r="H416">
            <v>0</v>
          </cell>
          <cell r="O416">
            <v>379993</v>
          </cell>
          <cell r="P416" t="str">
            <v>2024/123-0027-01</v>
          </cell>
          <cell r="Q416" t="str">
            <v>EST MODULO S/BRACO LAGO (E5139)</v>
          </cell>
          <cell r="R416"/>
          <cell r="S416"/>
          <cell r="T416">
            <v>1</v>
          </cell>
          <cell r="U416">
            <v>1.2</v>
          </cell>
          <cell r="V416">
            <v>0.85</v>
          </cell>
          <cell r="W416">
            <v>0</v>
          </cell>
          <cell r="X416" t="str">
            <v>EST MODULO S/BRACO LAGO (E5139) - 1x1,2x0,85H</v>
          </cell>
          <cell r="Y416">
            <v>62068.07</v>
          </cell>
          <cell r="Z416">
            <v>0.35</v>
          </cell>
          <cell r="AA416">
            <v>40344.245500000005</v>
          </cell>
          <cell r="AB416" t="str">
            <v>JD</v>
          </cell>
        </row>
        <row r="417">
          <cell r="C417">
            <v>0</v>
          </cell>
          <cell r="D417">
            <v>0</v>
          </cell>
          <cell r="E417">
            <v>0</v>
          </cell>
          <cell r="F417">
            <v>1</v>
          </cell>
          <cell r="H417">
            <v>0</v>
          </cell>
          <cell r="O417">
            <v>379994</v>
          </cell>
          <cell r="P417" t="str">
            <v>2024/123-0028-01</v>
          </cell>
          <cell r="Q417" t="str">
            <v>EST MODULO BRACO DIREITO LAGO (E5139)</v>
          </cell>
          <cell r="R417"/>
          <cell r="S417"/>
          <cell r="T417">
            <v>1.3</v>
          </cell>
          <cell r="U417">
            <v>1.2</v>
          </cell>
          <cell r="V417">
            <v>0.85</v>
          </cell>
          <cell r="W417">
            <v>0</v>
          </cell>
          <cell r="X417" t="str">
            <v>EST MODULO BRACO DIREITO LAGO (E5139) - 1,3x1,2x0,85H</v>
          </cell>
          <cell r="Y417">
            <v>62068.07</v>
          </cell>
          <cell r="Z417">
            <v>0.35</v>
          </cell>
          <cell r="AA417">
            <v>40344.245500000005</v>
          </cell>
          <cell r="AB417" t="str">
            <v>JD</v>
          </cell>
        </row>
        <row r="418">
          <cell r="C418">
            <v>0</v>
          </cell>
          <cell r="D418">
            <v>0</v>
          </cell>
          <cell r="E418">
            <v>0</v>
          </cell>
          <cell r="F418">
            <v>1</v>
          </cell>
          <cell r="H418">
            <v>0</v>
          </cell>
          <cell r="O418">
            <v>379995</v>
          </cell>
          <cell r="P418" t="str">
            <v>2024/123-0029-01</v>
          </cell>
          <cell r="Q418" t="str">
            <v>EST KIT MOTORIZADO TOUCH (ABERTURA 40) (3 ASSENTOS)</v>
          </cell>
          <cell r="R418"/>
          <cell r="S418"/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 t="str">
            <v>EST KIT MOTORIZADO TOUCH (ABERTURA 40) (3 ASSENTOS) - Ø0x0H</v>
          </cell>
          <cell r="Y418">
            <v>62068.07</v>
          </cell>
          <cell r="Z418">
            <v>0.35</v>
          </cell>
          <cell r="AA418">
            <v>40344.245500000005</v>
          </cell>
          <cell r="AB418" t="str">
            <v>JD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H419">
            <v>1</v>
          </cell>
          <cell r="O419">
            <v>379986</v>
          </cell>
          <cell r="P419" t="str">
            <v>2024/123-0023-01</v>
          </cell>
          <cell r="Q419" t="str">
            <v>EST MODULO CHAISE BRACO ESQ LAGO (D4116)</v>
          </cell>
          <cell r="R419">
            <v>3.6</v>
          </cell>
          <cell r="S419">
            <v>1.6</v>
          </cell>
          <cell r="T419">
            <v>1.3</v>
          </cell>
          <cell r="U419">
            <v>1.6</v>
          </cell>
          <cell r="V419">
            <v>0.85</v>
          </cell>
          <cell r="W419">
            <v>0</v>
          </cell>
          <cell r="X419" t="str">
            <v>EST MODULO CHAISE BRACO ESQ LAGO (D4116) - 1,3x1,6x0,85H</v>
          </cell>
          <cell r="Y419">
            <v>42437.590000000004</v>
          </cell>
          <cell r="Z419">
            <v>0.35</v>
          </cell>
          <cell r="AA419">
            <v>27584.433500000003</v>
          </cell>
          <cell r="AB419" t="str">
            <v>JE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H420">
            <v>1</v>
          </cell>
          <cell r="O420">
            <v>379989</v>
          </cell>
          <cell r="P420" t="str">
            <v>2024/123-0024-01</v>
          </cell>
          <cell r="Q420" t="str">
            <v>EST MODULO S/BRACO LAGO (D4116)</v>
          </cell>
          <cell r="R420">
            <v>3.6</v>
          </cell>
          <cell r="S420">
            <v>1.6</v>
          </cell>
          <cell r="T420">
            <v>1</v>
          </cell>
          <cell r="U420">
            <v>1.2</v>
          </cell>
          <cell r="V420">
            <v>0.85</v>
          </cell>
          <cell r="W420">
            <v>0</v>
          </cell>
          <cell r="X420" t="str">
            <v>EST MODULO S/BRACO LAGO (D4116) - 1x1,2x0,85H</v>
          </cell>
          <cell r="Y420">
            <v>42437.590000000004</v>
          </cell>
          <cell r="Z420">
            <v>0.35</v>
          </cell>
          <cell r="AA420">
            <v>27584.433500000003</v>
          </cell>
          <cell r="AB420" t="str">
            <v>JE</v>
          </cell>
        </row>
        <row r="421"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H421">
            <v>1</v>
          </cell>
          <cell r="O421">
            <v>379991</v>
          </cell>
          <cell r="P421" t="str">
            <v>2024/123-0025-01</v>
          </cell>
          <cell r="Q421" t="str">
            <v>EST MODULO BRACO DIR LAGO (D4116)</v>
          </cell>
          <cell r="R421">
            <v>3.6</v>
          </cell>
          <cell r="S421">
            <v>1.6</v>
          </cell>
          <cell r="T421">
            <v>1.3</v>
          </cell>
          <cell r="U421">
            <v>1.2</v>
          </cell>
          <cell r="V421">
            <v>0.85</v>
          </cell>
          <cell r="W421">
            <v>0</v>
          </cell>
          <cell r="X421" t="str">
            <v>EST MODULO BRACO DIR LAGO (D4116) - 1,3x1,2x0,85H</v>
          </cell>
          <cell r="Y421">
            <v>42437.590000000004</v>
          </cell>
          <cell r="Z421">
            <v>0.35</v>
          </cell>
          <cell r="AA421">
            <v>27584.433500000003</v>
          </cell>
          <cell r="AB421" t="str">
            <v>JE</v>
          </cell>
        </row>
        <row r="422">
          <cell r="C422">
            <v>1</v>
          </cell>
          <cell r="D422">
            <v>1</v>
          </cell>
          <cell r="E422">
            <v>0</v>
          </cell>
          <cell r="F422">
            <v>0</v>
          </cell>
          <cell r="H422">
            <v>0</v>
          </cell>
          <cell r="O422">
            <v>223324</v>
          </cell>
          <cell r="P422" t="str">
            <v>2020/308-0003-01</v>
          </cell>
          <cell r="Q422" t="str">
            <v>EST MESA LATERAL DESK (PINTURA PN) (TP REC MARROM)</v>
          </cell>
          <cell r="R422"/>
          <cell r="S422"/>
          <cell r="T422">
            <v>1</v>
          </cell>
          <cell r="U422">
            <v>0.3</v>
          </cell>
          <cell r="V422">
            <v>0.55000000000000004</v>
          </cell>
          <cell r="W422">
            <v>0</v>
          </cell>
          <cell r="X422" t="str">
            <v>EST MESA LATERAL DESK (PINTURA PN) (TP REC MARROM) - 1x0,3x0,55H</v>
          </cell>
          <cell r="Y422">
            <v>7693.15</v>
          </cell>
          <cell r="Z422">
            <v>0.35</v>
          </cell>
          <cell r="AA422">
            <v>5000.5475000000006</v>
          </cell>
          <cell r="AB422"/>
        </row>
        <row r="423">
          <cell r="C423">
            <v>1</v>
          </cell>
          <cell r="D423">
            <v>0</v>
          </cell>
          <cell r="E423">
            <v>0</v>
          </cell>
          <cell r="F423">
            <v>1</v>
          </cell>
          <cell r="H423">
            <v>0</v>
          </cell>
          <cell r="O423">
            <v>378451</v>
          </cell>
          <cell r="P423" t="str">
            <v>2024/075-0024-01</v>
          </cell>
          <cell r="Q423" t="str">
            <v>EST MESA LATERAL HIMALAYA (CLAS) (TP MARM NUVOLA) (WALNUT)</v>
          </cell>
          <cell r="R423"/>
          <cell r="S423"/>
          <cell r="T423">
            <v>0.7</v>
          </cell>
          <cell r="U423">
            <v>0</v>
          </cell>
          <cell r="V423">
            <v>0.55000000000000004</v>
          </cell>
          <cell r="W423">
            <v>0.7</v>
          </cell>
          <cell r="X423" t="str">
            <v>EST MESA LATERAL HIMALAYA (CLAS) (TP MARM NUVOLA) (WALNUT) - Ø0,7x0,55H</v>
          </cell>
          <cell r="Y423">
            <v>20091.23</v>
          </cell>
          <cell r="Z423">
            <v>0.35</v>
          </cell>
          <cell r="AA423">
            <v>13059.299500000001</v>
          </cell>
          <cell r="AB423"/>
        </row>
        <row r="424">
          <cell r="C424">
            <v>1</v>
          </cell>
          <cell r="D424">
            <v>0</v>
          </cell>
          <cell r="E424">
            <v>0</v>
          </cell>
          <cell r="F424">
            <v>0</v>
          </cell>
          <cell r="H424">
            <v>0</v>
          </cell>
          <cell r="O424">
            <v>378472</v>
          </cell>
          <cell r="P424" t="str">
            <v>2024/081-0003-01</v>
          </cell>
          <cell r="Q424" t="str">
            <v>EST MESA LATERAL HIMALAYA (CLAS) (VD COMUM MTZ STR) (WALNUT)</v>
          </cell>
          <cell r="R424"/>
          <cell r="S424"/>
          <cell r="T424">
            <v>0.5</v>
          </cell>
          <cell r="U424">
            <v>0</v>
          </cell>
          <cell r="V424">
            <v>0.45</v>
          </cell>
          <cell r="W424">
            <v>0.5</v>
          </cell>
          <cell r="X424" t="str">
            <v>EST MESA LATERAL HIMALAYA (CLAS) (VD COMUM MTZ STR) (WALNUT) - Ø0,5x0,45H</v>
          </cell>
          <cell r="Y424">
            <v>9626.85</v>
          </cell>
          <cell r="Z424">
            <v>0.35</v>
          </cell>
          <cell r="AA424">
            <v>6257.4525000000003</v>
          </cell>
          <cell r="AB424"/>
        </row>
        <row r="425">
          <cell r="C425">
            <v>1</v>
          </cell>
          <cell r="D425">
            <v>0</v>
          </cell>
          <cell r="E425">
            <v>1</v>
          </cell>
          <cell r="F425">
            <v>0</v>
          </cell>
          <cell r="H425">
            <v>0</v>
          </cell>
          <cell r="O425">
            <v>324009</v>
          </cell>
          <cell r="P425" t="str">
            <v>2022/090-0043-01</v>
          </cell>
          <cell r="Q425" t="str">
            <v>EST TAPETE TROPICAL (LISO) (1 COR) (10MM) F:5056</v>
          </cell>
          <cell r="R425"/>
          <cell r="S425"/>
          <cell r="T425">
            <v>3.5</v>
          </cell>
          <cell r="U425">
            <v>4.5</v>
          </cell>
          <cell r="V425">
            <v>0.01</v>
          </cell>
          <cell r="W425">
            <v>0</v>
          </cell>
          <cell r="X425" t="str">
            <v>EST TAPETE TROPICAL (LISO) (1 COR) (10MM) F:5056 - 3,5x4,5x0,01H</v>
          </cell>
          <cell r="Y425">
            <v>26671.68</v>
          </cell>
          <cell r="Z425">
            <v>0.35</v>
          </cell>
          <cell r="AA425">
            <v>17336.592000000001</v>
          </cell>
          <cell r="AB425"/>
        </row>
        <row r="426">
          <cell r="C426">
            <v>0</v>
          </cell>
          <cell r="D426">
            <v>0</v>
          </cell>
          <cell r="E426">
            <v>1</v>
          </cell>
          <cell r="F426">
            <v>0</v>
          </cell>
          <cell r="H426">
            <v>0</v>
          </cell>
          <cell r="O426">
            <v>324026</v>
          </cell>
          <cell r="P426" t="str">
            <v>2022/090-0041-01</v>
          </cell>
          <cell r="Q426" t="str">
            <v>EST TAPETE DUNAS (DES) (10MM) F:5018/D:1137/1160/1580/6005</v>
          </cell>
          <cell r="R426"/>
          <cell r="S426"/>
          <cell r="T426">
            <v>3.5</v>
          </cell>
          <cell r="U426">
            <v>4.5</v>
          </cell>
          <cell r="V426">
            <v>0.01</v>
          </cell>
          <cell r="W426">
            <v>0</v>
          </cell>
          <cell r="X426" t="str">
            <v>EST TAPETE DUNAS (DES) (10MM) F:5018/D:1137/1160/1580/6005 - 3,5x4,5x0,01H</v>
          </cell>
          <cell r="Y426">
            <v>40078.079999999994</v>
          </cell>
          <cell r="Z426">
            <v>0.35</v>
          </cell>
          <cell r="AA426">
            <v>26050.751999999997</v>
          </cell>
          <cell r="AB426"/>
        </row>
        <row r="427">
          <cell r="C427">
            <v>0</v>
          </cell>
          <cell r="D427">
            <v>0</v>
          </cell>
          <cell r="E427">
            <v>1</v>
          </cell>
          <cell r="F427">
            <v>0</v>
          </cell>
          <cell r="H427">
            <v>0</v>
          </cell>
          <cell r="O427">
            <v>362426</v>
          </cell>
          <cell r="P427" t="str">
            <v>2023/107-0044-01</v>
          </cell>
          <cell r="Q427" t="str">
            <v>EST CARRINHO BAR ZIMBRO (LAMINA A2 FREIJO NATURAL) CORTEN</v>
          </cell>
          <cell r="R427"/>
          <cell r="S427"/>
          <cell r="T427">
            <v>1.07</v>
          </cell>
          <cell r="U427">
            <v>0.59</v>
          </cell>
          <cell r="V427">
            <v>0.76</v>
          </cell>
          <cell r="W427">
            <v>0</v>
          </cell>
          <cell r="X427" t="str">
            <v>EST CARRINHO BAR ZIMBRO (LAMINA A2 FREIJO NATURAL) CORTEN - 1,07x0,59x0,76H</v>
          </cell>
          <cell r="Y427">
            <v>22046.44</v>
          </cell>
          <cell r="Z427">
            <v>0.35</v>
          </cell>
          <cell r="AA427">
            <v>14330.186</v>
          </cell>
          <cell r="AB427"/>
        </row>
        <row r="428">
          <cell r="C428">
            <v>0</v>
          </cell>
          <cell r="D428">
            <v>1</v>
          </cell>
          <cell r="E428">
            <v>0</v>
          </cell>
          <cell r="F428">
            <v>1</v>
          </cell>
          <cell r="H428">
            <v>3</v>
          </cell>
          <cell r="O428">
            <v>273338</v>
          </cell>
          <cell r="P428" t="str">
            <v>2021/076-0105-01</v>
          </cell>
          <cell r="Q428" t="str">
            <v>EST CADEIRA RAMONA (COURO BOUT LA PAZ PINHAO) PINT PRETA</v>
          </cell>
          <cell r="R428"/>
          <cell r="S428"/>
          <cell r="T428">
            <v>0.5</v>
          </cell>
          <cell r="U428">
            <v>0.56000000000000005</v>
          </cell>
          <cell r="V428">
            <v>0.76</v>
          </cell>
          <cell r="W428">
            <v>0</v>
          </cell>
          <cell r="X428" t="str">
            <v>EST CADEIRA RAMONA (COURO BOUT LA PAZ PINHAO) PINT PRETA - 0,5x0,56x0,76H</v>
          </cell>
          <cell r="Y428">
            <v>10826.37</v>
          </cell>
          <cell r="Z428">
            <v>0.35</v>
          </cell>
          <cell r="AA428">
            <v>7037.1405000000013</v>
          </cell>
          <cell r="AB428"/>
        </row>
        <row r="429">
          <cell r="C429">
            <v>0</v>
          </cell>
          <cell r="D429">
            <v>0</v>
          </cell>
          <cell r="E429">
            <v>0</v>
          </cell>
          <cell r="F429">
            <v>1</v>
          </cell>
          <cell r="H429">
            <v>0</v>
          </cell>
          <cell r="O429">
            <v>378304</v>
          </cell>
          <cell r="P429" t="str">
            <v>2024/050-0009-01</v>
          </cell>
          <cell r="Q429" t="str">
            <v>EST TAPETE TROPICAL (LISO) (1 COR) (10MM) F:1171</v>
          </cell>
          <cell r="R429"/>
          <cell r="S429"/>
          <cell r="T429">
            <v>5.5</v>
          </cell>
          <cell r="U429">
            <v>0.4</v>
          </cell>
          <cell r="V429">
            <v>0.01</v>
          </cell>
          <cell r="W429">
            <v>0</v>
          </cell>
          <cell r="X429" t="str">
            <v>EST TAPETE TROPICAL (LISO) (1 COR) (10MM) F:1171 - 5,5x0,4x0,01H</v>
          </cell>
          <cell r="Y429">
            <v>3725.5680000000002</v>
          </cell>
          <cell r="Z429">
            <v>0.35</v>
          </cell>
          <cell r="AA429">
            <v>2421.6192000000001</v>
          </cell>
          <cell r="AB429"/>
        </row>
        <row r="430">
          <cell r="C430">
            <v>0</v>
          </cell>
          <cell r="D430">
            <v>0</v>
          </cell>
          <cell r="E430">
            <v>0</v>
          </cell>
          <cell r="F430">
            <v>1</v>
          </cell>
          <cell r="H430">
            <v>0</v>
          </cell>
          <cell r="O430">
            <v>378393</v>
          </cell>
          <cell r="P430" t="str">
            <v>2024/050-0010-01</v>
          </cell>
          <cell r="Q430" t="str">
            <v>EST TAPETE TROPICAL (LISO) (1 COR) (10MM) F:1057</v>
          </cell>
          <cell r="R430"/>
          <cell r="S430"/>
          <cell r="T430">
            <v>4</v>
          </cell>
          <cell r="U430">
            <v>1</v>
          </cell>
          <cell r="V430">
            <v>0.01</v>
          </cell>
          <cell r="W430">
            <v>0</v>
          </cell>
          <cell r="X430" t="str">
            <v>EST TAPETE TROPICAL (LISO) (1 COR) (10MM) F:1057 - 4x1x0,01H</v>
          </cell>
          <cell r="Y430">
            <v>6773.76</v>
          </cell>
          <cell r="Z430">
            <v>0.35</v>
          </cell>
          <cell r="AA430">
            <v>4402.9440000000004</v>
          </cell>
          <cell r="AB430"/>
        </row>
        <row r="431">
          <cell r="C431">
            <v>0</v>
          </cell>
          <cell r="D431">
            <v>0</v>
          </cell>
          <cell r="E431">
            <v>0</v>
          </cell>
          <cell r="F431">
            <v>1</v>
          </cell>
          <cell r="H431">
            <v>1</v>
          </cell>
          <cell r="O431">
            <v>378394</v>
          </cell>
          <cell r="P431" t="str">
            <v>2024/030-0069-01</v>
          </cell>
          <cell r="Q431" t="str">
            <v>EST TAPETE TROPICAL (LISO) (1 COR) (10MM) F:5020</v>
          </cell>
          <cell r="R431"/>
          <cell r="S431"/>
          <cell r="T431">
            <v>3</v>
          </cell>
          <cell r="U431">
            <v>1</v>
          </cell>
          <cell r="V431">
            <v>0.01</v>
          </cell>
          <cell r="W431">
            <v>0</v>
          </cell>
          <cell r="X431" t="str">
            <v>EST TAPETE TROPICAL (LISO) (1 COR) (10MM) F:5020 - 3x1x0,01H</v>
          </cell>
          <cell r="Y431">
            <v>5080.32</v>
          </cell>
          <cell r="Z431">
            <v>0.35</v>
          </cell>
          <cell r="AA431">
            <v>3302.2079999999996</v>
          </cell>
          <cell r="AB431"/>
        </row>
        <row r="432">
          <cell r="C432">
            <v>0</v>
          </cell>
          <cell r="D432">
            <v>0</v>
          </cell>
          <cell r="E432">
            <v>0</v>
          </cell>
          <cell r="F432">
            <v>1</v>
          </cell>
          <cell r="H432">
            <v>1</v>
          </cell>
          <cell r="O432">
            <v>378394</v>
          </cell>
          <cell r="P432" t="str">
            <v>2024/030-0070-01</v>
          </cell>
          <cell r="Q432" t="str">
            <v>EST TAPETE TROPICAL (LISO) (1 COR) (10MM) F:5020</v>
          </cell>
          <cell r="R432"/>
          <cell r="S432"/>
          <cell r="T432">
            <v>3</v>
          </cell>
          <cell r="U432">
            <v>1</v>
          </cell>
          <cell r="V432">
            <v>0.01</v>
          </cell>
          <cell r="W432">
            <v>0</v>
          </cell>
          <cell r="X432" t="str">
            <v>EST TAPETE TROPICAL (LISO) (1 COR) (10MM) F:5020 - 3x1x0,01H</v>
          </cell>
          <cell r="Y432">
            <v>5080.32</v>
          </cell>
          <cell r="Z432">
            <v>0.35</v>
          </cell>
          <cell r="AA432">
            <v>3302.2079999999996</v>
          </cell>
          <cell r="AB432"/>
        </row>
        <row r="433">
          <cell r="C433">
            <v>0</v>
          </cell>
          <cell r="D433">
            <v>0</v>
          </cell>
          <cell r="E433">
            <v>0</v>
          </cell>
          <cell r="F433">
            <v>1</v>
          </cell>
          <cell r="H433">
            <v>0</v>
          </cell>
          <cell r="O433">
            <v>378395</v>
          </cell>
          <cell r="P433" t="str">
            <v>2024/030-0071-01</v>
          </cell>
          <cell r="Q433" t="str">
            <v>EST TAPETE TROPICAL (LISO) (1 COR) (10MM) F:89</v>
          </cell>
          <cell r="R433"/>
          <cell r="S433"/>
          <cell r="T433">
            <v>3</v>
          </cell>
          <cell r="U433">
            <v>1</v>
          </cell>
          <cell r="V433">
            <v>0.01</v>
          </cell>
          <cell r="W433">
            <v>0</v>
          </cell>
          <cell r="X433" t="str">
            <v>EST TAPETE TROPICAL (LISO) (1 COR) (10MM) F:89 - 3x1x0,01H</v>
          </cell>
          <cell r="Y433">
            <v>5080.32</v>
          </cell>
          <cell r="Z433">
            <v>0.35</v>
          </cell>
          <cell r="AA433">
            <v>3302.2079999999996</v>
          </cell>
          <cell r="AB433"/>
        </row>
        <row r="434">
          <cell r="C434">
            <v>0</v>
          </cell>
          <cell r="D434">
            <v>0</v>
          </cell>
          <cell r="E434">
            <v>0</v>
          </cell>
          <cell r="F434">
            <v>2</v>
          </cell>
          <cell r="H434">
            <v>0</v>
          </cell>
          <cell r="O434">
            <v>378397</v>
          </cell>
          <cell r="P434" t="str">
            <v>2024/050-0011-01</v>
          </cell>
          <cell r="Q434" t="str">
            <v>EST TAPETE TROPICAL (LISO SOFT) (1 COR) (10MM) F:918</v>
          </cell>
          <cell r="R434"/>
          <cell r="S434"/>
          <cell r="T434">
            <v>4</v>
          </cell>
          <cell r="U434">
            <v>3.32</v>
          </cell>
          <cell r="V434">
            <v>0.01</v>
          </cell>
          <cell r="W434">
            <v>0</v>
          </cell>
          <cell r="X434" t="str">
            <v>EST TAPETE TROPICAL (LISO SOFT) (1 COR) (10MM) F:918 - 4x3,32x0,01H</v>
          </cell>
          <cell r="Y434">
            <v>23976.243200000001</v>
          </cell>
          <cell r="Z434">
            <v>0.35</v>
          </cell>
          <cell r="AA434">
            <v>15584.558080000001</v>
          </cell>
          <cell r="AB434"/>
        </row>
        <row r="435">
          <cell r="C435">
            <v>0</v>
          </cell>
          <cell r="D435">
            <v>0</v>
          </cell>
          <cell r="E435">
            <v>0</v>
          </cell>
          <cell r="F435">
            <v>2</v>
          </cell>
          <cell r="H435">
            <v>0</v>
          </cell>
          <cell r="O435">
            <v>378397</v>
          </cell>
          <cell r="P435" t="str">
            <v>2024/050-0012-01</v>
          </cell>
          <cell r="Q435" t="str">
            <v>EST TAPETE TROPICAL (LISO SOFT) (1 COR) (10MM) F:918</v>
          </cell>
          <cell r="R435"/>
          <cell r="S435"/>
          <cell r="T435">
            <v>4</v>
          </cell>
          <cell r="U435">
            <v>3.32</v>
          </cell>
          <cell r="V435">
            <v>0.01</v>
          </cell>
          <cell r="W435">
            <v>0</v>
          </cell>
          <cell r="X435" t="str">
            <v>EST TAPETE TROPICAL (LISO SOFT) (1 COR) (10MM) F:918 - 4x3,32x0,01H</v>
          </cell>
          <cell r="Y435">
            <v>23976.243200000001</v>
          </cell>
          <cell r="Z435">
            <v>0.35</v>
          </cell>
          <cell r="AA435">
            <v>15584.558080000001</v>
          </cell>
          <cell r="AB435"/>
        </row>
        <row r="436">
          <cell r="C436">
            <v>0</v>
          </cell>
          <cell r="D436">
            <v>1</v>
          </cell>
          <cell r="E436">
            <v>0</v>
          </cell>
          <cell r="F436">
            <v>0</v>
          </cell>
          <cell r="H436">
            <v>0</v>
          </cell>
          <cell r="O436">
            <v>206483</v>
          </cell>
          <cell r="P436" t="str">
            <v>2017/048-0021-01</v>
          </cell>
          <cell r="Q436" t="str">
            <v>EST TAPETE CUSTON NIVEL 04 (14MM) (ESCULPIDO) F:99</v>
          </cell>
          <cell r="R436"/>
          <cell r="S436"/>
          <cell r="T436">
            <v>6</v>
          </cell>
          <cell r="U436">
            <v>4</v>
          </cell>
          <cell r="V436">
            <v>0.01</v>
          </cell>
          <cell r="W436">
            <v>0</v>
          </cell>
          <cell r="X436" t="str">
            <v>EST TAPETE CUSTON NIVEL 04 (14MM) (ESCULPIDO) F:99 - 6x4x0,01H</v>
          </cell>
          <cell r="Y436">
            <v>74726.399999999994</v>
          </cell>
          <cell r="Z436">
            <v>0.35</v>
          </cell>
          <cell r="AA436">
            <v>48572.159999999996</v>
          </cell>
          <cell r="AB436"/>
        </row>
        <row r="437">
          <cell r="C437">
            <v>0</v>
          </cell>
          <cell r="D437">
            <v>1</v>
          </cell>
          <cell r="E437">
            <v>0</v>
          </cell>
          <cell r="F437">
            <v>0</v>
          </cell>
          <cell r="H437">
            <v>0</v>
          </cell>
          <cell r="O437">
            <v>206483</v>
          </cell>
          <cell r="P437" t="str">
            <v>2017/265-0030-01</v>
          </cell>
          <cell r="Q437" t="str">
            <v>EST TAPETE CUSTON NIVEL 04 (14MM) (ESCULPIDO) F:99</v>
          </cell>
          <cell r="R437"/>
          <cell r="S437"/>
          <cell r="T437">
            <v>6</v>
          </cell>
          <cell r="U437">
            <v>4</v>
          </cell>
          <cell r="V437">
            <v>0.01</v>
          </cell>
          <cell r="W437">
            <v>0</v>
          </cell>
          <cell r="X437" t="str">
            <v>EST TAPETE CUSTON NIVEL 04 (14MM) (ESCULPIDO) F:99 - 6x4x0,01H</v>
          </cell>
          <cell r="Y437">
            <v>74726.399999999994</v>
          </cell>
          <cell r="Z437">
            <v>0.35</v>
          </cell>
          <cell r="AA437">
            <v>48572.159999999996</v>
          </cell>
          <cell r="AB437"/>
        </row>
        <row r="438">
          <cell r="C438">
            <v>0</v>
          </cell>
          <cell r="D438">
            <v>1</v>
          </cell>
          <cell r="E438">
            <v>0</v>
          </cell>
          <cell r="F438">
            <v>1</v>
          </cell>
          <cell r="H438">
            <v>3</v>
          </cell>
          <cell r="O438">
            <v>273338</v>
          </cell>
          <cell r="P438" t="str">
            <v>2021/076-0112-01</v>
          </cell>
          <cell r="Q438" t="str">
            <v>EST CADEIRA RAMONA (COURO BOUT LA PAZ PINHAO) PINT PRETA</v>
          </cell>
          <cell r="R438"/>
          <cell r="S438"/>
          <cell r="T438">
            <v>0.5</v>
          </cell>
          <cell r="U438">
            <v>0.56000000000000005</v>
          </cell>
          <cell r="V438">
            <v>0.76</v>
          </cell>
          <cell r="W438">
            <v>0</v>
          </cell>
          <cell r="X438" t="str">
            <v>EST CADEIRA RAMONA (COURO BOUT LA PAZ PINHAO) PINT PRETA - 0,5x0,56x0,76H</v>
          </cell>
          <cell r="Y438">
            <v>10826.37</v>
          </cell>
          <cell r="Z438">
            <v>0.35</v>
          </cell>
          <cell r="AA438">
            <v>7037.1405000000013</v>
          </cell>
          <cell r="AB438"/>
        </row>
        <row r="439">
          <cell r="C439">
            <v>0</v>
          </cell>
          <cell r="D439">
            <v>1</v>
          </cell>
          <cell r="E439">
            <v>0</v>
          </cell>
          <cell r="F439">
            <v>0</v>
          </cell>
          <cell r="H439">
            <v>1</v>
          </cell>
          <cell r="O439">
            <v>273339</v>
          </cell>
          <cell r="P439" t="str">
            <v>2021/068-0153-01</v>
          </cell>
          <cell r="Q439" t="str">
            <v>EST POLTRONA RAMONA (COURO BOUT COURO PRETO) PINT PRETA</v>
          </cell>
          <cell r="R439"/>
          <cell r="S439"/>
          <cell r="T439">
            <v>0.63</v>
          </cell>
          <cell r="U439">
            <v>0.77</v>
          </cell>
          <cell r="V439">
            <v>0.66</v>
          </cell>
          <cell r="W439">
            <v>0</v>
          </cell>
          <cell r="X439" t="str">
            <v>EST POLTRONA RAMONA (COURO BOUT COURO PRETO) PINT PRETA - 0,63x0,77x0,66H</v>
          </cell>
          <cell r="Y439">
            <v>20720.990000000002</v>
          </cell>
          <cell r="Z439">
            <v>0.35</v>
          </cell>
          <cell r="AA439">
            <v>13468.643500000002</v>
          </cell>
          <cell r="AB439"/>
        </row>
        <row r="440">
          <cell r="C440">
            <v>0</v>
          </cell>
          <cell r="D440">
            <v>1</v>
          </cell>
          <cell r="E440">
            <v>0</v>
          </cell>
          <cell r="F440">
            <v>0</v>
          </cell>
          <cell r="H440">
            <v>1</v>
          </cell>
          <cell r="O440">
            <v>273339</v>
          </cell>
          <cell r="P440" t="str">
            <v>2021/068-0152-01</v>
          </cell>
          <cell r="Q440" t="str">
            <v>EST POLTRONA RAMONA (COURO BOUT COURO PRETO) PINT PRETA</v>
          </cell>
          <cell r="R440"/>
          <cell r="S440"/>
          <cell r="T440">
            <v>0.63</v>
          </cell>
          <cell r="U440">
            <v>0.77</v>
          </cell>
          <cell r="V440">
            <v>0.66</v>
          </cell>
          <cell r="W440">
            <v>0</v>
          </cell>
          <cell r="X440" t="str">
            <v>EST POLTRONA RAMONA (COURO BOUT COURO PRETO) PINT PRETA - 0,63x0,77x0,66H</v>
          </cell>
          <cell r="Y440">
            <v>20720.990000000002</v>
          </cell>
          <cell r="Z440">
            <v>0.35</v>
          </cell>
          <cell r="AA440">
            <v>13468.643500000002</v>
          </cell>
          <cell r="AB440"/>
        </row>
        <row r="441">
          <cell r="C441">
            <v>0</v>
          </cell>
          <cell r="D441">
            <v>1</v>
          </cell>
          <cell r="E441">
            <v>0</v>
          </cell>
          <cell r="F441">
            <v>0</v>
          </cell>
          <cell r="H441">
            <v>0</v>
          </cell>
          <cell r="O441">
            <v>324013</v>
          </cell>
          <cell r="P441" t="str">
            <v>2022/101-0067-01</v>
          </cell>
          <cell r="Q441" t="str">
            <v>EST TAPETE AREIA (LST IRR) (10MM) F:1471/D:1136/1237/1362/95</v>
          </cell>
          <cell r="R441"/>
          <cell r="S441"/>
          <cell r="T441">
            <v>3.5</v>
          </cell>
          <cell r="U441">
            <v>5</v>
          </cell>
          <cell r="V441">
            <v>0.01</v>
          </cell>
          <cell r="W441">
            <v>0</v>
          </cell>
          <cell r="X441" t="str">
            <v>EST TAPETE AREIA (LST IRR) (10MM) F:1471/D:1136/1237/1362/95 - 3,5x5x0,01H</v>
          </cell>
          <cell r="Y441">
            <v>44531.199999999997</v>
          </cell>
          <cell r="Z441">
            <v>0.35</v>
          </cell>
          <cell r="AA441">
            <v>28945.279999999999</v>
          </cell>
          <cell r="AB441"/>
        </row>
        <row r="442">
          <cell r="C442">
            <v>0</v>
          </cell>
          <cell r="D442">
            <v>1</v>
          </cell>
          <cell r="E442">
            <v>0</v>
          </cell>
          <cell r="F442">
            <v>0</v>
          </cell>
          <cell r="H442">
            <v>0</v>
          </cell>
          <cell r="O442">
            <v>342299</v>
          </cell>
          <cell r="P442" t="str">
            <v>2022/217-0007-01</v>
          </cell>
          <cell r="Q442" t="str">
            <v>EST TAPETE MATISSE WAVES ROUND 2 (LAT) (10MM) F:1280/D:73</v>
          </cell>
          <cell r="R442"/>
          <cell r="S442"/>
          <cell r="T442">
            <v>4</v>
          </cell>
          <cell r="U442">
            <v>0</v>
          </cell>
          <cell r="V442">
            <v>0.01</v>
          </cell>
          <cell r="W442">
            <v>4</v>
          </cell>
          <cell r="X442" t="str">
            <v>EST TAPETE MATISSE WAVES ROUND 2 (LAT) (10MM) F:1280/D:73 - Ø4x0,01H</v>
          </cell>
          <cell r="Y442">
            <v>46305.279999999999</v>
          </cell>
          <cell r="Z442">
            <v>0.35</v>
          </cell>
          <cell r="AA442">
            <v>30098.432000000001</v>
          </cell>
          <cell r="AB442"/>
        </row>
        <row r="443">
          <cell r="C443">
            <v>0</v>
          </cell>
          <cell r="D443">
            <v>1</v>
          </cell>
          <cell r="E443">
            <v>0</v>
          </cell>
          <cell r="F443">
            <v>0</v>
          </cell>
          <cell r="H443">
            <v>0</v>
          </cell>
          <cell r="O443">
            <v>362427</v>
          </cell>
          <cell r="P443" t="str">
            <v>2023/107-0047-01</v>
          </cell>
          <cell r="Q443" t="str">
            <v>EST CARRINHO BAR ZIMBRO (LAMINA A3 LOURO PARDO) CONTEN</v>
          </cell>
          <cell r="R443"/>
          <cell r="S443"/>
          <cell r="T443">
            <v>1.07</v>
          </cell>
          <cell r="U443">
            <v>0.59</v>
          </cell>
          <cell r="V443">
            <v>0.76</v>
          </cell>
          <cell r="W443">
            <v>0</v>
          </cell>
          <cell r="X443" t="str">
            <v>EST CARRINHO BAR ZIMBRO (LAMINA A3 LOURO PARDO) CONTEN - 1,07x0,59x0,76H</v>
          </cell>
          <cell r="Y443">
            <v>23810.17</v>
          </cell>
          <cell r="Z443">
            <v>0.35</v>
          </cell>
          <cell r="AA443">
            <v>15476.610499999999</v>
          </cell>
          <cell r="AB443"/>
        </row>
        <row r="444">
          <cell r="C444">
            <v>0</v>
          </cell>
          <cell r="D444">
            <v>2</v>
          </cell>
          <cell r="E444">
            <v>0</v>
          </cell>
          <cell r="F444">
            <v>0</v>
          </cell>
          <cell r="H444">
            <v>0</v>
          </cell>
          <cell r="O444">
            <v>372716</v>
          </cell>
          <cell r="P444" t="str">
            <v>2023/247-0011-01</v>
          </cell>
          <cell r="Q444" t="str">
            <v>EST POLTRONA BUBA (TC CURATOR 136195 COR 166)</v>
          </cell>
          <cell r="R444"/>
          <cell r="S444"/>
          <cell r="T444">
            <v>1.05</v>
          </cell>
          <cell r="U444">
            <v>1</v>
          </cell>
          <cell r="V444">
            <v>0.74</v>
          </cell>
          <cell r="W444">
            <v>0</v>
          </cell>
          <cell r="X444" t="str">
            <v>EST POLTRONA BUBA (TC CURATOR 136195 COR 166) - 1,05x1x0,74H</v>
          </cell>
          <cell r="Y444">
            <v>29586.37</v>
          </cell>
          <cell r="Z444">
            <v>0.35</v>
          </cell>
          <cell r="AA444">
            <v>19231.140500000001</v>
          </cell>
          <cell r="AB444"/>
        </row>
        <row r="445">
          <cell r="C445">
            <v>0</v>
          </cell>
          <cell r="D445">
            <v>2</v>
          </cell>
          <cell r="E445">
            <v>0</v>
          </cell>
          <cell r="F445">
            <v>0</v>
          </cell>
          <cell r="H445">
            <v>0</v>
          </cell>
          <cell r="O445">
            <v>372716</v>
          </cell>
          <cell r="P445" t="str">
            <v>2023/247-0012-01</v>
          </cell>
          <cell r="Q445" t="str">
            <v>EST POLTRONA BUBA (TC CURATOR 136195 COR 166)</v>
          </cell>
          <cell r="R445"/>
          <cell r="S445"/>
          <cell r="T445">
            <v>1.05</v>
          </cell>
          <cell r="U445">
            <v>1</v>
          </cell>
          <cell r="V445">
            <v>0.74</v>
          </cell>
          <cell r="W445">
            <v>0</v>
          </cell>
          <cell r="X445" t="str">
            <v>EST POLTRONA BUBA (TC CURATOR 136195 COR 166) - 1,05x1x0,74H</v>
          </cell>
          <cell r="Y445">
            <v>29586.37</v>
          </cell>
          <cell r="Z445">
            <v>0.35</v>
          </cell>
          <cell r="AA445">
            <v>19231.140500000001</v>
          </cell>
          <cell r="AB445"/>
        </row>
        <row r="446">
          <cell r="C446">
            <v>0</v>
          </cell>
          <cell r="D446">
            <v>1</v>
          </cell>
          <cell r="E446">
            <v>0</v>
          </cell>
          <cell r="F446">
            <v>0</v>
          </cell>
          <cell r="H446">
            <v>7</v>
          </cell>
          <cell r="O446">
            <v>308799</v>
          </cell>
          <cell r="P446" t="str">
            <v>2022/165-0014-01</v>
          </cell>
          <cell r="Q446" t="str">
            <v>EST CADEIRA 60 C/BRACO (EUC EBANIZ) CS0125/BOUT COURO 3815-1</v>
          </cell>
          <cell r="R446"/>
          <cell r="S446"/>
          <cell r="T446">
            <v>0.56000000000000005</v>
          </cell>
          <cell r="U446">
            <v>0.59</v>
          </cell>
          <cell r="V446">
            <v>0.84</v>
          </cell>
          <cell r="W446">
            <v>0</v>
          </cell>
          <cell r="X446" t="str">
            <v>EST CADEIRA 60 C/BRACO (EUC EBANIZ) CS0125/BOUT COURO 3815-1 - 0,56x0,59x0,84H</v>
          </cell>
          <cell r="Y446">
            <v>7016.8</v>
          </cell>
          <cell r="Z446">
            <v>0.5</v>
          </cell>
          <cell r="AA446">
            <v>3508.4</v>
          </cell>
          <cell r="AB446"/>
        </row>
        <row r="447">
          <cell r="C447">
            <v>1</v>
          </cell>
          <cell r="D447">
            <v>0</v>
          </cell>
          <cell r="E447">
            <v>0</v>
          </cell>
          <cell r="F447">
            <v>0</v>
          </cell>
          <cell r="H447">
            <v>0</v>
          </cell>
          <cell r="O447">
            <v>223326</v>
          </cell>
          <cell r="P447" t="str">
            <v>2019/288-0007-01</v>
          </cell>
          <cell r="Q447" t="str">
            <v>EST APARADOR ZINA (LAMINA 3 PAU FERRO PC) (LACA FOSCA PRETA)</v>
          </cell>
          <cell r="R447"/>
          <cell r="S447"/>
          <cell r="T447">
            <v>1.9</v>
          </cell>
          <cell r="U447">
            <v>0.5</v>
          </cell>
          <cell r="V447">
            <v>0.8</v>
          </cell>
          <cell r="W447">
            <v>0</v>
          </cell>
          <cell r="X447" t="str">
            <v>EST APARADOR ZINA (LAMINA 3 PAU FERRO PC) (LACA FOSCA PRETA) - 1,9x0,5x0,8H</v>
          </cell>
          <cell r="Y447">
            <v>26879.42</v>
          </cell>
          <cell r="Z447">
            <v>0.5</v>
          </cell>
          <cell r="AA447">
            <v>13439.71</v>
          </cell>
          <cell r="AB447"/>
        </row>
        <row r="448"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H448">
            <v>1</v>
          </cell>
          <cell r="O448">
            <v>223328</v>
          </cell>
          <cell r="P448" t="str">
            <v>2018/214-0023-01</v>
          </cell>
          <cell r="Q448" t="str">
            <v>EST MESA CENTRO TUNIS (LACA POLIESTER BRILHO J155)</v>
          </cell>
          <cell r="R448"/>
          <cell r="S448"/>
          <cell r="T448">
            <v>2</v>
          </cell>
          <cell r="U448">
            <v>0.8</v>
          </cell>
          <cell r="V448">
            <v>0.23</v>
          </cell>
          <cell r="W448">
            <v>0</v>
          </cell>
          <cell r="X448" t="str">
            <v>EST MESA CENTRO TUNIS (LACA POLIESTER BRILHO J155) - 2x0,8x0,23H</v>
          </cell>
          <cell r="Y448">
            <v>25452.63</v>
          </cell>
          <cell r="Z448">
            <v>0.5</v>
          </cell>
          <cell r="AA448">
            <v>12726.315000000001</v>
          </cell>
          <cell r="AB448"/>
        </row>
        <row r="449"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H449">
            <v>2</v>
          </cell>
          <cell r="O449">
            <v>223394</v>
          </cell>
          <cell r="P449" t="str">
            <v>2018/211-0010-01</v>
          </cell>
          <cell r="Q449" t="str">
            <v>EST MESA CENTRO TUNIS (LACA POLIESTER BRILHO J155)</v>
          </cell>
          <cell r="R449"/>
          <cell r="S449"/>
          <cell r="T449">
            <v>1.8</v>
          </cell>
          <cell r="U449">
            <v>0.7</v>
          </cell>
          <cell r="V449">
            <v>0.23</v>
          </cell>
          <cell r="W449">
            <v>0</v>
          </cell>
          <cell r="X449" t="str">
            <v>EST MESA CENTRO TUNIS (LACA POLIESTER BRILHO J155) - 1,8x0,7x0,23H</v>
          </cell>
          <cell r="Y449">
            <v>16035.13</v>
          </cell>
          <cell r="Z449">
            <v>0.5</v>
          </cell>
          <cell r="AA449">
            <v>8017.5649999999996</v>
          </cell>
          <cell r="AB449"/>
        </row>
        <row r="450">
          <cell r="C450">
            <v>1</v>
          </cell>
          <cell r="D450">
            <v>0</v>
          </cell>
          <cell r="E450">
            <v>1</v>
          </cell>
          <cell r="F450">
            <v>0</v>
          </cell>
          <cell r="H450">
            <v>0</v>
          </cell>
          <cell r="O450">
            <v>231996</v>
          </cell>
          <cell r="P450" t="str">
            <v>2019/091-0028-01</v>
          </cell>
          <cell r="Q450" t="str">
            <v>EST MESA JANTAR STEEL (TP CLEAR BRANCO) BS LAM 3 LOURO PARDO</v>
          </cell>
          <cell r="R450"/>
          <cell r="S450"/>
          <cell r="T450">
            <v>2.7</v>
          </cell>
          <cell r="U450">
            <v>1.2</v>
          </cell>
          <cell r="V450">
            <v>0.76</v>
          </cell>
          <cell r="W450">
            <v>0</v>
          </cell>
          <cell r="X450" t="str">
            <v>EST MESA JANTAR STEEL (TP CLEAR BRANCO) BS LAM 3 LOURO PARDO - 2,7x1,2x0,76H</v>
          </cell>
          <cell r="Y450">
            <v>45779.42</v>
          </cell>
          <cell r="Z450">
            <v>0.5</v>
          </cell>
          <cell r="AA450">
            <v>22889.71</v>
          </cell>
          <cell r="AB450"/>
        </row>
        <row r="451">
          <cell r="C451">
            <v>1</v>
          </cell>
          <cell r="D451">
            <v>0</v>
          </cell>
          <cell r="E451">
            <v>0</v>
          </cell>
          <cell r="F451">
            <v>0</v>
          </cell>
          <cell r="H451">
            <v>0</v>
          </cell>
          <cell r="O451">
            <v>336617</v>
          </cell>
          <cell r="P451" t="str">
            <v>2022/235-0066-01</v>
          </cell>
          <cell r="Q451" t="str">
            <v>EST APARADOR MAR ADENTRO (PINTURA CS120)</v>
          </cell>
          <cell r="R451"/>
          <cell r="S451"/>
          <cell r="T451">
            <v>2.0699999999999998</v>
          </cell>
          <cell r="U451">
            <v>0.47</v>
          </cell>
          <cell r="V451">
            <v>0.84</v>
          </cell>
          <cell r="W451">
            <v>0</v>
          </cell>
          <cell r="X451" t="str">
            <v>EST APARADOR MAR ADENTRO (PINTURA CS120) - 2,07x0,47x0,84H</v>
          </cell>
          <cell r="Y451">
            <v>29795.05</v>
          </cell>
          <cell r="Z451">
            <v>0.5</v>
          </cell>
          <cell r="AA451">
            <v>14897.525</v>
          </cell>
          <cell r="AB451"/>
        </row>
        <row r="452">
          <cell r="C452">
            <v>4</v>
          </cell>
          <cell r="D452">
            <v>0</v>
          </cell>
          <cell r="E452">
            <v>0</v>
          </cell>
          <cell r="F452">
            <v>0</v>
          </cell>
          <cell r="H452">
            <v>4</v>
          </cell>
          <cell r="O452">
            <v>372730</v>
          </cell>
          <cell r="P452" t="str">
            <v>2023/264-0009-01</v>
          </cell>
          <cell r="Q452" t="str">
            <v>EST CADEIRA 60 C/BRACO (FREIJO NAT) CS0120/BOUT COURO CAMEL</v>
          </cell>
          <cell r="R452"/>
          <cell r="S452"/>
          <cell r="T452">
            <v>0.56000000000000005</v>
          </cell>
          <cell r="U452">
            <v>0.59</v>
          </cell>
          <cell r="V452">
            <v>0.84</v>
          </cell>
          <cell r="W452">
            <v>0</v>
          </cell>
          <cell r="X452" t="str">
            <v>EST CADEIRA 60 C/BRACO (FREIJO NAT) CS0120/BOUT COURO CAMEL - 0,56x0,59x0,84H</v>
          </cell>
          <cell r="Y452">
            <v>9290.1299999999992</v>
          </cell>
          <cell r="Z452">
            <v>0.5</v>
          </cell>
          <cell r="AA452">
            <v>4645.0649999999996</v>
          </cell>
          <cell r="AB452"/>
        </row>
        <row r="453">
          <cell r="C453">
            <v>4</v>
          </cell>
          <cell r="D453">
            <v>0</v>
          </cell>
          <cell r="E453">
            <v>0</v>
          </cell>
          <cell r="F453">
            <v>0</v>
          </cell>
          <cell r="H453">
            <v>4</v>
          </cell>
          <cell r="O453">
            <v>372730</v>
          </cell>
          <cell r="P453" t="str">
            <v>2023/264-0010-01</v>
          </cell>
          <cell r="Q453" t="str">
            <v>EST CADEIRA 60 C/BRACO (FREIJO NAT) CS0120/BOUT COURO CAMEL</v>
          </cell>
          <cell r="R453"/>
          <cell r="S453"/>
          <cell r="T453">
            <v>0.56000000000000005</v>
          </cell>
          <cell r="U453">
            <v>0.59</v>
          </cell>
          <cell r="V453">
            <v>0.84</v>
          </cell>
          <cell r="W453">
            <v>0</v>
          </cell>
          <cell r="X453" t="str">
            <v>EST CADEIRA 60 C/BRACO (FREIJO NAT) CS0120/BOUT COURO CAMEL - 0,56x0,59x0,84H</v>
          </cell>
          <cell r="Y453">
            <v>9290.1299999999992</v>
          </cell>
          <cell r="Z453">
            <v>0.5</v>
          </cell>
          <cell r="AA453">
            <v>4645.0649999999996</v>
          </cell>
          <cell r="AB453"/>
        </row>
        <row r="454">
          <cell r="C454">
            <v>4</v>
          </cell>
          <cell r="D454">
            <v>0</v>
          </cell>
          <cell r="E454">
            <v>0</v>
          </cell>
          <cell r="F454">
            <v>0</v>
          </cell>
          <cell r="H454">
            <v>4</v>
          </cell>
          <cell r="O454">
            <v>372730</v>
          </cell>
          <cell r="P454" t="str">
            <v>2023/264-0013-01</v>
          </cell>
          <cell r="Q454" t="str">
            <v>EST CADEIRA 60 C/BRACO (FREIJO NAT) CS0120/BOUT COURO CAMEL</v>
          </cell>
          <cell r="R454"/>
          <cell r="S454"/>
          <cell r="T454">
            <v>0.56000000000000005</v>
          </cell>
          <cell r="U454">
            <v>0.59</v>
          </cell>
          <cell r="V454">
            <v>0.84</v>
          </cell>
          <cell r="W454">
            <v>0</v>
          </cell>
          <cell r="X454" t="str">
            <v>EST CADEIRA 60 C/BRACO (FREIJO NAT) CS0120/BOUT COURO CAMEL - 0,56x0,59x0,84H</v>
          </cell>
          <cell r="Y454">
            <v>9290.1299999999992</v>
          </cell>
          <cell r="Z454">
            <v>0.5</v>
          </cell>
          <cell r="AA454">
            <v>4645.0649999999996</v>
          </cell>
          <cell r="AB454"/>
        </row>
        <row r="455">
          <cell r="C455">
            <v>4</v>
          </cell>
          <cell r="D455">
            <v>0</v>
          </cell>
          <cell r="E455">
            <v>0</v>
          </cell>
          <cell r="F455">
            <v>0</v>
          </cell>
          <cell r="H455">
            <v>4</v>
          </cell>
          <cell r="O455">
            <v>372730</v>
          </cell>
          <cell r="P455" t="str">
            <v>2023/264-0014-01</v>
          </cell>
          <cell r="Q455" t="str">
            <v>EST CADEIRA 60 C/BRACO (FREIJO NAT) CS0120/BOUT COURO CAMEL</v>
          </cell>
          <cell r="R455"/>
          <cell r="S455"/>
          <cell r="T455">
            <v>0.56000000000000005</v>
          </cell>
          <cell r="U455">
            <v>0.59</v>
          </cell>
          <cell r="V455">
            <v>0.84</v>
          </cell>
          <cell r="W455">
            <v>0</v>
          </cell>
          <cell r="X455" t="str">
            <v>EST CADEIRA 60 C/BRACO (FREIJO NAT) CS0120/BOUT COURO CAMEL - 0,56x0,59x0,84H</v>
          </cell>
          <cell r="Y455">
            <v>9290.1299999999992</v>
          </cell>
          <cell r="Z455">
            <v>0.5</v>
          </cell>
          <cell r="AA455">
            <v>4645.0649999999996</v>
          </cell>
          <cell r="AB455"/>
        </row>
        <row r="456">
          <cell r="C456">
            <v>1</v>
          </cell>
          <cell r="D456">
            <v>0</v>
          </cell>
          <cell r="E456">
            <v>0</v>
          </cell>
          <cell r="F456">
            <v>0</v>
          </cell>
          <cell r="H456">
            <v>0</v>
          </cell>
          <cell r="O456">
            <v>206481</v>
          </cell>
          <cell r="P456" t="str">
            <v>2017/258-0001-01</v>
          </cell>
          <cell r="Q456" t="str">
            <v>EST TAPETE CUSTOM NIVEL 05 (10MM) F:1280 METALIC</v>
          </cell>
          <cell r="R456"/>
          <cell r="S456"/>
          <cell r="T456">
            <v>5</v>
          </cell>
          <cell r="U456">
            <v>4</v>
          </cell>
          <cell r="V456">
            <v>0.01</v>
          </cell>
          <cell r="W456">
            <v>0</v>
          </cell>
          <cell r="X456" t="str">
            <v>EST TAPETE CUSTOM NIVEL 05 (10MM) F:1280 METALIC - 5x4x0,01H</v>
          </cell>
          <cell r="Y456">
            <v>73113.599999999991</v>
          </cell>
          <cell r="Z456">
            <v>0.35</v>
          </cell>
          <cell r="AA456">
            <v>47523.839999999997</v>
          </cell>
          <cell r="AB456"/>
        </row>
        <row r="457">
          <cell r="C457">
            <v>1</v>
          </cell>
          <cell r="D457">
            <v>0</v>
          </cell>
          <cell r="E457">
            <v>0</v>
          </cell>
          <cell r="F457">
            <v>0</v>
          </cell>
          <cell r="H457">
            <v>0</v>
          </cell>
          <cell r="O457">
            <v>206481</v>
          </cell>
          <cell r="P457" t="str">
            <v>2017/265-0028-01</v>
          </cell>
          <cell r="Q457" t="str">
            <v>EST TAPETE CUSTOM NIVEL 05 (10MM) F:1280 METALIC</v>
          </cell>
          <cell r="R457"/>
          <cell r="S457"/>
          <cell r="T457">
            <v>5</v>
          </cell>
          <cell r="U457">
            <v>4</v>
          </cell>
          <cell r="V457">
            <v>0.01</v>
          </cell>
          <cell r="W457">
            <v>0</v>
          </cell>
          <cell r="X457" t="str">
            <v>EST TAPETE CUSTOM NIVEL 05 (10MM) F:1280 METALIC - 5x4x0,01H</v>
          </cell>
          <cell r="Y457">
            <v>73113.599999999991</v>
          </cell>
          <cell r="Z457">
            <v>0.35</v>
          </cell>
          <cell r="AA457">
            <v>47523.839999999997</v>
          </cell>
          <cell r="AB457"/>
        </row>
        <row r="458">
          <cell r="C458">
            <v>1</v>
          </cell>
          <cell r="D458">
            <v>0</v>
          </cell>
          <cell r="E458">
            <v>0</v>
          </cell>
          <cell r="F458">
            <v>0</v>
          </cell>
          <cell r="H458">
            <v>0</v>
          </cell>
          <cell r="O458">
            <v>206481</v>
          </cell>
          <cell r="P458" t="str">
            <v>2017/048-0019-01</v>
          </cell>
          <cell r="Q458" t="str">
            <v>EST TAPETE CUSTOM NIVEL 05 (10MM) F:1280 METALIC</v>
          </cell>
          <cell r="R458"/>
          <cell r="S458"/>
          <cell r="T458">
            <v>5</v>
          </cell>
          <cell r="U458">
            <v>4</v>
          </cell>
          <cell r="V458">
            <v>0.01</v>
          </cell>
          <cell r="W458">
            <v>0</v>
          </cell>
          <cell r="X458" t="str">
            <v>EST TAPETE CUSTOM NIVEL 05 (10MM) F:1280 METALIC - 5x4x0,01H</v>
          </cell>
          <cell r="Y458">
            <v>73113.599999999991</v>
          </cell>
          <cell r="Z458">
            <v>0.35</v>
          </cell>
          <cell r="AA458">
            <v>47523.839999999997</v>
          </cell>
          <cell r="AB458"/>
        </row>
        <row r="459">
          <cell r="C459">
            <v>1</v>
          </cell>
          <cell r="D459">
            <v>0</v>
          </cell>
          <cell r="E459">
            <v>0</v>
          </cell>
          <cell r="F459">
            <v>0</v>
          </cell>
          <cell r="H459">
            <v>0</v>
          </cell>
          <cell r="O459">
            <v>324017</v>
          </cell>
          <cell r="P459" t="str">
            <v>2022/101-0065-01</v>
          </cell>
          <cell r="Q459" t="str">
            <v>EST TAPETE CONCHA (ZIG ZAG) (14/10MM) F:1303</v>
          </cell>
          <cell r="R459"/>
          <cell r="S459"/>
          <cell r="T459">
            <v>4</v>
          </cell>
          <cell r="U459">
            <v>5.5</v>
          </cell>
          <cell r="V459">
            <v>0.01</v>
          </cell>
          <cell r="W459">
            <v>0</v>
          </cell>
          <cell r="X459" t="str">
            <v>EST TAPETE CONCHA (ZIG ZAG) (14/10MM) F:1303 - 4x5,5x0,01H</v>
          </cell>
          <cell r="Y459">
            <v>93829.119999999995</v>
          </cell>
          <cell r="Z459">
            <v>0.35</v>
          </cell>
          <cell r="AA459">
            <v>60988.928</v>
          </cell>
          <cell r="AB459"/>
        </row>
        <row r="460">
          <cell r="C460">
            <v>2</v>
          </cell>
          <cell r="D460">
            <v>0</v>
          </cell>
          <cell r="E460">
            <v>0</v>
          </cell>
          <cell r="F460">
            <v>2</v>
          </cell>
          <cell r="H460">
            <v>0</v>
          </cell>
          <cell r="O460">
            <v>362424</v>
          </cell>
          <cell r="P460" t="str">
            <v xml:space="preserve">2023/082-0012-01 </v>
          </cell>
          <cell r="Q460" t="str">
            <v>EST POLTRONA BUBA (TC CURATOR 112125 COR 884)</v>
          </cell>
          <cell r="R460"/>
          <cell r="S460"/>
          <cell r="T460">
            <v>1.05</v>
          </cell>
          <cell r="U460">
            <v>1</v>
          </cell>
          <cell r="V460">
            <v>0.74</v>
          </cell>
          <cell r="W460">
            <v>0</v>
          </cell>
          <cell r="X460" t="str">
            <v>EST POLTRONA BUBA (TC CURATOR 112125 COR 884) - 1,05x1x0,74H</v>
          </cell>
          <cell r="Y460">
            <v>29586.37</v>
          </cell>
          <cell r="Z460">
            <v>0.35</v>
          </cell>
          <cell r="AA460">
            <v>19231.140500000001</v>
          </cell>
          <cell r="AB460"/>
        </row>
        <row r="461">
          <cell r="C461">
            <v>2</v>
          </cell>
          <cell r="D461">
            <v>0</v>
          </cell>
          <cell r="E461">
            <v>0</v>
          </cell>
          <cell r="F461">
            <v>2</v>
          </cell>
          <cell r="H461">
            <v>0</v>
          </cell>
          <cell r="O461">
            <v>362424</v>
          </cell>
          <cell r="P461" t="str">
            <v xml:space="preserve">2023/082-0011-01 </v>
          </cell>
          <cell r="Q461" t="str">
            <v>EST POLTRONA BUBA (TC CURATOR 112125 COR 884)</v>
          </cell>
          <cell r="R461"/>
          <cell r="S461"/>
          <cell r="T461">
            <v>1.05</v>
          </cell>
          <cell r="U461">
            <v>1</v>
          </cell>
          <cell r="V461">
            <v>0.74</v>
          </cell>
          <cell r="W461">
            <v>0</v>
          </cell>
          <cell r="X461" t="str">
            <v>EST POLTRONA BUBA (TC CURATOR 112125 COR 884) - 1,05x1x0,74H</v>
          </cell>
          <cell r="Y461">
            <v>29586.37</v>
          </cell>
          <cell r="Z461">
            <v>0.35</v>
          </cell>
          <cell r="AA461">
            <v>19231.140500000001</v>
          </cell>
          <cell r="AB461"/>
        </row>
        <row r="462">
          <cell r="C462">
            <v>1</v>
          </cell>
          <cell r="D462">
            <v>0</v>
          </cell>
          <cell r="E462">
            <v>0</v>
          </cell>
          <cell r="F462">
            <v>0</v>
          </cell>
          <cell r="H462">
            <v>0</v>
          </cell>
          <cell r="O462">
            <v>378116</v>
          </cell>
          <cell r="P462" t="str">
            <v>2023/338-0024-01</v>
          </cell>
          <cell r="Q462" t="str">
            <v>EST MESA JANTAR PREMIUM (LAMINA A2 NOGUEIRA) BS CORTEN</v>
          </cell>
          <cell r="R462"/>
          <cell r="S462"/>
          <cell r="T462">
            <v>3</v>
          </cell>
          <cell r="U462">
            <v>1.2</v>
          </cell>
          <cell r="V462">
            <v>0.76</v>
          </cell>
          <cell r="W462">
            <v>0</v>
          </cell>
          <cell r="X462" t="str">
            <v>EST MESA JANTAR PREMIUM (LAMINA A2 NOGUEIRA) BS CORTEN - 3x1,2x0,76H</v>
          </cell>
          <cell r="Y462">
            <v>51915</v>
          </cell>
          <cell r="Z462">
            <v>0.35</v>
          </cell>
          <cell r="AA462">
            <v>33744.75</v>
          </cell>
          <cell r="AB462"/>
        </row>
        <row r="463">
          <cell r="C463">
            <v>0</v>
          </cell>
          <cell r="D463">
            <v>0</v>
          </cell>
          <cell r="E463">
            <v>1</v>
          </cell>
          <cell r="F463">
            <v>0</v>
          </cell>
          <cell r="H463">
            <v>0</v>
          </cell>
          <cell r="O463">
            <v>214352</v>
          </cell>
          <cell r="P463" t="str">
            <v>2019/212-0049-01</v>
          </cell>
          <cell r="Q463" t="str">
            <v>EST BANQUETA BAR CAVALETTA H78 (JEQUITIBA IMBUIA CLARO)</v>
          </cell>
          <cell r="R463"/>
          <cell r="S463"/>
          <cell r="T463">
            <v>0.43</v>
          </cell>
          <cell r="U463">
            <v>0.5</v>
          </cell>
          <cell r="V463">
            <v>0.78</v>
          </cell>
          <cell r="W463">
            <v>0</v>
          </cell>
          <cell r="X463" t="str">
            <v>EST BANQUETA BAR CAVALETTA H78 (JEQUITIBA IMBUIA CLARO) - 0,43x0,5x0,78H</v>
          </cell>
          <cell r="Y463">
            <v>6595.55</v>
          </cell>
          <cell r="Z463">
            <v>0.35</v>
          </cell>
          <cell r="AA463">
            <v>4287.1075000000001</v>
          </cell>
          <cell r="AB463"/>
        </row>
        <row r="464">
          <cell r="C464">
            <v>0</v>
          </cell>
          <cell r="D464">
            <v>0</v>
          </cell>
          <cell r="E464">
            <v>1</v>
          </cell>
          <cell r="F464">
            <v>0</v>
          </cell>
          <cell r="H464">
            <v>0</v>
          </cell>
          <cell r="O464">
            <v>233111</v>
          </cell>
          <cell r="P464" t="str">
            <v>2019/113-0065-01</v>
          </cell>
          <cell r="Q464" t="str">
            <v>EST BANQUETA BAR CAVALETTA H50 (JEQUITIBA IMBUIA CLAR)</v>
          </cell>
          <cell r="R464"/>
          <cell r="S464"/>
          <cell r="T464">
            <v>0.43</v>
          </cell>
          <cell r="U464">
            <v>0.53</v>
          </cell>
          <cell r="V464">
            <v>0.5</v>
          </cell>
          <cell r="W464">
            <v>0</v>
          </cell>
          <cell r="X464" t="str">
            <v>EST BANQUETA BAR CAVALETTA H50 (JEQUITIBA IMBUIA CLAR) - 0,43x0,53x0,5H</v>
          </cell>
          <cell r="Y464">
            <v>6456.31</v>
          </cell>
          <cell r="Z464">
            <v>0.35</v>
          </cell>
          <cell r="AA464">
            <v>4196.6015000000007</v>
          </cell>
          <cell r="AB464"/>
        </row>
        <row r="465">
          <cell r="C465">
            <v>0</v>
          </cell>
          <cell r="D465">
            <v>0</v>
          </cell>
          <cell r="E465">
            <v>6</v>
          </cell>
          <cell r="F465">
            <v>0</v>
          </cell>
          <cell r="H465">
            <v>0</v>
          </cell>
          <cell r="O465">
            <v>364288</v>
          </cell>
          <cell r="P465" t="str">
            <v>2023/152-0025-01</v>
          </cell>
          <cell r="Q465" t="str">
            <v>EST CADEIRA CACAU (NOGAL) (LATAO) TC 1000 - 1316</v>
          </cell>
          <cell r="R465"/>
          <cell r="S465"/>
          <cell r="T465">
            <v>0.5</v>
          </cell>
          <cell r="U465">
            <v>0.61</v>
          </cell>
          <cell r="V465">
            <v>0.84</v>
          </cell>
          <cell r="W465">
            <v>0</v>
          </cell>
          <cell r="X465" t="str">
            <v>EST CADEIRA CACAU (NOGAL) (LATAO) TC 1000 - 1316 - 0,5x0,61x0,84H</v>
          </cell>
          <cell r="Y465">
            <v>4625.6400000000003</v>
          </cell>
          <cell r="Z465">
            <v>0.35</v>
          </cell>
          <cell r="AA465">
            <v>3006.6660000000002</v>
          </cell>
          <cell r="AB465"/>
        </row>
        <row r="466">
          <cell r="C466">
            <v>0</v>
          </cell>
          <cell r="D466">
            <v>0</v>
          </cell>
          <cell r="E466">
            <v>6</v>
          </cell>
          <cell r="F466">
            <v>0</v>
          </cell>
          <cell r="H466">
            <v>0</v>
          </cell>
          <cell r="O466">
            <v>364288</v>
          </cell>
          <cell r="P466" t="str">
            <v>2023/152-0026-01</v>
          </cell>
          <cell r="Q466" t="str">
            <v>EST CADEIRA CACAU (NOGAL) (LATAO) TC 1000 - 1316</v>
          </cell>
          <cell r="R466"/>
          <cell r="S466"/>
          <cell r="T466">
            <v>0.5</v>
          </cell>
          <cell r="U466">
            <v>0.61</v>
          </cell>
          <cell r="V466">
            <v>0.84</v>
          </cell>
          <cell r="W466">
            <v>0</v>
          </cell>
          <cell r="X466" t="str">
            <v>EST CADEIRA CACAU (NOGAL) (LATAO) TC 1000 - 1316 - 0,5x0,61x0,84H</v>
          </cell>
          <cell r="Y466">
            <v>4625.6400000000003</v>
          </cell>
          <cell r="Z466">
            <v>0.35</v>
          </cell>
          <cell r="AA466">
            <v>3006.6660000000002</v>
          </cell>
          <cell r="AB466"/>
        </row>
        <row r="467">
          <cell r="C467">
            <v>0</v>
          </cell>
          <cell r="D467">
            <v>0</v>
          </cell>
          <cell r="E467">
            <v>6</v>
          </cell>
          <cell r="F467">
            <v>0</v>
          </cell>
          <cell r="H467">
            <v>0</v>
          </cell>
          <cell r="O467">
            <v>364288</v>
          </cell>
          <cell r="P467" t="str">
            <v>2023/152-0027-01</v>
          </cell>
          <cell r="Q467" t="str">
            <v>EST CADEIRA CACAU (NOGAL) (LATAO) TC 1000 - 1316</v>
          </cell>
          <cell r="R467"/>
          <cell r="S467"/>
          <cell r="T467">
            <v>0.5</v>
          </cell>
          <cell r="U467">
            <v>0.61</v>
          </cell>
          <cell r="V467">
            <v>0.84</v>
          </cell>
          <cell r="W467">
            <v>0</v>
          </cell>
          <cell r="X467" t="str">
            <v>EST CADEIRA CACAU (NOGAL) (LATAO) TC 1000 - 1316 - 0,5x0,61x0,84H</v>
          </cell>
          <cell r="Y467">
            <v>4625.6400000000003</v>
          </cell>
          <cell r="Z467">
            <v>0.35</v>
          </cell>
          <cell r="AA467">
            <v>3006.6660000000002</v>
          </cell>
          <cell r="AB467"/>
        </row>
        <row r="468">
          <cell r="C468">
            <v>0</v>
          </cell>
          <cell r="D468">
            <v>0</v>
          </cell>
          <cell r="E468">
            <v>6</v>
          </cell>
          <cell r="F468">
            <v>0</v>
          </cell>
          <cell r="H468">
            <v>0</v>
          </cell>
          <cell r="O468">
            <v>364288</v>
          </cell>
          <cell r="P468" t="str">
            <v>2023/152-0028-01</v>
          </cell>
          <cell r="Q468" t="str">
            <v>EST CADEIRA CACAU (NOGAL) (LATAO) TC 1000 - 1316</v>
          </cell>
          <cell r="R468"/>
          <cell r="S468"/>
          <cell r="T468">
            <v>0.5</v>
          </cell>
          <cell r="U468">
            <v>0.61</v>
          </cell>
          <cell r="V468">
            <v>0.84</v>
          </cell>
          <cell r="W468">
            <v>0</v>
          </cell>
          <cell r="X468" t="str">
            <v>EST CADEIRA CACAU (NOGAL) (LATAO) TC 1000 - 1316 - 0,5x0,61x0,84H</v>
          </cell>
          <cell r="Y468">
            <v>4625.6400000000003</v>
          </cell>
          <cell r="Z468">
            <v>0.35</v>
          </cell>
          <cell r="AA468">
            <v>3006.6660000000002</v>
          </cell>
          <cell r="AB468"/>
        </row>
        <row r="469">
          <cell r="C469">
            <v>0</v>
          </cell>
          <cell r="D469">
            <v>0</v>
          </cell>
          <cell r="E469">
            <v>6</v>
          </cell>
          <cell r="F469">
            <v>0</v>
          </cell>
          <cell r="H469">
            <v>0</v>
          </cell>
          <cell r="O469">
            <v>364288</v>
          </cell>
          <cell r="P469" t="str">
            <v>2023/152-0029-01</v>
          </cell>
          <cell r="Q469" t="str">
            <v>EST CADEIRA CACAU (NOGAL) (LATAO) TC 1000 - 1316</v>
          </cell>
          <cell r="R469"/>
          <cell r="S469"/>
          <cell r="T469">
            <v>0.5</v>
          </cell>
          <cell r="U469">
            <v>0.61</v>
          </cell>
          <cell r="V469">
            <v>0.84</v>
          </cell>
          <cell r="W469">
            <v>0</v>
          </cell>
          <cell r="X469" t="str">
            <v>EST CADEIRA CACAU (NOGAL) (LATAO) TC 1000 - 1316 - 0,5x0,61x0,84H</v>
          </cell>
          <cell r="Y469">
            <v>4625.6400000000003</v>
          </cell>
          <cell r="Z469">
            <v>0.35</v>
          </cell>
          <cell r="AA469">
            <v>3006.6660000000002</v>
          </cell>
          <cell r="AB469"/>
        </row>
        <row r="470">
          <cell r="C470">
            <v>0</v>
          </cell>
          <cell r="D470">
            <v>0</v>
          </cell>
          <cell r="E470">
            <v>6</v>
          </cell>
          <cell r="F470">
            <v>0</v>
          </cell>
          <cell r="H470">
            <v>0</v>
          </cell>
          <cell r="O470">
            <v>364288</v>
          </cell>
          <cell r="P470" t="str">
            <v>2023/152-0030-01</v>
          </cell>
          <cell r="Q470" t="str">
            <v>EST CADEIRA CACAU (NOGAL) (LATAO) TC 1000 - 1316</v>
          </cell>
          <cell r="R470"/>
          <cell r="S470"/>
          <cell r="T470">
            <v>0.5</v>
          </cell>
          <cell r="U470">
            <v>0.61</v>
          </cell>
          <cell r="V470">
            <v>0.84</v>
          </cell>
          <cell r="W470">
            <v>0</v>
          </cell>
          <cell r="X470" t="str">
            <v>EST CADEIRA CACAU (NOGAL) (LATAO) TC 1000 - 1316 - 0,5x0,61x0,84H</v>
          </cell>
          <cell r="Y470">
            <v>4625.6400000000003</v>
          </cell>
          <cell r="Z470">
            <v>0.35</v>
          </cell>
          <cell r="AA470">
            <v>3006.6660000000002</v>
          </cell>
          <cell r="AB470"/>
        </row>
        <row r="471">
          <cell r="C471">
            <v>0</v>
          </cell>
          <cell r="D471">
            <v>0</v>
          </cell>
          <cell r="E471">
            <v>1</v>
          </cell>
          <cell r="F471">
            <v>1</v>
          </cell>
          <cell r="H471">
            <v>0</v>
          </cell>
          <cell r="O471">
            <v>378169</v>
          </cell>
          <cell r="P471" t="str">
            <v>2024/023-0006-01</v>
          </cell>
          <cell r="Q471" t="str">
            <v>EST TAPETE SISAL CY (BARRA VIRADA)</v>
          </cell>
          <cell r="R471"/>
          <cell r="S471"/>
          <cell r="T471">
            <v>4</v>
          </cell>
          <cell r="U471">
            <v>0</v>
          </cell>
          <cell r="V471">
            <v>0</v>
          </cell>
          <cell r="W471">
            <v>4</v>
          </cell>
          <cell r="X471" t="str">
            <v>EST TAPETE SISAL CY (BARRA VIRADA) - Ø4x0H</v>
          </cell>
          <cell r="Y471">
            <v>7123.2</v>
          </cell>
          <cell r="Z471">
            <v>0.35</v>
          </cell>
          <cell r="AA471">
            <v>4630.08</v>
          </cell>
          <cell r="AB471"/>
        </row>
        <row r="472">
          <cell r="C472">
            <v>1</v>
          </cell>
          <cell r="D472">
            <v>0</v>
          </cell>
          <cell r="E472">
            <v>2</v>
          </cell>
          <cell r="F472">
            <v>7</v>
          </cell>
          <cell r="H472">
            <v>0</v>
          </cell>
          <cell r="O472">
            <v>380352</v>
          </cell>
          <cell r="P472" t="str">
            <v>2024/065-0081-01</v>
          </cell>
          <cell r="Q472" t="str">
            <v>EST ALMOFADA DECORATIVA MONDRIAN (ITAJIME SHIBORI)</v>
          </cell>
          <cell r="R472"/>
          <cell r="S472"/>
          <cell r="T472">
            <v>0.6</v>
          </cell>
          <cell r="U472">
            <v>0.3</v>
          </cell>
          <cell r="V472">
            <v>0</v>
          </cell>
          <cell r="W472">
            <v>0</v>
          </cell>
          <cell r="X472" t="str">
            <v>EST ALMOFADA DECORATIVA MONDRIAN (ITAJIME SHIBORI) - 0,6x0,3x0H</v>
          </cell>
          <cell r="Y472">
            <v>1466.84</v>
          </cell>
          <cell r="Z472">
            <v>0.35</v>
          </cell>
          <cell r="AA472">
            <v>953.44600000000003</v>
          </cell>
          <cell r="AB472"/>
        </row>
        <row r="473">
          <cell r="C473">
            <v>1</v>
          </cell>
          <cell r="D473">
            <v>0</v>
          </cell>
          <cell r="E473">
            <v>2</v>
          </cell>
          <cell r="F473">
            <v>7</v>
          </cell>
          <cell r="H473">
            <v>0</v>
          </cell>
          <cell r="O473">
            <v>380352</v>
          </cell>
          <cell r="P473" t="str">
            <v>2024/065-0082-01</v>
          </cell>
          <cell r="Q473" t="str">
            <v>EST ALMOFADA DECORATIVA MONDRIAN (ITAJIME SHIBORI)</v>
          </cell>
          <cell r="R473"/>
          <cell r="S473"/>
          <cell r="T473">
            <v>0.6</v>
          </cell>
          <cell r="U473">
            <v>0.3</v>
          </cell>
          <cell r="V473">
            <v>0</v>
          </cell>
          <cell r="W473">
            <v>0</v>
          </cell>
          <cell r="X473" t="str">
            <v>EST ALMOFADA DECORATIVA MONDRIAN (ITAJIME SHIBORI) - 0,6x0,3x0H</v>
          </cell>
          <cell r="Y473">
            <v>1466.84</v>
          </cell>
          <cell r="Z473">
            <v>0.35</v>
          </cell>
          <cell r="AA473">
            <v>953.44600000000003</v>
          </cell>
          <cell r="AB473"/>
        </row>
        <row r="474">
          <cell r="C474">
            <v>0</v>
          </cell>
          <cell r="D474">
            <v>0</v>
          </cell>
          <cell r="E474">
            <v>6</v>
          </cell>
          <cell r="F474">
            <v>0</v>
          </cell>
          <cell r="H474">
            <v>0</v>
          </cell>
          <cell r="O474">
            <v>387660</v>
          </cell>
          <cell r="P474" t="str">
            <v>2024/206-0053-01</v>
          </cell>
          <cell r="Q474" t="str">
            <v>EST CADEIRA MIRIAM (AMENDOA) TC PREMIUM P016</v>
          </cell>
          <cell r="R474"/>
          <cell r="S474"/>
          <cell r="T474">
            <v>0.55000000000000004</v>
          </cell>
          <cell r="U474">
            <v>0.51</v>
          </cell>
          <cell r="V474">
            <v>0.78</v>
          </cell>
          <cell r="W474">
            <v>0</v>
          </cell>
          <cell r="X474" t="str">
            <v>EST CADEIRA MIRIAM (AMENDOA) TC PREMIUM P016 - 0,55x0,51x0,78H</v>
          </cell>
          <cell r="Y474">
            <v>4474.8500000000004</v>
          </cell>
          <cell r="Z474">
            <v>0.35</v>
          </cell>
          <cell r="AA474">
            <v>2908.6525000000001</v>
          </cell>
          <cell r="AB474"/>
        </row>
        <row r="475">
          <cell r="C475">
            <v>0</v>
          </cell>
          <cell r="D475">
            <v>0</v>
          </cell>
          <cell r="E475">
            <v>6</v>
          </cell>
          <cell r="F475">
            <v>0</v>
          </cell>
          <cell r="H475">
            <v>0</v>
          </cell>
          <cell r="O475">
            <v>387660</v>
          </cell>
          <cell r="P475" t="str">
            <v>2024/206-0054-01</v>
          </cell>
          <cell r="Q475" t="str">
            <v>EST CADEIRA MIRIAM (AMENDOA) TC PREMIUM P016</v>
          </cell>
          <cell r="R475"/>
          <cell r="S475"/>
          <cell r="T475">
            <v>0.55000000000000004</v>
          </cell>
          <cell r="U475">
            <v>0.51</v>
          </cell>
          <cell r="V475">
            <v>0.78</v>
          </cell>
          <cell r="W475">
            <v>0</v>
          </cell>
          <cell r="X475" t="str">
            <v>EST CADEIRA MIRIAM (AMENDOA) TC PREMIUM P016 - 0,55x0,51x0,78H</v>
          </cell>
          <cell r="Y475">
            <v>4474.8500000000004</v>
          </cell>
          <cell r="Z475">
            <v>0.35</v>
          </cell>
          <cell r="AA475">
            <v>2908.6525000000001</v>
          </cell>
          <cell r="AB475"/>
        </row>
        <row r="476">
          <cell r="C476">
            <v>0</v>
          </cell>
          <cell r="D476">
            <v>0</v>
          </cell>
          <cell r="E476">
            <v>6</v>
          </cell>
          <cell r="F476">
            <v>0</v>
          </cell>
          <cell r="H476">
            <v>0</v>
          </cell>
          <cell r="O476">
            <v>387660</v>
          </cell>
          <cell r="P476" t="str">
            <v>2024/206-0055-01</v>
          </cell>
          <cell r="Q476" t="str">
            <v>EST CADEIRA MIRIAM (AMENDOA) TC PREMIUM P016</v>
          </cell>
          <cell r="R476"/>
          <cell r="S476"/>
          <cell r="T476">
            <v>0.55000000000000004</v>
          </cell>
          <cell r="U476">
            <v>0.51</v>
          </cell>
          <cell r="V476">
            <v>0.78</v>
          </cell>
          <cell r="W476">
            <v>0</v>
          </cell>
          <cell r="X476" t="str">
            <v>EST CADEIRA MIRIAM (AMENDOA) TC PREMIUM P016 - 0,55x0,51x0,78H</v>
          </cell>
          <cell r="Y476">
            <v>4474.8500000000004</v>
          </cell>
          <cell r="Z476">
            <v>0.35</v>
          </cell>
          <cell r="AA476">
            <v>2908.6525000000001</v>
          </cell>
          <cell r="AB476"/>
        </row>
        <row r="477">
          <cell r="C477">
            <v>0</v>
          </cell>
          <cell r="D477">
            <v>0</v>
          </cell>
          <cell r="E477">
            <v>6</v>
          </cell>
          <cell r="F477">
            <v>0</v>
          </cell>
          <cell r="H477">
            <v>0</v>
          </cell>
          <cell r="O477">
            <v>387660</v>
          </cell>
          <cell r="P477" t="str">
            <v>2024/206-0056-01</v>
          </cell>
          <cell r="Q477" t="str">
            <v>EST CADEIRA MIRIAM (AMENDOA) TC PREMIUM P016</v>
          </cell>
          <cell r="R477"/>
          <cell r="S477"/>
          <cell r="T477">
            <v>0.55000000000000004</v>
          </cell>
          <cell r="U477">
            <v>0.51</v>
          </cell>
          <cell r="V477">
            <v>0.78</v>
          </cell>
          <cell r="W477">
            <v>0</v>
          </cell>
          <cell r="X477" t="str">
            <v>EST CADEIRA MIRIAM (AMENDOA) TC PREMIUM P016 - 0,55x0,51x0,78H</v>
          </cell>
          <cell r="Y477">
            <v>4474.8500000000004</v>
          </cell>
          <cell r="Z477">
            <v>0.35</v>
          </cell>
          <cell r="AA477">
            <v>2908.6525000000001</v>
          </cell>
          <cell r="AB477"/>
        </row>
        <row r="478">
          <cell r="C478">
            <v>0</v>
          </cell>
          <cell r="D478">
            <v>0</v>
          </cell>
          <cell r="E478">
            <v>6</v>
          </cell>
          <cell r="F478">
            <v>0</v>
          </cell>
          <cell r="H478">
            <v>0</v>
          </cell>
          <cell r="O478">
            <v>387660</v>
          </cell>
          <cell r="P478" t="str">
            <v>2024/206-0057-01</v>
          </cell>
          <cell r="Q478" t="str">
            <v>EST CADEIRA MIRIAM (AMENDOA) TC PREMIUM P016</v>
          </cell>
          <cell r="R478"/>
          <cell r="S478"/>
          <cell r="T478">
            <v>0.55000000000000004</v>
          </cell>
          <cell r="U478">
            <v>0.51</v>
          </cell>
          <cell r="V478">
            <v>0.78</v>
          </cell>
          <cell r="W478">
            <v>0</v>
          </cell>
          <cell r="X478" t="str">
            <v>EST CADEIRA MIRIAM (AMENDOA) TC PREMIUM P016 - 0,55x0,51x0,78H</v>
          </cell>
          <cell r="Y478">
            <v>4474.8500000000004</v>
          </cell>
          <cell r="Z478">
            <v>0.35</v>
          </cell>
          <cell r="AA478">
            <v>2908.6525000000001</v>
          </cell>
          <cell r="AB478"/>
        </row>
        <row r="479">
          <cell r="C479">
            <v>0</v>
          </cell>
          <cell r="D479">
            <v>0</v>
          </cell>
          <cell r="E479">
            <v>6</v>
          </cell>
          <cell r="F479">
            <v>0</v>
          </cell>
          <cell r="H479">
            <v>0</v>
          </cell>
          <cell r="O479">
            <v>387660</v>
          </cell>
          <cell r="P479" t="str">
            <v>2024/206-0058-01</v>
          </cell>
          <cell r="Q479" t="str">
            <v>EST CADEIRA MIRIAM (AMENDOA) TC PREMIUM P016</v>
          </cell>
          <cell r="R479"/>
          <cell r="S479"/>
          <cell r="T479">
            <v>0.55000000000000004</v>
          </cell>
          <cell r="U479">
            <v>0.51</v>
          </cell>
          <cell r="V479">
            <v>0.78</v>
          </cell>
          <cell r="W479">
            <v>0</v>
          </cell>
          <cell r="X479" t="str">
            <v>EST CADEIRA MIRIAM (AMENDOA) TC PREMIUM P016 - 0,55x0,51x0,78H</v>
          </cell>
          <cell r="Y479">
            <v>4474.8500000000004</v>
          </cell>
          <cell r="Z479">
            <v>0.35</v>
          </cell>
          <cell r="AA479">
            <v>2908.6525000000001</v>
          </cell>
          <cell r="AB479"/>
        </row>
        <row r="480">
          <cell r="C480">
            <v>0</v>
          </cell>
          <cell r="D480">
            <v>0</v>
          </cell>
          <cell r="E480">
            <v>2</v>
          </cell>
          <cell r="F480">
            <v>0</v>
          </cell>
          <cell r="H480">
            <v>0</v>
          </cell>
          <cell r="O480">
            <v>387686</v>
          </cell>
          <cell r="P480" t="str">
            <v>2024/194-0013-01</v>
          </cell>
          <cell r="Q480" t="str">
            <v>EST ESTANTE ABRIGO (AMENDOA) SEMI CAPUCCINO</v>
          </cell>
          <cell r="R480"/>
          <cell r="S480"/>
          <cell r="T480">
            <v>1.2</v>
          </cell>
          <cell r="U480">
            <v>0.4</v>
          </cell>
          <cell r="V480">
            <v>1.88</v>
          </cell>
          <cell r="W480">
            <v>0</v>
          </cell>
          <cell r="X480" t="str">
            <v>EST ESTANTE ABRIGO (AMENDOA) SEMI CAPUCCINO - 1,2x0,4x1,88H</v>
          </cell>
          <cell r="Y480">
            <v>8633.0499999999993</v>
          </cell>
          <cell r="Z480">
            <v>0.35</v>
          </cell>
          <cell r="AA480">
            <v>5611.4825000000001</v>
          </cell>
          <cell r="AB480"/>
        </row>
        <row r="481">
          <cell r="C481">
            <v>0</v>
          </cell>
          <cell r="D481">
            <v>0</v>
          </cell>
          <cell r="E481">
            <v>2</v>
          </cell>
          <cell r="F481">
            <v>0</v>
          </cell>
          <cell r="H481">
            <v>0</v>
          </cell>
          <cell r="O481">
            <v>387686</v>
          </cell>
          <cell r="P481" t="str">
            <v>2024/194-0014-01</v>
          </cell>
          <cell r="Q481" t="str">
            <v>EST ESTANTE ABRIGO (AMENDOA) SEMI CAPUCCINO</v>
          </cell>
          <cell r="R481"/>
          <cell r="S481"/>
          <cell r="T481">
            <v>1.2</v>
          </cell>
          <cell r="U481">
            <v>0.4</v>
          </cell>
          <cell r="V481">
            <v>1.88</v>
          </cell>
          <cell r="W481">
            <v>0</v>
          </cell>
          <cell r="X481" t="str">
            <v>EST ESTANTE ABRIGO (AMENDOA) SEMI CAPUCCINO - 1,2x0,4x1,88H</v>
          </cell>
          <cell r="Y481">
            <v>8633.0499999999993</v>
          </cell>
          <cell r="Z481">
            <v>0.35</v>
          </cell>
          <cell r="AA481">
            <v>5611.4825000000001</v>
          </cell>
          <cell r="AB481"/>
        </row>
        <row r="482"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H482">
            <v>1</v>
          </cell>
          <cell r="O482">
            <v>387702</v>
          </cell>
          <cell r="P482" t="str">
            <v>2024/194-0021-01</v>
          </cell>
          <cell r="Q482" t="str">
            <v>EST MESA CENTRO PLANALTO (TP LAM LOURO) BS SEMI CAPUCCINO</v>
          </cell>
          <cell r="R482"/>
          <cell r="S482"/>
          <cell r="T482">
            <v>0.95</v>
          </cell>
          <cell r="U482">
            <v>0.95</v>
          </cell>
          <cell r="V482">
            <v>0.3</v>
          </cell>
          <cell r="W482">
            <v>0</v>
          </cell>
          <cell r="X482" t="str">
            <v>EST MESA CENTRO PLANALTO (TP LAM LOURO) BS SEMI CAPUCCINO - 0,95x0,95x0,3H</v>
          </cell>
          <cell r="Y482">
            <v>6913.98</v>
          </cell>
          <cell r="Z482">
            <v>0.35</v>
          </cell>
          <cell r="AA482">
            <v>4494.0869999999995</v>
          </cell>
          <cell r="AB482"/>
        </row>
        <row r="483"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H483">
            <v>1</v>
          </cell>
          <cell r="O483">
            <v>387708</v>
          </cell>
          <cell r="P483" t="str">
            <v>2024/194-0023-01</v>
          </cell>
          <cell r="Q483" t="str">
            <v>EST MESA CENTRO PLANALTO (TP LAM LOURO) BS SEMI CAPUCCINO</v>
          </cell>
          <cell r="R483"/>
          <cell r="S483"/>
          <cell r="T483">
            <v>1.1499999999999999</v>
          </cell>
          <cell r="U483">
            <v>1.1499999999999999</v>
          </cell>
          <cell r="V483">
            <v>0.25</v>
          </cell>
          <cell r="W483">
            <v>0</v>
          </cell>
          <cell r="X483" t="str">
            <v>EST MESA CENTRO PLANALTO (TP LAM LOURO) BS SEMI CAPUCCINO - 1,15x1,15x0,25H</v>
          </cell>
          <cell r="Y483">
            <v>7551.08</v>
          </cell>
          <cell r="Z483">
            <v>0.35</v>
          </cell>
          <cell r="AA483">
            <v>4908.2020000000002</v>
          </cell>
          <cell r="AB483"/>
        </row>
        <row r="484">
          <cell r="C484">
            <v>0</v>
          </cell>
          <cell r="D484">
            <v>0</v>
          </cell>
          <cell r="E484">
            <v>1</v>
          </cell>
          <cell r="F484">
            <v>0</v>
          </cell>
          <cell r="H484">
            <v>0</v>
          </cell>
          <cell r="O484">
            <v>387718</v>
          </cell>
          <cell r="P484" t="str">
            <v>2024/194-0026-01</v>
          </cell>
          <cell r="Q484" t="str">
            <v>EST MESA LATERAL PLANALTO (TP/BS LAM LOURO)</v>
          </cell>
          <cell r="R484"/>
          <cell r="S484"/>
          <cell r="T484">
            <v>0.65</v>
          </cell>
          <cell r="U484">
            <v>0.65</v>
          </cell>
          <cell r="V484">
            <v>0.5</v>
          </cell>
          <cell r="W484">
            <v>0</v>
          </cell>
          <cell r="X484" t="str">
            <v>EST MESA LATERAL PLANALTO (TP/BS LAM LOURO) - 0,65x0,65x0,5H</v>
          </cell>
          <cell r="Y484">
            <v>5835.78</v>
          </cell>
          <cell r="Z484">
            <v>0.35</v>
          </cell>
          <cell r="AA484">
            <v>3793.2570000000001</v>
          </cell>
          <cell r="AB484"/>
        </row>
        <row r="485">
          <cell r="C485">
            <v>0</v>
          </cell>
          <cell r="D485">
            <v>0</v>
          </cell>
          <cell r="E485">
            <v>1</v>
          </cell>
          <cell r="F485">
            <v>0</v>
          </cell>
          <cell r="H485">
            <v>0</v>
          </cell>
          <cell r="O485">
            <v>387730</v>
          </cell>
          <cell r="P485" t="str">
            <v>2024/206-0095-01</v>
          </cell>
          <cell r="Q485" t="str">
            <v>EST MESA JANTAR ORIENTE (TP/BS LAM LOURO) MTZ CHAMP</v>
          </cell>
          <cell r="R485"/>
          <cell r="S485"/>
          <cell r="T485">
            <v>2.78</v>
          </cell>
          <cell r="U485">
            <v>1.2</v>
          </cell>
          <cell r="V485">
            <v>0.76</v>
          </cell>
          <cell r="W485">
            <v>0</v>
          </cell>
          <cell r="X485" t="str">
            <v>EST MESA JANTAR ORIENTE (TP/BS LAM LOURO) MTZ CHAMP - 2,78x1,2x0,76H</v>
          </cell>
          <cell r="Y485">
            <v>24289.4</v>
          </cell>
          <cell r="Z485">
            <v>0.35</v>
          </cell>
          <cell r="AA485">
            <v>15788.11</v>
          </cell>
          <cell r="AB485"/>
        </row>
        <row r="486">
          <cell r="C486">
            <v>0</v>
          </cell>
          <cell r="D486">
            <v>0</v>
          </cell>
          <cell r="E486">
            <v>1</v>
          </cell>
          <cell r="F486">
            <v>0</v>
          </cell>
          <cell r="H486">
            <v>0</v>
          </cell>
          <cell r="O486">
            <v>387732</v>
          </cell>
          <cell r="P486" t="str">
            <v>2024/194-0030-01</v>
          </cell>
          <cell r="Q486" t="str">
            <v>EST MESA LATERAL COPA (TP/BS AMENDOA) SEMI CAFE</v>
          </cell>
          <cell r="R486"/>
          <cell r="S486"/>
          <cell r="T486">
            <v>0.37</v>
          </cell>
          <cell r="U486">
            <v>0.35</v>
          </cell>
          <cell r="V486">
            <v>0.45</v>
          </cell>
          <cell r="W486">
            <v>0</v>
          </cell>
          <cell r="X486" t="str">
            <v>EST MESA LATERAL COPA (TP/BS AMENDOA) SEMI CAFE - 0,37x0,35x0,45H</v>
          </cell>
          <cell r="Y486">
            <v>4753.82</v>
          </cell>
          <cell r="Z486">
            <v>0.35</v>
          </cell>
          <cell r="AA486">
            <v>3089.9830000000002</v>
          </cell>
          <cell r="AB486"/>
        </row>
        <row r="487">
          <cell r="C487">
            <v>0</v>
          </cell>
          <cell r="D487">
            <v>0</v>
          </cell>
          <cell r="E487">
            <v>2</v>
          </cell>
          <cell r="F487">
            <v>0</v>
          </cell>
          <cell r="H487">
            <v>0</v>
          </cell>
          <cell r="O487">
            <v>390615</v>
          </cell>
          <cell r="P487" t="str">
            <v>2024/276-0057-01</v>
          </cell>
          <cell r="Q487" t="str">
            <v>EST POLTRONA ANGELINA (DAMASCO) TC BELLAGIO 500</v>
          </cell>
          <cell r="R487"/>
          <cell r="S487"/>
          <cell r="T487">
            <v>0.79</v>
          </cell>
          <cell r="U487">
            <v>0.57999999999999996</v>
          </cell>
          <cell r="V487">
            <v>0.79</v>
          </cell>
          <cell r="W487">
            <v>0</v>
          </cell>
          <cell r="X487" t="str">
            <v>EST POLTRONA ANGELINA (DAMASCO) TC BELLAGIO 500 - 0,79x0,58x0,79H</v>
          </cell>
          <cell r="Y487">
            <v>16152.244000000001</v>
          </cell>
          <cell r="Z487">
            <v>0.35</v>
          </cell>
          <cell r="AA487">
            <v>10498.958600000002</v>
          </cell>
          <cell r="AB487"/>
        </row>
        <row r="488">
          <cell r="C488">
            <v>0</v>
          </cell>
          <cell r="D488">
            <v>0</v>
          </cell>
          <cell r="E488">
            <v>2</v>
          </cell>
          <cell r="F488">
            <v>0</v>
          </cell>
          <cell r="H488">
            <v>0</v>
          </cell>
          <cell r="O488">
            <v>390615</v>
          </cell>
          <cell r="P488" t="str">
            <v>2024/276-0058-01</v>
          </cell>
          <cell r="Q488" t="str">
            <v>EST POLTRONA ANGELINA (DAMASCO) TC BELLAGIO 500</v>
          </cell>
          <cell r="R488"/>
          <cell r="S488"/>
          <cell r="T488">
            <v>0.79</v>
          </cell>
          <cell r="U488">
            <v>0.57999999999999996</v>
          </cell>
          <cell r="V488">
            <v>0.79</v>
          </cell>
          <cell r="W488">
            <v>0</v>
          </cell>
          <cell r="X488" t="str">
            <v>EST POLTRONA ANGELINA (DAMASCO) TC BELLAGIO 500 - 0,79x0,58x0,79H</v>
          </cell>
          <cell r="Y488">
            <v>16152.244000000001</v>
          </cell>
          <cell r="Z488">
            <v>0.35</v>
          </cell>
          <cell r="AA488">
            <v>10498.958600000002</v>
          </cell>
          <cell r="AB488"/>
        </row>
        <row r="489">
          <cell r="C489">
            <v>0</v>
          </cell>
          <cell r="D489">
            <v>0</v>
          </cell>
          <cell r="E489">
            <v>1</v>
          </cell>
          <cell r="F489">
            <v>0</v>
          </cell>
          <cell r="H489">
            <v>0</v>
          </cell>
          <cell r="O489">
            <v>101806</v>
          </cell>
          <cell r="P489" t="str">
            <v>2022/311-0024-01</v>
          </cell>
          <cell r="Q489" t="str">
            <v>EST BANDEJA MADAM BUTTERFLY GRAFITE</v>
          </cell>
          <cell r="R489"/>
          <cell r="S489"/>
          <cell r="T489">
            <v>0.36</v>
          </cell>
          <cell r="U489">
            <v>0</v>
          </cell>
          <cell r="V489">
            <v>7.0000000000000007E-2</v>
          </cell>
          <cell r="W489">
            <v>0.36</v>
          </cell>
          <cell r="X489" t="str">
            <v>EST BANDEJA MADAM BUTTERFLY GRAFITE - Ø0,36x0,07H</v>
          </cell>
          <cell r="Y489">
            <v>1431.45</v>
          </cell>
          <cell r="Z489">
            <v>0.5</v>
          </cell>
          <cell r="AA489">
            <v>715.72500000000002</v>
          </cell>
          <cell r="AB489"/>
        </row>
        <row r="490">
          <cell r="C490">
            <v>0</v>
          </cell>
          <cell r="D490">
            <v>0</v>
          </cell>
          <cell r="E490">
            <v>2</v>
          </cell>
          <cell r="F490">
            <v>0</v>
          </cell>
          <cell r="H490">
            <v>0</v>
          </cell>
          <cell r="O490">
            <v>261017</v>
          </cell>
          <cell r="P490" t="str">
            <v>2020/084-0056-01</v>
          </cell>
          <cell r="Q490" t="str">
            <v>EST VASO CILINDRO ONDO LA MOUSSE (CERAMICA VERDE)</v>
          </cell>
          <cell r="R490"/>
          <cell r="S490"/>
          <cell r="T490">
            <v>0</v>
          </cell>
          <cell r="U490">
            <v>0.17</v>
          </cell>
          <cell r="V490">
            <v>0.27</v>
          </cell>
          <cell r="W490">
            <v>0</v>
          </cell>
          <cell r="X490" t="str">
            <v>EST VASO CILINDRO ONDO LA MOUSSE (CERAMICA VERDE) - 0x0,17x0,27H</v>
          </cell>
          <cell r="Y490">
            <v>1209.5999999999999</v>
          </cell>
          <cell r="Z490">
            <v>0.5</v>
          </cell>
          <cell r="AA490">
            <v>604.79999999999995</v>
          </cell>
          <cell r="AB490"/>
        </row>
        <row r="491">
          <cell r="C491">
            <v>0</v>
          </cell>
          <cell r="D491">
            <v>0</v>
          </cell>
          <cell r="E491">
            <v>2</v>
          </cell>
          <cell r="F491">
            <v>0</v>
          </cell>
          <cell r="H491">
            <v>0</v>
          </cell>
          <cell r="O491">
            <v>261017</v>
          </cell>
          <cell r="P491" t="str">
            <v>2020/084-0057-01</v>
          </cell>
          <cell r="Q491" t="str">
            <v>EST VASO CILINDRO ONDO LA MOUSSE (CERAMICA VERDE)</v>
          </cell>
          <cell r="R491"/>
          <cell r="S491"/>
          <cell r="T491">
            <v>0</v>
          </cell>
          <cell r="U491">
            <v>0.17</v>
          </cell>
          <cell r="V491">
            <v>0.27</v>
          </cell>
          <cell r="W491">
            <v>0</v>
          </cell>
          <cell r="X491" t="str">
            <v>EST VASO CILINDRO ONDO LA MOUSSE (CERAMICA VERDE) - 0x0,17x0,27H</v>
          </cell>
          <cell r="Y491">
            <v>1209.5999999999999</v>
          </cell>
          <cell r="Z491">
            <v>0.5</v>
          </cell>
          <cell r="AA491">
            <v>604.79999999999995</v>
          </cell>
          <cell r="AB491"/>
        </row>
        <row r="492">
          <cell r="C492">
            <v>0</v>
          </cell>
          <cell r="D492">
            <v>0</v>
          </cell>
          <cell r="E492">
            <v>1</v>
          </cell>
          <cell r="F492">
            <v>0</v>
          </cell>
          <cell r="H492">
            <v>0</v>
          </cell>
          <cell r="O492">
            <v>271718</v>
          </cell>
          <cell r="P492" t="str">
            <v>2021/013-0041-01</v>
          </cell>
          <cell r="Q492" t="str">
            <v>EST ABATJOUR OCA INOX VIDRO REDOMA</v>
          </cell>
          <cell r="R492"/>
          <cell r="S492"/>
          <cell r="T492">
            <v>0.17</v>
          </cell>
          <cell r="U492">
            <v>0.17</v>
          </cell>
          <cell r="V492">
            <v>0.42</v>
          </cell>
          <cell r="W492">
            <v>0</v>
          </cell>
          <cell r="X492" t="str">
            <v>EST ABATJOUR OCA INOX VIDRO REDOMA - 0,17x0,17x0,42H</v>
          </cell>
          <cell r="Y492">
            <v>2647.41</v>
          </cell>
          <cell r="Z492">
            <v>0.5</v>
          </cell>
          <cell r="AA492">
            <v>1323.7049999999999</v>
          </cell>
          <cell r="AB492"/>
        </row>
        <row r="493">
          <cell r="C493">
            <v>1</v>
          </cell>
          <cell r="D493">
            <v>0</v>
          </cell>
          <cell r="E493">
            <v>1</v>
          </cell>
          <cell r="F493">
            <v>0</v>
          </cell>
          <cell r="H493">
            <v>0</v>
          </cell>
          <cell r="O493">
            <v>271719</v>
          </cell>
          <cell r="P493" t="str">
            <v>2020/353-0062-01</v>
          </cell>
          <cell r="Q493" t="str">
            <v>EST ABATJOUR DUE INOX BOWL METAL</v>
          </cell>
          <cell r="R493"/>
          <cell r="S493"/>
          <cell r="T493">
            <v>0.19</v>
          </cell>
          <cell r="U493">
            <v>0.19</v>
          </cell>
          <cell r="V493">
            <v>0.67</v>
          </cell>
          <cell r="W493">
            <v>0</v>
          </cell>
          <cell r="X493" t="str">
            <v>EST ABATJOUR DUE INOX BOWL METAL - 0,19x0,19x0,67H</v>
          </cell>
          <cell r="Y493">
            <v>3609.63</v>
          </cell>
          <cell r="Z493">
            <v>0.5</v>
          </cell>
          <cell r="AA493">
            <v>1804.8150000000001</v>
          </cell>
          <cell r="AB493"/>
        </row>
        <row r="494">
          <cell r="C494">
            <v>2</v>
          </cell>
          <cell r="D494">
            <v>0</v>
          </cell>
          <cell r="E494">
            <v>2</v>
          </cell>
          <cell r="F494">
            <v>0</v>
          </cell>
          <cell r="H494">
            <v>0</v>
          </cell>
          <cell r="O494">
            <v>271720</v>
          </cell>
          <cell r="P494" t="str">
            <v>2020/353-0063-01</v>
          </cell>
          <cell r="Q494" t="str">
            <v>EST ABATJOUR UNO INOX BS MAD PTO REDOMA VD</v>
          </cell>
          <cell r="R494"/>
          <cell r="S494"/>
          <cell r="T494">
            <v>0.21</v>
          </cell>
          <cell r="U494">
            <v>0.15</v>
          </cell>
          <cell r="V494">
            <v>0.59</v>
          </cell>
          <cell r="W494">
            <v>0</v>
          </cell>
          <cell r="X494" t="str">
            <v>EST ABATJOUR UNO INOX BS MAD PTO REDOMA VD - 0,21x0,15x0,59H</v>
          </cell>
          <cell r="Y494">
            <v>2862.81</v>
          </cell>
          <cell r="Z494">
            <v>0.5</v>
          </cell>
          <cell r="AA494">
            <v>1431.405</v>
          </cell>
          <cell r="AB494"/>
        </row>
        <row r="495">
          <cell r="C495">
            <v>2</v>
          </cell>
          <cell r="D495">
            <v>0</v>
          </cell>
          <cell r="E495">
            <v>2</v>
          </cell>
          <cell r="F495">
            <v>0</v>
          </cell>
          <cell r="H495">
            <v>0</v>
          </cell>
          <cell r="O495">
            <v>271720</v>
          </cell>
          <cell r="P495" t="str">
            <v>2021/046-0014-01</v>
          </cell>
          <cell r="Q495" t="str">
            <v>EST ABATJOUR UNO INOX BS MAD PTO REDOMA VD</v>
          </cell>
          <cell r="R495"/>
          <cell r="S495"/>
          <cell r="T495">
            <v>0.21</v>
          </cell>
          <cell r="U495">
            <v>0.15</v>
          </cell>
          <cell r="V495">
            <v>0.59</v>
          </cell>
          <cell r="W495">
            <v>0</v>
          </cell>
          <cell r="X495" t="str">
            <v>EST ABATJOUR UNO INOX BS MAD PTO REDOMA VD - 0,21x0,15x0,59H</v>
          </cell>
          <cell r="Y495">
            <v>2862.81</v>
          </cell>
          <cell r="Z495">
            <v>0.5</v>
          </cell>
          <cell r="AA495">
            <v>1431.405</v>
          </cell>
          <cell r="AB495"/>
        </row>
        <row r="496">
          <cell r="C496">
            <v>0</v>
          </cell>
          <cell r="D496">
            <v>0</v>
          </cell>
          <cell r="E496">
            <v>1</v>
          </cell>
          <cell r="F496">
            <v>0</v>
          </cell>
          <cell r="H496">
            <v>0</v>
          </cell>
          <cell r="O496">
            <v>312423</v>
          </cell>
          <cell r="P496" t="str">
            <v>2022/039-0009-01</v>
          </cell>
          <cell r="Q496" t="str">
            <v>EST QUADRO CORTEN CARBONE (COD920)</v>
          </cell>
          <cell r="R496"/>
          <cell r="S496"/>
          <cell r="T496">
            <v>2.4</v>
          </cell>
          <cell r="U496">
            <v>1.4</v>
          </cell>
          <cell r="V496">
            <v>0</v>
          </cell>
          <cell r="W496">
            <v>0</v>
          </cell>
          <cell r="X496" t="str">
            <v>EST QUADRO CORTEN CARBONE (COD920) - 2,4x1,4x0H</v>
          </cell>
          <cell r="Y496">
            <v>11712.96</v>
          </cell>
          <cell r="Z496">
            <v>0.5</v>
          </cell>
          <cell r="AA496">
            <v>5856.48</v>
          </cell>
          <cell r="AB496"/>
        </row>
        <row r="497">
          <cell r="C497">
            <v>0</v>
          </cell>
          <cell r="D497">
            <v>0</v>
          </cell>
          <cell r="E497">
            <v>1</v>
          </cell>
          <cell r="F497">
            <v>0</v>
          </cell>
          <cell r="H497">
            <v>0</v>
          </cell>
          <cell r="O497">
            <v>312424</v>
          </cell>
          <cell r="P497" t="str">
            <v>2022/039-0010-01</v>
          </cell>
          <cell r="Q497" t="str">
            <v>EST QUADRO CORTEN CARBONE 2 (COD1163)</v>
          </cell>
          <cell r="R497"/>
          <cell r="S497"/>
          <cell r="T497">
            <v>2.4</v>
          </cell>
          <cell r="U497">
            <v>1.4</v>
          </cell>
          <cell r="V497">
            <v>0</v>
          </cell>
          <cell r="W497">
            <v>0</v>
          </cell>
          <cell r="X497" t="str">
            <v>EST QUADRO CORTEN CARBONE 2 (COD1163) - 2,4x1,4x0H</v>
          </cell>
          <cell r="Y497">
            <v>11712.96</v>
          </cell>
          <cell r="Z497">
            <v>0.5</v>
          </cell>
          <cell r="AA497">
            <v>5856.48</v>
          </cell>
          <cell r="AB497"/>
        </row>
        <row r="498"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H498">
            <v>3</v>
          </cell>
          <cell r="O498">
            <v>312427</v>
          </cell>
          <cell r="P498" t="str">
            <v>2022/039-0017-01</v>
          </cell>
          <cell r="Q498" t="str">
            <v>EST QUADRO GALEE BAEM (COD960)</v>
          </cell>
          <cell r="R498"/>
          <cell r="S498"/>
          <cell r="T498">
            <v>1.7</v>
          </cell>
          <cell r="U498">
            <v>1</v>
          </cell>
          <cell r="V498">
            <v>0</v>
          </cell>
          <cell r="W498">
            <v>0</v>
          </cell>
          <cell r="X498" t="str">
            <v>EST QUADRO GALEE BAEM (COD960) - 1,7x1x0H</v>
          </cell>
          <cell r="Y498">
            <v>5597.76</v>
          </cell>
          <cell r="Z498">
            <v>0.5</v>
          </cell>
          <cell r="AA498">
            <v>2798.88</v>
          </cell>
          <cell r="AB498"/>
        </row>
        <row r="499">
          <cell r="C499">
            <v>0</v>
          </cell>
          <cell r="D499">
            <v>0</v>
          </cell>
          <cell r="E499">
            <v>6</v>
          </cell>
          <cell r="F499">
            <v>0</v>
          </cell>
          <cell r="H499">
            <v>0</v>
          </cell>
          <cell r="O499">
            <v>314834</v>
          </cell>
          <cell r="P499" t="str">
            <v>2021/344-0101-01</v>
          </cell>
          <cell r="Q499" t="str">
            <v>EST ALMOFADA LOLITA PAPRIKA</v>
          </cell>
          <cell r="R499"/>
          <cell r="S499"/>
          <cell r="T499">
            <v>0.5</v>
          </cell>
          <cell r="U499">
            <v>0.5</v>
          </cell>
          <cell r="V499">
            <v>0</v>
          </cell>
          <cell r="W499">
            <v>0</v>
          </cell>
          <cell r="X499" t="str">
            <v>EST ALMOFADA LOLITA PAPRIKA - 0,5x0,5x0H</v>
          </cell>
          <cell r="Y499">
            <v>413.95</v>
          </cell>
          <cell r="Z499">
            <v>0.5</v>
          </cell>
          <cell r="AA499">
            <v>206.97499999999999</v>
          </cell>
          <cell r="AB499"/>
        </row>
        <row r="500">
          <cell r="C500">
            <v>0</v>
          </cell>
          <cell r="D500">
            <v>0</v>
          </cell>
          <cell r="E500">
            <v>6</v>
          </cell>
          <cell r="F500">
            <v>0</v>
          </cell>
          <cell r="H500">
            <v>0</v>
          </cell>
          <cell r="O500">
            <v>314834</v>
          </cell>
          <cell r="P500" t="str">
            <v>2021/344-0102-01</v>
          </cell>
          <cell r="Q500" t="str">
            <v>EST ALMOFADA LOLITA PAPRIKA</v>
          </cell>
          <cell r="R500"/>
          <cell r="S500"/>
          <cell r="T500">
            <v>0.5</v>
          </cell>
          <cell r="U500">
            <v>0.5</v>
          </cell>
          <cell r="V500">
            <v>0</v>
          </cell>
          <cell r="W500">
            <v>0</v>
          </cell>
          <cell r="X500" t="str">
            <v>EST ALMOFADA LOLITA PAPRIKA - 0,5x0,5x0H</v>
          </cell>
          <cell r="Y500">
            <v>413.95</v>
          </cell>
          <cell r="Z500">
            <v>0.5</v>
          </cell>
          <cell r="AA500">
            <v>206.97499999999999</v>
          </cell>
          <cell r="AB500"/>
        </row>
        <row r="501">
          <cell r="C501">
            <v>0</v>
          </cell>
          <cell r="D501">
            <v>0</v>
          </cell>
          <cell r="E501">
            <v>6</v>
          </cell>
          <cell r="F501">
            <v>0</v>
          </cell>
          <cell r="H501">
            <v>0</v>
          </cell>
          <cell r="O501">
            <v>314834</v>
          </cell>
          <cell r="P501" t="str">
            <v>2021/344-0099-01</v>
          </cell>
          <cell r="Q501" t="str">
            <v>EST ALMOFADA LOLITA PAPRIKA</v>
          </cell>
          <cell r="R501"/>
          <cell r="S501"/>
          <cell r="T501">
            <v>0.5</v>
          </cell>
          <cell r="U501">
            <v>0.5</v>
          </cell>
          <cell r="V501">
            <v>0</v>
          </cell>
          <cell r="W501">
            <v>0</v>
          </cell>
          <cell r="X501" t="str">
            <v>EST ALMOFADA LOLITA PAPRIKA - 0,5x0,5x0H</v>
          </cell>
          <cell r="Y501">
            <v>413.95</v>
          </cell>
          <cell r="Z501">
            <v>0.5</v>
          </cell>
          <cell r="AA501">
            <v>206.97499999999999</v>
          </cell>
          <cell r="AB501"/>
        </row>
        <row r="502">
          <cell r="C502">
            <v>0</v>
          </cell>
          <cell r="D502">
            <v>0</v>
          </cell>
          <cell r="E502">
            <v>6</v>
          </cell>
          <cell r="F502">
            <v>0</v>
          </cell>
          <cell r="H502">
            <v>0</v>
          </cell>
          <cell r="O502">
            <v>314834</v>
          </cell>
          <cell r="P502" t="str">
            <v>2021/344-0100-01</v>
          </cell>
          <cell r="Q502" t="str">
            <v>EST ALMOFADA LOLITA PAPRIKA</v>
          </cell>
          <cell r="R502"/>
          <cell r="S502"/>
          <cell r="T502">
            <v>0.5</v>
          </cell>
          <cell r="U502">
            <v>0.5</v>
          </cell>
          <cell r="V502">
            <v>0</v>
          </cell>
          <cell r="W502">
            <v>0</v>
          </cell>
          <cell r="X502" t="str">
            <v>EST ALMOFADA LOLITA PAPRIKA - 0,5x0,5x0H</v>
          </cell>
          <cell r="Y502">
            <v>413.95</v>
          </cell>
          <cell r="Z502">
            <v>0.5</v>
          </cell>
          <cell r="AA502">
            <v>206.97499999999999</v>
          </cell>
          <cell r="AB502"/>
        </row>
        <row r="503">
          <cell r="C503">
            <v>0</v>
          </cell>
          <cell r="D503">
            <v>0</v>
          </cell>
          <cell r="E503">
            <v>6</v>
          </cell>
          <cell r="F503">
            <v>0</v>
          </cell>
          <cell r="H503">
            <v>0</v>
          </cell>
          <cell r="O503">
            <v>314834</v>
          </cell>
          <cell r="P503" t="str">
            <v>2021/344-0103-01</v>
          </cell>
          <cell r="Q503" t="str">
            <v>EST ALMOFADA LOLITA PAPRIKA</v>
          </cell>
          <cell r="R503"/>
          <cell r="S503"/>
          <cell r="T503">
            <v>0.5</v>
          </cell>
          <cell r="U503">
            <v>0.5</v>
          </cell>
          <cell r="V503">
            <v>0</v>
          </cell>
          <cell r="W503">
            <v>0</v>
          </cell>
          <cell r="X503" t="str">
            <v>EST ALMOFADA LOLITA PAPRIKA - 0,5x0,5x0H</v>
          </cell>
          <cell r="Y503">
            <v>413.95</v>
          </cell>
          <cell r="Z503">
            <v>0.5</v>
          </cell>
          <cell r="AA503">
            <v>206.97499999999999</v>
          </cell>
          <cell r="AB503"/>
        </row>
        <row r="504">
          <cell r="C504">
            <v>0</v>
          </cell>
          <cell r="D504">
            <v>0</v>
          </cell>
          <cell r="E504">
            <v>6</v>
          </cell>
          <cell r="F504">
            <v>0</v>
          </cell>
          <cell r="H504">
            <v>0</v>
          </cell>
          <cell r="O504">
            <v>314834</v>
          </cell>
          <cell r="P504" t="str">
            <v>2021/344-0104-01</v>
          </cell>
          <cell r="Q504" t="str">
            <v>EST ALMOFADA LOLITA PAPRIKA</v>
          </cell>
          <cell r="R504"/>
          <cell r="S504"/>
          <cell r="T504">
            <v>0.5</v>
          </cell>
          <cell r="U504">
            <v>0.5</v>
          </cell>
          <cell r="V504">
            <v>0</v>
          </cell>
          <cell r="W504">
            <v>0</v>
          </cell>
          <cell r="X504" t="str">
            <v>EST ALMOFADA LOLITA PAPRIKA - 0,5x0,5x0H</v>
          </cell>
          <cell r="Y504">
            <v>413.95</v>
          </cell>
          <cell r="Z504">
            <v>0.5</v>
          </cell>
          <cell r="AA504">
            <v>206.97499999999999</v>
          </cell>
          <cell r="AB504"/>
        </row>
        <row r="505">
          <cell r="C505">
            <v>1</v>
          </cell>
          <cell r="D505">
            <v>4</v>
          </cell>
          <cell r="E505">
            <v>1</v>
          </cell>
          <cell r="F505">
            <v>0</v>
          </cell>
          <cell r="H505">
            <v>0</v>
          </cell>
          <cell r="O505">
            <v>314838</v>
          </cell>
          <cell r="P505" t="str">
            <v>2022/150-0118-01</v>
          </cell>
          <cell r="Q505" t="str">
            <v>EST ALMOFADA RET.LIVERPOOL MATTE</v>
          </cell>
          <cell r="R505"/>
          <cell r="S505"/>
          <cell r="T505">
            <v>0.6</v>
          </cell>
          <cell r="U505">
            <v>0.4</v>
          </cell>
          <cell r="V505">
            <v>0</v>
          </cell>
          <cell r="W505">
            <v>0</v>
          </cell>
          <cell r="X505" t="str">
            <v>EST ALMOFADA RET.LIVERPOOL MATTE - 0,6x0,4x0H</v>
          </cell>
          <cell r="Y505">
            <v>877.14</v>
          </cell>
          <cell r="Z505">
            <v>0.49999897849736963</v>
          </cell>
          <cell r="AA505">
            <v>438.57089600081719</v>
          </cell>
          <cell r="AB505"/>
        </row>
        <row r="506">
          <cell r="C506">
            <v>1</v>
          </cell>
          <cell r="D506">
            <v>4</v>
          </cell>
          <cell r="E506">
            <v>1</v>
          </cell>
          <cell r="F506">
            <v>0</v>
          </cell>
          <cell r="H506">
            <v>0</v>
          </cell>
          <cell r="O506">
            <v>314838</v>
          </cell>
          <cell r="P506" t="str">
            <v>2022/150-0122-01</v>
          </cell>
          <cell r="Q506" t="str">
            <v>EST ALMOFADA RET.LIVERPOOL MATTE</v>
          </cell>
          <cell r="R506"/>
          <cell r="S506"/>
          <cell r="T506">
            <v>0.6</v>
          </cell>
          <cell r="U506">
            <v>0.4</v>
          </cell>
          <cell r="V506">
            <v>0</v>
          </cell>
          <cell r="W506">
            <v>0</v>
          </cell>
          <cell r="X506" t="str">
            <v>EST ALMOFADA RET.LIVERPOOL MATTE - 0,6x0,4x0H</v>
          </cell>
          <cell r="Y506">
            <v>877.14</v>
          </cell>
          <cell r="Z506">
            <v>0.49999897849736963</v>
          </cell>
          <cell r="AA506">
            <v>438.57089600081719</v>
          </cell>
          <cell r="AB506"/>
        </row>
        <row r="507">
          <cell r="C507">
            <v>1</v>
          </cell>
          <cell r="D507">
            <v>0</v>
          </cell>
          <cell r="E507">
            <v>1</v>
          </cell>
          <cell r="F507">
            <v>0</v>
          </cell>
          <cell r="H507">
            <v>1</v>
          </cell>
          <cell r="O507">
            <v>335084</v>
          </cell>
          <cell r="P507" t="str">
            <v>2022/349-0021-01</v>
          </cell>
          <cell r="Q507" t="str">
            <v>EST LUMINARIA PISO TROY (2101) ACO/JEQ NT/CUP LIN OFF WHITE</v>
          </cell>
          <cell r="R507"/>
          <cell r="S507"/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 t="str">
            <v>EST LUMINARIA PISO TROY (2101) ACO/JEQ NT/CUP LIN OFF WHITE - Ø0x0H</v>
          </cell>
          <cell r="Y507">
            <v>5152</v>
          </cell>
          <cell r="Z507">
            <v>0.5</v>
          </cell>
          <cell r="AA507">
            <v>2576</v>
          </cell>
          <cell r="AB507"/>
        </row>
        <row r="508">
          <cell r="C508">
            <v>1</v>
          </cell>
          <cell r="D508">
            <v>1</v>
          </cell>
          <cell r="E508">
            <v>1</v>
          </cell>
          <cell r="F508">
            <v>1</v>
          </cell>
          <cell r="H508">
            <v>0</v>
          </cell>
          <cell r="O508">
            <v>359585</v>
          </cell>
          <cell r="P508" t="str">
            <v>2022/347-0006-01</v>
          </cell>
          <cell r="Q508" t="str">
            <v>EST VASO MATISSE I (AREIA)</v>
          </cell>
          <cell r="R508"/>
          <cell r="S508"/>
          <cell r="T508">
            <v>0.19</v>
          </cell>
          <cell r="U508">
            <v>0.17</v>
          </cell>
          <cell r="V508">
            <v>0.28000000000000003</v>
          </cell>
          <cell r="W508">
            <v>0</v>
          </cell>
          <cell r="X508" t="str">
            <v>EST VASO MATISSE I (AREIA) - 0,19x0,17x0,28H</v>
          </cell>
          <cell r="Y508">
            <v>582.4</v>
          </cell>
          <cell r="Z508">
            <v>0.5</v>
          </cell>
          <cell r="AA508">
            <v>291.2</v>
          </cell>
          <cell r="AB508"/>
        </row>
        <row r="509">
          <cell r="C509">
            <v>1</v>
          </cell>
          <cell r="D509">
            <v>1</v>
          </cell>
          <cell r="E509">
            <v>1</v>
          </cell>
          <cell r="F509">
            <v>1</v>
          </cell>
          <cell r="H509">
            <v>0</v>
          </cell>
          <cell r="O509">
            <v>359586</v>
          </cell>
          <cell r="P509" t="str">
            <v>2022/347-0009-01</v>
          </cell>
          <cell r="Q509" t="str">
            <v>EST VASO MATISSE II (AREIA)</v>
          </cell>
          <cell r="R509"/>
          <cell r="S509"/>
          <cell r="T509">
            <v>0.16</v>
          </cell>
          <cell r="U509">
            <v>0.14000000000000001</v>
          </cell>
          <cell r="V509">
            <v>0.24</v>
          </cell>
          <cell r="W509">
            <v>0</v>
          </cell>
          <cell r="X509" t="str">
            <v>EST VASO MATISSE II (AREIA) - 0,16x0,14x0,24H</v>
          </cell>
          <cell r="Y509">
            <v>492.8</v>
          </cell>
          <cell r="Z509">
            <v>0.5</v>
          </cell>
          <cell r="AA509">
            <v>246.4</v>
          </cell>
          <cell r="AB509"/>
        </row>
        <row r="510">
          <cell r="C510">
            <v>1</v>
          </cell>
          <cell r="D510">
            <v>1</v>
          </cell>
          <cell r="E510">
            <v>1</v>
          </cell>
          <cell r="F510">
            <v>1</v>
          </cell>
          <cell r="H510">
            <v>0</v>
          </cell>
          <cell r="O510">
            <v>359588</v>
          </cell>
          <cell r="P510" t="str">
            <v>2022/347-0013-01</v>
          </cell>
          <cell r="Q510" t="str">
            <v>EST VASO MATISSE II (OURO VELHO)</v>
          </cell>
          <cell r="R510"/>
          <cell r="S510"/>
          <cell r="T510">
            <v>0.16</v>
          </cell>
          <cell r="U510">
            <v>0.14000000000000001</v>
          </cell>
          <cell r="V510">
            <v>0.24</v>
          </cell>
          <cell r="W510">
            <v>0</v>
          </cell>
          <cell r="X510" t="str">
            <v>EST VASO MATISSE II (OURO VELHO) - 0,16x0,14x0,24H</v>
          </cell>
          <cell r="Y510">
            <v>492.8</v>
          </cell>
          <cell r="Z510">
            <v>0.5</v>
          </cell>
          <cell r="AA510">
            <v>246.4</v>
          </cell>
          <cell r="AB510"/>
        </row>
        <row r="511">
          <cell r="C511">
            <v>1</v>
          </cell>
          <cell r="D511">
            <v>1</v>
          </cell>
          <cell r="E511">
            <v>1</v>
          </cell>
          <cell r="F511">
            <v>1</v>
          </cell>
          <cell r="H511">
            <v>0</v>
          </cell>
          <cell r="O511">
            <v>359589</v>
          </cell>
          <cell r="P511" t="str">
            <v>2022/347-0018-01</v>
          </cell>
          <cell r="Q511" t="str">
            <v>EST VASO MATISSE III (AREIA)</v>
          </cell>
          <cell r="R511"/>
          <cell r="S511"/>
          <cell r="T511">
            <v>0.15</v>
          </cell>
          <cell r="U511">
            <v>0.1</v>
          </cell>
          <cell r="V511">
            <v>0.16</v>
          </cell>
          <cell r="W511">
            <v>0</v>
          </cell>
          <cell r="X511" t="str">
            <v>EST VASO MATISSE III (AREIA) - 0,15x0,1x0,16H</v>
          </cell>
          <cell r="Y511">
            <v>380.8</v>
          </cell>
          <cell r="Z511">
            <v>0.5</v>
          </cell>
          <cell r="AA511">
            <v>190.4</v>
          </cell>
          <cell r="AB511"/>
        </row>
        <row r="512">
          <cell r="C512">
            <v>1</v>
          </cell>
          <cell r="D512">
            <v>1</v>
          </cell>
          <cell r="E512">
            <v>1</v>
          </cell>
          <cell r="F512">
            <v>0</v>
          </cell>
          <cell r="H512">
            <v>0</v>
          </cell>
          <cell r="O512">
            <v>359591</v>
          </cell>
          <cell r="P512" t="str">
            <v>2022/347-0022-01</v>
          </cell>
          <cell r="Q512" t="str">
            <v>EST VASO MATISSE III (OURO VELHO)</v>
          </cell>
          <cell r="R512"/>
          <cell r="S512"/>
          <cell r="T512">
            <v>0.15</v>
          </cell>
          <cell r="U512">
            <v>0.1</v>
          </cell>
          <cell r="V512">
            <v>0.16</v>
          </cell>
          <cell r="W512">
            <v>0</v>
          </cell>
          <cell r="X512" t="str">
            <v>EST VASO MATISSE III (OURO VELHO) - 0,15x0,1x0,16H</v>
          </cell>
          <cell r="Y512">
            <v>380.8</v>
          </cell>
          <cell r="Z512">
            <v>0.5</v>
          </cell>
          <cell r="AA512">
            <v>190.4</v>
          </cell>
          <cell r="AB512"/>
        </row>
        <row r="513">
          <cell r="C513">
            <v>0</v>
          </cell>
          <cell r="D513">
            <v>0</v>
          </cell>
          <cell r="E513">
            <v>0</v>
          </cell>
          <cell r="F513">
            <v>1</v>
          </cell>
          <cell r="H513">
            <v>0</v>
          </cell>
          <cell r="O513">
            <v>269218</v>
          </cell>
          <cell r="P513" t="str">
            <v>2020/276-0101-01</v>
          </cell>
          <cell r="Q513" t="str">
            <v>EST BANQUETA YUMI COURO 2 8002/JEQ IMBUIA CLARA</v>
          </cell>
          <cell r="R513"/>
          <cell r="S513"/>
          <cell r="T513">
            <v>0.69</v>
          </cell>
          <cell r="U513">
            <v>0.53</v>
          </cell>
          <cell r="V513">
            <v>0.4</v>
          </cell>
          <cell r="W513">
            <v>0</v>
          </cell>
          <cell r="X513" t="str">
            <v>EST BANQUETA YUMI COURO 2 8002/JEQ IMBUIA CLARA - 0,69x0,53x0,4H</v>
          </cell>
          <cell r="Y513">
            <v>13868.56</v>
          </cell>
          <cell r="Z513">
            <v>0.35</v>
          </cell>
          <cell r="AA513">
            <v>9014.5640000000003</v>
          </cell>
          <cell r="AB513"/>
        </row>
        <row r="514">
          <cell r="C514">
            <v>0</v>
          </cell>
          <cell r="D514">
            <v>0</v>
          </cell>
          <cell r="E514">
            <v>0</v>
          </cell>
          <cell r="F514">
            <v>1</v>
          </cell>
          <cell r="H514">
            <v>0</v>
          </cell>
          <cell r="O514">
            <v>269219</v>
          </cell>
          <cell r="P514" t="str">
            <v>2020/276-0102-01</v>
          </cell>
          <cell r="Q514" t="str">
            <v>EST POLTRONA YUMI COURO 2 8002/JEQUITIBA IMBUIA CLARA</v>
          </cell>
          <cell r="R514"/>
          <cell r="S514"/>
          <cell r="T514">
            <v>1.1599999999999999</v>
          </cell>
          <cell r="U514">
            <v>0.86</v>
          </cell>
          <cell r="V514">
            <v>0.84</v>
          </cell>
          <cell r="W514">
            <v>0</v>
          </cell>
          <cell r="X514" t="str">
            <v>EST POLTRONA YUMI COURO 2 8002/JEQUITIBA IMBUIA CLARA - 1,16x0,86x0,84H</v>
          </cell>
          <cell r="Y514">
            <v>37090.050000000003</v>
          </cell>
          <cell r="Z514">
            <v>0.35</v>
          </cell>
          <cell r="AA514">
            <v>24108.532500000001</v>
          </cell>
          <cell r="AB514"/>
        </row>
        <row r="515">
          <cell r="C515">
            <v>0</v>
          </cell>
          <cell r="D515">
            <v>0</v>
          </cell>
          <cell r="E515">
            <v>0</v>
          </cell>
          <cell r="F515">
            <v>1</v>
          </cell>
          <cell r="H515">
            <v>0</v>
          </cell>
          <cell r="O515">
            <v>334169</v>
          </cell>
          <cell r="P515" t="str">
            <v>2022/185-0096-01</v>
          </cell>
          <cell r="Q515" t="str">
            <v>EST SOFA C/AVANCO ESQ DALOA FX E7121/BASE NOGUEIRA</v>
          </cell>
          <cell r="R515"/>
          <cell r="S515"/>
          <cell r="T515">
            <v>3.28</v>
          </cell>
          <cell r="U515">
            <v>1</v>
          </cell>
          <cell r="V515">
            <v>0.85</v>
          </cell>
          <cell r="W515">
            <v>0</v>
          </cell>
          <cell r="X515" t="str">
            <v>EST SOFA C/AVANCO ESQ DALOA FX E7121/BASE NOGUEIRA - 3,28x1x0,85H</v>
          </cell>
          <cell r="Y515">
            <v>35279.730000000003</v>
          </cell>
          <cell r="Z515">
            <v>0.35</v>
          </cell>
          <cell r="AA515">
            <v>22931.824500000002</v>
          </cell>
          <cell r="AB515"/>
        </row>
        <row r="516">
          <cell r="C516">
            <v>1</v>
          </cell>
          <cell r="D516">
            <v>0</v>
          </cell>
          <cell r="E516">
            <v>0</v>
          </cell>
          <cell r="F516">
            <v>1</v>
          </cell>
          <cell r="H516">
            <v>0</v>
          </cell>
          <cell r="O516">
            <v>371329</v>
          </cell>
          <cell r="P516" t="str">
            <v>2023/282-0038-01</v>
          </cell>
          <cell r="Q516" t="str">
            <v>EST BANQUETA BAR CAVALETTA H78 (JEQUITIBA IMBUIA CLARO)</v>
          </cell>
          <cell r="R516"/>
          <cell r="S516"/>
          <cell r="T516">
            <v>0.43</v>
          </cell>
          <cell r="U516">
            <v>0.5</v>
          </cell>
          <cell r="V516">
            <v>0.78</v>
          </cell>
          <cell r="W516">
            <v>0</v>
          </cell>
          <cell r="X516" t="str">
            <v>EST BANQUETA BAR CAVALETTA H78 (JEQUITIBA IMBUIA CLARO) - 0,43x0,5x0,78H</v>
          </cell>
          <cell r="Y516">
            <v>6595.55</v>
          </cell>
          <cell r="Z516">
            <v>0.35</v>
          </cell>
          <cell r="AA516">
            <v>4287.1075000000001</v>
          </cell>
          <cell r="AB516"/>
        </row>
        <row r="517"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H517">
            <v>10</v>
          </cell>
          <cell r="O517">
            <v>371710</v>
          </cell>
          <cell r="P517" t="str">
            <v>2023/234-0054-01</v>
          </cell>
          <cell r="Q517" t="str">
            <v>EST CADEIRA LUIZA C/BRACO FORN COURO PIG 259/JEQ CAST CLARO</v>
          </cell>
          <cell r="R517"/>
          <cell r="S517"/>
          <cell r="T517">
            <v>0.59</v>
          </cell>
          <cell r="U517">
            <v>0.56000000000000005</v>
          </cell>
          <cell r="V517">
            <v>0.74</v>
          </cell>
          <cell r="W517">
            <v>0</v>
          </cell>
          <cell r="X517" t="str">
            <v>EST CADEIRA LUIZA C/BRACO FORN COURO PIG 259/JEQ CAST CLARO - 0,59x0,56x0,74H</v>
          </cell>
          <cell r="Y517">
            <v>5341.634</v>
          </cell>
          <cell r="Z517">
            <v>0.35</v>
          </cell>
          <cell r="AA517">
            <v>3472.0621000000001</v>
          </cell>
          <cell r="AB517"/>
        </row>
        <row r="518">
          <cell r="C518">
            <v>0</v>
          </cell>
          <cell r="D518">
            <v>0</v>
          </cell>
          <cell r="E518">
            <v>0</v>
          </cell>
          <cell r="F518">
            <v>1</v>
          </cell>
          <cell r="H518">
            <v>0</v>
          </cell>
          <cell r="O518">
            <v>378166</v>
          </cell>
          <cell r="P518" t="str">
            <v>2024/023-0002-01</v>
          </cell>
          <cell r="Q518" t="str">
            <v>EST TAPETE SISAL CY (BARRA VIRADA)</v>
          </cell>
          <cell r="R518"/>
          <cell r="S518"/>
          <cell r="T518">
            <v>5</v>
          </cell>
          <cell r="U518">
            <v>4</v>
          </cell>
          <cell r="V518">
            <v>0</v>
          </cell>
          <cell r="W518">
            <v>0</v>
          </cell>
          <cell r="X518" t="str">
            <v>EST TAPETE SISAL CY (BARRA VIRADA) - 5x4x0H</v>
          </cell>
          <cell r="Y518">
            <v>8892.7999999999993</v>
          </cell>
          <cell r="Z518">
            <v>0.35</v>
          </cell>
          <cell r="AA518">
            <v>5780.32</v>
          </cell>
          <cell r="AB518"/>
        </row>
        <row r="519">
          <cell r="C519">
            <v>0</v>
          </cell>
          <cell r="D519">
            <v>0</v>
          </cell>
          <cell r="E519">
            <v>0</v>
          </cell>
          <cell r="F519">
            <v>1</v>
          </cell>
          <cell r="H519">
            <v>0</v>
          </cell>
          <cell r="O519">
            <v>378167</v>
          </cell>
          <cell r="P519" t="str">
            <v>2024/023-0003-01</v>
          </cell>
          <cell r="Q519" t="str">
            <v>EST TAPETE SISAL CY (BARRA VIRADA)</v>
          </cell>
          <cell r="R519"/>
          <cell r="S519"/>
          <cell r="T519">
            <v>7</v>
          </cell>
          <cell r="U519">
            <v>3</v>
          </cell>
          <cell r="V519">
            <v>0</v>
          </cell>
          <cell r="W519">
            <v>0</v>
          </cell>
          <cell r="X519" t="str">
            <v>EST TAPETE SISAL CY (BARRA VIRADA) - 7x3x0H</v>
          </cell>
          <cell r="Y519">
            <v>12588.8</v>
          </cell>
          <cell r="Z519">
            <v>0.35</v>
          </cell>
          <cell r="AA519">
            <v>8182.72</v>
          </cell>
          <cell r="AB519"/>
        </row>
        <row r="520">
          <cell r="C520">
            <v>0</v>
          </cell>
          <cell r="D520">
            <v>0</v>
          </cell>
          <cell r="E520">
            <v>1</v>
          </cell>
          <cell r="F520">
            <v>1</v>
          </cell>
          <cell r="H520">
            <v>0</v>
          </cell>
          <cell r="O520">
            <v>378169</v>
          </cell>
          <cell r="P520" t="str">
            <v>2024/023-0005-01</v>
          </cell>
          <cell r="Q520" t="str">
            <v>EST TAPETE SISAL CY (BARRA VIRADA)</v>
          </cell>
          <cell r="R520"/>
          <cell r="S520"/>
          <cell r="T520">
            <v>4</v>
          </cell>
          <cell r="U520">
            <v>0</v>
          </cell>
          <cell r="V520">
            <v>0</v>
          </cell>
          <cell r="W520">
            <v>4</v>
          </cell>
          <cell r="X520" t="str">
            <v>EST TAPETE SISAL CY (BARRA VIRADA) - Ø4x0H</v>
          </cell>
          <cell r="Y520">
            <v>7123.2</v>
          </cell>
          <cell r="Z520">
            <v>0.35</v>
          </cell>
          <cell r="AA520">
            <v>4630.08</v>
          </cell>
          <cell r="AB520"/>
        </row>
        <row r="521">
          <cell r="C521">
            <v>0</v>
          </cell>
          <cell r="D521">
            <v>0</v>
          </cell>
          <cell r="E521">
            <v>0</v>
          </cell>
          <cell r="F521">
            <v>1</v>
          </cell>
          <cell r="H521">
            <v>0</v>
          </cell>
          <cell r="O521">
            <v>378170</v>
          </cell>
          <cell r="P521" t="str">
            <v>2024/023-0007-01</v>
          </cell>
          <cell r="Q521" t="str">
            <v>EST TAPETE SISAL CD (BARRA VIRADA)</v>
          </cell>
          <cell r="R521"/>
          <cell r="S521"/>
          <cell r="T521">
            <v>5</v>
          </cell>
          <cell r="U521">
            <v>4</v>
          </cell>
          <cell r="V521">
            <v>0</v>
          </cell>
          <cell r="W521">
            <v>0</v>
          </cell>
          <cell r="X521" t="str">
            <v>EST TAPETE SISAL CD (BARRA VIRADA) - 5x4x0H</v>
          </cell>
          <cell r="Y521">
            <v>8892.7999999999993</v>
          </cell>
          <cell r="Z521">
            <v>0.35</v>
          </cell>
          <cell r="AA521">
            <v>5780.32</v>
          </cell>
          <cell r="AB521"/>
        </row>
        <row r="522">
          <cell r="C522">
            <v>1</v>
          </cell>
          <cell r="D522">
            <v>0</v>
          </cell>
          <cell r="E522">
            <v>0</v>
          </cell>
          <cell r="F522">
            <v>1</v>
          </cell>
          <cell r="H522">
            <v>0</v>
          </cell>
          <cell r="O522">
            <v>378451</v>
          </cell>
          <cell r="P522" t="str">
            <v>2024/030-0008-01</v>
          </cell>
          <cell r="Q522" t="str">
            <v>EST MESA LATERAL HIMALAYA (CLAS) (TP MARM NUVOLA) (WALNUT)</v>
          </cell>
          <cell r="R522"/>
          <cell r="S522"/>
          <cell r="T522">
            <v>0.7</v>
          </cell>
          <cell r="U522">
            <v>0</v>
          </cell>
          <cell r="V522">
            <v>0.55000000000000004</v>
          </cell>
          <cell r="W522">
            <v>0.7</v>
          </cell>
          <cell r="X522" t="str">
            <v>EST MESA LATERAL HIMALAYA (CLAS) (TP MARM NUVOLA) (WALNUT) - Ø0,7x0,55H</v>
          </cell>
          <cell r="Y522">
            <v>20091.23</v>
          </cell>
          <cell r="Z522">
            <v>0.35</v>
          </cell>
          <cell r="AA522">
            <v>13059.299500000001</v>
          </cell>
          <cell r="AB522"/>
        </row>
        <row r="523">
          <cell r="C523">
            <v>0</v>
          </cell>
          <cell r="D523">
            <v>0</v>
          </cell>
          <cell r="E523">
            <v>0</v>
          </cell>
          <cell r="F523">
            <v>6</v>
          </cell>
          <cell r="H523">
            <v>0</v>
          </cell>
          <cell r="O523">
            <v>378710</v>
          </cell>
          <cell r="P523" t="str">
            <v>2024/031-0029-01</v>
          </cell>
          <cell r="Q523" t="str">
            <v>EST CADEIRA CACAU (AMENDOA) (LATAO) TC 1000 - 1374</v>
          </cell>
          <cell r="R523"/>
          <cell r="S523"/>
          <cell r="T523">
            <v>0.5</v>
          </cell>
          <cell r="U523">
            <v>0.61</v>
          </cell>
          <cell r="V523">
            <v>0.84</v>
          </cell>
          <cell r="W523">
            <v>0</v>
          </cell>
          <cell r="X523" t="str">
            <v>EST CADEIRA CACAU (AMENDOA) (LATAO) TC 1000 - 1374 - 0,5x0,61x0,84H</v>
          </cell>
          <cell r="Y523">
            <v>4625.6400000000003</v>
          </cell>
          <cell r="Z523">
            <v>0.35</v>
          </cell>
          <cell r="AA523">
            <v>3006.6660000000002</v>
          </cell>
          <cell r="AB523"/>
        </row>
        <row r="524">
          <cell r="C524">
            <v>0</v>
          </cell>
          <cell r="D524">
            <v>0</v>
          </cell>
          <cell r="E524">
            <v>0</v>
          </cell>
          <cell r="F524">
            <v>6</v>
          </cell>
          <cell r="H524">
            <v>0</v>
          </cell>
          <cell r="O524">
            <v>378710</v>
          </cell>
          <cell r="P524" t="str">
            <v>2024/031-0030-01</v>
          </cell>
          <cell r="Q524" t="str">
            <v>EST CADEIRA CACAU (AMENDOA) (LATAO) TC 1000 - 1374</v>
          </cell>
          <cell r="R524"/>
          <cell r="S524"/>
          <cell r="T524">
            <v>0.5</v>
          </cell>
          <cell r="U524">
            <v>0.61</v>
          </cell>
          <cell r="V524">
            <v>0.84</v>
          </cell>
          <cell r="W524">
            <v>0</v>
          </cell>
          <cell r="X524" t="str">
            <v>EST CADEIRA CACAU (AMENDOA) (LATAO) TC 1000 - 1374 - 0,5x0,61x0,84H</v>
          </cell>
          <cell r="Y524">
            <v>4625.6400000000003</v>
          </cell>
          <cell r="Z524">
            <v>0.35</v>
          </cell>
          <cell r="AA524">
            <v>3006.6660000000002</v>
          </cell>
          <cell r="AB524"/>
        </row>
        <row r="525">
          <cell r="C525">
            <v>0</v>
          </cell>
          <cell r="D525">
            <v>0</v>
          </cell>
          <cell r="E525">
            <v>0</v>
          </cell>
          <cell r="F525">
            <v>6</v>
          </cell>
          <cell r="H525">
            <v>0</v>
          </cell>
          <cell r="O525">
            <v>378710</v>
          </cell>
          <cell r="P525" t="str">
            <v>2024/031-0031-01</v>
          </cell>
          <cell r="Q525" t="str">
            <v>EST CADEIRA CACAU (AMENDOA) (LATAO) TC 1000 - 1374</v>
          </cell>
          <cell r="R525"/>
          <cell r="S525"/>
          <cell r="T525">
            <v>0.5</v>
          </cell>
          <cell r="U525">
            <v>0.61</v>
          </cell>
          <cell r="V525">
            <v>0.84</v>
          </cell>
          <cell r="W525">
            <v>0</v>
          </cell>
          <cell r="X525" t="str">
            <v>EST CADEIRA CACAU (AMENDOA) (LATAO) TC 1000 - 1374 - 0,5x0,61x0,84H</v>
          </cell>
          <cell r="Y525">
            <v>4625.6400000000003</v>
          </cell>
          <cell r="Z525">
            <v>0.35</v>
          </cell>
          <cell r="AA525">
            <v>3006.6660000000002</v>
          </cell>
          <cell r="AB525"/>
        </row>
        <row r="526">
          <cell r="C526">
            <v>0</v>
          </cell>
          <cell r="D526">
            <v>0</v>
          </cell>
          <cell r="E526">
            <v>0</v>
          </cell>
          <cell r="F526">
            <v>6</v>
          </cell>
          <cell r="H526">
            <v>0</v>
          </cell>
          <cell r="O526">
            <v>378710</v>
          </cell>
          <cell r="P526" t="str">
            <v>2024/031-0032-01</v>
          </cell>
          <cell r="Q526" t="str">
            <v>EST CADEIRA CACAU (AMENDOA) (LATAO) TC 1000 - 1374</v>
          </cell>
          <cell r="R526"/>
          <cell r="S526"/>
          <cell r="T526">
            <v>0.5</v>
          </cell>
          <cell r="U526">
            <v>0.61</v>
          </cell>
          <cell r="V526">
            <v>0.84</v>
          </cell>
          <cell r="W526">
            <v>0</v>
          </cell>
          <cell r="X526" t="str">
            <v>EST CADEIRA CACAU (AMENDOA) (LATAO) TC 1000 - 1374 - 0,5x0,61x0,84H</v>
          </cell>
          <cell r="Y526">
            <v>4625.6400000000003</v>
          </cell>
          <cell r="Z526">
            <v>0.35</v>
          </cell>
          <cell r="AA526">
            <v>3006.6660000000002</v>
          </cell>
          <cell r="AB526"/>
        </row>
        <row r="527">
          <cell r="C527">
            <v>0</v>
          </cell>
          <cell r="D527">
            <v>0</v>
          </cell>
          <cell r="E527">
            <v>0</v>
          </cell>
          <cell r="F527">
            <v>6</v>
          </cell>
          <cell r="H527">
            <v>0</v>
          </cell>
          <cell r="O527">
            <v>378710</v>
          </cell>
          <cell r="P527" t="str">
            <v>2024/031-0033-01</v>
          </cell>
          <cell r="Q527" t="str">
            <v>EST CADEIRA CACAU (AMENDOA) (LATAO) TC 1000 - 1374</v>
          </cell>
          <cell r="R527"/>
          <cell r="S527"/>
          <cell r="T527">
            <v>0.5</v>
          </cell>
          <cell r="U527">
            <v>0.61</v>
          </cell>
          <cell r="V527">
            <v>0.84</v>
          </cell>
          <cell r="W527">
            <v>0</v>
          </cell>
          <cell r="X527" t="str">
            <v>EST CADEIRA CACAU (AMENDOA) (LATAO) TC 1000 - 1374 - 0,5x0,61x0,84H</v>
          </cell>
          <cell r="Y527">
            <v>4625.6400000000003</v>
          </cell>
          <cell r="Z527">
            <v>0.35</v>
          </cell>
          <cell r="AA527">
            <v>3006.6660000000002</v>
          </cell>
          <cell r="AB527"/>
        </row>
        <row r="528">
          <cell r="C528">
            <v>0</v>
          </cell>
          <cell r="D528">
            <v>0</v>
          </cell>
          <cell r="E528">
            <v>0</v>
          </cell>
          <cell r="F528">
            <v>6</v>
          </cell>
          <cell r="H528">
            <v>0</v>
          </cell>
          <cell r="O528">
            <v>378710</v>
          </cell>
          <cell r="P528" t="str">
            <v>2024/031-0034-01</v>
          </cell>
          <cell r="Q528" t="str">
            <v>EST CADEIRA CACAU (AMENDOA) (LATAO) TC 1000 - 1374</v>
          </cell>
          <cell r="R528"/>
          <cell r="S528"/>
          <cell r="T528">
            <v>0.5</v>
          </cell>
          <cell r="U528">
            <v>0.61</v>
          </cell>
          <cell r="V528">
            <v>0.84</v>
          </cell>
          <cell r="W528">
            <v>0</v>
          </cell>
          <cell r="X528" t="str">
            <v>EST CADEIRA CACAU (AMENDOA) (LATAO) TC 1000 - 1374 - 0,5x0,61x0,84H</v>
          </cell>
          <cell r="Y528">
            <v>4625.6400000000003</v>
          </cell>
          <cell r="Z528">
            <v>0.35</v>
          </cell>
          <cell r="AA528">
            <v>3006.6660000000002</v>
          </cell>
          <cell r="AB528"/>
        </row>
        <row r="529">
          <cell r="C529">
            <v>0</v>
          </cell>
          <cell r="D529">
            <v>0</v>
          </cell>
          <cell r="E529">
            <v>0</v>
          </cell>
          <cell r="F529">
            <v>2</v>
          </cell>
          <cell r="H529">
            <v>0</v>
          </cell>
          <cell r="O529">
            <v>378711</v>
          </cell>
          <cell r="P529" t="str">
            <v>2024/031-0036-01</v>
          </cell>
          <cell r="Q529" t="str">
            <v>EST CADEIRA CACAU C/BRACO (AMENDOA) (LATAO) TC 1000 - 1374</v>
          </cell>
          <cell r="R529"/>
          <cell r="S529"/>
          <cell r="T529">
            <v>0.61</v>
          </cell>
          <cell r="U529">
            <v>0.61</v>
          </cell>
          <cell r="V529">
            <v>0.84</v>
          </cell>
          <cell r="W529">
            <v>0</v>
          </cell>
          <cell r="X529" t="str">
            <v>EST CADEIRA CACAU C/BRACO (AMENDOA) (LATAO) TC 1000 - 1374 - 0,61x0,61x0,84H</v>
          </cell>
          <cell r="Y529">
            <v>6616.15</v>
          </cell>
          <cell r="Z529">
            <v>0.35</v>
          </cell>
          <cell r="AA529">
            <v>4300.4974999999995</v>
          </cell>
          <cell r="AB529"/>
        </row>
        <row r="530">
          <cell r="C530">
            <v>0</v>
          </cell>
          <cell r="D530">
            <v>0</v>
          </cell>
          <cell r="E530">
            <v>0</v>
          </cell>
          <cell r="F530">
            <v>2</v>
          </cell>
          <cell r="H530">
            <v>0</v>
          </cell>
          <cell r="O530">
            <v>387672</v>
          </cell>
          <cell r="P530" t="str">
            <v>2024/206-0081-01</v>
          </cell>
          <cell r="Q530" t="str">
            <v>EST POLTRONA BLANCA (CASTANHO) TC PREMIUM P016</v>
          </cell>
          <cell r="R530"/>
          <cell r="S530"/>
          <cell r="T530">
            <v>0.7</v>
          </cell>
          <cell r="U530">
            <v>0.66</v>
          </cell>
          <cell r="V530">
            <v>0.79</v>
          </cell>
          <cell r="W530">
            <v>0</v>
          </cell>
          <cell r="X530" t="str">
            <v>EST POLTRONA BLANCA (CASTANHO) TC PREMIUM P016 - 0,7x0,66x0,79H</v>
          </cell>
          <cell r="Y530">
            <v>13865.64</v>
          </cell>
          <cell r="Z530">
            <v>0.35</v>
          </cell>
          <cell r="AA530">
            <v>9012.6660000000011</v>
          </cell>
          <cell r="AB530"/>
        </row>
        <row r="531">
          <cell r="C531">
            <v>0</v>
          </cell>
          <cell r="D531">
            <v>0</v>
          </cell>
          <cell r="E531">
            <v>0</v>
          </cell>
          <cell r="F531">
            <v>2</v>
          </cell>
          <cell r="H531">
            <v>0</v>
          </cell>
          <cell r="O531">
            <v>387672</v>
          </cell>
          <cell r="P531" t="str">
            <v>2024/206-0082-01</v>
          </cell>
          <cell r="Q531" t="str">
            <v>EST POLTRONA BLANCA (CASTANHO) TC PREMIUM P016</v>
          </cell>
          <cell r="R531"/>
          <cell r="S531"/>
          <cell r="T531">
            <v>0.7</v>
          </cell>
          <cell r="U531">
            <v>0.66</v>
          </cell>
          <cell r="V531">
            <v>0.79</v>
          </cell>
          <cell r="W531">
            <v>0</v>
          </cell>
          <cell r="X531" t="str">
            <v>EST POLTRONA BLANCA (CASTANHO) TC PREMIUM P016 - 0,7x0,66x0,79H</v>
          </cell>
          <cell r="Y531">
            <v>13865.64</v>
          </cell>
          <cell r="Z531">
            <v>0.35</v>
          </cell>
          <cell r="AA531">
            <v>9012.6660000000011</v>
          </cell>
          <cell r="AB531"/>
        </row>
        <row r="532">
          <cell r="C532">
            <v>0</v>
          </cell>
          <cell r="D532">
            <v>0</v>
          </cell>
          <cell r="E532">
            <v>0</v>
          </cell>
          <cell r="F532">
            <v>2</v>
          </cell>
          <cell r="H532">
            <v>0</v>
          </cell>
          <cell r="O532">
            <v>387684</v>
          </cell>
          <cell r="P532" t="str">
            <v>2024/194-0009-01</v>
          </cell>
          <cell r="Q532" t="str">
            <v>EST ESTANTE ABRIGO (NOGAL) MTZ PRETO</v>
          </cell>
          <cell r="R532"/>
          <cell r="S532"/>
          <cell r="T532">
            <v>1.2</v>
          </cell>
          <cell r="U532">
            <v>0.4</v>
          </cell>
          <cell r="V532">
            <v>1.88</v>
          </cell>
          <cell r="W532">
            <v>0</v>
          </cell>
          <cell r="X532" t="str">
            <v>EST ESTANTE ABRIGO (NOGAL) MTZ PRETO - 1,2x0,4x1,88H</v>
          </cell>
          <cell r="Y532">
            <v>8633.0499999999993</v>
          </cell>
          <cell r="Z532">
            <v>0.35</v>
          </cell>
          <cell r="AA532">
            <v>5611.4825000000001</v>
          </cell>
          <cell r="AB532"/>
        </row>
        <row r="533">
          <cell r="C533">
            <v>0</v>
          </cell>
          <cell r="D533">
            <v>0</v>
          </cell>
          <cell r="E533">
            <v>0</v>
          </cell>
          <cell r="F533">
            <v>2</v>
          </cell>
          <cell r="H533">
            <v>0</v>
          </cell>
          <cell r="O533">
            <v>387684</v>
          </cell>
          <cell r="P533" t="str">
            <v>2024/194-0010-01</v>
          </cell>
          <cell r="Q533" t="str">
            <v>EST ESTANTE ABRIGO (NOGAL) MTZ PRETO</v>
          </cell>
          <cell r="R533"/>
          <cell r="S533"/>
          <cell r="T533">
            <v>1.2</v>
          </cell>
          <cell r="U533">
            <v>0.4</v>
          </cell>
          <cell r="V533">
            <v>1.88</v>
          </cell>
          <cell r="W533">
            <v>0</v>
          </cell>
          <cell r="X533" t="str">
            <v>EST ESTANTE ABRIGO (NOGAL) MTZ PRETO - 1,2x0,4x1,88H</v>
          </cell>
          <cell r="Y533">
            <v>8633.0499999999993</v>
          </cell>
          <cell r="Z533">
            <v>0.35</v>
          </cell>
          <cell r="AA533">
            <v>5611.4825000000001</v>
          </cell>
          <cell r="AB533"/>
        </row>
        <row r="534">
          <cell r="C534">
            <v>0</v>
          </cell>
          <cell r="D534">
            <v>0</v>
          </cell>
          <cell r="E534">
            <v>0</v>
          </cell>
          <cell r="F534">
            <v>1</v>
          </cell>
          <cell r="H534">
            <v>0</v>
          </cell>
          <cell r="O534">
            <v>387698</v>
          </cell>
          <cell r="P534" t="str">
            <v>2024/194-0017-01</v>
          </cell>
          <cell r="Q534" t="str">
            <v>EST MESA CENTRO PLANALTO (TP/BS SEMI PRETA)</v>
          </cell>
          <cell r="R534"/>
          <cell r="S534"/>
          <cell r="T534">
            <v>0.95</v>
          </cell>
          <cell r="U534">
            <v>0.95</v>
          </cell>
          <cell r="V534">
            <v>0.3</v>
          </cell>
          <cell r="W534">
            <v>0</v>
          </cell>
          <cell r="X534" t="str">
            <v>EST MESA CENTRO PLANALTO (TP/BS SEMI PRETA) - 0,95x0,95x0,3H</v>
          </cell>
          <cell r="Y534">
            <v>6913.98</v>
          </cell>
          <cell r="Z534">
            <v>0.35</v>
          </cell>
          <cell r="AA534">
            <v>4494.0869999999995</v>
          </cell>
          <cell r="AB534"/>
        </row>
        <row r="535">
          <cell r="C535">
            <v>0</v>
          </cell>
          <cell r="D535">
            <v>0</v>
          </cell>
          <cell r="E535">
            <v>0</v>
          </cell>
          <cell r="F535">
            <v>1</v>
          </cell>
          <cell r="H535">
            <v>0</v>
          </cell>
          <cell r="O535">
            <v>387699</v>
          </cell>
          <cell r="P535" t="str">
            <v>2024/194-0018-01</v>
          </cell>
          <cell r="Q535" t="str">
            <v>EST MESA CENTRO PLANALTO (TP LAM CARV NOGAL) BS SEMI PRETA</v>
          </cell>
          <cell r="R535"/>
          <cell r="S535"/>
          <cell r="T535">
            <v>1.1499999999999999</v>
          </cell>
          <cell r="U535">
            <v>1.1499999999999999</v>
          </cell>
          <cell r="V535">
            <v>0.25</v>
          </cell>
          <cell r="W535">
            <v>0</v>
          </cell>
          <cell r="X535" t="str">
            <v>EST MESA CENTRO PLANALTO (TP LAM CARV NOGAL) BS SEMI PRETA - 1,15x1,15x0,25H</v>
          </cell>
          <cell r="Y535">
            <v>7551.08</v>
          </cell>
          <cell r="Z535">
            <v>0.35</v>
          </cell>
          <cell r="AA535">
            <v>4908.2020000000002</v>
          </cell>
          <cell r="AB535"/>
        </row>
        <row r="536">
          <cell r="C536">
            <v>0</v>
          </cell>
          <cell r="D536">
            <v>0</v>
          </cell>
          <cell r="E536">
            <v>0</v>
          </cell>
          <cell r="F536">
            <v>1</v>
          </cell>
          <cell r="H536">
            <v>0</v>
          </cell>
          <cell r="O536">
            <v>387709</v>
          </cell>
          <cell r="P536" t="str">
            <v>2024/194-0024-01</v>
          </cell>
          <cell r="Q536" t="str">
            <v>EST MESA LATERAL PLANALTO (TP LAM CARV NOGAL) BS SEMI PRETA</v>
          </cell>
          <cell r="R536"/>
          <cell r="S536"/>
          <cell r="T536">
            <v>0.65</v>
          </cell>
          <cell r="U536">
            <v>0.65</v>
          </cell>
          <cell r="V536">
            <v>0.5</v>
          </cell>
          <cell r="W536">
            <v>0</v>
          </cell>
          <cell r="X536" t="str">
            <v>EST MESA LATERAL PLANALTO (TP LAM CARV NOGAL) BS SEMI PRETA - 0,65x0,65x0,5H</v>
          </cell>
          <cell r="Y536">
            <v>5835.78</v>
          </cell>
          <cell r="Z536">
            <v>0.35</v>
          </cell>
          <cell r="AA536">
            <v>3793.2570000000001</v>
          </cell>
          <cell r="AB536"/>
        </row>
        <row r="537">
          <cell r="C537">
            <v>0</v>
          </cell>
          <cell r="D537">
            <v>1</v>
          </cell>
          <cell r="E537">
            <v>0</v>
          </cell>
          <cell r="F537">
            <v>1</v>
          </cell>
          <cell r="H537">
            <v>0</v>
          </cell>
          <cell r="O537">
            <v>387726</v>
          </cell>
          <cell r="P537" t="str">
            <v>2024/194-0028-01</v>
          </cell>
          <cell r="Q537" t="str">
            <v>EST MESA LATERAL COPA (TP/BS NOGAL) MTX CAFE</v>
          </cell>
          <cell r="R537"/>
          <cell r="S537"/>
          <cell r="T537">
            <v>0.37</v>
          </cell>
          <cell r="U537">
            <v>0.35</v>
          </cell>
          <cell r="V537">
            <v>0.45</v>
          </cell>
          <cell r="W537">
            <v>0</v>
          </cell>
          <cell r="X537" t="str">
            <v>EST MESA LATERAL COPA (TP/BS NOGAL) MTX CAFE - 0,37x0,35x0,45H</v>
          </cell>
          <cell r="Y537">
            <v>4753.82</v>
          </cell>
          <cell r="Z537">
            <v>0.35</v>
          </cell>
          <cell r="AA537">
            <v>3089.9830000000002</v>
          </cell>
          <cell r="AB537"/>
        </row>
        <row r="538">
          <cell r="C538">
            <v>0</v>
          </cell>
          <cell r="D538">
            <v>0</v>
          </cell>
          <cell r="E538">
            <v>0</v>
          </cell>
          <cell r="F538">
            <v>1</v>
          </cell>
          <cell r="H538">
            <v>0</v>
          </cell>
          <cell r="O538">
            <v>390883</v>
          </cell>
          <cell r="P538" t="str">
            <v>2024/275-0001-01</v>
          </cell>
          <cell r="Q538" t="str">
            <v>EST MESA JANTAR HIMALAYA (CONT) (TP MARM NEW ROME) (WALNUT)</v>
          </cell>
          <cell r="R538"/>
          <cell r="S538"/>
          <cell r="T538">
            <v>3</v>
          </cell>
          <cell r="U538">
            <v>1.1000000000000001</v>
          </cell>
          <cell r="V538">
            <v>0.75</v>
          </cell>
          <cell r="W538">
            <v>0</v>
          </cell>
          <cell r="X538" t="str">
            <v>EST MESA JANTAR HIMALAYA (CONT) (TP MARM NEW ROME) (WALNUT) - 3x1,1x0,75H</v>
          </cell>
          <cell r="Y538">
            <v>96840.98</v>
          </cell>
          <cell r="Z538">
            <v>0.35</v>
          </cell>
          <cell r="AA538">
            <v>62946.637000000002</v>
          </cell>
          <cell r="AB538"/>
        </row>
        <row r="539">
          <cell r="C539">
            <v>0</v>
          </cell>
          <cell r="D539">
            <v>0</v>
          </cell>
          <cell r="E539">
            <v>0</v>
          </cell>
          <cell r="F539">
            <v>1</v>
          </cell>
          <cell r="H539">
            <v>0</v>
          </cell>
          <cell r="O539">
            <v>254166</v>
          </cell>
          <cell r="P539" t="str">
            <v>2019/316-0043-01</v>
          </cell>
          <cell r="Q539" t="str">
            <v>EST BANCO EVO (MADEIRA NATURAL) GRAVADO LOGO</v>
          </cell>
          <cell r="R539"/>
          <cell r="S539"/>
          <cell r="T539">
            <v>0.39</v>
          </cell>
          <cell r="U539">
            <v>0.37</v>
          </cell>
          <cell r="V539">
            <v>0.45</v>
          </cell>
          <cell r="W539">
            <v>0</v>
          </cell>
          <cell r="X539" t="str">
            <v>EST BANCO EVO (MADEIRA NATURAL) GRAVADO LOGO - 0,39x0,37x0,45H</v>
          </cell>
          <cell r="Y539">
            <v>3046.4</v>
          </cell>
          <cell r="Z539">
            <v>0.5</v>
          </cell>
          <cell r="AA539">
            <v>1523.2</v>
          </cell>
          <cell r="AB539"/>
        </row>
        <row r="540">
          <cell r="C540">
            <v>0</v>
          </cell>
          <cell r="D540">
            <v>0</v>
          </cell>
          <cell r="E540">
            <v>0</v>
          </cell>
          <cell r="F540">
            <v>1</v>
          </cell>
          <cell r="H540">
            <v>0</v>
          </cell>
          <cell r="O540">
            <v>335074</v>
          </cell>
          <cell r="P540" t="str">
            <v>2022/256-0033-01</v>
          </cell>
          <cell r="Q540" t="str">
            <v>EST MESA LATERAL BUZIOS 300 (TP MTX CORTEN/BS CONC/HST CORT)</v>
          </cell>
          <cell r="R540"/>
          <cell r="S540"/>
          <cell r="T540">
            <v>0.3</v>
          </cell>
          <cell r="U540">
            <v>0</v>
          </cell>
          <cell r="V540">
            <v>0.55000000000000004</v>
          </cell>
          <cell r="W540">
            <v>0.3</v>
          </cell>
          <cell r="X540" t="str">
            <v>EST MESA LATERAL BUZIOS 300 (TP MTX CORTEN/BS CONC/HST CORT) - Ø0,3x0,55H</v>
          </cell>
          <cell r="Y540">
            <v>4313.3900000000003</v>
          </cell>
          <cell r="Z540">
            <v>0.5</v>
          </cell>
          <cell r="AA540">
            <v>2156.6950000000002</v>
          </cell>
          <cell r="AB540"/>
        </row>
        <row r="541">
          <cell r="C541">
            <v>0</v>
          </cell>
          <cell r="D541">
            <v>0</v>
          </cell>
          <cell r="E541">
            <v>0</v>
          </cell>
          <cell r="F541">
            <v>1</v>
          </cell>
          <cell r="H541">
            <v>0</v>
          </cell>
          <cell r="O541">
            <v>335089</v>
          </cell>
          <cell r="P541" t="str">
            <v>2022/256-0035-01</v>
          </cell>
          <cell r="Q541" t="str">
            <v>EST MESA LATERAL BUZIOS 600 (TP/BS CONC RETO NAT/HST TITAN)</v>
          </cell>
          <cell r="R541"/>
          <cell r="S541"/>
          <cell r="T541">
            <v>0.6</v>
          </cell>
          <cell r="U541">
            <v>0</v>
          </cell>
          <cell r="V541">
            <v>0.41</v>
          </cell>
          <cell r="W541">
            <v>0.6</v>
          </cell>
          <cell r="X541" t="str">
            <v>EST MESA LATERAL BUZIOS 600 (TP/BS CONC RETO NAT/HST TITAN) - Ø0,6x0,41H</v>
          </cell>
          <cell r="Y541">
            <v>9247.66</v>
          </cell>
          <cell r="Z541">
            <v>0.5</v>
          </cell>
          <cell r="AA541">
            <v>4623.83</v>
          </cell>
          <cell r="AB541"/>
        </row>
        <row r="542">
          <cell r="C542">
            <v>0</v>
          </cell>
          <cell r="D542">
            <v>0</v>
          </cell>
          <cell r="E542">
            <v>0</v>
          </cell>
          <cell r="F542">
            <v>1</v>
          </cell>
          <cell r="H542">
            <v>1</v>
          </cell>
          <cell r="O542">
            <v>351720</v>
          </cell>
          <cell r="P542" t="str">
            <v>2022/242-0072-01</v>
          </cell>
          <cell r="Q542" t="str">
            <v>EST ALMOFADA CLAMI 1 (PLUMA SINT) (MAQUINETADO CRU/PRETO)</v>
          </cell>
          <cell r="R542"/>
          <cell r="S542"/>
          <cell r="T542">
            <v>0.6</v>
          </cell>
          <cell r="U542">
            <v>0.25</v>
          </cell>
          <cell r="V542">
            <v>0.15</v>
          </cell>
          <cell r="W542">
            <v>0</v>
          </cell>
          <cell r="X542" t="str">
            <v>EST ALMOFADA CLAMI 1 (PLUMA SINT) (MAQUINETADO CRU/PRETO) - 0,6x0,25x0,15H</v>
          </cell>
          <cell r="Y542">
            <v>550.37</v>
          </cell>
          <cell r="Z542">
            <v>0.35</v>
          </cell>
          <cell r="AA542">
            <v>357.7405</v>
          </cell>
          <cell r="AB542"/>
        </row>
        <row r="543">
          <cell r="C543">
            <v>1</v>
          </cell>
          <cell r="D543">
            <v>1</v>
          </cell>
          <cell r="E543">
            <v>1</v>
          </cell>
          <cell r="F543">
            <v>1</v>
          </cell>
          <cell r="H543">
            <v>0</v>
          </cell>
          <cell r="O543">
            <v>359585</v>
          </cell>
          <cell r="P543" t="str">
            <v>2022/347-0007-01</v>
          </cell>
          <cell r="Q543" t="str">
            <v>EST VASO MATISSE I (AREIA)</v>
          </cell>
          <cell r="R543"/>
          <cell r="S543"/>
          <cell r="T543">
            <v>0.19</v>
          </cell>
          <cell r="U543">
            <v>0.17</v>
          </cell>
          <cell r="V543">
            <v>0.28000000000000003</v>
          </cell>
          <cell r="W543">
            <v>0</v>
          </cell>
          <cell r="X543" t="str">
            <v>EST VASO MATISSE I (AREIA) - 0,19x0,17x0,28H</v>
          </cell>
          <cell r="Y543">
            <v>582.4</v>
          </cell>
          <cell r="Z543">
            <v>0.5</v>
          </cell>
          <cell r="AA543">
            <v>291.2</v>
          </cell>
          <cell r="AB543"/>
        </row>
        <row r="544">
          <cell r="C544">
            <v>1</v>
          </cell>
          <cell r="D544">
            <v>1</v>
          </cell>
          <cell r="E544">
            <v>1</v>
          </cell>
          <cell r="F544">
            <v>1</v>
          </cell>
          <cell r="H544">
            <v>0</v>
          </cell>
          <cell r="O544">
            <v>359586</v>
          </cell>
          <cell r="P544" t="str">
            <v>2022/347-0010-01</v>
          </cell>
          <cell r="Q544" t="str">
            <v>EST VASO MATISSE II (AREIA)</v>
          </cell>
          <cell r="R544"/>
          <cell r="S544"/>
          <cell r="T544">
            <v>0.16</v>
          </cell>
          <cell r="U544">
            <v>0.14000000000000001</v>
          </cell>
          <cell r="V544">
            <v>0.24</v>
          </cell>
          <cell r="W544">
            <v>0</v>
          </cell>
          <cell r="X544" t="str">
            <v>EST VASO MATISSE II (AREIA) - 0,16x0,14x0,24H</v>
          </cell>
          <cell r="Y544">
            <v>492.8</v>
          </cell>
          <cell r="Z544">
            <v>0.5</v>
          </cell>
          <cell r="AA544">
            <v>246.4</v>
          </cell>
          <cell r="AB544"/>
        </row>
        <row r="545">
          <cell r="C545">
            <v>1</v>
          </cell>
          <cell r="D545">
            <v>1</v>
          </cell>
          <cell r="E545">
            <v>1</v>
          </cell>
          <cell r="F545">
            <v>1</v>
          </cell>
          <cell r="H545">
            <v>0</v>
          </cell>
          <cell r="O545">
            <v>359588</v>
          </cell>
          <cell r="P545" t="str">
            <v>2022/347-0016-01</v>
          </cell>
          <cell r="Q545" t="str">
            <v>EST VASO MATISSE II (OURO VELHO)</v>
          </cell>
          <cell r="R545"/>
          <cell r="S545"/>
          <cell r="T545">
            <v>0.16</v>
          </cell>
          <cell r="U545">
            <v>0.14000000000000001</v>
          </cell>
          <cell r="V545">
            <v>0.24</v>
          </cell>
          <cell r="W545">
            <v>0</v>
          </cell>
          <cell r="X545" t="str">
            <v>EST VASO MATISSE II (OURO VELHO) - 0,16x0,14x0,24H</v>
          </cell>
          <cell r="Y545">
            <v>492.8</v>
          </cell>
          <cell r="Z545">
            <v>0.5</v>
          </cell>
          <cell r="AA545">
            <v>246.4</v>
          </cell>
          <cell r="AB545"/>
        </row>
        <row r="546">
          <cell r="C546">
            <v>1</v>
          </cell>
          <cell r="D546">
            <v>1</v>
          </cell>
          <cell r="E546">
            <v>1</v>
          </cell>
          <cell r="F546">
            <v>1</v>
          </cell>
          <cell r="H546">
            <v>0</v>
          </cell>
          <cell r="O546">
            <v>359589</v>
          </cell>
          <cell r="P546" t="str">
            <v>2022/347-0017-01</v>
          </cell>
          <cell r="Q546" t="str">
            <v>EST VASO MATISSE III (AREIA)</v>
          </cell>
          <cell r="R546"/>
          <cell r="S546"/>
          <cell r="T546">
            <v>0.15</v>
          </cell>
          <cell r="U546">
            <v>0.1</v>
          </cell>
          <cell r="V546">
            <v>0.16</v>
          </cell>
          <cell r="W546">
            <v>0</v>
          </cell>
          <cell r="X546" t="str">
            <v>EST VASO MATISSE III (AREIA) - 0,15x0,1x0,16H</v>
          </cell>
          <cell r="Y546">
            <v>380.8</v>
          </cell>
          <cell r="Z546">
            <v>0.5</v>
          </cell>
          <cell r="AA546">
            <v>190.4</v>
          </cell>
          <cell r="AB546"/>
        </row>
        <row r="547">
          <cell r="C547">
            <v>1</v>
          </cell>
          <cell r="D547">
            <v>0</v>
          </cell>
          <cell r="E547">
            <v>0</v>
          </cell>
          <cell r="F547">
            <v>1</v>
          </cell>
          <cell r="H547">
            <v>0</v>
          </cell>
          <cell r="O547">
            <v>359684</v>
          </cell>
          <cell r="P547" t="str">
            <v>2022/347-0025-01</v>
          </cell>
          <cell r="Q547" t="str">
            <v>EST VASO MATISSE I (TRANSPARENTE)</v>
          </cell>
          <cell r="R547"/>
          <cell r="S547"/>
          <cell r="T547">
            <v>0.19</v>
          </cell>
          <cell r="U547">
            <v>0.17</v>
          </cell>
          <cell r="V547">
            <v>0.28000000000000003</v>
          </cell>
          <cell r="W547">
            <v>0</v>
          </cell>
          <cell r="X547" t="str">
            <v>EST VASO MATISSE I (TRANSPARENTE) - 0,19x0,17x0,28H</v>
          </cell>
          <cell r="Y547">
            <v>582.4</v>
          </cell>
          <cell r="Z547">
            <v>0.5</v>
          </cell>
          <cell r="AA547">
            <v>291.2</v>
          </cell>
          <cell r="AB547"/>
        </row>
        <row r="548">
          <cell r="C548">
            <v>1</v>
          </cell>
          <cell r="D548">
            <v>1</v>
          </cell>
          <cell r="E548">
            <v>0</v>
          </cell>
          <cell r="F548">
            <v>1</v>
          </cell>
          <cell r="H548">
            <v>0</v>
          </cell>
          <cell r="O548">
            <v>359685</v>
          </cell>
          <cell r="P548" t="str">
            <v>2022/347-0031-01</v>
          </cell>
          <cell r="Q548" t="str">
            <v>EST VASO MATISSE II (TRANSPARENTE)</v>
          </cell>
          <cell r="R548"/>
          <cell r="S548"/>
          <cell r="T548">
            <v>0.16</v>
          </cell>
          <cell r="U548">
            <v>0.14000000000000001</v>
          </cell>
          <cell r="V548">
            <v>0.24</v>
          </cell>
          <cell r="W548">
            <v>0</v>
          </cell>
          <cell r="X548" t="str">
            <v>EST VASO MATISSE II (TRANSPARENTE) - 0,16x0,14x0,24H</v>
          </cell>
          <cell r="Y548">
            <v>492.8</v>
          </cell>
          <cell r="Z548">
            <v>0.5</v>
          </cell>
          <cell r="AA548">
            <v>246.4</v>
          </cell>
          <cell r="AB548"/>
        </row>
        <row r="549">
          <cell r="C549">
            <v>1</v>
          </cell>
          <cell r="D549">
            <v>1</v>
          </cell>
          <cell r="E549">
            <v>0</v>
          </cell>
          <cell r="F549">
            <v>1</v>
          </cell>
          <cell r="H549">
            <v>0</v>
          </cell>
          <cell r="O549">
            <v>359686</v>
          </cell>
          <cell r="P549" t="str">
            <v>2022/347-0035-01</v>
          </cell>
          <cell r="Q549" t="str">
            <v>EST VASO MATISSE III (TRANSPARENTE)</v>
          </cell>
          <cell r="R549"/>
          <cell r="S549"/>
          <cell r="T549">
            <v>0.15</v>
          </cell>
          <cell r="U549">
            <v>0.1</v>
          </cell>
          <cell r="V549">
            <v>0.16</v>
          </cell>
          <cell r="W549">
            <v>0</v>
          </cell>
          <cell r="X549" t="str">
            <v>EST VASO MATISSE III (TRANSPARENTE) - 0,15x0,1x0,16H</v>
          </cell>
          <cell r="Y549">
            <v>380.8</v>
          </cell>
          <cell r="Z549">
            <v>0.5</v>
          </cell>
          <cell r="AA549">
            <v>190.4</v>
          </cell>
          <cell r="AB549"/>
        </row>
        <row r="550">
          <cell r="C550">
            <v>1</v>
          </cell>
          <cell r="D550">
            <v>0</v>
          </cell>
          <cell r="E550">
            <v>0</v>
          </cell>
          <cell r="F550">
            <v>1</v>
          </cell>
          <cell r="H550">
            <v>1</v>
          </cell>
          <cell r="O550">
            <v>361311</v>
          </cell>
          <cell r="P550" t="str">
            <v>2023/033-0003-01</v>
          </cell>
          <cell r="Q550" t="str">
            <v>EST ACESSORIO VYS (MARMORE ROSA PARANA)</v>
          </cell>
          <cell r="R550"/>
          <cell r="S550"/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 t="str">
            <v>EST ACESSORIO VYS (MARMORE ROSA PARANA) - Ø0x0H</v>
          </cell>
          <cell r="Y550">
            <v>3537.18</v>
          </cell>
          <cell r="Z550">
            <v>0.5</v>
          </cell>
          <cell r="AA550">
            <v>1768.59</v>
          </cell>
          <cell r="AB550"/>
        </row>
        <row r="551">
          <cell r="C551">
            <v>0</v>
          </cell>
          <cell r="D551">
            <v>0</v>
          </cell>
          <cell r="E551">
            <v>0</v>
          </cell>
          <cell r="F551">
            <v>1</v>
          </cell>
          <cell r="H551">
            <v>0</v>
          </cell>
          <cell r="O551">
            <v>378474</v>
          </cell>
          <cell r="P551" t="str">
            <v>2024/075-0027-01</v>
          </cell>
          <cell r="Q551" t="str">
            <v>EST MESA LATERAL HIMALAYA (CLAS) (TP MARM ESP SAHR) (WALNUT)</v>
          </cell>
          <cell r="R551"/>
          <cell r="S551"/>
          <cell r="T551">
            <v>0.5</v>
          </cell>
          <cell r="U551">
            <v>0</v>
          </cell>
          <cell r="V551">
            <v>0.45</v>
          </cell>
          <cell r="W551">
            <v>0.5</v>
          </cell>
          <cell r="X551" t="str">
            <v>EST MESA LATERAL HIMALAYA (CLAS) (TP MARM ESP SAHR) (WALNUT) - Ø0,5x0,45H</v>
          </cell>
          <cell r="Y551">
            <v>16553.96</v>
          </cell>
          <cell r="Z551">
            <v>0.35</v>
          </cell>
          <cell r="AA551">
            <v>10760.074000000001</v>
          </cell>
          <cell r="AB551"/>
        </row>
        <row r="552">
          <cell r="C552">
            <v>0</v>
          </cell>
          <cell r="D552">
            <v>0</v>
          </cell>
          <cell r="E552">
            <v>0</v>
          </cell>
          <cell r="F552">
            <v>1</v>
          </cell>
          <cell r="H552">
            <v>0</v>
          </cell>
          <cell r="O552">
            <v>378483</v>
          </cell>
          <cell r="P552" t="str">
            <v>2024/075-0028-01</v>
          </cell>
          <cell r="Q552" t="str">
            <v>EST MESA CENTRO HIMALAYA (CLAS) (TP MARM SAHARA) (WALNUT)</v>
          </cell>
          <cell r="R552"/>
          <cell r="S552"/>
          <cell r="T552">
            <v>1.2</v>
          </cell>
          <cell r="U552">
            <v>0</v>
          </cell>
          <cell r="V552">
            <v>0.35</v>
          </cell>
          <cell r="W552">
            <v>1.2</v>
          </cell>
          <cell r="X552" t="str">
            <v>EST MESA CENTRO HIMALAYA (CLAS) (TP MARM SAHARA) (WALNUT) - Ø1,2x0,35H</v>
          </cell>
          <cell r="Y552">
            <v>55498.91</v>
          </cell>
          <cell r="Z552">
            <v>0.35</v>
          </cell>
          <cell r="AA552">
            <v>36074.291500000007</v>
          </cell>
          <cell r="AB552"/>
        </row>
        <row r="553">
          <cell r="C553">
            <v>3</v>
          </cell>
          <cell r="D553">
            <v>0</v>
          </cell>
          <cell r="E553">
            <v>0</v>
          </cell>
          <cell r="F553">
            <v>7</v>
          </cell>
          <cell r="H553">
            <v>0</v>
          </cell>
          <cell r="O553">
            <v>380350</v>
          </cell>
          <cell r="P553" t="str">
            <v>2024/065-0066-01</v>
          </cell>
          <cell r="Q553" t="str">
            <v>EST ALMOFADA DECORATIVA HIMALAYA (IMPRESSAO BOTANICA)</v>
          </cell>
          <cell r="R553"/>
          <cell r="S553"/>
          <cell r="T553">
            <v>0.6</v>
          </cell>
          <cell r="U553">
            <v>0.3</v>
          </cell>
          <cell r="V553">
            <v>0</v>
          </cell>
          <cell r="W553">
            <v>0</v>
          </cell>
          <cell r="X553" t="str">
            <v>EST ALMOFADA DECORATIVA HIMALAYA (IMPRESSAO BOTANICA) - 0,6x0,3x0H</v>
          </cell>
          <cell r="Y553">
            <v>1466.84</v>
          </cell>
          <cell r="Z553">
            <v>0.35</v>
          </cell>
          <cell r="AA553">
            <v>953.44600000000003</v>
          </cell>
          <cell r="AB553"/>
        </row>
        <row r="554">
          <cell r="C554">
            <v>3</v>
          </cell>
          <cell r="D554">
            <v>0</v>
          </cell>
          <cell r="E554">
            <v>0</v>
          </cell>
          <cell r="F554">
            <v>7</v>
          </cell>
          <cell r="H554">
            <v>0</v>
          </cell>
          <cell r="O554">
            <v>380350</v>
          </cell>
          <cell r="P554" t="str">
            <v>2024/065-0067-01</v>
          </cell>
          <cell r="Q554" t="str">
            <v>EST ALMOFADA DECORATIVA HIMALAYA (IMPRESSAO BOTANICA)</v>
          </cell>
          <cell r="R554"/>
          <cell r="S554"/>
          <cell r="T554">
            <v>0.6</v>
          </cell>
          <cell r="U554">
            <v>0.3</v>
          </cell>
          <cell r="V554">
            <v>0</v>
          </cell>
          <cell r="W554">
            <v>0</v>
          </cell>
          <cell r="X554" t="str">
            <v>EST ALMOFADA DECORATIVA HIMALAYA (IMPRESSAO BOTANICA) - 0,6x0,3x0H</v>
          </cell>
          <cell r="Y554">
            <v>1466.84</v>
          </cell>
          <cell r="Z554">
            <v>0.35</v>
          </cell>
          <cell r="AA554">
            <v>953.44600000000003</v>
          </cell>
          <cell r="AB554"/>
        </row>
        <row r="555">
          <cell r="C555">
            <v>3</v>
          </cell>
          <cell r="D555">
            <v>0</v>
          </cell>
          <cell r="E555">
            <v>0</v>
          </cell>
          <cell r="F555">
            <v>7</v>
          </cell>
          <cell r="H555">
            <v>0</v>
          </cell>
          <cell r="O555">
            <v>380350</v>
          </cell>
          <cell r="P555" t="str">
            <v>2024/065-0068-01</v>
          </cell>
          <cell r="Q555" t="str">
            <v>EST ALMOFADA DECORATIVA HIMALAYA (IMPRESSAO BOTANICA)</v>
          </cell>
          <cell r="R555"/>
          <cell r="S555"/>
          <cell r="T555">
            <v>0.6</v>
          </cell>
          <cell r="U555">
            <v>0.3</v>
          </cell>
          <cell r="V555">
            <v>0</v>
          </cell>
          <cell r="W555">
            <v>0</v>
          </cell>
          <cell r="X555" t="str">
            <v>EST ALMOFADA DECORATIVA HIMALAYA (IMPRESSAO BOTANICA) - 0,6x0,3x0H</v>
          </cell>
          <cell r="Y555">
            <v>1466.84</v>
          </cell>
          <cell r="Z555">
            <v>0.35</v>
          </cell>
          <cell r="AA555">
            <v>953.44600000000003</v>
          </cell>
          <cell r="AB555"/>
        </row>
        <row r="556">
          <cell r="C556">
            <v>3</v>
          </cell>
          <cell r="D556">
            <v>0</v>
          </cell>
          <cell r="E556">
            <v>0</v>
          </cell>
          <cell r="F556">
            <v>7</v>
          </cell>
          <cell r="H556">
            <v>0</v>
          </cell>
          <cell r="O556">
            <v>380350</v>
          </cell>
          <cell r="P556" t="str">
            <v>2024/065-0069-01</v>
          </cell>
          <cell r="Q556" t="str">
            <v>EST ALMOFADA DECORATIVA HIMALAYA (IMPRESSAO BOTANICA)</v>
          </cell>
          <cell r="R556"/>
          <cell r="S556"/>
          <cell r="T556">
            <v>0.6</v>
          </cell>
          <cell r="U556">
            <v>0.3</v>
          </cell>
          <cell r="V556">
            <v>0</v>
          </cell>
          <cell r="W556">
            <v>0</v>
          </cell>
          <cell r="X556" t="str">
            <v>EST ALMOFADA DECORATIVA HIMALAYA (IMPRESSAO BOTANICA) - 0,6x0,3x0H</v>
          </cell>
          <cell r="Y556">
            <v>1466.84</v>
          </cell>
          <cell r="Z556">
            <v>0.35</v>
          </cell>
          <cell r="AA556">
            <v>953.44600000000003</v>
          </cell>
          <cell r="AB556"/>
        </row>
        <row r="557">
          <cell r="C557">
            <v>3</v>
          </cell>
          <cell r="D557">
            <v>0</v>
          </cell>
          <cell r="E557">
            <v>0</v>
          </cell>
          <cell r="F557">
            <v>7</v>
          </cell>
          <cell r="H557">
            <v>0</v>
          </cell>
          <cell r="O557">
            <v>380350</v>
          </cell>
          <cell r="P557" t="str">
            <v>2024/065-0070-01</v>
          </cell>
          <cell r="Q557" t="str">
            <v>EST ALMOFADA DECORATIVA HIMALAYA (IMPRESSAO BOTANICA)</v>
          </cell>
          <cell r="R557"/>
          <cell r="S557"/>
          <cell r="T557">
            <v>0.6</v>
          </cell>
          <cell r="U557">
            <v>0.3</v>
          </cell>
          <cell r="V557">
            <v>0</v>
          </cell>
          <cell r="W557">
            <v>0</v>
          </cell>
          <cell r="X557" t="str">
            <v>EST ALMOFADA DECORATIVA HIMALAYA (IMPRESSAO BOTANICA) - 0,6x0,3x0H</v>
          </cell>
          <cell r="Y557">
            <v>1466.84</v>
          </cell>
          <cell r="Z557">
            <v>0.35</v>
          </cell>
          <cell r="AA557">
            <v>953.44600000000003</v>
          </cell>
          <cell r="AB557"/>
        </row>
        <row r="558">
          <cell r="C558">
            <v>3</v>
          </cell>
          <cell r="D558">
            <v>0</v>
          </cell>
          <cell r="E558">
            <v>0</v>
          </cell>
          <cell r="F558">
            <v>7</v>
          </cell>
          <cell r="H558">
            <v>0</v>
          </cell>
          <cell r="O558">
            <v>380350</v>
          </cell>
          <cell r="P558" t="str">
            <v>2024/065-0071-01</v>
          </cell>
          <cell r="Q558" t="str">
            <v>EST ALMOFADA DECORATIVA HIMALAYA (IMPRESSAO BOTANICA)</v>
          </cell>
          <cell r="R558"/>
          <cell r="S558"/>
          <cell r="T558">
            <v>0.6</v>
          </cell>
          <cell r="U558">
            <v>0.3</v>
          </cell>
          <cell r="V558">
            <v>0</v>
          </cell>
          <cell r="W558">
            <v>0</v>
          </cell>
          <cell r="X558" t="str">
            <v>EST ALMOFADA DECORATIVA HIMALAYA (IMPRESSAO BOTANICA) - 0,6x0,3x0H</v>
          </cell>
          <cell r="Y558">
            <v>1466.84</v>
          </cell>
          <cell r="Z558">
            <v>0.35</v>
          </cell>
          <cell r="AA558">
            <v>953.44600000000003</v>
          </cell>
          <cell r="AB558"/>
        </row>
        <row r="559">
          <cell r="C559">
            <v>3</v>
          </cell>
          <cell r="D559">
            <v>0</v>
          </cell>
          <cell r="E559">
            <v>0</v>
          </cell>
          <cell r="F559">
            <v>7</v>
          </cell>
          <cell r="H559">
            <v>0</v>
          </cell>
          <cell r="O559">
            <v>380350</v>
          </cell>
          <cell r="P559" t="str">
            <v>2024/065-0072-01</v>
          </cell>
          <cell r="Q559" t="str">
            <v>EST ALMOFADA DECORATIVA HIMALAYA (IMPRESSAO BOTANICA)</v>
          </cell>
          <cell r="R559"/>
          <cell r="S559"/>
          <cell r="T559">
            <v>0.6</v>
          </cell>
          <cell r="U559">
            <v>0.3</v>
          </cell>
          <cell r="V559">
            <v>0</v>
          </cell>
          <cell r="W559">
            <v>0</v>
          </cell>
          <cell r="X559" t="str">
            <v>EST ALMOFADA DECORATIVA HIMALAYA (IMPRESSAO BOTANICA) - 0,6x0,3x0H</v>
          </cell>
          <cell r="Y559">
            <v>1466.84</v>
          </cell>
          <cell r="Z559">
            <v>0.35</v>
          </cell>
          <cell r="AA559">
            <v>953.44600000000003</v>
          </cell>
          <cell r="AB559"/>
        </row>
        <row r="560">
          <cell r="C560">
            <v>1</v>
          </cell>
          <cell r="D560">
            <v>0</v>
          </cell>
          <cell r="E560">
            <v>2</v>
          </cell>
          <cell r="F560">
            <v>7</v>
          </cell>
          <cell r="H560">
            <v>0</v>
          </cell>
          <cell r="O560">
            <v>380352</v>
          </cell>
          <cell r="P560" t="str">
            <v>2024/065-0074-01</v>
          </cell>
          <cell r="Q560" t="str">
            <v>EST ALMOFADA DECORATIVA MONDRIAN (ITAJIME SHIBORI)</v>
          </cell>
          <cell r="R560"/>
          <cell r="S560"/>
          <cell r="T560">
            <v>0.6</v>
          </cell>
          <cell r="U560">
            <v>0.3</v>
          </cell>
          <cell r="V560">
            <v>0</v>
          </cell>
          <cell r="W560">
            <v>0</v>
          </cell>
          <cell r="X560" t="str">
            <v>EST ALMOFADA DECORATIVA MONDRIAN (ITAJIME SHIBORI) - 0,6x0,3x0H</v>
          </cell>
          <cell r="Y560">
            <v>1466.84</v>
          </cell>
          <cell r="Z560">
            <v>0.35</v>
          </cell>
          <cell r="AA560">
            <v>953.44600000000003</v>
          </cell>
          <cell r="AB560"/>
        </row>
        <row r="561">
          <cell r="C561">
            <v>1</v>
          </cell>
          <cell r="D561">
            <v>0</v>
          </cell>
          <cell r="E561">
            <v>2</v>
          </cell>
          <cell r="F561">
            <v>7</v>
          </cell>
          <cell r="H561">
            <v>0</v>
          </cell>
          <cell r="O561">
            <v>380352</v>
          </cell>
          <cell r="P561" t="str">
            <v>2024/065-0075-01</v>
          </cell>
          <cell r="Q561" t="str">
            <v>EST ALMOFADA DECORATIVA MONDRIAN (ITAJIME SHIBORI)</v>
          </cell>
          <cell r="R561"/>
          <cell r="S561"/>
          <cell r="T561">
            <v>0.6</v>
          </cell>
          <cell r="U561">
            <v>0.3</v>
          </cell>
          <cell r="V561">
            <v>0</v>
          </cell>
          <cell r="W561">
            <v>0</v>
          </cell>
          <cell r="X561" t="str">
            <v>EST ALMOFADA DECORATIVA MONDRIAN (ITAJIME SHIBORI) - 0,6x0,3x0H</v>
          </cell>
          <cell r="Y561">
            <v>1466.84</v>
          </cell>
          <cell r="Z561">
            <v>0.35</v>
          </cell>
          <cell r="AA561">
            <v>953.44600000000003</v>
          </cell>
          <cell r="AB561"/>
        </row>
        <row r="562">
          <cell r="C562">
            <v>1</v>
          </cell>
          <cell r="D562">
            <v>0</v>
          </cell>
          <cell r="E562">
            <v>2</v>
          </cell>
          <cell r="F562">
            <v>7</v>
          </cell>
          <cell r="H562">
            <v>0</v>
          </cell>
          <cell r="O562">
            <v>380352</v>
          </cell>
          <cell r="P562" t="str">
            <v>2024/065-0076-01</v>
          </cell>
          <cell r="Q562" t="str">
            <v>EST ALMOFADA DECORATIVA MONDRIAN (ITAJIME SHIBORI)</v>
          </cell>
          <cell r="R562"/>
          <cell r="S562"/>
          <cell r="T562">
            <v>0.6</v>
          </cell>
          <cell r="U562">
            <v>0.3</v>
          </cell>
          <cell r="V562">
            <v>0</v>
          </cell>
          <cell r="W562">
            <v>0</v>
          </cell>
          <cell r="X562" t="str">
            <v>EST ALMOFADA DECORATIVA MONDRIAN (ITAJIME SHIBORI) - 0,6x0,3x0H</v>
          </cell>
          <cell r="Y562">
            <v>1466.84</v>
          </cell>
          <cell r="Z562">
            <v>0.35</v>
          </cell>
          <cell r="AA562">
            <v>953.44600000000003</v>
          </cell>
          <cell r="AB562"/>
        </row>
        <row r="563">
          <cell r="C563">
            <v>1</v>
          </cell>
          <cell r="D563">
            <v>0</v>
          </cell>
          <cell r="E563">
            <v>2</v>
          </cell>
          <cell r="F563">
            <v>7</v>
          </cell>
          <cell r="H563">
            <v>0</v>
          </cell>
          <cell r="O563">
            <v>380352</v>
          </cell>
          <cell r="P563" t="str">
            <v>2024/065-0077-01</v>
          </cell>
          <cell r="Q563" t="str">
            <v>EST ALMOFADA DECORATIVA MONDRIAN (ITAJIME SHIBORI)</v>
          </cell>
          <cell r="R563"/>
          <cell r="S563"/>
          <cell r="T563">
            <v>0.6</v>
          </cell>
          <cell r="U563">
            <v>0.3</v>
          </cell>
          <cell r="V563">
            <v>0</v>
          </cell>
          <cell r="W563">
            <v>0</v>
          </cell>
          <cell r="X563" t="str">
            <v>EST ALMOFADA DECORATIVA MONDRIAN (ITAJIME SHIBORI) - 0,6x0,3x0H</v>
          </cell>
          <cell r="Y563">
            <v>1466.84</v>
          </cell>
          <cell r="Z563">
            <v>0.35</v>
          </cell>
          <cell r="AA563">
            <v>953.44600000000003</v>
          </cell>
          <cell r="AB563"/>
        </row>
        <row r="564">
          <cell r="C564">
            <v>1</v>
          </cell>
          <cell r="D564">
            <v>0</v>
          </cell>
          <cell r="E564">
            <v>2</v>
          </cell>
          <cell r="F564">
            <v>7</v>
          </cell>
          <cell r="H564">
            <v>0</v>
          </cell>
          <cell r="O564">
            <v>380352</v>
          </cell>
          <cell r="P564" t="str">
            <v>2024/065-0078-01</v>
          </cell>
          <cell r="Q564" t="str">
            <v>EST ALMOFADA DECORATIVA MONDRIAN (ITAJIME SHIBORI)</v>
          </cell>
          <cell r="R564"/>
          <cell r="S564"/>
          <cell r="T564">
            <v>0.6</v>
          </cell>
          <cell r="U564">
            <v>0.3</v>
          </cell>
          <cell r="V564">
            <v>0</v>
          </cell>
          <cell r="W564">
            <v>0</v>
          </cell>
          <cell r="X564" t="str">
            <v>EST ALMOFADA DECORATIVA MONDRIAN (ITAJIME SHIBORI) - 0,6x0,3x0H</v>
          </cell>
          <cell r="Y564">
            <v>1466.84</v>
          </cell>
          <cell r="Z564">
            <v>0.35</v>
          </cell>
          <cell r="AA564">
            <v>953.44600000000003</v>
          </cell>
          <cell r="AB564"/>
        </row>
        <row r="565">
          <cell r="C565">
            <v>1</v>
          </cell>
          <cell r="D565">
            <v>0</v>
          </cell>
          <cell r="E565">
            <v>2</v>
          </cell>
          <cell r="F565">
            <v>7</v>
          </cell>
          <cell r="H565">
            <v>0</v>
          </cell>
          <cell r="O565">
            <v>380352</v>
          </cell>
          <cell r="P565" t="str">
            <v>2024/065-0079-01</v>
          </cell>
          <cell r="Q565" t="str">
            <v>EST ALMOFADA DECORATIVA MONDRIAN (ITAJIME SHIBORI)</v>
          </cell>
          <cell r="R565"/>
          <cell r="S565"/>
          <cell r="T565">
            <v>0.6</v>
          </cell>
          <cell r="U565">
            <v>0.3</v>
          </cell>
          <cell r="V565">
            <v>0</v>
          </cell>
          <cell r="W565">
            <v>0</v>
          </cell>
          <cell r="X565" t="str">
            <v>EST ALMOFADA DECORATIVA MONDRIAN (ITAJIME SHIBORI) - 0,6x0,3x0H</v>
          </cell>
          <cell r="Y565">
            <v>1466.84</v>
          </cell>
          <cell r="Z565">
            <v>0.35</v>
          </cell>
          <cell r="AA565">
            <v>953.44600000000003</v>
          </cell>
          <cell r="AB565"/>
        </row>
        <row r="566">
          <cell r="C566">
            <v>1</v>
          </cell>
          <cell r="D566">
            <v>0</v>
          </cell>
          <cell r="E566">
            <v>2</v>
          </cell>
          <cell r="F566">
            <v>7</v>
          </cell>
          <cell r="H566">
            <v>0</v>
          </cell>
          <cell r="O566">
            <v>380352</v>
          </cell>
          <cell r="P566" t="str">
            <v>2024/065-0080-01</v>
          </cell>
          <cell r="Q566" t="str">
            <v>EST ALMOFADA DECORATIVA MONDRIAN (ITAJIME SHIBORI)</v>
          </cell>
          <cell r="R566"/>
          <cell r="S566"/>
          <cell r="T566">
            <v>0.6</v>
          </cell>
          <cell r="U566">
            <v>0.3</v>
          </cell>
          <cell r="V566">
            <v>0</v>
          </cell>
          <cell r="W566">
            <v>0</v>
          </cell>
          <cell r="X566" t="str">
            <v>EST ALMOFADA DECORATIVA MONDRIAN (ITAJIME SHIBORI) - 0,6x0,3x0H</v>
          </cell>
          <cell r="Y566">
            <v>1466.84</v>
          </cell>
          <cell r="Z566">
            <v>0.35</v>
          </cell>
          <cell r="AA566">
            <v>953.44600000000003</v>
          </cell>
          <cell r="AB566"/>
        </row>
        <row r="567">
          <cell r="C567">
            <v>6</v>
          </cell>
          <cell r="D567">
            <v>0</v>
          </cell>
          <cell r="E567">
            <v>0</v>
          </cell>
          <cell r="F567">
            <v>0</v>
          </cell>
          <cell r="H567">
            <v>2</v>
          </cell>
          <cell r="O567">
            <v>270562</v>
          </cell>
          <cell r="P567" t="str">
            <v>2020/350-0028-01</v>
          </cell>
          <cell r="Q567" t="str">
            <v>EST CADEIRA LUIZA C/BRACO COU 2 MARROM ENVELH/JEQ CAST CLARO</v>
          </cell>
          <cell r="R567"/>
          <cell r="S567"/>
          <cell r="T567">
            <v>0.59</v>
          </cell>
          <cell r="U567">
            <v>0.56000000000000005</v>
          </cell>
          <cell r="V567">
            <v>0.74</v>
          </cell>
          <cell r="W567">
            <v>0</v>
          </cell>
          <cell r="X567" t="str">
            <v>EST CADEIRA LUIZA C/BRACO COU 2 MARROM ENVELH/JEQ CAST CLARO - 0,59x0,56x0,74H</v>
          </cell>
          <cell r="Y567">
            <v>9433.94</v>
          </cell>
          <cell r="Z567">
            <v>0.35</v>
          </cell>
          <cell r="AA567">
            <v>6132.0610000000006</v>
          </cell>
          <cell r="AB567"/>
        </row>
        <row r="568">
          <cell r="C568">
            <v>0</v>
          </cell>
          <cell r="D568">
            <v>6</v>
          </cell>
          <cell r="E568">
            <v>0</v>
          </cell>
          <cell r="F568">
            <v>0</v>
          </cell>
          <cell r="H568">
            <v>0</v>
          </cell>
          <cell r="O568">
            <v>364294</v>
          </cell>
          <cell r="P568" t="str">
            <v>2023/152-0037-01</v>
          </cell>
          <cell r="Q568" t="str">
            <v>EST CADEIRA CACAU C/BRACO (CASTANHO) (LATAO) TC PREMIUM P016</v>
          </cell>
          <cell r="R568"/>
          <cell r="S568"/>
          <cell r="T568">
            <v>0.61</v>
          </cell>
          <cell r="U568">
            <v>0.61</v>
          </cell>
          <cell r="V568">
            <v>0.84</v>
          </cell>
          <cell r="W568">
            <v>0</v>
          </cell>
          <cell r="X568" t="str">
            <v>EST CADEIRA CACAU C/BRACO (CASTANHO) (LATAO) TC PREMIUM P016 - 0,61x0,61x0,84H</v>
          </cell>
          <cell r="Y568">
            <v>7275.88</v>
          </cell>
          <cell r="Z568">
            <v>0.35</v>
          </cell>
          <cell r="AA568">
            <v>4729.3220000000001</v>
          </cell>
          <cell r="AB568"/>
        </row>
        <row r="569">
          <cell r="C569">
            <v>0</v>
          </cell>
          <cell r="D569">
            <v>6</v>
          </cell>
          <cell r="E569">
            <v>0</v>
          </cell>
          <cell r="F569">
            <v>0</v>
          </cell>
          <cell r="H569">
            <v>0</v>
          </cell>
          <cell r="O569">
            <v>364294</v>
          </cell>
          <cell r="P569" t="str">
            <v>2023/152-0038-01</v>
          </cell>
          <cell r="Q569" t="str">
            <v>EST CADEIRA CACAU C/BRACO (CASTANHO) (LATAO) TC PREMIUM P016</v>
          </cell>
          <cell r="R569"/>
          <cell r="S569"/>
          <cell r="T569">
            <v>0.61</v>
          </cell>
          <cell r="U569">
            <v>0.61</v>
          </cell>
          <cell r="V569">
            <v>0.84</v>
          </cell>
          <cell r="W569">
            <v>0</v>
          </cell>
          <cell r="X569" t="str">
            <v>EST CADEIRA CACAU C/BRACO (CASTANHO) (LATAO) TC PREMIUM P016 - 0,61x0,61x0,84H</v>
          </cell>
          <cell r="Y569">
            <v>7275.88</v>
          </cell>
          <cell r="Z569">
            <v>0.35</v>
          </cell>
          <cell r="AA569">
            <v>4729.3220000000001</v>
          </cell>
          <cell r="AB569"/>
        </row>
        <row r="570">
          <cell r="C570">
            <v>0</v>
          </cell>
          <cell r="D570">
            <v>6</v>
          </cell>
          <cell r="E570">
            <v>0</v>
          </cell>
          <cell r="F570">
            <v>0</v>
          </cell>
          <cell r="H570">
            <v>0</v>
          </cell>
          <cell r="O570">
            <v>364294</v>
          </cell>
          <cell r="P570" t="str">
            <v>2023/152-0039-01</v>
          </cell>
          <cell r="Q570" t="str">
            <v>EST CADEIRA CACAU C/BRACO (CASTANHO) (LATAO) TC PREMIUM P016</v>
          </cell>
          <cell r="R570"/>
          <cell r="S570"/>
          <cell r="T570">
            <v>0.61</v>
          </cell>
          <cell r="U570">
            <v>0.61</v>
          </cell>
          <cell r="V570">
            <v>0.84</v>
          </cell>
          <cell r="W570">
            <v>0</v>
          </cell>
          <cell r="X570" t="str">
            <v>EST CADEIRA CACAU C/BRACO (CASTANHO) (LATAO) TC PREMIUM P016 - 0,61x0,61x0,84H</v>
          </cell>
          <cell r="Y570">
            <v>7275.88</v>
          </cell>
          <cell r="Z570">
            <v>0.35</v>
          </cell>
          <cell r="AA570">
            <v>4729.3220000000001</v>
          </cell>
          <cell r="AB570"/>
        </row>
        <row r="571">
          <cell r="C571">
            <v>0</v>
          </cell>
          <cell r="D571">
            <v>6</v>
          </cell>
          <cell r="E571">
            <v>0</v>
          </cell>
          <cell r="F571">
            <v>0</v>
          </cell>
          <cell r="H571">
            <v>0</v>
          </cell>
          <cell r="O571">
            <v>364294</v>
          </cell>
          <cell r="P571" t="str">
            <v>2023/152-0040-01</v>
          </cell>
          <cell r="Q571" t="str">
            <v>EST CADEIRA CACAU C/BRACO (CASTANHO) (LATAO) TC PREMIUM P016</v>
          </cell>
          <cell r="R571"/>
          <cell r="S571"/>
          <cell r="T571">
            <v>0.61</v>
          </cell>
          <cell r="U571">
            <v>0.61</v>
          </cell>
          <cell r="V571">
            <v>0.84</v>
          </cell>
          <cell r="W571">
            <v>0</v>
          </cell>
          <cell r="X571" t="str">
            <v>EST CADEIRA CACAU C/BRACO (CASTANHO) (LATAO) TC PREMIUM P016 - 0,61x0,61x0,84H</v>
          </cell>
          <cell r="Y571">
            <v>7275.88</v>
          </cell>
          <cell r="Z571">
            <v>0.35</v>
          </cell>
          <cell r="AA571">
            <v>4729.3220000000001</v>
          </cell>
          <cell r="AB571"/>
        </row>
        <row r="572">
          <cell r="C572">
            <v>0</v>
          </cell>
          <cell r="D572">
            <v>6</v>
          </cell>
          <cell r="E572">
            <v>0</v>
          </cell>
          <cell r="F572">
            <v>0</v>
          </cell>
          <cell r="H572">
            <v>0</v>
          </cell>
          <cell r="O572">
            <v>364294</v>
          </cell>
          <cell r="P572" t="str">
            <v>2023/152-0041-01</v>
          </cell>
          <cell r="Q572" t="str">
            <v>EST CADEIRA CACAU C/BRACO (CASTANHO) (LATAO) TC PREMIUM P016</v>
          </cell>
          <cell r="R572"/>
          <cell r="S572"/>
          <cell r="T572">
            <v>0.61</v>
          </cell>
          <cell r="U572">
            <v>0.61</v>
          </cell>
          <cell r="V572">
            <v>0.84</v>
          </cell>
          <cell r="W572">
            <v>0</v>
          </cell>
          <cell r="X572" t="str">
            <v>EST CADEIRA CACAU C/BRACO (CASTANHO) (LATAO) TC PREMIUM P016 - 0,61x0,61x0,84H</v>
          </cell>
          <cell r="Y572">
            <v>7275.88</v>
          </cell>
          <cell r="Z572">
            <v>0.35</v>
          </cell>
          <cell r="AA572">
            <v>4729.3220000000001</v>
          </cell>
          <cell r="AB572"/>
        </row>
        <row r="573">
          <cell r="C573">
            <v>0</v>
          </cell>
          <cell r="D573">
            <v>6</v>
          </cell>
          <cell r="E573">
            <v>0</v>
          </cell>
          <cell r="F573">
            <v>0</v>
          </cell>
          <cell r="H573">
            <v>0</v>
          </cell>
          <cell r="O573">
            <v>364294</v>
          </cell>
          <cell r="P573" t="str">
            <v>2023/152-0042-01</v>
          </cell>
          <cell r="Q573" t="str">
            <v>EST CADEIRA CACAU C/BRACO (CASTANHO) (LATAO) TC PREMIUM P016</v>
          </cell>
          <cell r="R573"/>
          <cell r="S573"/>
          <cell r="T573">
            <v>0.61</v>
          </cell>
          <cell r="U573">
            <v>0.61</v>
          </cell>
          <cell r="V573">
            <v>0.84</v>
          </cell>
          <cell r="W573">
            <v>0</v>
          </cell>
          <cell r="X573" t="str">
            <v>EST CADEIRA CACAU C/BRACO (CASTANHO) (LATAO) TC PREMIUM P016 - 0,61x0,61x0,84H</v>
          </cell>
          <cell r="Y573">
            <v>7275.88</v>
          </cell>
          <cell r="Z573">
            <v>0.35</v>
          </cell>
          <cell r="AA573">
            <v>4729.3220000000001</v>
          </cell>
          <cell r="AB573"/>
        </row>
        <row r="574">
          <cell r="C574">
            <v>0</v>
          </cell>
          <cell r="D574">
            <v>1</v>
          </cell>
          <cell r="E574">
            <v>0</v>
          </cell>
          <cell r="F574">
            <v>0</v>
          </cell>
          <cell r="H574">
            <v>0</v>
          </cell>
          <cell r="O574">
            <v>378172</v>
          </cell>
          <cell r="P574" t="str">
            <v>2024/023-0009-01</v>
          </cell>
          <cell r="Q574" t="str">
            <v>EST TAPETE SISAL CD (BARRA VIRADA)</v>
          </cell>
          <cell r="R574"/>
          <cell r="S574"/>
          <cell r="T574">
            <v>4</v>
          </cell>
          <cell r="U574">
            <v>0</v>
          </cell>
          <cell r="V574">
            <v>0</v>
          </cell>
          <cell r="W574">
            <v>4</v>
          </cell>
          <cell r="X574" t="str">
            <v>EST TAPETE SISAL CD (BARRA VIRADA) - Ø4x0H</v>
          </cell>
          <cell r="Y574">
            <v>7123.2</v>
          </cell>
          <cell r="Z574">
            <v>0.35</v>
          </cell>
          <cell r="AA574">
            <v>4630.08</v>
          </cell>
          <cell r="AB574"/>
        </row>
        <row r="575">
          <cell r="C575">
            <v>0</v>
          </cell>
          <cell r="D575">
            <v>1</v>
          </cell>
          <cell r="E575">
            <v>0</v>
          </cell>
          <cell r="F575">
            <v>0</v>
          </cell>
          <cell r="H575">
            <v>1</v>
          </cell>
          <cell r="O575">
            <v>378173</v>
          </cell>
          <cell r="P575" t="str">
            <v>2024/023-0011-01</v>
          </cell>
          <cell r="Q575" t="str">
            <v>EST TAPETE SISAL C44 (BARRA VIRADA)</v>
          </cell>
          <cell r="R575"/>
          <cell r="S575"/>
          <cell r="T575">
            <v>5</v>
          </cell>
          <cell r="U575">
            <v>4</v>
          </cell>
          <cell r="V575">
            <v>0</v>
          </cell>
          <cell r="W575">
            <v>0</v>
          </cell>
          <cell r="X575" t="str">
            <v>EST TAPETE SISAL C44 (BARRA VIRADA) - 5x4x0H</v>
          </cell>
          <cell r="Y575">
            <v>8892.7999999999993</v>
          </cell>
          <cell r="Z575">
            <v>0.35</v>
          </cell>
          <cell r="AA575">
            <v>5780.32</v>
          </cell>
          <cell r="AB575"/>
        </row>
        <row r="576">
          <cell r="C576">
            <v>0</v>
          </cell>
          <cell r="D576">
            <v>1</v>
          </cell>
          <cell r="E576">
            <v>0</v>
          </cell>
          <cell r="F576">
            <v>0</v>
          </cell>
          <cell r="H576">
            <v>0</v>
          </cell>
          <cell r="O576">
            <v>378454</v>
          </cell>
          <cell r="P576" t="str">
            <v>2024/075-0003-01</v>
          </cell>
          <cell r="Q576" t="str">
            <v>EST MESA LATERAL HIMALAYA (CLAS) (VD COMUM MTZ MOC) (WALNUT)</v>
          </cell>
          <cell r="R576"/>
          <cell r="S576"/>
          <cell r="T576">
            <v>0.7</v>
          </cell>
          <cell r="U576">
            <v>0</v>
          </cell>
          <cell r="V576">
            <v>0.55000000000000004</v>
          </cell>
          <cell r="W576">
            <v>0.7</v>
          </cell>
          <cell r="X576" t="str">
            <v>EST MESA LATERAL HIMALAYA (CLAS) (VD COMUM MTZ MOC) (WALNUT) - Ø0,7x0,55H</v>
          </cell>
          <cell r="Y576">
            <v>11816.76</v>
          </cell>
          <cell r="Z576">
            <v>0.35</v>
          </cell>
          <cell r="AA576">
            <v>7680.8940000000002</v>
          </cell>
          <cell r="AB576"/>
        </row>
        <row r="577">
          <cell r="C577">
            <v>0</v>
          </cell>
          <cell r="D577">
            <v>1</v>
          </cell>
          <cell r="E577">
            <v>0</v>
          </cell>
          <cell r="F577">
            <v>0</v>
          </cell>
          <cell r="H577">
            <v>0</v>
          </cell>
          <cell r="O577">
            <v>378479</v>
          </cell>
          <cell r="P577" t="str">
            <v>2024/075-0004-01</v>
          </cell>
          <cell r="Q577" t="str">
            <v>EST MESA CENTRO HIMALAYA (CLAS) (VD COMUM MTZ MOCC) (WALNUT)</v>
          </cell>
          <cell r="R577"/>
          <cell r="S577"/>
          <cell r="T577">
            <v>1.2</v>
          </cell>
          <cell r="U577">
            <v>0</v>
          </cell>
          <cell r="V577">
            <v>0.35</v>
          </cell>
          <cell r="W577">
            <v>1.2</v>
          </cell>
          <cell r="X577" t="str">
            <v>EST MESA CENTRO HIMALAYA (CLAS) (VD COMUM MTZ MOCC) (WALNUT) - Ø1,2x0,35H</v>
          </cell>
          <cell r="Y577">
            <v>19568.599999999999</v>
          </cell>
          <cell r="Z577">
            <v>0.35</v>
          </cell>
          <cell r="AA577">
            <v>12719.59</v>
          </cell>
          <cell r="AB577"/>
        </row>
        <row r="578">
          <cell r="C578">
            <v>0</v>
          </cell>
          <cell r="D578">
            <v>1</v>
          </cell>
          <cell r="E578">
            <v>0</v>
          </cell>
          <cell r="F578">
            <v>0</v>
          </cell>
          <cell r="H578">
            <v>0</v>
          </cell>
          <cell r="O578">
            <v>378482</v>
          </cell>
          <cell r="P578" t="str">
            <v>2024/079-0042-01</v>
          </cell>
          <cell r="Q578" t="str">
            <v>EST MESA CENTRO HIMALAYA (CLAS) (VD COMUM MTZ STRD) (WALNUT)</v>
          </cell>
          <cell r="R578"/>
          <cell r="S578"/>
          <cell r="T578">
            <v>1.2</v>
          </cell>
          <cell r="U578">
            <v>0</v>
          </cell>
          <cell r="V578">
            <v>0.35</v>
          </cell>
          <cell r="W578">
            <v>1.2</v>
          </cell>
          <cell r="X578" t="str">
            <v>EST MESA CENTRO HIMALAYA (CLAS) (VD COMUM MTZ STRD) (WALNUT) - Ø1,2x0,35H</v>
          </cell>
          <cell r="Y578">
            <v>19568.599999999999</v>
          </cell>
          <cell r="Z578">
            <v>0.35</v>
          </cell>
          <cell r="AA578">
            <v>12719.59</v>
          </cell>
          <cell r="AB578"/>
        </row>
        <row r="579">
          <cell r="C579">
            <v>0</v>
          </cell>
          <cell r="D579">
            <v>8</v>
          </cell>
          <cell r="E579">
            <v>0</v>
          </cell>
          <cell r="F579">
            <v>0</v>
          </cell>
          <cell r="H579">
            <v>0</v>
          </cell>
          <cell r="O579">
            <v>387659</v>
          </cell>
          <cell r="P579" t="str">
            <v>2024/206-0045-01</v>
          </cell>
          <cell r="Q579" t="str">
            <v>EST CADEIRA MIRIAM (NOGAL) TC 3000 - 3339</v>
          </cell>
          <cell r="R579"/>
          <cell r="S579"/>
          <cell r="T579">
            <v>0.55000000000000004</v>
          </cell>
          <cell r="U579">
            <v>0.51</v>
          </cell>
          <cell r="V579">
            <v>0.78</v>
          </cell>
          <cell r="W579">
            <v>0</v>
          </cell>
          <cell r="X579" t="str">
            <v>EST CADEIRA MIRIAM (NOGAL) TC 3000 - 3339 - 0,55x0,51x0,78H</v>
          </cell>
          <cell r="Y579">
            <v>3728.44</v>
          </cell>
          <cell r="Z579">
            <v>0.35</v>
          </cell>
          <cell r="AA579">
            <v>2423.4859999999999</v>
          </cell>
          <cell r="AB579"/>
        </row>
        <row r="580">
          <cell r="C580">
            <v>0</v>
          </cell>
          <cell r="D580">
            <v>8</v>
          </cell>
          <cell r="E580">
            <v>0</v>
          </cell>
          <cell r="F580">
            <v>0</v>
          </cell>
          <cell r="H580">
            <v>0</v>
          </cell>
          <cell r="O580">
            <v>387659</v>
          </cell>
          <cell r="P580" t="str">
            <v>2024/206-0046-01</v>
          </cell>
          <cell r="Q580" t="str">
            <v>EST CADEIRA MIRIAM (NOGAL) TC 3000 - 3339</v>
          </cell>
          <cell r="R580"/>
          <cell r="S580"/>
          <cell r="T580">
            <v>0.55000000000000004</v>
          </cell>
          <cell r="U580">
            <v>0.51</v>
          </cell>
          <cell r="V580">
            <v>0.78</v>
          </cell>
          <cell r="W580">
            <v>0</v>
          </cell>
          <cell r="X580" t="str">
            <v>EST CADEIRA MIRIAM (NOGAL) TC 3000 - 3339 - 0,55x0,51x0,78H</v>
          </cell>
          <cell r="Y580">
            <v>3728.44</v>
          </cell>
          <cell r="Z580">
            <v>0.35</v>
          </cell>
          <cell r="AA580">
            <v>2423.4859999999999</v>
          </cell>
          <cell r="AB580"/>
        </row>
        <row r="581">
          <cell r="C581">
            <v>0</v>
          </cell>
          <cell r="D581">
            <v>8</v>
          </cell>
          <cell r="E581">
            <v>0</v>
          </cell>
          <cell r="F581">
            <v>0</v>
          </cell>
          <cell r="H581">
            <v>0</v>
          </cell>
          <cell r="O581">
            <v>387659</v>
          </cell>
          <cell r="P581" t="str">
            <v>2024/206-0047-01</v>
          </cell>
          <cell r="Q581" t="str">
            <v>EST CADEIRA MIRIAM (NOGAL) TC 3000 - 3339</v>
          </cell>
          <cell r="R581"/>
          <cell r="S581"/>
          <cell r="T581">
            <v>0.55000000000000004</v>
          </cell>
          <cell r="U581">
            <v>0.51</v>
          </cell>
          <cell r="V581">
            <v>0.78</v>
          </cell>
          <cell r="W581">
            <v>0</v>
          </cell>
          <cell r="X581" t="str">
            <v>EST CADEIRA MIRIAM (NOGAL) TC 3000 - 3339 - 0,55x0,51x0,78H</v>
          </cell>
          <cell r="Y581">
            <v>3728.44</v>
          </cell>
          <cell r="Z581">
            <v>0.35</v>
          </cell>
          <cell r="AA581">
            <v>2423.4859999999999</v>
          </cell>
          <cell r="AB581"/>
        </row>
        <row r="582">
          <cell r="C582">
            <v>0</v>
          </cell>
          <cell r="D582">
            <v>8</v>
          </cell>
          <cell r="E582">
            <v>0</v>
          </cell>
          <cell r="F582">
            <v>0</v>
          </cell>
          <cell r="H582">
            <v>0</v>
          </cell>
          <cell r="O582">
            <v>387659</v>
          </cell>
          <cell r="P582" t="str">
            <v>2024/206-0048-01</v>
          </cell>
          <cell r="Q582" t="str">
            <v>EST CADEIRA MIRIAM (NOGAL) TC 3000 - 3339</v>
          </cell>
          <cell r="R582"/>
          <cell r="S582"/>
          <cell r="T582">
            <v>0.55000000000000004</v>
          </cell>
          <cell r="U582">
            <v>0.51</v>
          </cell>
          <cell r="V582">
            <v>0.78</v>
          </cell>
          <cell r="W582">
            <v>0</v>
          </cell>
          <cell r="X582" t="str">
            <v>EST CADEIRA MIRIAM (NOGAL) TC 3000 - 3339 - 0,55x0,51x0,78H</v>
          </cell>
          <cell r="Y582">
            <v>3728.44</v>
          </cell>
          <cell r="Z582">
            <v>0.35</v>
          </cell>
          <cell r="AA582">
            <v>2423.4859999999999</v>
          </cell>
          <cell r="AB582"/>
        </row>
        <row r="583">
          <cell r="C583">
            <v>0</v>
          </cell>
          <cell r="D583">
            <v>8</v>
          </cell>
          <cell r="E583">
            <v>0</v>
          </cell>
          <cell r="F583">
            <v>0</v>
          </cell>
          <cell r="H583">
            <v>0</v>
          </cell>
          <cell r="O583">
            <v>387659</v>
          </cell>
          <cell r="P583" t="str">
            <v>2024/206-0049-01</v>
          </cell>
          <cell r="Q583" t="str">
            <v>EST CADEIRA MIRIAM (NOGAL) TC 3000 - 3339</v>
          </cell>
          <cell r="R583"/>
          <cell r="S583"/>
          <cell r="T583">
            <v>0.55000000000000004</v>
          </cell>
          <cell r="U583">
            <v>0.51</v>
          </cell>
          <cell r="V583">
            <v>0.78</v>
          </cell>
          <cell r="W583">
            <v>0</v>
          </cell>
          <cell r="X583" t="str">
            <v>EST CADEIRA MIRIAM (NOGAL) TC 3000 - 3339 - 0,55x0,51x0,78H</v>
          </cell>
          <cell r="Y583">
            <v>3728.44</v>
          </cell>
          <cell r="Z583">
            <v>0.35</v>
          </cell>
          <cell r="AA583">
            <v>2423.4859999999999</v>
          </cell>
          <cell r="AB583"/>
        </row>
        <row r="584">
          <cell r="C584">
            <v>0</v>
          </cell>
          <cell r="D584">
            <v>8</v>
          </cell>
          <cell r="E584">
            <v>0</v>
          </cell>
          <cell r="F584">
            <v>0</v>
          </cell>
          <cell r="H584">
            <v>0</v>
          </cell>
          <cell r="O584">
            <v>387659</v>
          </cell>
          <cell r="P584" t="str">
            <v>2024/206-0050-01</v>
          </cell>
          <cell r="Q584" t="str">
            <v>EST CADEIRA MIRIAM (NOGAL) TC 3000 - 3339</v>
          </cell>
          <cell r="R584"/>
          <cell r="S584"/>
          <cell r="T584">
            <v>0.55000000000000004</v>
          </cell>
          <cell r="U584">
            <v>0.51</v>
          </cell>
          <cell r="V584">
            <v>0.78</v>
          </cell>
          <cell r="W584">
            <v>0</v>
          </cell>
          <cell r="X584" t="str">
            <v>EST CADEIRA MIRIAM (NOGAL) TC 3000 - 3339 - 0,55x0,51x0,78H</v>
          </cell>
          <cell r="Y584">
            <v>3728.44</v>
          </cell>
          <cell r="Z584">
            <v>0.35</v>
          </cell>
          <cell r="AA584">
            <v>2423.4859999999999</v>
          </cell>
          <cell r="AB584"/>
        </row>
        <row r="585">
          <cell r="C585">
            <v>0</v>
          </cell>
          <cell r="D585">
            <v>8</v>
          </cell>
          <cell r="E585">
            <v>0</v>
          </cell>
          <cell r="F585">
            <v>0</v>
          </cell>
          <cell r="H585">
            <v>0</v>
          </cell>
          <cell r="O585">
            <v>387659</v>
          </cell>
          <cell r="P585" t="str">
            <v>2024/206-0051-01</v>
          </cell>
          <cell r="Q585" t="str">
            <v>EST CADEIRA MIRIAM (NOGAL) TC 3000 - 3339</v>
          </cell>
          <cell r="R585"/>
          <cell r="S585"/>
          <cell r="T585">
            <v>0.55000000000000004</v>
          </cell>
          <cell r="U585">
            <v>0.51</v>
          </cell>
          <cell r="V585">
            <v>0.78</v>
          </cell>
          <cell r="W585">
            <v>0</v>
          </cell>
          <cell r="X585" t="str">
            <v>EST CADEIRA MIRIAM (NOGAL) TC 3000 - 3339 - 0,55x0,51x0,78H</v>
          </cell>
          <cell r="Y585">
            <v>3728.44</v>
          </cell>
          <cell r="Z585">
            <v>0.35</v>
          </cell>
          <cell r="AA585">
            <v>2423.4859999999999</v>
          </cell>
          <cell r="AB585"/>
        </row>
        <row r="586">
          <cell r="C586">
            <v>0</v>
          </cell>
          <cell r="D586">
            <v>8</v>
          </cell>
          <cell r="E586">
            <v>0</v>
          </cell>
          <cell r="F586">
            <v>0</v>
          </cell>
          <cell r="H586">
            <v>0</v>
          </cell>
          <cell r="O586">
            <v>387659</v>
          </cell>
          <cell r="P586" t="str">
            <v>2024/206-0052-01</v>
          </cell>
          <cell r="Q586" t="str">
            <v>EST CADEIRA MIRIAM (NOGAL) TC 3000 - 3339</v>
          </cell>
          <cell r="R586"/>
          <cell r="S586"/>
          <cell r="T586">
            <v>0.55000000000000004</v>
          </cell>
          <cell r="U586">
            <v>0.51</v>
          </cell>
          <cell r="V586">
            <v>0.78</v>
          </cell>
          <cell r="W586">
            <v>0</v>
          </cell>
          <cell r="X586" t="str">
            <v>EST CADEIRA MIRIAM (NOGAL) TC 3000 - 3339 - 0,55x0,51x0,78H</v>
          </cell>
          <cell r="Y586">
            <v>3728.44</v>
          </cell>
          <cell r="Z586">
            <v>0.35</v>
          </cell>
          <cell r="AA586">
            <v>2423.4859999999999</v>
          </cell>
          <cell r="AB586"/>
        </row>
        <row r="587">
          <cell r="C587">
            <v>0</v>
          </cell>
          <cell r="D587">
            <v>6</v>
          </cell>
          <cell r="E587">
            <v>0</v>
          </cell>
          <cell r="F587">
            <v>0</v>
          </cell>
          <cell r="H587">
            <v>0</v>
          </cell>
          <cell r="O587">
            <v>387662</v>
          </cell>
          <cell r="P587" t="str">
            <v>2024/206-0070-01</v>
          </cell>
          <cell r="Q587" t="str">
            <v>EST CADEIRA BLANCA (DAMASCO) TC 3000 - 3295</v>
          </cell>
          <cell r="R587"/>
          <cell r="S587"/>
          <cell r="T587">
            <v>0.54</v>
          </cell>
          <cell r="U587">
            <v>0.56000000000000005</v>
          </cell>
          <cell r="V587">
            <v>0.79</v>
          </cell>
          <cell r="W587">
            <v>0</v>
          </cell>
          <cell r="X587" t="str">
            <v>EST CADEIRA BLANCA (DAMASCO) TC 3000 - 3295 - 0,54x0,56x0,79H</v>
          </cell>
          <cell r="Y587">
            <v>3460.76</v>
          </cell>
          <cell r="Z587">
            <v>0.35</v>
          </cell>
          <cell r="AA587">
            <v>2249.4940000000001</v>
          </cell>
          <cell r="AB587"/>
        </row>
        <row r="588">
          <cell r="C588">
            <v>0</v>
          </cell>
          <cell r="D588">
            <v>6</v>
          </cell>
          <cell r="E588">
            <v>0</v>
          </cell>
          <cell r="F588">
            <v>0</v>
          </cell>
          <cell r="H588">
            <v>0</v>
          </cell>
          <cell r="O588">
            <v>387662</v>
          </cell>
          <cell r="P588" t="str">
            <v>2024/206-0065-01</v>
          </cell>
          <cell r="Q588" t="str">
            <v>EST CADEIRA BLANCA (DAMASCO) TC 3000 - 3295</v>
          </cell>
          <cell r="R588"/>
          <cell r="S588"/>
          <cell r="T588">
            <v>0.54</v>
          </cell>
          <cell r="U588">
            <v>0.56000000000000005</v>
          </cell>
          <cell r="V588">
            <v>0.79</v>
          </cell>
          <cell r="W588">
            <v>0</v>
          </cell>
          <cell r="X588" t="str">
            <v>EST CADEIRA BLANCA (DAMASCO) TC 3000 - 3295 - 0,54x0,56x0,79H</v>
          </cell>
          <cell r="Y588">
            <v>3460.76</v>
          </cell>
          <cell r="Z588">
            <v>0.35</v>
          </cell>
          <cell r="AA588">
            <v>2249.4940000000001</v>
          </cell>
          <cell r="AB588"/>
        </row>
        <row r="589">
          <cell r="C589">
            <v>0</v>
          </cell>
          <cell r="D589">
            <v>6</v>
          </cell>
          <cell r="E589">
            <v>0</v>
          </cell>
          <cell r="F589">
            <v>0</v>
          </cell>
          <cell r="H589">
            <v>0</v>
          </cell>
          <cell r="O589">
            <v>387662</v>
          </cell>
          <cell r="P589" t="str">
            <v>2024/206-0066-01</v>
          </cell>
          <cell r="Q589" t="str">
            <v>EST CADEIRA BLANCA (DAMASCO) TC 3000 - 3295</v>
          </cell>
          <cell r="R589"/>
          <cell r="S589"/>
          <cell r="T589">
            <v>0.54</v>
          </cell>
          <cell r="U589">
            <v>0.56000000000000005</v>
          </cell>
          <cell r="V589">
            <v>0.79</v>
          </cell>
          <cell r="W589">
            <v>0</v>
          </cell>
          <cell r="X589" t="str">
            <v>EST CADEIRA BLANCA (DAMASCO) TC 3000 - 3295 - 0,54x0,56x0,79H</v>
          </cell>
          <cell r="Y589">
            <v>3460.76</v>
          </cell>
          <cell r="Z589">
            <v>0.35</v>
          </cell>
          <cell r="AA589">
            <v>2249.4940000000001</v>
          </cell>
          <cell r="AB589"/>
        </row>
        <row r="590">
          <cell r="C590">
            <v>0</v>
          </cell>
          <cell r="D590">
            <v>6</v>
          </cell>
          <cell r="E590">
            <v>0</v>
          </cell>
          <cell r="F590">
            <v>0</v>
          </cell>
          <cell r="H590">
            <v>0</v>
          </cell>
          <cell r="O590">
            <v>387662</v>
          </cell>
          <cell r="P590" t="str">
            <v>2024/206-0067-01</v>
          </cell>
          <cell r="Q590" t="str">
            <v>EST CADEIRA BLANCA (DAMASCO) TC 3000 - 3295</v>
          </cell>
          <cell r="R590"/>
          <cell r="S590"/>
          <cell r="T590">
            <v>0.54</v>
          </cell>
          <cell r="U590">
            <v>0.56000000000000005</v>
          </cell>
          <cell r="V590">
            <v>0.79</v>
          </cell>
          <cell r="W590">
            <v>0</v>
          </cell>
          <cell r="X590" t="str">
            <v>EST CADEIRA BLANCA (DAMASCO) TC 3000 - 3295 - 0,54x0,56x0,79H</v>
          </cell>
          <cell r="Y590">
            <v>3460.76</v>
          </cell>
          <cell r="Z590">
            <v>0.35</v>
          </cell>
          <cell r="AA590">
            <v>2249.4940000000001</v>
          </cell>
          <cell r="AB590"/>
        </row>
        <row r="591">
          <cell r="C591">
            <v>0</v>
          </cell>
          <cell r="D591">
            <v>6</v>
          </cell>
          <cell r="E591">
            <v>0</v>
          </cell>
          <cell r="F591">
            <v>0</v>
          </cell>
          <cell r="H591">
            <v>0</v>
          </cell>
          <cell r="O591">
            <v>387662</v>
          </cell>
          <cell r="P591" t="str">
            <v>2024/206-0068-01</v>
          </cell>
          <cell r="Q591" t="str">
            <v>EST CADEIRA BLANCA (DAMASCO) TC 3000 - 3295</v>
          </cell>
          <cell r="R591"/>
          <cell r="S591"/>
          <cell r="T591">
            <v>0.54</v>
          </cell>
          <cell r="U591">
            <v>0.56000000000000005</v>
          </cell>
          <cell r="V591">
            <v>0.79</v>
          </cell>
          <cell r="W591">
            <v>0</v>
          </cell>
          <cell r="X591" t="str">
            <v>EST CADEIRA BLANCA (DAMASCO) TC 3000 - 3295 - 0,54x0,56x0,79H</v>
          </cell>
          <cell r="Y591">
            <v>3460.76</v>
          </cell>
          <cell r="Z591">
            <v>0.35</v>
          </cell>
          <cell r="AA591">
            <v>2249.4940000000001</v>
          </cell>
          <cell r="AB591"/>
        </row>
        <row r="592">
          <cell r="C592">
            <v>0</v>
          </cell>
          <cell r="D592">
            <v>6</v>
          </cell>
          <cell r="E592">
            <v>0</v>
          </cell>
          <cell r="F592">
            <v>0</v>
          </cell>
          <cell r="H592">
            <v>0</v>
          </cell>
          <cell r="O592">
            <v>387662</v>
          </cell>
          <cell r="P592" t="str">
            <v>2024/206-0069-01</v>
          </cell>
          <cell r="Q592" t="str">
            <v>EST CADEIRA BLANCA (DAMASCO) TC 3000 - 3295</v>
          </cell>
          <cell r="R592"/>
          <cell r="S592"/>
          <cell r="T592">
            <v>0.54</v>
          </cell>
          <cell r="U592">
            <v>0.56000000000000005</v>
          </cell>
          <cell r="V592">
            <v>0.79</v>
          </cell>
          <cell r="W592">
            <v>0</v>
          </cell>
          <cell r="X592" t="str">
            <v>EST CADEIRA BLANCA (DAMASCO) TC 3000 - 3295 - 0,54x0,56x0,79H</v>
          </cell>
          <cell r="Y592">
            <v>3460.76</v>
          </cell>
          <cell r="Z592">
            <v>0.35</v>
          </cell>
          <cell r="AA592">
            <v>2249.4940000000001</v>
          </cell>
          <cell r="AB592"/>
        </row>
        <row r="593">
          <cell r="C593">
            <v>0</v>
          </cell>
          <cell r="D593">
            <v>2</v>
          </cell>
          <cell r="E593">
            <v>0</v>
          </cell>
          <cell r="F593">
            <v>0</v>
          </cell>
          <cell r="H593">
            <v>0</v>
          </cell>
          <cell r="O593">
            <v>387685</v>
          </cell>
          <cell r="P593" t="str">
            <v>2024/194-0011-01</v>
          </cell>
          <cell r="Q593" t="str">
            <v>EST ESTANTE ABRIGO (AMENDOA) MTZ CAFE</v>
          </cell>
          <cell r="R593"/>
          <cell r="S593"/>
          <cell r="T593">
            <v>1.2</v>
          </cell>
          <cell r="U593">
            <v>0.4</v>
          </cell>
          <cell r="V593">
            <v>1.88</v>
          </cell>
          <cell r="W593">
            <v>0</v>
          </cell>
          <cell r="X593" t="str">
            <v>EST ESTANTE ABRIGO (AMENDOA) MTZ CAFE - 1,2x0,4x1,88H</v>
          </cell>
          <cell r="Y593">
            <v>8633.0499999999993</v>
          </cell>
          <cell r="Z593">
            <v>0.35</v>
          </cell>
          <cell r="AA593">
            <v>5611.4825000000001</v>
          </cell>
          <cell r="AB593"/>
        </row>
        <row r="594">
          <cell r="C594">
            <v>0</v>
          </cell>
          <cell r="D594">
            <v>2</v>
          </cell>
          <cell r="E594">
            <v>0</v>
          </cell>
          <cell r="F594">
            <v>0</v>
          </cell>
          <cell r="H594">
            <v>0</v>
          </cell>
          <cell r="O594">
            <v>387685</v>
          </cell>
          <cell r="P594" t="str">
            <v>2024/194-0012-01</v>
          </cell>
          <cell r="Q594" t="str">
            <v>EST ESTANTE ABRIGO (AMENDOA) MTZ CAFE</v>
          </cell>
          <cell r="R594"/>
          <cell r="S594"/>
          <cell r="T594">
            <v>1.2</v>
          </cell>
          <cell r="U594">
            <v>0.4</v>
          </cell>
          <cell r="V594">
            <v>1.88</v>
          </cell>
          <cell r="W594">
            <v>0</v>
          </cell>
          <cell r="X594" t="str">
            <v>EST ESTANTE ABRIGO (AMENDOA) MTZ CAFE - 1,2x0,4x1,88H</v>
          </cell>
          <cell r="Y594">
            <v>8633.0499999999993</v>
          </cell>
          <cell r="Z594">
            <v>0.35</v>
          </cell>
          <cell r="AA594">
            <v>5611.4825000000001</v>
          </cell>
          <cell r="AB594"/>
        </row>
        <row r="595">
          <cell r="C595">
            <v>0</v>
          </cell>
          <cell r="D595">
            <v>1</v>
          </cell>
          <cell r="E595">
            <v>0</v>
          </cell>
          <cell r="F595">
            <v>0</v>
          </cell>
          <cell r="H595">
            <v>0</v>
          </cell>
          <cell r="O595">
            <v>387700</v>
          </cell>
          <cell r="P595" t="str">
            <v>2024/194-0019-01</v>
          </cell>
          <cell r="Q595" t="str">
            <v>EST MESA CENTRO PLANALTO (TP/BS SEMI CAPUCCINO)</v>
          </cell>
          <cell r="R595"/>
          <cell r="S595"/>
          <cell r="T595">
            <v>0.95</v>
          </cell>
          <cell r="U595">
            <v>0.95</v>
          </cell>
          <cell r="V595">
            <v>0.25</v>
          </cell>
          <cell r="W595">
            <v>0</v>
          </cell>
          <cell r="X595" t="str">
            <v>EST MESA CENTRO PLANALTO (TP/BS SEMI CAPUCCINO) - 0,95x0,95x0,25H</v>
          </cell>
          <cell r="Y595">
            <v>6913.98</v>
          </cell>
          <cell r="Z595">
            <v>0.35</v>
          </cell>
          <cell r="AA595">
            <v>4494.0869999999995</v>
          </cell>
          <cell r="AB595"/>
        </row>
        <row r="596">
          <cell r="C596">
            <v>0</v>
          </cell>
          <cell r="D596">
            <v>1</v>
          </cell>
          <cell r="E596">
            <v>0</v>
          </cell>
          <cell r="F596">
            <v>0</v>
          </cell>
          <cell r="H596">
            <v>0</v>
          </cell>
          <cell r="O596">
            <v>387701</v>
          </cell>
          <cell r="P596" t="str">
            <v>2024/194-0020-01</v>
          </cell>
          <cell r="Q596" t="str">
            <v>EST MESA CENTRO PLANALTO (TP/BS LAMINA FREIJO)</v>
          </cell>
          <cell r="R596"/>
          <cell r="S596"/>
          <cell r="T596">
            <v>1.1499999999999999</v>
          </cell>
          <cell r="U596">
            <v>1.1499999999999999</v>
          </cell>
          <cell r="V596">
            <v>0.3</v>
          </cell>
          <cell r="W596">
            <v>0</v>
          </cell>
          <cell r="X596" t="str">
            <v>EST MESA CENTRO PLANALTO (TP/BS LAMINA FREIJO) - 1,15x1,15x0,3H</v>
          </cell>
          <cell r="Y596">
            <v>7551.08</v>
          </cell>
          <cell r="Z596">
            <v>0.35</v>
          </cell>
          <cell r="AA596">
            <v>4908.2020000000002</v>
          </cell>
          <cell r="AB596"/>
        </row>
        <row r="597">
          <cell r="C597">
            <v>0</v>
          </cell>
          <cell r="D597">
            <v>1</v>
          </cell>
          <cell r="E597">
            <v>0</v>
          </cell>
          <cell r="F597">
            <v>0</v>
          </cell>
          <cell r="H597">
            <v>0</v>
          </cell>
          <cell r="O597">
            <v>387710</v>
          </cell>
          <cell r="P597" t="str">
            <v>2024/194-0025-01</v>
          </cell>
          <cell r="Q597" t="str">
            <v>EST MESA LATERAL PLANALTO (TP LAM FREIJO) BS SEMI CAPUCCINO</v>
          </cell>
          <cell r="R597"/>
          <cell r="S597"/>
          <cell r="T597">
            <v>0.65</v>
          </cell>
          <cell r="U597">
            <v>0.65</v>
          </cell>
          <cell r="V597">
            <v>0.5</v>
          </cell>
          <cell r="W597">
            <v>0</v>
          </cell>
          <cell r="X597" t="str">
            <v>EST MESA LATERAL PLANALTO (TP LAM FREIJO) BS SEMI CAPUCCINO - 0,65x0,65x0,5H</v>
          </cell>
          <cell r="Y597">
            <v>5835.78</v>
          </cell>
          <cell r="Z597">
            <v>0.35</v>
          </cell>
          <cell r="AA597">
            <v>3793.2570000000001</v>
          </cell>
          <cell r="AB597"/>
        </row>
        <row r="598">
          <cell r="C598">
            <v>0</v>
          </cell>
          <cell r="D598">
            <v>1</v>
          </cell>
          <cell r="E598">
            <v>0</v>
          </cell>
          <cell r="F598">
            <v>1</v>
          </cell>
          <cell r="H598">
            <v>0</v>
          </cell>
          <cell r="O598">
            <v>387726</v>
          </cell>
          <cell r="P598" t="str">
            <v>2024/194-0027-01</v>
          </cell>
          <cell r="Q598" t="str">
            <v>EST MESA LATERAL COPA (TP/BS NOGAL) MTX CAFE</v>
          </cell>
          <cell r="R598"/>
          <cell r="S598"/>
          <cell r="T598">
            <v>0.37</v>
          </cell>
          <cell r="U598">
            <v>0.35</v>
          </cell>
          <cell r="V598">
            <v>0.45</v>
          </cell>
          <cell r="W598">
            <v>0</v>
          </cell>
          <cell r="X598" t="str">
            <v>EST MESA LATERAL COPA (TP/BS NOGAL) MTX CAFE - 0,37x0,35x0,45H</v>
          </cell>
          <cell r="Y598">
            <v>4753.82</v>
          </cell>
          <cell r="Z598">
            <v>0.35</v>
          </cell>
          <cell r="AA598">
            <v>3089.9830000000002</v>
          </cell>
          <cell r="AB598"/>
        </row>
        <row r="599">
          <cell r="C599">
            <v>0</v>
          </cell>
          <cell r="D599">
            <v>8</v>
          </cell>
          <cell r="E599">
            <v>0</v>
          </cell>
          <cell r="F599">
            <v>0</v>
          </cell>
          <cell r="H599">
            <v>0</v>
          </cell>
          <cell r="O599">
            <v>388124</v>
          </cell>
          <cell r="P599" t="str">
            <v>2024/192-0023-01</v>
          </cell>
          <cell r="Q599" t="str">
            <v>EST CADEIRA YASMIM (TELA AMENDOA) (DAMASCO) TC 1000 - 1316</v>
          </cell>
          <cell r="R599"/>
          <cell r="S599"/>
          <cell r="T599">
            <v>0.49</v>
          </cell>
          <cell r="U599">
            <v>0.6</v>
          </cell>
          <cell r="V599">
            <v>0.84</v>
          </cell>
          <cell r="W599">
            <v>0</v>
          </cell>
          <cell r="X599" t="str">
            <v>EST CADEIRA YASMIM (TELA AMENDOA) (DAMASCO) TC 1000 - 1316 - 0,49x0,6x0,84H</v>
          </cell>
          <cell r="Y599">
            <v>3592.69</v>
          </cell>
          <cell r="Z599">
            <v>0.35</v>
          </cell>
          <cell r="AA599">
            <v>2335.2485000000001</v>
          </cell>
          <cell r="AB599"/>
        </row>
        <row r="600">
          <cell r="C600">
            <v>0</v>
          </cell>
          <cell r="D600">
            <v>8</v>
          </cell>
          <cell r="E600">
            <v>0</v>
          </cell>
          <cell r="F600">
            <v>0</v>
          </cell>
          <cell r="H600">
            <v>0</v>
          </cell>
          <cell r="O600">
            <v>388124</v>
          </cell>
          <cell r="P600" t="str">
            <v>2024/192-0024-01</v>
          </cell>
          <cell r="Q600" t="str">
            <v>EST CADEIRA YASMIM (TELA AMENDOA) (DAMASCO) TC 1000 - 1316</v>
          </cell>
          <cell r="R600"/>
          <cell r="S600"/>
          <cell r="T600">
            <v>0.49</v>
          </cell>
          <cell r="U600">
            <v>0.6</v>
          </cell>
          <cell r="V600">
            <v>0.84</v>
          </cell>
          <cell r="W600">
            <v>0</v>
          </cell>
          <cell r="X600" t="str">
            <v>EST CADEIRA YASMIM (TELA AMENDOA) (DAMASCO) TC 1000 - 1316 - 0,49x0,6x0,84H</v>
          </cell>
          <cell r="Y600">
            <v>3592.69</v>
          </cell>
          <cell r="Z600">
            <v>0.35</v>
          </cell>
          <cell r="AA600">
            <v>2335.2485000000001</v>
          </cell>
          <cell r="AB600"/>
        </row>
        <row r="601">
          <cell r="C601">
            <v>0</v>
          </cell>
          <cell r="D601">
            <v>8</v>
          </cell>
          <cell r="E601">
            <v>0</v>
          </cell>
          <cell r="F601">
            <v>0</v>
          </cell>
          <cell r="H601">
            <v>0</v>
          </cell>
          <cell r="O601">
            <v>388124</v>
          </cell>
          <cell r="P601" t="str">
            <v>2024/192-0025-01</v>
          </cell>
          <cell r="Q601" t="str">
            <v>EST CADEIRA YASMIM (TELA AMENDOA) (DAMASCO) TC 1000 - 1316</v>
          </cell>
          <cell r="R601"/>
          <cell r="S601"/>
          <cell r="T601">
            <v>0.49</v>
          </cell>
          <cell r="U601">
            <v>0.6</v>
          </cell>
          <cell r="V601">
            <v>0.84</v>
          </cell>
          <cell r="W601">
            <v>0</v>
          </cell>
          <cell r="X601" t="str">
            <v>EST CADEIRA YASMIM (TELA AMENDOA) (DAMASCO) TC 1000 - 1316 - 0,49x0,6x0,84H</v>
          </cell>
          <cell r="Y601">
            <v>3592.69</v>
          </cell>
          <cell r="Z601">
            <v>0.35</v>
          </cell>
          <cell r="AA601">
            <v>2335.2485000000001</v>
          </cell>
          <cell r="AB601"/>
        </row>
        <row r="602">
          <cell r="C602">
            <v>0</v>
          </cell>
          <cell r="D602">
            <v>8</v>
          </cell>
          <cell r="E602">
            <v>0</v>
          </cell>
          <cell r="F602">
            <v>0</v>
          </cell>
          <cell r="H602">
            <v>0</v>
          </cell>
          <cell r="O602">
            <v>388124</v>
          </cell>
          <cell r="P602" t="str">
            <v>2024/192-0026-01</v>
          </cell>
          <cell r="Q602" t="str">
            <v>EST CADEIRA YASMIM (TELA AMENDOA) (DAMASCO) TC 1000 - 1316</v>
          </cell>
          <cell r="R602"/>
          <cell r="S602"/>
          <cell r="T602">
            <v>0.49</v>
          </cell>
          <cell r="U602">
            <v>0.6</v>
          </cell>
          <cell r="V602">
            <v>0.84</v>
          </cell>
          <cell r="W602">
            <v>0</v>
          </cell>
          <cell r="X602" t="str">
            <v>EST CADEIRA YASMIM (TELA AMENDOA) (DAMASCO) TC 1000 - 1316 - 0,49x0,6x0,84H</v>
          </cell>
          <cell r="Y602">
            <v>3592.69</v>
          </cell>
          <cell r="Z602">
            <v>0.35</v>
          </cell>
          <cell r="AA602">
            <v>2335.2485000000001</v>
          </cell>
          <cell r="AB602"/>
        </row>
        <row r="603">
          <cell r="C603">
            <v>0</v>
          </cell>
          <cell r="D603">
            <v>8</v>
          </cell>
          <cell r="E603">
            <v>0</v>
          </cell>
          <cell r="F603">
            <v>0</v>
          </cell>
          <cell r="H603">
            <v>0</v>
          </cell>
          <cell r="O603">
            <v>388124</v>
          </cell>
          <cell r="P603" t="str">
            <v>2024/192-0027-01</v>
          </cell>
          <cell r="Q603" t="str">
            <v>EST CADEIRA YASMIM (TELA AMENDOA) (DAMASCO) TC 1000 - 1316</v>
          </cell>
          <cell r="R603"/>
          <cell r="S603"/>
          <cell r="T603">
            <v>0.49</v>
          </cell>
          <cell r="U603">
            <v>0.6</v>
          </cell>
          <cell r="V603">
            <v>0.84</v>
          </cell>
          <cell r="W603">
            <v>0</v>
          </cell>
          <cell r="X603" t="str">
            <v>EST CADEIRA YASMIM (TELA AMENDOA) (DAMASCO) TC 1000 - 1316 - 0,49x0,6x0,84H</v>
          </cell>
          <cell r="Y603">
            <v>3592.69</v>
          </cell>
          <cell r="Z603">
            <v>0.35</v>
          </cell>
          <cell r="AA603">
            <v>2335.2485000000001</v>
          </cell>
          <cell r="AB603"/>
        </row>
        <row r="604">
          <cell r="C604">
            <v>0</v>
          </cell>
          <cell r="D604">
            <v>8</v>
          </cell>
          <cell r="E604">
            <v>0</v>
          </cell>
          <cell r="F604">
            <v>0</v>
          </cell>
          <cell r="H604">
            <v>0</v>
          </cell>
          <cell r="O604">
            <v>388124</v>
          </cell>
          <cell r="P604" t="str">
            <v>2024/192-0028-01</v>
          </cell>
          <cell r="Q604" t="str">
            <v>EST CADEIRA YASMIM (TELA AMENDOA) (DAMASCO) TC 1000 - 1316</v>
          </cell>
          <cell r="R604"/>
          <cell r="S604"/>
          <cell r="T604">
            <v>0.49</v>
          </cell>
          <cell r="U604">
            <v>0.6</v>
          </cell>
          <cell r="V604">
            <v>0.84</v>
          </cell>
          <cell r="W604">
            <v>0</v>
          </cell>
          <cell r="X604" t="str">
            <v>EST CADEIRA YASMIM (TELA AMENDOA) (DAMASCO) TC 1000 - 1316 - 0,49x0,6x0,84H</v>
          </cell>
          <cell r="Y604">
            <v>3592.69</v>
          </cell>
          <cell r="Z604">
            <v>0.35</v>
          </cell>
          <cell r="AA604">
            <v>2335.2485000000001</v>
          </cell>
          <cell r="AB604"/>
        </row>
        <row r="605">
          <cell r="C605">
            <v>0</v>
          </cell>
          <cell r="D605">
            <v>8</v>
          </cell>
          <cell r="E605">
            <v>0</v>
          </cell>
          <cell r="F605">
            <v>0</v>
          </cell>
          <cell r="H605">
            <v>0</v>
          </cell>
          <cell r="O605">
            <v>388124</v>
          </cell>
          <cell r="P605" t="str">
            <v>2024/192-0029-01</v>
          </cell>
          <cell r="Q605" t="str">
            <v>EST CADEIRA YASMIM (TELA AMENDOA) (DAMASCO) TC 1000 - 1316</v>
          </cell>
          <cell r="R605"/>
          <cell r="S605"/>
          <cell r="T605">
            <v>0.49</v>
          </cell>
          <cell r="U605">
            <v>0.6</v>
          </cell>
          <cell r="V605">
            <v>0.84</v>
          </cell>
          <cell r="W605">
            <v>0</v>
          </cell>
          <cell r="X605" t="str">
            <v>EST CADEIRA YASMIM (TELA AMENDOA) (DAMASCO) TC 1000 - 1316 - 0,49x0,6x0,84H</v>
          </cell>
          <cell r="Y605">
            <v>3592.69</v>
          </cell>
          <cell r="Z605">
            <v>0.35</v>
          </cell>
          <cell r="AA605">
            <v>2335.2485000000001</v>
          </cell>
          <cell r="AB605"/>
        </row>
        <row r="606">
          <cell r="C606">
            <v>0</v>
          </cell>
          <cell r="D606">
            <v>8</v>
          </cell>
          <cell r="E606">
            <v>0</v>
          </cell>
          <cell r="F606">
            <v>0</v>
          </cell>
          <cell r="H606">
            <v>0</v>
          </cell>
          <cell r="O606">
            <v>388124</v>
          </cell>
          <cell r="P606" t="str">
            <v>2024/192-0030-01</v>
          </cell>
          <cell r="Q606" t="str">
            <v>EST CADEIRA YASMIM (TELA AMENDOA) (DAMASCO) TC 1000 - 1316</v>
          </cell>
          <cell r="R606"/>
          <cell r="S606"/>
          <cell r="T606">
            <v>0.49</v>
          </cell>
          <cell r="U606">
            <v>0.6</v>
          </cell>
          <cell r="V606">
            <v>0.84</v>
          </cell>
          <cell r="W606">
            <v>0</v>
          </cell>
          <cell r="X606" t="str">
            <v>EST CADEIRA YASMIM (TELA AMENDOA) (DAMASCO) TC 1000 - 1316 - 0,49x0,6x0,84H</v>
          </cell>
          <cell r="Y606">
            <v>3592.69</v>
          </cell>
          <cell r="Z606">
            <v>0.35</v>
          </cell>
          <cell r="AA606">
            <v>2335.2485000000001</v>
          </cell>
          <cell r="AB606"/>
        </row>
        <row r="607">
          <cell r="C607">
            <v>1</v>
          </cell>
          <cell r="D607">
            <v>1</v>
          </cell>
          <cell r="E607">
            <v>0</v>
          </cell>
          <cell r="F607">
            <v>0</v>
          </cell>
          <cell r="H607">
            <v>0</v>
          </cell>
          <cell r="O607">
            <v>147544</v>
          </cell>
          <cell r="P607" t="str">
            <v>2014/099-0081-01</v>
          </cell>
          <cell r="Q607" t="str">
            <v>EST VASO TYLER G (COD.ZEA-3169A)</v>
          </cell>
          <cell r="R607"/>
          <cell r="S607"/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 t="str">
            <v>EST VASO TYLER G (COD.ZEA-3169A) - Ø0x0H</v>
          </cell>
          <cell r="Y607">
            <v>1613.83</v>
          </cell>
          <cell r="Z607">
            <v>0.5</v>
          </cell>
          <cell r="AA607">
            <v>806.91499999999996</v>
          </cell>
          <cell r="AB607"/>
        </row>
        <row r="608">
          <cell r="C608">
            <v>1</v>
          </cell>
          <cell r="D608">
            <v>1</v>
          </cell>
          <cell r="E608">
            <v>0</v>
          </cell>
          <cell r="F608">
            <v>0</v>
          </cell>
          <cell r="H608">
            <v>0</v>
          </cell>
          <cell r="O608">
            <v>147545</v>
          </cell>
          <cell r="P608" t="str">
            <v>2014/099-0085-01</v>
          </cell>
          <cell r="Q608" t="str">
            <v>EST VASO TYLER M (COD.ZEA-3169B)</v>
          </cell>
          <cell r="R608"/>
          <cell r="S608"/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 t="str">
            <v>EST VASO TYLER M (COD.ZEA-3169B) - Ø0x0H</v>
          </cell>
          <cell r="Y608">
            <v>1423.43</v>
          </cell>
          <cell r="Z608">
            <v>0.5</v>
          </cell>
          <cell r="AA608">
            <v>711.71500000000003</v>
          </cell>
          <cell r="AB608"/>
        </row>
        <row r="609">
          <cell r="C609">
            <v>3</v>
          </cell>
          <cell r="D609">
            <v>6</v>
          </cell>
          <cell r="E609">
            <v>0</v>
          </cell>
          <cell r="F609">
            <v>0</v>
          </cell>
          <cell r="H609">
            <v>0</v>
          </cell>
          <cell r="O609">
            <v>147930</v>
          </cell>
          <cell r="P609" t="str">
            <v>2014/262-0096-01</v>
          </cell>
          <cell r="Q609" t="str">
            <v>EST LUMINARIA PENDENTE DON SEM LAMPADA</v>
          </cell>
          <cell r="R609"/>
          <cell r="S609"/>
          <cell r="T609">
            <v>0.2</v>
          </cell>
          <cell r="U609">
            <v>0.2</v>
          </cell>
          <cell r="V609">
            <v>0.3</v>
          </cell>
          <cell r="W609">
            <v>0</v>
          </cell>
          <cell r="X609" t="str">
            <v>EST LUMINARIA PENDENTE DON SEM LAMPADA - 0,2x0,2x0,3H</v>
          </cell>
          <cell r="Y609">
            <v>5713.34</v>
          </cell>
          <cell r="Z609">
            <v>0.5</v>
          </cell>
          <cell r="AA609">
            <v>2856.67</v>
          </cell>
          <cell r="AB609"/>
        </row>
        <row r="610">
          <cell r="C610">
            <v>3</v>
          </cell>
          <cell r="D610">
            <v>6</v>
          </cell>
          <cell r="E610">
            <v>0</v>
          </cell>
          <cell r="F610">
            <v>0</v>
          </cell>
          <cell r="H610">
            <v>0</v>
          </cell>
          <cell r="O610">
            <v>147930</v>
          </cell>
          <cell r="P610" t="str">
            <v>2014/262-0097-01</v>
          </cell>
          <cell r="Q610" t="str">
            <v>EST LUMINARIA PENDENTE DON SEM LAMPADA</v>
          </cell>
          <cell r="R610"/>
          <cell r="S610"/>
          <cell r="T610">
            <v>0.2</v>
          </cell>
          <cell r="U610">
            <v>0.2</v>
          </cell>
          <cell r="V610">
            <v>0.3</v>
          </cell>
          <cell r="W610">
            <v>0</v>
          </cell>
          <cell r="X610" t="str">
            <v>EST LUMINARIA PENDENTE DON SEM LAMPADA - 0,2x0,2x0,3H</v>
          </cell>
          <cell r="Y610">
            <v>5713.34</v>
          </cell>
          <cell r="Z610">
            <v>0.5</v>
          </cell>
          <cell r="AA610">
            <v>2856.67</v>
          </cell>
          <cell r="AB610"/>
        </row>
        <row r="611">
          <cell r="C611">
            <v>3</v>
          </cell>
          <cell r="D611">
            <v>6</v>
          </cell>
          <cell r="E611">
            <v>0</v>
          </cell>
          <cell r="F611">
            <v>0</v>
          </cell>
          <cell r="H611">
            <v>0</v>
          </cell>
          <cell r="O611">
            <v>147930</v>
          </cell>
          <cell r="P611" t="str">
            <v>2014/262-0098-01</v>
          </cell>
          <cell r="Q611" t="str">
            <v>EST LUMINARIA PENDENTE DON SEM LAMPADA</v>
          </cell>
          <cell r="R611"/>
          <cell r="S611"/>
          <cell r="T611">
            <v>0.2</v>
          </cell>
          <cell r="U611">
            <v>0.2</v>
          </cell>
          <cell r="V611">
            <v>0.3</v>
          </cell>
          <cell r="W611">
            <v>0</v>
          </cell>
          <cell r="X611" t="str">
            <v>EST LUMINARIA PENDENTE DON SEM LAMPADA - 0,2x0,2x0,3H</v>
          </cell>
          <cell r="Y611">
            <v>5713.34</v>
          </cell>
          <cell r="Z611">
            <v>0.5</v>
          </cell>
          <cell r="AA611">
            <v>2856.67</v>
          </cell>
          <cell r="AB611"/>
        </row>
        <row r="612">
          <cell r="C612">
            <v>3</v>
          </cell>
          <cell r="D612">
            <v>6</v>
          </cell>
          <cell r="E612">
            <v>0</v>
          </cell>
          <cell r="F612">
            <v>0</v>
          </cell>
          <cell r="H612">
            <v>0</v>
          </cell>
          <cell r="O612">
            <v>147930</v>
          </cell>
          <cell r="P612" t="str">
            <v>2014/262-0099-01</v>
          </cell>
          <cell r="Q612" t="str">
            <v>EST LUMINARIA PENDENTE DON SEM LAMPADA</v>
          </cell>
          <cell r="R612"/>
          <cell r="S612"/>
          <cell r="T612">
            <v>0.2</v>
          </cell>
          <cell r="U612">
            <v>0.2</v>
          </cell>
          <cell r="V612">
            <v>0.3</v>
          </cell>
          <cell r="W612">
            <v>0</v>
          </cell>
          <cell r="X612" t="str">
            <v>EST LUMINARIA PENDENTE DON SEM LAMPADA - 0,2x0,2x0,3H</v>
          </cell>
          <cell r="Y612">
            <v>5713.34</v>
          </cell>
          <cell r="Z612">
            <v>0.5</v>
          </cell>
          <cell r="AA612">
            <v>2856.67</v>
          </cell>
          <cell r="AB612"/>
        </row>
        <row r="613">
          <cell r="C613">
            <v>3</v>
          </cell>
          <cell r="D613">
            <v>6</v>
          </cell>
          <cell r="E613">
            <v>0</v>
          </cell>
          <cell r="F613">
            <v>0</v>
          </cell>
          <cell r="H613">
            <v>0</v>
          </cell>
          <cell r="O613">
            <v>147930</v>
          </cell>
          <cell r="P613" t="str">
            <v>2014/262-0092-01</v>
          </cell>
          <cell r="Q613" t="str">
            <v>EST LUMINARIA PENDENTE DON SEM LAMPADA</v>
          </cell>
          <cell r="R613"/>
          <cell r="S613"/>
          <cell r="T613">
            <v>0.2</v>
          </cell>
          <cell r="U613">
            <v>0.2</v>
          </cell>
          <cell r="V613">
            <v>0.3</v>
          </cell>
          <cell r="W613">
            <v>0</v>
          </cell>
          <cell r="X613" t="str">
            <v>EST LUMINARIA PENDENTE DON SEM LAMPADA - 0,2x0,2x0,3H</v>
          </cell>
          <cell r="Y613">
            <v>5713.34</v>
          </cell>
          <cell r="Z613">
            <v>0.5</v>
          </cell>
          <cell r="AA613">
            <v>2856.67</v>
          </cell>
          <cell r="AB613"/>
        </row>
        <row r="614">
          <cell r="C614">
            <v>0</v>
          </cell>
          <cell r="D614">
            <v>1</v>
          </cell>
          <cell r="E614">
            <v>0</v>
          </cell>
          <cell r="F614">
            <v>0</v>
          </cell>
          <cell r="H614">
            <v>0</v>
          </cell>
          <cell r="O614">
            <v>190082</v>
          </cell>
          <cell r="P614" t="str">
            <v>2017/331-0014-01</v>
          </cell>
          <cell r="Q614" t="str">
            <v>EST LUMINARIA TENT (LATAO CENTRO/ACO PTO FSC) LAMP L008 HAL</v>
          </cell>
          <cell r="R614"/>
          <cell r="S614"/>
          <cell r="T614">
            <v>2.5299999999999998</v>
          </cell>
          <cell r="U614">
            <v>1.57</v>
          </cell>
          <cell r="V614">
            <v>0.47</v>
          </cell>
          <cell r="W614">
            <v>0</v>
          </cell>
          <cell r="X614" t="str">
            <v>EST LUMINARIA TENT (LATAO CENTRO/ACO PTO FSC) LAMP L008 HAL - 2,53x1,57x0,47H</v>
          </cell>
          <cell r="Y614">
            <v>22288</v>
          </cell>
          <cell r="Z614">
            <v>0.5</v>
          </cell>
          <cell r="AA614">
            <v>11144</v>
          </cell>
          <cell r="AB614"/>
        </row>
        <row r="615">
          <cell r="C615">
            <v>2</v>
          </cell>
          <cell r="D615">
            <v>1</v>
          </cell>
          <cell r="E615">
            <v>0</v>
          </cell>
          <cell r="F615">
            <v>0</v>
          </cell>
          <cell r="H615">
            <v>0</v>
          </cell>
          <cell r="O615">
            <v>224542</v>
          </cell>
          <cell r="P615" t="str">
            <v>2018/234-0016-01</v>
          </cell>
          <cell r="Q615" t="str">
            <v>EST BANDEJA MAXIXE (MARMORE CALACATA) (BASE ACRILICO)</v>
          </cell>
          <cell r="R615"/>
          <cell r="S615"/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 t="str">
            <v>EST BANDEJA MAXIXE (MARMORE CALACATA) (BASE ACRILICO) - Ø0x0H</v>
          </cell>
          <cell r="Y615">
            <v>4638.82</v>
          </cell>
          <cell r="Z615">
            <v>0.5</v>
          </cell>
          <cell r="AA615">
            <v>2319.41</v>
          </cell>
          <cell r="AB615"/>
        </row>
        <row r="616">
          <cell r="C616">
            <v>0</v>
          </cell>
          <cell r="D616">
            <v>1</v>
          </cell>
          <cell r="E616">
            <v>0</v>
          </cell>
          <cell r="F616">
            <v>0</v>
          </cell>
          <cell r="H616">
            <v>0</v>
          </cell>
          <cell r="O616">
            <v>231990</v>
          </cell>
          <cell r="P616" t="str">
            <v>2022/305-0016-01</v>
          </cell>
          <cell r="Q616" t="str">
            <v>EST MOVEL BAR SOFT FREIJO NAT/ESPELHO BRONZE INTERNO</v>
          </cell>
          <cell r="R616"/>
          <cell r="S616"/>
          <cell r="T616">
            <v>1.2</v>
          </cell>
          <cell r="U616">
            <v>0.4</v>
          </cell>
          <cell r="V616">
            <v>1.38</v>
          </cell>
          <cell r="W616">
            <v>0</v>
          </cell>
          <cell r="X616" t="str">
            <v>EST MOVEL BAR SOFT FREIJO NAT/ESPELHO BRONZE INTERNO - 1,2x0,4x1,38H</v>
          </cell>
          <cell r="Y616">
            <v>28498.53</v>
          </cell>
          <cell r="Z616">
            <v>0.5</v>
          </cell>
          <cell r="AA616">
            <v>14249.264999999999</v>
          </cell>
          <cell r="AB616"/>
        </row>
        <row r="617"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H617">
            <v>1</v>
          </cell>
          <cell r="O617">
            <v>250135</v>
          </cell>
          <cell r="P617" t="str">
            <v>2019/252-0109-01</v>
          </cell>
          <cell r="Q617" t="str">
            <v>EST MANTA PESEIRA MIA PONTO V (TERRACOTA COD 6096)</v>
          </cell>
          <cell r="R617"/>
          <cell r="S617"/>
          <cell r="T617">
            <v>1.8</v>
          </cell>
          <cell r="U617">
            <v>0.7</v>
          </cell>
          <cell r="V617">
            <v>0</v>
          </cell>
          <cell r="W617">
            <v>0</v>
          </cell>
          <cell r="X617" t="str">
            <v>EST MANTA PESEIRA MIA PONTO V (TERRACOTA COD 6096) - 1,8x0,7x0H</v>
          </cell>
          <cell r="Y617">
            <v>3865.88</v>
          </cell>
          <cell r="Z617">
            <v>0.5</v>
          </cell>
          <cell r="AA617">
            <v>1932.94</v>
          </cell>
          <cell r="AB617"/>
        </row>
        <row r="618">
          <cell r="C618">
            <v>0</v>
          </cell>
          <cell r="D618">
            <v>4</v>
          </cell>
          <cell r="E618">
            <v>0</v>
          </cell>
          <cell r="F618">
            <v>0</v>
          </cell>
          <cell r="H618">
            <v>0</v>
          </cell>
          <cell r="O618">
            <v>265896</v>
          </cell>
          <cell r="P618" t="str">
            <v>2020/237-0049-01</v>
          </cell>
          <cell r="Q618" t="str">
            <v>EST ALMOFADA FITA NEOPRENE (COR BEGE RAMI 4)</v>
          </cell>
          <cell r="R618"/>
          <cell r="S618"/>
          <cell r="T618">
            <v>0.5</v>
          </cell>
          <cell r="U618">
            <v>0.5</v>
          </cell>
          <cell r="V618">
            <v>0</v>
          </cell>
          <cell r="W618">
            <v>0</v>
          </cell>
          <cell r="X618" t="str">
            <v>EST ALMOFADA FITA NEOPRENE (COR BEGE RAMI 4) - 0,5x0,5x0H</v>
          </cell>
          <cell r="Y618">
            <v>985.6</v>
          </cell>
          <cell r="Z618">
            <v>0.5</v>
          </cell>
          <cell r="AA618">
            <v>492.8</v>
          </cell>
          <cell r="AB618"/>
        </row>
        <row r="619">
          <cell r="C619">
            <v>0</v>
          </cell>
          <cell r="D619">
            <v>4</v>
          </cell>
          <cell r="E619">
            <v>0</v>
          </cell>
          <cell r="F619">
            <v>0</v>
          </cell>
          <cell r="H619">
            <v>0</v>
          </cell>
          <cell r="O619">
            <v>265896</v>
          </cell>
          <cell r="P619" t="str">
            <v>2020/237-0050-01</v>
          </cell>
          <cell r="Q619" t="str">
            <v>EST ALMOFADA FITA NEOPRENE (COR BEGE RAMI 4)</v>
          </cell>
          <cell r="R619"/>
          <cell r="S619"/>
          <cell r="T619">
            <v>0.5</v>
          </cell>
          <cell r="U619">
            <v>0.5</v>
          </cell>
          <cell r="V619">
            <v>0</v>
          </cell>
          <cell r="W619">
            <v>0</v>
          </cell>
          <cell r="X619" t="str">
            <v>EST ALMOFADA FITA NEOPRENE (COR BEGE RAMI 4) - 0,5x0,5x0H</v>
          </cell>
          <cell r="Y619">
            <v>985.6</v>
          </cell>
          <cell r="Z619">
            <v>0.5</v>
          </cell>
          <cell r="AA619">
            <v>492.8</v>
          </cell>
          <cell r="AB619"/>
        </row>
        <row r="620">
          <cell r="C620">
            <v>0</v>
          </cell>
          <cell r="D620">
            <v>4</v>
          </cell>
          <cell r="E620">
            <v>0</v>
          </cell>
          <cell r="F620">
            <v>0</v>
          </cell>
          <cell r="H620">
            <v>0</v>
          </cell>
          <cell r="O620">
            <v>265896</v>
          </cell>
          <cell r="P620" t="str">
            <v>2020/237-0051-01</v>
          </cell>
          <cell r="Q620" t="str">
            <v>EST ALMOFADA FITA NEOPRENE (COR BEGE RAMI 4)</v>
          </cell>
          <cell r="R620"/>
          <cell r="S620"/>
          <cell r="T620">
            <v>0.5</v>
          </cell>
          <cell r="U620">
            <v>0.5</v>
          </cell>
          <cell r="V620">
            <v>0</v>
          </cell>
          <cell r="W620">
            <v>0</v>
          </cell>
          <cell r="X620" t="str">
            <v>EST ALMOFADA FITA NEOPRENE (COR BEGE RAMI 4) - 0,5x0,5x0H</v>
          </cell>
          <cell r="Y620">
            <v>985.6</v>
          </cell>
          <cell r="Z620">
            <v>0.5</v>
          </cell>
          <cell r="AA620">
            <v>492.8</v>
          </cell>
          <cell r="AB620"/>
        </row>
        <row r="621">
          <cell r="C621">
            <v>0</v>
          </cell>
          <cell r="D621">
            <v>4</v>
          </cell>
          <cell r="E621">
            <v>0</v>
          </cell>
          <cell r="F621">
            <v>0</v>
          </cell>
          <cell r="H621">
            <v>0</v>
          </cell>
          <cell r="O621">
            <v>265896</v>
          </cell>
          <cell r="P621" t="str">
            <v>2020/237-0052-01</v>
          </cell>
          <cell r="Q621" t="str">
            <v>EST ALMOFADA FITA NEOPRENE (COR BEGE RAMI 4)</v>
          </cell>
          <cell r="R621"/>
          <cell r="S621"/>
          <cell r="T621">
            <v>0.5</v>
          </cell>
          <cell r="U621">
            <v>0.5</v>
          </cell>
          <cell r="V621">
            <v>0</v>
          </cell>
          <cell r="W621">
            <v>0</v>
          </cell>
          <cell r="X621" t="str">
            <v>EST ALMOFADA FITA NEOPRENE (COR BEGE RAMI 4) - 0,5x0,5x0H</v>
          </cell>
          <cell r="Y621">
            <v>985.6</v>
          </cell>
          <cell r="Z621">
            <v>0.5</v>
          </cell>
          <cell r="AA621">
            <v>492.8</v>
          </cell>
          <cell r="AB621"/>
        </row>
        <row r="622">
          <cell r="C622">
            <v>0</v>
          </cell>
          <cell r="D622">
            <v>1</v>
          </cell>
          <cell r="E622">
            <v>0</v>
          </cell>
          <cell r="F622">
            <v>0</v>
          </cell>
          <cell r="H622">
            <v>0</v>
          </cell>
          <cell r="O622">
            <v>271426</v>
          </cell>
          <cell r="P622" t="str">
            <v>2020/343-0060-01</v>
          </cell>
          <cell r="Q622" t="str">
            <v>EST QUADRO MASSAI NUDE 02 X11 (1518) MO MD CX CRU</v>
          </cell>
          <cell r="R622"/>
          <cell r="S622"/>
          <cell r="T622">
            <v>1.2</v>
          </cell>
          <cell r="U622">
            <v>1.2</v>
          </cell>
          <cell r="V622">
            <v>0</v>
          </cell>
          <cell r="W622">
            <v>0</v>
          </cell>
          <cell r="X622" t="str">
            <v>EST QUADRO MASSAI NUDE 02 X11 (1518) MO MD CX CRU - 1,2x1,2x0H</v>
          </cell>
          <cell r="Y622">
            <v>4680.4799999999996</v>
          </cell>
          <cell r="Z622">
            <v>0.5</v>
          </cell>
          <cell r="AA622">
            <v>2340.2399999999998</v>
          </cell>
          <cell r="AB622"/>
        </row>
        <row r="623">
          <cell r="C623">
            <v>0</v>
          </cell>
          <cell r="D623">
            <v>1</v>
          </cell>
          <cell r="E623">
            <v>0</v>
          </cell>
          <cell r="F623">
            <v>0</v>
          </cell>
          <cell r="H623">
            <v>0</v>
          </cell>
          <cell r="O623">
            <v>274998</v>
          </cell>
          <cell r="P623" t="str">
            <v>2021/165-0079-01</v>
          </cell>
          <cell r="Q623" t="str">
            <v>EST MESA LATERAL BUZIOS 350 (TP/BS CONC CHANF SALMAO/HST PT)</v>
          </cell>
          <cell r="R623"/>
          <cell r="S623"/>
          <cell r="T623">
            <v>0.35</v>
          </cell>
          <cell r="U623">
            <v>0</v>
          </cell>
          <cell r="V623">
            <v>0.55000000000000004</v>
          </cell>
          <cell r="W623">
            <v>0.35</v>
          </cell>
          <cell r="X623" t="str">
            <v>EST MESA LATERAL BUZIOS 350 (TP/BS CONC CHANF SALMAO/HST PT) - Ø0,35x0,55H</v>
          </cell>
          <cell r="Y623">
            <v>5559.68</v>
          </cell>
          <cell r="Z623">
            <v>0.5</v>
          </cell>
          <cell r="AA623">
            <v>2779.84</v>
          </cell>
          <cell r="AB623"/>
        </row>
        <row r="624">
          <cell r="C624">
            <v>0</v>
          </cell>
          <cell r="D624">
            <v>1</v>
          </cell>
          <cell r="E624">
            <v>0</v>
          </cell>
          <cell r="F624">
            <v>0</v>
          </cell>
          <cell r="H624">
            <v>0</v>
          </cell>
          <cell r="O624">
            <v>312425</v>
          </cell>
          <cell r="P624" t="str">
            <v>2022/039-0013-01</v>
          </cell>
          <cell r="Q624" t="str">
            <v>EST QUADRO FLACK BLUE DIAGO (COD877)</v>
          </cell>
          <cell r="R624"/>
          <cell r="S624"/>
          <cell r="T624">
            <v>1.2</v>
          </cell>
          <cell r="U624">
            <v>1.2</v>
          </cell>
          <cell r="V624">
            <v>0</v>
          </cell>
          <cell r="W624">
            <v>0</v>
          </cell>
          <cell r="X624" t="str">
            <v>EST QUADRO FLACK BLUE DIAGO (COD877) - 1,2x1,2x0H</v>
          </cell>
          <cell r="Y624">
            <v>4351.2</v>
          </cell>
          <cell r="Z624">
            <v>0.5</v>
          </cell>
          <cell r="AA624">
            <v>2175.6</v>
          </cell>
          <cell r="AB624"/>
        </row>
        <row r="625">
          <cell r="C625">
            <v>0</v>
          </cell>
          <cell r="D625">
            <v>2</v>
          </cell>
          <cell r="E625">
            <v>0</v>
          </cell>
          <cell r="F625">
            <v>0</v>
          </cell>
          <cell r="H625">
            <v>0</v>
          </cell>
          <cell r="O625">
            <v>312426</v>
          </cell>
          <cell r="P625" t="str">
            <v>2022/039-0014-01</v>
          </cell>
          <cell r="Q625" t="str">
            <v>EST QUADRO FLACK BLUE VERTI (COD876)</v>
          </cell>
          <cell r="R625"/>
          <cell r="S625"/>
          <cell r="T625">
            <v>1.2</v>
          </cell>
          <cell r="U625">
            <v>1.2</v>
          </cell>
          <cell r="V625">
            <v>0</v>
          </cell>
          <cell r="W625">
            <v>0</v>
          </cell>
          <cell r="X625" t="str">
            <v>EST QUADRO FLACK BLUE VERTI (COD876) - 1,2x1,2x0H</v>
          </cell>
          <cell r="Y625">
            <v>4351.2</v>
          </cell>
          <cell r="Z625">
            <v>0.5</v>
          </cell>
          <cell r="AA625">
            <v>2175.6</v>
          </cell>
          <cell r="AB625"/>
        </row>
        <row r="626">
          <cell r="C626">
            <v>0</v>
          </cell>
          <cell r="D626">
            <v>2</v>
          </cell>
          <cell r="E626">
            <v>0</v>
          </cell>
          <cell r="F626">
            <v>0</v>
          </cell>
          <cell r="H626">
            <v>0</v>
          </cell>
          <cell r="O626">
            <v>312426</v>
          </cell>
          <cell r="P626" t="str">
            <v>2022/039-0015-01</v>
          </cell>
          <cell r="Q626" t="str">
            <v>EST QUADRO FLACK BLUE VERTI (COD876)</v>
          </cell>
          <cell r="R626"/>
          <cell r="S626"/>
          <cell r="T626">
            <v>1.2</v>
          </cell>
          <cell r="U626">
            <v>1.2</v>
          </cell>
          <cell r="V626">
            <v>0</v>
          </cell>
          <cell r="W626">
            <v>0</v>
          </cell>
          <cell r="X626" t="str">
            <v>EST QUADRO FLACK BLUE VERTI (COD876) - 1,2x1,2x0H</v>
          </cell>
          <cell r="Y626">
            <v>4351.2</v>
          </cell>
          <cell r="Z626">
            <v>0.5</v>
          </cell>
          <cell r="AA626">
            <v>2175.6</v>
          </cell>
          <cell r="AB626"/>
        </row>
        <row r="627">
          <cell r="C627">
            <v>1</v>
          </cell>
          <cell r="D627">
            <v>1</v>
          </cell>
          <cell r="E627">
            <v>0</v>
          </cell>
          <cell r="F627">
            <v>0</v>
          </cell>
          <cell r="H627">
            <v>0</v>
          </cell>
          <cell r="O627">
            <v>312429</v>
          </cell>
          <cell r="P627" t="str">
            <v>2022/039-0024-01</v>
          </cell>
          <cell r="Q627" t="str">
            <v>EST QUADRO MESA COLORS HORIZONTAL</v>
          </cell>
          <cell r="R627"/>
          <cell r="S627"/>
          <cell r="T627">
            <v>1.3</v>
          </cell>
          <cell r="U627">
            <v>0.9</v>
          </cell>
          <cell r="V627">
            <v>0</v>
          </cell>
          <cell r="W627">
            <v>0</v>
          </cell>
          <cell r="X627" t="str">
            <v>EST QUADRO MESA COLORS HORIZONTAL - 1,3x0,9x0H</v>
          </cell>
          <cell r="Y627">
            <v>3739.68</v>
          </cell>
          <cell r="Z627">
            <v>0.5</v>
          </cell>
          <cell r="AA627">
            <v>1869.84</v>
          </cell>
          <cell r="AB627"/>
        </row>
        <row r="628">
          <cell r="C628">
            <v>0</v>
          </cell>
          <cell r="D628">
            <v>2</v>
          </cell>
          <cell r="E628">
            <v>0</v>
          </cell>
          <cell r="F628">
            <v>0</v>
          </cell>
          <cell r="H628">
            <v>2</v>
          </cell>
          <cell r="O628">
            <v>312451</v>
          </cell>
          <cell r="P628" t="str">
            <v>2021/354-0020-01</v>
          </cell>
          <cell r="Q628" t="str">
            <v>EST LUMINARIA DE TETO STRETCH I (3111)</v>
          </cell>
          <cell r="R628"/>
          <cell r="S628"/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 t="str">
            <v>EST LUMINARIA DE TETO STRETCH I (3111) - Ø0x0H</v>
          </cell>
          <cell r="Y628">
            <v>2217.6</v>
          </cell>
          <cell r="Z628">
            <v>0.5</v>
          </cell>
          <cell r="AA628">
            <v>1108.8</v>
          </cell>
          <cell r="AB628"/>
        </row>
        <row r="629">
          <cell r="C629">
            <v>0</v>
          </cell>
          <cell r="D629">
            <v>2</v>
          </cell>
          <cell r="E629">
            <v>0</v>
          </cell>
          <cell r="F629">
            <v>0</v>
          </cell>
          <cell r="H629">
            <v>2</v>
          </cell>
          <cell r="O629">
            <v>312451</v>
          </cell>
          <cell r="P629" t="str">
            <v>2021/354-0021-01</v>
          </cell>
          <cell r="Q629" t="str">
            <v>EST LUMINARIA DE TETO STRETCH I (3111)</v>
          </cell>
          <cell r="R629"/>
          <cell r="S629"/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 t="str">
            <v>EST LUMINARIA DE TETO STRETCH I (3111) - Ø0x0H</v>
          </cell>
          <cell r="Y629">
            <v>2217.6</v>
          </cell>
          <cell r="Z629">
            <v>0.5</v>
          </cell>
          <cell r="AA629">
            <v>1108.8</v>
          </cell>
          <cell r="AB629"/>
        </row>
        <row r="630">
          <cell r="C630">
            <v>0</v>
          </cell>
          <cell r="D630">
            <v>2</v>
          </cell>
          <cell r="E630">
            <v>0</v>
          </cell>
          <cell r="F630">
            <v>0</v>
          </cell>
          <cell r="H630">
            <v>2</v>
          </cell>
          <cell r="O630">
            <v>312452</v>
          </cell>
          <cell r="P630" t="str">
            <v>2021/354-0025-01</v>
          </cell>
          <cell r="Q630" t="str">
            <v>EST LUMINARIA DE TETO STRETCH II (3112)</v>
          </cell>
          <cell r="R630"/>
          <cell r="S630"/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 t="str">
            <v>EST LUMINARIA DE TETO STRETCH II (3112) - Ø0x0H</v>
          </cell>
          <cell r="Y630">
            <v>2352</v>
          </cell>
          <cell r="Z630">
            <v>0.5</v>
          </cell>
          <cell r="AA630">
            <v>1176</v>
          </cell>
          <cell r="AB630"/>
        </row>
        <row r="631">
          <cell r="C631">
            <v>0</v>
          </cell>
          <cell r="D631">
            <v>2</v>
          </cell>
          <cell r="E631">
            <v>0</v>
          </cell>
          <cell r="F631">
            <v>0</v>
          </cell>
          <cell r="H631">
            <v>2</v>
          </cell>
          <cell r="O631">
            <v>312452</v>
          </cell>
          <cell r="P631" t="str">
            <v>2021/354-0026-01</v>
          </cell>
          <cell r="Q631" t="str">
            <v>EST LUMINARIA DE TETO STRETCH II (3112)</v>
          </cell>
          <cell r="R631"/>
          <cell r="S631"/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 t="str">
            <v>EST LUMINARIA DE TETO STRETCH II (3112) - Ø0x0H</v>
          </cell>
          <cell r="Y631">
            <v>2352</v>
          </cell>
          <cell r="Z631">
            <v>0.5</v>
          </cell>
          <cell r="AA631">
            <v>1176</v>
          </cell>
          <cell r="AB631"/>
        </row>
        <row r="632">
          <cell r="C632">
            <v>4</v>
          </cell>
          <cell r="D632">
            <v>6</v>
          </cell>
          <cell r="E632">
            <v>0</v>
          </cell>
          <cell r="F632">
            <v>0</v>
          </cell>
          <cell r="H632">
            <v>0</v>
          </cell>
          <cell r="O632">
            <v>314828</v>
          </cell>
          <cell r="P632" t="str">
            <v>2021/344-0049-01</v>
          </cell>
          <cell r="Q632" t="str">
            <v>EST ALMOFADA LIVERPOOL CROCO</v>
          </cell>
          <cell r="R632"/>
          <cell r="S632"/>
          <cell r="T632">
            <v>0.5</v>
          </cell>
          <cell r="U632">
            <v>0.5</v>
          </cell>
          <cell r="V632">
            <v>0</v>
          </cell>
          <cell r="W632">
            <v>0</v>
          </cell>
          <cell r="X632" t="str">
            <v>EST ALMOFADA LIVERPOOL CROCO - 0,5x0,5x0H</v>
          </cell>
          <cell r="Y632">
            <v>837.31</v>
          </cell>
          <cell r="Z632">
            <v>0.5</v>
          </cell>
          <cell r="AA632">
            <v>418.65499999999997</v>
          </cell>
          <cell r="AB632"/>
        </row>
        <row r="633">
          <cell r="C633">
            <v>4</v>
          </cell>
          <cell r="D633">
            <v>6</v>
          </cell>
          <cell r="E633">
            <v>0</v>
          </cell>
          <cell r="F633">
            <v>0</v>
          </cell>
          <cell r="H633">
            <v>0</v>
          </cell>
          <cell r="O633">
            <v>314828</v>
          </cell>
          <cell r="P633" t="str">
            <v>2021/344-0050-01</v>
          </cell>
          <cell r="Q633" t="str">
            <v>EST ALMOFADA LIVERPOOL CROCO</v>
          </cell>
          <cell r="R633"/>
          <cell r="S633"/>
          <cell r="T633">
            <v>0.5</v>
          </cell>
          <cell r="U633">
            <v>0.5</v>
          </cell>
          <cell r="V633">
            <v>0</v>
          </cell>
          <cell r="W633">
            <v>0</v>
          </cell>
          <cell r="X633" t="str">
            <v>EST ALMOFADA LIVERPOOL CROCO - 0,5x0,5x0H</v>
          </cell>
          <cell r="Y633">
            <v>837.31</v>
          </cell>
          <cell r="Z633">
            <v>0.5</v>
          </cell>
          <cell r="AA633">
            <v>418.65499999999997</v>
          </cell>
          <cell r="AB633"/>
        </row>
        <row r="634">
          <cell r="C634">
            <v>4</v>
          </cell>
          <cell r="D634">
            <v>6</v>
          </cell>
          <cell r="E634">
            <v>0</v>
          </cell>
          <cell r="F634">
            <v>0</v>
          </cell>
          <cell r="H634">
            <v>0</v>
          </cell>
          <cell r="O634">
            <v>314828</v>
          </cell>
          <cell r="P634" t="str">
            <v>2021/344-0051-01</v>
          </cell>
          <cell r="Q634" t="str">
            <v>EST ALMOFADA LIVERPOOL CROCO</v>
          </cell>
          <cell r="R634"/>
          <cell r="S634"/>
          <cell r="T634">
            <v>0.5</v>
          </cell>
          <cell r="U634">
            <v>0.5</v>
          </cell>
          <cell r="V634">
            <v>0</v>
          </cell>
          <cell r="W634">
            <v>0</v>
          </cell>
          <cell r="X634" t="str">
            <v>EST ALMOFADA LIVERPOOL CROCO - 0,5x0,5x0H</v>
          </cell>
          <cell r="Y634">
            <v>837.31</v>
          </cell>
          <cell r="Z634">
            <v>0.5</v>
          </cell>
          <cell r="AA634">
            <v>418.65499999999997</v>
          </cell>
          <cell r="AB634"/>
        </row>
        <row r="635">
          <cell r="C635">
            <v>4</v>
          </cell>
          <cell r="D635">
            <v>6</v>
          </cell>
          <cell r="E635">
            <v>0</v>
          </cell>
          <cell r="F635">
            <v>0</v>
          </cell>
          <cell r="H635">
            <v>0</v>
          </cell>
          <cell r="O635">
            <v>314828</v>
          </cell>
          <cell r="P635" t="str">
            <v>2021/344-0052-01</v>
          </cell>
          <cell r="Q635" t="str">
            <v>EST ALMOFADA LIVERPOOL CROCO</v>
          </cell>
          <cell r="R635"/>
          <cell r="S635"/>
          <cell r="T635">
            <v>0.5</v>
          </cell>
          <cell r="U635">
            <v>0.5</v>
          </cell>
          <cell r="V635">
            <v>0</v>
          </cell>
          <cell r="W635">
            <v>0</v>
          </cell>
          <cell r="X635" t="str">
            <v>EST ALMOFADA LIVERPOOL CROCO - 0,5x0,5x0H</v>
          </cell>
          <cell r="Y635">
            <v>837.31</v>
          </cell>
          <cell r="Z635">
            <v>0.5</v>
          </cell>
          <cell r="AA635">
            <v>418.65499999999997</v>
          </cell>
          <cell r="AB635"/>
        </row>
        <row r="636">
          <cell r="C636">
            <v>4</v>
          </cell>
          <cell r="D636">
            <v>6</v>
          </cell>
          <cell r="E636">
            <v>0</v>
          </cell>
          <cell r="F636">
            <v>0</v>
          </cell>
          <cell r="H636">
            <v>0</v>
          </cell>
          <cell r="O636">
            <v>314828</v>
          </cell>
          <cell r="P636" t="str">
            <v>2021/344-0053-01</v>
          </cell>
          <cell r="Q636" t="str">
            <v>EST ALMOFADA LIVERPOOL CROCO</v>
          </cell>
          <cell r="R636"/>
          <cell r="S636"/>
          <cell r="T636">
            <v>0.5</v>
          </cell>
          <cell r="U636">
            <v>0.5</v>
          </cell>
          <cell r="V636">
            <v>0</v>
          </cell>
          <cell r="W636">
            <v>0</v>
          </cell>
          <cell r="X636" t="str">
            <v>EST ALMOFADA LIVERPOOL CROCO - 0,5x0,5x0H</v>
          </cell>
          <cell r="Y636">
            <v>837.31</v>
          </cell>
          <cell r="Z636">
            <v>0.5</v>
          </cell>
          <cell r="AA636">
            <v>418.65499999999997</v>
          </cell>
          <cell r="AB636"/>
        </row>
        <row r="637">
          <cell r="C637">
            <v>4</v>
          </cell>
          <cell r="D637">
            <v>6</v>
          </cell>
          <cell r="E637">
            <v>0</v>
          </cell>
          <cell r="F637">
            <v>0</v>
          </cell>
          <cell r="H637">
            <v>0</v>
          </cell>
          <cell r="O637">
            <v>314828</v>
          </cell>
          <cell r="P637" t="str">
            <v>2021/344-0054-01</v>
          </cell>
          <cell r="Q637" t="str">
            <v>EST ALMOFADA LIVERPOOL CROCO</v>
          </cell>
          <cell r="R637"/>
          <cell r="S637"/>
          <cell r="T637">
            <v>0.5</v>
          </cell>
          <cell r="U637">
            <v>0.5</v>
          </cell>
          <cell r="V637">
            <v>0</v>
          </cell>
          <cell r="W637">
            <v>0</v>
          </cell>
          <cell r="X637" t="str">
            <v>EST ALMOFADA LIVERPOOL CROCO - 0,5x0,5x0H</v>
          </cell>
          <cell r="Y637">
            <v>837.31</v>
          </cell>
          <cell r="Z637">
            <v>0.5</v>
          </cell>
          <cell r="AA637">
            <v>418.65499999999997</v>
          </cell>
          <cell r="AB637"/>
        </row>
        <row r="638">
          <cell r="C638">
            <v>4</v>
          </cell>
          <cell r="D638">
            <v>6</v>
          </cell>
          <cell r="E638">
            <v>0</v>
          </cell>
          <cell r="F638">
            <v>0</v>
          </cell>
          <cell r="H638">
            <v>0</v>
          </cell>
          <cell r="O638">
            <v>314828</v>
          </cell>
          <cell r="P638" t="str">
            <v>2021/344-0055-01</v>
          </cell>
          <cell r="Q638" t="str">
            <v>EST ALMOFADA LIVERPOOL CROCO</v>
          </cell>
          <cell r="R638"/>
          <cell r="S638"/>
          <cell r="T638">
            <v>0.5</v>
          </cell>
          <cell r="U638">
            <v>0.5</v>
          </cell>
          <cell r="V638">
            <v>0</v>
          </cell>
          <cell r="W638">
            <v>0</v>
          </cell>
          <cell r="X638" t="str">
            <v>EST ALMOFADA LIVERPOOL CROCO - 0,5x0,5x0H</v>
          </cell>
          <cell r="Y638">
            <v>837.31</v>
          </cell>
          <cell r="Z638">
            <v>0.5</v>
          </cell>
          <cell r="AA638">
            <v>418.65499999999997</v>
          </cell>
          <cell r="AB638"/>
        </row>
        <row r="639">
          <cell r="C639">
            <v>4</v>
          </cell>
          <cell r="D639">
            <v>6</v>
          </cell>
          <cell r="E639">
            <v>0</v>
          </cell>
          <cell r="F639">
            <v>0</v>
          </cell>
          <cell r="H639">
            <v>0</v>
          </cell>
          <cell r="O639">
            <v>314828</v>
          </cell>
          <cell r="P639" t="str">
            <v>2021/344-0056-01</v>
          </cell>
          <cell r="Q639" t="str">
            <v>EST ALMOFADA LIVERPOOL CROCO</v>
          </cell>
          <cell r="R639"/>
          <cell r="S639"/>
          <cell r="T639">
            <v>0.5</v>
          </cell>
          <cell r="U639">
            <v>0.5</v>
          </cell>
          <cell r="V639">
            <v>0</v>
          </cell>
          <cell r="W639">
            <v>0</v>
          </cell>
          <cell r="X639" t="str">
            <v>EST ALMOFADA LIVERPOOL CROCO - 0,5x0,5x0H</v>
          </cell>
          <cell r="Y639">
            <v>837.31</v>
          </cell>
          <cell r="Z639">
            <v>0.5</v>
          </cell>
          <cell r="AA639">
            <v>418.65499999999997</v>
          </cell>
          <cell r="AB639"/>
        </row>
        <row r="640">
          <cell r="C640">
            <v>1</v>
          </cell>
          <cell r="D640">
            <v>4</v>
          </cell>
          <cell r="E640">
            <v>0</v>
          </cell>
          <cell r="F640">
            <v>0</v>
          </cell>
          <cell r="H640">
            <v>0</v>
          </cell>
          <cell r="O640">
            <v>314837</v>
          </cell>
          <cell r="P640" t="str">
            <v>2021/344-0122-01</v>
          </cell>
          <cell r="Q640" t="str">
            <v>EST ALMOFADA RET.LIVERPOOL CROCO PRETO</v>
          </cell>
          <cell r="R640"/>
          <cell r="S640"/>
          <cell r="T640">
            <v>0.6</v>
          </cell>
          <cell r="U640">
            <v>0.4</v>
          </cell>
          <cell r="V640">
            <v>0</v>
          </cell>
          <cell r="W640">
            <v>0</v>
          </cell>
          <cell r="X640" t="str">
            <v>EST ALMOFADA RET.LIVERPOOL CROCO PRETO - 0,6x0,4x0H</v>
          </cell>
          <cell r="Y640">
            <v>877.14</v>
          </cell>
          <cell r="Z640">
            <v>0.5</v>
          </cell>
          <cell r="AA640">
            <v>438.57</v>
          </cell>
          <cell r="AB640"/>
        </row>
        <row r="641">
          <cell r="C641">
            <v>1</v>
          </cell>
          <cell r="D641">
            <v>4</v>
          </cell>
          <cell r="E641">
            <v>0</v>
          </cell>
          <cell r="F641">
            <v>0</v>
          </cell>
          <cell r="H641">
            <v>0</v>
          </cell>
          <cell r="O641">
            <v>314837</v>
          </cell>
          <cell r="P641" t="str">
            <v>2022/150-0114-01</v>
          </cell>
          <cell r="Q641" t="str">
            <v>EST ALMOFADA RET.LIVERPOOL CROCO PRETO</v>
          </cell>
          <cell r="R641"/>
          <cell r="S641"/>
          <cell r="T641">
            <v>0.6</v>
          </cell>
          <cell r="U641">
            <v>0.4</v>
          </cell>
          <cell r="V641">
            <v>0</v>
          </cell>
          <cell r="W641">
            <v>0</v>
          </cell>
          <cell r="X641" t="str">
            <v>EST ALMOFADA RET.LIVERPOOL CROCO PRETO - 0,6x0,4x0H</v>
          </cell>
          <cell r="Y641">
            <v>877.14</v>
          </cell>
          <cell r="Z641">
            <v>0.5</v>
          </cell>
          <cell r="AA641">
            <v>438.57</v>
          </cell>
          <cell r="AB641"/>
        </row>
        <row r="642">
          <cell r="C642">
            <v>1</v>
          </cell>
          <cell r="D642">
            <v>4</v>
          </cell>
          <cell r="E642">
            <v>0</v>
          </cell>
          <cell r="F642">
            <v>0</v>
          </cell>
          <cell r="H642">
            <v>0</v>
          </cell>
          <cell r="O642">
            <v>314837</v>
          </cell>
          <cell r="P642" t="str">
            <v>2022/150-0115-01</v>
          </cell>
          <cell r="Q642" t="str">
            <v>EST ALMOFADA RET.LIVERPOOL CROCO PRETO</v>
          </cell>
          <cell r="R642"/>
          <cell r="S642"/>
          <cell r="T642">
            <v>0.6</v>
          </cell>
          <cell r="U642">
            <v>0.4</v>
          </cell>
          <cell r="V642">
            <v>0</v>
          </cell>
          <cell r="W642">
            <v>0</v>
          </cell>
          <cell r="X642" t="str">
            <v>EST ALMOFADA RET.LIVERPOOL CROCO PRETO - 0,6x0,4x0H</v>
          </cell>
          <cell r="Y642">
            <v>877.14</v>
          </cell>
          <cell r="Z642">
            <v>0.5</v>
          </cell>
          <cell r="AA642">
            <v>438.57</v>
          </cell>
          <cell r="AB642"/>
        </row>
        <row r="643">
          <cell r="C643">
            <v>1</v>
          </cell>
          <cell r="D643">
            <v>4</v>
          </cell>
          <cell r="E643">
            <v>0</v>
          </cell>
          <cell r="F643">
            <v>0</v>
          </cell>
          <cell r="H643">
            <v>0</v>
          </cell>
          <cell r="O643">
            <v>314837</v>
          </cell>
          <cell r="P643" t="str">
            <v>2021/344-0121-01</v>
          </cell>
          <cell r="Q643" t="str">
            <v>EST ALMOFADA RET.LIVERPOOL CROCO PRETO</v>
          </cell>
          <cell r="R643"/>
          <cell r="S643"/>
          <cell r="T643">
            <v>0.6</v>
          </cell>
          <cell r="U643">
            <v>0.4</v>
          </cell>
          <cell r="V643">
            <v>0</v>
          </cell>
          <cell r="W643">
            <v>0</v>
          </cell>
          <cell r="X643" t="str">
            <v>EST ALMOFADA RET.LIVERPOOL CROCO PRETO - 0,6x0,4x0H</v>
          </cell>
          <cell r="Y643">
            <v>877.14</v>
          </cell>
          <cell r="Z643">
            <v>0.5</v>
          </cell>
          <cell r="AA643">
            <v>438.57</v>
          </cell>
          <cell r="AB643"/>
        </row>
        <row r="644">
          <cell r="C644">
            <v>1</v>
          </cell>
          <cell r="D644">
            <v>4</v>
          </cell>
          <cell r="E644">
            <v>0</v>
          </cell>
          <cell r="F644">
            <v>0</v>
          </cell>
          <cell r="H644">
            <v>0</v>
          </cell>
          <cell r="O644">
            <v>314837</v>
          </cell>
          <cell r="P644" t="str">
            <v>2021/344-0123-01</v>
          </cell>
          <cell r="Q644" t="str">
            <v>EST ALMOFADA RET.LIVERPOOL CROCO PRETO</v>
          </cell>
          <cell r="R644"/>
          <cell r="S644"/>
          <cell r="T644">
            <v>0.6</v>
          </cell>
          <cell r="U644">
            <v>0.4</v>
          </cell>
          <cell r="V644">
            <v>0</v>
          </cell>
          <cell r="W644">
            <v>0</v>
          </cell>
          <cell r="X644" t="str">
            <v>EST ALMOFADA RET.LIVERPOOL CROCO PRETO - 0,6x0,4x0H</v>
          </cell>
          <cell r="Y644">
            <v>877.14</v>
          </cell>
          <cell r="Z644">
            <v>0.5</v>
          </cell>
          <cell r="AA644">
            <v>438.57</v>
          </cell>
          <cell r="AB644"/>
        </row>
        <row r="645">
          <cell r="C645">
            <v>1</v>
          </cell>
          <cell r="D645">
            <v>4</v>
          </cell>
          <cell r="E645">
            <v>1</v>
          </cell>
          <cell r="F645">
            <v>0</v>
          </cell>
          <cell r="H645">
            <v>0</v>
          </cell>
          <cell r="O645">
            <v>314838</v>
          </cell>
          <cell r="P645" t="str">
            <v>2025/055-0158-01</v>
          </cell>
          <cell r="Q645" t="str">
            <v>EST ALMOFADA RET.LIVERPOOL MATTE</v>
          </cell>
          <cell r="R645"/>
          <cell r="S645"/>
          <cell r="T645">
            <v>0.6</v>
          </cell>
          <cell r="U645">
            <v>0.4</v>
          </cell>
          <cell r="V645">
            <v>0</v>
          </cell>
          <cell r="W645">
            <v>0</v>
          </cell>
          <cell r="X645" t="str">
            <v>EST ALMOFADA RET.LIVERPOOL MATTE - 0,6x0,4x0H</v>
          </cell>
          <cell r="Y645">
            <v>877.14</v>
          </cell>
          <cell r="Z645">
            <v>0.49999897849736963</v>
          </cell>
          <cell r="AA645">
            <v>438.57089600081719</v>
          </cell>
          <cell r="AB645"/>
        </row>
        <row r="646">
          <cell r="C646">
            <v>1</v>
          </cell>
          <cell r="D646">
            <v>4</v>
          </cell>
          <cell r="E646">
            <v>1</v>
          </cell>
          <cell r="F646">
            <v>0</v>
          </cell>
          <cell r="H646">
            <v>0</v>
          </cell>
          <cell r="O646">
            <v>314838</v>
          </cell>
          <cell r="P646" t="str">
            <v>2025/055-0159-01</v>
          </cell>
          <cell r="Q646" t="str">
            <v>EST ALMOFADA RET.LIVERPOOL MATTE</v>
          </cell>
          <cell r="R646"/>
          <cell r="S646"/>
          <cell r="T646">
            <v>0.6</v>
          </cell>
          <cell r="U646">
            <v>0.4</v>
          </cell>
          <cell r="V646">
            <v>0</v>
          </cell>
          <cell r="W646">
            <v>0</v>
          </cell>
          <cell r="X646" t="str">
            <v>EST ALMOFADA RET.LIVERPOOL MATTE - 0,6x0,4x0H</v>
          </cell>
          <cell r="Y646">
            <v>877.14</v>
          </cell>
          <cell r="Z646">
            <v>0.49999897849736963</v>
          </cell>
          <cell r="AA646">
            <v>438.57089600081719</v>
          </cell>
          <cell r="AB646"/>
        </row>
        <row r="647">
          <cell r="C647">
            <v>1</v>
          </cell>
          <cell r="D647">
            <v>4</v>
          </cell>
          <cell r="E647">
            <v>1</v>
          </cell>
          <cell r="F647">
            <v>0</v>
          </cell>
          <cell r="H647">
            <v>0</v>
          </cell>
          <cell r="O647">
            <v>314838</v>
          </cell>
          <cell r="P647" t="str">
            <v>2025/055-0160-01</v>
          </cell>
          <cell r="Q647" t="str">
            <v>EST ALMOFADA RET.LIVERPOOL MATTE</v>
          </cell>
          <cell r="R647"/>
          <cell r="S647"/>
          <cell r="T647">
            <v>0.6</v>
          </cell>
          <cell r="U647">
            <v>0.4</v>
          </cell>
          <cell r="V647">
            <v>0</v>
          </cell>
          <cell r="W647">
            <v>0</v>
          </cell>
          <cell r="X647" t="str">
            <v>EST ALMOFADA RET.LIVERPOOL MATTE - 0,6x0,4x0H</v>
          </cell>
          <cell r="Y647">
            <v>877.14</v>
          </cell>
          <cell r="Z647">
            <v>0.49999897849736963</v>
          </cell>
          <cell r="AA647">
            <v>438.57089600081719</v>
          </cell>
          <cell r="AB647"/>
        </row>
        <row r="648">
          <cell r="C648">
            <v>1</v>
          </cell>
          <cell r="D648">
            <v>4</v>
          </cell>
          <cell r="E648">
            <v>1</v>
          </cell>
          <cell r="F648">
            <v>0</v>
          </cell>
          <cell r="H648">
            <v>0</v>
          </cell>
          <cell r="O648">
            <v>314838</v>
          </cell>
          <cell r="P648" t="str">
            <v>2025/055-0161-01</v>
          </cell>
          <cell r="Q648" t="str">
            <v>EST ALMOFADA RET.LIVERPOOL MATTE</v>
          </cell>
          <cell r="R648"/>
          <cell r="S648"/>
          <cell r="T648">
            <v>0.6</v>
          </cell>
          <cell r="U648">
            <v>0.4</v>
          </cell>
          <cell r="V648">
            <v>0</v>
          </cell>
          <cell r="W648">
            <v>0</v>
          </cell>
          <cell r="X648" t="str">
            <v>EST ALMOFADA RET.LIVERPOOL MATTE - 0,6x0,4x0H</v>
          </cell>
          <cell r="Y648">
            <v>877.14</v>
          </cell>
          <cell r="Z648">
            <v>0.49999897849736963</v>
          </cell>
          <cell r="AA648">
            <v>438.57089600081719</v>
          </cell>
          <cell r="AB648"/>
        </row>
        <row r="649">
          <cell r="C649">
            <v>0</v>
          </cell>
          <cell r="D649">
            <v>2</v>
          </cell>
          <cell r="E649">
            <v>4</v>
          </cell>
          <cell r="F649">
            <v>0</v>
          </cell>
          <cell r="H649">
            <v>0</v>
          </cell>
          <cell r="O649">
            <v>314841</v>
          </cell>
          <cell r="P649" t="str">
            <v>2021/344-0147-01</v>
          </cell>
          <cell r="Q649" t="str">
            <v>EST ALMOFADA TRESSE AZUL</v>
          </cell>
          <cell r="R649"/>
          <cell r="S649"/>
          <cell r="T649">
            <v>0.5</v>
          </cell>
          <cell r="U649">
            <v>0.5</v>
          </cell>
          <cell r="V649">
            <v>0</v>
          </cell>
          <cell r="W649">
            <v>0</v>
          </cell>
          <cell r="X649" t="str">
            <v>EST ALMOFADA TRESSE AZUL - 0,5x0,5x0H</v>
          </cell>
          <cell r="Y649">
            <v>1320.7</v>
          </cell>
          <cell r="Z649">
            <v>0.5</v>
          </cell>
          <cell r="AA649">
            <v>660.35</v>
          </cell>
          <cell r="AB649"/>
        </row>
        <row r="650">
          <cell r="C650">
            <v>0</v>
          </cell>
          <cell r="D650">
            <v>2</v>
          </cell>
          <cell r="E650">
            <v>4</v>
          </cell>
          <cell r="F650">
            <v>0</v>
          </cell>
          <cell r="H650">
            <v>0</v>
          </cell>
          <cell r="O650">
            <v>314841</v>
          </cell>
          <cell r="P650" t="str">
            <v>2021/344-0148-01</v>
          </cell>
          <cell r="Q650" t="str">
            <v>EST ALMOFADA TRESSE AZUL</v>
          </cell>
          <cell r="R650"/>
          <cell r="S650"/>
          <cell r="T650">
            <v>0.5</v>
          </cell>
          <cell r="U650">
            <v>0.5</v>
          </cell>
          <cell r="V650">
            <v>0</v>
          </cell>
          <cell r="W650">
            <v>0</v>
          </cell>
          <cell r="X650" t="str">
            <v>EST ALMOFADA TRESSE AZUL - 0,5x0,5x0H</v>
          </cell>
          <cell r="Y650">
            <v>1320.7</v>
          </cell>
          <cell r="Z650">
            <v>0.5</v>
          </cell>
          <cell r="AA650">
            <v>660.35</v>
          </cell>
          <cell r="AB650"/>
        </row>
        <row r="651">
          <cell r="C651">
            <v>0</v>
          </cell>
          <cell r="D651">
            <v>1</v>
          </cell>
          <cell r="E651">
            <v>0</v>
          </cell>
          <cell r="F651">
            <v>0</v>
          </cell>
          <cell r="H651">
            <v>0</v>
          </cell>
          <cell r="O651">
            <v>334698</v>
          </cell>
          <cell r="P651" t="str">
            <v>2022/185-0015-01</v>
          </cell>
          <cell r="Q651" t="str">
            <v>EST MESA LATERAL LURI H60 (TP TS NERO/BS LC FSC PRETA)</v>
          </cell>
          <cell r="R651"/>
          <cell r="S651"/>
          <cell r="T651">
            <v>0.6</v>
          </cell>
          <cell r="U651">
            <v>0</v>
          </cell>
          <cell r="V651">
            <v>0.6</v>
          </cell>
          <cell r="W651">
            <v>0.6</v>
          </cell>
          <cell r="X651" t="str">
            <v>EST MESA LATERAL LURI H60 (TP TS NERO/BS LC FSC PRETA) - Ø0,6x0,6H</v>
          </cell>
          <cell r="Y651">
            <v>2692.66</v>
          </cell>
          <cell r="Z651">
            <v>0.5</v>
          </cell>
          <cell r="AA651">
            <v>1346.33</v>
          </cell>
          <cell r="AB651"/>
        </row>
        <row r="652">
          <cell r="C652">
            <v>1</v>
          </cell>
          <cell r="D652">
            <v>1</v>
          </cell>
          <cell r="E652">
            <v>0</v>
          </cell>
          <cell r="F652">
            <v>0</v>
          </cell>
          <cell r="H652">
            <v>0</v>
          </cell>
          <cell r="O652">
            <v>359584</v>
          </cell>
          <cell r="P652" t="str">
            <v>2022/347-0003-01</v>
          </cell>
          <cell r="Q652" t="str">
            <v>EST VASO MATISSE I (OURO VELHO)</v>
          </cell>
          <cell r="R652"/>
          <cell r="S652"/>
          <cell r="T652">
            <v>0.19</v>
          </cell>
          <cell r="U652">
            <v>0.17</v>
          </cell>
          <cell r="V652">
            <v>0.28000000000000003</v>
          </cell>
          <cell r="W652">
            <v>0</v>
          </cell>
          <cell r="X652" t="str">
            <v>EST VASO MATISSE I (OURO VELHO) - 0,19x0,17x0,28H</v>
          </cell>
          <cell r="Y652">
            <v>582.4</v>
          </cell>
          <cell r="Z652">
            <v>0.5</v>
          </cell>
          <cell r="AA652">
            <v>291.2</v>
          </cell>
          <cell r="AB652"/>
        </row>
        <row r="653">
          <cell r="C653">
            <v>1</v>
          </cell>
          <cell r="D653">
            <v>1</v>
          </cell>
          <cell r="E653">
            <v>1</v>
          </cell>
          <cell r="F653">
            <v>1</v>
          </cell>
          <cell r="H653">
            <v>0</v>
          </cell>
          <cell r="O653">
            <v>359585</v>
          </cell>
          <cell r="P653" t="str">
            <v>2022/347-0005-01</v>
          </cell>
          <cell r="Q653" t="str">
            <v>EST VASO MATISSE I (AREIA)</v>
          </cell>
          <cell r="R653"/>
          <cell r="S653"/>
          <cell r="T653">
            <v>0.19</v>
          </cell>
          <cell r="U653">
            <v>0.17</v>
          </cell>
          <cell r="V653">
            <v>0.28000000000000003</v>
          </cell>
          <cell r="W653">
            <v>0</v>
          </cell>
          <cell r="X653" t="str">
            <v>EST VASO MATISSE I (AREIA) - 0,19x0,17x0,28H</v>
          </cell>
          <cell r="Y653">
            <v>582.4</v>
          </cell>
          <cell r="Z653">
            <v>0.5</v>
          </cell>
          <cell r="AA653">
            <v>291.2</v>
          </cell>
          <cell r="AB653"/>
        </row>
        <row r="654">
          <cell r="C654">
            <v>1</v>
          </cell>
          <cell r="D654">
            <v>1</v>
          </cell>
          <cell r="E654">
            <v>1</v>
          </cell>
          <cell r="F654">
            <v>1</v>
          </cell>
          <cell r="H654">
            <v>0</v>
          </cell>
          <cell r="O654">
            <v>359586</v>
          </cell>
          <cell r="P654" t="str">
            <v>2022/347-0011-01</v>
          </cell>
          <cell r="Q654" t="str">
            <v>EST VASO MATISSE II (AREIA)</v>
          </cell>
          <cell r="R654"/>
          <cell r="S654"/>
          <cell r="T654">
            <v>0.16</v>
          </cell>
          <cell r="U654">
            <v>0.14000000000000001</v>
          </cell>
          <cell r="V654">
            <v>0.24</v>
          </cell>
          <cell r="W654">
            <v>0</v>
          </cell>
          <cell r="X654" t="str">
            <v>EST VASO MATISSE II (AREIA) - 0,16x0,14x0,24H</v>
          </cell>
          <cell r="Y654">
            <v>492.8</v>
          </cell>
          <cell r="Z654">
            <v>0.5</v>
          </cell>
          <cell r="AA654">
            <v>246.4</v>
          </cell>
          <cell r="AB654"/>
        </row>
        <row r="655">
          <cell r="C655">
            <v>1</v>
          </cell>
          <cell r="D655">
            <v>1</v>
          </cell>
          <cell r="E655">
            <v>1</v>
          </cell>
          <cell r="F655">
            <v>1</v>
          </cell>
          <cell r="H655">
            <v>0</v>
          </cell>
          <cell r="O655">
            <v>359588</v>
          </cell>
          <cell r="P655" t="str">
            <v>2022/347-0015-01</v>
          </cell>
          <cell r="Q655" t="str">
            <v>EST VASO MATISSE II (OURO VELHO)</v>
          </cell>
          <cell r="R655"/>
          <cell r="S655"/>
          <cell r="T655">
            <v>0.16</v>
          </cell>
          <cell r="U655">
            <v>0.14000000000000001</v>
          </cell>
          <cell r="V655">
            <v>0.24</v>
          </cell>
          <cell r="W655">
            <v>0</v>
          </cell>
          <cell r="X655" t="str">
            <v>EST VASO MATISSE II (OURO VELHO) - 0,16x0,14x0,24H</v>
          </cell>
          <cell r="Y655">
            <v>492.8</v>
          </cell>
          <cell r="Z655">
            <v>0.5</v>
          </cell>
          <cell r="AA655">
            <v>246.4</v>
          </cell>
          <cell r="AB655"/>
        </row>
        <row r="656">
          <cell r="C656">
            <v>1</v>
          </cell>
          <cell r="D656">
            <v>1</v>
          </cell>
          <cell r="E656">
            <v>1</v>
          </cell>
          <cell r="F656">
            <v>1</v>
          </cell>
          <cell r="H656">
            <v>0</v>
          </cell>
          <cell r="O656">
            <v>359589</v>
          </cell>
          <cell r="P656" t="str">
            <v>2022/347-0020-01</v>
          </cell>
          <cell r="Q656" t="str">
            <v>EST VASO MATISSE III (AREIA)</v>
          </cell>
          <cell r="R656"/>
          <cell r="S656"/>
          <cell r="T656">
            <v>0.15</v>
          </cell>
          <cell r="U656">
            <v>0.1</v>
          </cell>
          <cell r="V656">
            <v>0.16</v>
          </cell>
          <cell r="W656">
            <v>0</v>
          </cell>
          <cell r="X656" t="str">
            <v>EST VASO MATISSE III (AREIA) - 0,15x0,1x0,16H</v>
          </cell>
          <cell r="Y656">
            <v>380.8</v>
          </cell>
          <cell r="Z656">
            <v>0.5</v>
          </cell>
          <cell r="AA656">
            <v>190.4</v>
          </cell>
          <cell r="AB656"/>
        </row>
        <row r="657">
          <cell r="C657">
            <v>1</v>
          </cell>
          <cell r="D657">
            <v>1</v>
          </cell>
          <cell r="E657">
            <v>1</v>
          </cell>
          <cell r="F657">
            <v>0</v>
          </cell>
          <cell r="H657">
            <v>0</v>
          </cell>
          <cell r="O657">
            <v>359591</v>
          </cell>
          <cell r="P657" t="str">
            <v>2022/347-0021-01</v>
          </cell>
          <cell r="Q657" t="str">
            <v>EST VASO MATISSE III (OURO VELHO)</v>
          </cell>
          <cell r="R657"/>
          <cell r="S657"/>
          <cell r="T657">
            <v>0.15</v>
          </cell>
          <cell r="U657">
            <v>0.1</v>
          </cell>
          <cell r="V657">
            <v>0.16</v>
          </cell>
          <cell r="W657">
            <v>0</v>
          </cell>
          <cell r="X657" t="str">
            <v>EST VASO MATISSE III (OURO VELHO) - 0,15x0,1x0,16H</v>
          </cell>
          <cell r="Y657">
            <v>380.8</v>
          </cell>
          <cell r="Z657">
            <v>0.5</v>
          </cell>
          <cell r="AA657">
            <v>190.4</v>
          </cell>
          <cell r="AB657"/>
        </row>
        <row r="658">
          <cell r="C658">
            <v>1</v>
          </cell>
          <cell r="D658">
            <v>1</v>
          </cell>
          <cell r="E658">
            <v>0</v>
          </cell>
          <cell r="F658">
            <v>1</v>
          </cell>
          <cell r="H658">
            <v>0</v>
          </cell>
          <cell r="O658">
            <v>359685</v>
          </cell>
          <cell r="P658" t="str">
            <v>2022/347-0029-01</v>
          </cell>
          <cell r="Q658" t="str">
            <v>EST VASO MATISSE II (TRANSPARENTE)</v>
          </cell>
          <cell r="R658"/>
          <cell r="S658"/>
          <cell r="T658">
            <v>0.16</v>
          </cell>
          <cell r="U658">
            <v>0.14000000000000001</v>
          </cell>
          <cell r="V658">
            <v>0.24</v>
          </cell>
          <cell r="W658">
            <v>0</v>
          </cell>
          <cell r="X658" t="str">
            <v>EST VASO MATISSE II (TRANSPARENTE) - 0,16x0,14x0,24H</v>
          </cell>
          <cell r="Y658">
            <v>492.8</v>
          </cell>
          <cell r="Z658">
            <v>0.5</v>
          </cell>
          <cell r="AA658">
            <v>246.4</v>
          </cell>
          <cell r="AB658"/>
        </row>
        <row r="659">
          <cell r="C659">
            <v>1</v>
          </cell>
          <cell r="D659">
            <v>1</v>
          </cell>
          <cell r="E659">
            <v>0</v>
          </cell>
          <cell r="F659">
            <v>1</v>
          </cell>
          <cell r="H659">
            <v>0</v>
          </cell>
          <cell r="O659">
            <v>359686</v>
          </cell>
          <cell r="P659" t="str">
            <v>2022/347-0033-01</v>
          </cell>
          <cell r="Q659" t="str">
            <v>EST VASO MATISSE III (TRANSPARENTE)</v>
          </cell>
          <cell r="R659"/>
          <cell r="S659"/>
          <cell r="T659">
            <v>0.15</v>
          </cell>
          <cell r="U659">
            <v>0.1</v>
          </cell>
          <cell r="V659">
            <v>0.16</v>
          </cell>
          <cell r="W659">
            <v>0</v>
          </cell>
          <cell r="X659" t="str">
            <v>EST VASO MATISSE III (TRANSPARENTE) - 0,15x0,1x0,16H</v>
          </cell>
          <cell r="Y659">
            <v>380.8</v>
          </cell>
          <cell r="Z659">
            <v>0.5</v>
          </cell>
          <cell r="AA659">
            <v>190.4</v>
          </cell>
          <cell r="AB659"/>
        </row>
        <row r="660">
          <cell r="C660">
            <v>1</v>
          </cell>
          <cell r="D660">
            <v>0</v>
          </cell>
          <cell r="E660">
            <v>0</v>
          </cell>
          <cell r="F660">
            <v>0</v>
          </cell>
          <cell r="H660">
            <v>0</v>
          </cell>
          <cell r="O660">
            <v>91205</v>
          </cell>
          <cell r="P660" t="str">
            <v>2013/189-0148-01</v>
          </cell>
          <cell r="Q660" t="str">
            <v>EST CADEIRA PLATTA (TAUARI NATURAL) (TC M9750)</v>
          </cell>
          <cell r="R660"/>
          <cell r="S660"/>
          <cell r="T660">
            <v>0.48</v>
          </cell>
          <cell r="U660">
            <v>0.52</v>
          </cell>
          <cell r="V660">
            <v>0.8</v>
          </cell>
          <cell r="W660">
            <v>0</v>
          </cell>
          <cell r="X660" t="str">
            <v>EST CADEIRA PLATTA (TAUARI NATURAL) (TC M9750) - 0,48x0,52x0,8H</v>
          </cell>
          <cell r="Y660">
            <v>2486.4</v>
          </cell>
          <cell r="Z660">
            <v>0.5</v>
          </cell>
          <cell r="AA660">
            <v>1243.2</v>
          </cell>
          <cell r="AB660"/>
        </row>
        <row r="661">
          <cell r="C661">
            <v>1</v>
          </cell>
          <cell r="D661">
            <v>0</v>
          </cell>
          <cell r="E661">
            <v>0</v>
          </cell>
          <cell r="F661">
            <v>0</v>
          </cell>
          <cell r="H661">
            <v>0</v>
          </cell>
          <cell r="O661">
            <v>94055</v>
          </cell>
          <cell r="P661" t="str">
            <v>2016/055-0017-01</v>
          </cell>
          <cell r="Q661" t="str">
            <v>EST BUFFET SAGRA (TPO ESPELHO CARV MEL C/GAV LC FSC BRANCA)</v>
          </cell>
          <cell r="R661"/>
          <cell r="S661"/>
          <cell r="T661">
            <v>2.48</v>
          </cell>
          <cell r="U661">
            <v>0.45</v>
          </cell>
          <cell r="V661">
            <v>0.7</v>
          </cell>
          <cell r="W661">
            <v>0</v>
          </cell>
          <cell r="X661" t="str">
            <v>EST BUFFET SAGRA (TPO ESPELHO CARV MEL C/GAV LC FSC BRANCA) - 2,48x0,45x0,7H</v>
          </cell>
          <cell r="Y661">
            <v>24235.77</v>
          </cell>
          <cell r="Z661">
            <v>0.5</v>
          </cell>
          <cell r="AA661">
            <v>12117.885</v>
          </cell>
          <cell r="AB661"/>
        </row>
        <row r="662">
          <cell r="C662">
            <v>1</v>
          </cell>
          <cell r="D662">
            <v>1</v>
          </cell>
          <cell r="E662">
            <v>0</v>
          </cell>
          <cell r="F662">
            <v>0</v>
          </cell>
          <cell r="H662">
            <v>0</v>
          </cell>
          <cell r="O662">
            <v>147544</v>
          </cell>
          <cell r="P662" t="str">
            <v>2014/099-0082-01</v>
          </cell>
          <cell r="Q662" t="str">
            <v>EST VASO TYLER G (COD.ZEA-3169A)</v>
          </cell>
          <cell r="R662"/>
          <cell r="S662"/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 t="str">
            <v>EST VASO TYLER G (COD.ZEA-3169A) - Ø0x0H</v>
          </cell>
          <cell r="Y662">
            <v>1613.83</v>
          </cell>
          <cell r="Z662">
            <v>0.5</v>
          </cell>
          <cell r="AA662">
            <v>806.91499999999996</v>
          </cell>
          <cell r="AB662"/>
        </row>
        <row r="663">
          <cell r="C663">
            <v>1</v>
          </cell>
          <cell r="D663">
            <v>1</v>
          </cell>
          <cell r="E663">
            <v>0</v>
          </cell>
          <cell r="F663">
            <v>0</v>
          </cell>
          <cell r="H663">
            <v>0</v>
          </cell>
          <cell r="O663">
            <v>147545</v>
          </cell>
          <cell r="P663" t="str">
            <v>2014/099-0083-01</v>
          </cell>
          <cell r="Q663" t="str">
            <v>EST VASO TYLER M (COD.ZEA-3169B)</v>
          </cell>
          <cell r="R663"/>
          <cell r="S663"/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 t="str">
            <v>EST VASO TYLER M (COD.ZEA-3169B) - Ø0x0H</v>
          </cell>
          <cell r="Y663">
            <v>1423.43</v>
          </cell>
          <cell r="Z663">
            <v>0.5</v>
          </cell>
          <cell r="AA663">
            <v>711.71500000000003</v>
          </cell>
          <cell r="AB663"/>
        </row>
        <row r="664">
          <cell r="C664">
            <v>3</v>
          </cell>
          <cell r="D664">
            <v>6</v>
          </cell>
          <cell r="E664">
            <v>0</v>
          </cell>
          <cell r="F664">
            <v>0</v>
          </cell>
          <cell r="H664">
            <v>0</v>
          </cell>
          <cell r="O664">
            <v>147930</v>
          </cell>
          <cell r="P664" t="str">
            <v>2014/262-0094-01</v>
          </cell>
          <cell r="Q664" t="str">
            <v>EST LUMINARIA PENDENTE DON SEM LAMPADA</v>
          </cell>
          <cell r="R664"/>
          <cell r="S664"/>
          <cell r="T664">
            <v>0.2</v>
          </cell>
          <cell r="U664">
            <v>0.2</v>
          </cell>
          <cell r="V664">
            <v>0.3</v>
          </cell>
          <cell r="W664">
            <v>0</v>
          </cell>
          <cell r="X664" t="str">
            <v>EST LUMINARIA PENDENTE DON SEM LAMPADA - 0,2x0,2x0,3H</v>
          </cell>
          <cell r="Y664">
            <v>5713.34</v>
          </cell>
          <cell r="Z664">
            <v>0.5</v>
          </cell>
          <cell r="AA664">
            <v>2856.67</v>
          </cell>
          <cell r="AB664"/>
        </row>
        <row r="665">
          <cell r="C665">
            <v>3</v>
          </cell>
          <cell r="D665">
            <v>6</v>
          </cell>
          <cell r="E665">
            <v>0</v>
          </cell>
          <cell r="F665">
            <v>0</v>
          </cell>
          <cell r="H665">
            <v>0</v>
          </cell>
          <cell r="O665">
            <v>147930</v>
          </cell>
          <cell r="P665" t="str">
            <v>2014/262-0093-01</v>
          </cell>
          <cell r="Q665" t="str">
            <v>EST LUMINARIA PENDENTE DON SEM LAMPADA</v>
          </cell>
          <cell r="R665"/>
          <cell r="S665"/>
          <cell r="T665">
            <v>0.2</v>
          </cell>
          <cell r="U665">
            <v>0.2</v>
          </cell>
          <cell r="V665">
            <v>0.3</v>
          </cell>
          <cell r="W665">
            <v>0</v>
          </cell>
          <cell r="X665" t="str">
            <v>EST LUMINARIA PENDENTE DON SEM LAMPADA - 0,2x0,2x0,3H</v>
          </cell>
          <cell r="Y665">
            <v>5713.34</v>
          </cell>
          <cell r="Z665">
            <v>0.5</v>
          </cell>
          <cell r="AA665">
            <v>2856.67</v>
          </cell>
          <cell r="AB665"/>
        </row>
        <row r="666">
          <cell r="C666">
            <v>3</v>
          </cell>
          <cell r="D666">
            <v>6</v>
          </cell>
          <cell r="E666">
            <v>0</v>
          </cell>
          <cell r="F666">
            <v>0</v>
          </cell>
          <cell r="H666">
            <v>0</v>
          </cell>
          <cell r="O666">
            <v>147930</v>
          </cell>
          <cell r="P666" t="str">
            <v>2014/262-0095-01</v>
          </cell>
          <cell r="Q666" t="str">
            <v>EST LUMINARIA PENDENTE DON SEM LAMPADA</v>
          </cell>
          <cell r="R666"/>
          <cell r="S666"/>
          <cell r="T666">
            <v>0.2</v>
          </cell>
          <cell r="U666">
            <v>0.2</v>
          </cell>
          <cell r="V666">
            <v>0.3</v>
          </cell>
          <cell r="W666">
            <v>0</v>
          </cell>
          <cell r="X666" t="str">
            <v>EST LUMINARIA PENDENTE DON SEM LAMPADA - 0,2x0,2x0,3H</v>
          </cell>
          <cell r="Y666">
            <v>5713.34</v>
          </cell>
          <cell r="Z666">
            <v>0.5</v>
          </cell>
          <cell r="AA666">
            <v>2856.67</v>
          </cell>
          <cell r="AB666"/>
        </row>
        <row r="667">
          <cell r="C667">
            <v>4</v>
          </cell>
          <cell r="D667">
            <v>0</v>
          </cell>
          <cell r="E667">
            <v>0</v>
          </cell>
          <cell r="F667">
            <v>0</v>
          </cell>
          <cell r="H667">
            <v>0</v>
          </cell>
          <cell r="O667">
            <v>151383</v>
          </cell>
          <cell r="P667" t="str">
            <v>2014/219-0297-01</v>
          </cell>
          <cell r="Q667" t="str">
            <v>EST CADEIRA TIBET (FITA 10MM) ARGILA RASPADO</v>
          </cell>
          <cell r="R667"/>
          <cell r="S667"/>
          <cell r="T667">
            <v>0.44</v>
          </cell>
          <cell r="U667">
            <v>0.55000000000000004</v>
          </cell>
          <cell r="V667">
            <v>0.9</v>
          </cell>
          <cell r="W667">
            <v>0</v>
          </cell>
          <cell r="X667" t="str">
            <v>EST CADEIRA TIBET (FITA 10MM) ARGILA RASPADO - 0,44x0,55x0,9H</v>
          </cell>
          <cell r="Y667">
            <v>4704</v>
          </cell>
          <cell r="Z667">
            <v>0.5</v>
          </cell>
          <cell r="AA667">
            <v>2352</v>
          </cell>
          <cell r="AB667"/>
        </row>
        <row r="668">
          <cell r="C668">
            <v>4</v>
          </cell>
          <cell r="D668">
            <v>0</v>
          </cell>
          <cell r="E668">
            <v>0</v>
          </cell>
          <cell r="F668">
            <v>0</v>
          </cell>
          <cell r="H668">
            <v>0</v>
          </cell>
          <cell r="O668">
            <v>151383</v>
          </cell>
          <cell r="P668" t="str">
            <v>2014/219-0298-01</v>
          </cell>
          <cell r="Q668" t="str">
            <v>EST CADEIRA TIBET (FITA 10MM) ARGILA RASPADO</v>
          </cell>
          <cell r="R668"/>
          <cell r="S668"/>
          <cell r="T668">
            <v>0.44</v>
          </cell>
          <cell r="U668">
            <v>0.55000000000000004</v>
          </cell>
          <cell r="V668">
            <v>0.9</v>
          </cell>
          <cell r="W668">
            <v>0</v>
          </cell>
          <cell r="X668" t="str">
            <v>EST CADEIRA TIBET (FITA 10MM) ARGILA RASPADO - 0,44x0,55x0,9H</v>
          </cell>
          <cell r="Y668">
            <v>4704</v>
          </cell>
          <cell r="Z668">
            <v>0.5</v>
          </cell>
          <cell r="AA668">
            <v>2352</v>
          </cell>
          <cell r="AB668"/>
        </row>
        <row r="669">
          <cell r="C669">
            <v>4</v>
          </cell>
          <cell r="D669">
            <v>0</v>
          </cell>
          <cell r="E669">
            <v>0</v>
          </cell>
          <cell r="F669">
            <v>0</v>
          </cell>
          <cell r="H669">
            <v>0</v>
          </cell>
          <cell r="O669">
            <v>151383</v>
          </cell>
          <cell r="P669" t="str">
            <v>2014/219-0353-01</v>
          </cell>
          <cell r="Q669" t="str">
            <v>EST CADEIRA TIBET (FITA 10MM) ARGILA RASPADO</v>
          </cell>
          <cell r="R669"/>
          <cell r="S669"/>
          <cell r="T669">
            <v>0.44</v>
          </cell>
          <cell r="U669">
            <v>0.55000000000000004</v>
          </cell>
          <cell r="V669">
            <v>0.9</v>
          </cell>
          <cell r="W669">
            <v>0</v>
          </cell>
          <cell r="X669" t="str">
            <v>EST CADEIRA TIBET (FITA 10MM) ARGILA RASPADO - 0,44x0,55x0,9H</v>
          </cell>
          <cell r="Y669">
            <v>4704</v>
          </cell>
          <cell r="Z669">
            <v>0.5</v>
          </cell>
          <cell r="AA669">
            <v>2352</v>
          </cell>
          <cell r="AB669"/>
        </row>
        <row r="670">
          <cell r="C670">
            <v>4</v>
          </cell>
          <cell r="D670">
            <v>0</v>
          </cell>
          <cell r="E670">
            <v>0</v>
          </cell>
          <cell r="F670">
            <v>0</v>
          </cell>
          <cell r="H670">
            <v>0</v>
          </cell>
          <cell r="O670">
            <v>151383</v>
          </cell>
          <cell r="P670" t="str">
            <v>2014/219-0354-01</v>
          </cell>
          <cell r="Q670" t="str">
            <v>EST CADEIRA TIBET (FITA 10MM) ARGILA RASPADO</v>
          </cell>
          <cell r="R670"/>
          <cell r="S670"/>
          <cell r="T670">
            <v>0.44</v>
          </cell>
          <cell r="U670">
            <v>0.55000000000000004</v>
          </cell>
          <cell r="V670">
            <v>0.9</v>
          </cell>
          <cell r="W670">
            <v>0</v>
          </cell>
          <cell r="X670" t="str">
            <v>EST CADEIRA TIBET (FITA 10MM) ARGILA RASPADO - 0,44x0,55x0,9H</v>
          </cell>
          <cell r="Y670">
            <v>4704</v>
          </cell>
          <cell r="Z670">
            <v>0.5</v>
          </cell>
          <cell r="AA670">
            <v>2352</v>
          </cell>
          <cell r="AB670"/>
        </row>
        <row r="671">
          <cell r="C671">
            <v>1</v>
          </cell>
          <cell r="D671">
            <v>0</v>
          </cell>
          <cell r="E671">
            <v>0</v>
          </cell>
          <cell r="F671">
            <v>0</v>
          </cell>
          <cell r="H671">
            <v>2</v>
          </cell>
          <cell r="O671">
            <v>151387</v>
          </cell>
          <cell r="P671" t="str">
            <v>2014/219-0303-01</v>
          </cell>
          <cell r="Q671" t="str">
            <v>EST PUFF BRISTOL (C/ALCA) (FIBRA 10MM) OURO PRETO RASPADO</v>
          </cell>
          <cell r="R671"/>
          <cell r="S671"/>
          <cell r="T671">
            <v>0.4</v>
          </cell>
          <cell r="U671">
            <v>0.4</v>
          </cell>
          <cell r="V671">
            <v>0.4</v>
          </cell>
          <cell r="W671">
            <v>0</v>
          </cell>
          <cell r="X671" t="str">
            <v>EST PUFF BRISTOL (C/ALCA) (FIBRA 10MM) OURO PRETO RASPADO - 0,4x0,4x0,4H</v>
          </cell>
          <cell r="Y671">
            <v>3551.52</v>
          </cell>
          <cell r="Z671">
            <v>0.5</v>
          </cell>
          <cell r="AA671">
            <v>1775.76</v>
          </cell>
          <cell r="AB671"/>
        </row>
        <row r="672">
          <cell r="C672">
            <v>1</v>
          </cell>
          <cell r="D672">
            <v>0</v>
          </cell>
          <cell r="E672">
            <v>0</v>
          </cell>
          <cell r="F672">
            <v>0</v>
          </cell>
          <cell r="H672">
            <v>0</v>
          </cell>
          <cell r="O672">
            <v>151429</v>
          </cell>
          <cell r="P672" t="str">
            <v>2014/238-0054-01</v>
          </cell>
          <cell r="Q672" t="str">
            <v>EST MESA LATERAL DIOR LACA BRILHO GRIS ESPELHO FUME</v>
          </cell>
          <cell r="R672"/>
          <cell r="S672"/>
          <cell r="T672">
            <v>0.9</v>
          </cell>
          <cell r="U672">
            <v>0</v>
          </cell>
          <cell r="V672">
            <v>0.74</v>
          </cell>
          <cell r="W672">
            <v>0.9</v>
          </cell>
          <cell r="X672" t="str">
            <v>EST MESA LATERAL DIOR LACA BRILHO GRIS ESPELHO FUME - Ø0,9x0,74H</v>
          </cell>
          <cell r="Y672">
            <v>8393.06</v>
          </cell>
          <cell r="Z672">
            <v>0.5</v>
          </cell>
          <cell r="AA672">
            <v>4196.53</v>
          </cell>
          <cell r="AB672"/>
        </row>
        <row r="673">
          <cell r="C673">
            <v>2</v>
          </cell>
          <cell r="D673">
            <v>0</v>
          </cell>
          <cell r="E673">
            <v>0</v>
          </cell>
          <cell r="F673">
            <v>0</v>
          </cell>
          <cell r="H673">
            <v>0</v>
          </cell>
          <cell r="O673">
            <v>151508</v>
          </cell>
          <cell r="P673" t="str">
            <v>2014/251-0086-01</v>
          </cell>
          <cell r="Q673" t="str">
            <v>EST POLTRONA FRANCISCO (FIBRA ECOWOOD) TC TAUPE</v>
          </cell>
          <cell r="R673"/>
          <cell r="S673"/>
          <cell r="T673">
            <v>0.56000000000000005</v>
          </cell>
          <cell r="U673">
            <v>0.56000000000000005</v>
          </cell>
          <cell r="V673">
            <v>0.87</v>
          </cell>
          <cell r="W673">
            <v>0</v>
          </cell>
          <cell r="X673" t="str">
            <v>EST POLTRONA FRANCISCO (FIBRA ECOWOOD) TC TAUPE - 0,56x0,56x0,87H</v>
          </cell>
          <cell r="Y673">
            <v>5760.03</v>
          </cell>
          <cell r="Z673">
            <v>0.5</v>
          </cell>
          <cell r="AA673">
            <v>2880.0149999999999</v>
          </cell>
          <cell r="AB673"/>
        </row>
        <row r="674">
          <cell r="C674">
            <v>2</v>
          </cell>
          <cell r="D674">
            <v>0</v>
          </cell>
          <cell r="E674">
            <v>0</v>
          </cell>
          <cell r="F674">
            <v>0</v>
          </cell>
          <cell r="H674">
            <v>0</v>
          </cell>
          <cell r="O674">
            <v>151508</v>
          </cell>
          <cell r="P674" t="str">
            <v>2014/251-0087-01</v>
          </cell>
          <cell r="Q674" t="str">
            <v>EST POLTRONA FRANCISCO (FIBRA ECOWOOD) TC TAUPE</v>
          </cell>
          <cell r="R674"/>
          <cell r="S674"/>
          <cell r="T674">
            <v>0.56000000000000005</v>
          </cell>
          <cell r="U674">
            <v>0.56000000000000005</v>
          </cell>
          <cell r="V674">
            <v>0.87</v>
          </cell>
          <cell r="W674">
            <v>0</v>
          </cell>
          <cell r="X674" t="str">
            <v>EST POLTRONA FRANCISCO (FIBRA ECOWOOD) TC TAUPE - 0,56x0,56x0,87H</v>
          </cell>
          <cell r="Y674">
            <v>5760.03</v>
          </cell>
          <cell r="Z674">
            <v>0.5</v>
          </cell>
          <cell r="AA674">
            <v>2880.0149999999999</v>
          </cell>
          <cell r="AB674"/>
        </row>
        <row r="675">
          <cell r="C675">
            <v>1</v>
          </cell>
          <cell r="D675">
            <v>0</v>
          </cell>
          <cell r="E675">
            <v>0</v>
          </cell>
          <cell r="F675">
            <v>0</v>
          </cell>
          <cell r="H675">
            <v>0</v>
          </cell>
          <cell r="O675">
            <v>163716</v>
          </cell>
          <cell r="P675" t="str">
            <v>2015/154-0077-01</v>
          </cell>
          <cell r="Q675" t="str">
            <v>EST LUMINARIA SAULO (QUAD) TELA NATURAL</v>
          </cell>
          <cell r="R675"/>
          <cell r="S675"/>
          <cell r="T675">
            <v>1.7</v>
          </cell>
          <cell r="U675">
            <v>0.5</v>
          </cell>
          <cell r="V675">
            <v>0.5</v>
          </cell>
          <cell r="W675">
            <v>0</v>
          </cell>
          <cell r="X675" t="str">
            <v>EST LUMINARIA SAULO (QUAD) TELA NATURAL - 1,7x0,5x0,5H</v>
          </cell>
          <cell r="Y675">
            <v>9887.36</v>
          </cell>
          <cell r="Z675">
            <v>0.5</v>
          </cell>
          <cell r="AA675">
            <v>4943.68</v>
          </cell>
          <cell r="AB675"/>
        </row>
        <row r="676">
          <cell r="C676">
            <v>1</v>
          </cell>
          <cell r="D676">
            <v>0</v>
          </cell>
          <cell r="E676">
            <v>0</v>
          </cell>
          <cell r="F676">
            <v>0</v>
          </cell>
          <cell r="H676">
            <v>0</v>
          </cell>
          <cell r="O676">
            <v>182611</v>
          </cell>
          <cell r="P676" t="str">
            <v>2016/019-0060-01</v>
          </cell>
          <cell r="Q676" t="str">
            <v>EST MESA JANTAR ALECRIM (FIBRA ESTONADO TABACO)</v>
          </cell>
          <cell r="R676"/>
          <cell r="S676"/>
          <cell r="T676">
            <v>1.4</v>
          </cell>
          <cell r="U676">
            <v>0</v>
          </cell>
          <cell r="V676">
            <v>0.72</v>
          </cell>
          <cell r="W676">
            <v>1.4</v>
          </cell>
          <cell r="X676" t="str">
            <v>EST MESA JANTAR ALECRIM (FIBRA ESTONADO TABACO) - Ø1,4x0,72H</v>
          </cell>
          <cell r="Y676">
            <v>8601.6</v>
          </cell>
          <cell r="Z676">
            <v>0.5</v>
          </cell>
          <cell r="AA676">
            <v>4300.8</v>
          </cell>
          <cell r="AB676"/>
        </row>
        <row r="677">
          <cell r="C677">
            <v>2</v>
          </cell>
          <cell r="D677">
            <v>1</v>
          </cell>
          <cell r="E677">
            <v>0</v>
          </cell>
          <cell r="F677">
            <v>0</v>
          </cell>
          <cell r="H677">
            <v>0</v>
          </cell>
          <cell r="O677">
            <v>224542</v>
          </cell>
          <cell r="P677" t="str">
            <v>2018/204-0098-01</v>
          </cell>
          <cell r="Q677" t="str">
            <v>EST BANDEJA MAXIXE (MARMORE CALACATA) (BASE ACRILICO)</v>
          </cell>
          <cell r="R677"/>
          <cell r="S677"/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 t="str">
            <v>EST BANDEJA MAXIXE (MARMORE CALACATA) (BASE ACRILICO) - Ø0x0H</v>
          </cell>
          <cell r="Y677">
            <v>4638.82</v>
          </cell>
          <cell r="Z677">
            <v>0.5</v>
          </cell>
          <cell r="AA677">
            <v>2319.41</v>
          </cell>
          <cell r="AB677"/>
        </row>
        <row r="678">
          <cell r="C678">
            <v>2</v>
          </cell>
          <cell r="D678">
            <v>1</v>
          </cell>
          <cell r="E678">
            <v>0</v>
          </cell>
          <cell r="F678">
            <v>0</v>
          </cell>
          <cell r="H678">
            <v>0</v>
          </cell>
          <cell r="O678">
            <v>224542</v>
          </cell>
          <cell r="P678" t="str">
            <v>2018/204-0099-01</v>
          </cell>
          <cell r="Q678" t="str">
            <v>EST BANDEJA MAXIXE (MARMORE CALACATA) (BASE ACRILICO)</v>
          </cell>
          <cell r="R678"/>
          <cell r="S678"/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 t="str">
            <v>EST BANDEJA MAXIXE (MARMORE CALACATA) (BASE ACRILICO) - Ø0x0H</v>
          </cell>
          <cell r="Y678">
            <v>4638.82</v>
          </cell>
          <cell r="Z678">
            <v>0.5</v>
          </cell>
          <cell r="AA678">
            <v>2319.41</v>
          </cell>
          <cell r="AB678"/>
        </row>
        <row r="679">
          <cell r="C679">
            <v>2</v>
          </cell>
          <cell r="D679">
            <v>1</v>
          </cell>
          <cell r="E679">
            <v>0</v>
          </cell>
          <cell r="F679">
            <v>0</v>
          </cell>
          <cell r="H679">
            <v>0</v>
          </cell>
          <cell r="O679">
            <v>229324</v>
          </cell>
          <cell r="P679" t="str">
            <v>2019/060-0048-01</v>
          </cell>
          <cell r="Q679" t="str">
            <v>EST MESA LATERAL SUN FREIJO EBANIZ/LATAO POLIDO</v>
          </cell>
          <cell r="R679"/>
          <cell r="S679"/>
          <cell r="T679">
            <v>0.36</v>
          </cell>
          <cell r="U679">
            <v>0</v>
          </cell>
          <cell r="V679">
            <v>0.55000000000000004</v>
          </cell>
          <cell r="W679">
            <v>0.36</v>
          </cell>
          <cell r="X679" t="str">
            <v>EST MESA LATERAL SUN FREIJO EBANIZ/LATAO POLIDO - Ø0,36x0,55H</v>
          </cell>
          <cell r="Y679">
            <v>10564.78</v>
          </cell>
          <cell r="Z679">
            <v>0.5</v>
          </cell>
          <cell r="AA679">
            <v>5282.39</v>
          </cell>
          <cell r="AB679"/>
        </row>
        <row r="680">
          <cell r="C680">
            <v>2</v>
          </cell>
          <cell r="D680">
            <v>1</v>
          </cell>
          <cell r="E680">
            <v>0</v>
          </cell>
          <cell r="F680">
            <v>0</v>
          </cell>
          <cell r="H680">
            <v>0</v>
          </cell>
          <cell r="O680">
            <v>229324</v>
          </cell>
          <cell r="P680" t="str">
            <v>2019/070-0053-01</v>
          </cell>
          <cell r="Q680" t="str">
            <v>EST MESA LATERAL SUN FREIJO EBANIZ/LATAO POLIDO</v>
          </cell>
          <cell r="R680"/>
          <cell r="S680"/>
          <cell r="T680">
            <v>0.36</v>
          </cell>
          <cell r="U680">
            <v>0</v>
          </cell>
          <cell r="V680">
            <v>0.55000000000000004</v>
          </cell>
          <cell r="W680">
            <v>0.36</v>
          </cell>
          <cell r="X680" t="str">
            <v>EST MESA LATERAL SUN FREIJO EBANIZ/LATAO POLIDO - Ø0,36x0,55H</v>
          </cell>
          <cell r="Y680">
            <v>10564.78</v>
          </cell>
          <cell r="Z680">
            <v>0.5</v>
          </cell>
          <cell r="AA680">
            <v>5282.39</v>
          </cell>
          <cell r="AB680"/>
        </row>
        <row r="681">
          <cell r="C681">
            <v>1</v>
          </cell>
          <cell r="D681">
            <v>0</v>
          </cell>
          <cell r="E681">
            <v>0</v>
          </cell>
          <cell r="F681">
            <v>0</v>
          </cell>
          <cell r="H681">
            <v>0</v>
          </cell>
          <cell r="O681">
            <v>252842</v>
          </cell>
          <cell r="P681" t="str">
            <v>2020/227-0127-01</v>
          </cell>
          <cell r="Q681" t="str">
            <v>EST MESA LATERAL ANELAR (A) Ø38 (TP G3 CARVALHO/GOF PRETO)</v>
          </cell>
          <cell r="R681"/>
          <cell r="S681"/>
          <cell r="T681">
            <v>0.38</v>
          </cell>
          <cell r="U681">
            <v>0</v>
          </cell>
          <cell r="V681">
            <v>0.47</v>
          </cell>
          <cell r="W681">
            <v>0.38</v>
          </cell>
          <cell r="X681" t="str">
            <v>EST MESA LATERAL ANELAR (A) Ø38 (TP G3 CARVALHO/GOF PRETO) - Ø0,38x0,47H</v>
          </cell>
          <cell r="Y681">
            <v>5730.77</v>
          </cell>
          <cell r="Z681">
            <v>0.5</v>
          </cell>
          <cell r="AA681">
            <v>2865.3850000000002</v>
          </cell>
          <cell r="AB681"/>
        </row>
        <row r="682">
          <cell r="C682">
            <v>1</v>
          </cell>
          <cell r="D682">
            <v>0</v>
          </cell>
          <cell r="E682">
            <v>0</v>
          </cell>
          <cell r="F682">
            <v>0</v>
          </cell>
          <cell r="H682">
            <v>0</v>
          </cell>
          <cell r="O682">
            <v>252844</v>
          </cell>
          <cell r="P682" t="str">
            <v>2019/322-0051-01</v>
          </cell>
          <cell r="Q682" t="str">
            <v>EST MESA LATERAL ANELAR (C) Ø48 (TP G3 CARVALHO/GOF PRETO)</v>
          </cell>
          <cell r="R682"/>
          <cell r="S682"/>
          <cell r="T682">
            <v>0.48</v>
          </cell>
          <cell r="U682">
            <v>0</v>
          </cell>
          <cell r="V682">
            <v>0.56999999999999995</v>
          </cell>
          <cell r="W682">
            <v>0.48</v>
          </cell>
          <cell r="X682" t="str">
            <v>EST MESA LATERAL ANELAR (C) Ø48 (TP G3 CARVALHO/GOF PRETO) - Ø0,48x0,57H</v>
          </cell>
          <cell r="Y682">
            <v>6244.63</v>
          </cell>
          <cell r="Z682">
            <v>0.5</v>
          </cell>
          <cell r="AA682">
            <v>3122.3150000000001</v>
          </cell>
          <cell r="AB682"/>
        </row>
        <row r="683">
          <cell r="C683">
            <v>1</v>
          </cell>
          <cell r="D683">
            <v>0</v>
          </cell>
          <cell r="E683">
            <v>0</v>
          </cell>
          <cell r="F683">
            <v>0</v>
          </cell>
          <cell r="H683">
            <v>0</v>
          </cell>
          <cell r="O683">
            <v>255067</v>
          </cell>
          <cell r="P683" t="str">
            <v>2020/051-0047-01</v>
          </cell>
          <cell r="Q683" t="str">
            <v>EST HOME ARCHI (FREIJO CLARO)</v>
          </cell>
          <cell r="R683"/>
          <cell r="S683"/>
          <cell r="T683">
            <v>2.6</v>
          </cell>
          <cell r="U683">
            <v>0.51</v>
          </cell>
          <cell r="V683">
            <v>0.55000000000000004</v>
          </cell>
          <cell r="W683">
            <v>0</v>
          </cell>
          <cell r="X683" t="str">
            <v>EST HOME ARCHI (FREIJO CLARO) - 2,6x0,51x0,55H</v>
          </cell>
          <cell r="Y683">
            <v>43217.57</v>
          </cell>
          <cell r="Z683">
            <v>0.5</v>
          </cell>
          <cell r="AA683">
            <v>21608.785</v>
          </cell>
          <cell r="AB683"/>
        </row>
        <row r="684">
          <cell r="C684">
            <v>1</v>
          </cell>
          <cell r="D684">
            <v>0</v>
          </cell>
          <cell r="E684">
            <v>0</v>
          </cell>
          <cell r="F684">
            <v>0</v>
          </cell>
          <cell r="H684">
            <v>0</v>
          </cell>
          <cell r="O684">
            <v>255071</v>
          </cell>
          <cell r="P684" t="str">
            <v>2020/051-0050-01</v>
          </cell>
          <cell r="Q684" t="str">
            <v>EST MESA CENTRO ARCHI (FREIJO CLARO)</v>
          </cell>
          <cell r="R684"/>
          <cell r="S684"/>
          <cell r="T684">
            <v>1.8</v>
          </cell>
          <cell r="U684">
            <v>0.9</v>
          </cell>
          <cell r="V684">
            <v>0.35</v>
          </cell>
          <cell r="W684">
            <v>0</v>
          </cell>
          <cell r="X684" t="str">
            <v>EST MESA CENTRO ARCHI (FREIJO CLARO) - 1,8x0,9x0,35H</v>
          </cell>
          <cell r="Y684">
            <v>28191.74</v>
          </cell>
          <cell r="Z684">
            <v>0.5</v>
          </cell>
          <cell r="AA684">
            <v>14095.87</v>
          </cell>
          <cell r="AB684"/>
        </row>
        <row r="685">
          <cell r="C685">
            <v>2</v>
          </cell>
          <cell r="D685">
            <v>0</v>
          </cell>
          <cell r="E685">
            <v>0</v>
          </cell>
          <cell r="F685">
            <v>0</v>
          </cell>
          <cell r="H685">
            <v>0</v>
          </cell>
          <cell r="O685">
            <v>257389</v>
          </cell>
          <cell r="P685" t="str">
            <v>2020/105-0025-01</v>
          </cell>
          <cell r="Q685" t="str">
            <v>EST MESA LATERAL CONECT TAMPO CARVALHO PRETO/DET LATAO</v>
          </cell>
          <cell r="R685"/>
          <cell r="S685"/>
          <cell r="T685">
            <v>0.6</v>
          </cell>
          <cell r="U685">
            <v>0</v>
          </cell>
          <cell r="V685">
            <v>0.6</v>
          </cell>
          <cell r="W685">
            <v>0.6</v>
          </cell>
          <cell r="X685" t="str">
            <v>EST MESA LATERAL CONECT TAMPO CARVALHO PRETO/DET LATAO - Ø0,6x0,6H</v>
          </cell>
          <cell r="Y685">
            <v>11019.19</v>
          </cell>
          <cell r="Z685">
            <v>0.5</v>
          </cell>
          <cell r="AA685">
            <v>5509.5950000000003</v>
          </cell>
          <cell r="AB685"/>
        </row>
        <row r="686">
          <cell r="C686">
            <v>6</v>
          </cell>
          <cell r="D686">
            <v>0</v>
          </cell>
          <cell r="E686">
            <v>0</v>
          </cell>
          <cell r="F686">
            <v>0</v>
          </cell>
          <cell r="H686">
            <v>2</v>
          </cell>
          <cell r="O686">
            <v>270562</v>
          </cell>
          <cell r="P686" t="str">
            <v>2020/350-0023-01</v>
          </cell>
          <cell r="Q686" t="str">
            <v>EST CADEIRA LUIZA C/BRACO COU 2 MARROM ENVELH/JEQ CAST CLARO</v>
          </cell>
          <cell r="R686"/>
          <cell r="S686"/>
          <cell r="T686">
            <v>0.59</v>
          </cell>
          <cell r="U686">
            <v>0.56000000000000005</v>
          </cell>
          <cell r="V686">
            <v>0.74</v>
          </cell>
          <cell r="W686">
            <v>0</v>
          </cell>
          <cell r="X686" t="str">
            <v>EST CADEIRA LUIZA C/BRACO COU 2 MARROM ENVELH/JEQ CAST CLARO - 0,59x0,56x0,74H</v>
          </cell>
          <cell r="Y686">
            <v>9433.94</v>
          </cell>
          <cell r="Z686">
            <v>0.5</v>
          </cell>
          <cell r="AA686">
            <v>4716.97</v>
          </cell>
          <cell r="AB686"/>
        </row>
        <row r="687">
          <cell r="C687">
            <v>6</v>
          </cell>
          <cell r="D687">
            <v>0</v>
          </cell>
          <cell r="E687">
            <v>0</v>
          </cell>
          <cell r="F687">
            <v>0</v>
          </cell>
          <cell r="H687">
            <v>2</v>
          </cell>
          <cell r="O687">
            <v>270562</v>
          </cell>
          <cell r="P687" t="str">
            <v>2020/352-0042-01</v>
          </cell>
          <cell r="Q687" t="str">
            <v>EST CADEIRA LUIZA C/BRACO COU 2 MARROM ENVELH/JEQ CAST CLARO</v>
          </cell>
          <cell r="R687"/>
          <cell r="S687"/>
          <cell r="T687">
            <v>0.59</v>
          </cell>
          <cell r="U687">
            <v>0.56000000000000005</v>
          </cell>
          <cell r="V687">
            <v>0.74</v>
          </cell>
          <cell r="W687">
            <v>0</v>
          </cell>
          <cell r="X687" t="str">
            <v>EST CADEIRA LUIZA C/BRACO COU 2 MARROM ENVELH/JEQ CAST CLARO - 0,59x0,56x0,74H</v>
          </cell>
          <cell r="Y687">
            <v>9433.94</v>
          </cell>
          <cell r="Z687">
            <v>0.5</v>
          </cell>
          <cell r="AA687">
            <v>4716.97</v>
          </cell>
          <cell r="AB687"/>
        </row>
        <row r="688">
          <cell r="C688">
            <v>6</v>
          </cell>
          <cell r="D688">
            <v>0</v>
          </cell>
          <cell r="E688">
            <v>0</v>
          </cell>
          <cell r="F688">
            <v>0</v>
          </cell>
          <cell r="H688">
            <v>2</v>
          </cell>
          <cell r="O688">
            <v>270562</v>
          </cell>
          <cell r="P688" t="str">
            <v>2020/352-0044-01</v>
          </cell>
          <cell r="Q688" t="str">
            <v>EST CADEIRA LUIZA C/BRACO COU 2 MARROM ENVELH/JEQ CAST CLARO</v>
          </cell>
          <cell r="R688"/>
          <cell r="S688"/>
          <cell r="T688">
            <v>0.59</v>
          </cell>
          <cell r="U688">
            <v>0.56000000000000005</v>
          </cell>
          <cell r="V688">
            <v>0.74</v>
          </cell>
          <cell r="W688">
            <v>0</v>
          </cell>
          <cell r="X688" t="str">
            <v>EST CADEIRA LUIZA C/BRACO COU 2 MARROM ENVELH/JEQ CAST CLARO - 0,59x0,56x0,74H</v>
          </cell>
          <cell r="Y688">
            <v>9433.94</v>
          </cell>
          <cell r="Z688">
            <v>0.5</v>
          </cell>
          <cell r="AA688">
            <v>4716.97</v>
          </cell>
          <cell r="AB688"/>
        </row>
        <row r="689">
          <cell r="C689">
            <v>6</v>
          </cell>
          <cell r="D689">
            <v>0</v>
          </cell>
          <cell r="E689">
            <v>0</v>
          </cell>
          <cell r="F689">
            <v>0</v>
          </cell>
          <cell r="H689">
            <v>2</v>
          </cell>
          <cell r="O689">
            <v>270562</v>
          </cell>
          <cell r="P689" t="str">
            <v>2020/352-0045-01</v>
          </cell>
          <cell r="Q689" t="str">
            <v>EST CADEIRA LUIZA C/BRACO COU 2 MARROM ENVELH/JEQ CAST CLARO</v>
          </cell>
          <cell r="R689"/>
          <cell r="S689"/>
          <cell r="T689">
            <v>0.59</v>
          </cell>
          <cell r="U689">
            <v>0.56000000000000005</v>
          </cell>
          <cell r="V689">
            <v>0.74</v>
          </cell>
          <cell r="W689">
            <v>0</v>
          </cell>
          <cell r="X689" t="str">
            <v>EST CADEIRA LUIZA C/BRACO COU 2 MARROM ENVELH/JEQ CAST CLARO - 0,59x0,56x0,74H</v>
          </cell>
          <cell r="Y689">
            <v>9433.94</v>
          </cell>
          <cell r="Z689">
            <v>0.5</v>
          </cell>
          <cell r="AA689">
            <v>4716.97</v>
          </cell>
          <cell r="AB689"/>
        </row>
        <row r="690">
          <cell r="C690">
            <v>6</v>
          </cell>
          <cell r="D690">
            <v>0</v>
          </cell>
          <cell r="E690">
            <v>0</v>
          </cell>
          <cell r="F690">
            <v>0</v>
          </cell>
          <cell r="H690">
            <v>2</v>
          </cell>
          <cell r="O690">
            <v>270562</v>
          </cell>
          <cell r="P690" t="str">
            <v>2020/352-0046-01</v>
          </cell>
          <cell r="Q690" t="str">
            <v>EST CADEIRA LUIZA C/BRACO COU 2 MARROM ENVELH/JEQ CAST CLARO</v>
          </cell>
          <cell r="R690"/>
          <cell r="S690"/>
          <cell r="T690">
            <v>0.59</v>
          </cell>
          <cell r="U690">
            <v>0.56000000000000005</v>
          </cell>
          <cell r="V690">
            <v>0.74</v>
          </cell>
          <cell r="W690">
            <v>0</v>
          </cell>
          <cell r="X690" t="str">
            <v>EST CADEIRA LUIZA C/BRACO COU 2 MARROM ENVELH/JEQ CAST CLARO - 0,59x0,56x0,74H</v>
          </cell>
          <cell r="Y690">
            <v>9433.94</v>
          </cell>
          <cell r="Z690">
            <v>0.5</v>
          </cell>
          <cell r="AA690">
            <v>4716.97</v>
          </cell>
          <cell r="AB690"/>
        </row>
        <row r="691">
          <cell r="C691">
            <v>6</v>
          </cell>
          <cell r="D691">
            <v>0</v>
          </cell>
          <cell r="E691">
            <v>0</v>
          </cell>
          <cell r="F691">
            <v>0</v>
          </cell>
          <cell r="H691">
            <v>2</v>
          </cell>
          <cell r="O691">
            <v>270562</v>
          </cell>
          <cell r="P691" t="str">
            <v>2020/352-0043-01</v>
          </cell>
          <cell r="Q691" t="str">
            <v>EST CADEIRA LUIZA C/BRACO COU 2 MARROM ENVELH/JEQ CAST CLARO</v>
          </cell>
          <cell r="R691"/>
          <cell r="S691"/>
          <cell r="T691">
            <v>0.59</v>
          </cell>
          <cell r="U691">
            <v>0.56000000000000005</v>
          </cell>
          <cell r="V691">
            <v>0.74</v>
          </cell>
          <cell r="W691">
            <v>0</v>
          </cell>
          <cell r="X691" t="str">
            <v>EST CADEIRA LUIZA C/BRACO COU 2 MARROM ENVELH/JEQ CAST CLARO - 0,59x0,56x0,74H</v>
          </cell>
          <cell r="Y691">
            <v>9433.94</v>
          </cell>
          <cell r="Z691">
            <v>0.5</v>
          </cell>
          <cell r="AA691">
            <v>4716.97</v>
          </cell>
          <cell r="AB691"/>
        </row>
        <row r="692">
          <cell r="C692">
            <v>1</v>
          </cell>
          <cell r="D692">
            <v>0</v>
          </cell>
          <cell r="E692">
            <v>1</v>
          </cell>
          <cell r="F692">
            <v>0</v>
          </cell>
          <cell r="H692">
            <v>0</v>
          </cell>
          <cell r="O692">
            <v>271719</v>
          </cell>
          <cell r="P692" t="str">
            <v>2021/013-0043-01</v>
          </cell>
          <cell r="Q692" t="str">
            <v>EST ABATJOUR DUE INOX BOWL METAL</v>
          </cell>
          <cell r="R692"/>
          <cell r="S692"/>
          <cell r="T692">
            <v>0.19</v>
          </cell>
          <cell r="U692">
            <v>0.19</v>
          </cell>
          <cell r="V692">
            <v>0.67</v>
          </cell>
          <cell r="W692">
            <v>0</v>
          </cell>
          <cell r="X692" t="str">
            <v>EST ABATJOUR DUE INOX BOWL METAL - 0,19x0,19x0,67H</v>
          </cell>
          <cell r="Y692">
            <v>3609.63</v>
          </cell>
          <cell r="Z692">
            <v>0.5</v>
          </cell>
          <cell r="AA692">
            <v>1804.8150000000001</v>
          </cell>
          <cell r="AB692"/>
        </row>
        <row r="693">
          <cell r="C693">
            <v>2</v>
          </cell>
          <cell r="D693">
            <v>0</v>
          </cell>
          <cell r="E693">
            <v>2</v>
          </cell>
          <cell r="F693">
            <v>0</v>
          </cell>
          <cell r="H693">
            <v>0</v>
          </cell>
          <cell r="O693">
            <v>271720</v>
          </cell>
          <cell r="P693" t="str">
            <v>2020/353-0064-01</v>
          </cell>
          <cell r="Q693" t="str">
            <v>EST ABATJOUR UNO INOX BS MAD PTO REDOMA VD</v>
          </cell>
          <cell r="R693"/>
          <cell r="S693"/>
          <cell r="T693">
            <v>0.21</v>
          </cell>
          <cell r="U693">
            <v>0.15</v>
          </cell>
          <cell r="V693">
            <v>0.59</v>
          </cell>
          <cell r="W693">
            <v>0</v>
          </cell>
          <cell r="X693" t="str">
            <v>EST ABATJOUR UNO INOX BS MAD PTO REDOMA VD - 0,21x0,15x0,59H</v>
          </cell>
          <cell r="Y693">
            <v>2862.81</v>
          </cell>
          <cell r="Z693">
            <v>0.5</v>
          </cell>
          <cell r="AA693">
            <v>1431.405</v>
          </cell>
          <cell r="AB693"/>
        </row>
        <row r="694">
          <cell r="C694">
            <v>2</v>
          </cell>
          <cell r="D694">
            <v>0</v>
          </cell>
          <cell r="E694">
            <v>2</v>
          </cell>
          <cell r="F694">
            <v>0</v>
          </cell>
          <cell r="H694">
            <v>0</v>
          </cell>
          <cell r="O694">
            <v>271720</v>
          </cell>
          <cell r="P694" t="str">
            <v>2021/013-0045-01</v>
          </cell>
          <cell r="Q694" t="str">
            <v>EST ABATJOUR UNO INOX BS MAD PTO REDOMA VD</v>
          </cell>
          <cell r="R694"/>
          <cell r="S694"/>
          <cell r="T694">
            <v>0.21</v>
          </cell>
          <cell r="U694">
            <v>0.15</v>
          </cell>
          <cell r="V694">
            <v>0.59</v>
          </cell>
          <cell r="W694">
            <v>0</v>
          </cell>
          <cell r="X694" t="str">
            <v>EST ABATJOUR UNO INOX BS MAD PTO REDOMA VD - 0,21x0,15x0,59H</v>
          </cell>
          <cell r="Y694">
            <v>2862.81</v>
          </cell>
          <cell r="Z694">
            <v>0.5</v>
          </cell>
          <cell r="AA694">
            <v>1431.405</v>
          </cell>
          <cell r="AB694"/>
        </row>
        <row r="695">
          <cell r="C695">
            <v>1</v>
          </cell>
          <cell r="D695">
            <v>0</v>
          </cell>
          <cell r="E695">
            <v>0</v>
          </cell>
          <cell r="F695">
            <v>0</v>
          </cell>
          <cell r="H695">
            <v>0</v>
          </cell>
          <cell r="O695">
            <v>274928</v>
          </cell>
          <cell r="P695" t="str">
            <v>2021/078-0040-01</v>
          </cell>
          <cell r="Q695" t="str">
            <v>EST BUFFET X (FREIJO NATURAL)</v>
          </cell>
          <cell r="R695"/>
          <cell r="S695"/>
          <cell r="T695">
            <v>2</v>
          </cell>
          <cell r="U695">
            <v>0.48</v>
          </cell>
          <cell r="V695">
            <v>0.75</v>
          </cell>
          <cell r="W695">
            <v>0</v>
          </cell>
          <cell r="X695" t="str">
            <v>EST BUFFET X (FREIJO NATURAL) - 2x0,48x0,75H</v>
          </cell>
          <cell r="Y695">
            <v>46274.68</v>
          </cell>
          <cell r="Z695">
            <v>0.5</v>
          </cell>
          <cell r="AA695">
            <v>23137.34</v>
          </cell>
          <cell r="AB695"/>
        </row>
        <row r="696">
          <cell r="C696">
            <v>1</v>
          </cell>
          <cell r="D696">
            <v>0</v>
          </cell>
          <cell r="E696">
            <v>0</v>
          </cell>
          <cell r="F696">
            <v>0</v>
          </cell>
          <cell r="H696">
            <v>1</v>
          </cell>
          <cell r="O696">
            <v>275006</v>
          </cell>
          <cell r="P696" t="str">
            <v>2021/165-0083-01</v>
          </cell>
          <cell r="Q696" t="str">
            <v>EST BUFFET BRELL (CORPO CARV OAK ESTN/PT LAMINA) PES MTZ OXI</v>
          </cell>
          <cell r="R696"/>
          <cell r="S696"/>
          <cell r="T696">
            <v>2</v>
          </cell>
          <cell r="U696">
            <v>0.5</v>
          </cell>
          <cell r="V696">
            <v>0.75</v>
          </cell>
          <cell r="W696">
            <v>0</v>
          </cell>
          <cell r="X696" t="str">
            <v>EST BUFFET BRELL (CORPO CARV OAK ESTN/PT LAMINA) PES MTZ OXI - 2x0,5x0,75H</v>
          </cell>
          <cell r="Y696">
            <v>38551.879999999997</v>
          </cell>
          <cell r="Z696">
            <v>0.5</v>
          </cell>
          <cell r="AA696">
            <v>19275.939999999999</v>
          </cell>
          <cell r="AB696"/>
        </row>
        <row r="697">
          <cell r="C697">
            <v>1</v>
          </cell>
          <cell r="D697">
            <v>0</v>
          </cell>
          <cell r="E697">
            <v>0</v>
          </cell>
          <cell r="F697">
            <v>0</v>
          </cell>
          <cell r="H697">
            <v>0</v>
          </cell>
          <cell r="O697">
            <v>275014</v>
          </cell>
          <cell r="P697" t="str">
            <v>2021/162-0037-01</v>
          </cell>
          <cell r="Q697" t="str">
            <v>EST CARRINHO BAR SAVASSI (LAMINADO NOGUEIRA/MTZ OXI)</v>
          </cell>
          <cell r="R697"/>
          <cell r="S697"/>
          <cell r="T697">
            <v>1.5</v>
          </cell>
          <cell r="U697">
            <v>0.45</v>
          </cell>
          <cell r="V697">
            <v>0.8</v>
          </cell>
          <cell r="W697">
            <v>0</v>
          </cell>
          <cell r="X697" t="str">
            <v>EST CARRINHO BAR SAVASSI (LAMINADO NOGUEIRA/MTZ OXI) - 1,5x0,45x0,8H</v>
          </cell>
          <cell r="Y697">
            <v>28016.22</v>
          </cell>
          <cell r="Z697">
            <v>0.5</v>
          </cell>
          <cell r="AA697">
            <v>14008.11</v>
          </cell>
          <cell r="AB697"/>
        </row>
        <row r="698">
          <cell r="C698">
            <v>2</v>
          </cell>
          <cell r="D698">
            <v>0</v>
          </cell>
          <cell r="E698">
            <v>0</v>
          </cell>
          <cell r="F698">
            <v>0</v>
          </cell>
          <cell r="H698">
            <v>0</v>
          </cell>
          <cell r="O698">
            <v>275034</v>
          </cell>
          <cell r="P698" t="str">
            <v>2021/162-0051-01</v>
          </cell>
          <cell r="Q698" t="str">
            <v>EST POLTRONA NORD GIRATORIA (BC FREIJO/MTX PRETO) COUR PRETO</v>
          </cell>
          <cell r="R698"/>
          <cell r="S698"/>
          <cell r="T698">
            <v>0.71</v>
          </cell>
          <cell r="U698">
            <v>0.78</v>
          </cell>
          <cell r="V698">
            <v>0.65</v>
          </cell>
          <cell r="W698">
            <v>0</v>
          </cell>
          <cell r="X698" t="str">
            <v>EST POLTRONA NORD GIRATORIA (BC FREIJO/MTX PRETO) COUR PRETO - 0,71x0,78x0,65H</v>
          </cell>
          <cell r="Y698">
            <v>20610.2</v>
          </cell>
          <cell r="Z698">
            <v>0.5</v>
          </cell>
          <cell r="AA698">
            <v>10305.1</v>
          </cell>
          <cell r="AB698"/>
        </row>
        <row r="699">
          <cell r="C699">
            <v>2</v>
          </cell>
          <cell r="D699">
            <v>0</v>
          </cell>
          <cell r="E699">
            <v>0</v>
          </cell>
          <cell r="F699">
            <v>0</v>
          </cell>
          <cell r="H699">
            <v>0</v>
          </cell>
          <cell r="O699">
            <v>275034</v>
          </cell>
          <cell r="P699" t="str">
            <v>2021/162-0052-01</v>
          </cell>
          <cell r="Q699" t="str">
            <v>EST POLTRONA NORD GIRATORIA (BC FREIJO/MTX PRETO) COUR PRETO</v>
          </cell>
          <cell r="R699"/>
          <cell r="S699"/>
          <cell r="T699">
            <v>0.71</v>
          </cell>
          <cell r="U699">
            <v>0.78</v>
          </cell>
          <cell r="V699">
            <v>0.65</v>
          </cell>
          <cell r="W699">
            <v>0</v>
          </cell>
          <cell r="X699" t="str">
            <v>EST POLTRONA NORD GIRATORIA (BC FREIJO/MTX PRETO) COUR PRETO - 0,71x0,78x0,65H</v>
          </cell>
          <cell r="Y699">
            <v>20610.2</v>
          </cell>
          <cell r="Z699">
            <v>0.5</v>
          </cell>
          <cell r="AA699">
            <v>10305.1</v>
          </cell>
          <cell r="AB699"/>
        </row>
        <row r="700">
          <cell r="C700">
            <v>1</v>
          </cell>
          <cell r="D700">
            <v>1</v>
          </cell>
          <cell r="E700">
            <v>0</v>
          </cell>
          <cell r="F700">
            <v>0</v>
          </cell>
          <cell r="H700">
            <v>0</v>
          </cell>
          <cell r="O700">
            <v>312429</v>
          </cell>
          <cell r="P700" t="str">
            <v>2022/039-0023-01</v>
          </cell>
          <cell r="Q700" t="str">
            <v>EST QUADRO MESA COLORS HORIZONTAL</v>
          </cell>
          <cell r="R700"/>
          <cell r="S700"/>
          <cell r="T700">
            <v>1.3</v>
          </cell>
          <cell r="U700">
            <v>0.9</v>
          </cell>
          <cell r="V700">
            <v>0</v>
          </cell>
          <cell r="W700">
            <v>0</v>
          </cell>
          <cell r="X700" t="str">
            <v>EST QUADRO MESA COLORS HORIZONTAL - 1,3x0,9x0H</v>
          </cell>
          <cell r="Y700">
            <v>3739.68</v>
          </cell>
          <cell r="Z700">
            <v>0.5</v>
          </cell>
          <cell r="AA700">
            <v>1869.84</v>
          </cell>
          <cell r="AB700"/>
        </row>
        <row r="701">
          <cell r="C701">
            <v>1</v>
          </cell>
          <cell r="D701">
            <v>0</v>
          </cell>
          <cell r="E701">
            <v>0</v>
          </cell>
          <cell r="F701">
            <v>0</v>
          </cell>
          <cell r="H701">
            <v>0</v>
          </cell>
          <cell r="O701">
            <v>312430</v>
          </cell>
          <cell r="P701" t="str">
            <v>2022/039-0027-01</v>
          </cell>
          <cell r="Q701" t="str">
            <v>EST QUADRO MESA COLORS VERTICAL</v>
          </cell>
          <cell r="R701"/>
          <cell r="S701"/>
          <cell r="T701">
            <v>1.3</v>
          </cell>
          <cell r="U701">
            <v>0.9</v>
          </cell>
          <cell r="V701">
            <v>0</v>
          </cell>
          <cell r="W701">
            <v>0</v>
          </cell>
          <cell r="X701" t="str">
            <v>EST QUADRO MESA COLORS VERTICAL - 1,3x0,9x0H</v>
          </cell>
          <cell r="Y701">
            <v>3739.68</v>
          </cell>
          <cell r="Z701">
            <v>0.5</v>
          </cell>
          <cell r="AA701">
            <v>1869.84</v>
          </cell>
          <cell r="AB701"/>
        </row>
        <row r="702">
          <cell r="C702">
            <v>1</v>
          </cell>
          <cell r="D702">
            <v>0</v>
          </cell>
          <cell r="E702">
            <v>0</v>
          </cell>
          <cell r="F702">
            <v>0</v>
          </cell>
          <cell r="H702">
            <v>0</v>
          </cell>
          <cell r="O702">
            <v>312431</v>
          </cell>
          <cell r="P702" t="str">
            <v>2022/039-0029-01</v>
          </cell>
          <cell r="Q702" t="str">
            <v>EST QUADRO SAVANA ONCA (LADO DIREITO)</v>
          </cell>
          <cell r="R702"/>
          <cell r="S702"/>
          <cell r="T702">
            <v>1</v>
          </cell>
          <cell r="U702">
            <v>0.7</v>
          </cell>
          <cell r="V702">
            <v>0</v>
          </cell>
          <cell r="W702">
            <v>0</v>
          </cell>
          <cell r="X702" t="str">
            <v>EST QUADRO SAVANA ONCA (LADO DIREITO) - 1x0,7x0H</v>
          </cell>
          <cell r="Y702">
            <v>2676.58</v>
          </cell>
          <cell r="Z702">
            <v>0.5</v>
          </cell>
          <cell r="AA702">
            <v>1338.29</v>
          </cell>
          <cell r="AB702"/>
        </row>
        <row r="703">
          <cell r="C703">
            <v>1</v>
          </cell>
          <cell r="D703">
            <v>0</v>
          </cell>
          <cell r="E703">
            <v>0</v>
          </cell>
          <cell r="F703">
            <v>0</v>
          </cell>
          <cell r="H703">
            <v>0</v>
          </cell>
          <cell r="O703">
            <v>312432</v>
          </cell>
          <cell r="P703" t="str">
            <v>2022/039-0033-01</v>
          </cell>
          <cell r="Q703" t="str">
            <v>EST QUADRO SAVANA ONCA (LADO ESQUERDO)</v>
          </cell>
          <cell r="R703"/>
          <cell r="S703"/>
          <cell r="T703">
            <v>1</v>
          </cell>
          <cell r="U703">
            <v>0.7</v>
          </cell>
          <cell r="V703">
            <v>0</v>
          </cell>
          <cell r="W703">
            <v>0</v>
          </cell>
          <cell r="X703" t="str">
            <v>EST QUADRO SAVANA ONCA (LADO ESQUERDO) - 1x0,7x0H</v>
          </cell>
          <cell r="Y703">
            <v>2676.58</v>
          </cell>
          <cell r="Z703">
            <v>0.5</v>
          </cell>
          <cell r="AA703">
            <v>1338.29</v>
          </cell>
          <cell r="AB703"/>
        </row>
        <row r="704">
          <cell r="C704">
            <v>1</v>
          </cell>
          <cell r="D704">
            <v>0</v>
          </cell>
          <cell r="E704">
            <v>0</v>
          </cell>
          <cell r="F704">
            <v>0</v>
          </cell>
          <cell r="H704">
            <v>1</v>
          </cell>
          <cell r="O704">
            <v>312433</v>
          </cell>
          <cell r="P704" t="str">
            <v>2022/039-0035-01</v>
          </cell>
          <cell r="Q704" t="str">
            <v>EST QUADRO SAVANA TARTARUGA (LADO DIREITO)</v>
          </cell>
          <cell r="R704"/>
          <cell r="S704"/>
          <cell r="T704">
            <v>1</v>
          </cell>
          <cell r="U704">
            <v>0.7</v>
          </cell>
          <cell r="V704">
            <v>0</v>
          </cell>
          <cell r="W704">
            <v>0</v>
          </cell>
          <cell r="X704" t="str">
            <v>EST QUADRO SAVANA TARTARUGA (LADO DIREITO) - 1x0,7x0H</v>
          </cell>
          <cell r="Y704">
            <v>2676.58</v>
          </cell>
          <cell r="Z704">
            <v>0.5</v>
          </cell>
          <cell r="AA704">
            <v>1338.29</v>
          </cell>
          <cell r="AB704"/>
        </row>
        <row r="705">
          <cell r="C705">
            <v>1</v>
          </cell>
          <cell r="D705">
            <v>0</v>
          </cell>
          <cell r="E705">
            <v>0</v>
          </cell>
          <cell r="F705">
            <v>0</v>
          </cell>
          <cell r="H705">
            <v>0</v>
          </cell>
          <cell r="O705">
            <v>312434</v>
          </cell>
          <cell r="P705" t="str">
            <v>2022/039-0038-01</v>
          </cell>
          <cell r="Q705" t="str">
            <v>EST QUADRO SAVANA TARTARUGA (LADO ESQUERDO)</v>
          </cell>
          <cell r="R705"/>
          <cell r="S705"/>
          <cell r="T705">
            <v>1</v>
          </cell>
          <cell r="U705">
            <v>0.7</v>
          </cell>
          <cell r="V705">
            <v>0</v>
          </cell>
          <cell r="W705">
            <v>0</v>
          </cell>
          <cell r="X705" t="str">
            <v>EST QUADRO SAVANA TARTARUGA (LADO ESQUERDO) - 1x0,7x0H</v>
          </cell>
          <cell r="Y705">
            <v>2676.58</v>
          </cell>
          <cell r="Z705">
            <v>0.5</v>
          </cell>
          <cell r="AA705">
            <v>1338.29</v>
          </cell>
          <cell r="AB705"/>
        </row>
        <row r="706">
          <cell r="C706">
            <v>3</v>
          </cell>
          <cell r="D706">
            <v>1</v>
          </cell>
          <cell r="E706">
            <v>0</v>
          </cell>
          <cell r="F706">
            <v>0</v>
          </cell>
          <cell r="H706">
            <v>0</v>
          </cell>
          <cell r="O706">
            <v>312446</v>
          </cell>
          <cell r="P706" t="str">
            <v>2021/354-0006-01</v>
          </cell>
          <cell r="Q706" t="str">
            <v>EST LUMINARIA DE TETO BELL II (3114)</v>
          </cell>
          <cell r="R706"/>
          <cell r="S706"/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 t="str">
            <v>EST LUMINARIA DE TETO BELL II (3114) - Ø0x0H</v>
          </cell>
          <cell r="Y706">
            <v>1904</v>
          </cell>
          <cell r="Z706">
            <v>0.5</v>
          </cell>
          <cell r="AA706">
            <v>952</v>
          </cell>
          <cell r="AB706"/>
        </row>
        <row r="707">
          <cell r="C707">
            <v>3</v>
          </cell>
          <cell r="D707">
            <v>1</v>
          </cell>
          <cell r="E707">
            <v>0</v>
          </cell>
          <cell r="F707">
            <v>0</v>
          </cell>
          <cell r="H707">
            <v>0</v>
          </cell>
          <cell r="O707">
            <v>312446</v>
          </cell>
          <cell r="P707" t="str">
            <v>2021/354-0009-01</v>
          </cell>
          <cell r="Q707" t="str">
            <v>EST LUMINARIA DE TETO BELL II (3114)</v>
          </cell>
          <cell r="R707"/>
          <cell r="S707"/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 t="str">
            <v>EST LUMINARIA DE TETO BELL II (3114) - Ø0x0H</v>
          </cell>
          <cell r="Y707">
            <v>1904</v>
          </cell>
          <cell r="Z707">
            <v>0.5</v>
          </cell>
          <cell r="AA707">
            <v>952</v>
          </cell>
          <cell r="AB707"/>
        </row>
        <row r="708">
          <cell r="C708">
            <v>3</v>
          </cell>
          <cell r="D708">
            <v>1</v>
          </cell>
          <cell r="E708">
            <v>0</v>
          </cell>
          <cell r="F708">
            <v>0</v>
          </cell>
          <cell r="H708">
            <v>0</v>
          </cell>
          <cell r="O708">
            <v>312446</v>
          </cell>
          <cell r="P708" t="str">
            <v>2021/354-0008-01</v>
          </cell>
          <cell r="Q708" t="str">
            <v>EST LUMINARIA DE TETO BELL II (3114)</v>
          </cell>
          <cell r="R708"/>
          <cell r="S708"/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 t="str">
            <v>EST LUMINARIA DE TETO BELL II (3114) - Ø0x0H</v>
          </cell>
          <cell r="Y708">
            <v>1904</v>
          </cell>
          <cell r="Z708">
            <v>0.5</v>
          </cell>
          <cell r="AA708">
            <v>952</v>
          </cell>
          <cell r="AB708"/>
        </row>
        <row r="709">
          <cell r="C709">
            <v>2</v>
          </cell>
          <cell r="D709">
            <v>0</v>
          </cell>
          <cell r="E709">
            <v>0</v>
          </cell>
          <cell r="F709">
            <v>0</v>
          </cell>
          <cell r="H709">
            <v>0</v>
          </cell>
          <cell r="O709">
            <v>312447</v>
          </cell>
          <cell r="P709" t="str">
            <v>2021/354-0017-01</v>
          </cell>
          <cell r="Q709" t="str">
            <v>EST LUMINARIA DE TETO ORB (3121)</v>
          </cell>
          <cell r="R709"/>
          <cell r="S709"/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 t="str">
            <v>EST LUMINARIA DE TETO ORB (3121) - Ø0x0H</v>
          </cell>
          <cell r="Y709">
            <v>1120</v>
          </cell>
          <cell r="Z709">
            <v>0.5</v>
          </cell>
          <cell r="AA709">
            <v>560</v>
          </cell>
          <cell r="AB709"/>
        </row>
        <row r="710">
          <cell r="C710">
            <v>2</v>
          </cell>
          <cell r="D710">
            <v>0</v>
          </cell>
          <cell r="E710">
            <v>0</v>
          </cell>
          <cell r="F710">
            <v>0</v>
          </cell>
          <cell r="H710">
            <v>0</v>
          </cell>
          <cell r="O710">
            <v>312447</v>
          </cell>
          <cell r="P710" t="str">
            <v>2021/354-0018-01</v>
          </cell>
          <cell r="Q710" t="str">
            <v>EST LUMINARIA DE TETO ORB (3121)</v>
          </cell>
          <cell r="R710"/>
          <cell r="S710"/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 t="str">
            <v>EST LUMINARIA DE TETO ORB (3121) - Ø0x0H</v>
          </cell>
          <cell r="Y710">
            <v>1120</v>
          </cell>
          <cell r="Z710">
            <v>0.5</v>
          </cell>
          <cell r="AA710">
            <v>560</v>
          </cell>
          <cell r="AB710"/>
        </row>
        <row r="711">
          <cell r="C711">
            <v>1</v>
          </cell>
          <cell r="D711">
            <v>4</v>
          </cell>
          <cell r="E711">
            <v>0</v>
          </cell>
          <cell r="F711">
            <v>0</v>
          </cell>
          <cell r="H711">
            <v>0</v>
          </cell>
          <cell r="O711">
            <v>314837</v>
          </cell>
          <cell r="P711" t="str">
            <v>2021/344-0124-01</v>
          </cell>
          <cell r="Q711" t="str">
            <v>EST ALMOFADA RET.LIVERPOOL CROCO PRETO</v>
          </cell>
          <cell r="R711"/>
          <cell r="S711"/>
          <cell r="T711">
            <v>0.6</v>
          </cell>
          <cell r="U711">
            <v>0.4</v>
          </cell>
          <cell r="V711">
            <v>0</v>
          </cell>
          <cell r="W711">
            <v>0</v>
          </cell>
          <cell r="X711" t="str">
            <v>EST ALMOFADA RET.LIVERPOOL CROCO PRETO - 0,6x0,4x0H</v>
          </cell>
          <cell r="Y711">
            <v>877.14</v>
          </cell>
          <cell r="Z711">
            <v>0.5</v>
          </cell>
          <cell r="AA711">
            <v>438.57</v>
          </cell>
          <cell r="AB711"/>
        </row>
        <row r="712">
          <cell r="C712">
            <v>1</v>
          </cell>
          <cell r="D712">
            <v>4</v>
          </cell>
          <cell r="E712">
            <v>1</v>
          </cell>
          <cell r="F712">
            <v>0</v>
          </cell>
          <cell r="H712">
            <v>0</v>
          </cell>
          <cell r="O712">
            <v>314838</v>
          </cell>
          <cell r="P712"/>
          <cell r="Q712" t="str">
            <v>EST ALMOFADA RET.LIVERPOOL MATTE</v>
          </cell>
          <cell r="R712"/>
          <cell r="S712"/>
          <cell r="T712">
            <v>0.6</v>
          </cell>
          <cell r="U712">
            <v>0.4</v>
          </cell>
          <cell r="V712">
            <v>0</v>
          </cell>
          <cell r="W712">
            <v>0</v>
          </cell>
          <cell r="X712" t="str">
            <v>EST ALMOFADA RET.LIVERPOOL MATTE - 0,6x0,4x0H</v>
          </cell>
          <cell r="Y712">
            <v>877.14</v>
          </cell>
          <cell r="Z712">
            <v>0.49999897849736963</v>
          </cell>
          <cell r="AA712">
            <v>438.57089600081719</v>
          </cell>
          <cell r="AB712"/>
        </row>
        <row r="713"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H713">
            <v>3</v>
          </cell>
          <cell r="O713">
            <v>316487</v>
          </cell>
          <cell r="P713" t="str">
            <v>2022/041-0023-01</v>
          </cell>
          <cell r="Q713" t="str">
            <v>EST POLTRONA 164 (ASS/ENC TELA SEXTAVADA) (FREIJO NATURAL)</v>
          </cell>
          <cell r="R713"/>
          <cell r="S713"/>
          <cell r="T713">
            <v>0.74</v>
          </cell>
          <cell r="U713">
            <v>0.72</v>
          </cell>
          <cell r="V713">
            <v>0.73</v>
          </cell>
          <cell r="W713">
            <v>0</v>
          </cell>
          <cell r="X713" t="str">
            <v>EST POLTRONA 164 (ASS/ENC TELA SEXTAVADA) (FREIJO NATURAL) - 0,74x0,72x0,73H</v>
          </cell>
          <cell r="Y713">
            <v>14511.88</v>
          </cell>
          <cell r="Z713">
            <v>0.5</v>
          </cell>
          <cell r="AA713">
            <v>7255.94</v>
          </cell>
          <cell r="AB713"/>
        </row>
        <row r="714"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H714">
            <v>3</v>
          </cell>
          <cell r="O714">
            <v>316487</v>
          </cell>
          <cell r="P714" t="str">
            <v>2022/041-0024-01</v>
          </cell>
          <cell r="Q714" t="str">
            <v>EST POLTRONA 164 (ASS/ENC TELA SEXTAVADA) (FREIJO NATURAL)</v>
          </cell>
          <cell r="R714"/>
          <cell r="S714"/>
          <cell r="T714">
            <v>0.74</v>
          </cell>
          <cell r="U714">
            <v>0.72</v>
          </cell>
          <cell r="V714">
            <v>0.73</v>
          </cell>
          <cell r="W714">
            <v>0</v>
          </cell>
          <cell r="X714" t="str">
            <v>EST POLTRONA 164 (ASS/ENC TELA SEXTAVADA) (FREIJO NATURAL) - 0,74x0,72x0,73H</v>
          </cell>
          <cell r="Y714">
            <v>14511.88</v>
          </cell>
          <cell r="Z714">
            <v>0.5</v>
          </cell>
          <cell r="AA714">
            <v>7255.94</v>
          </cell>
          <cell r="AB714"/>
        </row>
        <row r="715">
          <cell r="C715">
            <v>4</v>
          </cell>
          <cell r="D715">
            <v>0</v>
          </cell>
          <cell r="E715">
            <v>0</v>
          </cell>
          <cell r="F715">
            <v>0</v>
          </cell>
          <cell r="H715">
            <v>0</v>
          </cell>
          <cell r="O715">
            <v>317428</v>
          </cell>
          <cell r="P715" t="str">
            <v>2023/156-0020-01</v>
          </cell>
          <cell r="Q715" t="str">
            <v>EST CADEIRA EVO C/BRACO (TAP DISTRESS 20363) (TABACO)</v>
          </cell>
          <cell r="R715"/>
          <cell r="S715"/>
          <cell r="T715">
            <v>0.53</v>
          </cell>
          <cell r="U715">
            <v>0.47</v>
          </cell>
          <cell r="V715">
            <v>0.82</v>
          </cell>
          <cell r="W715">
            <v>0</v>
          </cell>
          <cell r="X715" t="str">
            <v>EST CADEIRA EVO C/BRACO (TAP DISTRESS 20363) (TABACO) - 0,53x0,47x0,82H</v>
          </cell>
          <cell r="Y715">
            <v>6988.67</v>
          </cell>
          <cell r="Z715">
            <v>0.5</v>
          </cell>
          <cell r="AA715">
            <v>3494.335</v>
          </cell>
          <cell r="AB715"/>
        </row>
        <row r="716">
          <cell r="C716">
            <v>4</v>
          </cell>
          <cell r="D716">
            <v>0</v>
          </cell>
          <cell r="E716">
            <v>0</v>
          </cell>
          <cell r="F716">
            <v>0</v>
          </cell>
          <cell r="H716">
            <v>0</v>
          </cell>
          <cell r="O716">
            <v>317428</v>
          </cell>
          <cell r="P716" t="str">
            <v>2023/156-0021-01</v>
          </cell>
          <cell r="Q716" t="str">
            <v>EST CADEIRA EVO C/BRACO (TAP DISTRESS 20363) (TABACO)</v>
          </cell>
          <cell r="R716"/>
          <cell r="S716"/>
          <cell r="T716">
            <v>0.53</v>
          </cell>
          <cell r="U716">
            <v>0.47</v>
          </cell>
          <cell r="V716">
            <v>0.82</v>
          </cell>
          <cell r="W716">
            <v>0</v>
          </cell>
          <cell r="X716" t="str">
            <v>EST CADEIRA EVO C/BRACO (TAP DISTRESS 20363) (TABACO) - 0,53x0,47x0,82H</v>
          </cell>
          <cell r="Y716">
            <v>6988.67</v>
          </cell>
          <cell r="Z716">
            <v>0.5</v>
          </cell>
          <cell r="AA716">
            <v>3494.335</v>
          </cell>
          <cell r="AB716"/>
        </row>
        <row r="717">
          <cell r="C717">
            <v>4</v>
          </cell>
          <cell r="D717">
            <v>0</v>
          </cell>
          <cell r="E717">
            <v>0</v>
          </cell>
          <cell r="F717">
            <v>0</v>
          </cell>
          <cell r="H717">
            <v>0</v>
          </cell>
          <cell r="O717">
            <v>317428</v>
          </cell>
          <cell r="P717" t="str">
            <v>2023/156-0022-01</v>
          </cell>
          <cell r="Q717" t="str">
            <v>EST CADEIRA EVO C/BRACO (TAP DISTRESS 20363) (TABACO)</v>
          </cell>
          <cell r="R717"/>
          <cell r="S717"/>
          <cell r="T717">
            <v>0.53</v>
          </cell>
          <cell r="U717">
            <v>0.47</v>
          </cell>
          <cell r="V717">
            <v>0.82</v>
          </cell>
          <cell r="W717">
            <v>0</v>
          </cell>
          <cell r="X717" t="str">
            <v>EST CADEIRA EVO C/BRACO (TAP DISTRESS 20363) (TABACO) - 0,53x0,47x0,82H</v>
          </cell>
          <cell r="Y717">
            <v>6988.67</v>
          </cell>
          <cell r="Z717">
            <v>0.5</v>
          </cell>
          <cell r="AA717">
            <v>3494.335</v>
          </cell>
          <cell r="AB717"/>
        </row>
        <row r="718">
          <cell r="C718">
            <v>4</v>
          </cell>
          <cell r="D718">
            <v>0</v>
          </cell>
          <cell r="E718">
            <v>0</v>
          </cell>
          <cell r="F718">
            <v>0</v>
          </cell>
          <cell r="H718">
            <v>0</v>
          </cell>
          <cell r="O718">
            <v>317428</v>
          </cell>
          <cell r="P718" t="str">
            <v>2023/156-0023-01</v>
          </cell>
          <cell r="Q718" t="str">
            <v>EST CADEIRA EVO C/BRACO (TAP DISTRESS 20363) (TABACO)</v>
          </cell>
          <cell r="R718"/>
          <cell r="S718"/>
          <cell r="T718">
            <v>0.53</v>
          </cell>
          <cell r="U718">
            <v>0.47</v>
          </cell>
          <cell r="V718">
            <v>0.82</v>
          </cell>
          <cell r="W718">
            <v>0</v>
          </cell>
          <cell r="X718" t="str">
            <v>EST CADEIRA EVO C/BRACO (TAP DISTRESS 20363) (TABACO) - 0,53x0,47x0,82H</v>
          </cell>
          <cell r="Y718">
            <v>6988.67</v>
          </cell>
          <cell r="Z718">
            <v>0.5</v>
          </cell>
          <cell r="AA718">
            <v>3494.335</v>
          </cell>
          <cell r="AB718"/>
        </row>
        <row r="719">
          <cell r="C719">
            <v>1</v>
          </cell>
          <cell r="D719">
            <v>0</v>
          </cell>
          <cell r="E719">
            <v>0</v>
          </cell>
          <cell r="F719">
            <v>0</v>
          </cell>
          <cell r="H719">
            <v>1</v>
          </cell>
          <cell r="O719">
            <v>334354</v>
          </cell>
          <cell r="P719" t="str">
            <v>2022/193-0023-01</v>
          </cell>
          <cell r="Q719" t="str">
            <v>EST POLTRONA 164 (ASS/ENC TELA RETA) (FREIJO ESCURO)</v>
          </cell>
          <cell r="R719"/>
          <cell r="S719"/>
          <cell r="T719">
            <v>0.74</v>
          </cell>
          <cell r="U719">
            <v>0.72</v>
          </cell>
          <cell r="V719">
            <v>0.73</v>
          </cell>
          <cell r="W719">
            <v>0</v>
          </cell>
          <cell r="X719" t="str">
            <v>EST POLTRONA 164 (ASS/ENC TELA RETA) (FREIJO ESCURO) - 0,74x0,72x0,73H</v>
          </cell>
          <cell r="Y719">
            <v>14511.88</v>
          </cell>
          <cell r="Z719">
            <v>0.5</v>
          </cell>
          <cell r="AA719">
            <v>7255.94</v>
          </cell>
          <cell r="AB719"/>
        </row>
        <row r="720">
          <cell r="C720">
            <v>1</v>
          </cell>
          <cell r="D720">
            <v>0</v>
          </cell>
          <cell r="E720">
            <v>0</v>
          </cell>
          <cell r="F720">
            <v>0</v>
          </cell>
          <cell r="H720">
            <v>1</v>
          </cell>
          <cell r="O720">
            <v>334354</v>
          </cell>
          <cell r="P720" t="str">
            <v>2022/193-0024-01</v>
          </cell>
          <cell r="Q720" t="str">
            <v>EST POLTRONA 164 (ASS/ENC TELA RETA) (FREIJO ESCURO)</v>
          </cell>
          <cell r="R720"/>
          <cell r="S720"/>
          <cell r="T720">
            <v>0.74</v>
          </cell>
          <cell r="U720">
            <v>0.72</v>
          </cell>
          <cell r="V720">
            <v>0.73</v>
          </cell>
          <cell r="W720">
            <v>0</v>
          </cell>
          <cell r="X720" t="str">
            <v>EST POLTRONA 164 (ASS/ENC TELA RETA) (FREIJO ESCURO) - 0,74x0,72x0,73H</v>
          </cell>
          <cell r="Y720">
            <v>14511.88</v>
          </cell>
          <cell r="Z720">
            <v>0.5</v>
          </cell>
          <cell r="AA720">
            <v>7255.94</v>
          </cell>
          <cell r="AB720"/>
        </row>
        <row r="721">
          <cell r="C721">
            <v>1</v>
          </cell>
          <cell r="D721">
            <v>0</v>
          </cell>
          <cell r="E721">
            <v>1</v>
          </cell>
          <cell r="F721">
            <v>0</v>
          </cell>
          <cell r="H721">
            <v>1</v>
          </cell>
          <cell r="O721">
            <v>335084</v>
          </cell>
          <cell r="P721" t="str">
            <v>2022/145-0063-01</v>
          </cell>
          <cell r="Q721" t="str">
            <v>EST LUMINARIA PISO TROY (2101) ACO/JEQ NT/CUP LIN OFF WHITE</v>
          </cell>
          <cell r="R721"/>
          <cell r="S721"/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 t="str">
            <v>EST LUMINARIA PISO TROY (2101) ACO/JEQ NT/CUP LIN OFF WHITE - Ø0x0H</v>
          </cell>
          <cell r="Y721">
            <v>5152</v>
          </cell>
          <cell r="Z721">
            <v>0.5</v>
          </cell>
          <cell r="AA721">
            <v>2576</v>
          </cell>
          <cell r="AB721"/>
        </row>
        <row r="722">
          <cell r="C722">
            <v>1</v>
          </cell>
          <cell r="D722">
            <v>1</v>
          </cell>
          <cell r="E722">
            <v>0</v>
          </cell>
          <cell r="F722">
            <v>0</v>
          </cell>
          <cell r="H722">
            <v>0</v>
          </cell>
          <cell r="O722">
            <v>359584</v>
          </cell>
          <cell r="P722" t="str">
            <v>2022/347-0004-01</v>
          </cell>
          <cell r="Q722" t="str">
            <v>EST VASO MATISSE I (OURO VELHO)</v>
          </cell>
          <cell r="R722"/>
          <cell r="S722"/>
          <cell r="T722">
            <v>0.19</v>
          </cell>
          <cell r="U722">
            <v>0.17</v>
          </cell>
          <cell r="V722">
            <v>0.28000000000000003</v>
          </cell>
          <cell r="W722">
            <v>0</v>
          </cell>
          <cell r="X722" t="str">
            <v>EST VASO MATISSE I (OURO VELHO) - 0,19x0,17x0,28H</v>
          </cell>
          <cell r="Y722">
            <v>582.4</v>
          </cell>
          <cell r="Z722">
            <v>0.5</v>
          </cell>
          <cell r="AA722">
            <v>291.2</v>
          </cell>
          <cell r="AB722"/>
        </row>
        <row r="723">
          <cell r="C723">
            <v>1</v>
          </cell>
          <cell r="D723">
            <v>1</v>
          </cell>
          <cell r="E723">
            <v>1</v>
          </cell>
          <cell r="F723">
            <v>1</v>
          </cell>
          <cell r="H723">
            <v>0</v>
          </cell>
          <cell r="O723">
            <v>359585</v>
          </cell>
          <cell r="P723" t="str">
            <v>2022/3470-008-01</v>
          </cell>
          <cell r="Q723" t="str">
            <v>EST VASO MATISSE I (AREIA)</v>
          </cell>
          <cell r="R723"/>
          <cell r="S723"/>
          <cell r="T723">
            <v>0.19</v>
          </cell>
          <cell r="U723">
            <v>0.17</v>
          </cell>
          <cell r="V723">
            <v>0.28000000000000003</v>
          </cell>
          <cell r="W723">
            <v>0</v>
          </cell>
          <cell r="X723" t="str">
            <v>EST VASO MATISSE I (AREIA) - 0,19x0,17x0,28H</v>
          </cell>
          <cell r="Y723">
            <v>582.4</v>
          </cell>
          <cell r="Z723">
            <v>0.5</v>
          </cell>
          <cell r="AA723">
            <v>291.2</v>
          </cell>
          <cell r="AB723"/>
        </row>
        <row r="724">
          <cell r="C724">
            <v>1</v>
          </cell>
          <cell r="D724">
            <v>1</v>
          </cell>
          <cell r="E724">
            <v>1</v>
          </cell>
          <cell r="F724">
            <v>1</v>
          </cell>
          <cell r="H724">
            <v>0</v>
          </cell>
          <cell r="O724">
            <v>359586</v>
          </cell>
          <cell r="P724" t="str">
            <v>2022/3470-012-01</v>
          </cell>
          <cell r="Q724" t="str">
            <v>EST VASO MATISSE II (AREIA)</v>
          </cell>
          <cell r="R724"/>
          <cell r="S724"/>
          <cell r="T724">
            <v>0.16</v>
          </cell>
          <cell r="U724">
            <v>0.14000000000000001</v>
          </cell>
          <cell r="V724">
            <v>0.24</v>
          </cell>
          <cell r="W724">
            <v>0</v>
          </cell>
          <cell r="X724" t="str">
            <v>EST VASO MATISSE II (AREIA) - 0,16x0,14x0,24H</v>
          </cell>
          <cell r="Y724">
            <v>492.8</v>
          </cell>
          <cell r="Z724">
            <v>0.5</v>
          </cell>
          <cell r="AA724">
            <v>246.4</v>
          </cell>
          <cell r="AB724"/>
        </row>
        <row r="725">
          <cell r="C725">
            <v>1</v>
          </cell>
          <cell r="D725">
            <v>1</v>
          </cell>
          <cell r="E725">
            <v>1</v>
          </cell>
          <cell r="F725">
            <v>1</v>
          </cell>
          <cell r="H725">
            <v>0</v>
          </cell>
          <cell r="O725">
            <v>359588</v>
          </cell>
          <cell r="P725" t="str">
            <v>2022/3470-015-01</v>
          </cell>
          <cell r="Q725" t="str">
            <v>EST VASO MATISSE II (OURO VELHO)</v>
          </cell>
          <cell r="R725"/>
          <cell r="S725"/>
          <cell r="T725">
            <v>0.16</v>
          </cell>
          <cell r="U725">
            <v>0.14000000000000001</v>
          </cell>
          <cell r="V725">
            <v>0.24</v>
          </cell>
          <cell r="W725">
            <v>0</v>
          </cell>
          <cell r="X725" t="str">
            <v>EST VASO MATISSE II (OURO VELHO) - 0,16x0,14x0,24H</v>
          </cell>
          <cell r="Y725">
            <v>492.8</v>
          </cell>
          <cell r="Z725">
            <v>0.5</v>
          </cell>
          <cell r="AA725">
            <v>246.4</v>
          </cell>
          <cell r="AB725"/>
        </row>
        <row r="726">
          <cell r="C726">
            <v>1</v>
          </cell>
          <cell r="D726">
            <v>1</v>
          </cell>
          <cell r="E726">
            <v>1</v>
          </cell>
          <cell r="F726">
            <v>1</v>
          </cell>
          <cell r="H726">
            <v>0</v>
          </cell>
          <cell r="O726">
            <v>359589</v>
          </cell>
          <cell r="P726" t="str">
            <v>2022/3470-020-01</v>
          </cell>
          <cell r="Q726" t="str">
            <v>EST VASO MATISSE III (AREIA)</v>
          </cell>
          <cell r="R726"/>
          <cell r="S726"/>
          <cell r="T726">
            <v>0.15</v>
          </cell>
          <cell r="U726">
            <v>0.1</v>
          </cell>
          <cell r="V726">
            <v>0.16</v>
          </cell>
          <cell r="W726">
            <v>0</v>
          </cell>
          <cell r="X726" t="str">
            <v>EST VASO MATISSE III (AREIA) - 0,15x0,1x0,16H</v>
          </cell>
          <cell r="Y726">
            <v>380.8</v>
          </cell>
          <cell r="Z726">
            <v>0.5</v>
          </cell>
          <cell r="AA726">
            <v>190.4</v>
          </cell>
          <cell r="AB726"/>
        </row>
        <row r="727">
          <cell r="C727">
            <v>1</v>
          </cell>
          <cell r="D727">
            <v>1</v>
          </cell>
          <cell r="E727">
            <v>1</v>
          </cell>
          <cell r="F727">
            <v>0</v>
          </cell>
          <cell r="H727">
            <v>0</v>
          </cell>
          <cell r="O727">
            <v>359591</v>
          </cell>
          <cell r="P727" t="str">
            <v>2022/3470-024-01</v>
          </cell>
          <cell r="Q727" t="str">
            <v>EST VASO MATISSE III (OURO VELHO)</v>
          </cell>
          <cell r="R727"/>
          <cell r="S727"/>
          <cell r="T727">
            <v>0.15</v>
          </cell>
          <cell r="U727">
            <v>0.1</v>
          </cell>
          <cell r="V727">
            <v>0.16</v>
          </cell>
          <cell r="W727">
            <v>0</v>
          </cell>
          <cell r="X727" t="str">
            <v>EST VASO MATISSE III (OURO VELHO) - 0,15x0,1x0,16H</v>
          </cell>
          <cell r="Y727">
            <v>380.8</v>
          </cell>
          <cell r="Z727">
            <v>0.5</v>
          </cell>
          <cell r="AA727">
            <v>190.4</v>
          </cell>
          <cell r="AB727"/>
        </row>
        <row r="728">
          <cell r="C728">
            <v>1</v>
          </cell>
          <cell r="D728">
            <v>0</v>
          </cell>
          <cell r="E728">
            <v>0</v>
          </cell>
          <cell r="F728">
            <v>1</v>
          </cell>
          <cell r="H728">
            <v>0</v>
          </cell>
          <cell r="O728">
            <v>359684</v>
          </cell>
          <cell r="P728" t="str">
            <v>2022/3470-028-01</v>
          </cell>
          <cell r="Q728" t="str">
            <v>EST VASO MATISSE I (TRANSPARENTE)</v>
          </cell>
          <cell r="R728"/>
          <cell r="S728"/>
          <cell r="T728">
            <v>0.19</v>
          </cell>
          <cell r="U728">
            <v>0.17</v>
          </cell>
          <cell r="V728">
            <v>0.28000000000000003</v>
          </cell>
          <cell r="W728">
            <v>0</v>
          </cell>
          <cell r="X728" t="str">
            <v>EST VASO MATISSE I (TRANSPARENTE) - 0,19x0,17x0,28H</v>
          </cell>
          <cell r="Y728">
            <v>582.4</v>
          </cell>
          <cell r="Z728">
            <v>0.5</v>
          </cell>
          <cell r="AA728">
            <v>291.2</v>
          </cell>
          <cell r="AB728"/>
        </row>
        <row r="729">
          <cell r="C729">
            <v>1</v>
          </cell>
          <cell r="D729">
            <v>1</v>
          </cell>
          <cell r="E729">
            <v>0</v>
          </cell>
          <cell r="F729">
            <v>1</v>
          </cell>
          <cell r="H729">
            <v>0</v>
          </cell>
          <cell r="O729">
            <v>359685</v>
          </cell>
          <cell r="P729" t="str">
            <v>2022/3470-032-01</v>
          </cell>
          <cell r="Q729" t="str">
            <v>EST VASO MATISSE II (TRANSPARENTE)</v>
          </cell>
          <cell r="R729"/>
          <cell r="S729"/>
          <cell r="T729">
            <v>0.16</v>
          </cell>
          <cell r="U729">
            <v>0.14000000000000001</v>
          </cell>
          <cell r="V729">
            <v>0.24</v>
          </cell>
          <cell r="W729">
            <v>0</v>
          </cell>
          <cell r="X729" t="str">
            <v>EST VASO MATISSE II (TRANSPARENTE) - 0,16x0,14x0,24H</v>
          </cell>
          <cell r="Y729">
            <v>492.8</v>
          </cell>
          <cell r="Z729">
            <v>0.5</v>
          </cell>
          <cell r="AA729">
            <v>246.4</v>
          </cell>
          <cell r="AB729"/>
        </row>
        <row r="730">
          <cell r="C730">
            <v>1</v>
          </cell>
          <cell r="D730">
            <v>1</v>
          </cell>
          <cell r="E730">
            <v>0</v>
          </cell>
          <cell r="F730">
            <v>1</v>
          </cell>
          <cell r="H730">
            <v>0</v>
          </cell>
          <cell r="O730">
            <v>359686</v>
          </cell>
          <cell r="P730" t="str">
            <v>2022/3470-034-01</v>
          </cell>
          <cell r="Q730" t="str">
            <v>EST VASO MATISSE III (TRANSPARENTE)</v>
          </cell>
          <cell r="R730"/>
          <cell r="S730"/>
          <cell r="T730">
            <v>0.15</v>
          </cell>
          <cell r="U730">
            <v>0.1</v>
          </cell>
          <cell r="V730">
            <v>0.16</v>
          </cell>
          <cell r="W730">
            <v>0</v>
          </cell>
          <cell r="X730" t="str">
            <v>EST VASO MATISSE III (TRANSPARENTE) - 0,15x0,1x0,16H</v>
          </cell>
          <cell r="Y730">
            <v>380.8</v>
          </cell>
          <cell r="Z730">
            <v>0.5</v>
          </cell>
          <cell r="AA730">
            <v>190.4</v>
          </cell>
          <cell r="AB730"/>
        </row>
        <row r="731">
          <cell r="C731">
            <v>1</v>
          </cell>
          <cell r="D731">
            <v>0</v>
          </cell>
          <cell r="E731">
            <v>0</v>
          </cell>
          <cell r="F731">
            <v>1</v>
          </cell>
          <cell r="H731">
            <v>1</v>
          </cell>
          <cell r="O731">
            <v>361311</v>
          </cell>
          <cell r="P731" t="str">
            <v>2023/033-0004-01</v>
          </cell>
          <cell r="Q731" t="str">
            <v>EST ACESSORIO VYS (MARMORE ROSA PARANA)</v>
          </cell>
          <cell r="R731"/>
          <cell r="S731"/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 t="str">
            <v>EST ACESSORIO VYS (MARMORE ROSA PARANA) - Ø0x0H</v>
          </cell>
          <cell r="Y731">
            <v>3537.18</v>
          </cell>
          <cell r="Z731">
            <v>0.5</v>
          </cell>
          <cell r="AA731">
            <v>1768.59</v>
          </cell>
          <cell r="AB731"/>
        </row>
        <row r="732">
          <cell r="C732">
            <v>1</v>
          </cell>
          <cell r="D732">
            <v>0</v>
          </cell>
          <cell r="E732">
            <v>0</v>
          </cell>
          <cell r="F732">
            <v>0</v>
          </cell>
          <cell r="H732">
            <v>0</v>
          </cell>
          <cell r="O732">
            <v>361816</v>
          </cell>
          <cell r="P732" t="str">
            <v>2023/033-0005-01</v>
          </cell>
          <cell r="Q732" t="str">
            <v>EST SOFA VYS KNIT 004 (ENC ESQ)</v>
          </cell>
          <cell r="R732"/>
          <cell r="S732"/>
          <cell r="T732">
            <v>2.78</v>
          </cell>
          <cell r="U732">
            <v>1.18</v>
          </cell>
          <cell r="V732">
            <v>0.85</v>
          </cell>
          <cell r="W732">
            <v>0</v>
          </cell>
          <cell r="X732" t="str">
            <v>EST SOFA VYS KNIT 004 (ENC ESQ) - 2,78x1,18x0,85H</v>
          </cell>
          <cell r="Y732">
            <v>34157.58</v>
          </cell>
          <cell r="Z732">
            <v>0.5</v>
          </cell>
          <cell r="AA732">
            <v>17078.79</v>
          </cell>
          <cell r="AB732"/>
        </row>
        <row r="733">
          <cell r="C733">
            <v>1</v>
          </cell>
          <cell r="D733">
            <v>0</v>
          </cell>
          <cell r="E733">
            <v>0</v>
          </cell>
          <cell r="F733">
            <v>0</v>
          </cell>
          <cell r="H733">
            <v>0</v>
          </cell>
          <cell r="O733">
            <v>378150</v>
          </cell>
          <cell r="P733" t="str">
            <v>2023/327-0033-01</v>
          </cell>
          <cell r="Q733" t="str">
            <v>EST LUMINARIA DE TETO SLIM (3131)</v>
          </cell>
          <cell r="R733"/>
          <cell r="S733"/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 t="str">
            <v>EST LUMINARIA DE TETO SLIM (3131) - Ø0x0H</v>
          </cell>
          <cell r="Y733">
            <v>8288</v>
          </cell>
          <cell r="Z733">
            <v>0.5</v>
          </cell>
          <cell r="AA733">
            <v>4144</v>
          </cell>
          <cell r="AB733"/>
        </row>
        <row r="734">
          <cell r="C734">
            <v>1</v>
          </cell>
          <cell r="D734">
            <v>1</v>
          </cell>
          <cell r="E734">
            <v>1</v>
          </cell>
          <cell r="F734">
            <v>0</v>
          </cell>
          <cell r="H734">
            <v>0</v>
          </cell>
          <cell r="O734">
            <v>186566</v>
          </cell>
          <cell r="P734" t="str">
            <v>2017/023-0137-01</v>
          </cell>
          <cell r="Q734" t="str">
            <v>EST MESA LATERAL CANCUN (MAD LAM CARVALHO NT) (AUT SAND)</v>
          </cell>
          <cell r="R734"/>
          <cell r="S734"/>
          <cell r="T734">
            <v>0.55000000000000004</v>
          </cell>
          <cell r="U734">
            <v>0</v>
          </cell>
          <cell r="V734">
            <v>0.52</v>
          </cell>
          <cell r="W734">
            <v>0.55000000000000004</v>
          </cell>
          <cell r="X734" t="str">
            <v>EST MESA LATERAL CANCUN (MAD LAM CARVALHO NT) (AUT SAND) - Ø0,55x0,52H</v>
          </cell>
          <cell r="Y734">
            <v>8089.85</v>
          </cell>
          <cell r="Z734">
            <v>0.35</v>
          </cell>
          <cell r="AA734">
            <v>5258.4025000000001</v>
          </cell>
          <cell r="AB734"/>
        </row>
        <row r="735">
          <cell r="C735">
            <v>1</v>
          </cell>
          <cell r="D735">
            <v>2</v>
          </cell>
          <cell r="E735">
            <v>0</v>
          </cell>
          <cell r="F735">
            <v>0</v>
          </cell>
          <cell r="H735">
            <v>0</v>
          </cell>
          <cell r="O735">
            <v>186567</v>
          </cell>
          <cell r="P735" t="str">
            <v>2017/023-0138-01</v>
          </cell>
          <cell r="Q735" t="str">
            <v>EST MESA LATERAL CANCUN (MAD PINT AUT SAND) (AUT SAND)</v>
          </cell>
          <cell r="R735"/>
          <cell r="S735"/>
          <cell r="T735">
            <v>0.48</v>
          </cell>
          <cell r="U735">
            <v>0</v>
          </cell>
          <cell r="V735">
            <v>0.56999999999999995</v>
          </cell>
          <cell r="W735">
            <v>0.48</v>
          </cell>
          <cell r="X735" t="str">
            <v>EST MESA LATERAL CANCUN (MAD PINT AUT SAND) (AUT SAND) - Ø0,48x0,57H</v>
          </cell>
          <cell r="Y735">
            <v>7729.66</v>
          </cell>
          <cell r="Z735">
            <v>0.35</v>
          </cell>
          <cell r="AA735">
            <v>5024.2790000000005</v>
          </cell>
          <cell r="AB735"/>
        </row>
        <row r="736">
          <cell r="C736">
            <v>1</v>
          </cell>
          <cell r="D736">
            <v>0</v>
          </cell>
          <cell r="E736">
            <v>0</v>
          </cell>
          <cell r="F736">
            <v>0</v>
          </cell>
          <cell r="H736">
            <v>0</v>
          </cell>
          <cell r="O736">
            <v>273277</v>
          </cell>
          <cell r="P736" t="str">
            <v>2021/084-0011-01</v>
          </cell>
          <cell r="Q736" t="str">
            <v>EST POLTRONA YUMI (JEQ IMBUIA ESCURO) COURO CH ENV 32</v>
          </cell>
          <cell r="R736"/>
          <cell r="S736"/>
          <cell r="T736">
            <v>1.1599999999999999</v>
          </cell>
          <cell r="U736">
            <v>0.86</v>
          </cell>
          <cell r="V736">
            <v>0.84</v>
          </cell>
          <cell r="W736">
            <v>0</v>
          </cell>
          <cell r="X736" t="str">
            <v>EST POLTRONA YUMI (JEQ IMBUIA ESCURO) COURO CH ENV 32 - 1,16x0,86x0,84H</v>
          </cell>
          <cell r="Y736">
            <v>23801.3</v>
          </cell>
          <cell r="Z736">
            <v>0.35</v>
          </cell>
          <cell r="AA736">
            <v>15470.844999999999</v>
          </cell>
          <cell r="AB736"/>
        </row>
        <row r="737">
          <cell r="C737">
            <v>1</v>
          </cell>
          <cell r="D737">
            <v>0</v>
          </cell>
          <cell r="E737">
            <v>0</v>
          </cell>
          <cell r="F737">
            <v>0</v>
          </cell>
          <cell r="H737">
            <v>0</v>
          </cell>
          <cell r="O737">
            <v>273278</v>
          </cell>
          <cell r="P737" t="str">
            <v>2021/084-0010-01</v>
          </cell>
          <cell r="Q737" t="str">
            <v>EST BANQUETA YUMI (JEQ IMBUIA ESCURO) COURO CH ENV 32</v>
          </cell>
          <cell r="R737"/>
          <cell r="S737"/>
          <cell r="T737">
            <v>0.69</v>
          </cell>
          <cell r="U737">
            <v>0.53</v>
          </cell>
          <cell r="V737">
            <v>0.4</v>
          </cell>
          <cell r="W737">
            <v>0</v>
          </cell>
          <cell r="X737" t="str">
            <v>EST BANQUETA YUMI (JEQ IMBUIA ESCURO) COURO CH ENV 32 - 0,69x0,53x0,4H</v>
          </cell>
          <cell r="Y737">
            <v>8417.25</v>
          </cell>
          <cell r="Z737">
            <v>0.35</v>
          </cell>
          <cell r="AA737">
            <v>5471.2124999999996</v>
          </cell>
          <cell r="AB737"/>
        </row>
        <row r="738">
          <cell r="C738">
            <v>1</v>
          </cell>
          <cell r="D738">
            <v>0</v>
          </cell>
          <cell r="E738">
            <v>0</v>
          </cell>
          <cell r="F738">
            <v>0</v>
          </cell>
          <cell r="H738">
            <v>0</v>
          </cell>
          <cell r="O738">
            <v>299331</v>
          </cell>
          <cell r="P738" t="str">
            <v>2022/018-0042-01</v>
          </cell>
          <cell r="Q738" t="str">
            <v>EST PUFF OLY H45 FX F6001/HASTE METAL PRETO</v>
          </cell>
          <cell r="R738"/>
          <cell r="S738"/>
          <cell r="T738">
            <v>0.6</v>
          </cell>
          <cell r="U738">
            <v>0</v>
          </cell>
          <cell r="V738">
            <v>0.45</v>
          </cell>
          <cell r="W738">
            <v>0.6</v>
          </cell>
          <cell r="X738" t="str">
            <v>EST PUFF OLY H45 FX F6001/HASTE METAL PRETO - Ø0,6x0,45H</v>
          </cell>
          <cell r="Y738">
            <v>7494.64</v>
          </cell>
          <cell r="Z738">
            <v>0.35</v>
          </cell>
          <cell r="AA738">
            <v>4871.5160000000005</v>
          </cell>
          <cell r="AB738"/>
        </row>
        <row r="739">
          <cell r="C739">
            <v>1</v>
          </cell>
          <cell r="D739">
            <v>0</v>
          </cell>
          <cell r="E739">
            <v>0</v>
          </cell>
          <cell r="F739">
            <v>0</v>
          </cell>
          <cell r="H739">
            <v>0</v>
          </cell>
          <cell r="O739">
            <v>299331</v>
          </cell>
          <cell r="P739" t="str">
            <v>2022/018-0043-01</v>
          </cell>
          <cell r="Q739" t="str">
            <v>EST PUFF OLY H45 FX F6001/HASTE METAL PRETO</v>
          </cell>
          <cell r="R739"/>
          <cell r="S739"/>
          <cell r="T739">
            <v>0.6</v>
          </cell>
          <cell r="U739">
            <v>0</v>
          </cell>
          <cell r="V739">
            <v>0.45</v>
          </cell>
          <cell r="W739">
            <v>0.6</v>
          </cell>
          <cell r="X739" t="str">
            <v>EST PUFF OLY H45 FX F6001/HASTE METAL PRETO - Ø0,6x0,45H</v>
          </cell>
          <cell r="Y739">
            <v>7494.64</v>
          </cell>
          <cell r="Z739">
            <v>0.35</v>
          </cell>
          <cell r="AA739">
            <v>4871.5160000000005</v>
          </cell>
          <cell r="AB739"/>
        </row>
        <row r="740">
          <cell r="C740">
            <v>1</v>
          </cell>
          <cell r="D740">
            <v>0</v>
          </cell>
          <cell r="E740">
            <v>0</v>
          </cell>
          <cell r="F740">
            <v>0</v>
          </cell>
          <cell r="H740">
            <v>0</v>
          </cell>
          <cell r="O740">
            <v>326739</v>
          </cell>
          <cell r="P740" t="str">
            <v>2023/045-0010-01</v>
          </cell>
          <cell r="Q740" t="str">
            <v>EST POLTRONA KAZZ FX B2002/REC 7440/ESTRUTURA PRETA</v>
          </cell>
          <cell r="R740"/>
          <cell r="S740"/>
          <cell r="T740">
            <v>0.85</v>
          </cell>
          <cell r="U740">
            <v>0.85</v>
          </cell>
          <cell r="V740">
            <v>0.75</v>
          </cell>
          <cell r="W740">
            <v>0</v>
          </cell>
          <cell r="X740" t="str">
            <v>EST POLTRONA KAZZ FX B2002/REC 7440/ESTRUTURA PRETA - 0,85x0,85x0,75H</v>
          </cell>
          <cell r="Y740">
            <v>18360.2</v>
          </cell>
          <cell r="Z740">
            <v>0.35</v>
          </cell>
          <cell r="AA740">
            <v>11934.130000000001</v>
          </cell>
          <cell r="AB740"/>
        </row>
        <row r="741">
          <cell r="C741" t="e">
            <v>#N/A</v>
          </cell>
          <cell r="D741" t="e">
            <v>#N/A</v>
          </cell>
          <cell r="E741" t="e">
            <v>#N/A</v>
          </cell>
          <cell r="F741" t="e">
            <v>#N/A</v>
          </cell>
          <cell r="H741" t="e">
            <v>#N/A</v>
          </cell>
          <cell r="O741">
            <v>336740</v>
          </cell>
          <cell r="P741" t="str">
            <v>2022/223-0057-01</v>
          </cell>
          <cell r="Q741" t="e">
            <v>#N/A</v>
          </cell>
          <cell r="R741"/>
          <cell r="S741"/>
          <cell r="T741" t="e">
            <v>#N/A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  <cell r="Y741">
            <v>12538.94</v>
          </cell>
          <cell r="Z741">
            <v>0.35</v>
          </cell>
          <cell r="AA741">
            <v>8150.3110000000006</v>
          </cell>
          <cell r="AB741"/>
        </row>
        <row r="742">
          <cell r="C742">
            <v>2</v>
          </cell>
          <cell r="D742">
            <v>0</v>
          </cell>
          <cell r="E742">
            <v>0</v>
          </cell>
          <cell r="F742">
            <v>0</v>
          </cell>
          <cell r="H742">
            <v>0</v>
          </cell>
          <cell r="O742">
            <v>351706</v>
          </cell>
          <cell r="P742" t="str">
            <v>2022/242-0053-01</v>
          </cell>
          <cell r="Q742" t="str">
            <v>EST ALMOFADA CLAMI 3 (PENA GANSO) (BISTROL NUVEM/CINZA)</v>
          </cell>
          <cell r="R742"/>
          <cell r="S742"/>
          <cell r="T742">
            <v>0.9</v>
          </cell>
          <cell r="U742">
            <v>0.7</v>
          </cell>
          <cell r="V742">
            <v>0.15</v>
          </cell>
          <cell r="W742">
            <v>0</v>
          </cell>
          <cell r="X742" t="str">
            <v>EST ALMOFADA CLAMI 3 (PENA GANSO) (BISTROL NUVEM/CINZA) - 0,9x0,7x0,15H</v>
          </cell>
          <cell r="Y742">
            <v>2746.2</v>
          </cell>
          <cell r="Z742">
            <v>0.35</v>
          </cell>
          <cell r="AA742">
            <v>1785.03</v>
          </cell>
          <cell r="AB742"/>
        </row>
        <row r="743">
          <cell r="C743">
            <v>2</v>
          </cell>
          <cell r="D743">
            <v>0</v>
          </cell>
          <cell r="E743">
            <v>0</v>
          </cell>
          <cell r="F743">
            <v>0</v>
          </cell>
          <cell r="H743">
            <v>0</v>
          </cell>
          <cell r="O743">
            <v>351706</v>
          </cell>
          <cell r="P743" t="str">
            <v>2022/242-0054-01</v>
          </cell>
          <cell r="Q743" t="str">
            <v>EST ALMOFADA CLAMI 3 (PENA GANSO) (BISTROL NUVEM/CINZA)</v>
          </cell>
          <cell r="R743"/>
          <cell r="S743"/>
          <cell r="T743">
            <v>0.9</v>
          </cell>
          <cell r="U743">
            <v>0.7</v>
          </cell>
          <cell r="V743">
            <v>0.15</v>
          </cell>
          <cell r="W743">
            <v>0</v>
          </cell>
          <cell r="X743" t="str">
            <v>EST ALMOFADA CLAMI 3 (PENA GANSO) (BISTROL NUVEM/CINZA) - 0,9x0,7x0,15H</v>
          </cell>
          <cell r="Y743">
            <v>2746.2</v>
          </cell>
          <cell r="Z743">
            <v>0.35</v>
          </cell>
          <cell r="AA743">
            <v>1785.03</v>
          </cell>
          <cell r="AB743"/>
        </row>
        <row r="744">
          <cell r="C744">
            <v>2</v>
          </cell>
          <cell r="D744">
            <v>0</v>
          </cell>
          <cell r="E744">
            <v>0</v>
          </cell>
          <cell r="F744">
            <v>0</v>
          </cell>
          <cell r="H744">
            <v>0</v>
          </cell>
          <cell r="O744">
            <v>351714</v>
          </cell>
          <cell r="P744" t="str">
            <v>2022/242-0063-01</v>
          </cell>
          <cell r="Q744" t="str">
            <v>EST ALMOFADA CLAMI 3 (PENA GANSO) (MAQUINETADO CRU/PRETO)</v>
          </cell>
          <cell r="R744"/>
          <cell r="S744"/>
          <cell r="T744">
            <v>0.9</v>
          </cell>
          <cell r="U744">
            <v>0.7</v>
          </cell>
          <cell r="V744">
            <v>0.15</v>
          </cell>
          <cell r="W744">
            <v>0</v>
          </cell>
          <cell r="X744" t="str">
            <v>EST ALMOFADA CLAMI 3 (PENA GANSO) (MAQUINETADO CRU/PRETO) - 0,9x0,7x0,15H</v>
          </cell>
          <cell r="Y744">
            <v>2746.2</v>
          </cell>
          <cell r="Z744">
            <v>0.35</v>
          </cell>
          <cell r="AA744">
            <v>1785.03</v>
          </cell>
          <cell r="AB744"/>
        </row>
        <row r="745">
          <cell r="C745">
            <v>2</v>
          </cell>
          <cell r="D745">
            <v>0</v>
          </cell>
          <cell r="E745">
            <v>0</v>
          </cell>
          <cell r="F745">
            <v>0</v>
          </cell>
          <cell r="H745">
            <v>0</v>
          </cell>
          <cell r="O745">
            <v>351714</v>
          </cell>
          <cell r="P745" t="str">
            <v>2022/242-0064-01</v>
          </cell>
          <cell r="Q745" t="str">
            <v>EST ALMOFADA CLAMI 3 (PENA GANSO) (MAQUINETADO CRU/PRETO)</v>
          </cell>
          <cell r="R745"/>
          <cell r="S745"/>
          <cell r="T745">
            <v>0.9</v>
          </cell>
          <cell r="U745">
            <v>0.7</v>
          </cell>
          <cell r="V745">
            <v>0.15</v>
          </cell>
          <cell r="W745">
            <v>0</v>
          </cell>
          <cell r="X745" t="str">
            <v>EST ALMOFADA CLAMI 3 (PENA GANSO) (MAQUINETADO CRU/PRETO) - 0,9x0,7x0,15H</v>
          </cell>
          <cell r="Y745">
            <v>2746.2</v>
          </cell>
          <cell r="Z745">
            <v>0.35</v>
          </cell>
          <cell r="AA745">
            <v>1785.03</v>
          </cell>
          <cell r="AB745"/>
        </row>
        <row r="746">
          <cell r="C746">
            <v>1</v>
          </cell>
          <cell r="D746">
            <v>0</v>
          </cell>
          <cell r="E746">
            <v>0</v>
          </cell>
          <cell r="F746">
            <v>0</v>
          </cell>
          <cell r="H746">
            <v>0</v>
          </cell>
          <cell r="O746">
            <v>363891</v>
          </cell>
          <cell r="P746" t="str">
            <v>2023/152-0023-01</v>
          </cell>
          <cell r="Q746" t="str">
            <v>EST MESA JANTAR BELIZE (MADEIRA) TP/BS LAMINA CARV DAMASCO</v>
          </cell>
          <cell r="R746"/>
          <cell r="S746"/>
          <cell r="T746">
            <v>3</v>
          </cell>
          <cell r="U746">
            <v>1.4</v>
          </cell>
          <cell r="V746">
            <v>0.76</v>
          </cell>
          <cell r="W746">
            <v>0</v>
          </cell>
          <cell r="X746" t="str">
            <v>EST MESA JANTAR BELIZE (MADEIRA) TP/BS LAMINA CARV DAMASCO - 3x1,4x0,76H</v>
          </cell>
          <cell r="Y746">
            <v>27097.95</v>
          </cell>
          <cell r="Z746">
            <v>0.35</v>
          </cell>
          <cell r="AA746">
            <v>17613.667500000003</v>
          </cell>
          <cell r="AB746"/>
        </row>
        <row r="747">
          <cell r="C747">
            <v>1</v>
          </cell>
          <cell r="D747">
            <v>0</v>
          </cell>
          <cell r="E747">
            <v>0</v>
          </cell>
          <cell r="F747">
            <v>1</v>
          </cell>
          <cell r="H747">
            <v>0</v>
          </cell>
          <cell r="O747">
            <v>371329</v>
          </cell>
          <cell r="P747" t="str">
            <v>2023/282-0039-01</v>
          </cell>
          <cell r="Q747" t="str">
            <v>EST BANQUETA BAR CAVALETTA H78 (JEQUITIBA IMBUIA CLARO)</v>
          </cell>
          <cell r="R747"/>
          <cell r="S747"/>
          <cell r="T747">
            <v>0.43</v>
          </cell>
          <cell r="U747">
            <v>0.5</v>
          </cell>
          <cell r="V747">
            <v>0.78</v>
          </cell>
          <cell r="W747">
            <v>0</v>
          </cell>
          <cell r="X747" t="str">
            <v>EST BANQUETA BAR CAVALETTA H78 (JEQUITIBA IMBUIA CLARO) - 0,43x0,5x0,78H</v>
          </cell>
          <cell r="Y747">
            <v>6595.55</v>
          </cell>
          <cell r="Z747">
            <v>0.35</v>
          </cell>
          <cell r="AA747">
            <v>4287.1075000000001</v>
          </cell>
          <cell r="AB747"/>
        </row>
        <row r="748">
          <cell r="C748">
            <v>1</v>
          </cell>
          <cell r="D748">
            <v>0</v>
          </cell>
          <cell r="E748">
            <v>0</v>
          </cell>
          <cell r="F748">
            <v>0</v>
          </cell>
          <cell r="H748">
            <v>0</v>
          </cell>
          <cell r="O748">
            <v>378448</v>
          </cell>
          <cell r="P748" t="str">
            <v>2024/075-0023-01</v>
          </cell>
          <cell r="Q748" t="str">
            <v>EST MESA LATERAL HIMALAYA (CLAS) (TP MARM ARMANI) (WALNUT)</v>
          </cell>
          <cell r="R748"/>
          <cell r="S748"/>
          <cell r="T748">
            <v>0.7</v>
          </cell>
          <cell r="U748">
            <v>0</v>
          </cell>
          <cell r="V748">
            <v>0.55000000000000004</v>
          </cell>
          <cell r="W748">
            <v>0.7</v>
          </cell>
          <cell r="X748" t="str">
            <v>EST MESA LATERAL HIMALAYA (CLAS) (TP MARM ARMANI) (WALNUT) - Ø0,7x0,55H</v>
          </cell>
          <cell r="Y748">
            <v>11816.76</v>
          </cell>
          <cell r="Z748">
            <v>0.35</v>
          </cell>
          <cell r="AA748">
            <v>7680.8940000000002</v>
          </cell>
          <cell r="AB748"/>
        </row>
        <row r="749">
          <cell r="C749">
            <v>1</v>
          </cell>
          <cell r="D749">
            <v>0</v>
          </cell>
          <cell r="E749">
            <v>0</v>
          </cell>
          <cell r="F749">
            <v>0</v>
          </cell>
          <cell r="H749">
            <v>0</v>
          </cell>
          <cell r="O749">
            <v>378487</v>
          </cell>
          <cell r="P749" t="str">
            <v>2024/079-0043-01</v>
          </cell>
          <cell r="Q749" t="str">
            <v>EST MESA JANTAR HIMALAYA (CLAS) (TP MARM SAHARA) (WALNUT)</v>
          </cell>
          <cell r="R749"/>
          <cell r="S749"/>
          <cell r="T749">
            <v>3</v>
          </cell>
          <cell r="U749">
            <v>1.1000000000000001</v>
          </cell>
          <cell r="V749">
            <v>0.75</v>
          </cell>
          <cell r="W749">
            <v>0</v>
          </cell>
          <cell r="X749" t="str">
            <v>EST MESA JANTAR HIMALAYA (CLAS) (TP MARM SAHARA) (WALNUT) - 3x1,1x0,75H</v>
          </cell>
          <cell r="Y749">
            <v>126055.64</v>
          </cell>
          <cell r="Z749">
            <v>0.35</v>
          </cell>
          <cell r="AA749">
            <v>81936.165999999997</v>
          </cell>
          <cell r="AB749"/>
        </row>
        <row r="750">
          <cell r="C750">
            <v>3</v>
          </cell>
          <cell r="D750">
            <v>0</v>
          </cell>
          <cell r="E750">
            <v>0</v>
          </cell>
          <cell r="F750">
            <v>7</v>
          </cell>
          <cell r="H750">
            <v>0</v>
          </cell>
          <cell r="O750">
            <v>380350</v>
          </cell>
          <cell r="P750" t="str">
            <v>2024/065-0063-01</v>
          </cell>
          <cell r="Q750" t="str">
            <v>EST ALMOFADA DECORATIVA HIMALAYA (IMPRESSAO BOTANICA)</v>
          </cell>
          <cell r="R750"/>
          <cell r="S750"/>
          <cell r="T750">
            <v>0.6</v>
          </cell>
          <cell r="U750">
            <v>0.3</v>
          </cell>
          <cell r="V750">
            <v>0</v>
          </cell>
          <cell r="W750">
            <v>0</v>
          </cell>
          <cell r="X750" t="str">
            <v>EST ALMOFADA DECORATIVA HIMALAYA (IMPRESSAO BOTANICA) - 0,6x0,3x0H</v>
          </cell>
          <cell r="Y750">
            <v>1466.84</v>
          </cell>
          <cell r="Z750">
            <v>0.35</v>
          </cell>
          <cell r="AA750">
            <v>953.44600000000003</v>
          </cell>
          <cell r="AB750"/>
        </row>
        <row r="751">
          <cell r="C751">
            <v>3</v>
          </cell>
          <cell r="D751">
            <v>0</v>
          </cell>
          <cell r="E751">
            <v>0</v>
          </cell>
          <cell r="F751">
            <v>7</v>
          </cell>
          <cell r="H751">
            <v>0</v>
          </cell>
          <cell r="O751">
            <v>380350</v>
          </cell>
          <cell r="P751" t="str">
            <v>2024/065-0064-01</v>
          </cell>
          <cell r="Q751" t="str">
            <v>EST ALMOFADA DECORATIVA HIMALAYA (IMPRESSAO BOTANICA)</v>
          </cell>
          <cell r="R751"/>
          <cell r="S751"/>
          <cell r="T751">
            <v>0.6</v>
          </cell>
          <cell r="U751">
            <v>0.3</v>
          </cell>
          <cell r="V751">
            <v>0</v>
          </cell>
          <cell r="W751">
            <v>0</v>
          </cell>
          <cell r="X751" t="str">
            <v>EST ALMOFADA DECORATIVA HIMALAYA (IMPRESSAO BOTANICA) - 0,6x0,3x0H</v>
          </cell>
          <cell r="Y751">
            <v>1466.84</v>
          </cell>
          <cell r="Z751">
            <v>0.35</v>
          </cell>
          <cell r="AA751">
            <v>953.44600000000003</v>
          </cell>
          <cell r="AB751"/>
        </row>
        <row r="752">
          <cell r="C752">
            <v>3</v>
          </cell>
          <cell r="D752">
            <v>0</v>
          </cell>
          <cell r="E752">
            <v>0</v>
          </cell>
          <cell r="F752">
            <v>7</v>
          </cell>
          <cell r="H752">
            <v>0</v>
          </cell>
          <cell r="O752">
            <v>380350</v>
          </cell>
          <cell r="P752" t="str">
            <v>2024/065-0065-01</v>
          </cell>
          <cell r="Q752" t="str">
            <v>EST ALMOFADA DECORATIVA HIMALAYA (IMPRESSAO BOTANICA)</v>
          </cell>
          <cell r="R752"/>
          <cell r="S752"/>
          <cell r="T752">
            <v>0.6</v>
          </cell>
          <cell r="U752">
            <v>0.3</v>
          </cell>
          <cell r="V752">
            <v>0</v>
          </cell>
          <cell r="W752">
            <v>0</v>
          </cell>
          <cell r="X752" t="str">
            <v>EST ALMOFADA DECORATIVA HIMALAYA (IMPRESSAO BOTANICA) - 0,6x0,3x0H</v>
          </cell>
          <cell r="Y752">
            <v>1466.84</v>
          </cell>
          <cell r="Z752">
            <v>0.35</v>
          </cell>
          <cell r="AA752">
            <v>953.44600000000003</v>
          </cell>
          <cell r="AB752"/>
        </row>
        <row r="753">
          <cell r="C753">
            <v>2</v>
          </cell>
          <cell r="D753">
            <v>0</v>
          </cell>
          <cell r="E753">
            <v>0</v>
          </cell>
          <cell r="F753">
            <v>0</v>
          </cell>
          <cell r="H753">
            <v>0</v>
          </cell>
          <cell r="O753">
            <v>387674</v>
          </cell>
          <cell r="P753" t="str">
            <v>2024/206-0085-01</v>
          </cell>
          <cell r="Q753" t="str">
            <v>EST POLTRONA ANGELINA (AMENDOA) TC PREMIUM P018</v>
          </cell>
          <cell r="R753"/>
          <cell r="S753"/>
          <cell r="T753">
            <v>0.79</v>
          </cell>
          <cell r="U753">
            <v>0.57999999999999996</v>
          </cell>
          <cell r="V753">
            <v>0.79</v>
          </cell>
          <cell r="W753">
            <v>0</v>
          </cell>
          <cell r="X753" t="str">
            <v>EST POLTRONA ANGELINA (AMENDOA) TC PREMIUM P018 - 0,79x0,58x0,79H</v>
          </cell>
          <cell r="Y753">
            <v>16323.6</v>
          </cell>
          <cell r="Z753">
            <v>0.35</v>
          </cell>
          <cell r="AA753">
            <v>10610.34</v>
          </cell>
          <cell r="AB753"/>
        </row>
        <row r="754">
          <cell r="C754">
            <v>2</v>
          </cell>
          <cell r="D754">
            <v>0</v>
          </cell>
          <cell r="E754">
            <v>0</v>
          </cell>
          <cell r="F754">
            <v>0</v>
          </cell>
          <cell r="H754">
            <v>0</v>
          </cell>
          <cell r="O754">
            <v>387674</v>
          </cell>
          <cell r="P754" t="str">
            <v>2024/206-0086-01</v>
          </cell>
          <cell r="Q754" t="str">
            <v>EST POLTRONA ANGELINA (AMENDOA) TC PREMIUM P018</v>
          </cell>
          <cell r="R754"/>
          <cell r="S754"/>
          <cell r="T754">
            <v>0.79</v>
          </cell>
          <cell r="U754">
            <v>0.57999999999999996</v>
          </cell>
          <cell r="V754">
            <v>0.79</v>
          </cell>
          <cell r="W754">
            <v>0</v>
          </cell>
          <cell r="X754" t="str">
            <v>EST POLTRONA ANGELINA (AMENDOA) TC PREMIUM P018 - 0,79x0,58x0,79H</v>
          </cell>
          <cell r="Y754">
            <v>16323.6</v>
          </cell>
          <cell r="Z754">
            <v>0.35</v>
          </cell>
          <cell r="AA754">
            <v>10610.34</v>
          </cell>
          <cell r="AB754"/>
        </row>
        <row r="755">
          <cell r="C755">
            <v>2</v>
          </cell>
          <cell r="D755">
            <v>0</v>
          </cell>
          <cell r="E755">
            <v>0</v>
          </cell>
          <cell r="F755">
            <v>0</v>
          </cell>
          <cell r="H755">
            <v>0</v>
          </cell>
          <cell r="O755">
            <v>387683</v>
          </cell>
          <cell r="P755" t="str">
            <v>2024/194-0007-01</v>
          </cell>
          <cell r="Q755" t="str">
            <v>EST ESTANTE ABRIGO (TEKA CASTANHO) SEMI CAFÉ</v>
          </cell>
          <cell r="R755"/>
          <cell r="S755"/>
          <cell r="T755">
            <v>1.2</v>
          </cell>
          <cell r="U755">
            <v>0.4</v>
          </cell>
          <cell r="V755">
            <v>1.88</v>
          </cell>
          <cell r="W755">
            <v>0</v>
          </cell>
          <cell r="X755" t="str">
            <v>EST ESTANTE ABRIGO (TEKA CASTANHO) SEMI CAFÉ - 1,2x0,4x1,88H</v>
          </cell>
          <cell r="Y755">
            <v>8633.0499999999993</v>
          </cell>
          <cell r="Z755">
            <v>0.35</v>
          </cell>
          <cell r="AA755">
            <v>5611.4825000000001</v>
          </cell>
          <cell r="AB755"/>
        </row>
        <row r="756">
          <cell r="C756">
            <v>2</v>
          </cell>
          <cell r="D756">
            <v>0</v>
          </cell>
          <cell r="E756">
            <v>0</v>
          </cell>
          <cell r="F756">
            <v>0</v>
          </cell>
          <cell r="H756">
            <v>0</v>
          </cell>
          <cell r="O756">
            <v>387683</v>
          </cell>
          <cell r="P756" t="str">
            <v>2024/194-0008-01</v>
          </cell>
          <cell r="Q756" t="str">
            <v>EST ESTANTE ABRIGO (TEKA CASTANHO) SEMI CAFÉ</v>
          </cell>
          <cell r="R756"/>
          <cell r="S756"/>
          <cell r="T756">
            <v>1.2</v>
          </cell>
          <cell r="U756">
            <v>0.4</v>
          </cell>
          <cell r="V756">
            <v>1.88</v>
          </cell>
          <cell r="W756">
            <v>0</v>
          </cell>
          <cell r="X756" t="str">
            <v>EST ESTANTE ABRIGO (TEKA CASTANHO) SEMI CAFÉ - 1,2x0,4x1,88H</v>
          </cell>
          <cell r="Y756">
            <v>8633.0499999999993</v>
          </cell>
          <cell r="Z756">
            <v>0.35</v>
          </cell>
          <cell r="AA756">
            <v>5611.4825000000001</v>
          </cell>
          <cell r="AB756"/>
        </row>
        <row r="757">
          <cell r="C757">
            <v>1</v>
          </cell>
          <cell r="D757">
            <v>0</v>
          </cell>
          <cell r="E757">
            <v>0</v>
          </cell>
          <cell r="F757">
            <v>0</v>
          </cell>
          <cell r="H757">
            <v>0</v>
          </cell>
          <cell r="O757">
            <v>387687</v>
          </cell>
          <cell r="P757" t="str">
            <v>2024/194-0015-01</v>
          </cell>
          <cell r="Q757" t="str">
            <v>EST MESA CENTRO PLANALTO (LAMINA CARV CASTANHO) MTZ CAFE</v>
          </cell>
          <cell r="R757"/>
          <cell r="S757"/>
          <cell r="T757">
            <v>0.95</v>
          </cell>
          <cell r="U757">
            <v>0.95</v>
          </cell>
          <cell r="V757">
            <v>0.25</v>
          </cell>
          <cell r="W757">
            <v>0</v>
          </cell>
          <cell r="X757" t="str">
            <v>EST MESA CENTRO PLANALTO (LAMINA CARV CASTANHO) MTZ CAFE - 0,95x0,95x0,25H</v>
          </cell>
          <cell r="Y757">
            <v>6913.98</v>
          </cell>
          <cell r="Z757">
            <v>0.35</v>
          </cell>
          <cell r="AA757">
            <v>4494.0869999999995</v>
          </cell>
          <cell r="AB757"/>
        </row>
        <row r="758">
          <cell r="C758">
            <v>1</v>
          </cell>
          <cell r="D758">
            <v>0</v>
          </cell>
          <cell r="E758">
            <v>0</v>
          </cell>
          <cell r="F758">
            <v>0</v>
          </cell>
          <cell r="H758">
            <v>0</v>
          </cell>
          <cell r="O758">
            <v>387688</v>
          </cell>
          <cell r="P758" t="str">
            <v>2024/194-0016-01</v>
          </cell>
          <cell r="Q758" t="str">
            <v>EST MESA CENTRO PLANALTO (LAMINA CARV CASTANHO) MTZ CAFE</v>
          </cell>
          <cell r="R758"/>
          <cell r="S758"/>
          <cell r="T758">
            <v>1.1499999999999999</v>
          </cell>
          <cell r="U758">
            <v>1.1499999999999999</v>
          </cell>
          <cell r="V758">
            <v>0.3</v>
          </cell>
          <cell r="W758">
            <v>0</v>
          </cell>
          <cell r="X758" t="str">
            <v>EST MESA CENTRO PLANALTO (LAMINA CARV CASTANHO) MTZ CAFE - 1,15x1,15x0,3H</v>
          </cell>
          <cell r="Y758">
            <v>7551.08</v>
          </cell>
          <cell r="Z758">
            <v>0.35</v>
          </cell>
          <cell r="AA758">
            <v>4908.2020000000002</v>
          </cell>
          <cell r="AB758"/>
        </row>
        <row r="759"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H759">
            <v>1</v>
          </cell>
          <cell r="O759">
            <v>387722</v>
          </cell>
          <cell r="P759" t="str">
            <v>2024/206-0094-01</v>
          </cell>
          <cell r="Q759" t="str">
            <v>EST MESA JANTAR ORIENTE (TP/BS LAM CAST) SEMI CAFE</v>
          </cell>
          <cell r="R759"/>
          <cell r="S759"/>
          <cell r="T759">
            <v>2.78</v>
          </cell>
          <cell r="U759">
            <v>1.2</v>
          </cell>
          <cell r="V759">
            <v>0.76</v>
          </cell>
          <cell r="W759">
            <v>0</v>
          </cell>
          <cell r="X759" t="str">
            <v>EST MESA JANTAR ORIENTE (TP/BS LAM CAST) SEMI CAFE - 2,78x1,2x0,76H</v>
          </cell>
          <cell r="Y759">
            <v>24289.4</v>
          </cell>
          <cell r="Z759">
            <v>0.35</v>
          </cell>
          <cell r="AA759">
            <v>15788.11</v>
          </cell>
          <cell r="AB759"/>
        </row>
        <row r="760">
          <cell r="C760">
            <v>1</v>
          </cell>
          <cell r="D760">
            <v>0</v>
          </cell>
          <cell r="E760">
            <v>0</v>
          </cell>
          <cell r="F760">
            <v>0</v>
          </cell>
          <cell r="H760">
            <v>0</v>
          </cell>
          <cell r="O760">
            <v>387731</v>
          </cell>
          <cell r="P760" t="str">
            <v>2024/194-0029-01</v>
          </cell>
          <cell r="Q760" t="str">
            <v>EST MESA LATERAL COPA (TP/BS AMENDOA) SEMI CAPUCCINO</v>
          </cell>
          <cell r="R760"/>
          <cell r="S760"/>
          <cell r="T760">
            <v>0.37</v>
          </cell>
          <cell r="U760">
            <v>0.35</v>
          </cell>
          <cell r="V760">
            <v>0.45</v>
          </cell>
          <cell r="W760">
            <v>0</v>
          </cell>
          <cell r="X760" t="str">
            <v>EST MESA LATERAL COPA (TP/BS AMENDOA) SEMI CAPUCCINO - 0,37x0,35x0,45H</v>
          </cell>
          <cell r="Y760">
            <v>4753.82</v>
          </cell>
          <cell r="Z760">
            <v>0.35</v>
          </cell>
          <cell r="AA760">
            <v>3089.9830000000002</v>
          </cell>
          <cell r="AB760"/>
        </row>
        <row r="761">
          <cell r="C761">
            <v>2</v>
          </cell>
          <cell r="D761">
            <v>3</v>
          </cell>
          <cell r="E761">
            <v>0</v>
          </cell>
          <cell r="F761">
            <v>0</v>
          </cell>
          <cell r="H761">
            <v>0</v>
          </cell>
          <cell r="O761">
            <v>260994</v>
          </cell>
          <cell r="P761" t="str">
            <v>2020/184-0049-01</v>
          </cell>
          <cell r="Q761" t="str">
            <v>EST ALMOFADA DECORATIVA (COURO T4 CAMURCA MUSGO)</v>
          </cell>
          <cell r="R761"/>
          <cell r="S761"/>
          <cell r="T761">
            <v>0.6</v>
          </cell>
          <cell r="U761">
            <v>0.6</v>
          </cell>
          <cell r="V761">
            <v>0</v>
          </cell>
          <cell r="W761">
            <v>0</v>
          </cell>
          <cell r="X761" t="str">
            <v>EST ALMOFADA DECORATIVA (COURO T4 CAMURCA MUSGO) - 0,6x0,6x0H</v>
          </cell>
          <cell r="Y761">
            <v>2252.0100000000002</v>
          </cell>
          <cell r="Z761">
            <v>0.35</v>
          </cell>
          <cell r="AA761">
            <v>1463.8065000000001</v>
          </cell>
          <cell r="AB761"/>
        </row>
        <row r="762">
          <cell r="C762">
            <v>2</v>
          </cell>
          <cell r="D762">
            <v>3</v>
          </cell>
          <cell r="E762">
            <v>0</v>
          </cell>
          <cell r="F762">
            <v>0</v>
          </cell>
          <cell r="H762">
            <v>0</v>
          </cell>
          <cell r="O762">
            <v>260994</v>
          </cell>
          <cell r="P762" t="str">
            <v>2020/184-0039-01</v>
          </cell>
          <cell r="Q762" t="str">
            <v>EST ALMOFADA DECORATIVA (COURO T4 CAMURCA MUSGO)</v>
          </cell>
          <cell r="R762"/>
          <cell r="S762"/>
          <cell r="T762">
            <v>0.6</v>
          </cell>
          <cell r="U762">
            <v>0.6</v>
          </cell>
          <cell r="V762">
            <v>0</v>
          </cell>
          <cell r="W762">
            <v>0</v>
          </cell>
          <cell r="X762" t="str">
            <v>EST ALMOFADA DECORATIVA (COURO T4 CAMURCA MUSGO) - 0,6x0,6x0H</v>
          </cell>
          <cell r="Y762">
            <v>2252.0100000000002</v>
          </cell>
          <cell r="Z762">
            <v>0.35</v>
          </cell>
          <cell r="AA762">
            <v>1463.8065000000001</v>
          </cell>
          <cell r="AB762"/>
        </row>
        <row r="763">
          <cell r="C763">
            <v>1</v>
          </cell>
          <cell r="D763">
            <v>0</v>
          </cell>
          <cell r="E763">
            <v>0</v>
          </cell>
          <cell r="F763">
            <v>0</v>
          </cell>
          <cell r="H763">
            <v>0</v>
          </cell>
          <cell r="O763">
            <v>373812</v>
          </cell>
          <cell r="P763" t="str">
            <v>2023/283-0002-01</v>
          </cell>
          <cell r="Q763" t="str">
            <v>EST ALMOFADA CLAMI 3 (PLUMA SINT) (TC FORN INIFITY STRING)</v>
          </cell>
          <cell r="R763"/>
          <cell r="S763"/>
          <cell r="T763">
            <v>0.9</v>
          </cell>
          <cell r="U763">
            <v>0.7</v>
          </cell>
          <cell r="V763">
            <v>0.15</v>
          </cell>
          <cell r="W763">
            <v>0</v>
          </cell>
          <cell r="X763" t="str">
            <v>EST ALMOFADA CLAMI 3 (PLUMA SINT) (TC FORN INIFITY STRING) - 0,9x0,7x0,15H</v>
          </cell>
          <cell r="Y763">
            <v>4284.09</v>
          </cell>
          <cell r="Z763">
            <v>0.35</v>
          </cell>
          <cell r="AA763">
            <v>2784.6585000000005</v>
          </cell>
          <cell r="AB763"/>
        </row>
        <row r="764">
          <cell r="C764">
            <v>1</v>
          </cell>
          <cell r="D764">
            <v>0</v>
          </cell>
          <cell r="E764">
            <v>0</v>
          </cell>
          <cell r="F764">
            <v>0</v>
          </cell>
          <cell r="H764">
            <v>0</v>
          </cell>
          <cell r="O764">
            <v>373813</v>
          </cell>
          <cell r="P764" t="str">
            <v>2023/283-0001-01</v>
          </cell>
          <cell r="Q764" t="str">
            <v>EST ALMOFADA CLAMI 3 (PLUMA SINT) TC CRAFTED GLAZE</v>
          </cell>
          <cell r="R764"/>
          <cell r="S764"/>
          <cell r="T764">
            <v>0.9</v>
          </cell>
          <cell r="U764">
            <v>0.7</v>
          </cell>
          <cell r="V764">
            <v>0.15</v>
          </cell>
          <cell r="W764">
            <v>0</v>
          </cell>
          <cell r="X764" t="str">
            <v>EST ALMOFADA CLAMI 3 (PLUMA SINT) TC CRAFTED GLAZE - 0,9x0,7x0,15H</v>
          </cell>
          <cell r="Y764">
            <v>3522.49</v>
          </cell>
          <cell r="Z764">
            <v>0.35</v>
          </cell>
          <cell r="AA764">
            <v>2289.6185</v>
          </cell>
          <cell r="AB764"/>
        </row>
        <row r="765">
          <cell r="C765">
            <v>0</v>
          </cell>
          <cell r="D765">
            <v>1</v>
          </cell>
          <cell r="E765">
            <v>0</v>
          </cell>
          <cell r="F765">
            <v>0</v>
          </cell>
          <cell r="H765">
            <v>0</v>
          </cell>
          <cell r="O765">
            <v>399496</v>
          </cell>
          <cell r="P765" t="str">
            <v>2025/028-0008-01</v>
          </cell>
          <cell r="Q765" t="str">
            <v>EST MESA JANTAR BELIZE (ORGANICA) (MADEIRA LAMINA FREIJO)</v>
          </cell>
          <cell r="R765"/>
          <cell r="S765"/>
          <cell r="T765">
            <v>3</v>
          </cell>
          <cell r="U765">
            <v>1.4</v>
          </cell>
          <cell r="V765">
            <v>0.76</v>
          </cell>
          <cell r="W765">
            <v>0</v>
          </cell>
          <cell r="X765" t="str">
            <v>EST MESA JANTAR BELIZE (ORGANICA) (MADEIRA LAMINA FREIJO) - 3x1,4x0,76H</v>
          </cell>
          <cell r="Y765">
            <v>27097.95</v>
          </cell>
          <cell r="Z765">
            <v>0.35</v>
          </cell>
          <cell r="AA765">
            <v>17613.667500000003</v>
          </cell>
          <cell r="AB765"/>
        </row>
        <row r="766">
          <cell r="C766">
            <v>2</v>
          </cell>
          <cell r="D766">
            <v>0</v>
          </cell>
          <cell r="E766">
            <v>0</v>
          </cell>
          <cell r="F766">
            <v>0</v>
          </cell>
          <cell r="H766">
            <v>0</v>
          </cell>
          <cell r="O766">
            <v>147428</v>
          </cell>
          <cell r="P766"/>
          <cell r="Q766" t="str">
            <v>EST MANTA TOSCANA FLAMINGO (COD 6312)</v>
          </cell>
          <cell r="R766"/>
          <cell r="S766"/>
          <cell r="T766">
            <v>1.9</v>
          </cell>
          <cell r="U766">
            <v>1.3</v>
          </cell>
          <cell r="V766">
            <v>0.01</v>
          </cell>
          <cell r="W766">
            <v>0</v>
          </cell>
          <cell r="X766" t="str">
            <v>EST MANTA TOSCANA FLAMINGO (COD 6312) - 1,9x1,3x0,01H</v>
          </cell>
          <cell r="Y766">
            <v>500</v>
          </cell>
          <cell r="Z766">
            <v>0.5</v>
          </cell>
          <cell r="AA766">
            <v>250</v>
          </cell>
          <cell r="AB766"/>
        </row>
        <row r="767">
          <cell r="C767">
            <v>2</v>
          </cell>
          <cell r="D767">
            <v>0</v>
          </cell>
          <cell r="E767">
            <v>0</v>
          </cell>
          <cell r="F767">
            <v>0</v>
          </cell>
          <cell r="H767">
            <v>0</v>
          </cell>
          <cell r="O767">
            <v>147428</v>
          </cell>
          <cell r="P767"/>
          <cell r="Q767" t="str">
            <v>EST MANTA TOSCANA FLAMINGO (COD 6312)</v>
          </cell>
          <cell r="R767"/>
          <cell r="S767"/>
          <cell r="T767">
            <v>1.9</v>
          </cell>
          <cell r="U767">
            <v>1.3</v>
          </cell>
          <cell r="V767">
            <v>0.01</v>
          </cell>
          <cell r="W767">
            <v>0</v>
          </cell>
          <cell r="X767" t="str">
            <v>EST MANTA TOSCANA FLAMINGO (COD 6312) - 1,9x1,3x0,01H</v>
          </cell>
          <cell r="Y767">
            <v>500</v>
          </cell>
          <cell r="Z767">
            <v>0.5</v>
          </cell>
          <cell r="AA767">
            <v>250</v>
          </cell>
          <cell r="AB767"/>
        </row>
        <row r="768">
          <cell r="C768">
            <v>2</v>
          </cell>
          <cell r="D768">
            <v>2</v>
          </cell>
          <cell r="E768">
            <v>2</v>
          </cell>
          <cell r="F768">
            <v>0</v>
          </cell>
          <cell r="H768">
            <v>0</v>
          </cell>
          <cell r="O768">
            <v>234033</v>
          </cell>
          <cell r="P768"/>
          <cell r="Q768" t="str">
            <v>EST ALMOFADA (GREEN COMPLIMENT 2 ED) (COD 120550128)</v>
          </cell>
          <cell r="R768"/>
          <cell r="S768"/>
          <cell r="T768">
            <v>0.5</v>
          </cell>
          <cell r="U768">
            <v>0.5</v>
          </cell>
          <cell r="V768">
            <v>0.15</v>
          </cell>
          <cell r="W768">
            <v>0</v>
          </cell>
          <cell r="X768" t="str">
            <v>EST ALMOFADA (GREEN COMPLIMENT 2 ED) (COD 120550128) - 0,5x0,5x0,15H</v>
          </cell>
          <cell r="Y768">
            <v>500</v>
          </cell>
          <cell r="Z768">
            <v>0.5</v>
          </cell>
          <cell r="AA768">
            <v>250</v>
          </cell>
          <cell r="AB768"/>
        </row>
        <row r="769">
          <cell r="C769">
            <v>2</v>
          </cell>
          <cell r="D769">
            <v>2</v>
          </cell>
          <cell r="E769">
            <v>2</v>
          </cell>
          <cell r="F769">
            <v>0</v>
          </cell>
          <cell r="H769">
            <v>0</v>
          </cell>
          <cell r="O769">
            <v>234033</v>
          </cell>
          <cell r="P769"/>
          <cell r="Q769" t="str">
            <v>EST ALMOFADA (GREEN COMPLIMENT 2 ED) (COD 120550128)</v>
          </cell>
          <cell r="R769"/>
          <cell r="S769"/>
          <cell r="T769">
            <v>0.5</v>
          </cell>
          <cell r="U769">
            <v>0.5</v>
          </cell>
          <cell r="V769">
            <v>0.15</v>
          </cell>
          <cell r="W769">
            <v>0</v>
          </cell>
          <cell r="X769" t="str">
            <v>EST ALMOFADA (GREEN COMPLIMENT 2 ED) (COD 120550128) - 0,5x0,5x0,15H</v>
          </cell>
          <cell r="Y769">
            <v>500</v>
          </cell>
          <cell r="Z769">
            <v>0.5</v>
          </cell>
          <cell r="AA769">
            <v>250</v>
          </cell>
          <cell r="AB769"/>
        </row>
        <row r="770">
          <cell r="C770">
            <v>2</v>
          </cell>
          <cell r="D770">
            <v>2</v>
          </cell>
          <cell r="E770">
            <v>2</v>
          </cell>
          <cell r="F770">
            <v>0</v>
          </cell>
          <cell r="H770">
            <v>0</v>
          </cell>
          <cell r="O770">
            <v>234033</v>
          </cell>
          <cell r="P770"/>
          <cell r="Q770" t="str">
            <v>EST ALMOFADA (GREEN COMPLIMENT 2 ED) (COD 120550128)</v>
          </cell>
          <cell r="R770"/>
          <cell r="S770"/>
          <cell r="T770">
            <v>0.5</v>
          </cell>
          <cell r="U770">
            <v>0.5</v>
          </cell>
          <cell r="V770">
            <v>0.15</v>
          </cell>
          <cell r="W770">
            <v>0</v>
          </cell>
          <cell r="X770" t="str">
            <v>EST ALMOFADA (GREEN COMPLIMENT 2 ED) (COD 120550128) - 0,5x0,5x0,15H</v>
          </cell>
          <cell r="Y770">
            <v>500</v>
          </cell>
          <cell r="Z770">
            <v>0.5</v>
          </cell>
          <cell r="AA770">
            <v>250</v>
          </cell>
          <cell r="AB770"/>
        </row>
        <row r="771">
          <cell r="C771">
            <v>2</v>
          </cell>
          <cell r="D771">
            <v>2</v>
          </cell>
          <cell r="E771">
            <v>2</v>
          </cell>
          <cell r="F771">
            <v>0</v>
          </cell>
          <cell r="H771">
            <v>0</v>
          </cell>
          <cell r="O771">
            <v>234033</v>
          </cell>
          <cell r="P771"/>
          <cell r="Q771" t="str">
            <v>EST ALMOFADA (GREEN COMPLIMENT 2 ED) (COD 120550128)</v>
          </cell>
          <cell r="R771"/>
          <cell r="S771"/>
          <cell r="T771">
            <v>0.5</v>
          </cell>
          <cell r="U771">
            <v>0.5</v>
          </cell>
          <cell r="V771">
            <v>0.15</v>
          </cell>
          <cell r="W771">
            <v>0</v>
          </cell>
          <cell r="X771" t="str">
            <v>EST ALMOFADA (GREEN COMPLIMENT 2 ED) (COD 120550128) - 0,5x0,5x0,15H</v>
          </cell>
          <cell r="Y771">
            <v>500</v>
          </cell>
          <cell r="Z771">
            <v>0.5</v>
          </cell>
          <cell r="AA771">
            <v>250</v>
          </cell>
          <cell r="AB771"/>
        </row>
        <row r="772">
          <cell r="C772">
            <v>2</v>
          </cell>
          <cell r="D772">
            <v>2</v>
          </cell>
          <cell r="E772">
            <v>2</v>
          </cell>
          <cell r="F772">
            <v>0</v>
          </cell>
          <cell r="H772">
            <v>0</v>
          </cell>
          <cell r="O772">
            <v>234033</v>
          </cell>
          <cell r="P772"/>
          <cell r="Q772" t="str">
            <v>EST ALMOFADA (GREEN COMPLIMENT 2 ED) (COD 120550128)</v>
          </cell>
          <cell r="R772"/>
          <cell r="S772"/>
          <cell r="T772">
            <v>0.5</v>
          </cell>
          <cell r="U772">
            <v>0.5</v>
          </cell>
          <cell r="V772">
            <v>0.15</v>
          </cell>
          <cell r="W772">
            <v>0</v>
          </cell>
          <cell r="X772" t="str">
            <v>EST ALMOFADA (GREEN COMPLIMENT 2 ED) (COD 120550128) - 0,5x0,5x0,15H</v>
          </cell>
          <cell r="Y772">
            <v>500</v>
          </cell>
          <cell r="Z772">
            <v>0.5</v>
          </cell>
          <cell r="AA772">
            <v>250</v>
          </cell>
          <cell r="AB772"/>
        </row>
        <row r="773">
          <cell r="C773">
            <v>2</v>
          </cell>
          <cell r="D773">
            <v>2</v>
          </cell>
          <cell r="E773">
            <v>2</v>
          </cell>
          <cell r="F773">
            <v>0</v>
          </cell>
          <cell r="H773">
            <v>0</v>
          </cell>
          <cell r="O773">
            <v>234033</v>
          </cell>
          <cell r="P773"/>
          <cell r="Q773" t="str">
            <v>EST ALMOFADA (GREEN COMPLIMENT 2 ED) (COD 120550128)</v>
          </cell>
          <cell r="R773"/>
          <cell r="S773"/>
          <cell r="T773">
            <v>0.5</v>
          </cell>
          <cell r="U773">
            <v>0.5</v>
          </cell>
          <cell r="V773">
            <v>0.15</v>
          </cell>
          <cell r="W773">
            <v>0</v>
          </cell>
          <cell r="X773" t="str">
            <v>EST ALMOFADA (GREEN COMPLIMENT 2 ED) (COD 120550128) - 0,5x0,5x0,15H</v>
          </cell>
          <cell r="Y773">
            <v>500</v>
          </cell>
          <cell r="Z773">
            <v>0.5</v>
          </cell>
          <cell r="AA773">
            <v>250</v>
          </cell>
          <cell r="AB773"/>
        </row>
        <row r="774">
          <cell r="C774">
            <v>1</v>
          </cell>
          <cell r="D774">
            <v>0</v>
          </cell>
          <cell r="E774">
            <v>0</v>
          </cell>
          <cell r="F774">
            <v>0</v>
          </cell>
          <cell r="H774">
            <v>0</v>
          </cell>
          <cell r="O774">
            <v>234035</v>
          </cell>
          <cell r="P774"/>
          <cell r="Q774" t="str">
            <v>EST ALMOFADA (PITANGA) (120550064)</v>
          </cell>
          <cell r="R774"/>
          <cell r="S774"/>
          <cell r="T774">
            <v>0.5</v>
          </cell>
          <cell r="U774">
            <v>0.5</v>
          </cell>
          <cell r="V774">
            <v>0.15</v>
          </cell>
          <cell r="W774">
            <v>0</v>
          </cell>
          <cell r="X774" t="str">
            <v>EST ALMOFADA (PITANGA) (120550064) - 0,5x0,5x0,15H</v>
          </cell>
          <cell r="Y774">
            <v>500</v>
          </cell>
          <cell r="Z774">
            <v>0.5</v>
          </cell>
          <cell r="AA774">
            <v>250</v>
          </cell>
          <cell r="AB774"/>
        </row>
        <row r="775">
          <cell r="C775">
            <v>1</v>
          </cell>
          <cell r="D775">
            <v>0</v>
          </cell>
          <cell r="E775">
            <v>0</v>
          </cell>
          <cell r="F775">
            <v>0</v>
          </cell>
          <cell r="H775">
            <v>0</v>
          </cell>
          <cell r="O775">
            <v>234035</v>
          </cell>
          <cell r="P775"/>
          <cell r="Q775" t="str">
            <v>EST ALMOFADA (PITANGA) (120550064)</v>
          </cell>
          <cell r="R775"/>
          <cell r="S775"/>
          <cell r="T775">
            <v>0.5</v>
          </cell>
          <cell r="U775">
            <v>0.5</v>
          </cell>
          <cell r="V775">
            <v>0.15</v>
          </cell>
          <cell r="W775">
            <v>0</v>
          </cell>
          <cell r="X775" t="str">
            <v>EST ALMOFADA (PITANGA) (120550064) - 0,5x0,5x0,15H</v>
          </cell>
          <cell r="Y775">
            <v>500</v>
          </cell>
          <cell r="Z775">
            <v>0.5</v>
          </cell>
          <cell r="AA775">
            <v>250</v>
          </cell>
          <cell r="AB775"/>
        </row>
        <row r="776">
          <cell r="C776">
            <v>1</v>
          </cell>
          <cell r="D776">
            <v>0</v>
          </cell>
          <cell r="E776">
            <v>0</v>
          </cell>
          <cell r="F776">
            <v>0</v>
          </cell>
          <cell r="H776">
            <v>0</v>
          </cell>
          <cell r="O776">
            <v>234035</v>
          </cell>
          <cell r="P776"/>
          <cell r="Q776" t="str">
            <v>EST ALMOFADA (PITANGA) (120550064)</v>
          </cell>
          <cell r="R776"/>
          <cell r="S776"/>
          <cell r="T776">
            <v>0.5</v>
          </cell>
          <cell r="U776">
            <v>0.5</v>
          </cell>
          <cell r="V776">
            <v>0.15</v>
          </cell>
          <cell r="W776">
            <v>0</v>
          </cell>
          <cell r="X776" t="str">
            <v>EST ALMOFADA (PITANGA) (120550064) - 0,5x0,5x0,15H</v>
          </cell>
          <cell r="Y776">
            <v>500</v>
          </cell>
          <cell r="Z776">
            <v>0.5</v>
          </cell>
          <cell r="AA776">
            <v>250</v>
          </cell>
          <cell r="AB776"/>
        </row>
        <row r="777">
          <cell r="C777">
            <v>2</v>
          </cell>
          <cell r="D777">
            <v>0</v>
          </cell>
          <cell r="E777">
            <v>0</v>
          </cell>
          <cell r="F777">
            <v>0</v>
          </cell>
          <cell r="H777">
            <v>0</v>
          </cell>
          <cell r="O777">
            <v>234039</v>
          </cell>
          <cell r="P777"/>
          <cell r="Q777" t="str">
            <v>EST ALMOFADA (GREY LINEN) (COR 110350039)</v>
          </cell>
          <cell r="R777"/>
          <cell r="S777"/>
          <cell r="T777">
            <v>0.5</v>
          </cell>
          <cell r="U777">
            <v>0.5</v>
          </cell>
          <cell r="V777">
            <v>0.15</v>
          </cell>
          <cell r="W777">
            <v>0</v>
          </cell>
          <cell r="X777" t="str">
            <v>EST ALMOFADA (GREY LINEN) (COR 110350039) - 0,5x0,5x0,15H</v>
          </cell>
          <cell r="Y777">
            <v>500</v>
          </cell>
          <cell r="Z777">
            <v>0.5</v>
          </cell>
          <cell r="AA777">
            <v>250</v>
          </cell>
          <cell r="AB777"/>
        </row>
        <row r="778">
          <cell r="C778">
            <v>2</v>
          </cell>
          <cell r="D778">
            <v>0</v>
          </cell>
          <cell r="E778">
            <v>0</v>
          </cell>
          <cell r="F778">
            <v>0</v>
          </cell>
          <cell r="H778">
            <v>0</v>
          </cell>
          <cell r="O778">
            <v>234039</v>
          </cell>
          <cell r="P778"/>
          <cell r="Q778" t="str">
            <v>EST ALMOFADA (GREY LINEN) (COR 110350039)</v>
          </cell>
          <cell r="R778"/>
          <cell r="S778"/>
          <cell r="T778">
            <v>0.5</v>
          </cell>
          <cell r="U778">
            <v>0.5</v>
          </cell>
          <cell r="V778">
            <v>0.15</v>
          </cell>
          <cell r="W778">
            <v>0</v>
          </cell>
          <cell r="X778" t="str">
            <v>EST ALMOFADA (GREY LINEN) (COR 110350039) - 0,5x0,5x0,15H</v>
          </cell>
          <cell r="Y778">
            <v>500</v>
          </cell>
          <cell r="Z778">
            <v>0.5</v>
          </cell>
          <cell r="AA778">
            <v>250</v>
          </cell>
          <cell r="AB778"/>
        </row>
        <row r="779">
          <cell r="C779">
            <v>2</v>
          </cell>
          <cell r="D779">
            <v>0</v>
          </cell>
          <cell r="E779">
            <v>0</v>
          </cell>
          <cell r="F779">
            <v>0</v>
          </cell>
          <cell r="H779">
            <v>0</v>
          </cell>
          <cell r="O779">
            <v>234039</v>
          </cell>
          <cell r="P779"/>
          <cell r="Q779" t="str">
            <v>EST ALMOFADA (GREY LINEN) (COR 110350039)</v>
          </cell>
          <cell r="R779"/>
          <cell r="S779"/>
          <cell r="T779">
            <v>0.5</v>
          </cell>
          <cell r="U779">
            <v>0.5</v>
          </cell>
          <cell r="V779">
            <v>0.15</v>
          </cell>
          <cell r="W779">
            <v>0</v>
          </cell>
          <cell r="X779" t="str">
            <v>EST ALMOFADA (GREY LINEN) (COR 110350039) - 0,5x0,5x0,15H</v>
          </cell>
          <cell r="Y779">
            <v>500</v>
          </cell>
          <cell r="Z779">
            <v>0.5</v>
          </cell>
          <cell r="AA779">
            <v>250</v>
          </cell>
          <cell r="AB779"/>
        </row>
        <row r="780">
          <cell r="C780">
            <v>2</v>
          </cell>
          <cell r="D780">
            <v>0</v>
          </cell>
          <cell r="E780">
            <v>0</v>
          </cell>
          <cell r="F780">
            <v>0</v>
          </cell>
          <cell r="H780">
            <v>0</v>
          </cell>
          <cell r="O780">
            <v>234039</v>
          </cell>
          <cell r="P780"/>
          <cell r="Q780" t="str">
            <v>EST ALMOFADA (GREY LINEN) (COR 110350039)</v>
          </cell>
          <cell r="R780"/>
          <cell r="S780"/>
          <cell r="T780">
            <v>0.5</v>
          </cell>
          <cell r="U780">
            <v>0.5</v>
          </cell>
          <cell r="V780">
            <v>0.15</v>
          </cell>
          <cell r="W780">
            <v>0</v>
          </cell>
          <cell r="X780" t="str">
            <v>EST ALMOFADA (GREY LINEN) (COR 110350039) - 0,5x0,5x0,15H</v>
          </cell>
          <cell r="Y780">
            <v>500</v>
          </cell>
          <cell r="Z780">
            <v>0.5</v>
          </cell>
          <cell r="AA780">
            <v>250</v>
          </cell>
          <cell r="AB780"/>
        </row>
        <row r="781">
          <cell r="C781">
            <v>1</v>
          </cell>
          <cell r="D781">
            <v>0</v>
          </cell>
          <cell r="E781">
            <v>0</v>
          </cell>
          <cell r="F781">
            <v>0</v>
          </cell>
          <cell r="H781">
            <v>0</v>
          </cell>
          <cell r="O781">
            <v>234045</v>
          </cell>
          <cell r="P781"/>
          <cell r="Q781" t="str">
            <v>EST ALMOFADA (FASHION DUMMY) (COD 110450007)</v>
          </cell>
          <cell r="R781"/>
          <cell r="S781"/>
          <cell r="T781">
            <v>0.5</v>
          </cell>
          <cell r="U781">
            <v>0.5</v>
          </cell>
          <cell r="V781">
            <v>0.15</v>
          </cell>
          <cell r="W781">
            <v>0</v>
          </cell>
          <cell r="X781" t="str">
            <v>EST ALMOFADA (FASHION DUMMY) (COD 110450007) - 0,5x0,5x0,15H</v>
          </cell>
          <cell r="Y781">
            <v>500</v>
          </cell>
          <cell r="Z781">
            <v>0.5</v>
          </cell>
          <cell r="AA781">
            <v>250</v>
          </cell>
          <cell r="AB781"/>
        </row>
        <row r="782">
          <cell r="C782">
            <v>4</v>
          </cell>
          <cell r="D782">
            <v>0</v>
          </cell>
          <cell r="E782">
            <v>0</v>
          </cell>
          <cell r="F782">
            <v>0</v>
          </cell>
          <cell r="H782">
            <v>0</v>
          </cell>
          <cell r="O782">
            <v>234048</v>
          </cell>
          <cell r="P782"/>
          <cell r="Q782" t="str">
            <v>EST ALMOFADA (TEXT B&amp;W LADO AVESSO) (COD 110650002)</v>
          </cell>
          <cell r="R782"/>
          <cell r="S782"/>
          <cell r="T782">
            <v>0.5</v>
          </cell>
          <cell r="U782">
            <v>0.5</v>
          </cell>
          <cell r="V782">
            <v>0.15</v>
          </cell>
          <cell r="W782">
            <v>0</v>
          </cell>
          <cell r="X782" t="str">
            <v>EST ALMOFADA (TEXT B&amp;W LADO AVESSO) (COD 110650002) - 0,5x0,5x0,15H</v>
          </cell>
          <cell r="Y782">
            <v>500</v>
          </cell>
          <cell r="Z782">
            <v>0.5</v>
          </cell>
          <cell r="AA782">
            <v>250</v>
          </cell>
          <cell r="AB782"/>
        </row>
        <row r="783">
          <cell r="C783">
            <v>4</v>
          </cell>
          <cell r="D783">
            <v>0</v>
          </cell>
          <cell r="E783">
            <v>0</v>
          </cell>
          <cell r="F783">
            <v>0</v>
          </cell>
          <cell r="H783">
            <v>0</v>
          </cell>
          <cell r="O783">
            <v>234048</v>
          </cell>
          <cell r="P783"/>
          <cell r="Q783" t="str">
            <v>EST ALMOFADA (TEXT B&amp;W LADO AVESSO) (COD 110650002)</v>
          </cell>
          <cell r="R783"/>
          <cell r="S783"/>
          <cell r="T783">
            <v>0.5</v>
          </cell>
          <cell r="U783">
            <v>0.5</v>
          </cell>
          <cell r="V783">
            <v>0.15</v>
          </cell>
          <cell r="W783">
            <v>0</v>
          </cell>
          <cell r="X783" t="str">
            <v>EST ALMOFADA (TEXT B&amp;W LADO AVESSO) (COD 110650002) - 0,5x0,5x0,15H</v>
          </cell>
          <cell r="Y783">
            <v>500</v>
          </cell>
          <cell r="Z783">
            <v>0.5</v>
          </cell>
          <cell r="AA783">
            <v>250</v>
          </cell>
          <cell r="AB783"/>
        </row>
        <row r="784">
          <cell r="C784">
            <v>4</v>
          </cell>
          <cell r="D784">
            <v>0</v>
          </cell>
          <cell r="E784">
            <v>0</v>
          </cell>
          <cell r="F784">
            <v>0</v>
          </cell>
          <cell r="H784">
            <v>0</v>
          </cell>
          <cell r="O784">
            <v>234048</v>
          </cell>
          <cell r="P784"/>
          <cell r="Q784" t="str">
            <v>EST ALMOFADA (TEXT B&amp;W LADO AVESSO) (COD 110650002)</v>
          </cell>
          <cell r="R784"/>
          <cell r="S784"/>
          <cell r="T784">
            <v>0.5</v>
          </cell>
          <cell r="U784">
            <v>0.5</v>
          </cell>
          <cell r="V784">
            <v>0.15</v>
          </cell>
          <cell r="W784">
            <v>0</v>
          </cell>
          <cell r="X784" t="str">
            <v>EST ALMOFADA (TEXT B&amp;W LADO AVESSO) (COD 110650002) - 0,5x0,5x0,15H</v>
          </cell>
          <cell r="Y784">
            <v>500</v>
          </cell>
          <cell r="Z784">
            <v>0.5</v>
          </cell>
          <cell r="AA784">
            <v>250</v>
          </cell>
          <cell r="AB784"/>
        </row>
        <row r="785">
          <cell r="C785">
            <v>4</v>
          </cell>
          <cell r="D785">
            <v>0</v>
          </cell>
          <cell r="E785">
            <v>0</v>
          </cell>
          <cell r="F785">
            <v>0</v>
          </cell>
          <cell r="H785">
            <v>0</v>
          </cell>
          <cell r="O785">
            <v>234048</v>
          </cell>
          <cell r="P785"/>
          <cell r="Q785" t="str">
            <v>EST ALMOFADA (TEXT B&amp;W LADO AVESSO) (COD 110650002)</v>
          </cell>
          <cell r="R785"/>
          <cell r="S785"/>
          <cell r="T785">
            <v>0.5</v>
          </cell>
          <cell r="U785">
            <v>0.5</v>
          </cell>
          <cell r="V785">
            <v>0.15</v>
          </cell>
          <cell r="W785">
            <v>0</v>
          </cell>
          <cell r="X785" t="str">
            <v>EST ALMOFADA (TEXT B&amp;W LADO AVESSO) (COD 110650002) - 0,5x0,5x0,15H</v>
          </cell>
          <cell r="Y785">
            <v>500</v>
          </cell>
          <cell r="Z785">
            <v>0.5</v>
          </cell>
          <cell r="AA785">
            <v>250</v>
          </cell>
          <cell r="AB785"/>
        </row>
        <row r="786">
          <cell r="C786">
            <v>5</v>
          </cell>
          <cell r="D786">
            <v>0</v>
          </cell>
          <cell r="E786">
            <v>0</v>
          </cell>
          <cell r="F786">
            <v>0</v>
          </cell>
          <cell r="H786">
            <v>0</v>
          </cell>
          <cell r="O786">
            <v>250139</v>
          </cell>
          <cell r="P786"/>
          <cell r="Q786" t="str">
            <v>EST ALMOFADA ONDAS (PONTO 31) (CINZA) (COD 4006)</v>
          </cell>
          <cell r="R786"/>
          <cell r="S786"/>
          <cell r="T786">
            <v>0.5</v>
          </cell>
          <cell r="U786">
            <v>0.5</v>
          </cell>
          <cell r="V786">
            <v>0.15</v>
          </cell>
          <cell r="W786">
            <v>0</v>
          </cell>
          <cell r="X786" t="str">
            <v>EST ALMOFADA ONDAS (PONTO 31) (CINZA) (COD 4006) - 0,5x0,5x0,15H</v>
          </cell>
          <cell r="Y786">
            <v>1200</v>
          </cell>
          <cell r="Z786">
            <v>0.5</v>
          </cell>
          <cell r="AA786">
            <v>600</v>
          </cell>
          <cell r="AB786"/>
        </row>
        <row r="787">
          <cell r="C787">
            <v>5</v>
          </cell>
          <cell r="D787">
            <v>0</v>
          </cell>
          <cell r="E787">
            <v>0</v>
          </cell>
          <cell r="F787">
            <v>0</v>
          </cell>
          <cell r="H787">
            <v>0</v>
          </cell>
          <cell r="O787">
            <v>250139</v>
          </cell>
          <cell r="P787"/>
          <cell r="Q787" t="str">
            <v>EST ALMOFADA ONDAS (PONTO 31) (CINZA) (COD 4006)</v>
          </cell>
          <cell r="R787"/>
          <cell r="S787"/>
          <cell r="T787">
            <v>0.5</v>
          </cell>
          <cell r="U787">
            <v>0.5</v>
          </cell>
          <cell r="V787">
            <v>0.15</v>
          </cell>
          <cell r="W787">
            <v>0</v>
          </cell>
          <cell r="X787" t="str">
            <v>EST ALMOFADA ONDAS (PONTO 31) (CINZA) (COD 4006) - 0,5x0,5x0,15H</v>
          </cell>
          <cell r="Y787">
            <v>1200</v>
          </cell>
          <cell r="Z787">
            <v>0.5</v>
          </cell>
          <cell r="AA787">
            <v>600</v>
          </cell>
          <cell r="AB787"/>
        </row>
        <row r="788">
          <cell r="C788">
            <v>4</v>
          </cell>
          <cell r="D788">
            <v>0</v>
          </cell>
          <cell r="E788">
            <v>0</v>
          </cell>
          <cell r="F788">
            <v>0</v>
          </cell>
          <cell r="H788">
            <v>0</v>
          </cell>
          <cell r="O788">
            <v>250140</v>
          </cell>
          <cell r="P788"/>
          <cell r="Q788" t="str">
            <v>EST ALMOFADA ONDAS (PONTO X) (ROSE) (COD 4006)</v>
          </cell>
          <cell r="R788"/>
          <cell r="S788"/>
          <cell r="T788">
            <v>0.5</v>
          </cell>
          <cell r="U788">
            <v>0.5</v>
          </cell>
          <cell r="V788">
            <v>0.15</v>
          </cell>
          <cell r="W788">
            <v>0</v>
          </cell>
          <cell r="X788" t="str">
            <v>EST ALMOFADA ONDAS (PONTO X) (ROSE) (COD 4006) - 0,5x0,5x0,15H</v>
          </cell>
          <cell r="Y788">
            <v>1200</v>
          </cell>
          <cell r="Z788">
            <v>0.5</v>
          </cell>
          <cell r="AA788">
            <v>600</v>
          </cell>
          <cell r="AB788"/>
        </row>
        <row r="789">
          <cell r="C789">
            <v>4</v>
          </cell>
          <cell r="D789">
            <v>0</v>
          </cell>
          <cell r="E789">
            <v>0</v>
          </cell>
          <cell r="F789">
            <v>0</v>
          </cell>
          <cell r="H789">
            <v>0</v>
          </cell>
          <cell r="O789">
            <v>250140</v>
          </cell>
          <cell r="P789"/>
          <cell r="Q789" t="str">
            <v>EST ALMOFADA ONDAS (PONTO X) (ROSE) (COD 4006)</v>
          </cell>
          <cell r="R789"/>
          <cell r="S789"/>
          <cell r="T789">
            <v>0.5</v>
          </cell>
          <cell r="U789">
            <v>0.5</v>
          </cell>
          <cell r="V789">
            <v>0.15</v>
          </cell>
          <cell r="W789">
            <v>0</v>
          </cell>
          <cell r="X789" t="str">
            <v>EST ALMOFADA ONDAS (PONTO X) (ROSE) (COD 4006) - 0,5x0,5x0,15H</v>
          </cell>
          <cell r="Y789">
            <v>1200</v>
          </cell>
          <cell r="Z789">
            <v>0.5</v>
          </cell>
          <cell r="AA789">
            <v>600</v>
          </cell>
          <cell r="AB789"/>
        </row>
        <row r="790">
          <cell r="C790">
            <v>4</v>
          </cell>
          <cell r="D790">
            <v>0</v>
          </cell>
          <cell r="E790">
            <v>0</v>
          </cell>
          <cell r="F790">
            <v>0</v>
          </cell>
          <cell r="H790">
            <v>0</v>
          </cell>
          <cell r="O790">
            <v>250140</v>
          </cell>
          <cell r="P790"/>
          <cell r="Q790" t="str">
            <v>EST ALMOFADA ONDAS (PONTO X) (ROSE) (COD 4006)</v>
          </cell>
          <cell r="R790"/>
          <cell r="S790"/>
          <cell r="T790">
            <v>0.5</v>
          </cell>
          <cell r="U790">
            <v>0.5</v>
          </cell>
          <cell r="V790">
            <v>0.15</v>
          </cell>
          <cell r="W790">
            <v>0</v>
          </cell>
          <cell r="X790" t="str">
            <v>EST ALMOFADA ONDAS (PONTO X) (ROSE) (COD 4006) - 0,5x0,5x0,15H</v>
          </cell>
          <cell r="Y790">
            <v>1200</v>
          </cell>
          <cell r="Z790">
            <v>0.5</v>
          </cell>
          <cell r="AA790">
            <v>600</v>
          </cell>
          <cell r="AB790"/>
        </row>
        <row r="791">
          <cell r="C791">
            <v>4</v>
          </cell>
          <cell r="D791">
            <v>0</v>
          </cell>
          <cell r="E791">
            <v>0</v>
          </cell>
          <cell r="F791">
            <v>0</v>
          </cell>
          <cell r="H791">
            <v>0</v>
          </cell>
          <cell r="O791">
            <v>250140</v>
          </cell>
          <cell r="P791"/>
          <cell r="Q791" t="str">
            <v>EST ALMOFADA ONDAS (PONTO X) (ROSE) (COD 4006)</v>
          </cell>
          <cell r="R791"/>
          <cell r="S791"/>
          <cell r="T791">
            <v>0.5</v>
          </cell>
          <cell r="U791">
            <v>0.5</v>
          </cell>
          <cell r="V791">
            <v>0.15</v>
          </cell>
          <cell r="W791">
            <v>0</v>
          </cell>
          <cell r="X791" t="str">
            <v>EST ALMOFADA ONDAS (PONTO X) (ROSE) (COD 4006) - 0,5x0,5x0,15H</v>
          </cell>
          <cell r="Y791">
            <v>1200</v>
          </cell>
          <cell r="Z791">
            <v>0.5</v>
          </cell>
          <cell r="AA791">
            <v>600</v>
          </cell>
          <cell r="AB791"/>
        </row>
        <row r="792">
          <cell r="C792">
            <v>1</v>
          </cell>
          <cell r="D792">
            <v>0</v>
          </cell>
          <cell r="E792">
            <v>0</v>
          </cell>
          <cell r="F792">
            <v>0</v>
          </cell>
          <cell r="H792">
            <v>0</v>
          </cell>
          <cell r="O792">
            <v>252450</v>
          </cell>
          <cell r="P792"/>
          <cell r="Q792" t="str">
            <v>EST MANTA DOHA (AZUL)</v>
          </cell>
          <cell r="R792"/>
          <cell r="S792"/>
          <cell r="T792">
            <v>1.7</v>
          </cell>
          <cell r="U792">
            <v>1.3</v>
          </cell>
          <cell r="V792">
            <v>0.01</v>
          </cell>
          <cell r="W792">
            <v>0</v>
          </cell>
          <cell r="X792" t="str">
            <v>EST MANTA DOHA (AZUL) - 1,7x1,3x0,01H</v>
          </cell>
          <cell r="Y792">
            <v>500</v>
          </cell>
          <cell r="Z792">
            <v>0.5</v>
          </cell>
          <cell r="AA792">
            <v>250</v>
          </cell>
          <cell r="AB792"/>
        </row>
        <row r="793">
          <cell r="C793">
            <v>1</v>
          </cell>
          <cell r="D793">
            <v>0</v>
          </cell>
          <cell r="E793">
            <v>0</v>
          </cell>
          <cell r="F793">
            <v>0</v>
          </cell>
          <cell r="H793">
            <v>0</v>
          </cell>
          <cell r="O793">
            <v>252450</v>
          </cell>
          <cell r="P793"/>
          <cell r="Q793" t="str">
            <v>EST MANTA DOHA (AZUL)</v>
          </cell>
          <cell r="R793"/>
          <cell r="S793"/>
          <cell r="T793">
            <v>1.7</v>
          </cell>
          <cell r="U793">
            <v>1.3</v>
          </cell>
          <cell r="V793">
            <v>0.01</v>
          </cell>
          <cell r="W793">
            <v>0</v>
          </cell>
          <cell r="X793" t="str">
            <v>EST MANTA DOHA (AZUL) - 1,7x1,3x0,01H</v>
          </cell>
          <cell r="Y793">
            <v>500</v>
          </cell>
          <cell r="Z793">
            <v>0.5</v>
          </cell>
          <cell r="AA793">
            <v>250</v>
          </cell>
          <cell r="AB793"/>
        </row>
        <row r="794">
          <cell r="C794">
            <v>4</v>
          </cell>
          <cell r="D794">
            <v>0</v>
          </cell>
          <cell r="E794">
            <v>0</v>
          </cell>
          <cell r="F794">
            <v>0</v>
          </cell>
          <cell r="H794">
            <v>0</v>
          </cell>
          <cell r="O794">
            <v>252451</v>
          </cell>
          <cell r="P794"/>
          <cell r="Q794" t="str">
            <v>EST MANTA DOHA (LARANJA)</v>
          </cell>
          <cell r="R794"/>
          <cell r="S794"/>
          <cell r="T794">
            <v>1.7</v>
          </cell>
          <cell r="U794">
            <v>1.3</v>
          </cell>
          <cell r="V794">
            <v>0.01</v>
          </cell>
          <cell r="W794">
            <v>0</v>
          </cell>
          <cell r="X794" t="str">
            <v>EST MANTA DOHA (LARANJA) - 1,7x1,3x0,01H</v>
          </cell>
          <cell r="Y794">
            <v>500</v>
          </cell>
          <cell r="Z794">
            <v>0.5</v>
          </cell>
          <cell r="AA794">
            <v>250</v>
          </cell>
          <cell r="AB794"/>
        </row>
        <row r="795">
          <cell r="C795">
            <v>4</v>
          </cell>
          <cell r="D795">
            <v>0</v>
          </cell>
          <cell r="E795">
            <v>0</v>
          </cell>
          <cell r="F795">
            <v>0</v>
          </cell>
          <cell r="H795">
            <v>0</v>
          </cell>
          <cell r="O795">
            <v>252451</v>
          </cell>
          <cell r="P795"/>
          <cell r="Q795" t="str">
            <v>EST MANTA DOHA (LARANJA)</v>
          </cell>
          <cell r="R795"/>
          <cell r="S795"/>
          <cell r="T795">
            <v>1.7</v>
          </cell>
          <cell r="U795">
            <v>1.3</v>
          </cell>
          <cell r="V795">
            <v>0.01</v>
          </cell>
          <cell r="W795">
            <v>0</v>
          </cell>
          <cell r="X795" t="str">
            <v>EST MANTA DOHA (LARANJA) - 1,7x1,3x0,01H</v>
          </cell>
          <cell r="Y795">
            <v>500</v>
          </cell>
          <cell r="Z795">
            <v>0.5</v>
          </cell>
          <cell r="AA795">
            <v>250</v>
          </cell>
          <cell r="AB795"/>
        </row>
        <row r="796">
          <cell r="C796">
            <v>4</v>
          </cell>
          <cell r="D796">
            <v>0</v>
          </cell>
          <cell r="E796">
            <v>0</v>
          </cell>
          <cell r="F796">
            <v>0</v>
          </cell>
          <cell r="H796">
            <v>0</v>
          </cell>
          <cell r="O796">
            <v>252451</v>
          </cell>
          <cell r="P796"/>
          <cell r="Q796" t="str">
            <v>EST MANTA DOHA (LARANJA)</v>
          </cell>
          <cell r="R796"/>
          <cell r="S796"/>
          <cell r="T796">
            <v>1.7</v>
          </cell>
          <cell r="U796">
            <v>1.3</v>
          </cell>
          <cell r="V796">
            <v>0.01</v>
          </cell>
          <cell r="W796">
            <v>0</v>
          </cell>
          <cell r="X796" t="str">
            <v>EST MANTA DOHA (LARANJA) - 1,7x1,3x0,01H</v>
          </cell>
          <cell r="Y796">
            <v>500</v>
          </cell>
          <cell r="Z796">
            <v>0.5</v>
          </cell>
          <cell r="AA796">
            <v>250</v>
          </cell>
          <cell r="AB796"/>
        </row>
        <row r="797">
          <cell r="C797">
            <v>4</v>
          </cell>
          <cell r="D797">
            <v>0</v>
          </cell>
          <cell r="E797">
            <v>0</v>
          </cell>
          <cell r="F797">
            <v>0</v>
          </cell>
          <cell r="H797">
            <v>0</v>
          </cell>
          <cell r="O797">
            <v>252451</v>
          </cell>
          <cell r="P797"/>
          <cell r="Q797" t="str">
            <v>EST MANTA DOHA (LARANJA)</v>
          </cell>
          <cell r="R797"/>
          <cell r="S797"/>
          <cell r="T797">
            <v>1.7</v>
          </cell>
          <cell r="U797">
            <v>1.3</v>
          </cell>
          <cell r="V797">
            <v>0.01</v>
          </cell>
          <cell r="W797">
            <v>0</v>
          </cell>
          <cell r="X797" t="str">
            <v>EST MANTA DOHA (LARANJA) - 1,7x1,3x0,01H</v>
          </cell>
          <cell r="Y797">
            <v>500</v>
          </cell>
          <cell r="Z797">
            <v>0.5</v>
          </cell>
          <cell r="AA797">
            <v>250</v>
          </cell>
          <cell r="AB797"/>
        </row>
        <row r="798">
          <cell r="C798">
            <v>4</v>
          </cell>
          <cell r="D798">
            <v>0</v>
          </cell>
          <cell r="E798">
            <v>0</v>
          </cell>
          <cell r="F798">
            <v>0</v>
          </cell>
          <cell r="H798">
            <v>0</v>
          </cell>
          <cell r="O798">
            <v>252451</v>
          </cell>
          <cell r="P798"/>
          <cell r="Q798" t="str">
            <v>EST MANTA DOHA (LARANJA)</v>
          </cell>
          <cell r="R798"/>
          <cell r="S798"/>
          <cell r="T798">
            <v>1.7</v>
          </cell>
          <cell r="U798">
            <v>1.3</v>
          </cell>
          <cell r="V798">
            <v>0.01</v>
          </cell>
          <cell r="W798">
            <v>0</v>
          </cell>
          <cell r="X798" t="str">
            <v>EST MANTA DOHA (LARANJA) - 1,7x1,3x0,01H</v>
          </cell>
          <cell r="Y798">
            <v>500</v>
          </cell>
          <cell r="Z798">
            <v>0.5</v>
          </cell>
          <cell r="AA798">
            <v>250</v>
          </cell>
          <cell r="AB798"/>
        </row>
        <row r="799">
          <cell r="C799">
            <v>4</v>
          </cell>
          <cell r="D799">
            <v>0</v>
          </cell>
          <cell r="E799">
            <v>0</v>
          </cell>
          <cell r="F799">
            <v>0</v>
          </cell>
          <cell r="H799">
            <v>0</v>
          </cell>
          <cell r="O799">
            <v>252451</v>
          </cell>
          <cell r="P799"/>
          <cell r="Q799" t="str">
            <v>EST MANTA DOHA (LARANJA)</v>
          </cell>
          <cell r="R799"/>
          <cell r="S799"/>
          <cell r="T799">
            <v>1.7</v>
          </cell>
          <cell r="U799">
            <v>1.3</v>
          </cell>
          <cell r="V799">
            <v>0.01</v>
          </cell>
          <cell r="W799">
            <v>0</v>
          </cell>
          <cell r="X799" t="str">
            <v>EST MANTA DOHA (LARANJA) - 1,7x1,3x0,01H</v>
          </cell>
          <cell r="Y799">
            <v>500</v>
          </cell>
          <cell r="Z799">
            <v>0.5</v>
          </cell>
          <cell r="AA799">
            <v>250</v>
          </cell>
          <cell r="AB799"/>
        </row>
        <row r="800">
          <cell r="C800">
            <v>2</v>
          </cell>
          <cell r="D800">
            <v>0</v>
          </cell>
          <cell r="E800">
            <v>0</v>
          </cell>
          <cell r="F800">
            <v>0</v>
          </cell>
          <cell r="H800">
            <v>0</v>
          </cell>
          <cell r="O800">
            <v>265897</v>
          </cell>
          <cell r="P800"/>
          <cell r="Q800" t="str">
            <v>EST ALMOFADA MACRAME (MARINHO)</v>
          </cell>
          <cell r="R800"/>
          <cell r="S800"/>
          <cell r="T800">
            <v>0.5</v>
          </cell>
          <cell r="U800">
            <v>0.5</v>
          </cell>
          <cell r="V800">
            <v>0.15</v>
          </cell>
          <cell r="W800">
            <v>0</v>
          </cell>
          <cell r="X800" t="str">
            <v>EST ALMOFADA MACRAME (MARINHO) - 0,5x0,5x0,15H</v>
          </cell>
          <cell r="Y800">
            <v>1200</v>
          </cell>
          <cell r="Z800">
            <v>0.5</v>
          </cell>
          <cell r="AA800">
            <v>600</v>
          </cell>
          <cell r="AB800"/>
        </row>
        <row r="801">
          <cell r="C801">
            <v>2</v>
          </cell>
          <cell r="D801">
            <v>0</v>
          </cell>
          <cell r="E801">
            <v>0</v>
          </cell>
          <cell r="F801">
            <v>0</v>
          </cell>
          <cell r="H801">
            <v>0</v>
          </cell>
          <cell r="O801">
            <v>265897</v>
          </cell>
          <cell r="P801"/>
          <cell r="Q801" t="str">
            <v>EST ALMOFADA MACRAME (MARINHO)</v>
          </cell>
          <cell r="R801"/>
          <cell r="S801"/>
          <cell r="T801">
            <v>0.5</v>
          </cell>
          <cell r="U801">
            <v>0.5</v>
          </cell>
          <cell r="V801">
            <v>0.15</v>
          </cell>
          <cell r="W801">
            <v>0</v>
          </cell>
          <cell r="X801" t="str">
            <v>EST ALMOFADA MACRAME (MARINHO) - 0,5x0,5x0,15H</v>
          </cell>
          <cell r="Y801">
            <v>1200</v>
          </cell>
          <cell r="Z801">
            <v>0.5</v>
          </cell>
          <cell r="AA801">
            <v>600</v>
          </cell>
          <cell r="AB801"/>
        </row>
        <row r="802">
          <cell r="C802">
            <v>1</v>
          </cell>
          <cell r="D802">
            <v>0</v>
          </cell>
          <cell r="E802">
            <v>0</v>
          </cell>
          <cell r="F802">
            <v>0</v>
          </cell>
          <cell r="H802">
            <v>0</v>
          </cell>
          <cell r="O802">
            <v>265899</v>
          </cell>
          <cell r="P802"/>
          <cell r="Q802" t="str">
            <v>EST ALMOFADA PLAIN (TELHA)</v>
          </cell>
          <cell r="R802"/>
          <cell r="S802"/>
          <cell r="T802">
            <v>0.5</v>
          </cell>
          <cell r="U802">
            <v>0.5</v>
          </cell>
          <cell r="V802">
            <v>0.15</v>
          </cell>
          <cell r="W802">
            <v>0</v>
          </cell>
          <cell r="X802" t="str">
            <v>EST ALMOFADA PLAIN (TELHA) - 0,5x0,5x0,15H</v>
          </cell>
          <cell r="Y802">
            <v>500</v>
          </cell>
          <cell r="Z802">
            <v>0.5</v>
          </cell>
          <cell r="AA802">
            <v>250</v>
          </cell>
          <cell r="AB802"/>
        </row>
        <row r="803"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H803">
            <v>0</v>
          </cell>
          <cell r="O803">
            <v>271503</v>
          </cell>
          <cell r="P803"/>
          <cell r="Q803" t="str">
            <v>EST MANTA AGAR (ALGODAO) (CAMELO)</v>
          </cell>
          <cell r="R803"/>
          <cell r="S803"/>
          <cell r="T803">
            <v>1.87</v>
          </cell>
          <cell r="U803">
            <v>1.3</v>
          </cell>
          <cell r="V803">
            <v>0.01</v>
          </cell>
          <cell r="W803">
            <v>0</v>
          </cell>
          <cell r="X803" t="str">
            <v>EST MANTA AGAR (ALGODAO) (CAMELO) - 1,87x1,3x0,01H</v>
          </cell>
          <cell r="Y803">
            <v>500</v>
          </cell>
          <cell r="Z803">
            <v>0.5</v>
          </cell>
          <cell r="AA803">
            <v>250</v>
          </cell>
          <cell r="AB803"/>
        </row>
        <row r="804"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H804">
            <v>0</v>
          </cell>
          <cell r="O804">
            <v>271503</v>
          </cell>
          <cell r="P804"/>
          <cell r="Q804" t="str">
            <v>EST MANTA AGAR (ALGODAO) (CAMELO)</v>
          </cell>
          <cell r="R804"/>
          <cell r="S804"/>
          <cell r="T804">
            <v>1.87</v>
          </cell>
          <cell r="U804">
            <v>1.3</v>
          </cell>
          <cell r="V804">
            <v>0.01</v>
          </cell>
          <cell r="W804">
            <v>0</v>
          </cell>
          <cell r="X804" t="str">
            <v>EST MANTA AGAR (ALGODAO) (CAMELO) - 1,87x1,3x0,01H</v>
          </cell>
          <cell r="Y804">
            <v>500</v>
          </cell>
          <cell r="Z804">
            <v>0.5</v>
          </cell>
          <cell r="AA804">
            <v>250</v>
          </cell>
          <cell r="AB804"/>
        </row>
        <row r="805"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H805">
            <v>0</v>
          </cell>
          <cell r="O805">
            <v>271503</v>
          </cell>
          <cell r="P805"/>
          <cell r="Q805" t="str">
            <v>EST MANTA AGAR (ALGODAO) (CAMELO)</v>
          </cell>
          <cell r="R805"/>
          <cell r="S805"/>
          <cell r="T805">
            <v>1.87</v>
          </cell>
          <cell r="U805">
            <v>1.3</v>
          </cell>
          <cell r="V805">
            <v>0.01</v>
          </cell>
          <cell r="W805">
            <v>0</v>
          </cell>
          <cell r="X805" t="str">
            <v>EST MANTA AGAR (ALGODAO) (CAMELO) - 1,87x1,3x0,01H</v>
          </cell>
          <cell r="Y805">
            <v>500</v>
          </cell>
          <cell r="Z805">
            <v>0.5</v>
          </cell>
          <cell r="AA805">
            <v>250</v>
          </cell>
          <cell r="AB805"/>
        </row>
        <row r="806"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H806">
            <v>0</v>
          </cell>
          <cell r="O806">
            <v>271503</v>
          </cell>
          <cell r="P806"/>
          <cell r="Q806" t="str">
            <v>EST MANTA AGAR (ALGODAO) (CAMELO)</v>
          </cell>
          <cell r="R806"/>
          <cell r="S806"/>
          <cell r="T806">
            <v>1.87</v>
          </cell>
          <cell r="U806">
            <v>1.3</v>
          </cell>
          <cell r="V806">
            <v>0.01</v>
          </cell>
          <cell r="W806">
            <v>0</v>
          </cell>
          <cell r="X806" t="str">
            <v>EST MANTA AGAR (ALGODAO) (CAMELO) - 1,87x1,3x0,01H</v>
          </cell>
          <cell r="Y806">
            <v>500</v>
          </cell>
          <cell r="Z806">
            <v>0.5</v>
          </cell>
          <cell r="AA806">
            <v>250</v>
          </cell>
          <cell r="AB806"/>
        </row>
        <row r="807"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H807">
            <v>0</v>
          </cell>
          <cell r="O807">
            <v>271503</v>
          </cell>
          <cell r="P807"/>
          <cell r="Q807" t="str">
            <v>EST MANTA AGAR (ALGODAO) (CAMELO)</v>
          </cell>
          <cell r="R807"/>
          <cell r="S807"/>
          <cell r="T807">
            <v>1.87</v>
          </cell>
          <cell r="U807">
            <v>1.3</v>
          </cell>
          <cell r="V807">
            <v>0.01</v>
          </cell>
          <cell r="W807">
            <v>0</v>
          </cell>
          <cell r="X807" t="str">
            <v>EST MANTA AGAR (ALGODAO) (CAMELO) - 1,87x1,3x0,01H</v>
          </cell>
          <cell r="Y807">
            <v>500</v>
          </cell>
          <cell r="Z807">
            <v>0.5</v>
          </cell>
          <cell r="AA807">
            <v>250</v>
          </cell>
          <cell r="AB807"/>
        </row>
        <row r="808">
          <cell r="C808">
            <v>5</v>
          </cell>
          <cell r="D808">
            <v>0</v>
          </cell>
          <cell r="E808">
            <v>0</v>
          </cell>
          <cell r="F808">
            <v>0</v>
          </cell>
          <cell r="H808">
            <v>0</v>
          </cell>
          <cell r="O808">
            <v>271504</v>
          </cell>
          <cell r="P808"/>
          <cell r="Q808" t="str">
            <v>EST MANTA TAHIN (ALGODAO) (VERDE)</v>
          </cell>
          <cell r="R808"/>
          <cell r="S808"/>
          <cell r="T808">
            <v>1.7</v>
          </cell>
          <cell r="U808">
            <v>1.3</v>
          </cell>
          <cell r="V808">
            <v>0.01</v>
          </cell>
          <cell r="W808">
            <v>0</v>
          </cell>
          <cell r="X808" t="str">
            <v>EST MANTA TAHIN (ALGODAO) (VERDE) - 1,7x1,3x0,01H</v>
          </cell>
          <cell r="Y808">
            <v>500</v>
          </cell>
          <cell r="Z808">
            <v>0.5</v>
          </cell>
          <cell r="AA808">
            <v>250</v>
          </cell>
          <cell r="AB808"/>
        </row>
        <row r="809">
          <cell r="C809">
            <v>5</v>
          </cell>
          <cell r="D809">
            <v>0</v>
          </cell>
          <cell r="E809">
            <v>0</v>
          </cell>
          <cell r="F809">
            <v>0</v>
          </cell>
          <cell r="H809">
            <v>0</v>
          </cell>
          <cell r="O809">
            <v>271504</v>
          </cell>
          <cell r="P809"/>
          <cell r="Q809" t="str">
            <v>EST MANTA TAHIN (ALGODAO) (VERDE)</v>
          </cell>
          <cell r="R809"/>
          <cell r="S809"/>
          <cell r="T809">
            <v>1.7</v>
          </cell>
          <cell r="U809">
            <v>1.3</v>
          </cell>
          <cell r="V809">
            <v>0.01</v>
          </cell>
          <cell r="W809">
            <v>0</v>
          </cell>
          <cell r="X809" t="str">
            <v>EST MANTA TAHIN (ALGODAO) (VERDE) - 1,7x1,3x0,01H</v>
          </cell>
          <cell r="Y809">
            <v>500</v>
          </cell>
          <cell r="Z809">
            <v>0.5</v>
          </cell>
          <cell r="AA809">
            <v>250</v>
          </cell>
          <cell r="AB809"/>
        </row>
        <row r="810">
          <cell r="C810">
            <v>5</v>
          </cell>
          <cell r="D810">
            <v>0</v>
          </cell>
          <cell r="E810">
            <v>0</v>
          </cell>
          <cell r="F810">
            <v>0</v>
          </cell>
          <cell r="H810">
            <v>0</v>
          </cell>
          <cell r="O810">
            <v>271504</v>
          </cell>
          <cell r="P810"/>
          <cell r="Q810" t="str">
            <v>EST MANTA TAHIN (ALGODAO) (VERDE)</v>
          </cell>
          <cell r="R810"/>
          <cell r="S810"/>
          <cell r="T810">
            <v>1.7</v>
          </cell>
          <cell r="U810">
            <v>1.3</v>
          </cell>
          <cell r="V810">
            <v>0.01</v>
          </cell>
          <cell r="W810">
            <v>0</v>
          </cell>
          <cell r="X810" t="str">
            <v>EST MANTA TAHIN (ALGODAO) (VERDE) - 1,7x1,3x0,01H</v>
          </cell>
          <cell r="Y810">
            <v>500</v>
          </cell>
          <cell r="Z810">
            <v>0.5</v>
          </cell>
          <cell r="AA810">
            <v>250</v>
          </cell>
          <cell r="AB810"/>
        </row>
        <row r="811">
          <cell r="C811">
            <v>5</v>
          </cell>
          <cell r="D811">
            <v>0</v>
          </cell>
          <cell r="E811">
            <v>0</v>
          </cell>
          <cell r="F811">
            <v>0</v>
          </cell>
          <cell r="H811">
            <v>0</v>
          </cell>
          <cell r="O811">
            <v>271504</v>
          </cell>
          <cell r="P811"/>
          <cell r="Q811" t="str">
            <v>EST MANTA TAHIN (ALGODAO) (VERDE)</v>
          </cell>
          <cell r="R811"/>
          <cell r="S811"/>
          <cell r="T811">
            <v>1.7</v>
          </cell>
          <cell r="U811">
            <v>1.3</v>
          </cell>
          <cell r="V811">
            <v>0.01</v>
          </cell>
          <cell r="W811">
            <v>0</v>
          </cell>
          <cell r="X811" t="str">
            <v>EST MANTA TAHIN (ALGODAO) (VERDE) - 1,7x1,3x0,01H</v>
          </cell>
          <cell r="Y811">
            <v>500</v>
          </cell>
          <cell r="Z811">
            <v>0.5</v>
          </cell>
          <cell r="AA811">
            <v>250</v>
          </cell>
          <cell r="AB811"/>
        </row>
        <row r="812">
          <cell r="C812">
            <v>5</v>
          </cell>
          <cell r="D812">
            <v>0</v>
          </cell>
          <cell r="E812">
            <v>0</v>
          </cell>
          <cell r="F812">
            <v>0</v>
          </cell>
          <cell r="H812">
            <v>0</v>
          </cell>
          <cell r="O812">
            <v>271504</v>
          </cell>
          <cell r="P812"/>
          <cell r="Q812" t="str">
            <v>EST MANTA TAHIN (ALGODAO) (VERDE)</v>
          </cell>
          <cell r="R812"/>
          <cell r="S812"/>
          <cell r="T812">
            <v>1.7</v>
          </cell>
          <cell r="U812">
            <v>1.3</v>
          </cell>
          <cell r="V812">
            <v>0.01</v>
          </cell>
          <cell r="W812">
            <v>0</v>
          </cell>
          <cell r="X812" t="str">
            <v>EST MANTA TAHIN (ALGODAO) (VERDE) - 1,7x1,3x0,01H</v>
          </cell>
          <cell r="Y812">
            <v>500</v>
          </cell>
          <cell r="Z812">
            <v>0.5</v>
          </cell>
          <cell r="AA812">
            <v>250</v>
          </cell>
          <cell r="AB812"/>
        </row>
        <row r="813">
          <cell r="C813">
            <v>4</v>
          </cell>
          <cell r="D813">
            <v>0</v>
          </cell>
          <cell r="E813">
            <v>0</v>
          </cell>
          <cell r="F813">
            <v>0</v>
          </cell>
          <cell r="H813">
            <v>0</v>
          </cell>
          <cell r="O813">
            <v>271505</v>
          </cell>
          <cell r="P813"/>
          <cell r="Q813" t="str">
            <v>EST MANTA DOHA (ALGODAO) (AMARELO)</v>
          </cell>
          <cell r="R813"/>
          <cell r="S813"/>
          <cell r="T813">
            <v>1.7</v>
          </cell>
          <cell r="U813">
            <v>1.3</v>
          </cell>
          <cell r="V813">
            <v>0.01</v>
          </cell>
          <cell r="W813">
            <v>0</v>
          </cell>
          <cell r="X813" t="str">
            <v>EST MANTA DOHA (ALGODAO) (AMARELO) - 1,7x1,3x0,01H</v>
          </cell>
          <cell r="Y813">
            <v>500</v>
          </cell>
          <cell r="Z813">
            <v>0.5</v>
          </cell>
          <cell r="AA813">
            <v>250</v>
          </cell>
          <cell r="AB813"/>
        </row>
        <row r="814">
          <cell r="C814">
            <v>4</v>
          </cell>
          <cell r="D814">
            <v>0</v>
          </cell>
          <cell r="E814">
            <v>0</v>
          </cell>
          <cell r="F814">
            <v>0</v>
          </cell>
          <cell r="H814">
            <v>0</v>
          </cell>
          <cell r="O814">
            <v>271505</v>
          </cell>
          <cell r="P814"/>
          <cell r="Q814" t="str">
            <v>EST MANTA DOHA (ALGODAO) (AMARELO)</v>
          </cell>
          <cell r="R814"/>
          <cell r="S814"/>
          <cell r="T814">
            <v>1.7</v>
          </cell>
          <cell r="U814">
            <v>1.3</v>
          </cell>
          <cell r="V814">
            <v>0.01</v>
          </cell>
          <cell r="W814">
            <v>0</v>
          </cell>
          <cell r="X814" t="str">
            <v>EST MANTA DOHA (ALGODAO) (AMARELO) - 1,7x1,3x0,01H</v>
          </cell>
          <cell r="Y814">
            <v>500</v>
          </cell>
          <cell r="Z814">
            <v>0.5</v>
          </cell>
          <cell r="AA814">
            <v>250</v>
          </cell>
          <cell r="AB814"/>
        </row>
        <row r="815">
          <cell r="C815">
            <v>4</v>
          </cell>
          <cell r="D815">
            <v>0</v>
          </cell>
          <cell r="E815">
            <v>0</v>
          </cell>
          <cell r="F815">
            <v>0</v>
          </cell>
          <cell r="H815">
            <v>0</v>
          </cell>
          <cell r="O815">
            <v>271505</v>
          </cell>
          <cell r="P815"/>
          <cell r="Q815" t="str">
            <v>EST MANTA DOHA (ALGODAO) (AMARELO)</v>
          </cell>
          <cell r="R815"/>
          <cell r="S815"/>
          <cell r="T815">
            <v>1.7</v>
          </cell>
          <cell r="U815">
            <v>1.3</v>
          </cell>
          <cell r="V815">
            <v>0.01</v>
          </cell>
          <cell r="W815">
            <v>0</v>
          </cell>
          <cell r="X815" t="str">
            <v>EST MANTA DOHA (ALGODAO) (AMARELO) - 1,7x1,3x0,01H</v>
          </cell>
          <cell r="Y815">
            <v>500</v>
          </cell>
          <cell r="Z815">
            <v>0.5</v>
          </cell>
          <cell r="AA815">
            <v>250</v>
          </cell>
          <cell r="AB815"/>
        </row>
        <row r="816">
          <cell r="C816">
            <v>4</v>
          </cell>
          <cell r="D816">
            <v>0</v>
          </cell>
          <cell r="E816">
            <v>0</v>
          </cell>
          <cell r="F816">
            <v>0</v>
          </cell>
          <cell r="H816">
            <v>0</v>
          </cell>
          <cell r="O816">
            <v>271505</v>
          </cell>
          <cell r="P816"/>
          <cell r="Q816" t="str">
            <v>EST MANTA DOHA (ALGODAO) (AMARELO)</v>
          </cell>
          <cell r="R816"/>
          <cell r="S816"/>
          <cell r="T816">
            <v>1.7</v>
          </cell>
          <cell r="U816">
            <v>1.3</v>
          </cell>
          <cell r="V816">
            <v>0.01</v>
          </cell>
          <cell r="W816">
            <v>0</v>
          </cell>
          <cell r="X816" t="str">
            <v>EST MANTA DOHA (ALGODAO) (AMARELO) - 1,7x1,3x0,01H</v>
          </cell>
          <cell r="Y816">
            <v>500</v>
          </cell>
          <cell r="Z816">
            <v>0.5</v>
          </cell>
          <cell r="AA816">
            <v>250</v>
          </cell>
          <cell r="AB816"/>
        </row>
        <row r="817">
          <cell r="C817">
            <v>4</v>
          </cell>
          <cell r="D817">
            <v>0</v>
          </cell>
          <cell r="E817">
            <v>0</v>
          </cell>
          <cell r="F817">
            <v>0</v>
          </cell>
          <cell r="H817">
            <v>0</v>
          </cell>
          <cell r="O817">
            <v>271505</v>
          </cell>
          <cell r="P817"/>
          <cell r="Q817" t="str">
            <v>EST MANTA DOHA (ALGODAO) (AMARELO)</v>
          </cell>
          <cell r="R817"/>
          <cell r="S817"/>
          <cell r="T817">
            <v>1.7</v>
          </cell>
          <cell r="U817">
            <v>1.3</v>
          </cell>
          <cell r="V817">
            <v>0.01</v>
          </cell>
          <cell r="W817">
            <v>0</v>
          </cell>
          <cell r="X817" t="str">
            <v>EST MANTA DOHA (ALGODAO) (AMARELO) - 1,7x1,3x0,01H</v>
          </cell>
          <cell r="Y817">
            <v>500</v>
          </cell>
          <cell r="Z817">
            <v>0.5</v>
          </cell>
          <cell r="AA817">
            <v>250</v>
          </cell>
          <cell r="AB817"/>
        </row>
        <row r="818">
          <cell r="C818">
            <v>2</v>
          </cell>
          <cell r="D818">
            <v>2</v>
          </cell>
          <cell r="E818">
            <v>0</v>
          </cell>
          <cell r="F818">
            <v>0</v>
          </cell>
          <cell r="H818">
            <v>0</v>
          </cell>
          <cell r="O818">
            <v>271506</v>
          </cell>
          <cell r="P818"/>
          <cell r="Q818" t="str">
            <v>EST MANTA ZARGA (ALGODAO) (NATURAL E CINZA)</v>
          </cell>
          <cell r="R818"/>
          <cell r="S818"/>
          <cell r="T818">
            <v>1.97</v>
          </cell>
          <cell r="U818">
            <v>1.4</v>
          </cell>
          <cell r="V818">
            <v>0.01</v>
          </cell>
          <cell r="W818">
            <v>0</v>
          </cell>
          <cell r="X818" t="str">
            <v>EST MANTA ZARGA (ALGODAO) (NATURAL E CINZA) - 1,97x1,4x0,01H</v>
          </cell>
          <cell r="Y818">
            <v>500</v>
          </cell>
          <cell r="Z818">
            <v>0.5</v>
          </cell>
          <cell r="AA818">
            <v>250</v>
          </cell>
          <cell r="AB818"/>
        </row>
        <row r="819">
          <cell r="C819">
            <v>2</v>
          </cell>
          <cell r="D819">
            <v>2</v>
          </cell>
          <cell r="E819">
            <v>0</v>
          </cell>
          <cell r="F819">
            <v>0</v>
          </cell>
          <cell r="H819">
            <v>0</v>
          </cell>
          <cell r="O819">
            <v>271506</v>
          </cell>
          <cell r="P819"/>
          <cell r="Q819" t="str">
            <v>EST MANTA ZARGA (ALGODAO) (NATURAL E CINZA)</v>
          </cell>
          <cell r="R819"/>
          <cell r="S819"/>
          <cell r="T819">
            <v>1.97</v>
          </cell>
          <cell r="U819">
            <v>1.4</v>
          </cell>
          <cell r="V819">
            <v>0.01</v>
          </cell>
          <cell r="W819">
            <v>0</v>
          </cell>
          <cell r="X819" t="str">
            <v>EST MANTA ZARGA (ALGODAO) (NATURAL E CINZA) - 1,97x1,4x0,01H</v>
          </cell>
          <cell r="Y819">
            <v>500</v>
          </cell>
          <cell r="Z819">
            <v>0.5</v>
          </cell>
          <cell r="AA819">
            <v>250</v>
          </cell>
          <cell r="AB819"/>
        </row>
        <row r="820">
          <cell r="C820">
            <v>2</v>
          </cell>
          <cell r="D820">
            <v>2</v>
          </cell>
          <cell r="E820">
            <v>0</v>
          </cell>
          <cell r="F820">
            <v>0</v>
          </cell>
          <cell r="H820">
            <v>0</v>
          </cell>
          <cell r="O820">
            <v>271506</v>
          </cell>
          <cell r="P820"/>
          <cell r="Q820" t="str">
            <v>EST MANTA ZARGA (ALGODAO) (NATURAL E CINZA)</v>
          </cell>
          <cell r="R820"/>
          <cell r="S820"/>
          <cell r="T820">
            <v>1.97</v>
          </cell>
          <cell r="U820">
            <v>1.4</v>
          </cell>
          <cell r="V820">
            <v>0.01</v>
          </cell>
          <cell r="W820">
            <v>0</v>
          </cell>
          <cell r="X820" t="str">
            <v>EST MANTA ZARGA (ALGODAO) (NATURAL E CINZA) - 1,97x1,4x0,01H</v>
          </cell>
          <cell r="Y820">
            <v>500</v>
          </cell>
          <cell r="Z820">
            <v>0.5</v>
          </cell>
          <cell r="AA820">
            <v>250</v>
          </cell>
          <cell r="AB820"/>
        </row>
        <row r="821">
          <cell r="C821">
            <v>2</v>
          </cell>
          <cell r="D821">
            <v>2</v>
          </cell>
          <cell r="E821">
            <v>0</v>
          </cell>
          <cell r="F821">
            <v>0</v>
          </cell>
          <cell r="H821">
            <v>0</v>
          </cell>
          <cell r="O821">
            <v>271506</v>
          </cell>
          <cell r="P821"/>
          <cell r="Q821" t="str">
            <v>EST MANTA ZARGA (ALGODAO) (NATURAL E CINZA)</v>
          </cell>
          <cell r="R821"/>
          <cell r="S821"/>
          <cell r="T821">
            <v>1.97</v>
          </cell>
          <cell r="U821">
            <v>1.4</v>
          </cell>
          <cell r="V821">
            <v>0.01</v>
          </cell>
          <cell r="W821">
            <v>0</v>
          </cell>
          <cell r="X821" t="str">
            <v>EST MANTA ZARGA (ALGODAO) (NATURAL E CINZA) - 1,97x1,4x0,01H</v>
          </cell>
          <cell r="Y821">
            <v>500</v>
          </cell>
          <cell r="Z821">
            <v>0.5</v>
          </cell>
          <cell r="AA821">
            <v>250</v>
          </cell>
          <cell r="AB821"/>
        </row>
        <row r="822">
          <cell r="C822">
            <v>2</v>
          </cell>
          <cell r="D822">
            <v>2</v>
          </cell>
          <cell r="E822">
            <v>0</v>
          </cell>
          <cell r="F822">
            <v>0</v>
          </cell>
          <cell r="H822">
            <v>0</v>
          </cell>
          <cell r="O822">
            <v>271506</v>
          </cell>
          <cell r="P822"/>
          <cell r="Q822" t="str">
            <v>EST MANTA ZARGA (ALGODAO) (NATURAL E CINZA)</v>
          </cell>
          <cell r="R822"/>
          <cell r="S822"/>
          <cell r="T822">
            <v>1.97</v>
          </cell>
          <cell r="U822">
            <v>1.4</v>
          </cell>
          <cell r="V822">
            <v>0.01</v>
          </cell>
          <cell r="W822">
            <v>0</v>
          </cell>
          <cell r="X822" t="str">
            <v>EST MANTA ZARGA (ALGODAO) (NATURAL E CINZA) - 1,97x1,4x0,01H</v>
          </cell>
          <cell r="Y822">
            <v>500</v>
          </cell>
          <cell r="Z822">
            <v>0.5</v>
          </cell>
          <cell r="AA822">
            <v>250</v>
          </cell>
          <cell r="AB822"/>
        </row>
        <row r="823">
          <cell r="C823">
            <v>2</v>
          </cell>
          <cell r="D823">
            <v>2</v>
          </cell>
          <cell r="E823">
            <v>0</v>
          </cell>
          <cell r="F823">
            <v>0</v>
          </cell>
          <cell r="H823">
            <v>0</v>
          </cell>
          <cell r="O823">
            <v>271506</v>
          </cell>
          <cell r="P823"/>
          <cell r="Q823" t="str">
            <v>EST MANTA ZARGA (ALGODAO) (NATURAL E CINZA)</v>
          </cell>
          <cell r="R823"/>
          <cell r="S823"/>
          <cell r="T823">
            <v>1.97</v>
          </cell>
          <cell r="U823">
            <v>1.4</v>
          </cell>
          <cell r="V823">
            <v>0.01</v>
          </cell>
          <cell r="W823">
            <v>0</v>
          </cell>
          <cell r="X823" t="str">
            <v>EST MANTA ZARGA (ALGODAO) (NATURAL E CINZA) - 1,97x1,4x0,01H</v>
          </cell>
          <cell r="Y823">
            <v>500</v>
          </cell>
          <cell r="Z823">
            <v>0.5</v>
          </cell>
          <cell r="AA823">
            <v>250</v>
          </cell>
          <cell r="AB823"/>
        </row>
        <row r="824">
          <cell r="C824">
            <v>1</v>
          </cell>
          <cell r="D824">
            <v>2</v>
          </cell>
          <cell r="E824">
            <v>0</v>
          </cell>
          <cell r="F824">
            <v>0</v>
          </cell>
          <cell r="H824">
            <v>0</v>
          </cell>
          <cell r="O824">
            <v>271508</v>
          </cell>
          <cell r="P824"/>
          <cell r="Q824" t="str">
            <v>EST MANTA TURK (ALGODAO) (BEGE)</v>
          </cell>
          <cell r="R824"/>
          <cell r="S824"/>
          <cell r="T824">
            <v>1.2</v>
          </cell>
          <cell r="U824">
            <v>1.2</v>
          </cell>
          <cell r="V824">
            <v>0.01</v>
          </cell>
          <cell r="W824">
            <v>0</v>
          </cell>
          <cell r="X824" t="str">
            <v>EST MANTA TURK (ALGODAO) (BEGE) - 1,2x1,2x0,01H</v>
          </cell>
          <cell r="Y824">
            <v>500</v>
          </cell>
          <cell r="Z824">
            <v>0.5</v>
          </cell>
          <cell r="AA824">
            <v>250</v>
          </cell>
          <cell r="AB824"/>
        </row>
        <row r="825">
          <cell r="C825">
            <v>1</v>
          </cell>
          <cell r="D825">
            <v>2</v>
          </cell>
          <cell r="E825">
            <v>0</v>
          </cell>
          <cell r="F825">
            <v>0</v>
          </cell>
          <cell r="H825">
            <v>0</v>
          </cell>
          <cell r="O825">
            <v>271508</v>
          </cell>
          <cell r="P825" t="str">
            <v>2020/303-0212-01</v>
          </cell>
          <cell r="Q825" t="str">
            <v>EST MANTA TURK (ALGODAO) (BEGE)</v>
          </cell>
          <cell r="R825"/>
          <cell r="S825"/>
          <cell r="T825">
            <v>1.2</v>
          </cell>
          <cell r="U825">
            <v>1.2</v>
          </cell>
          <cell r="V825">
            <v>0.01</v>
          </cell>
          <cell r="W825">
            <v>0</v>
          </cell>
          <cell r="X825" t="str">
            <v>EST MANTA TURK (ALGODAO) (BEGE) - 1,2x1,2x0,01H</v>
          </cell>
          <cell r="Y825">
            <v>500</v>
          </cell>
          <cell r="Z825">
            <v>0.5</v>
          </cell>
          <cell r="AA825">
            <v>250</v>
          </cell>
          <cell r="AB825"/>
        </row>
        <row r="826">
          <cell r="C826">
            <v>1</v>
          </cell>
          <cell r="D826">
            <v>2</v>
          </cell>
          <cell r="E826">
            <v>0</v>
          </cell>
          <cell r="F826">
            <v>0</v>
          </cell>
          <cell r="H826">
            <v>0</v>
          </cell>
          <cell r="O826">
            <v>271508</v>
          </cell>
          <cell r="P826" t="str">
            <v>2020/303-0213-01</v>
          </cell>
          <cell r="Q826" t="str">
            <v>EST MANTA TURK (ALGODAO) (BEGE)</v>
          </cell>
          <cell r="R826"/>
          <cell r="S826"/>
          <cell r="T826">
            <v>1.2</v>
          </cell>
          <cell r="U826">
            <v>1.2</v>
          </cell>
          <cell r="V826">
            <v>0.01</v>
          </cell>
          <cell r="W826">
            <v>0</v>
          </cell>
          <cell r="X826" t="str">
            <v>EST MANTA TURK (ALGODAO) (BEGE) - 1,2x1,2x0,01H</v>
          </cell>
          <cell r="Y826">
            <v>500</v>
          </cell>
          <cell r="Z826">
            <v>0.5</v>
          </cell>
          <cell r="AA826">
            <v>250</v>
          </cell>
          <cell r="AB826"/>
        </row>
        <row r="827">
          <cell r="C827">
            <v>1</v>
          </cell>
          <cell r="D827">
            <v>2</v>
          </cell>
          <cell r="E827">
            <v>0</v>
          </cell>
          <cell r="F827">
            <v>0</v>
          </cell>
          <cell r="H827">
            <v>0</v>
          </cell>
          <cell r="O827">
            <v>271508</v>
          </cell>
          <cell r="P827"/>
          <cell r="Q827" t="str">
            <v>EST MANTA TURK (ALGODAO) (BEGE)</v>
          </cell>
          <cell r="R827"/>
          <cell r="S827"/>
          <cell r="T827">
            <v>1.2</v>
          </cell>
          <cell r="U827">
            <v>1.2</v>
          </cell>
          <cell r="V827">
            <v>0.01</v>
          </cell>
          <cell r="W827">
            <v>0</v>
          </cell>
          <cell r="X827" t="str">
            <v>EST MANTA TURK (ALGODAO) (BEGE) - 1,2x1,2x0,01H</v>
          </cell>
          <cell r="Y827">
            <v>500</v>
          </cell>
          <cell r="Z827">
            <v>0.5</v>
          </cell>
          <cell r="AA827">
            <v>250</v>
          </cell>
          <cell r="AB827"/>
        </row>
        <row r="828">
          <cell r="C828">
            <v>1</v>
          </cell>
          <cell r="D828">
            <v>2</v>
          </cell>
          <cell r="E828">
            <v>0</v>
          </cell>
          <cell r="F828">
            <v>0</v>
          </cell>
          <cell r="H828">
            <v>0</v>
          </cell>
          <cell r="O828">
            <v>271508</v>
          </cell>
          <cell r="P828"/>
          <cell r="Q828" t="str">
            <v>EST MANTA TURK (ALGODAO) (BEGE)</v>
          </cell>
          <cell r="R828"/>
          <cell r="S828"/>
          <cell r="T828">
            <v>1.2</v>
          </cell>
          <cell r="U828">
            <v>1.2</v>
          </cell>
          <cell r="V828">
            <v>0.01</v>
          </cell>
          <cell r="W828">
            <v>0</v>
          </cell>
          <cell r="X828" t="str">
            <v>EST MANTA TURK (ALGODAO) (BEGE) - 1,2x1,2x0,01H</v>
          </cell>
          <cell r="Y828">
            <v>500</v>
          </cell>
          <cell r="Z828">
            <v>0.5</v>
          </cell>
          <cell r="AA828">
            <v>250</v>
          </cell>
          <cell r="AB828"/>
        </row>
        <row r="829">
          <cell r="C829">
            <v>6</v>
          </cell>
          <cell r="D829">
            <v>0</v>
          </cell>
          <cell r="E829">
            <v>0</v>
          </cell>
          <cell r="F829">
            <v>0</v>
          </cell>
          <cell r="H829">
            <v>0</v>
          </cell>
          <cell r="O829">
            <v>271509</v>
          </cell>
          <cell r="P829"/>
          <cell r="Q829" t="str">
            <v>EST ALMOFADA SAND (ALGODAO) (AMARELA)</v>
          </cell>
          <cell r="R829"/>
          <cell r="S829"/>
          <cell r="T829">
            <v>0.45</v>
          </cell>
          <cell r="U829">
            <v>0.45</v>
          </cell>
          <cell r="V829">
            <v>0.15</v>
          </cell>
          <cell r="W829">
            <v>0</v>
          </cell>
          <cell r="X829" t="str">
            <v>EST ALMOFADA SAND (ALGODAO) (AMARELA) - 0,45x0,45x0,15H</v>
          </cell>
          <cell r="Y829">
            <v>500</v>
          </cell>
          <cell r="Z829">
            <v>0.5</v>
          </cell>
          <cell r="AA829">
            <v>250</v>
          </cell>
          <cell r="AB829"/>
        </row>
        <row r="830">
          <cell r="C830">
            <v>6</v>
          </cell>
          <cell r="D830">
            <v>0</v>
          </cell>
          <cell r="E830">
            <v>0</v>
          </cell>
          <cell r="F830">
            <v>0</v>
          </cell>
          <cell r="H830">
            <v>0</v>
          </cell>
          <cell r="O830">
            <v>271509</v>
          </cell>
          <cell r="P830"/>
          <cell r="Q830" t="str">
            <v>EST ALMOFADA SAND (ALGODAO) (AMARELA)</v>
          </cell>
          <cell r="R830"/>
          <cell r="S830"/>
          <cell r="T830">
            <v>0.45</v>
          </cell>
          <cell r="U830">
            <v>0.45</v>
          </cell>
          <cell r="V830">
            <v>0.15</v>
          </cell>
          <cell r="W830">
            <v>0</v>
          </cell>
          <cell r="X830" t="str">
            <v>EST ALMOFADA SAND (ALGODAO) (AMARELA) - 0,45x0,45x0,15H</v>
          </cell>
          <cell r="Y830">
            <v>500</v>
          </cell>
          <cell r="Z830">
            <v>0.5</v>
          </cell>
          <cell r="AA830">
            <v>250</v>
          </cell>
          <cell r="AB830"/>
        </row>
        <row r="831">
          <cell r="C831">
            <v>6</v>
          </cell>
          <cell r="D831">
            <v>0</v>
          </cell>
          <cell r="E831">
            <v>0</v>
          </cell>
          <cell r="F831">
            <v>0</v>
          </cell>
          <cell r="H831">
            <v>0</v>
          </cell>
          <cell r="O831">
            <v>271509</v>
          </cell>
          <cell r="P831"/>
          <cell r="Q831" t="str">
            <v>EST ALMOFADA SAND (ALGODAO) (AMARELA)</v>
          </cell>
          <cell r="R831"/>
          <cell r="S831"/>
          <cell r="T831">
            <v>0.45</v>
          </cell>
          <cell r="U831">
            <v>0.45</v>
          </cell>
          <cell r="V831">
            <v>0.15</v>
          </cell>
          <cell r="W831">
            <v>0</v>
          </cell>
          <cell r="X831" t="str">
            <v>EST ALMOFADA SAND (ALGODAO) (AMARELA) - 0,45x0,45x0,15H</v>
          </cell>
          <cell r="Y831">
            <v>500</v>
          </cell>
          <cell r="Z831">
            <v>0.5</v>
          </cell>
          <cell r="AA831">
            <v>250</v>
          </cell>
          <cell r="AB831"/>
        </row>
        <row r="832">
          <cell r="C832">
            <v>6</v>
          </cell>
          <cell r="D832">
            <v>0</v>
          </cell>
          <cell r="E832">
            <v>0</v>
          </cell>
          <cell r="F832">
            <v>0</v>
          </cell>
          <cell r="H832">
            <v>0</v>
          </cell>
          <cell r="O832">
            <v>271509</v>
          </cell>
          <cell r="P832"/>
          <cell r="Q832" t="str">
            <v>EST ALMOFADA SAND (ALGODAO) (AMARELA)</v>
          </cell>
          <cell r="R832"/>
          <cell r="S832"/>
          <cell r="T832">
            <v>0.45</v>
          </cell>
          <cell r="U832">
            <v>0.45</v>
          </cell>
          <cell r="V832">
            <v>0.15</v>
          </cell>
          <cell r="W832">
            <v>0</v>
          </cell>
          <cell r="X832" t="str">
            <v>EST ALMOFADA SAND (ALGODAO) (AMARELA) - 0,45x0,45x0,15H</v>
          </cell>
          <cell r="Y832">
            <v>500</v>
          </cell>
          <cell r="Z832">
            <v>0.5</v>
          </cell>
          <cell r="AA832">
            <v>250</v>
          </cell>
          <cell r="AB832"/>
        </row>
        <row r="833">
          <cell r="C833">
            <v>6</v>
          </cell>
          <cell r="D833">
            <v>0</v>
          </cell>
          <cell r="E833">
            <v>0</v>
          </cell>
          <cell r="F833">
            <v>0</v>
          </cell>
          <cell r="H833">
            <v>0</v>
          </cell>
          <cell r="O833">
            <v>271509</v>
          </cell>
          <cell r="P833"/>
          <cell r="Q833" t="str">
            <v>EST ALMOFADA SAND (ALGODAO) (AMARELA)</v>
          </cell>
          <cell r="R833"/>
          <cell r="S833"/>
          <cell r="T833">
            <v>0.45</v>
          </cell>
          <cell r="U833">
            <v>0.45</v>
          </cell>
          <cell r="V833">
            <v>0.15</v>
          </cell>
          <cell r="W833">
            <v>0</v>
          </cell>
          <cell r="X833" t="str">
            <v>EST ALMOFADA SAND (ALGODAO) (AMARELA) - 0,45x0,45x0,15H</v>
          </cell>
          <cell r="Y833">
            <v>500</v>
          </cell>
          <cell r="Z833">
            <v>0.5</v>
          </cell>
          <cell r="AA833">
            <v>250</v>
          </cell>
          <cell r="AB833"/>
        </row>
        <row r="834">
          <cell r="C834">
            <v>6</v>
          </cell>
          <cell r="D834">
            <v>0</v>
          </cell>
          <cell r="E834">
            <v>0</v>
          </cell>
          <cell r="F834">
            <v>0</v>
          </cell>
          <cell r="H834">
            <v>0</v>
          </cell>
          <cell r="O834">
            <v>271509</v>
          </cell>
          <cell r="P834"/>
          <cell r="Q834" t="str">
            <v>EST ALMOFADA SAND (ALGODAO) (AMARELA)</v>
          </cell>
          <cell r="R834"/>
          <cell r="S834"/>
          <cell r="T834">
            <v>0.45</v>
          </cell>
          <cell r="U834">
            <v>0.45</v>
          </cell>
          <cell r="V834">
            <v>0.15</v>
          </cell>
          <cell r="W834">
            <v>0</v>
          </cell>
          <cell r="X834" t="str">
            <v>EST ALMOFADA SAND (ALGODAO) (AMARELA) - 0,45x0,45x0,15H</v>
          </cell>
          <cell r="Y834">
            <v>500</v>
          </cell>
          <cell r="Z834">
            <v>0.5</v>
          </cell>
          <cell r="AA834">
            <v>250</v>
          </cell>
          <cell r="AB834"/>
        </row>
        <row r="835">
          <cell r="C835">
            <v>7</v>
          </cell>
          <cell r="D835">
            <v>0</v>
          </cell>
          <cell r="E835">
            <v>0</v>
          </cell>
          <cell r="F835">
            <v>0</v>
          </cell>
          <cell r="H835">
            <v>0</v>
          </cell>
          <cell r="O835">
            <v>271510</v>
          </cell>
          <cell r="P835"/>
          <cell r="Q835" t="str">
            <v>EST ALMOFADA SAND BURGUNDY (ALGODAO) (LARANJA)</v>
          </cell>
          <cell r="R835"/>
          <cell r="S835"/>
          <cell r="T835">
            <v>0.45</v>
          </cell>
          <cell r="U835">
            <v>0.45</v>
          </cell>
          <cell r="V835">
            <v>0.1</v>
          </cell>
          <cell r="W835">
            <v>0</v>
          </cell>
          <cell r="X835" t="str">
            <v>EST ALMOFADA SAND BURGUNDY (ALGODAO) (LARANJA) - 0,45x0,45x0,1H</v>
          </cell>
          <cell r="Y835">
            <v>500</v>
          </cell>
          <cell r="Z835">
            <v>0.5</v>
          </cell>
          <cell r="AA835">
            <v>250</v>
          </cell>
          <cell r="AB835"/>
        </row>
        <row r="836">
          <cell r="C836">
            <v>7</v>
          </cell>
          <cell r="D836">
            <v>0</v>
          </cell>
          <cell r="E836">
            <v>0</v>
          </cell>
          <cell r="F836">
            <v>0</v>
          </cell>
          <cell r="H836">
            <v>0</v>
          </cell>
          <cell r="O836">
            <v>271510</v>
          </cell>
          <cell r="P836"/>
          <cell r="Q836" t="str">
            <v>EST ALMOFADA SAND BURGUNDY (ALGODAO) (LARANJA)</v>
          </cell>
          <cell r="R836"/>
          <cell r="S836"/>
          <cell r="T836">
            <v>0.45</v>
          </cell>
          <cell r="U836">
            <v>0.45</v>
          </cell>
          <cell r="V836">
            <v>0.1</v>
          </cell>
          <cell r="W836">
            <v>0</v>
          </cell>
          <cell r="X836" t="str">
            <v>EST ALMOFADA SAND BURGUNDY (ALGODAO) (LARANJA) - 0,45x0,45x0,1H</v>
          </cell>
          <cell r="Y836">
            <v>500</v>
          </cell>
          <cell r="Z836">
            <v>0.5</v>
          </cell>
          <cell r="AA836">
            <v>250</v>
          </cell>
          <cell r="AB836"/>
        </row>
        <row r="837">
          <cell r="C837">
            <v>7</v>
          </cell>
          <cell r="D837">
            <v>0</v>
          </cell>
          <cell r="E837">
            <v>0</v>
          </cell>
          <cell r="F837">
            <v>0</v>
          </cell>
          <cell r="H837">
            <v>0</v>
          </cell>
          <cell r="O837">
            <v>271510</v>
          </cell>
          <cell r="P837"/>
          <cell r="Q837" t="str">
            <v>EST ALMOFADA SAND BURGUNDY (ALGODAO) (LARANJA)</v>
          </cell>
          <cell r="R837"/>
          <cell r="S837"/>
          <cell r="T837">
            <v>0.45</v>
          </cell>
          <cell r="U837">
            <v>0.45</v>
          </cell>
          <cell r="V837">
            <v>0.1</v>
          </cell>
          <cell r="W837">
            <v>0</v>
          </cell>
          <cell r="X837" t="str">
            <v>EST ALMOFADA SAND BURGUNDY (ALGODAO) (LARANJA) - 0,45x0,45x0,1H</v>
          </cell>
          <cell r="Y837">
            <v>500</v>
          </cell>
          <cell r="Z837">
            <v>0.5</v>
          </cell>
          <cell r="AA837">
            <v>250</v>
          </cell>
          <cell r="AB837"/>
        </row>
        <row r="838">
          <cell r="C838">
            <v>7</v>
          </cell>
          <cell r="D838">
            <v>0</v>
          </cell>
          <cell r="E838">
            <v>0</v>
          </cell>
          <cell r="F838">
            <v>0</v>
          </cell>
          <cell r="H838">
            <v>0</v>
          </cell>
          <cell r="O838">
            <v>271510</v>
          </cell>
          <cell r="P838"/>
          <cell r="Q838" t="str">
            <v>EST ALMOFADA SAND BURGUNDY (ALGODAO) (LARANJA)</v>
          </cell>
          <cell r="R838"/>
          <cell r="S838"/>
          <cell r="T838">
            <v>0.45</v>
          </cell>
          <cell r="U838">
            <v>0.45</v>
          </cell>
          <cell r="V838">
            <v>0.1</v>
          </cell>
          <cell r="W838">
            <v>0</v>
          </cell>
          <cell r="X838" t="str">
            <v>EST ALMOFADA SAND BURGUNDY (ALGODAO) (LARANJA) - 0,45x0,45x0,1H</v>
          </cell>
          <cell r="Y838">
            <v>500</v>
          </cell>
          <cell r="Z838">
            <v>0.5</v>
          </cell>
          <cell r="AA838">
            <v>250</v>
          </cell>
          <cell r="AB838"/>
        </row>
        <row r="839">
          <cell r="C839">
            <v>7</v>
          </cell>
          <cell r="D839">
            <v>0</v>
          </cell>
          <cell r="E839">
            <v>0</v>
          </cell>
          <cell r="F839">
            <v>0</v>
          </cell>
          <cell r="H839">
            <v>0</v>
          </cell>
          <cell r="O839">
            <v>271510</v>
          </cell>
          <cell r="P839"/>
          <cell r="Q839" t="str">
            <v>EST ALMOFADA SAND BURGUNDY (ALGODAO) (LARANJA)</v>
          </cell>
          <cell r="R839"/>
          <cell r="S839"/>
          <cell r="T839">
            <v>0.45</v>
          </cell>
          <cell r="U839">
            <v>0.45</v>
          </cell>
          <cell r="V839">
            <v>0.1</v>
          </cell>
          <cell r="W839">
            <v>0</v>
          </cell>
          <cell r="X839" t="str">
            <v>EST ALMOFADA SAND BURGUNDY (ALGODAO) (LARANJA) - 0,45x0,45x0,1H</v>
          </cell>
          <cell r="Y839">
            <v>500</v>
          </cell>
          <cell r="Z839">
            <v>0.5</v>
          </cell>
          <cell r="AA839">
            <v>250</v>
          </cell>
          <cell r="AB839"/>
        </row>
        <row r="840">
          <cell r="C840">
            <v>7</v>
          </cell>
          <cell r="D840">
            <v>0</v>
          </cell>
          <cell r="E840">
            <v>0</v>
          </cell>
          <cell r="F840">
            <v>0</v>
          </cell>
          <cell r="H840">
            <v>0</v>
          </cell>
          <cell r="O840">
            <v>271510</v>
          </cell>
          <cell r="P840"/>
          <cell r="Q840" t="str">
            <v>EST ALMOFADA SAND BURGUNDY (ALGODAO) (LARANJA)</v>
          </cell>
          <cell r="R840"/>
          <cell r="S840"/>
          <cell r="T840">
            <v>0.45</v>
          </cell>
          <cell r="U840">
            <v>0.45</v>
          </cell>
          <cell r="V840">
            <v>0.1</v>
          </cell>
          <cell r="W840">
            <v>0</v>
          </cell>
          <cell r="X840" t="str">
            <v>EST ALMOFADA SAND BURGUNDY (ALGODAO) (LARANJA) - 0,45x0,45x0,1H</v>
          </cell>
          <cell r="Y840">
            <v>500</v>
          </cell>
          <cell r="Z840">
            <v>0.5</v>
          </cell>
          <cell r="AA840">
            <v>250</v>
          </cell>
          <cell r="AB840"/>
        </row>
        <row r="841">
          <cell r="C841">
            <v>7</v>
          </cell>
          <cell r="D841">
            <v>0</v>
          </cell>
          <cell r="E841">
            <v>0</v>
          </cell>
          <cell r="F841">
            <v>0</v>
          </cell>
          <cell r="H841">
            <v>0</v>
          </cell>
          <cell r="O841">
            <v>271510</v>
          </cell>
          <cell r="P841"/>
          <cell r="Q841" t="str">
            <v>EST ALMOFADA SAND BURGUNDY (ALGODAO) (LARANJA)</v>
          </cell>
          <cell r="R841"/>
          <cell r="S841"/>
          <cell r="T841">
            <v>0.45</v>
          </cell>
          <cell r="U841">
            <v>0.45</v>
          </cell>
          <cell r="V841">
            <v>0.1</v>
          </cell>
          <cell r="W841">
            <v>0</v>
          </cell>
          <cell r="X841" t="str">
            <v>EST ALMOFADA SAND BURGUNDY (ALGODAO) (LARANJA) - 0,45x0,45x0,1H</v>
          </cell>
          <cell r="Y841">
            <v>500</v>
          </cell>
          <cell r="Z841">
            <v>0.5</v>
          </cell>
          <cell r="AA841">
            <v>250</v>
          </cell>
          <cell r="AB841"/>
        </row>
        <row r="842">
          <cell r="C842">
            <v>7</v>
          </cell>
          <cell r="D842">
            <v>0</v>
          </cell>
          <cell r="E842">
            <v>0</v>
          </cell>
          <cell r="F842">
            <v>0</v>
          </cell>
          <cell r="H842">
            <v>0</v>
          </cell>
          <cell r="O842">
            <v>271510</v>
          </cell>
          <cell r="P842"/>
          <cell r="Q842" t="str">
            <v>EST ALMOFADA SAND BURGUNDY (ALGODAO) (LARANJA)</v>
          </cell>
          <cell r="R842"/>
          <cell r="S842"/>
          <cell r="T842">
            <v>0.45</v>
          </cell>
          <cell r="U842">
            <v>0.45</v>
          </cell>
          <cell r="V842">
            <v>0.1</v>
          </cell>
          <cell r="W842">
            <v>0</v>
          </cell>
          <cell r="X842" t="str">
            <v>EST ALMOFADA SAND BURGUNDY (ALGODAO) (LARANJA) - 0,45x0,45x0,1H</v>
          </cell>
          <cell r="Y842">
            <v>500</v>
          </cell>
          <cell r="Z842">
            <v>0.5</v>
          </cell>
          <cell r="AA842">
            <v>250</v>
          </cell>
          <cell r="AB842"/>
        </row>
        <row r="843">
          <cell r="C843">
            <v>7</v>
          </cell>
          <cell r="D843">
            <v>0</v>
          </cell>
          <cell r="E843">
            <v>0</v>
          </cell>
          <cell r="F843">
            <v>0</v>
          </cell>
          <cell r="H843">
            <v>0</v>
          </cell>
          <cell r="O843">
            <v>271510</v>
          </cell>
          <cell r="P843"/>
          <cell r="Q843" t="str">
            <v>EST ALMOFADA SAND BURGUNDY (ALGODAO) (LARANJA)</v>
          </cell>
          <cell r="R843"/>
          <cell r="S843"/>
          <cell r="T843">
            <v>0.45</v>
          </cell>
          <cell r="U843">
            <v>0.45</v>
          </cell>
          <cell r="V843">
            <v>0.1</v>
          </cell>
          <cell r="W843">
            <v>0</v>
          </cell>
          <cell r="X843" t="str">
            <v>EST ALMOFADA SAND BURGUNDY (ALGODAO) (LARANJA) - 0,45x0,45x0,1H</v>
          </cell>
          <cell r="Y843">
            <v>500</v>
          </cell>
          <cell r="Z843">
            <v>0.5</v>
          </cell>
          <cell r="AA843">
            <v>250</v>
          </cell>
          <cell r="AB843"/>
        </row>
        <row r="844">
          <cell r="C844">
            <v>7</v>
          </cell>
          <cell r="D844">
            <v>0</v>
          </cell>
          <cell r="E844">
            <v>0</v>
          </cell>
          <cell r="F844">
            <v>0</v>
          </cell>
          <cell r="H844">
            <v>0</v>
          </cell>
          <cell r="O844">
            <v>271510</v>
          </cell>
          <cell r="P844"/>
          <cell r="Q844" t="str">
            <v>EST ALMOFADA SAND BURGUNDY (ALGODAO) (LARANJA)</v>
          </cell>
          <cell r="R844"/>
          <cell r="S844"/>
          <cell r="T844">
            <v>0.45</v>
          </cell>
          <cell r="U844">
            <v>0.45</v>
          </cell>
          <cell r="V844">
            <v>0.1</v>
          </cell>
          <cell r="W844">
            <v>0</v>
          </cell>
          <cell r="X844" t="str">
            <v>EST ALMOFADA SAND BURGUNDY (ALGODAO) (LARANJA) - 0,45x0,45x0,1H</v>
          </cell>
          <cell r="Y844">
            <v>500</v>
          </cell>
          <cell r="Z844">
            <v>0.5</v>
          </cell>
          <cell r="AA844">
            <v>250</v>
          </cell>
          <cell r="AB844"/>
        </row>
        <row r="845">
          <cell r="C845">
            <v>7</v>
          </cell>
          <cell r="D845">
            <v>0</v>
          </cell>
          <cell r="E845">
            <v>0</v>
          </cell>
          <cell r="F845">
            <v>0</v>
          </cell>
          <cell r="H845">
            <v>0</v>
          </cell>
          <cell r="O845">
            <v>271510</v>
          </cell>
          <cell r="P845"/>
          <cell r="Q845" t="str">
            <v>EST ALMOFADA SAND BURGUNDY (ALGODAO) (LARANJA)</v>
          </cell>
          <cell r="R845"/>
          <cell r="S845"/>
          <cell r="T845">
            <v>0.45</v>
          </cell>
          <cell r="U845">
            <v>0.45</v>
          </cell>
          <cell r="V845">
            <v>0.1</v>
          </cell>
          <cell r="W845">
            <v>0</v>
          </cell>
          <cell r="X845" t="str">
            <v>EST ALMOFADA SAND BURGUNDY (ALGODAO) (LARANJA) - 0,45x0,45x0,1H</v>
          </cell>
          <cell r="Y845">
            <v>500</v>
          </cell>
          <cell r="Z845">
            <v>0.5</v>
          </cell>
          <cell r="AA845">
            <v>250</v>
          </cell>
          <cell r="AB845"/>
        </row>
        <row r="846">
          <cell r="C846">
            <v>7</v>
          </cell>
          <cell r="D846">
            <v>0</v>
          </cell>
          <cell r="E846">
            <v>0</v>
          </cell>
          <cell r="F846">
            <v>0</v>
          </cell>
          <cell r="H846">
            <v>0</v>
          </cell>
          <cell r="O846">
            <v>271510</v>
          </cell>
          <cell r="P846"/>
          <cell r="Q846" t="str">
            <v>EST ALMOFADA SAND BURGUNDY (ALGODAO) (LARANJA)</v>
          </cell>
          <cell r="R846"/>
          <cell r="S846"/>
          <cell r="T846">
            <v>0.45</v>
          </cell>
          <cell r="U846">
            <v>0.45</v>
          </cell>
          <cell r="V846">
            <v>0.1</v>
          </cell>
          <cell r="W846">
            <v>0</v>
          </cell>
          <cell r="X846" t="str">
            <v>EST ALMOFADA SAND BURGUNDY (ALGODAO) (LARANJA) - 0,45x0,45x0,1H</v>
          </cell>
          <cell r="Y846">
            <v>500</v>
          </cell>
          <cell r="Z846">
            <v>0.5</v>
          </cell>
          <cell r="AA846">
            <v>250</v>
          </cell>
          <cell r="AB846"/>
        </row>
        <row r="847">
          <cell r="C847">
            <v>6</v>
          </cell>
          <cell r="D847">
            <v>1</v>
          </cell>
          <cell r="E847">
            <v>0</v>
          </cell>
          <cell r="F847">
            <v>0</v>
          </cell>
          <cell r="H847">
            <v>0</v>
          </cell>
          <cell r="O847">
            <v>271511</v>
          </cell>
          <cell r="P847"/>
          <cell r="Q847" t="str">
            <v>EST ALMOFADA ANCARA (ALGODAO) (CINZA ESCURO)</v>
          </cell>
          <cell r="R847"/>
          <cell r="S847"/>
          <cell r="T847">
            <v>0.45</v>
          </cell>
          <cell r="U847">
            <v>0.45</v>
          </cell>
          <cell r="V847">
            <v>0.15</v>
          </cell>
          <cell r="W847">
            <v>0</v>
          </cell>
          <cell r="X847" t="str">
            <v>EST ALMOFADA ANCARA (ALGODAO) (CINZA ESCURO) - 0,45x0,45x0,15H</v>
          </cell>
          <cell r="Y847">
            <v>500</v>
          </cell>
          <cell r="Z847">
            <v>0.5</v>
          </cell>
          <cell r="AA847">
            <v>250</v>
          </cell>
          <cell r="AB847"/>
        </row>
        <row r="848">
          <cell r="C848">
            <v>6</v>
          </cell>
          <cell r="D848">
            <v>1</v>
          </cell>
          <cell r="E848">
            <v>0</v>
          </cell>
          <cell r="F848">
            <v>0</v>
          </cell>
          <cell r="H848">
            <v>0</v>
          </cell>
          <cell r="O848">
            <v>271511</v>
          </cell>
          <cell r="P848"/>
          <cell r="Q848" t="str">
            <v>EST ALMOFADA ANCARA (ALGODAO) (CINZA ESCURO)</v>
          </cell>
          <cell r="R848"/>
          <cell r="S848"/>
          <cell r="T848">
            <v>0.45</v>
          </cell>
          <cell r="U848">
            <v>0.45</v>
          </cell>
          <cell r="V848">
            <v>0.15</v>
          </cell>
          <cell r="W848">
            <v>0</v>
          </cell>
          <cell r="X848" t="str">
            <v>EST ALMOFADA ANCARA (ALGODAO) (CINZA ESCURO) - 0,45x0,45x0,15H</v>
          </cell>
          <cell r="Y848">
            <v>500</v>
          </cell>
          <cell r="Z848">
            <v>0.5</v>
          </cell>
          <cell r="AA848">
            <v>250</v>
          </cell>
          <cell r="AB848"/>
        </row>
        <row r="849">
          <cell r="C849">
            <v>6</v>
          </cell>
          <cell r="D849">
            <v>1</v>
          </cell>
          <cell r="E849">
            <v>0</v>
          </cell>
          <cell r="F849">
            <v>0</v>
          </cell>
          <cell r="H849">
            <v>0</v>
          </cell>
          <cell r="O849">
            <v>271511</v>
          </cell>
          <cell r="P849"/>
          <cell r="Q849" t="str">
            <v>EST ALMOFADA ANCARA (ALGODAO) (CINZA ESCURO)</v>
          </cell>
          <cell r="R849"/>
          <cell r="S849"/>
          <cell r="T849">
            <v>0.45</v>
          </cell>
          <cell r="U849">
            <v>0.45</v>
          </cell>
          <cell r="V849">
            <v>0.15</v>
          </cell>
          <cell r="W849">
            <v>0</v>
          </cell>
          <cell r="X849" t="str">
            <v>EST ALMOFADA ANCARA (ALGODAO) (CINZA ESCURO) - 0,45x0,45x0,15H</v>
          </cell>
          <cell r="Y849">
            <v>500</v>
          </cell>
          <cell r="Z849">
            <v>0.5</v>
          </cell>
          <cell r="AA849">
            <v>250</v>
          </cell>
          <cell r="AB849"/>
        </row>
        <row r="850">
          <cell r="C850">
            <v>6</v>
          </cell>
          <cell r="D850">
            <v>1</v>
          </cell>
          <cell r="E850">
            <v>0</v>
          </cell>
          <cell r="F850">
            <v>0</v>
          </cell>
          <cell r="H850">
            <v>0</v>
          </cell>
          <cell r="O850">
            <v>271511</v>
          </cell>
          <cell r="P850"/>
          <cell r="Q850" t="str">
            <v>EST ALMOFADA ANCARA (ALGODAO) (CINZA ESCURO)</v>
          </cell>
          <cell r="R850"/>
          <cell r="S850"/>
          <cell r="T850">
            <v>0.45</v>
          </cell>
          <cell r="U850">
            <v>0.45</v>
          </cell>
          <cell r="V850">
            <v>0.15</v>
          </cell>
          <cell r="W850">
            <v>0</v>
          </cell>
          <cell r="X850" t="str">
            <v>EST ALMOFADA ANCARA (ALGODAO) (CINZA ESCURO) - 0,45x0,45x0,15H</v>
          </cell>
          <cell r="Y850">
            <v>500</v>
          </cell>
          <cell r="Z850">
            <v>0.5</v>
          </cell>
          <cell r="AA850">
            <v>250</v>
          </cell>
          <cell r="AB850"/>
        </row>
        <row r="851">
          <cell r="C851">
            <v>6</v>
          </cell>
          <cell r="D851">
            <v>1</v>
          </cell>
          <cell r="E851">
            <v>0</v>
          </cell>
          <cell r="F851">
            <v>0</v>
          </cell>
          <cell r="H851">
            <v>0</v>
          </cell>
          <cell r="O851">
            <v>271511</v>
          </cell>
          <cell r="P851"/>
          <cell r="Q851" t="str">
            <v>EST ALMOFADA ANCARA (ALGODAO) (CINZA ESCURO)</v>
          </cell>
          <cell r="R851"/>
          <cell r="S851"/>
          <cell r="T851">
            <v>0.45</v>
          </cell>
          <cell r="U851">
            <v>0.45</v>
          </cell>
          <cell r="V851">
            <v>0.15</v>
          </cell>
          <cell r="W851">
            <v>0</v>
          </cell>
          <cell r="X851" t="str">
            <v>EST ALMOFADA ANCARA (ALGODAO) (CINZA ESCURO) - 0,45x0,45x0,15H</v>
          </cell>
          <cell r="Y851">
            <v>500</v>
          </cell>
          <cell r="Z851">
            <v>0.5</v>
          </cell>
          <cell r="AA851">
            <v>250</v>
          </cell>
          <cell r="AB851"/>
        </row>
        <row r="852">
          <cell r="C852">
            <v>6</v>
          </cell>
          <cell r="D852">
            <v>1</v>
          </cell>
          <cell r="E852">
            <v>0</v>
          </cell>
          <cell r="F852">
            <v>0</v>
          </cell>
          <cell r="H852">
            <v>0</v>
          </cell>
          <cell r="O852">
            <v>271511</v>
          </cell>
          <cell r="P852"/>
          <cell r="Q852" t="str">
            <v>EST ALMOFADA ANCARA (ALGODAO) (CINZA ESCURO)</v>
          </cell>
          <cell r="R852"/>
          <cell r="S852"/>
          <cell r="T852">
            <v>0.45</v>
          </cell>
          <cell r="U852">
            <v>0.45</v>
          </cell>
          <cell r="V852">
            <v>0.15</v>
          </cell>
          <cell r="W852">
            <v>0</v>
          </cell>
          <cell r="X852" t="str">
            <v>EST ALMOFADA ANCARA (ALGODAO) (CINZA ESCURO) - 0,45x0,45x0,15H</v>
          </cell>
          <cell r="Y852">
            <v>500</v>
          </cell>
          <cell r="Z852">
            <v>0.5</v>
          </cell>
          <cell r="AA852">
            <v>250</v>
          </cell>
          <cell r="AB852"/>
        </row>
        <row r="853">
          <cell r="C853">
            <v>6</v>
          </cell>
          <cell r="D853">
            <v>1</v>
          </cell>
          <cell r="E853">
            <v>0</v>
          </cell>
          <cell r="F853">
            <v>0</v>
          </cell>
          <cell r="H853">
            <v>0</v>
          </cell>
          <cell r="O853">
            <v>271511</v>
          </cell>
          <cell r="P853"/>
          <cell r="Q853" t="str">
            <v>EST ALMOFADA ANCARA (ALGODAO) (CINZA ESCURO)</v>
          </cell>
          <cell r="R853"/>
          <cell r="S853"/>
          <cell r="T853">
            <v>0.45</v>
          </cell>
          <cell r="U853">
            <v>0.45</v>
          </cell>
          <cell r="V853">
            <v>0.15</v>
          </cell>
          <cell r="W853">
            <v>0</v>
          </cell>
          <cell r="X853" t="str">
            <v>EST ALMOFADA ANCARA (ALGODAO) (CINZA ESCURO) - 0,45x0,45x0,15H</v>
          </cell>
          <cell r="Y853">
            <v>500</v>
          </cell>
          <cell r="Z853">
            <v>0.5</v>
          </cell>
          <cell r="AA853">
            <v>250</v>
          </cell>
          <cell r="AB853"/>
        </row>
        <row r="854">
          <cell r="C854">
            <v>6</v>
          </cell>
          <cell r="D854">
            <v>1</v>
          </cell>
          <cell r="E854">
            <v>0</v>
          </cell>
          <cell r="F854">
            <v>0</v>
          </cell>
          <cell r="H854">
            <v>0</v>
          </cell>
          <cell r="O854">
            <v>271511</v>
          </cell>
          <cell r="P854"/>
          <cell r="Q854" t="str">
            <v>EST ALMOFADA ANCARA (ALGODAO) (CINZA ESCURO)</v>
          </cell>
          <cell r="R854"/>
          <cell r="S854"/>
          <cell r="T854">
            <v>0.45</v>
          </cell>
          <cell r="U854">
            <v>0.45</v>
          </cell>
          <cell r="V854">
            <v>0.15</v>
          </cell>
          <cell r="W854">
            <v>0</v>
          </cell>
          <cell r="X854" t="str">
            <v>EST ALMOFADA ANCARA (ALGODAO) (CINZA ESCURO) - 0,45x0,45x0,15H</v>
          </cell>
          <cell r="Y854">
            <v>500</v>
          </cell>
          <cell r="Z854">
            <v>0.5</v>
          </cell>
          <cell r="AA854">
            <v>250</v>
          </cell>
          <cell r="AB854"/>
        </row>
        <row r="855">
          <cell r="C855">
            <v>6</v>
          </cell>
          <cell r="D855">
            <v>1</v>
          </cell>
          <cell r="E855">
            <v>0</v>
          </cell>
          <cell r="F855">
            <v>0</v>
          </cell>
          <cell r="H855">
            <v>0</v>
          </cell>
          <cell r="O855">
            <v>271511</v>
          </cell>
          <cell r="P855"/>
          <cell r="Q855" t="str">
            <v>EST ALMOFADA ANCARA (ALGODAO) (CINZA ESCURO)</v>
          </cell>
          <cell r="R855"/>
          <cell r="S855"/>
          <cell r="T855">
            <v>0.45</v>
          </cell>
          <cell r="U855">
            <v>0.45</v>
          </cell>
          <cell r="V855">
            <v>0.15</v>
          </cell>
          <cell r="W855">
            <v>0</v>
          </cell>
          <cell r="X855" t="str">
            <v>EST ALMOFADA ANCARA (ALGODAO) (CINZA ESCURO) - 0,45x0,45x0,15H</v>
          </cell>
          <cell r="Y855">
            <v>500</v>
          </cell>
          <cell r="Z855">
            <v>0.5</v>
          </cell>
          <cell r="AA855">
            <v>250</v>
          </cell>
          <cell r="AB855"/>
        </row>
        <row r="856">
          <cell r="C856">
            <v>4</v>
          </cell>
          <cell r="D856">
            <v>0</v>
          </cell>
          <cell r="E856">
            <v>0</v>
          </cell>
          <cell r="F856">
            <v>0</v>
          </cell>
          <cell r="H856">
            <v>0</v>
          </cell>
          <cell r="O856">
            <v>271512</v>
          </cell>
          <cell r="P856"/>
          <cell r="Q856" t="str">
            <v>EST ALMOFADA JAFA (ALGODAO) (PRETA E BRANCA)</v>
          </cell>
          <cell r="R856"/>
          <cell r="S856"/>
          <cell r="T856">
            <v>0.3</v>
          </cell>
          <cell r="U856">
            <v>0.47</v>
          </cell>
          <cell r="V856">
            <v>0.15</v>
          </cell>
          <cell r="W856">
            <v>0</v>
          </cell>
          <cell r="X856" t="str">
            <v>EST ALMOFADA JAFA (ALGODAO) (PRETA E BRANCA) - 0,3x0,47x0,15H</v>
          </cell>
          <cell r="Y856">
            <v>500</v>
          </cell>
          <cell r="Z856">
            <v>0.5</v>
          </cell>
          <cell r="AA856">
            <v>250</v>
          </cell>
          <cell r="AB856"/>
        </row>
        <row r="857">
          <cell r="C857">
            <v>4</v>
          </cell>
          <cell r="D857">
            <v>0</v>
          </cell>
          <cell r="E857">
            <v>0</v>
          </cell>
          <cell r="F857">
            <v>0</v>
          </cell>
          <cell r="H857">
            <v>0</v>
          </cell>
          <cell r="O857">
            <v>271512</v>
          </cell>
          <cell r="P857"/>
          <cell r="Q857" t="str">
            <v>EST ALMOFADA JAFA (ALGODAO) (PRETA E BRANCA)</v>
          </cell>
          <cell r="R857"/>
          <cell r="S857"/>
          <cell r="T857">
            <v>0.3</v>
          </cell>
          <cell r="U857">
            <v>0.47</v>
          </cell>
          <cell r="V857">
            <v>0.15</v>
          </cell>
          <cell r="W857">
            <v>0</v>
          </cell>
          <cell r="X857" t="str">
            <v>EST ALMOFADA JAFA (ALGODAO) (PRETA E BRANCA) - 0,3x0,47x0,15H</v>
          </cell>
          <cell r="Y857">
            <v>500</v>
          </cell>
          <cell r="Z857">
            <v>0.5</v>
          </cell>
          <cell r="AA857">
            <v>250</v>
          </cell>
          <cell r="AB857"/>
        </row>
        <row r="858">
          <cell r="C858">
            <v>4</v>
          </cell>
          <cell r="D858">
            <v>0</v>
          </cell>
          <cell r="E858">
            <v>0</v>
          </cell>
          <cell r="F858">
            <v>0</v>
          </cell>
          <cell r="H858">
            <v>0</v>
          </cell>
          <cell r="O858">
            <v>271512</v>
          </cell>
          <cell r="P858"/>
          <cell r="Q858" t="str">
            <v>EST ALMOFADA JAFA (ALGODAO) (PRETA E BRANCA)</v>
          </cell>
          <cell r="R858"/>
          <cell r="S858"/>
          <cell r="T858">
            <v>0.3</v>
          </cell>
          <cell r="U858">
            <v>0.47</v>
          </cell>
          <cell r="V858">
            <v>0.15</v>
          </cell>
          <cell r="W858">
            <v>0</v>
          </cell>
          <cell r="X858" t="str">
            <v>EST ALMOFADA JAFA (ALGODAO) (PRETA E BRANCA) - 0,3x0,47x0,15H</v>
          </cell>
          <cell r="Y858">
            <v>500</v>
          </cell>
          <cell r="Z858">
            <v>0.5</v>
          </cell>
          <cell r="AA858">
            <v>250</v>
          </cell>
          <cell r="AB858"/>
        </row>
        <row r="859">
          <cell r="C859">
            <v>4</v>
          </cell>
          <cell r="D859">
            <v>0</v>
          </cell>
          <cell r="E859">
            <v>0</v>
          </cell>
          <cell r="F859">
            <v>0</v>
          </cell>
          <cell r="H859">
            <v>0</v>
          </cell>
          <cell r="O859">
            <v>271512</v>
          </cell>
          <cell r="P859"/>
          <cell r="Q859" t="str">
            <v>EST ALMOFADA JAFA (ALGODAO) (PRETA E BRANCA)</v>
          </cell>
          <cell r="R859"/>
          <cell r="S859"/>
          <cell r="T859">
            <v>0.3</v>
          </cell>
          <cell r="U859">
            <v>0.47</v>
          </cell>
          <cell r="V859">
            <v>0.15</v>
          </cell>
          <cell r="W859">
            <v>0</v>
          </cell>
          <cell r="X859" t="str">
            <v>EST ALMOFADA JAFA (ALGODAO) (PRETA E BRANCA) - 0,3x0,47x0,15H</v>
          </cell>
          <cell r="Y859">
            <v>500</v>
          </cell>
          <cell r="Z859">
            <v>0.5</v>
          </cell>
          <cell r="AA859">
            <v>250</v>
          </cell>
          <cell r="AB859"/>
        </row>
        <row r="860">
          <cell r="C860">
            <v>4</v>
          </cell>
          <cell r="D860">
            <v>0</v>
          </cell>
          <cell r="E860">
            <v>0</v>
          </cell>
          <cell r="F860">
            <v>0</v>
          </cell>
          <cell r="H860">
            <v>0</v>
          </cell>
          <cell r="O860">
            <v>271512</v>
          </cell>
          <cell r="P860"/>
          <cell r="Q860" t="str">
            <v>EST ALMOFADA JAFA (ALGODAO) (PRETA E BRANCA)</v>
          </cell>
          <cell r="R860"/>
          <cell r="S860"/>
          <cell r="T860">
            <v>0.3</v>
          </cell>
          <cell r="U860">
            <v>0.47</v>
          </cell>
          <cell r="V860">
            <v>0.15</v>
          </cell>
          <cell r="W860">
            <v>0</v>
          </cell>
          <cell r="X860" t="str">
            <v>EST ALMOFADA JAFA (ALGODAO) (PRETA E BRANCA) - 0,3x0,47x0,15H</v>
          </cell>
          <cell r="Y860">
            <v>500</v>
          </cell>
          <cell r="Z860">
            <v>0.5</v>
          </cell>
          <cell r="AA860">
            <v>250</v>
          </cell>
          <cell r="AB860"/>
        </row>
        <row r="861">
          <cell r="C861">
            <v>4</v>
          </cell>
          <cell r="D861">
            <v>0</v>
          </cell>
          <cell r="E861">
            <v>0</v>
          </cell>
          <cell r="F861">
            <v>0</v>
          </cell>
          <cell r="H861">
            <v>0</v>
          </cell>
          <cell r="O861">
            <v>271512</v>
          </cell>
          <cell r="P861"/>
          <cell r="Q861" t="str">
            <v>EST ALMOFADA JAFA (ALGODAO) (PRETA E BRANCA)</v>
          </cell>
          <cell r="R861"/>
          <cell r="S861"/>
          <cell r="T861">
            <v>0.3</v>
          </cell>
          <cell r="U861">
            <v>0.47</v>
          </cell>
          <cell r="V861">
            <v>0.15</v>
          </cell>
          <cell r="W861">
            <v>0</v>
          </cell>
          <cell r="X861" t="str">
            <v>EST ALMOFADA JAFA (ALGODAO) (PRETA E BRANCA) - 0,3x0,47x0,15H</v>
          </cell>
          <cell r="Y861">
            <v>500</v>
          </cell>
          <cell r="Z861">
            <v>0.5</v>
          </cell>
          <cell r="AA861">
            <v>250</v>
          </cell>
          <cell r="AB861"/>
        </row>
        <row r="862">
          <cell r="C862">
            <v>4</v>
          </cell>
          <cell r="D862">
            <v>0</v>
          </cell>
          <cell r="E862">
            <v>0</v>
          </cell>
          <cell r="F862">
            <v>0</v>
          </cell>
          <cell r="H862">
            <v>0</v>
          </cell>
          <cell r="O862">
            <v>271512</v>
          </cell>
          <cell r="P862"/>
          <cell r="Q862" t="str">
            <v>EST ALMOFADA JAFA (ALGODAO) (PRETA E BRANCA)</v>
          </cell>
          <cell r="R862"/>
          <cell r="S862"/>
          <cell r="T862">
            <v>0.3</v>
          </cell>
          <cell r="U862">
            <v>0.47</v>
          </cell>
          <cell r="V862">
            <v>0.15</v>
          </cell>
          <cell r="W862">
            <v>0</v>
          </cell>
          <cell r="X862" t="str">
            <v>EST ALMOFADA JAFA (ALGODAO) (PRETA E BRANCA) - 0,3x0,47x0,15H</v>
          </cell>
          <cell r="Y862">
            <v>500</v>
          </cell>
          <cell r="Z862">
            <v>0.5</v>
          </cell>
          <cell r="AA862">
            <v>250</v>
          </cell>
          <cell r="AB862"/>
        </row>
        <row r="863">
          <cell r="C863">
            <v>4</v>
          </cell>
          <cell r="D863">
            <v>0</v>
          </cell>
          <cell r="E863">
            <v>0</v>
          </cell>
          <cell r="F863">
            <v>0</v>
          </cell>
          <cell r="H863">
            <v>0</v>
          </cell>
          <cell r="O863">
            <v>271512</v>
          </cell>
          <cell r="P863"/>
          <cell r="Q863" t="str">
            <v>EST ALMOFADA JAFA (ALGODAO) (PRETA E BRANCA)</v>
          </cell>
          <cell r="R863"/>
          <cell r="S863"/>
          <cell r="T863">
            <v>0.3</v>
          </cell>
          <cell r="U863">
            <v>0.47</v>
          </cell>
          <cell r="V863">
            <v>0.15</v>
          </cell>
          <cell r="W863">
            <v>0</v>
          </cell>
          <cell r="X863" t="str">
            <v>EST ALMOFADA JAFA (ALGODAO) (PRETA E BRANCA) - 0,3x0,47x0,15H</v>
          </cell>
          <cell r="Y863">
            <v>500</v>
          </cell>
          <cell r="Z863">
            <v>0.5</v>
          </cell>
          <cell r="AA863">
            <v>250</v>
          </cell>
          <cell r="AB863"/>
        </row>
        <row r="864">
          <cell r="C864">
            <v>4</v>
          </cell>
          <cell r="D864">
            <v>0</v>
          </cell>
          <cell r="E864">
            <v>0</v>
          </cell>
          <cell r="F864">
            <v>0</v>
          </cell>
          <cell r="H864">
            <v>0</v>
          </cell>
          <cell r="O864">
            <v>271512</v>
          </cell>
          <cell r="P864"/>
          <cell r="Q864" t="str">
            <v>EST ALMOFADA JAFA (ALGODAO) (PRETA E BRANCA)</v>
          </cell>
          <cell r="R864"/>
          <cell r="S864"/>
          <cell r="T864">
            <v>0.3</v>
          </cell>
          <cell r="U864">
            <v>0.47</v>
          </cell>
          <cell r="V864">
            <v>0.15</v>
          </cell>
          <cell r="W864">
            <v>0</v>
          </cell>
          <cell r="X864" t="str">
            <v>EST ALMOFADA JAFA (ALGODAO) (PRETA E BRANCA) - 0,3x0,47x0,15H</v>
          </cell>
          <cell r="Y864">
            <v>500</v>
          </cell>
          <cell r="Z864">
            <v>0.5</v>
          </cell>
          <cell r="AA864">
            <v>250</v>
          </cell>
          <cell r="AB864"/>
        </row>
        <row r="865">
          <cell r="C865">
            <v>4</v>
          </cell>
          <cell r="D865">
            <v>0</v>
          </cell>
          <cell r="E865">
            <v>0</v>
          </cell>
          <cell r="F865">
            <v>0</v>
          </cell>
          <cell r="H865">
            <v>0</v>
          </cell>
          <cell r="O865">
            <v>271512</v>
          </cell>
          <cell r="P865"/>
          <cell r="Q865" t="str">
            <v>EST ALMOFADA JAFA (ALGODAO) (PRETA E BRANCA)</v>
          </cell>
          <cell r="R865"/>
          <cell r="S865"/>
          <cell r="T865">
            <v>0.3</v>
          </cell>
          <cell r="U865">
            <v>0.47</v>
          </cell>
          <cell r="V865">
            <v>0.15</v>
          </cell>
          <cell r="W865">
            <v>0</v>
          </cell>
          <cell r="X865" t="str">
            <v>EST ALMOFADA JAFA (ALGODAO) (PRETA E BRANCA) - 0,3x0,47x0,15H</v>
          </cell>
          <cell r="Y865">
            <v>500</v>
          </cell>
          <cell r="Z865">
            <v>0.5</v>
          </cell>
          <cell r="AA865">
            <v>250</v>
          </cell>
          <cell r="AB865"/>
        </row>
        <row r="866">
          <cell r="C866">
            <v>1</v>
          </cell>
          <cell r="D866">
            <v>0</v>
          </cell>
          <cell r="E866">
            <v>0</v>
          </cell>
          <cell r="F866">
            <v>0</v>
          </cell>
          <cell r="H866">
            <v>0</v>
          </cell>
          <cell r="O866">
            <v>351679</v>
          </cell>
          <cell r="P866"/>
          <cell r="Q866" t="str">
            <v>EST ALMOFADA CLAMI 1 (PLUMA SINT) (BISTROL CRU/AZUL)</v>
          </cell>
          <cell r="R866"/>
          <cell r="S866"/>
          <cell r="T866">
            <v>0.7</v>
          </cell>
          <cell r="U866">
            <v>0.3</v>
          </cell>
          <cell r="V866">
            <v>0.15</v>
          </cell>
          <cell r="W866">
            <v>0</v>
          </cell>
          <cell r="X866" t="str">
            <v>EST ALMOFADA CLAMI 1 (PLUMA SINT) (BISTROL CRU/AZUL) - 0,7x0,3x0,15H</v>
          </cell>
          <cell r="Y866">
            <v>1200</v>
          </cell>
          <cell r="Z866">
            <v>0.5</v>
          </cell>
          <cell r="AA866">
            <v>600</v>
          </cell>
          <cell r="AB866"/>
        </row>
        <row r="867">
          <cell r="C867">
            <v>1</v>
          </cell>
          <cell r="D867">
            <v>0</v>
          </cell>
          <cell r="E867">
            <v>0</v>
          </cell>
          <cell r="F867">
            <v>0</v>
          </cell>
          <cell r="H867">
            <v>0</v>
          </cell>
          <cell r="O867">
            <v>351680</v>
          </cell>
          <cell r="P867"/>
          <cell r="Q867" t="str">
            <v>EST ALMOFADA CLAMI 1 (PLUMA SINT) (BISTROL CRU/AZUL)</v>
          </cell>
          <cell r="R867"/>
          <cell r="S867"/>
          <cell r="T867">
            <v>0.6</v>
          </cell>
          <cell r="U867">
            <v>0.25</v>
          </cell>
          <cell r="V867">
            <v>0.15</v>
          </cell>
          <cell r="W867">
            <v>0</v>
          </cell>
          <cell r="X867" t="str">
            <v>EST ALMOFADA CLAMI 1 (PLUMA SINT) (BISTROL CRU/AZUL) - 0,6x0,25x0,15H</v>
          </cell>
          <cell r="Y867">
            <v>500</v>
          </cell>
          <cell r="Z867">
            <v>0.5</v>
          </cell>
          <cell r="AA867">
            <v>250</v>
          </cell>
          <cell r="AB867"/>
        </row>
        <row r="868">
          <cell r="C868">
            <v>1</v>
          </cell>
          <cell r="D868">
            <v>0</v>
          </cell>
          <cell r="E868">
            <v>0</v>
          </cell>
          <cell r="F868">
            <v>0</v>
          </cell>
          <cell r="H868">
            <v>0</v>
          </cell>
          <cell r="O868">
            <v>351681</v>
          </cell>
          <cell r="P868"/>
          <cell r="Q868" t="str">
            <v>EST ALMOFADA CLAMI 1 (PLUMA SINT) (BISTROL CRU/AZUL)</v>
          </cell>
          <cell r="R868"/>
          <cell r="S868"/>
          <cell r="T868">
            <v>0.5</v>
          </cell>
          <cell r="U868">
            <v>0.35</v>
          </cell>
          <cell r="V868">
            <v>0.15</v>
          </cell>
          <cell r="W868">
            <v>0</v>
          </cell>
          <cell r="X868" t="str">
            <v>EST ALMOFADA CLAMI 1 (PLUMA SINT) (BISTROL CRU/AZUL) - 0,5x0,35x0,15H</v>
          </cell>
          <cell r="Y868">
            <v>500</v>
          </cell>
          <cell r="Z868">
            <v>0.5</v>
          </cell>
          <cell r="AA868">
            <v>250</v>
          </cell>
          <cell r="AB868"/>
        </row>
        <row r="869">
          <cell r="C869">
            <v>1</v>
          </cell>
          <cell r="D869">
            <v>0</v>
          </cell>
          <cell r="E869">
            <v>0</v>
          </cell>
          <cell r="F869">
            <v>0</v>
          </cell>
          <cell r="H869">
            <v>0</v>
          </cell>
          <cell r="O869">
            <v>351682</v>
          </cell>
          <cell r="P869"/>
          <cell r="Q869" t="str">
            <v>EST ALMOFADA CLAMI 1 (PLUMA SINT) (BISTROL CRU/AZUL)</v>
          </cell>
          <cell r="R869"/>
          <cell r="S869"/>
          <cell r="T869">
            <v>0.4</v>
          </cell>
          <cell r="U869">
            <v>0.3</v>
          </cell>
          <cell r="V869">
            <v>0.15</v>
          </cell>
          <cell r="W869">
            <v>0</v>
          </cell>
          <cell r="X869" t="str">
            <v>EST ALMOFADA CLAMI 1 (PLUMA SINT) (BISTROL CRU/AZUL) - 0,4x0,3x0,15H</v>
          </cell>
          <cell r="Y869">
            <v>500</v>
          </cell>
          <cell r="Z869">
            <v>0.5</v>
          </cell>
          <cell r="AA869">
            <v>250</v>
          </cell>
          <cell r="AB869"/>
        </row>
        <row r="870">
          <cell r="C870">
            <v>2</v>
          </cell>
          <cell r="D870">
            <v>1</v>
          </cell>
          <cell r="E870">
            <v>0</v>
          </cell>
          <cell r="F870">
            <v>0</v>
          </cell>
          <cell r="H870">
            <v>0</v>
          </cell>
          <cell r="O870">
            <v>151286</v>
          </cell>
          <cell r="P870" t="str">
            <v>2014/219-0024-01</v>
          </cell>
          <cell r="Q870" t="str">
            <v>EST ACESSORIO CAIXA C/TAMPA CRISTAL</v>
          </cell>
          <cell r="R870"/>
          <cell r="S870"/>
          <cell r="T870">
            <v>0.3</v>
          </cell>
          <cell r="U870">
            <v>0.15</v>
          </cell>
          <cell r="V870">
            <v>0.2</v>
          </cell>
          <cell r="W870">
            <v>0</v>
          </cell>
          <cell r="X870" t="str">
            <v>EST ACESSORIO CAIXA C/TAMPA CRISTAL - 0,3x0,15x0,2H</v>
          </cell>
          <cell r="Y870">
            <v>2650</v>
          </cell>
          <cell r="Z870">
            <v>0.35</v>
          </cell>
          <cell r="AA870">
            <v>1722.5</v>
          </cell>
          <cell r="AB870"/>
        </row>
        <row r="871">
          <cell r="C871">
            <v>2</v>
          </cell>
          <cell r="D871">
            <v>0</v>
          </cell>
          <cell r="E871">
            <v>0</v>
          </cell>
          <cell r="F871">
            <v>0</v>
          </cell>
          <cell r="H871">
            <v>0</v>
          </cell>
          <cell r="O871">
            <v>64049</v>
          </cell>
          <cell r="P871" t="str">
            <v>2014/013-0003-01</v>
          </cell>
          <cell r="Q871" t="str">
            <v>EST CACHEPOT MARROCOS (REF 06612)</v>
          </cell>
          <cell r="R871"/>
          <cell r="S871"/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 t="str">
            <v>EST CACHEPOT MARROCOS (REF 06612) - Ø0x0H</v>
          </cell>
          <cell r="Y871">
            <v>2500</v>
          </cell>
          <cell r="Z871">
            <v>0.35</v>
          </cell>
          <cell r="AA871">
            <v>1625</v>
          </cell>
          <cell r="AB871"/>
        </row>
        <row r="872">
          <cell r="C872">
            <v>2</v>
          </cell>
          <cell r="D872">
            <v>0</v>
          </cell>
          <cell r="E872">
            <v>0</v>
          </cell>
          <cell r="F872">
            <v>0</v>
          </cell>
          <cell r="H872">
            <v>0</v>
          </cell>
          <cell r="O872">
            <v>64049</v>
          </cell>
          <cell r="P872" t="str">
            <v>2024/326-0083-01</v>
          </cell>
          <cell r="Q872" t="str">
            <v>EST CACHEPOT MARROCOS (REF 06612)</v>
          </cell>
          <cell r="R872"/>
          <cell r="S872"/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 t="str">
            <v>EST CACHEPOT MARROCOS (REF 06612) - Ø0x0H</v>
          </cell>
          <cell r="Y872">
            <v>2500</v>
          </cell>
          <cell r="Z872">
            <v>0.35</v>
          </cell>
          <cell r="AA872">
            <v>1625</v>
          </cell>
          <cell r="AB872"/>
        </row>
        <row r="873">
          <cell r="C873">
            <v>2</v>
          </cell>
          <cell r="D873">
            <v>1</v>
          </cell>
          <cell r="E873">
            <v>0</v>
          </cell>
          <cell r="F873">
            <v>0</v>
          </cell>
          <cell r="H873">
            <v>0</v>
          </cell>
          <cell r="O873">
            <v>151286</v>
          </cell>
          <cell r="P873" t="str">
            <v>2014/219-0025-01</v>
          </cell>
          <cell r="Q873" t="str">
            <v>EST ACESSORIO CAIXA C/TAMPA CRISTAL</v>
          </cell>
          <cell r="R873"/>
          <cell r="S873"/>
          <cell r="T873">
            <v>0.3</v>
          </cell>
          <cell r="U873">
            <v>0.15</v>
          </cell>
          <cell r="V873">
            <v>0.2</v>
          </cell>
          <cell r="W873">
            <v>0</v>
          </cell>
          <cell r="X873" t="str">
            <v>EST ACESSORIO CAIXA C/TAMPA CRISTAL - 0,3x0,15x0,2H</v>
          </cell>
          <cell r="Y873">
            <v>2650</v>
          </cell>
          <cell r="Z873">
            <v>0.35</v>
          </cell>
          <cell r="AA873">
            <v>1722.5</v>
          </cell>
          <cell r="AB873"/>
        </row>
        <row r="874">
          <cell r="C874">
            <v>2</v>
          </cell>
          <cell r="D874">
            <v>1</v>
          </cell>
          <cell r="E874">
            <v>0</v>
          </cell>
          <cell r="F874">
            <v>0</v>
          </cell>
          <cell r="H874">
            <v>0</v>
          </cell>
          <cell r="O874">
            <v>151286</v>
          </cell>
          <cell r="P874" t="str">
            <v>2014/219-0048-01</v>
          </cell>
          <cell r="Q874" t="str">
            <v>EST ACESSORIO CAIXA C/TAMPA CRISTAL</v>
          </cell>
          <cell r="R874"/>
          <cell r="S874"/>
          <cell r="T874">
            <v>0.3</v>
          </cell>
          <cell r="U874">
            <v>0.15</v>
          </cell>
          <cell r="V874">
            <v>0.2</v>
          </cell>
          <cell r="W874">
            <v>0</v>
          </cell>
          <cell r="X874" t="str">
            <v>EST ACESSORIO CAIXA C/TAMPA CRISTAL - 0,3x0,15x0,2H</v>
          </cell>
          <cell r="Y874">
            <v>2650</v>
          </cell>
          <cell r="Z874">
            <v>0.35</v>
          </cell>
          <cell r="AA874">
            <v>1722.5</v>
          </cell>
          <cell r="AB874"/>
        </row>
        <row r="875">
          <cell r="C875">
            <v>2</v>
          </cell>
          <cell r="D875">
            <v>2</v>
          </cell>
          <cell r="E875">
            <v>2</v>
          </cell>
          <cell r="F875">
            <v>0</v>
          </cell>
          <cell r="H875">
            <v>0</v>
          </cell>
          <cell r="O875">
            <v>234033</v>
          </cell>
          <cell r="P875" t="str">
            <v>2019/164-0045-01</v>
          </cell>
          <cell r="Q875" t="str">
            <v>EST ALMOFADA (GREEN COMPLIMENT 2 ED) (COD 120550128)</v>
          </cell>
          <cell r="R875"/>
          <cell r="S875"/>
          <cell r="T875">
            <v>0.5</v>
          </cell>
          <cell r="U875">
            <v>0.5</v>
          </cell>
          <cell r="V875">
            <v>0.15</v>
          </cell>
          <cell r="W875">
            <v>0</v>
          </cell>
          <cell r="X875" t="str">
            <v>EST ALMOFADA (GREEN COMPLIMENT 2 ED) (COD 120550128) - 0,5x0,5x0,15H</v>
          </cell>
          <cell r="Y875">
            <v>500</v>
          </cell>
          <cell r="Z875">
            <v>0.5</v>
          </cell>
          <cell r="AA875">
            <v>250</v>
          </cell>
          <cell r="AB875"/>
        </row>
        <row r="876">
          <cell r="C876">
            <v>2</v>
          </cell>
          <cell r="D876">
            <v>2</v>
          </cell>
          <cell r="E876">
            <v>2</v>
          </cell>
          <cell r="F876">
            <v>0</v>
          </cell>
          <cell r="H876">
            <v>0</v>
          </cell>
          <cell r="O876">
            <v>234033</v>
          </cell>
          <cell r="P876" t="str">
            <v>2019/164-0047-01</v>
          </cell>
          <cell r="Q876" t="str">
            <v>EST ALMOFADA (GREEN COMPLIMENT 2 ED) (COD 120550128)</v>
          </cell>
          <cell r="R876"/>
          <cell r="S876"/>
          <cell r="T876">
            <v>0.5</v>
          </cell>
          <cell r="U876">
            <v>0.5</v>
          </cell>
          <cell r="V876">
            <v>0.15</v>
          </cell>
          <cell r="W876">
            <v>0</v>
          </cell>
          <cell r="X876" t="str">
            <v>EST ALMOFADA (GREEN COMPLIMENT 2 ED) (COD 120550128) - 0,5x0,5x0,15H</v>
          </cell>
          <cell r="Y876">
            <v>500</v>
          </cell>
          <cell r="Z876">
            <v>0.5</v>
          </cell>
          <cell r="AA876">
            <v>250</v>
          </cell>
          <cell r="AB876"/>
        </row>
        <row r="877">
          <cell r="C877">
            <v>2</v>
          </cell>
          <cell r="D877">
            <v>2</v>
          </cell>
          <cell r="E877">
            <v>2</v>
          </cell>
          <cell r="F877">
            <v>0</v>
          </cell>
          <cell r="H877">
            <v>0</v>
          </cell>
          <cell r="O877">
            <v>234033</v>
          </cell>
          <cell r="P877" t="str">
            <v>2019/164-0048-01</v>
          </cell>
          <cell r="Q877" t="str">
            <v>EST ALMOFADA (GREEN COMPLIMENT 2 ED) (COD 120550128)</v>
          </cell>
          <cell r="R877"/>
          <cell r="S877"/>
          <cell r="T877">
            <v>0.5</v>
          </cell>
          <cell r="U877">
            <v>0.5</v>
          </cell>
          <cell r="V877">
            <v>0.15</v>
          </cell>
          <cell r="W877">
            <v>0</v>
          </cell>
          <cell r="X877" t="str">
            <v>EST ALMOFADA (GREEN COMPLIMENT 2 ED) (COD 120550128) - 0,5x0,5x0,15H</v>
          </cell>
          <cell r="Y877">
            <v>500</v>
          </cell>
          <cell r="Z877">
            <v>0.5</v>
          </cell>
          <cell r="AA877">
            <v>250</v>
          </cell>
          <cell r="AB877"/>
        </row>
        <row r="878">
          <cell r="C878">
            <v>2</v>
          </cell>
          <cell r="D878">
            <v>2</v>
          </cell>
          <cell r="E878">
            <v>2</v>
          </cell>
          <cell r="F878">
            <v>0</v>
          </cell>
          <cell r="H878">
            <v>0</v>
          </cell>
          <cell r="O878">
            <v>234033</v>
          </cell>
          <cell r="P878" t="str">
            <v>2019/164-0049-01</v>
          </cell>
          <cell r="Q878" t="str">
            <v>EST ALMOFADA (GREEN COMPLIMENT 2 ED) (COD 120550128)</v>
          </cell>
          <cell r="R878"/>
          <cell r="S878"/>
          <cell r="T878">
            <v>0.5</v>
          </cell>
          <cell r="U878">
            <v>0.5</v>
          </cell>
          <cell r="V878">
            <v>0.15</v>
          </cell>
          <cell r="W878">
            <v>0</v>
          </cell>
          <cell r="X878" t="str">
            <v>EST ALMOFADA (GREEN COMPLIMENT 2 ED) (COD 120550128) - 0,5x0,5x0,15H</v>
          </cell>
          <cell r="Y878">
            <v>500</v>
          </cell>
          <cell r="Z878">
            <v>0.5</v>
          </cell>
          <cell r="AA878">
            <v>250</v>
          </cell>
          <cell r="AB878"/>
        </row>
        <row r="879">
          <cell r="C879">
            <v>0</v>
          </cell>
          <cell r="D879">
            <v>0</v>
          </cell>
          <cell r="E879">
            <v>0</v>
          </cell>
          <cell r="F879">
            <v>1</v>
          </cell>
          <cell r="H879">
            <v>0</v>
          </cell>
          <cell r="O879">
            <v>359557</v>
          </cell>
          <cell r="P879" t="str">
            <v>2023/024-0090-01</v>
          </cell>
          <cell r="Q879" t="str">
            <v>EST BUFFET HOLLIE (JEQ NOG) (TP MARMORE ROSA P) (PRETO TXT)</v>
          </cell>
          <cell r="R879"/>
          <cell r="S879"/>
          <cell r="T879">
            <v>2.5</v>
          </cell>
          <cell r="U879">
            <v>0.55000000000000004</v>
          </cell>
          <cell r="V879">
            <v>0.8</v>
          </cell>
          <cell r="W879">
            <v>0</v>
          </cell>
          <cell r="X879" t="str">
            <v>EST BUFFET HOLLIE (JEQ NOG) (TP MARMORE ROSA P) (PRETO TXT) - 2,5x0,55x0,8H</v>
          </cell>
          <cell r="Y879">
            <v>69749.7</v>
          </cell>
          <cell r="Z879">
            <v>0.35</v>
          </cell>
          <cell r="AA879">
            <v>45337.305</v>
          </cell>
          <cell r="AB879"/>
        </row>
        <row r="880"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H880">
            <v>1</v>
          </cell>
          <cell r="O880">
            <v>336563</v>
          </cell>
          <cell r="P880" t="str">
            <v>2022/271-0031-01</v>
          </cell>
          <cell r="Q880" t="str">
            <v>EST MESA JANTAR VELL (JEQ NOG) (TP CARV NOG) (MARROM PRZ)</v>
          </cell>
          <cell r="R880"/>
          <cell r="S880"/>
          <cell r="T880">
            <v>3</v>
          </cell>
          <cell r="U880">
            <v>1.2</v>
          </cell>
          <cell r="V880">
            <v>0.75</v>
          </cell>
          <cell r="W880">
            <v>0</v>
          </cell>
          <cell r="X880" t="str">
            <v>EST MESA JANTAR VELL (JEQ NOG) (TP CARV NOG) (MARROM PRZ) - 3x1,2x0,75H</v>
          </cell>
          <cell r="Y880">
            <v>47734.13</v>
          </cell>
          <cell r="Z880">
            <v>0.35</v>
          </cell>
          <cell r="AA880">
            <v>31027.184499999999</v>
          </cell>
          <cell r="AB880"/>
        </row>
        <row r="881">
          <cell r="C881">
            <v>0</v>
          </cell>
          <cell r="D881">
            <v>1</v>
          </cell>
          <cell r="E881">
            <v>0</v>
          </cell>
          <cell r="F881">
            <v>0</v>
          </cell>
          <cell r="H881">
            <v>0</v>
          </cell>
          <cell r="O881">
            <v>379636</v>
          </cell>
          <cell r="P881" t="str">
            <v>2024/093-0120-01</v>
          </cell>
          <cell r="Q881" t="str">
            <v>EST BUFFET HOLLIE MACICO JEQ FREIJO (TP JEQ FREIJO) (CHAMP)</v>
          </cell>
          <cell r="R881"/>
          <cell r="S881"/>
          <cell r="T881">
            <v>2.5</v>
          </cell>
          <cell r="U881">
            <v>0.55000000000000004</v>
          </cell>
          <cell r="V881">
            <v>0.8</v>
          </cell>
          <cell r="W881">
            <v>0</v>
          </cell>
          <cell r="X881" t="str">
            <v>EST BUFFET HOLLIE MACICO JEQ FREIJO (TP JEQ FREIJO) (CHAMP) - 2,5x0,55x0,8H</v>
          </cell>
          <cell r="Y881">
            <v>43002.04</v>
          </cell>
          <cell r="Z881">
            <v>0.35</v>
          </cell>
          <cell r="AA881">
            <v>27951.326000000001</v>
          </cell>
          <cell r="AB881"/>
        </row>
        <row r="882">
          <cell r="C882">
            <v>6</v>
          </cell>
          <cell r="D882">
            <v>1</v>
          </cell>
          <cell r="E882">
            <v>0</v>
          </cell>
          <cell r="F882">
            <v>0</v>
          </cell>
          <cell r="H882">
            <v>3</v>
          </cell>
          <cell r="O882">
            <v>362675</v>
          </cell>
          <cell r="P882" t="str">
            <v>2023/115-0081-01</v>
          </cell>
          <cell r="Q882" t="str">
            <v>EST CADEIRA CLARA C/BRACO (JEQ NOG) (MISTA) (C2 CARAMELO)</v>
          </cell>
          <cell r="R882"/>
          <cell r="S882"/>
          <cell r="T882">
            <v>0.61</v>
          </cell>
          <cell r="U882">
            <v>0.55000000000000004</v>
          </cell>
          <cell r="V882">
            <v>0.86</v>
          </cell>
          <cell r="W882">
            <v>0</v>
          </cell>
          <cell r="X882" t="str">
            <v>EST CADEIRA CLARA C/BRACO (JEQ NOG) (MISTA) (C2 CARAMELO) - 0,61x0,55x0,86H</v>
          </cell>
          <cell r="Y882">
            <v>9303.6200000000008</v>
          </cell>
          <cell r="Z882">
            <v>0.5</v>
          </cell>
          <cell r="AA882">
            <v>4651.8100000000004</v>
          </cell>
          <cell r="AB882"/>
        </row>
        <row r="883"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H883">
            <v>8</v>
          </cell>
          <cell r="O883">
            <v>307831</v>
          </cell>
          <cell r="P883" t="str">
            <v>2021/350-0141-01</v>
          </cell>
          <cell r="Q883" t="str">
            <v>EST CADEIRA KEEF C/BRACO (JEQ TING NOG) (MADEIRA)</v>
          </cell>
          <cell r="R883"/>
          <cell r="S883"/>
          <cell r="T883">
            <v>0.55000000000000004</v>
          </cell>
          <cell r="U883">
            <v>0.54</v>
          </cell>
          <cell r="V883">
            <v>0.89</v>
          </cell>
          <cell r="W883">
            <v>0</v>
          </cell>
          <cell r="X883" t="str">
            <v>EST CADEIRA KEEF C/BRACO (JEQ TING NOG) (MADEIRA) - 0,55x0,54x0,89H</v>
          </cell>
          <cell r="Y883">
            <v>9339.19</v>
          </cell>
          <cell r="Z883">
            <v>0.5</v>
          </cell>
          <cell r="AA883">
            <v>4669.5950000000003</v>
          </cell>
          <cell r="AB883"/>
        </row>
        <row r="884"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H884">
            <v>8</v>
          </cell>
          <cell r="O884">
            <v>307831</v>
          </cell>
          <cell r="P884" t="str">
            <v>2021/350-0144-01</v>
          </cell>
          <cell r="Q884" t="str">
            <v>EST CADEIRA KEEF C/BRACO (JEQ TING NOG) (MADEIRA)</v>
          </cell>
          <cell r="R884"/>
          <cell r="S884"/>
          <cell r="T884">
            <v>0.55000000000000004</v>
          </cell>
          <cell r="U884">
            <v>0.54</v>
          </cell>
          <cell r="V884">
            <v>0.89</v>
          </cell>
          <cell r="W884">
            <v>0</v>
          </cell>
          <cell r="X884" t="str">
            <v>EST CADEIRA KEEF C/BRACO (JEQ TING NOG) (MADEIRA) - 0,55x0,54x0,89H</v>
          </cell>
          <cell r="Y884">
            <v>9339.19</v>
          </cell>
          <cell r="Z884">
            <v>0.5</v>
          </cell>
          <cell r="AA884">
            <v>4669.5950000000003</v>
          </cell>
          <cell r="AB884"/>
        </row>
        <row r="885">
          <cell r="C885">
            <v>8</v>
          </cell>
          <cell r="D885">
            <v>0</v>
          </cell>
          <cell r="E885">
            <v>0</v>
          </cell>
          <cell r="F885">
            <v>0</v>
          </cell>
          <cell r="H885">
            <v>0</v>
          </cell>
          <cell r="O885">
            <v>336561</v>
          </cell>
          <cell r="P885" t="str">
            <v>2022/301-0016-01</v>
          </cell>
          <cell r="Q885" t="str">
            <v>EST CADEIRA CLARA (JEQ TING NOG) (ESTOF) (C2 CARAMELO)</v>
          </cell>
          <cell r="R885"/>
          <cell r="S885"/>
          <cell r="T885">
            <v>0.48</v>
          </cell>
          <cell r="U885">
            <v>0.56999999999999995</v>
          </cell>
          <cell r="V885">
            <v>0.86</v>
          </cell>
          <cell r="W885">
            <v>0</v>
          </cell>
          <cell r="X885" t="str">
            <v>EST CADEIRA CLARA (JEQ TING NOG) (ESTOF) (C2 CARAMELO) - 0,48x0,57x0,86H</v>
          </cell>
          <cell r="Y885">
            <v>7481.15</v>
          </cell>
          <cell r="Z885">
            <v>0.5</v>
          </cell>
          <cell r="AA885">
            <v>3740.5749999999998</v>
          </cell>
          <cell r="AB885"/>
        </row>
        <row r="886">
          <cell r="C886">
            <v>8</v>
          </cell>
          <cell r="D886">
            <v>0</v>
          </cell>
          <cell r="E886">
            <v>0</v>
          </cell>
          <cell r="F886">
            <v>0</v>
          </cell>
          <cell r="H886">
            <v>0</v>
          </cell>
          <cell r="O886">
            <v>336561</v>
          </cell>
          <cell r="P886" t="str">
            <v>2022/301-0017-01</v>
          </cell>
          <cell r="Q886" t="str">
            <v>EST CADEIRA CLARA (JEQ TING NOG) (ESTOF) (C2 CARAMELO)</v>
          </cell>
          <cell r="R886"/>
          <cell r="S886"/>
          <cell r="T886">
            <v>0.48</v>
          </cell>
          <cell r="U886">
            <v>0.56999999999999995</v>
          </cell>
          <cell r="V886">
            <v>0.86</v>
          </cell>
          <cell r="W886">
            <v>0</v>
          </cell>
          <cell r="X886" t="str">
            <v>EST CADEIRA CLARA (JEQ TING NOG) (ESTOF) (C2 CARAMELO) - 0,48x0,57x0,86H</v>
          </cell>
          <cell r="Y886">
            <v>7481.15</v>
          </cell>
          <cell r="Z886">
            <v>0.5</v>
          </cell>
          <cell r="AA886">
            <v>3740.5749999999998</v>
          </cell>
          <cell r="AB886"/>
        </row>
        <row r="887">
          <cell r="C887">
            <v>8</v>
          </cell>
          <cell r="D887">
            <v>0</v>
          </cell>
          <cell r="E887">
            <v>0</v>
          </cell>
          <cell r="F887">
            <v>0</v>
          </cell>
          <cell r="H887">
            <v>0</v>
          </cell>
          <cell r="O887">
            <v>336561</v>
          </cell>
          <cell r="P887" t="str">
            <v>2022/301-0010-01</v>
          </cell>
          <cell r="Q887" t="str">
            <v>EST CADEIRA CLARA (JEQ TING NOG) (ESTOF) (C2 CARAMELO)</v>
          </cell>
          <cell r="R887"/>
          <cell r="S887"/>
          <cell r="T887">
            <v>0.48</v>
          </cell>
          <cell r="U887">
            <v>0.56999999999999995</v>
          </cell>
          <cell r="V887">
            <v>0.86</v>
          </cell>
          <cell r="W887">
            <v>0</v>
          </cell>
          <cell r="X887" t="str">
            <v>EST CADEIRA CLARA (JEQ TING NOG) (ESTOF) (C2 CARAMELO) - 0,48x0,57x0,86H</v>
          </cell>
          <cell r="Y887">
            <v>7481.15</v>
          </cell>
          <cell r="Z887">
            <v>0.5</v>
          </cell>
          <cell r="AA887">
            <v>3740.5749999999998</v>
          </cell>
          <cell r="AB887"/>
        </row>
        <row r="888">
          <cell r="C888">
            <v>8</v>
          </cell>
          <cell r="D888">
            <v>0</v>
          </cell>
          <cell r="E888">
            <v>0</v>
          </cell>
          <cell r="F888">
            <v>0</v>
          </cell>
          <cell r="H888">
            <v>0</v>
          </cell>
          <cell r="O888">
            <v>336561</v>
          </cell>
          <cell r="P888" t="str">
            <v>2022/301-0011-01</v>
          </cell>
          <cell r="Q888" t="str">
            <v>EST CADEIRA CLARA (JEQ TING NOG) (ESTOF) (C2 CARAMELO)</v>
          </cell>
          <cell r="R888"/>
          <cell r="S888"/>
          <cell r="T888">
            <v>0.48</v>
          </cell>
          <cell r="U888">
            <v>0.56999999999999995</v>
          </cell>
          <cell r="V888">
            <v>0.86</v>
          </cell>
          <cell r="W888">
            <v>0</v>
          </cell>
          <cell r="X888" t="str">
            <v>EST CADEIRA CLARA (JEQ TING NOG) (ESTOF) (C2 CARAMELO) - 0,48x0,57x0,86H</v>
          </cell>
          <cell r="Y888">
            <v>7481.15</v>
          </cell>
          <cell r="Z888">
            <v>0.5</v>
          </cell>
          <cell r="AA888">
            <v>3740.5749999999998</v>
          </cell>
          <cell r="AB888"/>
        </row>
        <row r="889">
          <cell r="C889">
            <v>8</v>
          </cell>
          <cell r="D889">
            <v>0</v>
          </cell>
          <cell r="E889">
            <v>0</v>
          </cell>
          <cell r="F889">
            <v>0</v>
          </cell>
          <cell r="H889">
            <v>0</v>
          </cell>
          <cell r="O889">
            <v>336561</v>
          </cell>
          <cell r="P889" t="str">
            <v>2022/301-0012-01</v>
          </cell>
          <cell r="Q889" t="str">
            <v>EST CADEIRA CLARA (JEQ TING NOG) (ESTOF) (C2 CARAMELO)</v>
          </cell>
          <cell r="R889"/>
          <cell r="S889"/>
          <cell r="T889">
            <v>0.48</v>
          </cell>
          <cell r="U889">
            <v>0.56999999999999995</v>
          </cell>
          <cell r="V889">
            <v>0.86</v>
          </cell>
          <cell r="W889">
            <v>0</v>
          </cell>
          <cell r="X889" t="str">
            <v>EST CADEIRA CLARA (JEQ TING NOG) (ESTOF) (C2 CARAMELO) - 0,48x0,57x0,86H</v>
          </cell>
          <cell r="Y889">
            <v>7481.15</v>
          </cell>
          <cell r="Z889">
            <v>0.5</v>
          </cell>
          <cell r="AA889">
            <v>3740.5749999999998</v>
          </cell>
          <cell r="AB889"/>
        </row>
        <row r="890">
          <cell r="C890">
            <v>8</v>
          </cell>
          <cell r="D890">
            <v>0</v>
          </cell>
          <cell r="E890">
            <v>0</v>
          </cell>
          <cell r="F890">
            <v>0</v>
          </cell>
          <cell r="H890">
            <v>0</v>
          </cell>
          <cell r="O890">
            <v>336561</v>
          </cell>
          <cell r="P890" t="str">
            <v>2022/301-0013-01</v>
          </cell>
          <cell r="Q890" t="str">
            <v>EST CADEIRA CLARA (JEQ TING NOG) (ESTOF) (C2 CARAMELO)</v>
          </cell>
          <cell r="R890"/>
          <cell r="S890"/>
          <cell r="T890">
            <v>0.48</v>
          </cell>
          <cell r="U890">
            <v>0.56999999999999995</v>
          </cell>
          <cell r="V890">
            <v>0.86</v>
          </cell>
          <cell r="W890">
            <v>0</v>
          </cell>
          <cell r="X890" t="str">
            <v>EST CADEIRA CLARA (JEQ TING NOG) (ESTOF) (C2 CARAMELO) - 0,48x0,57x0,86H</v>
          </cell>
          <cell r="Y890">
            <v>7481.15</v>
          </cell>
          <cell r="Z890">
            <v>0.5</v>
          </cell>
          <cell r="AA890">
            <v>3740.5749999999998</v>
          </cell>
          <cell r="AB890"/>
        </row>
        <row r="891">
          <cell r="C891">
            <v>8</v>
          </cell>
          <cell r="D891">
            <v>0</v>
          </cell>
          <cell r="E891">
            <v>0</v>
          </cell>
          <cell r="F891">
            <v>0</v>
          </cell>
          <cell r="H891">
            <v>0</v>
          </cell>
          <cell r="O891">
            <v>336561</v>
          </cell>
          <cell r="P891" t="str">
            <v>2022/301-0014-01</v>
          </cell>
          <cell r="Q891" t="str">
            <v>EST CADEIRA CLARA (JEQ TING NOG) (ESTOF) (C2 CARAMELO)</v>
          </cell>
          <cell r="R891"/>
          <cell r="S891"/>
          <cell r="T891">
            <v>0.48</v>
          </cell>
          <cell r="U891">
            <v>0.56999999999999995</v>
          </cell>
          <cell r="V891">
            <v>0.86</v>
          </cell>
          <cell r="W891">
            <v>0</v>
          </cell>
          <cell r="X891" t="str">
            <v>EST CADEIRA CLARA (JEQ TING NOG) (ESTOF) (C2 CARAMELO) - 0,48x0,57x0,86H</v>
          </cell>
          <cell r="Y891">
            <v>7481.15</v>
          </cell>
          <cell r="Z891">
            <v>0.5</v>
          </cell>
          <cell r="AA891">
            <v>3740.5749999999998</v>
          </cell>
          <cell r="AB891"/>
        </row>
        <row r="892">
          <cell r="C892">
            <v>8</v>
          </cell>
          <cell r="D892">
            <v>0</v>
          </cell>
          <cell r="E892">
            <v>0</v>
          </cell>
          <cell r="F892">
            <v>0</v>
          </cell>
          <cell r="H892">
            <v>0</v>
          </cell>
          <cell r="O892">
            <v>336561</v>
          </cell>
          <cell r="P892" t="str">
            <v>2022/301-0015-01</v>
          </cell>
          <cell r="Q892" t="str">
            <v>EST CADEIRA CLARA (JEQ TING NOG) (ESTOF) (C2 CARAMELO)</v>
          </cell>
          <cell r="R892"/>
          <cell r="S892"/>
          <cell r="T892">
            <v>0.48</v>
          </cell>
          <cell r="U892">
            <v>0.56999999999999995</v>
          </cell>
          <cell r="V892">
            <v>0.86</v>
          </cell>
          <cell r="W892">
            <v>0</v>
          </cell>
          <cell r="X892" t="str">
            <v>EST CADEIRA CLARA (JEQ TING NOG) (ESTOF) (C2 CARAMELO) - 0,48x0,57x0,86H</v>
          </cell>
          <cell r="Y892">
            <v>7481.15</v>
          </cell>
          <cell r="Z892">
            <v>0.5</v>
          </cell>
          <cell r="AA892">
            <v>3740.5749999999998</v>
          </cell>
          <cell r="AB892"/>
        </row>
        <row r="893">
          <cell r="C893">
            <v>1</v>
          </cell>
          <cell r="D893">
            <v>0</v>
          </cell>
          <cell r="E893">
            <v>0</v>
          </cell>
          <cell r="F893">
            <v>0</v>
          </cell>
          <cell r="H893">
            <v>0</v>
          </cell>
          <cell r="O893">
            <v>336639</v>
          </cell>
          <cell r="P893" t="str">
            <v>2022/251-0025-01</v>
          </cell>
          <cell r="Q893" t="str">
            <v>EST BUFFET HOLLIE (FREIJO NT) (TP REC CAMEL) (CHAMPAGNE)</v>
          </cell>
          <cell r="R893"/>
          <cell r="S893"/>
          <cell r="T893">
            <v>2.5</v>
          </cell>
          <cell r="U893">
            <v>0.55000000000000004</v>
          </cell>
          <cell r="V893">
            <v>0.8</v>
          </cell>
          <cell r="W893">
            <v>0</v>
          </cell>
          <cell r="X893" t="str">
            <v>EST BUFFET HOLLIE (FREIJO NT) (TP REC CAMEL) (CHAMPAGNE) - 2,5x0,55x0,8H</v>
          </cell>
          <cell r="Y893">
            <v>62798.44</v>
          </cell>
          <cell r="Z893">
            <v>0.4</v>
          </cell>
          <cell r="AA893">
            <v>37679.063999999998</v>
          </cell>
          <cell r="AB893"/>
        </row>
        <row r="894">
          <cell r="C894">
            <v>6</v>
          </cell>
          <cell r="D894">
            <v>1</v>
          </cell>
          <cell r="E894">
            <v>0</v>
          </cell>
          <cell r="F894">
            <v>0</v>
          </cell>
          <cell r="H894">
            <v>3</v>
          </cell>
          <cell r="O894">
            <v>362675</v>
          </cell>
          <cell r="P894" t="str">
            <v>2023/115-0075-01</v>
          </cell>
          <cell r="Q894" t="str">
            <v>EST CADEIRA CLARA C/BRACO (JEQ NOG) (MISTA) (C2 CARAMELO)</v>
          </cell>
          <cell r="R894"/>
          <cell r="S894"/>
          <cell r="T894">
            <v>0.61</v>
          </cell>
          <cell r="U894">
            <v>0.55000000000000004</v>
          </cell>
          <cell r="V894">
            <v>0.86</v>
          </cell>
          <cell r="W894">
            <v>0</v>
          </cell>
          <cell r="X894" t="str">
            <v>EST CADEIRA CLARA C/BRACO (JEQ NOG) (MISTA) (C2 CARAMELO) - 0,61x0,55x0,86H</v>
          </cell>
          <cell r="Y894">
            <v>9303.6200000000008</v>
          </cell>
          <cell r="Z894">
            <v>0.5</v>
          </cell>
          <cell r="AA894">
            <v>4651.8100000000004</v>
          </cell>
          <cell r="AB894"/>
        </row>
        <row r="895">
          <cell r="C895">
            <v>6</v>
          </cell>
          <cell r="D895">
            <v>1</v>
          </cell>
          <cell r="E895">
            <v>0</v>
          </cell>
          <cell r="F895">
            <v>0</v>
          </cell>
          <cell r="H895">
            <v>3</v>
          </cell>
          <cell r="O895">
            <v>362675</v>
          </cell>
          <cell r="P895" t="str">
            <v>2023/115-0076-01</v>
          </cell>
          <cell r="Q895" t="str">
            <v>EST CADEIRA CLARA C/BRACO (JEQ NOG) (MISTA) (C2 CARAMELO)</v>
          </cell>
          <cell r="R895"/>
          <cell r="S895"/>
          <cell r="T895">
            <v>0.61</v>
          </cell>
          <cell r="U895">
            <v>0.55000000000000004</v>
          </cell>
          <cell r="V895">
            <v>0.86</v>
          </cell>
          <cell r="W895">
            <v>0</v>
          </cell>
          <cell r="X895" t="str">
            <v>EST CADEIRA CLARA C/BRACO (JEQ NOG) (MISTA) (C2 CARAMELO) - 0,61x0,55x0,86H</v>
          </cell>
          <cell r="Y895">
            <v>9303.6200000000008</v>
          </cell>
          <cell r="Z895">
            <v>0.5</v>
          </cell>
          <cell r="AA895">
            <v>4651.8100000000004</v>
          </cell>
          <cell r="AB895"/>
        </row>
        <row r="896">
          <cell r="C896">
            <v>6</v>
          </cell>
          <cell r="D896">
            <v>1</v>
          </cell>
          <cell r="E896">
            <v>0</v>
          </cell>
          <cell r="F896">
            <v>0</v>
          </cell>
          <cell r="H896">
            <v>3</v>
          </cell>
          <cell r="O896">
            <v>362675</v>
          </cell>
          <cell r="P896" t="str">
            <v>2023/115-0078-01</v>
          </cell>
          <cell r="Q896" t="str">
            <v>EST CADEIRA CLARA C/BRACO (JEQ NOG) (MISTA) (C2 CARAMELO)</v>
          </cell>
          <cell r="R896"/>
          <cell r="S896"/>
          <cell r="T896">
            <v>0.61</v>
          </cell>
          <cell r="U896">
            <v>0.55000000000000004</v>
          </cell>
          <cell r="V896">
            <v>0.86</v>
          </cell>
          <cell r="W896">
            <v>0</v>
          </cell>
          <cell r="X896" t="str">
            <v>EST CADEIRA CLARA C/BRACO (JEQ NOG) (MISTA) (C2 CARAMELO) - 0,61x0,55x0,86H</v>
          </cell>
          <cell r="Y896">
            <v>9303.6200000000008</v>
          </cell>
          <cell r="Z896">
            <v>0.5</v>
          </cell>
          <cell r="AA896">
            <v>4651.8100000000004</v>
          </cell>
          <cell r="AB896"/>
        </row>
        <row r="897">
          <cell r="C897">
            <v>6</v>
          </cell>
          <cell r="D897">
            <v>1</v>
          </cell>
          <cell r="E897">
            <v>0</v>
          </cell>
          <cell r="F897">
            <v>0</v>
          </cell>
          <cell r="H897">
            <v>3</v>
          </cell>
          <cell r="O897">
            <v>362675</v>
          </cell>
          <cell r="P897" t="str">
            <v>2023/115-0079-01</v>
          </cell>
          <cell r="Q897" t="str">
            <v>EST CADEIRA CLARA C/BRACO (JEQ NOG) (MISTA) (C2 CARAMELO)</v>
          </cell>
          <cell r="R897"/>
          <cell r="S897"/>
          <cell r="T897">
            <v>0.61</v>
          </cell>
          <cell r="U897">
            <v>0.55000000000000004</v>
          </cell>
          <cell r="V897">
            <v>0.86</v>
          </cell>
          <cell r="W897">
            <v>0</v>
          </cell>
          <cell r="X897" t="str">
            <v>EST CADEIRA CLARA C/BRACO (JEQ NOG) (MISTA) (C2 CARAMELO) - 0,61x0,55x0,86H</v>
          </cell>
          <cell r="Y897">
            <v>9303.6200000000008</v>
          </cell>
          <cell r="Z897">
            <v>0.5</v>
          </cell>
          <cell r="AA897">
            <v>4651.8100000000004</v>
          </cell>
          <cell r="AB897"/>
        </row>
        <row r="898">
          <cell r="C898">
            <v>6</v>
          </cell>
          <cell r="D898">
            <v>1</v>
          </cell>
          <cell r="E898">
            <v>0</v>
          </cell>
          <cell r="F898">
            <v>0</v>
          </cell>
          <cell r="H898">
            <v>3</v>
          </cell>
          <cell r="O898">
            <v>362675</v>
          </cell>
          <cell r="P898" t="str">
            <v>2023/115-0084-01</v>
          </cell>
          <cell r="Q898" t="str">
            <v>EST CADEIRA CLARA C/BRACO (JEQ NOG) (MISTA) (C2 CARAMELO)</v>
          </cell>
          <cell r="R898"/>
          <cell r="S898"/>
          <cell r="T898">
            <v>0.61</v>
          </cell>
          <cell r="U898">
            <v>0.55000000000000004</v>
          </cell>
          <cell r="V898">
            <v>0.86</v>
          </cell>
          <cell r="W898">
            <v>0</v>
          </cell>
          <cell r="X898" t="str">
            <v>EST CADEIRA CLARA C/BRACO (JEQ NOG) (MISTA) (C2 CARAMELO) - 0,61x0,55x0,86H</v>
          </cell>
          <cell r="Y898">
            <v>9303.6200000000008</v>
          </cell>
          <cell r="Z898">
            <v>0.5</v>
          </cell>
          <cell r="AA898">
            <v>4651.8100000000004</v>
          </cell>
          <cell r="AB898"/>
        </row>
        <row r="899">
          <cell r="C899">
            <v>6</v>
          </cell>
          <cell r="D899">
            <v>1</v>
          </cell>
          <cell r="E899">
            <v>0</v>
          </cell>
          <cell r="F899">
            <v>0</v>
          </cell>
          <cell r="H899">
            <v>3</v>
          </cell>
          <cell r="O899">
            <v>362675</v>
          </cell>
          <cell r="P899" t="str">
            <v>2023/115-0082-01</v>
          </cell>
          <cell r="Q899" t="str">
            <v>EST CADEIRA CLARA C/BRACO (JEQ NOG) (MISTA) (C2 CARAMELO)</v>
          </cell>
          <cell r="R899"/>
          <cell r="S899"/>
          <cell r="T899">
            <v>0.61</v>
          </cell>
          <cell r="U899">
            <v>0.55000000000000004</v>
          </cell>
          <cell r="V899">
            <v>0.86</v>
          </cell>
          <cell r="W899">
            <v>0</v>
          </cell>
          <cell r="X899" t="str">
            <v>EST CADEIRA CLARA C/BRACO (JEQ NOG) (MISTA) (C2 CARAMELO) - 0,61x0,55x0,86H</v>
          </cell>
          <cell r="Y899">
            <v>9303.6200000000008</v>
          </cell>
          <cell r="Z899">
            <v>0.5</v>
          </cell>
          <cell r="AA899">
            <v>4651.8100000000004</v>
          </cell>
          <cell r="AB899"/>
        </row>
        <row r="900">
          <cell r="C900">
            <v>0</v>
          </cell>
          <cell r="D900">
            <v>0</v>
          </cell>
          <cell r="E900">
            <v>0</v>
          </cell>
          <cell r="F900">
            <v>1</v>
          </cell>
          <cell r="H900">
            <v>0</v>
          </cell>
          <cell r="O900">
            <v>390838</v>
          </cell>
          <cell r="P900" t="str">
            <v>2024/226-0026-01</v>
          </cell>
          <cell r="Q900" t="str">
            <v>EST BANQUETA BAR CAVALETTA H65 (JEQUITIBA CASTANHO CLARO)</v>
          </cell>
          <cell r="R900"/>
          <cell r="S900"/>
          <cell r="T900">
            <v>0.42</v>
          </cell>
          <cell r="U900">
            <v>0.46</v>
          </cell>
          <cell r="V900">
            <v>0.65</v>
          </cell>
          <cell r="W900">
            <v>0</v>
          </cell>
          <cell r="X900" t="str">
            <v>EST BANQUETA BAR CAVALETTA H65 (JEQUITIBA CASTANHO CLARO) - 0,42x0,46x0,65H</v>
          </cell>
          <cell r="Y900">
            <v>6456.31</v>
          </cell>
          <cell r="Z900">
            <v>0.35</v>
          </cell>
          <cell r="AA900">
            <v>4196.6015000000007</v>
          </cell>
          <cell r="AB900"/>
        </row>
        <row r="901">
          <cell r="C901">
            <v>0</v>
          </cell>
          <cell r="D901">
            <v>1</v>
          </cell>
          <cell r="E901">
            <v>0</v>
          </cell>
          <cell r="F901">
            <v>0</v>
          </cell>
          <cell r="H901">
            <v>0</v>
          </cell>
          <cell r="O901">
            <v>232325</v>
          </cell>
          <cell r="P901" t="str">
            <v>2019/106-0002-01</v>
          </cell>
          <cell r="Q901" t="str">
            <v>EST SOFA TABLE ELLOS (MAD B LOURO FREIJO) (PRETO FSC)</v>
          </cell>
          <cell r="R901"/>
          <cell r="S901"/>
          <cell r="T901">
            <v>0.9</v>
          </cell>
          <cell r="U901">
            <v>0.35</v>
          </cell>
          <cell r="V901">
            <v>0.5</v>
          </cell>
          <cell r="W901">
            <v>0</v>
          </cell>
          <cell r="X901" t="str">
            <v>EST SOFA TABLE ELLOS (MAD B LOURO FREIJO) (PRETO FSC) - 0,9x0,35x0,5H</v>
          </cell>
          <cell r="Y901">
            <v>6792.35</v>
          </cell>
          <cell r="Z901">
            <v>0.35</v>
          </cell>
          <cell r="AA901">
            <v>4415.0275000000001</v>
          </cell>
          <cell r="AB901"/>
        </row>
        <row r="902">
          <cell r="C902">
            <v>1</v>
          </cell>
          <cell r="D902">
            <v>1</v>
          </cell>
          <cell r="E902">
            <v>0</v>
          </cell>
          <cell r="F902">
            <v>0</v>
          </cell>
          <cell r="H902">
            <v>0</v>
          </cell>
          <cell r="O902">
            <v>232326</v>
          </cell>
          <cell r="P902" t="str">
            <v>2020/240-0045-01</v>
          </cell>
          <cell r="Q902" t="str">
            <v>EST SOFA TABLE ELLOS (MAD B LOURO FREIJO) (PRETO FSC)</v>
          </cell>
          <cell r="R902"/>
          <cell r="S902"/>
          <cell r="T902">
            <v>2.2000000000000002</v>
          </cell>
          <cell r="U902">
            <v>0.35</v>
          </cell>
          <cell r="V902">
            <v>0.5</v>
          </cell>
          <cell r="W902">
            <v>0</v>
          </cell>
          <cell r="X902" t="str">
            <v>EST SOFA TABLE ELLOS (MAD B LOURO FREIJO) (PRETO FSC) - 2,2x0,35x0,5H</v>
          </cell>
          <cell r="Y902">
            <v>12646.86</v>
          </cell>
          <cell r="Z902">
            <v>0.35</v>
          </cell>
          <cell r="AA902">
            <v>8220.4590000000007</v>
          </cell>
          <cell r="AB902"/>
        </row>
        <row r="903">
          <cell r="C903">
            <v>1</v>
          </cell>
          <cell r="D903">
            <v>1</v>
          </cell>
          <cell r="E903">
            <v>0</v>
          </cell>
          <cell r="F903">
            <v>0</v>
          </cell>
          <cell r="H903">
            <v>0</v>
          </cell>
          <cell r="O903">
            <v>232326</v>
          </cell>
          <cell r="P903" t="str">
            <v>2019/106-0003-01</v>
          </cell>
          <cell r="Q903" t="str">
            <v>EST SOFA TABLE ELLOS (MAD B LOURO FREIJO) (PRETO FSC)</v>
          </cell>
          <cell r="R903"/>
          <cell r="S903"/>
          <cell r="T903">
            <v>2.2000000000000002</v>
          </cell>
          <cell r="U903">
            <v>0.35</v>
          </cell>
          <cell r="V903">
            <v>0.5</v>
          </cell>
          <cell r="W903">
            <v>0</v>
          </cell>
          <cell r="X903" t="str">
            <v>EST SOFA TABLE ELLOS (MAD B LOURO FREIJO) (PRETO FSC) - 2,2x0,35x0,5H</v>
          </cell>
          <cell r="Y903">
            <v>12646.86</v>
          </cell>
          <cell r="Z903">
            <v>0.35</v>
          </cell>
          <cell r="AA903">
            <v>8220.4590000000007</v>
          </cell>
          <cell r="AB903"/>
        </row>
        <row r="904">
          <cell r="C904">
            <v>0</v>
          </cell>
          <cell r="D904">
            <v>0</v>
          </cell>
          <cell r="E904">
            <v>0</v>
          </cell>
          <cell r="F904">
            <v>1</v>
          </cell>
          <cell r="H904">
            <v>0</v>
          </cell>
          <cell r="O904">
            <v>336560</v>
          </cell>
          <cell r="P904" t="str">
            <v>2022/259-0033-01</v>
          </cell>
          <cell r="Q904" t="str">
            <v>EST MOVEL BAR HOLLIE (JEQ NOG) (TP DEKTON AURA) (MARROM PRZ)</v>
          </cell>
          <cell r="R904"/>
          <cell r="S904"/>
          <cell r="T904">
            <v>1</v>
          </cell>
          <cell r="U904">
            <v>0.55000000000000004</v>
          </cell>
          <cell r="V904">
            <v>0.8</v>
          </cell>
          <cell r="W904">
            <v>0</v>
          </cell>
          <cell r="X904" t="str">
            <v>EST MOVEL BAR HOLLIE (JEQ NOG) (TP DEKTON AURA) (MARROM PRZ) - 1x0,55x0,8H</v>
          </cell>
          <cell r="Y904">
            <v>41286.78</v>
          </cell>
          <cell r="Z904">
            <v>0.5</v>
          </cell>
          <cell r="AA904">
            <v>20643.39</v>
          </cell>
          <cell r="AB904"/>
        </row>
        <row r="905">
          <cell r="C905">
            <v>2</v>
          </cell>
          <cell r="D905">
            <v>3</v>
          </cell>
          <cell r="E905">
            <v>0</v>
          </cell>
          <cell r="F905">
            <v>0</v>
          </cell>
          <cell r="H905">
            <v>0</v>
          </cell>
          <cell r="O905">
            <v>260994</v>
          </cell>
          <cell r="P905" t="str">
            <v>2020/184-0040-01</v>
          </cell>
          <cell r="Q905" t="str">
            <v>EST ALMOFADA DECORATIVA (COURO T4 CAMURCA MUSGO)</v>
          </cell>
          <cell r="R905"/>
          <cell r="S905"/>
          <cell r="T905">
            <v>0.6</v>
          </cell>
          <cell r="U905">
            <v>0.6</v>
          </cell>
          <cell r="V905">
            <v>0</v>
          </cell>
          <cell r="W905">
            <v>0</v>
          </cell>
          <cell r="X905" t="str">
            <v>EST ALMOFADA DECORATIVA (COURO T4 CAMURCA MUSGO) - 0,6x0,6x0H</v>
          </cell>
          <cell r="Y905">
            <v>2252.0100000000002</v>
          </cell>
          <cell r="Z905">
            <v>0.35</v>
          </cell>
          <cell r="AA905">
            <v>1463.8065000000001</v>
          </cell>
          <cell r="AB905"/>
        </row>
        <row r="906">
          <cell r="C906">
            <v>2</v>
          </cell>
          <cell r="D906">
            <v>3</v>
          </cell>
          <cell r="E906">
            <v>0</v>
          </cell>
          <cell r="F906">
            <v>0</v>
          </cell>
          <cell r="H906">
            <v>0</v>
          </cell>
          <cell r="O906">
            <v>260994</v>
          </cell>
          <cell r="P906" t="str">
            <v>2020/184-0041-01</v>
          </cell>
          <cell r="Q906" t="str">
            <v>EST ALMOFADA DECORATIVA (COURO T4 CAMURCA MUSGO)</v>
          </cell>
          <cell r="R906"/>
          <cell r="S906"/>
          <cell r="T906">
            <v>0.6</v>
          </cell>
          <cell r="U906">
            <v>0.6</v>
          </cell>
          <cell r="V906">
            <v>0</v>
          </cell>
          <cell r="W906">
            <v>0</v>
          </cell>
          <cell r="X906" t="str">
            <v>EST ALMOFADA DECORATIVA (COURO T4 CAMURCA MUSGO) - 0,6x0,6x0H</v>
          </cell>
          <cell r="Y906">
            <v>2252.0100000000002</v>
          </cell>
          <cell r="Z906">
            <v>0.35</v>
          </cell>
          <cell r="AA906">
            <v>1463.8065000000001</v>
          </cell>
          <cell r="AB906"/>
        </row>
        <row r="907">
          <cell r="C907">
            <v>2</v>
          </cell>
          <cell r="D907">
            <v>3</v>
          </cell>
          <cell r="E907">
            <v>0</v>
          </cell>
          <cell r="F907">
            <v>0</v>
          </cell>
          <cell r="H907">
            <v>0</v>
          </cell>
          <cell r="O907">
            <v>260994</v>
          </cell>
          <cell r="P907" t="str">
            <v>2020/184-0038-01</v>
          </cell>
          <cell r="Q907" t="str">
            <v>EST ALMOFADA DECORATIVA (COURO T4 CAMURCA MUSGO)</v>
          </cell>
          <cell r="R907"/>
          <cell r="S907"/>
          <cell r="T907">
            <v>0.6</v>
          </cell>
          <cell r="U907">
            <v>0.6</v>
          </cell>
          <cell r="V907">
            <v>0</v>
          </cell>
          <cell r="W907">
            <v>0</v>
          </cell>
          <cell r="X907" t="str">
            <v>EST ALMOFADA DECORATIVA (COURO T4 CAMURCA MUSGO) - 0,6x0,6x0H</v>
          </cell>
          <cell r="Y907">
            <v>2252.0100000000002</v>
          </cell>
          <cell r="Z907">
            <v>0.35</v>
          </cell>
          <cell r="AA907">
            <v>1463.8065000000001</v>
          </cell>
          <cell r="AB907"/>
        </row>
        <row r="908">
          <cell r="C908">
            <v>0</v>
          </cell>
          <cell r="D908">
            <v>1</v>
          </cell>
          <cell r="E908">
            <v>0</v>
          </cell>
          <cell r="F908">
            <v>0</v>
          </cell>
          <cell r="H908">
            <v>0</v>
          </cell>
          <cell r="O908">
            <v>336562</v>
          </cell>
          <cell r="P908" t="str">
            <v>2022/259-0034-01</v>
          </cell>
          <cell r="Q908" t="str">
            <v>EST APARADOR VELL 02 (JEQ NOG) (TP CARV NOG) (MARROM PRZ)</v>
          </cell>
          <cell r="R908"/>
          <cell r="S908"/>
          <cell r="T908">
            <v>2.5</v>
          </cell>
          <cell r="U908">
            <v>0.5</v>
          </cell>
          <cell r="V908">
            <v>0.75</v>
          </cell>
          <cell r="W908">
            <v>0</v>
          </cell>
          <cell r="X908" t="str">
            <v>EST APARADOR VELL 02 (JEQ NOG) (TP CARV NOG) (MARROM PRZ) - 2,5x0,5x0,75H</v>
          </cell>
          <cell r="Y908">
            <v>33697.71</v>
          </cell>
          <cell r="Z908">
            <v>0.5</v>
          </cell>
          <cell r="AA908">
            <v>16848.855</v>
          </cell>
          <cell r="AB908"/>
        </row>
        <row r="909">
          <cell r="C909">
            <v>1</v>
          </cell>
          <cell r="D909">
            <v>0</v>
          </cell>
          <cell r="E909">
            <v>0</v>
          </cell>
          <cell r="F909">
            <v>0</v>
          </cell>
          <cell r="H909">
            <v>0</v>
          </cell>
          <cell r="O909">
            <v>328885</v>
          </cell>
          <cell r="P909" t="str">
            <v>2022/200-0048-01</v>
          </cell>
          <cell r="Q909" t="str">
            <v>EST MESA CENTRO BALLET II (MAD LAM NOCCIOLA) (COMBINAT FSC)</v>
          </cell>
          <cell r="R909"/>
          <cell r="S909"/>
          <cell r="T909">
            <v>1.6</v>
          </cell>
          <cell r="U909">
            <v>0.8</v>
          </cell>
          <cell r="V909">
            <v>0.3</v>
          </cell>
          <cell r="W909">
            <v>0</v>
          </cell>
          <cell r="X909" t="str">
            <v>EST MESA CENTRO BALLET II (MAD LAM NOCCIOLA) (COMBINAT FSC) - 1,6x0,8x0,3H</v>
          </cell>
          <cell r="Y909">
            <v>37376.6</v>
          </cell>
          <cell r="Z909">
            <v>0.5</v>
          </cell>
          <cell r="AA909">
            <v>18688.3</v>
          </cell>
          <cell r="AB909"/>
        </row>
        <row r="910">
          <cell r="C910">
            <v>1</v>
          </cell>
          <cell r="D910">
            <v>0</v>
          </cell>
          <cell r="E910">
            <v>0</v>
          </cell>
          <cell r="F910">
            <v>0</v>
          </cell>
          <cell r="H910">
            <v>0</v>
          </cell>
          <cell r="O910">
            <v>328887</v>
          </cell>
          <cell r="P910" t="str">
            <v>2022/203-0117-01</v>
          </cell>
          <cell r="Q910" t="str">
            <v>EST MESA CENTRO BALLET II (FX4 CALACATA FSC) (MARROM FSC)</v>
          </cell>
          <cell r="R910"/>
          <cell r="S910"/>
          <cell r="T910">
            <v>1.8</v>
          </cell>
          <cell r="U910">
            <v>0.8</v>
          </cell>
          <cell r="V910">
            <v>0.3</v>
          </cell>
          <cell r="W910">
            <v>0</v>
          </cell>
          <cell r="X910" t="str">
            <v>EST MESA CENTRO BALLET II (FX4 CALACATA FSC) (MARROM FSC) - 1,8x0,8x0,3H</v>
          </cell>
          <cell r="Y910">
            <v>56537.96</v>
          </cell>
          <cell r="Z910">
            <v>0.5</v>
          </cell>
          <cell r="AA910">
            <v>28268.98</v>
          </cell>
          <cell r="AB910"/>
        </row>
        <row r="911">
          <cell r="C911">
            <v>1</v>
          </cell>
          <cell r="D911">
            <v>0</v>
          </cell>
          <cell r="E911">
            <v>2</v>
          </cell>
          <cell r="F911">
            <v>7</v>
          </cell>
          <cell r="H911">
            <v>0</v>
          </cell>
          <cell r="O911">
            <v>380352</v>
          </cell>
          <cell r="P911" t="str">
            <v>2024/065-0073-01</v>
          </cell>
          <cell r="Q911" t="str">
            <v>EST ALMOFADA DECORATIVA MONDRIAN (ITAJIME SHIBORI)</v>
          </cell>
          <cell r="R911"/>
          <cell r="S911"/>
          <cell r="T911">
            <v>0.6</v>
          </cell>
          <cell r="U911">
            <v>0.3</v>
          </cell>
          <cell r="V911">
            <v>0</v>
          </cell>
          <cell r="W911">
            <v>0</v>
          </cell>
          <cell r="X911" t="str">
            <v>EST ALMOFADA DECORATIVA MONDRIAN (ITAJIME SHIBORI) - 0,6x0,3x0H</v>
          </cell>
          <cell r="Y911">
            <v>1466.84</v>
          </cell>
          <cell r="Z911">
            <v>0.35</v>
          </cell>
          <cell r="AA911">
            <v>953.44600000000003</v>
          </cell>
          <cell r="AB911"/>
        </row>
        <row r="912">
          <cell r="C912">
            <v>0</v>
          </cell>
          <cell r="D912">
            <v>0</v>
          </cell>
          <cell r="E912">
            <v>1</v>
          </cell>
          <cell r="F912">
            <v>0</v>
          </cell>
          <cell r="H912">
            <v>0</v>
          </cell>
          <cell r="O912">
            <v>378458</v>
          </cell>
          <cell r="P912" t="str">
            <v>2024/075-0025-01</v>
          </cell>
          <cell r="Q912" t="str">
            <v>EST MESA LATERAL HIMALAYA (CLAS) (VD COMUM MTZ CSM) (WALNUT)</v>
          </cell>
          <cell r="R912"/>
          <cell r="S912"/>
          <cell r="T912">
            <v>0.7</v>
          </cell>
          <cell r="U912">
            <v>0</v>
          </cell>
          <cell r="V912">
            <v>0.55000000000000004</v>
          </cell>
          <cell r="W912">
            <v>0.7</v>
          </cell>
          <cell r="X912" t="str">
            <v>EST MESA LATERAL HIMALAYA (CLAS) (VD COMUM MTZ CSM) (WALNUT) - Ø0,7x0,55H</v>
          </cell>
          <cell r="Y912">
            <v>11816.76</v>
          </cell>
          <cell r="Z912">
            <v>0.35</v>
          </cell>
          <cell r="AA912">
            <v>7680.8940000000002</v>
          </cell>
          <cell r="AB912"/>
        </row>
        <row r="913"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H913">
            <v>1</v>
          </cell>
          <cell r="O913">
            <v>210507</v>
          </cell>
          <cell r="P913" t="str">
            <v>2017/145-0002-01</v>
          </cell>
          <cell r="Q913" t="str">
            <v>EST APARADOR PHOENIX (LACA POLIESTER BRILHO F100)</v>
          </cell>
          <cell r="R913"/>
          <cell r="S913"/>
          <cell r="T913">
            <v>2</v>
          </cell>
          <cell r="U913">
            <v>0.4</v>
          </cell>
          <cell r="V913">
            <v>0.77</v>
          </cell>
          <cell r="W913">
            <v>0</v>
          </cell>
          <cell r="X913" t="str">
            <v>EST APARADOR PHOENIX (LACA POLIESTER BRILHO F100) - 2x0,4x0,77H</v>
          </cell>
          <cell r="Y913">
            <v>15997.5</v>
          </cell>
          <cell r="Z913">
            <v>0.5</v>
          </cell>
          <cell r="AA913">
            <v>7998.75</v>
          </cell>
          <cell r="AB913"/>
        </row>
        <row r="914">
          <cell r="C914">
            <v>1</v>
          </cell>
          <cell r="D914">
            <v>1</v>
          </cell>
          <cell r="E914">
            <v>0</v>
          </cell>
          <cell r="F914">
            <v>0</v>
          </cell>
          <cell r="H914">
            <v>0</v>
          </cell>
          <cell r="O914">
            <v>223324</v>
          </cell>
          <cell r="P914" t="str">
            <v>2020/308-0004-01</v>
          </cell>
          <cell r="Q914" t="str">
            <v>EST MESA LATERAL DESK (PINTURA PN) (TP REC MARROM)</v>
          </cell>
          <cell r="R914"/>
          <cell r="S914"/>
          <cell r="T914">
            <v>1</v>
          </cell>
          <cell r="U914">
            <v>0.3</v>
          </cell>
          <cell r="V914">
            <v>0.55000000000000004</v>
          </cell>
          <cell r="W914">
            <v>0</v>
          </cell>
          <cell r="X914" t="str">
            <v>EST MESA LATERAL DESK (PINTURA PN) (TP REC MARROM) - 1x0,3x0,55H</v>
          </cell>
          <cell r="Y914">
            <v>7693.15</v>
          </cell>
          <cell r="Z914">
            <v>0.5</v>
          </cell>
          <cell r="AA914">
            <v>3846.5749999999998</v>
          </cell>
          <cell r="AB914"/>
        </row>
        <row r="915"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H915">
            <v>1</v>
          </cell>
          <cell r="O915">
            <v>231134</v>
          </cell>
          <cell r="P915" t="str">
            <v>2019/035-0048-01</v>
          </cell>
          <cell r="Q915" t="str">
            <v>EST APARADOR RENE (TP G4 GOF RATO 242/EST PINT ARGILA 240)</v>
          </cell>
          <cell r="R915"/>
          <cell r="S915"/>
          <cell r="T915">
            <v>2.2000000000000002</v>
          </cell>
          <cell r="U915">
            <v>0.4</v>
          </cell>
          <cell r="V915">
            <v>0.75</v>
          </cell>
          <cell r="W915">
            <v>0</v>
          </cell>
          <cell r="X915" t="str">
            <v>EST APARADOR RENE (TP G4 GOF RATO 242/EST PINT ARGILA 240) - 2,2x0,4x0,75H</v>
          </cell>
          <cell r="Y915">
            <v>14950.88</v>
          </cell>
          <cell r="Z915">
            <v>0.5</v>
          </cell>
          <cell r="AA915">
            <v>7475.44</v>
          </cell>
          <cell r="AB915"/>
        </row>
        <row r="916"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H916">
            <v>2</v>
          </cell>
          <cell r="O916">
            <v>254880</v>
          </cell>
          <cell r="P916" t="str">
            <v>2020/030-0082-01</v>
          </cell>
          <cell r="Q916" t="str">
            <v>EST MESA JANTAR MANZANA LIGHT (VD CLEAR OXI/BS NOG/MTZ OXI)</v>
          </cell>
          <cell r="R916"/>
          <cell r="S916"/>
          <cell r="T916">
            <v>2.69</v>
          </cell>
          <cell r="U916">
            <v>1.18</v>
          </cell>
          <cell r="V916">
            <v>0.75</v>
          </cell>
          <cell r="W916">
            <v>0</v>
          </cell>
          <cell r="X916" t="str">
            <v>EST MESA JANTAR MANZANA LIGHT (VD CLEAR OXI/BS NOG/MTZ OXI) - 2,69x1,18x0,75H</v>
          </cell>
          <cell r="Y916">
            <v>51913.66</v>
          </cell>
          <cell r="Z916">
            <v>0.5</v>
          </cell>
          <cell r="AA916">
            <v>25956.83</v>
          </cell>
          <cell r="AB916"/>
        </row>
        <row r="917"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H917">
            <v>2</v>
          </cell>
          <cell r="O917">
            <v>254880</v>
          </cell>
          <cell r="P917" t="str">
            <v>2024/283-0035-01</v>
          </cell>
          <cell r="Q917" t="str">
            <v>EST MESA JANTAR MANZANA LIGHT (VD CLEAR OXI/BS NOG/MTZ OXI)</v>
          </cell>
          <cell r="R917"/>
          <cell r="S917"/>
          <cell r="T917">
            <v>2.69</v>
          </cell>
          <cell r="U917">
            <v>1.18</v>
          </cell>
          <cell r="V917">
            <v>0.75</v>
          </cell>
          <cell r="W917">
            <v>0</v>
          </cell>
          <cell r="X917" t="str">
            <v>EST MESA JANTAR MANZANA LIGHT (VD CLEAR OXI/BS NOG/MTZ OXI) - 2,69x1,18x0,75H</v>
          </cell>
          <cell r="Y917">
            <v>51913.66</v>
          </cell>
          <cell r="Z917">
            <v>0.5</v>
          </cell>
          <cell r="AA917">
            <v>25956.83</v>
          </cell>
          <cell r="AB917"/>
        </row>
        <row r="918">
          <cell r="C918">
            <v>0</v>
          </cell>
          <cell r="D918">
            <v>1</v>
          </cell>
          <cell r="E918">
            <v>0</v>
          </cell>
          <cell r="F918">
            <v>0</v>
          </cell>
          <cell r="H918">
            <v>0</v>
          </cell>
          <cell r="O918">
            <v>255072</v>
          </cell>
          <cell r="P918" t="str">
            <v>2020/051-0051-01</v>
          </cell>
          <cell r="Q918" t="str">
            <v>EST CARRINHO BAR MIMO ESTRT FREIJO CL/BND LC FENDI</v>
          </cell>
          <cell r="R918"/>
          <cell r="S918"/>
          <cell r="T918">
            <v>0.8</v>
          </cell>
          <cell r="U918">
            <v>0.57999999999999996</v>
          </cell>
          <cell r="V918">
            <v>0.83</v>
          </cell>
          <cell r="W918">
            <v>0</v>
          </cell>
          <cell r="X918" t="str">
            <v>EST CARRINHO BAR MIMO ESTRT FREIJO CL/BND LC FENDI - 0,8x0,58x0,83H</v>
          </cell>
          <cell r="Y918">
            <v>22699.62</v>
          </cell>
          <cell r="Z918">
            <v>0.5</v>
          </cell>
          <cell r="AA918">
            <v>11349.81</v>
          </cell>
          <cell r="AB918"/>
        </row>
        <row r="919">
          <cell r="C919">
            <v>0</v>
          </cell>
          <cell r="D919">
            <v>1</v>
          </cell>
          <cell r="E919">
            <v>0</v>
          </cell>
          <cell r="F919">
            <v>0</v>
          </cell>
          <cell r="H919">
            <v>0</v>
          </cell>
          <cell r="O919">
            <v>274998</v>
          </cell>
          <cell r="P919" t="str">
            <v>2021/165-0105-01</v>
          </cell>
          <cell r="Q919" t="str">
            <v>EST MESA LATERAL BUZIOS 350 (TP/BS CONC CHANF SALMAO/HST PT)</v>
          </cell>
          <cell r="R919"/>
          <cell r="S919"/>
          <cell r="T919">
            <v>0.35</v>
          </cell>
          <cell r="U919">
            <v>0</v>
          </cell>
          <cell r="V919">
            <v>0.55000000000000004</v>
          </cell>
          <cell r="W919">
            <v>0.35</v>
          </cell>
          <cell r="X919" t="str">
            <v>EST MESA LATERAL BUZIOS 350 (TP/BS CONC CHANF SALMAO/HST PT) - Ø0,35x0,55H</v>
          </cell>
          <cell r="Y919">
            <v>5559.68</v>
          </cell>
          <cell r="Z919">
            <v>0.5</v>
          </cell>
          <cell r="AA919">
            <v>2779.84</v>
          </cell>
          <cell r="AB919"/>
        </row>
        <row r="920"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H920">
            <v>1</v>
          </cell>
          <cell r="O920">
            <v>275443</v>
          </cell>
          <cell r="P920" t="str">
            <v>2021/124-0086-01</v>
          </cell>
          <cell r="Q920" t="str">
            <v>EST CHAISE ALF (BRACO ESQ) CURATOR LONA STONE 907</v>
          </cell>
          <cell r="R920"/>
          <cell r="S920"/>
          <cell r="T920">
            <v>2.02</v>
          </cell>
          <cell r="U920">
            <v>0.95</v>
          </cell>
          <cell r="V920">
            <v>0.8</v>
          </cell>
          <cell r="W920">
            <v>0</v>
          </cell>
          <cell r="X920" t="str">
            <v>EST CHAISE ALF (BRACO ESQ) CURATOR LONA STONE 907 - 2,02x0,95x0,8H</v>
          </cell>
          <cell r="Y920">
            <v>29323.21</v>
          </cell>
          <cell r="Z920">
            <v>0.5</v>
          </cell>
          <cell r="AA920">
            <v>14661.605</v>
          </cell>
          <cell r="AB920"/>
        </row>
        <row r="921">
          <cell r="C921">
            <v>0</v>
          </cell>
          <cell r="D921">
            <v>0</v>
          </cell>
          <cell r="E921">
            <v>1</v>
          </cell>
          <cell r="F921">
            <v>0</v>
          </cell>
          <cell r="H921">
            <v>0</v>
          </cell>
          <cell r="O921">
            <v>121354</v>
          </cell>
          <cell r="P921" t="str">
            <v>1012/307-3626-01</v>
          </cell>
          <cell r="Q921" t="str">
            <v>EST TAMPO CRISTAL LAPIDADO (12MM) INCOLOR (CIRCULAR)</v>
          </cell>
          <cell r="R921"/>
          <cell r="S921"/>
          <cell r="T921">
            <v>0.9</v>
          </cell>
          <cell r="U921">
            <v>0</v>
          </cell>
          <cell r="V921">
            <v>0.01</v>
          </cell>
          <cell r="W921">
            <v>0.9</v>
          </cell>
          <cell r="X921" t="str">
            <v>EST TAMPO CRISTAL LAPIDADO (12MM) INCOLOR (CIRCULAR) - Ø0,9x0,01H</v>
          </cell>
          <cell r="Y921">
            <v>3502.3347000000003</v>
          </cell>
          <cell r="Z921">
            <v>0.35</v>
          </cell>
          <cell r="AA921">
            <v>2276.5175550000004</v>
          </cell>
          <cell r="AB921"/>
        </row>
        <row r="922">
          <cell r="C922">
            <v>0</v>
          </cell>
          <cell r="D922">
            <v>0</v>
          </cell>
          <cell r="E922">
            <v>1</v>
          </cell>
          <cell r="F922">
            <v>0</v>
          </cell>
          <cell r="H922">
            <v>0</v>
          </cell>
          <cell r="O922">
            <v>223321</v>
          </cell>
          <cell r="P922" t="str">
            <v>2018/204-0081-01</v>
          </cell>
          <cell r="Q922" t="str">
            <v>EST CADEIRA ALE (LAM CARV PT) (REC MARROM) SOLETA MARROM</v>
          </cell>
          <cell r="R922"/>
          <cell r="S922"/>
          <cell r="T922">
            <v>0.56000000000000005</v>
          </cell>
          <cell r="U922">
            <v>0.55000000000000004</v>
          </cell>
          <cell r="V922">
            <v>0.78</v>
          </cell>
          <cell r="W922">
            <v>0</v>
          </cell>
          <cell r="X922" t="str">
            <v>EST CADEIRA ALE (LAM CARV PT) (REC MARROM) SOLETA MARROM - 0,56x0,55x0,78H</v>
          </cell>
          <cell r="Y922">
            <v>9327.9</v>
          </cell>
          <cell r="Z922">
            <v>0.35</v>
          </cell>
          <cell r="AA922">
            <v>6063.1350000000002</v>
          </cell>
          <cell r="AB922"/>
        </row>
        <row r="923">
          <cell r="C923">
            <v>1</v>
          </cell>
          <cell r="D923">
            <v>1</v>
          </cell>
          <cell r="E923">
            <v>1</v>
          </cell>
          <cell r="F923">
            <v>1</v>
          </cell>
          <cell r="H923">
            <v>0</v>
          </cell>
          <cell r="O923">
            <v>385722</v>
          </cell>
          <cell r="P923" t="str">
            <v>2024/172-0063-01</v>
          </cell>
          <cell r="Q923" t="str">
            <v>EST BANQUETA BAR ALE H76 (LAM FREIJO MEL) (REC CARAM)</v>
          </cell>
          <cell r="R923"/>
          <cell r="S923"/>
          <cell r="T923">
            <v>0.55000000000000004</v>
          </cell>
          <cell r="U923">
            <v>0.54</v>
          </cell>
          <cell r="V923">
            <v>1.07</v>
          </cell>
          <cell r="W923">
            <v>0</v>
          </cell>
          <cell r="X923" t="str">
            <v>EST BANQUETA BAR ALE H76 (LAM FREIJO MEL) (REC CARAM) - 0,55x0,54x1,07H</v>
          </cell>
          <cell r="Y923">
            <v>10246.57</v>
          </cell>
          <cell r="Z923">
            <v>0.35</v>
          </cell>
          <cell r="AA923">
            <v>6660.2705000000005</v>
          </cell>
          <cell r="AB923"/>
        </row>
        <row r="924">
          <cell r="C924">
            <v>0</v>
          </cell>
          <cell r="D924">
            <v>0</v>
          </cell>
          <cell r="E924">
            <v>0</v>
          </cell>
          <cell r="F924">
            <v>1</v>
          </cell>
          <cell r="H924">
            <v>1</v>
          </cell>
          <cell r="O924">
            <v>234734</v>
          </cell>
          <cell r="P924" t="str">
            <v>2019/168-0049-01</v>
          </cell>
          <cell r="Q924" t="str">
            <v>EST CADEIRA ALE (LAM CARV PT) (REC MARROM) SOLETA MARROM</v>
          </cell>
          <cell r="R924"/>
          <cell r="S924"/>
          <cell r="T924">
            <v>0.56000000000000005</v>
          </cell>
          <cell r="U924">
            <v>0.55000000000000004</v>
          </cell>
          <cell r="V924">
            <v>0.78</v>
          </cell>
          <cell r="W924">
            <v>0</v>
          </cell>
          <cell r="X924" t="str">
            <v>EST CADEIRA ALE (LAM CARV PT) (REC MARROM) SOLETA MARROM - 0,56x0,55x0,78H</v>
          </cell>
          <cell r="Y924">
            <v>9327.9</v>
          </cell>
          <cell r="Z924">
            <v>0.35</v>
          </cell>
          <cell r="AA924">
            <v>6063.1350000000002</v>
          </cell>
          <cell r="AB924"/>
        </row>
        <row r="925">
          <cell r="C925">
            <v>1</v>
          </cell>
          <cell r="D925">
            <v>1</v>
          </cell>
          <cell r="E925">
            <v>1</v>
          </cell>
          <cell r="F925">
            <v>1</v>
          </cell>
          <cell r="H925">
            <v>2</v>
          </cell>
          <cell r="O925">
            <v>334164</v>
          </cell>
          <cell r="P925" t="str">
            <v>2022/175-0007-01</v>
          </cell>
          <cell r="Q925" t="str">
            <v>EST CADEIRA JULIETA (JEQ PECAN) (COURO PIGUIMENTADO AREIA)</v>
          </cell>
          <cell r="R925"/>
          <cell r="S925"/>
          <cell r="T925">
            <v>0.6</v>
          </cell>
          <cell r="U925">
            <v>0.54</v>
          </cell>
          <cell r="V925">
            <v>0.71</v>
          </cell>
          <cell r="W925">
            <v>0</v>
          </cell>
          <cell r="X925" t="str">
            <v>EST CADEIRA JULIETA (JEQ PECAN) (COURO PIGUIMENTADO AREIA) - 0,6x0,54x0,71H</v>
          </cell>
          <cell r="Y925">
            <v>9657.4</v>
          </cell>
          <cell r="Z925">
            <v>0.35</v>
          </cell>
          <cell r="AA925">
            <v>6277.3099999999995</v>
          </cell>
          <cell r="AB925"/>
        </row>
        <row r="926">
          <cell r="C926">
            <v>1</v>
          </cell>
          <cell r="D926">
            <v>1</v>
          </cell>
          <cell r="E926">
            <v>1</v>
          </cell>
          <cell r="F926">
            <v>1</v>
          </cell>
          <cell r="H926">
            <v>0</v>
          </cell>
          <cell r="O926">
            <v>385722</v>
          </cell>
          <cell r="P926" t="str">
            <v>2024/172-0062-01</v>
          </cell>
          <cell r="Q926" t="str">
            <v>EST BANQUETA BAR ALE H76 (LAM FREIJO MEL) (REC CARAM)</v>
          </cell>
          <cell r="R926"/>
          <cell r="S926"/>
          <cell r="T926">
            <v>0.55000000000000004</v>
          </cell>
          <cell r="U926">
            <v>0.54</v>
          </cell>
          <cell r="V926">
            <v>1.07</v>
          </cell>
          <cell r="W926">
            <v>0</v>
          </cell>
          <cell r="X926" t="str">
            <v>EST BANQUETA BAR ALE H76 (LAM FREIJO MEL) (REC CARAM) - 0,55x0,54x1,07H</v>
          </cell>
          <cell r="Y926">
            <v>10246.57</v>
          </cell>
          <cell r="Z926">
            <v>0.35</v>
          </cell>
          <cell r="AA926">
            <v>6660.2705000000005</v>
          </cell>
          <cell r="AB926"/>
        </row>
        <row r="927">
          <cell r="C927">
            <v>1</v>
          </cell>
          <cell r="D927">
            <v>1</v>
          </cell>
          <cell r="E927">
            <v>0</v>
          </cell>
          <cell r="F927">
            <v>1</v>
          </cell>
          <cell r="H927">
            <v>1</v>
          </cell>
          <cell r="O927">
            <v>385723</v>
          </cell>
          <cell r="P927" t="str">
            <v>2024/172-0067-01</v>
          </cell>
          <cell r="Q927" t="str">
            <v>EST BANQUETA BAR MOI H76 (PRETO FOSCO) (TC LISO LINHO CRU)</v>
          </cell>
          <cell r="R927"/>
          <cell r="S927"/>
          <cell r="T927">
            <v>0.51</v>
          </cell>
          <cell r="U927">
            <v>0.57999999999999996</v>
          </cell>
          <cell r="V927">
            <v>1.0900000000000001</v>
          </cell>
          <cell r="W927">
            <v>0</v>
          </cell>
          <cell r="X927" t="str">
            <v>EST BANQUETA BAR MOI H76 (PRETO FOSCO) (TC LISO LINHO CRU) - 0,51x0,58x1,09H</v>
          </cell>
          <cell r="Y927">
            <v>9059.3700000000008</v>
          </cell>
          <cell r="Z927">
            <v>0.35</v>
          </cell>
          <cell r="AA927">
            <v>5888.5905000000002</v>
          </cell>
          <cell r="AB927"/>
        </row>
        <row r="928"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H928">
            <v>8</v>
          </cell>
          <cell r="O928">
            <v>334219</v>
          </cell>
          <cell r="P928" t="str">
            <v>2022/166-0088-01</v>
          </cell>
          <cell r="Q928" t="str">
            <v>EST CADEIRA MOI (PINT MARROM FSC) (TC LISO BRUN CRU)</v>
          </cell>
          <cell r="R928"/>
          <cell r="S928"/>
          <cell r="T928">
            <v>0.48</v>
          </cell>
          <cell r="U928">
            <v>0.56999999999999995</v>
          </cell>
          <cell r="V928">
            <v>0.82</v>
          </cell>
          <cell r="W928">
            <v>0</v>
          </cell>
          <cell r="X928" t="str">
            <v>EST CADEIRA MOI (PINT MARROM FSC) (TC LISO BRUN CRU) - 0,48x0,57x0,82H</v>
          </cell>
          <cell r="Y928">
            <v>8103.02</v>
          </cell>
          <cell r="Z928">
            <v>0.35</v>
          </cell>
          <cell r="AA928">
            <v>5266.9630000000006</v>
          </cell>
          <cell r="AB928"/>
        </row>
        <row r="929"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H929">
            <v>8</v>
          </cell>
          <cell r="O929">
            <v>334219</v>
          </cell>
          <cell r="P929" t="str">
            <v>2022/166-0089-01</v>
          </cell>
          <cell r="Q929" t="str">
            <v>EST CADEIRA MOI (PINT MARROM FSC) (TC LISO BRUN CRU)</v>
          </cell>
          <cell r="R929"/>
          <cell r="S929"/>
          <cell r="T929">
            <v>0.48</v>
          </cell>
          <cell r="U929">
            <v>0.56999999999999995</v>
          </cell>
          <cell r="V929">
            <v>0.82</v>
          </cell>
          <cell r="W929">
            <v>0</v>
          </cell>
          <cell r="X929" t="str">
            <v>EST CADEIRA MOI (PINT MARROM FSC) (TC LISO BRUN CRU) - 0,48x0,57x0,82H</v>
          </cell>
          <cell r="Y929">
            <v>8103.02</v>
          </cell>
          <cell r="Z929">
            <v>0.35</v>
          </cell>
          <cell r="AA929">
            <v>5266.9630000000006</v>
          </cell>
          <cell r="AB929"/>
        </row>
        <row r="930"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H930">
            <v>8</v>
          </cell>
          <cell r="O930">
            <v>334219</v>
          </cell>
          <cell r="P930" t="str">
            <v>2022/166-0090-01</v>
          </cell>
          <cell r="Q930" t="str">
            <v>EST CADEIRA MOI (PINT MARROM FSC) (TC LISO BRUN CRU)</v>
          </cell>
          <cell r="R930"/>
          <cell r="S930"/>
          <cell r="T930">
            <v>0.48</v>
          </cell>
          <cell r="U930">
            <v>0.56999999999999995</v>
          </cell>
          <cell r="V930">
            <v>0.82</v>
          </cell>
          <cell r="W930">
            <v>0</v>
          </cell>
          <cell r="X930" t="str">
            <v>EST CADEIRA MOI (PINT MARROM FSC) (TC LISO BRUN CRU) - 0,48x0,57x0,82H</v>
          </cell>
          <cell r="Y930">
            <v>8103.02</v>
          </cell>
          <cell r="Z930">
            <v>0.35</v>
          </cell>
          <cell r="AA930">
            <v>5266.9630000000006</v>
          </cell>
          <cell r="AB930"/>
        </row>
        <row r="931"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H931">
            <v>8</v>
          </cell>
          <cell r="O931">
            <v>334219</v>
          </cell>
          <cell r="P931" t="str">
            <v>2022/166-0091-01</v>
          </cell>
          <cell r="Q931" t="str">
            <v>EST CADEIRA MOI (PINT MARROM FSC) (TC LISO BRUN CRU)</v>
          </cell>
          <cell r="R931"/>
          <cell r="S931"/>
          <cell r="T931">
            <v>0.48</v>
          </cell>
          <cell r="U931">
            <v>0.56999999999999995</v>
          </cell>
          <cell r="V931">
            <v>0.82</v>
          </cell>
          <cell r="W931">
            <v>0</v>
          </cell>
          <cell r="X931" t="str">
            <v>EST CADEIRA MOI (PINT MARROM FSC) (TC LISO BRUN CRU) - 0,48x0,57x0,82H</v>
          </cell>
          <cell r="Y931">
            <v>8103.02</v>
          </cell>
          <cell r="Z931">
            <v>0.35</v>
          </cell>
          <cell r="AA931">
            <v>5266.9630000000006</v>
          </cell>
          <cell r="AB931"/>
        </row>
        <row r="932"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H932">
            <v>8</v>
          </cell>
          <cell r="O932">
            <v>334219</v>
          </cell>
          <cell r="P932" t="str">
            <v>2022/166-0092-01</v>
          </cell>
          <cell r="Q932" t="str">
            <v>EST CADEIRA MOI (PINT MARROM FSC) (TC LISO BRUN CRU)</v>
          </cell>
          <cell r="R932"/>
          <cell r="S932"/>
          <cell r="T932">
            <v>0.48</v>
          </cell>
          <cell r="U932">
            <v>0.56999999999999995</v>
          </cell>
          <cell r="V932">
            <v>0.82</v>
          </cell>
          <cell r="W932">
            <v>0</v>
          </cell>
          <cell r="X932" t="str">
            <v>EST CADEIRA MOI (PINT MARROM FSC) (TC LISO BRUN CRU) - 0,48x0,57x0,82H</v>
          </cell>
          <cell r="Y932">
            <v>8103.02</v>
          </cell>
          <cell r="Z932">
            <v>0.35</v>
          </cell>
          <cell r="AA932">
            <v>5266.9630000000006</v>
          </cell>
          <cell r="AB932"/>
        </row>
        <row r="933"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H933">
            <v>8</v>
          </cell>
          <cell r="O933">
            <v>334219</v>
          </cell>
          <cell r="P933" t="str">
            <v>2022/166-0093-01</v>
          </cell>
          <cell r="Q933" t="str">
            <v>EST CADEIRA MOI (PINT MARROM FSC) (TC LISO BRUN CRU)</v>
          </cell>
          <cell r="R933"/>
          <cell r="S933"/>
          <cell r="T933">
            <v>0.48</v>
          </cell>
          <cell r="U933">
            <v>0.56999999999999995</v>
          </cell>
          <cell r="V933">
            <v>0.82</v>
          </cell>
          <cell r="W933">
            <v>0</v>
          </cell>
          <cell r="X933" t="str">
            <v>EST CADEIRA MOI (PINT MARROM FSC) (TC LISO BRUN CRU) - 0,48x0,57x0,82H</v>
          </cell>
          <cell r="Y933">
            <v>8103.02</v>
          </cell>
          <cell r="Z933">
            <v>0.35</v>
          </cell>
          <cell r="AA933">
            <v>5266.9630000000006</v>
          </cell>
          <cell r="AB933"/>
        </row>
        <row r="934">
          <cell r="C934">
            <v>0</v>
          </cell>
          <cell r="D934">
            <v>6</v>
          </cell>
          <cell r="E934">
            <v>0</v>
          </cell>
          <cell r="F934">
            <v>0</v>
          </cell>
          <cell r="H934">
            <v>0</v>
          </cell>
          <cell r="O934">
            <v>379637</v>
          </cell>
          <cell r="P934" t="str">
            <v>2024/087-0061-01</v>
          </cell>
          <cell r="Q934" t="str">
            <v>EST CADEIRA ALE (LAM FREIJO MEL) (REC LISO CARAM) CARAMELO</v>
          </cell>
          <cell r="R934"/>
          <cell r="S934"/>
          <cell r="T934">
            <v>0.52</v>
          </cell>
          <cell r="U934">
            <v>0.55000000000000004</v>
          </cell>
          <cell r="V934">
            <v>0.78</v>
          </cell>
          <cell r="W934">
            <v>0</v>
          </cell>
          <cell r="X934" t="str">
            <v>EST CADEIRA ALE (LAM FREIJO MEL) (REC LISO CARAM) CARAMELO - 0,52x0,55x0,78H</v>
          </cell>
          <cell r="Y934">
            <v>9327.9</v>
          </cell>
          <cell r="Z934">
            <v>0.35</v>
          </cell>
          <cell r="AA934">
            <v>6063.1350000000002</v>
          </cell>
          <cell r="AB934"/>
        </row>
        <row r="935">
          <cell r="C935">
            <v>0</v>
          </cell>
          <cell r="D935">
            <v>6</v>
          </cell>
          <cell r="E935">
            <v>0</v>
          </cell>
          <cell r="F935">
            <v>0</v>
          </cell>
          <cell r="H935">
            <v>0</v>
          </cell>
          <cell r="O935">
            <v>379637</v>
          </cell>
          <cell r="P935" t="str">
            <v>2024/087-0062-01</v>
          </cell>
          <cell r="Q935" t="str">
            <v>EST CADEIRA ALE (LAM FREIJO MEL) (REC LISO CARAM) CARAMELO</v>
          </cell>
          <cell r="R935"/>
          <cell r="S935"/>
          <cell r="T935">
            <v>0.52</v>
          </cell>
          <cell r="U935">
            <v>0.55000000000000004</v>
          </cell>
          <cell r="V935">
            <v>0.78</v>
          </cell>
          <cell r="W935">
            <v>0</v>
          </cell>
          <cell r="X935" t="str">
            <v>EST CADEIRA ALE (LAM FREIJO MEL) (REC LISO CARAM) CARAMELO - 0,52x0,55x0,78H</v>
          </cell>
          <cell r="Y935">
            <v>9327.9</v>
          </cell>
          <cell r="Z935">
            <v>0.35</v>
          </cell>
          <cell r="AA935">
            <v>6063.1350000000002</v>
          </cell>
          <cell r="AB935"/>
        </row>
        <row r="936">
          <cell r="C936">
            <v>0</v>
          </cell>
          <cell r="D936">
            <v>6</v>
          </cell>
          <cell r="E936">
            <v>0</v>
          </cell>
          <cell r="F936">
            <v>0</v>
          </cell>
          <cell r="H936">
            <v>0</v>
          </cell>
          <cell r="O936">
            <v>379637</v>
          </cell>
          <cell r="P936" t="str">
            <v>2024/087-0063-01</v>
          </cell>
          <cell r="Q936" t="str">
            <v>EST CADEIRA ALE (LAM FREIJO MEL) (REC LISO CARAM) CARAMELO</v>
          </cell>
          <cell r="R936"/>
          <cell r="S936"/>
          <cell r="T936">
            <v>0.52</v>
          </cell>
          <cell r="U936">
            <v>0.55000000000000004</v>
          </cell>
          <cell r="V936">
            <v>0.78</v>
          </cell>
          <cell r="W936">
            <v>0</v>
          </cell>
          <cell r="X936" t="str">
            <v>EST CADEIRA ALE (LAM FREIJO MEL) (REC LISO CARAM) CARAMELO - 0,52x0,55x0,78H</v>
          </cell>
          <cell r="Y936">
            <v>9327.9</v>
          </cell>
          <cell r="Z936">
            <v>0.35</v>
          </cell>
          <cell r="AA936">
            <v>6063.1350000000002</v>
          </cell>
          <cell r="AB936"/>
        </row>
        <row r="937">
          <cell r="C937">
            <v>0</v>
          </cell>
          <cell r="D937">
            <v>6</v>
          </cell>
          <cell r="E937">
            <v>0</v>
          </cell>
          <cell r="F937">
            <v>0</v>
          </cell>
          <cell r="H937">
            <v>0</v>
          </cell>
          <cell r="O937">
            <v>379637</v>
          </cell>
          <cell r="P937" t="str">
            <v>2024/087-0064-01</v>
          </cell>
          <cell r="Q937" t="str">
            <v>EST CADEIRA ALE (LAM FREIJO MEL) (REC LISO CARAM) CARAMELO</v>
          </cell>
          <cell r="R937"/>
          <cell r="S937"/>
          <cell r="T937">
            <v>0.52</v>
          </cell>
          <cell r="U937">
            <v>0.55000000000000004</v>
          </cell>
          <cell r="V937">
            <v>0.78</v>
          </cell>
          <cell r="W937">
            <v>0</v>
          </cell>
          <cell r="X937" t="str">
            <v>EST CADEIRA ALE (LAM FREIJO MEL) (REC LISO CARAM) CARAMELO - 0,52x0,55x0,78H</v>
          </cell>
          <cell r="Y937">
            <v>9327.9</v>
          </cell>
          <cell r="Z937">
            <v>0.35</v>
          </cell>
          <cell r="AA937">
            <v>6063.1350000000002</v>
          </cell>
          <cell r="AB937"/>
        </row>
        <row r="938">
          <cell r="C938">
            <v>0</v>
          </cell>
          <cell r="D938">
            <v>6</v>
          </cell>
          <cell r="E938">
            <v>0</v>
          </cell>
          <cell r="F938">
            <v>0</v>
          </cell>
          <cell r="H938">
            <v>0</v>
          </cell>
          <cell r="O938">
            <v>379637</v>
          </cell>
          <cell r="P938" t="str">
            <v>2024/087-0065-01</v>
          </cell>
          <cell r="Q938" t="str">
            <v>EST CADEIRA ALE (LAM FREIJO MEL) (REC LISO CARAM) CARAMELO</v>
          </cell>
          <cell r="R938"/>
          <cell r="S938"/>
          <cell r="T938">
            <v>0.52</v>
          </cell>
          <cell r="U938">
            <v>0.55000000000000004</v>
          </cell>
          <cell r="V938">
            <v>0.78</v>
          </cell>
          <cell r="W938">
            <v>0</v>
          </cell>
          <cell r="X938" t="str">
            <v>EST CADEIRA ALE (LAM FREIJO MEL) (REC LISO CARAM) CARAMELO - 0,52x0,55x0,78H</v>
          </cell>
          <cell r="Y938">
            <v>9327.9</v>
          </cell>
          <cell r="Z938">
            <v>0.35</v>
          </cell>
          <cell r="AA938">
            <v>6063.1350000000002</v>
          </cell>
          <cell r="AB938"/>
        </row>
        <row r="939">
          <cell r="C939">
            <v>0</v>
          </cell>
          <cell r="D939">
            <v>6</v>
          </cell>
          <cell r="E939">
            <v>0</v>
          </cell>
          <cell r="F939">
            <v>0</v>
          </cell>
          <cell r="H939">
            <v>0</v>
          </cell>
          <cell r="O939">
            <v>379637</v>
          </cell>
          <cell r="P939" t="str">
            <v>2024/087-0066-01</v>
          </cell>
          <cell r="Q939" t="str">
            <v>EST CADEIRA ALE (LAM FREIJO MEL) (REC LISO CARAM) CARAMELO</v>
          </cell>
          <cell r="R939"/>
          <cell r="S939"/>
          <cell r="T939">
            <v>0.52</v>
          </cell>
          <cell r="U939">
            <v>0.55000000000000004</v>
          </cell>
          <cell r="V939">
            <v>0.78</v>
          </cell>
          <cell r="W939">
            <v>0</v>
          </cell>
          <cell r="X939" t="str">
            <v>EST CADEIRA ALE (LAM FREIJO MEL) (REC LISO CARAM) CARAMELO - 0,52x0,55x0,78H</v>
          </cell>
          <cell r="Y939">
            <v>9327.9</v>
          </cell>
          <cell r="Z939">
            <v>0.35</v>
          </cell>
          <cell r="AA939">
            <v>6063.1350000000002</v>
          </cell>
          <cell r="AB939"/>
        </row>
        <row r="940">
          <cell r="C940">
            <v>0</v>
          </cell>
          <cell r="D940">
            <v>6</v>
          </cell>
          <cell r="E940">
            <v>0</v>
          </cell>
          <cell r="F940">
            <v>0</v>
          </cell>
          <cell r="H940">
            <v>0</v>
          </cell>
          <cell r="O940">
            <v>379637</v>
          </cell>
          <cell r="P940" t="str">
            <v>2024/087-0067-01</v>
          </cell>
          <cell r="Q940" t="str">
            <v>EST CADEIRA ALE (LAM FREIJO MEL) (REC LISO CARAM) CARAMELO</v>
          </cell>
          <cell r="R940"/>
          <cell r="S940"/>
          <cell r="T940">
            <v>0.52</v>
          </cell>
          <cell r="U940">
            <v>0.55000000000000004</v>
          </cell>
          <cell r="V940">
            <v>0.78</v>
          </cell>
          <cell r="W940">
            <v>0</v>
          </cell>
          <cell r="X940" t="str">
            <v>EST CADEIRA ALE (LAM FREIJO MEL) (REC LISO CARAM) CARAMELO - 0,52x0,55x0,78H</v>
          </cell>
          <cell r="Y940">
            <v>9327.9</v>
          </cell>
          <cell r="Z940">
            <v>0.35</v>
          </cell>
          <cell r="AA940">
            <v>6063.1350000000002</v>
          </cell>
          <cell r="AB940"/>
        </row>
        <row r="941">
          <cell r="C941">
            <v>0</v>
          </cell>
          <cell r="D941">
            <v>6</v>
          </cell>
          <cell r="E941">
            <v>0</v>
          </cell>
          <cell r="F941">
            <v>0</v>
          </cell>
          <cell r="H941">
            <v>0</v>
          </cell>
          <cell r="O941">
            <v>379637</v>
          </cell>
          <cell r="P941" t="str">
            <v>2024/087-0068-01</v>
          </cell>
          <cell r="Q941" t="str">
            <v>EST CADEIRA ALE (LAM FREIJO MEL) (REC LISO CARAM) CARAMELO</v>
          </cell>
          <cell r="R941"/>
          <cell r="S941"/>
          <cell r="T941">
            <v>0.52</v>
          </cell>
          <cell r="U941">
            <v>0.55000000000000004</v>
          </cell>
          <cell r="V941">
            <v>0.78</v>
          </cell>
          <cell r="W941">
            <v>0</v>
          </cell>
          <cell r="X941" t="str">
            <v>EST CADEIRA ALE (LAM FREIJO MEL) (REC LISO CARAM) CARAMELO - 0,52x0,55x0,78H</v>
          </cell>
          <cell r="Y941">
            <v>9327.9</v>
          </cell>
          <cell r="Z941">
            <v>0.35</v>
          </cell>
          <cell r="AA941">
            <v>6063.1350000000002</v>
          </cell>
          <cell r="AB941"/>
        </row>
        <row r="942">
          <cell r="C942">
            <v>1</v>
          </cell>
          <cell r="D942">
            <v>1</v>
          </cell>
          <cell r="E942">
            <v>1</v>
          </cell>
          <cell r="F942">
            <v>1</v>
          </cell>
          <cell r="H942">
            <v>0</v>
          </cell>
          <cell r="O942">
            <v>385722</v>
          </cell>
          <cell r="P942" t="str">
            <v>2024/172-0064-01</v>
          </cell>
          <cell r="Q942" t="str">
            <v>EST BANQUETA BAR ALE H76 (LAM FREIJO MEL) (REC CARAM)</v>
          </cell>
          <cell r="R942"/>
          <cell r="S942"/>
          <cell r="T942">
            <v>0.55000000000000004</v>
          </cell>
          <cell r="U942">
            <v>0.54</v>
          </cell>
          <cell r="V942">
            <v>1.07</v>
          </cell>
          <cell r="W942">
            <v>0</v>
          </cell>
          <cell r="X942" t="str">
            <v>EST BANQUETA BAR ALE H76 (LAM FREIJO MEL) (REC CARAM) - 0,55x0,54x1,07H</v>
          </cell>
          <cell r="Y942">
            <v>10246.57</v>
          </cell>
          <cell r="Z942">
            <v>0.35</v>
          </cell>
          <cell r="AA942">
            <v>6660.2705000000005</v>
          </cell>
          <cell r="AB942"/>
        </row>
        <row r="943">
          <cell r="C943">
            <v>1</v>
          </cell>
          <cell r="D943">
            <v>1</v>
          </cell>
          <cell r="E943">
            <v>0</v>
          </cell>
          <cell r="F943">
            <v>1</v>
          </cell>
          <cell r="H943">
            <v>1</v>
          </cell>
          <cell r="O943">
            <v>385723</v>
          </cell>
          <cell r="P943" t="str">
            <v>2024/172-0068-01</v>
          </cell>
          <cell r="Q943" t="str">
            <v>EST BANQUETA BAR MOI H76 (PRETO FOSCO) (TC LISO LINHO CRU)</v>
          </cell>
          <cell r="R943"/>
          <cell r="S943"/>
          <cell r="T943">
            <v>0.51</v>
          </cell>
          <cell r="U943">
            <v>0.57999999999999996</v>
          </cell>
          <cell r="V943">
            <v>1.0900000000000001</v>
          </cell>
          <cell r="W943">
            <v>0</v>
          </cell>
          <cell r="X943" t="str">
            <v>EST BANQUETA BAR MOI H76 (PRETO FOSCO) (TC LISO LINHO CRU) - 0,51x0,58x1,09H</v>
          </cell>
          <cell r="Y943">
            <v>9059.3700000000008</v>
          </cell>
          <cell r="Z943">
            <v>0.35</v>
          </cell>
          <cell r="AA943">
            <v>5888.5905000000002</v>
          </cell>
          <cell r="AB943"/>
        </row>
        <row r="944">
          <cell r="C944">
            <v>2</v>
          </cell>
          <cell r="D944">
            <v>0</v>
          </cell>
          <cell r="E944">
            <v>0</v>
          </cell>
          <cell r="F944">
            <v>0</v>
          </cell>
          <cell r="H944">
            <v>1</v>
          </cell>
          <cell r="O944">
            <v>223320</v>
          </cell>
          <cell r="P944" t="str">
            <v>2018/191-0065-01</v>
          </cell>
          <cell r="Q944" t="str">
            <v>EST POLTRONA ALE (LAM CARV PT) (PREMIUM CARAM ENV) SOLETA PT</v>
          </cell>
          <cell r="R944"/>
          <cell r="S944"/>
          <cell r="T944">
            <v>0.72</v>
          </cell>
          <cell r="U944">
            <v>0.65</v>
          </cell>
          <cell r="V944">
            <v>0.73</v>
          </cell>
          <cell r="W944">
            <v>0</v>
          </cell>
          <cell r="X944" t="str">
            <v>EST POLTRONA ALE (LAM CARV PT) (PREMIUM CARAM ENV) SOLETA PT - 0,72x0,65x0,73H</v>
          </cell>
          <cell r="Y944">
            <v>15141.37</v>
          </cell>
          <cell r="Z944">
            <v>0.5</v>
          </cell>
          <cell r="AA944">
            <v>7570.6850000000004</v>
          </cell>
          <cell r="AB944"/>
        </row>
        <row r="945">
          <cell r="C945">
            <v>2</v>
          </cell>
          <cell r="D945">
            <v>0</v>
          </cell>
          <cell r="E945">
            <v>0</v>
          </cell>
          <cell r="F945">
            <v>0</v>
          </cell>
          <cell r="H945">
            <v>1</v>
          </cell>
          <cell r="O945">
            <v>223320</v>
          </cell>
          <cell r="P945" t="str">
            <v>2018/204-0078-01</v>
          </cell>
          <cell r="Q945" t="str">
            <v>EST POLTRONA ALE (LAM CARV PT) (PREMIUM CARAM ENV) SOLETA PT</v>
          </cell>
          <cell r="R945"/>
          <cell r="S945"/>
          <cell r="T945">
            <v>0.72</v>
          </cell>
          <cell r="U945">
            <v>0.65</v>
          </cell>
          <cell r="V945">
            <v>0.73</v>
          </cell>
          <cell r="W945">
            <v>0</v>
          </cell>
          <cell r="X945" t="str">
            <v>EST POLTRONA ALE (LAM CARV PT) (PREMIUM CARAM ENV) SOLETA PT - 0,72x0,65x0,73H</v>
          </cell>
          <cell r="Y945">
            <v>15141.37</v>
          </cell>
          <cell r="Z945">
            <v>0.5</v>
          </cell>
          <cell r="AA945">
            <v>7570.6850000000004</v>
          </cell>
          <cell r="AB945"/>
        </row>
        <row r="946">
          <cell r="C946">
            <v>9</v>
          </cell>
          <cell r="D946">
            <v>0</v>
          </cell>
          <cell r="E946">
            <v>0</v>
          </cell>
          <cell r="F946">
            <v>0</v>
          </cell>
          <cell r="H946">
            <v>1</v>
          </cell>
          <cell r="O946">
            <v>223323</v>
          </cell>
          <cell r="P946" t="str">
            <v>2018/204-0085-01</v>
          </cell>
          <cell r="Q946" t="str">
            <v>EST CADEIRA MOI (LAM CARV PT) (TC LISO WHITE MIX)</v>
          </cell>
          <cell r="R946"/>
          <cell r="S946"/>
          <cell r="T946">
            <v>0.48</v>
          </cell>
          <cell r="U946">
            <v>0.56999999999999995</v>
          </cell>
          <cell r="V946">
            <v>0.82</v>
          </cell>
          <cell r="W946">
            <v>0</v>
          </cell>
          <cell r="X946" t="str">
            <v>EST CADEIRA MOI (LAM CARV PT) (TC LISO WHITE MIX) - 0,48x0,57x0,82H</v>
          </cell>
          <cell r="Y946">
            <v>9101.7900000000009</v>
          </cell>
          <cell r="Z946">
            <v>0.5</v>
          </cell>
          <cell r="AA946">
            <v>4550.8950000000004</v>
          </cell>
          <cell r="AB946"/>
        </row>
        <row r="947">
          <cell r="C947">
            <v>9</v>
          </cell>
          <cell r="D947">
            <v>0</v>
          </cell>
          <cell r="E947">
            <v>0</v>
          </cell>
          <cell r="F947">
            <v>0</v>
          </cell>
          <cell r="H947">
            <v>1</v>
          </cell>
          <cell r="O947">
            <v>223323</v>
          </cell>
          <cell r="P947" t="str">
            <v>2018/204-0086-01</v>
          </cell>
          <cell r="Q947" t="str">
            <v>EST CADEIRA MOI (LAM CARV PT) (TC LISO WHITE MIX)</v>
          </cell>
          <cell r="R947"/>
          <cell r="S947"/>
          <cell r="T947">
            <v>0.48</v>
          </cell>
          <cell r="U947">
            <v>0.56999999999999995</v>
          </cell>
          <cell r="V947">
            <v>0.82</v>
          </cell>
          <cell r="W947">
            <v>0</v>
          </cell>
          <cell r="X947" t="str">
            <v>EST CADEIRA MOI (LAM CARV PT) (TC LISO WHITE MIX) - 0,48x0,57x0,82H</v>
          </cell>
          <cell r="Y947">
            <v>9101.7900000000009</v>
          </cell>
          <cell r="Z947">
            <v>0.5</v>
          </cell>
          <cell r="AA947">
            <v>4550.8950000000004</v>
          </cell>
          <cell r="AB947"/>
        </row>
        <row r="948">
          <cell r="C948">
            <v>9</v>
          </cell>
          <cell r="D948">
            <v>0</v>
          </cell>
          <cell r="E948">
            <v>0</v>
          </cell>
          <cell r="F948">
            <v>0</v>
          </cell>
          <cell r="H948">
            <v>1</v>
          </cell>
          <cell r="O948">
            <v>223323</v>
          </cell>
          <cell r="P948" t="str">
            <v>2018/204-0087-01</v>
          </cell>
          <cell r="Q948" t="str">
            <v>EST CADEIRA MOI (LAM CARV PT) (TC LISO WHITE MIX)</v>
          </cell>
          <cell r="R948"/>
          <cell r="S948"/>
          <cell r="T948">
            <v>0.48</v>
          </cell>
          <cell r="U948">
            <v>0.56999999999999995</v>
          </cell>
          <cell r="V948">
            <v>0.82</v>
          </cell>
          <cell r="W948">
            <v>0</v>
          </cell>
          <cell r="X948" t="str">
            <v>EST CADEIRA MOI (LAM CARV PT) (TC LISO WHITE MIX) - 0,48x0,57x0,82H</v>
          </cell>
          <cell r="Y948">
            <v>9101.7900000000009</v>
          </cell>
          <cell r="Z948">
            <v>0.5</v>
          </cell>
          <cell r="AA948">
            <v>4550.8950000000004</v>
          </cell>
          <cell r="AB948"/>
        </row>
        <row r="949">
          <cell r="C949">
            <v>9</v>
          </cell>
          <cell r="D949">
            <v>0</v>
          </cell>
          <cell r="E949">
            <v>0</v>
          </cell>
          <cell r="F949">
            <v>0</v>
          </cell>
          <cell r="H949">
            <v>1</v>
          </cell>
          <cell r="O949">
            <v>223323</v>
          </cell>
          <cell r="P949" t="str">
            <v>2018/204-0089-01</v>
          </cell>
          <cell r="Q949" t="str">
            <v>EST CADEIRA MOI (LAM CARV PT) (TC LISO WHITE MIX)</v>
          </cell>
          <cell r="R949"/>
          <cell r="S949"/>
          <cell r="T949">
            <v>0.48</v>
          </cell>
          <cell r="U949">
            <v>0.56999999999999995</v>
          </cell>
          <cell r="V949">
            <v>0.82</v>
          </cell>
          <cell r="W949">
            <v>0</v>
          </cell>
          <cell r="X949" t="str">
            <v>EST CADEIRA MOI (LAM CARV PT) (TC LISO WHITE MIX) - 0,48x0,57x0,82H</v>
          </cell>
          <cell r="Y949">
            <v>9101.7900000000009</v>
          </cell>
          <cell r="Z949">
            <v>0.5</v>
          </cell>
          <cell r="AA949">
            <v>4550.8950000000004</v>
          </cell>
          <cell r="AB949"/>
        </row>
        <row r="950">
          <cell r="C950">
            <v>9</v>
          </cell>
          <cell r="D950">
            <v>0</v>
          </cell>
          <cell r="E950">
            <v>0</v>
          </cell>
          <cell r="F950">
            <v>0</v>
          </cell>
          <cell r="H950">
            <v>1</v>
          </cell>
          <cell r="O950">
            <v>223323</v>
          </cell>
          <cell r="P950" t="str">
            <v>2019/044-0125-01</v>
          </cell>
          <cell r="Q950" t="str">
            <v>EST CADEIRA MOI (LAM CARV PT) (TC LISO WHITE MIX)</v>
          </cell>
          <cell r="R950"/>
          <cell r="S950"/>
          <cell r="T950">
            <v>0.48</v>
          </cell>
          <cell r="U950">
            <v>0.56999999999999995</v>
          </cell>
          <cell r="V950">
            <v>0.82</v>
          </cell>
          <cell r="W950">
            <v>0</v>
          </cell>
          <cell r="X950" t="str">
            <v>EST CADEIRA MOI (LAM CARV PT) (TC LISO WHITE MIX) - 0,48x0,57x0,82H</v>
          </cell>
          <cell r="Y950">
            <v>9101.7900000000009</v>
          </cell>
          <cell r="Z950">
            <v>0.5</v>
          </cell>
          <cell r="AA950">
            <v>4550.8950000000004</v>
          </cell>
          <cell r="AB950"/>
        </row>
        <row r="951">
          <cell r="C951">
            <v>9</v>
          </cell>
          <cell r="D951">
            <v>0</v>
          </cell>
          <cell r="E951">
            <v>0</v>
          </cell>
          <cell r="F951">
            <v>0</v>
          </cell>
          <cell r="H951">
            <v>1</v>
          </cell>
          <cell r="O951">
            <v>223323</v>
          </cell>
          <cell r="P951" t="str">
            <v>2019/044-0126-01</v>
          </cell>
          <cell r="Q951" t="str">
            <v>EST CADEIRA MOI (LAM CARV PT) (TC LISO WHITE MIX)</v>
          </cell>
          <cell r="R951"/>
          <cell r="S951"/>
          <cell r="T951">
            <v>0.48</v>
          </cell>
          <cell r="U951">
            <v>0.56999999999999995</v>
          </cell>
          <cell r="V951">
            <v>0.82</v>
          </cell>
          <cell r="W951">
            <v>0</v>
          </cell>
          <cell r="X951" t="str">
            <v>EST CADEIRA MOI (LAM CARV PT) (TC LISO WHITE MIX) - 0,48x0,57x0,82H</v>
          </cell>
          <cell r="Y951">
            <v>9101.7900000000009</v>
          </cell>
          <cell r="Z951">
            <v>0.5</v>
          </cell>
          <cell r="AA951">
            <v>4550.8950000000004</v>
          </cell>
          <cell r="AB951"/>
        </row>
        <row r="952">
          <cell r="C952">
            <v>9</v>
          </cell>
          <cell r="D952">
            <v>0</v>
          </cell>
          <cell r="E952">
            <v>0</v>
          </cell>
          <cell r="F952">
            <v>0</v>
          </cell>
          <cell r="H952">
            <v>1</v>
          </cell>
          <cell r="O952">
            <v>223323</v>
          </cell>
          <cell r="P952" t="str">
            <v>2019/044-0128-01</v>
          </cell>
          <cell r="Q952" t="str">
            <v>EST CADEIRA MOI (LAM CARV PT) (TC LISO WHITE MIX)</v>
          </cell>
          <cell r="R952"/>
          <cell r="S952"/>
          <cell r="T952">
            <v>0.48</v>
          </cell>
          <cell r="U952">
            <v>0.56999999999999995</v>
          </cell>
          <cell r="V952">
            <v>0.82</v>
          </cell>
          <cell r="W952">
            <v>0</v>
          </cell>
          <cell r="X952" t="str">
            <v>EST CADEIRA MOI (LAM CARV PT) (TC LISO WHITE MIX) - 0,48x0,57x0,82H</v>
          </cell>
          <cell r="Y952">
            <v>9101.7900000000009</v>
          </cell>
          <cell r="Z952">
            <v>0.5</v>
          </cell>
          <cell r="AA952">
            <v>4550.8950000000004</v>
          </cell>
          <cell r="AB952"/>
        </row>
        <row r="953">
          <cell r="C953">
            <v>9</v>
          </cell>
          <cell r="D953">
            <v>0</v>
          </cell>
          <cell r="E953">
            <v>0</v>
          </cell>
          <cell r="F953">
            <v>0</v>
          </cell>
          <cell r="H953">
            <v>1</v>
          </cell>
          <cell r="O953">
            <v>223323</v>
          </cell>
          <cell r="P953" t="str">
            <v>2019/044-0123-01</v>
          </cell>
          <cell r="Q953" t="str">
            <v>EST CADEIRA MOI (LAM CARV PT) (TC LISO WHITE MIX)</v>
          </cell>
          <cell r="R953"/>
          <cell r="S953"/>
          <cell r="T953">
            <v>0.48</v>
          </cell>
          <cell r="U953">
            <v>0.56999999999999995</v>
          </cell>
          <cell r="V953">
            <v>0.82</v>
          </cell>
          <cell r="W953">
            <v>0</v>
          </cell>
          <cell r="X953" t="str">
            <v>EST CADEIRA MOI (LAM CARV PT) (TC LISO WHITE MIX) - 0,48x0,57x0,82H</v>
          </cell>
          <cell r="Y953">
            <v>9101.7900000000009</v>
          </cell>
          <cell r="Z953">
            <v>0.5</v>
          </cell>
          <cell r="AA953">
            <v>4550.8950000000004</v>
          </cell>
          <cell r="AB953"/>
        </row>
        <row r="954">
          <cell r="C954">
            <v>9</v>
          </cell>
          <cell r="D954">
            <v>0</v>
          </cell>
          <cell r="E954">
            <v>0</v>
          </cell>
          <cell r="F954">
            <v>0</v>
          </cell>
          <cell r="H954">
            <v>1</v>
          </cell>
          <cell r="O954">
            <v>223323</v>
          </cell>
          <cell r="P954" t="str">
            <v>2019/044-0127-01</v>
          </cell>
          <cell r="Q954" t="str">
            <v>EST CADEIRA MOI (LAM CARV PT) (TC LISO WHITE MIX)</v>
          </cell>
          <cell r="R954"/>
          <cell r="S954"/>
          <cell r="T954">
            <v>0.48</v>
          </cell>
          <cell r="U954">
            <v>0.56999999999999995</v>
          </cell>
          <cell r="V954">
            <v>0.82</v>
          </cell>
          <cell r="W954">
            <v>0</v>
          </cell>
          <cell r="X954" t="str">
            <v>EST CADEIRA MOI (LAM CARV PT) (TC LISO WHITE MIX) - 0,48x0,57x0,82H</v>
          </cell>
          <cell r="Y954">
            <v>9101.7900000000009</v>
          </cell>
          <cell r="Z954">
            <v>0.5</v>
          </cell>
          <cell r="AA954">
            <v>4550.8950000000004</v>
          </cell>
          <cell r="AB954"/>
        </row>
        <row r="955"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H955">
            <v>1</v>
          </cell>
          <cell r="O955">
            <v>334203</v>
          </cell>
          <cell r="P955" t="str">
            <v>2022/178-0037-01</v>
          </cell>
          <cell r="Q955" t="str">
            <v>EST POLTRONA MOI (PINTURA PJ) (REC CARAMELO)</v>
          </cell>
          <cell r="R955"/>
          <cell r="S955"/>
          <cell r="T955">
            <v>0.69</v>
          </cell>
          <cell r="U955">
            <v>0.77</v>
          </cell>
          <cell r="V955">
            <v>0.8</v>
          </cell>
          <cell r="W955">
            <v>0</v>
          </cell>
          <cell r="X955" t="str">
            <v>EST POLTRONA MOI (PINTURA PJ) (REC CARAMELO) - 0,69x0,77x0,8H</v>
          </cell>
          <cell r="Y955">
            <v>13346.46</v>
          </cell>
          <cell r="Z955">
            <v>0.5</v>
          </cell>
          <cell r="AA955">
            <v>6673.23</v>
          </cell>
          <cell r="AB955"/>
        </row>
        <row r="956"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H956">
            <v>1</v>
          </cell>
          <cell r="O956">
            <v>334203</v>
          </cell>
          <cell r="P956" t="str">
            <v>2022/178-0038-01</v>
          </cell>
          <cell r="Q956" t="str">
            <v>EST POLTRONA MOI (PINTURA PJ) (REC CARAMELO)</v>
          </cell>
          <cell r="R956"/>
          <cell r="S956"/>
          <cell r="T956">
            <v>0.69</v>
          </cell>
          <cell r="U956">
            <v>0.77</v>
          </cell>
          <cell r="V956">
            <v>0.8</v>
          </cell>
          <cell r="W956">
            <v>0</v>
          </cell>
          <cell r="X956" t="str">
            <v>EST POLTRONA MOI (PINTURA PJ) (REC CARAMELO) - 0,69x0,77x0,8H</v>
          </cell>
          <cell r="Y956">
            <v>13346.46</v>
          </cell>
          <cell r="Z956">
            <v>0.5</v>
          </cell>
          <cell r="AA956">
            <v>6673.23</v>
          </cell>
          <cell r="AB956"/>
        </row>
        <row r="957">
          <cell r="C957">
            <v>1</v>
          </cell>
          <cell r="D957">
            <v>0</v>
          </cell>
          <cell r="E957">
            <v>0</v>
          </cell>
          <cell r="F957">
            <v>0</v>
          </cell>
          <cell r="H957">
            <v>4</v>
          </cell>
          <cell r="O957">
            <v>334238</v>
          </cell>
          <cell r="P957" t="str">
            <v>2022/166-0096-01</v>
          </cell>
          <cell r="Q957" t="str">
            <v>EST CADEIRA ALE (LAM FREIJO MEL) (REC CARAM) SOLETA CARAMELO</v>
          </cell>
          <cell r="R957"/>
          <cell r="S957"/>
          <cell r="T957">
            <v>0.56000000000000005</v>
          </cell>
          <cell r="U957">
            <v>0.55000000000000004</v>
          </cell>
          <cell r="V957">
            <v>0.78</v>
          </cell>
          <cell r="W957">
            <v>0</v>
          </cell>
          <cell r="X957" t="str">
            <v>EST CADEIRA ALE (LAM FREIJO MEL) (REC CARAM) SOLETA CARAMELO - 0,56x0,55x0,78H</v>
          </cell>
          <cell r="Y957">
            <v>9327.9</v>
          </cell>
          <cell r="Z957">
            <v>0.35</v>
          </cell>
          <cell r="AA957">
            <v>6063.1350000000002</v>
          </cell>
          <cell r="AB957"/>
        </row>
        <row r="958">
          <cell r="C958">
            <v>1</v>
          </cell>
          <cell r="D958">
            <v>1</v>
          </cell>
          <cell r="E958">
            <v>1</v>
          </cell>
          <cell r="F958">
            <v>1</v>
          </cell>
          <cell r="H958">
            <v>0</v>
          </cell>
          <cell r="O958">
            <v>385722</v>
          </cell>
          <cell r="P958" t="str">
            <v>2024/172-0065-01</v>
          </cell>
          <cell r="Q958" t="str">
            <v>EST BANQUETA BAR ALE H76 (LAM FREIJO MEL) (REC CARAM)</v>
          </cell>
          <cell r="R958"/>
          <cell r="S958"/>
          <cell r="T958">
            <v>0.55000000000000004</v>
          </cell>
          <cell r="U958">
            <v>0.54</v>
          </cell>
          <cell r="V958">
            <v>1.07</v>
          </cell>
          <cell r="W958">
            <v>0</v>
          </cell>
          <cell r="X958" t="str">
            <v>EST BANQUETA BAR ALE H76 (LAM FREIJO MEL) (REC CARAM) - 0,55x0,54x1,07H</v>
          </cell>
          <cell r="Y958">
            <v>10246.57</v>
          </cell>
          <cell r="Z958">
            <v>0.35</v>
          </cell>
          <cell r="AA958">
            <v>6660.2705000000005</v>
          </cell>
          <cell r="AB958"/>
        </row>
        <row r="959">
          <cell r="C959">
            <v>1</v>
          </cell>
          <cell r="D959">
            <v>1</v>
          </cell>
          <cell r="E959">
            <v>0</v>
          </cell>
          <cell r="F959">
            <v>1</v>
          </cell>
          <cell r="H959">
            <v>1</v>
          </cell>
          <cell r="O959">
            <v>385723</v>
          </cell>
          <cell r="P959" t="str">
            <v>2024/172-0069-01</v>
          </cell>
          <cell r="Q959" t="str">
            <v>EST BANQUETA BAR MOI H76 (PRETO FOSCO) (TC LISO LINHO CRU)</v>
          </cell>
          <cell r="R959"/>
          <cell r="S959"/>
          <cell r="T959">
            <v>0.51</v>
          </cell>
          <cell r="U959">
            <v>0.57999999999999996</v>
          </cell>
          <cell r="V959">
            <v>1.0900000000000001</v>
          </cell>
          <cell r="W959">
            <v>0</v>
          </cell>
          <cell r="X959" t="str">
            <v>EST BANQUETA BAR MOI H76 (PRETO FOSCO) (TC LISO LINHO CRU) - 0,51x0,58x1,09H</v>
          </cell>
          <cell r="Y959">
            <v>9059.3700000000008</v>
          </cell>
          <cell r="Z959">
            <v>0.35</v>
          </cell>
          <cell r="AA959">
            <v>5888.5905000000002</v>
          </cell>
          <cell r="AB959"/>
        </row>
        <row r="960">
          <cell r="C960">
            <v>0</v>
          </cell>
          <cell r="D960">
            <v>1</v>
          </cell>
          <cell r="E960">
            <v>0</v>
          </cell>
          <cell r="F960">
            <v>0</v>
          </cell>
          <cell r="H960">
            <v>0</v>
          </cell>
          <cell r="O960">
            <v>370998</v>
          </cell>
          <cell r="P960" t="str">
            <v>2023/174-0002-01</v>
          </cell>
          <cell r="Q960" t="str">
            <v>EST BANQUETA BAR CAVALETTA H65 (JEQUITIBA IMBUIA CLARO)</v>
          </cell>
          <cell r="R960"/>
          <cell r="S960"/>
          <cell r="T960">
            <v>0.43</v>
          </cell>
          <cell r="U960">
            <v>0.46</v>
          </cell>
          <cell r="V960">
            <v>0.65</v>
          </cell>
          <cell r="W960">
            <v>0</v>
          </cell>
          <cell r="X960" t="str">
            <v>EST BANQUETA BAR CAVALETTA H65 (JEQUITIBA IMBUIA CLARO) - 0,43x0,46x0,65H</v>
          </cell>
          <cell r="Y960">
            <v>6456.31</v>
          </cell>
          <cell r="Z960">
            <v>0.35</v>
          </cell>
          <cell r="AA960">
            <v>4196.6015000000007</v>
          </cell>
          <cell r="AB960"/>
        </row>
        <row r="961">
          <cell r="C961">
            <v>0</v>
          </cell>
          <cell r="D961">
            <v>3</v>
          </cell>
          <cell r="E961">
            <v>0</v>
          </cell>
          <cell r="F961">
            <v>0</v>
          </cell>
          <cell r="H961">
            <v>0</v>
          </cell>
          <cell r="O961">
            <v>187165</v>
          </cell>
          <cell r="P961" t="str">
            <v>2016/0890-038-01</v>
          </cell>
          <cell r="Q961" t="str">
            <v>EST BANQUETA BAR ZIG (MISTA G CANYON/TELA SXT NT) MEL CLARO</v>
          </cell>
          <cell r="R961"/>
          <cell r="S961"/>
          <cell r="T961">
            <v>0.5</v>
          </cell>
          <cell r="U961">
            <v>0.51</v>
          </cell>
          <cell r="V961">
            <v>1.05</v>
          </cell>
          <cell r="W961">
            <v>0</v>
          </cell>
          <cell r="X961" t="str">
            <v>EST BANQUETA BAR ZIG (MISTA G CANYON/TELA SXT NT) MEL CLARO - 0,5x0,51x1,05H</v>
          </cell>
          <cell r="Y961">
            <v>5987.03</v>
          </cell>
          <cell r="Z961">
            <v>0.5</v>
          </cell>
          <cell r="AA961">
            <v>2993.5149999999999</v>
          </cell>
          <cell r="AB961"/>
        </row>
        <row r="962">
          <cell r="C962">
            <v>0</v>
          </cell>
          <cell r="D962">
            <v>3</v>
          </cell>
          <cell r="E962">
            <v>0</v>
          </cell>
          <cell r="F962">
            <v>0</v>
          </cell>
          <cell r="H962">
            <v>0</v>
          </cell>
          <cell r="O962">
            <v>187165</v>
          </cell>
          <cell r="P962" t="str">
            <v>2016/0890-040-01</v>
          </cell>
          <cell r="Q962" t="str">
            <v>EST BANQUETA BAR ZIG (MISTA G CANYON/TELA SXT NT) MEL CLARO</v>
          </cell>
          <cell r="R962"/>
          <cell r="S962"/>
          <cell r="T962">
            <v>0.5</v>
          </cell>
          <cell r="U962">
            <v>0.51</v>
          </cell>
          <cell r="V962">
            <v>1.05</v>
          </cell>
          <cell r="W962">
            <v>0</v>
          </cell>
          <cell r="X962" t="str">
            <v>EST BANQUETA BAR ZIG (MISTA G CANYON/TELA SXT NT) MEL CLARO - 0,5x0,51x1,05H</v>
          </cell>
          <cell r="Y962">
            <v>5987.03</v>
          </cell>
          <cell r="Z962">
            <v>0.5</v>
          </cell>
          <cell r="AA962">
            <v>2993.5149999999999</v>
          </cell>
          <cell r="AB962"/>
        </row>
        <row r="963">
          <cell r="C963">
            <v>0</v>
          </cell>
          <cell r="D963">
            <v>3</v>
          </cell>
          <cell r="E963">
            <v>0</v>
          </cell>
          <cell r="F963">
            <v>0</v>
          </cell>
          <cell r="H963">
            <v>0</v>
          </cell>
          <cell r="O963">
            <v>187165</v>
          </cell>
          <cell r="P963" t="str">
            <v>2016/0890-039-01</v>
          </cell>
          <cell r="Q963" t="str">
            <v>EST BANQUETA BAR ZIG (MISTA G CANYON/TELA SXT NT) MEL CLARO</v>
          </cell>
          <cell r="R963"/>
          <cell r="S963"/>
          <cell r="T963">
            <v>0.5</v>
          </cell>
          <cell r="U963">
            <v>0.51</v>
          </cell>
          <cell r="V963">
            <v>1.05</v>
          </cell>
          <cell r="W963">
            <v>0</v>
          </cell>
          <cell r="X963" t="str">
            <v>EST BANQUETA BAR ZIG (MISTA G CANYON/TELA SXT NT) MEL CLARO - 0,5x0,51x1,05H</v>
          </cell>
          <cell r="Y963">
            <v>5987.03</v>
          </cell>
          <cell r="Z963">
            <v>0.5</v>
          </cell>
          <cell r="AA963">
            <v>2993.5149999999999</v>
          </cell>
          <cell r="AB963"/>
        </row>
        <row r="964">
          <cell r="C964">
            <v>2</v>
          </cell>
          <cell r="D964">
            <v>0</v>
          </cell>
          <cell r="E964">
            <v>0</v>
          </cell>
          <cell r="F964">
            <v>0</v>
          </cell>
          <cell r="H964">
            <v>0</v>
          </cell>
          <cell r="O964">
            <v>386293</v>
          </cell>
          <cell r="P964" t="str">
            <v>2024/103-0045-01</v>
          </cell>
          <cell r="Q964" t="str">
            <v>EST POLTRONA ARCO (JEQ CAST CLARO) (FENDI) COURO TOSC PRETO</v>
          </cell>
          <cell r="R964"/>
          <cell r="S964"/>
          <cell r="T964">
            <v>0.75</v>
          </cell>
          <cell r="U964">
            <v>0.91</v>
          </cell>
          <cell r="V964">
            <v>0.7</v>
          </cell>
          <cell r="W964">
            <v>0</v>
          </cell>
          <cell r="X964" t="str">
            <v>EST POLTRONA ARCO (JEQ CAST CLARO) (FENDI) COURO TOSC PRETO - 0,75x0,91x0,7H</v>
          </cell>
          <cell r="Y964">
            <v>15745.27</v>
          </cell>
          <cell r="Z964">
            <v>0.35</v>
          </cell>
          <cell r="AA964">
            <v>10234.425500000001</v>
          </cell>
          <cell r="AB964"/>
        </row>
        <row r="965">
          <cell r="C965">
            <v>2</v>
          </cell>
          <cell r="D965">
            <v>0</v>
          </cell>
          <cell r="E965">
            <v>0</v>
          </cell>
          <cell r="F965">
            <v>0</v>
          </cell>
          <cell r="H965">
            <v>0</v>
          </cell>
          <cell r="O965">
            <v>386293</v>
          </cell>
          <cell r="P965" t="str">
            <v>2024/103-0046-01</v>
          </cell>
          <cell r="Q965" t="str">
            <v>EST POLTRONA ARCO (JEQ CAST CLARO) (FENDI) COURO TOSC PRETO</v>
          </cell>
          <cell r="R965"/>
          <cell r="S965"/>
          <cell r="T965">
            <v>0.75</v>
          </cell>
          <cell r="U965">
            <v>0.91</v>
          </cell>
          <cell r="V965">
            <v>0.7</v>
          </cell>
          <cell r="W965">
            <v>0</v>
          </cell>
          <cell r="X965" t="str">
            <v>EST POLTRONA ARCO (JEQ CAST CLARO) (FENDI) COURO TOSC PRETO - 0,75x0,91x0,7H</v>
          </cell>
          <cell r="Y965">
            <v>15745.27</v>
          </cell>
          <cell r="Z965">
            <v>0.35</v>
          </cell>
          <cell r="AA965">
            <v>10234.425500000001</v>
          </cell>
          <cell r="AB965"/>
        </row>
        <row r="966">
          <cell r="C966">
            <v>1</v>
          </cell>
          <cell r="D966">
            <v>0</v>
          </cell>
          <cell r="E966">
            <v>0</v>
          </cell>
          <cell r="F966">
            <v>0</v>
          </cell>
          <cell r="H966">
            <v>0</v>
          </cell>
          <cell r="O966">
            <v>130909</v>
          </cell>
          <cell r="P966" t="str">
            <v>2013/177-0030-01</v>
          </cell>
          <cell r="Q966" t="str">
            <v>EST MESA LATERAL DUX (LACA BRILHO PRETA)</v>
          </cell>
          <cell r="R966"/>
          <cell r="S966"/>
          <cell r="T966">
            <v>0.6</v>
          </cell>
          <cell r="U966">
            <v>0</v>
          </cell>
          <cell r="V966">
            <v>0.6</v>
          </cell>
          <cell r="W966">
            <v>0.6</v>
          </cell>
          <cell r="X966" t="str">
            <v>EST MESA LATERAL DUX (LACA BRILHO PRETA) - Ø0,6x0,6H</v>
          </cell>
          <cell r="Y966">
            <v>8551.69</v>
          </cell>
          <cell r="Z966">
            <v>0.5</v>
          </cell>
          <cell r="AA966">
            <v>4275.8450000000003</v>
          </cell>
          <cell r="AB966"/>
        </row>
        <row r="967">
          <cell r="C967">
            <v>1</v>
          </cell>
          <cell r="D967">
            <v>0</v>
          </cell>
          <cell r="E967">
            <v>0</v>
          </cell>
          <cell r="F967">
            <v>0</v>
          </cell>
          <cell r="H967">
            <v>0</v>
          </cell>
          <cell r="O967">
            <v>221140</v>
          </cell>
          <cell r="P967" t="str">
            <v>2018/082-0039-01</v>
          </cell>
          <cell r="Q967" t="str">
            <v>EST CADEIRA MIA S/BRACO (MAD 01) (COURO PIG 515 AZUL CLARO)</v>
          </cell>
          <cell r="R967"/>
          <cell r="S967"/>
          <cell r="T967">
            <v>0.51</v>
          </cell>
          <cell r="U967">
            <v>0.55000000000000004</v>
          </cell>
          <cell r="V967">
            <v>0.83</v>
          </cell>
          <cell r="W967">
            <v>0</v>
          </cell>
          <cell r="X967" t="str">
            <v>EST CADEIRA MIA S/BRACO (MAD 01) (COURO PIG 515 AZUL CLARO) - 0,51x0,55x0,83H</v>
          </cell>
          <cell r="Y967">
            <v>7931.88</v>
          </cell>
          <cell r="Z967">
            <v>0.35</v>
          </cell>
          <cell r="AA967">
            <v>5155.7219999999998</v>
          </cell>
          <cell r="AB967"/>
        </row>
        <row r="968">
          <cell r="C968">
            <v>0</v>
          </cell>
          <cell r="D968">
            <v>1</v>
          </cell>
          <cell r="E968">
            <v>0</v>
          </cell>
          <cell r="F968">
            <v>0</v>
          </cell>
          <cell r="H968">
            <v>5</v>
          </cell>
          <cell r="O968">
            <v>379015</v>
          </cell>
          <cell r="P968" t="str">
            <v>2024/211-0031-01</v>
          </cell>
          <cell r="Q968" t="str">
            <v>EST CADEIRA VIA (COURO TP3 PROMO LA PAZ PRETO FSC) PRETO</v>
          </cell>
          <cell r="R968"/>
          <cell r="S968"/>
          <cell r="T968">
            <v>0.6</v>
          </cell>
          <cell r="U968">
            <v>0.53</v>
          </cell>
          <cell r="V968">
            <v>0.78</v>
          </cell>
          <cell r="W968">
            <v>0</v>
          </cell>
          <cell r="X968" t="str">
            <v>EST CADEIRA VIA (COURO TP3 PROMO LA PAZ PRETO FSC) PRETO - 0,6x0,53x0,78H</v>
          </cell>
          <cell r="Y968">
            <v>11913.13</v>
          </cell>
          <cell r="Z968">
            <v>0.35</v>
          </cell>
          <cell r="AA968">
            <v>7743.5344999999998</v>
          </cell>
          <cell r="AB968"/>
        </row>
        <row r="969">
          <cell r="C969">
            <v>0</v>
          </cell>
          <cell r="D969">
            <v>1</v>
          </cell>
          <cell r="E969">
            <v>0</v>
          </cell>
          <cell r="F969">
            <v>0</v>
          </cell>
          <cell r="H969">
            <v>5</v>
          </cell>
          <cell r="O969">
            <v>379015</v>
          </cell>
          <cell r="P969" t="str">
            <v>2024/211-0035-01</v>
          </cell>
          <cell r="Q969" t="str">
            <v>EST CADEIRA VIA (COURO TP3 PROMO LA PAZ PRETO FSC) PRETO</v>
          </cell>
          <cell r="R969"/>
          <cell r="S969"/>
          <cell r="T969">
            <v>0.6</v>
          </cell>
          <cell r="U969">
            <v>0.53</v>
          </cell>
          <cell r="V969">
            <v>0.78</v>
          </cell>
          <cell r="W969">
            <v>0</v>
          </cell>
          <cell r="X969" t="str">
            <v>EST CADEIRA VIA (COURO TP3 PROMO LA PAZ PRETO FSC) PRETO - 0,6x0,53x0,78H</v>
          </cell>
          <cell r="Y969">
            <v>11913.13</v>
          </cell>
          <cell r="Z969">
            <v>0.35</v>
          </cell>
          <cell r="AA969">
            <v>7743.5344999999998</v>
          </cell>
          <cell r="AB969"/>
        </row>
        <row r="970">
          <cell r="C970">
            <v>2</v>
          </cell>
          <cell r="D970">
            <v>0</v>
          </cell>
          <cell r="E970">
            <v>0</v>
          </cell>
          <cell r="F970">
            <v>0</v>
          </cell>
          <cell r="H970">
            <v>4</v>
          </cell>
          <cell r="O970">
            <v>379017</v>
          </cell>
          <cell r="P970" t="str">
            <v>2024/201-0002-01</v>
          </cell>
          <cell r="Q970" t="str">
            <v>EST CADEIRA VIA (COURO TP2 PROMO GRANO SANDSTORM) CHAMPAGNE</v>
          </cell>
          <cell r="R970"/>
          <cell r="S970"/>
          <cell r="T970">
            <v>0.6</v>
          </cell>
          <cell r="U970">
            <v>0.53</v>
          </cell>
          <cell r="V970">
            <v>0.78</v>
          </cell>
          <cell r="W970">
            <v>0</v>
          </cell>
          <cell r="X970" t="str">
            <v>EST CADEIRA VIA (COURO TP2 PROMO GRANO SANDSTORM) CHAMPAGNE - 0,6x0,53x0,78H</v>
          </cell>
          <cell r="Y970">
            <v>11701.89</v>
          </cell>
          <cell r="Z970">
            <v>0.35</v>
          </cell>
          <cell r="AA970">
            <v>7606.2284999999993</v>
          </cell>
          <cell r="AB970"/>
        </row>
        <row r="971">
          <cell r="C971">
            <v>2</v>
          </cell>
          <cell r="D971">
            <v>0</v>
          </cell>
          <cell r="E971">
            <v>0</v>
          </cell>
          <cell r="F971">
            <v>0</v>
          </cell>
          <cell r="H971">
            <v>4</v>
          </cell>
          <cell r="O971">
            <v>379017</v>
          </cell>
          <cell r="P971" t="str">
            <v>2024/201-0003-01</v>
          </cell>
          <cell r="Q971" t="str">
            <v>EST CADEIRA VIA (COURO TP2 PROMO GRANO SANDSTORM) CHAMPAGNE</v>
          </cell>
          <cell r="R971"/>
          <cell r="S971"/>
          <cell r="T971">
            <v>0.6</v>
          </cell>
          <cell r="U971">
            <v>0.53</v>
          </cell>
          <cell r="V971">
            <v>0.78</v>
          </cell>
          <cell r="W971">
            <v>0</v>
          </cell>
          <cell r="X971" t="str">
            <v>EST CADEIRA VIA (COURO TP2 PROMO GRANO SANDSTORM) CHAMPAGNE - 0,6x0,53x0,78H</v>
          </cell>
          <cell r="Y971">
            <v>11701.89</v>
          </cell>
          <cell r="Z971">
            <v>0.35</v>
          </cell>
          <cell r="AA971">
            <v>7606.2284999999993</v>
          </cell>
          <cell r="AB971"/>
        </row>
        <row r="972">
          <cell r="C972">
            <v>0</v>
          </cell>
          <cell r="D972">
            <v>1</v>
          </cell>
          <cell r="E972">
            <v>0</v>
          </cell>
          <cell r="F972">
            <v>0</v>
          </cell>
          <cell r="H972">
            <v>0</v>
          </cell>
          <cell r="O972">
            <v>379349</v>
          </cell>
          <cell r="P972" t="str">
            <v>2024/205-0002-01</v>
          </cell>
          <cell r="Q972" t="str">
            <v>EST BUFFET MUMBAI (PE PINT) CARVALHO/TP CRISTAL</v>
          </cell>
          <cell r="R972"/>
          <cell r="S972"/>
          <cell r="T972">
            <v>1.6</v>
          </cell>
          <cell r="U972">
            <v>0.5</v>
          </cell>
          <cell r="V972">
            <v>0.8</v>
          </cell>
          <cell r="W972">
            <v>0</v>
          </cell>
          <cell r="X972" t="str">
            <v>EST BUFFET MUMBAI (PE PINT) CARVALHO/TP CRISTAL - 1,6x0,5x0,8H</v>
          </cell>
          <cell r="Y972">
            <v>33993.56</v>
          </cell>
          <cell r="Z972">
            <v>0.35</v>
          </cell>
          <cell r="AA972">
            <v>22095.813999999998</v>
          </cell>
          <cell r="AB972"/>
        </row>
        <row r="973">
          <cell r="C973">
            <v>0</v>
          </cell>
          <cell r="D973">
            <v>0</v>
          </cell>
          <cell r="E973">
            <v>1</v>
          </cell>
          <cell r="F973">
            <v>0</v>
          </cell>
          <cell r="H973">
            <v>0</v>
          </cell>
          <cell r="O973">
            <v>260961</v>
          </cell>
          <cell r="P973" t="str">
            <v>2020/192-0035-01</v>
          </cell>
          <cell r="Q973" t="str">
            <v>EST CARRINHO BAR MIES (IMBUIA) (INOX PRETO)</v>
          </cell>
          <cell r="R973"/>
          <cell r="S973"/>
          <cell r="T973">
            <v>1</v>
          </cell>
          <cell r="U973">
            <v>0.47</v>
          </cell>
          <cell r="V973">
            <v>0.76</v>
          </cell>
          <cell r="W973">
            <v>0</v>
          </cell>
          <cell r="X973" t="str">
            <v>EST CARRINHO BAR MIES (IMBUIA) (INOX PRETO) - 1x0,47x0,76H</v>
          </cell>
          <cell r="Y973">
            <v>43480.01</v>
          </cell>
          <cell r="Z973">
            <v>0.35</v>
          </cell>
          <cell r="AA973">
            <v>28262.006500000003</v>
          </cell>
          <cell r="AB973"/>
        </row>
        <row r="974">
          <cell r="C974">
            <v>0</v>
          </cell>
          <cell r="D974">
            <v>5</v>
          </cell>
          <cell r="E974">
            <v>4</v>
          </cell>
          <cell r="F974">
            <v>6</v>
          </cell>
          <cell r="H974">
            <v>1</v>
          </cell>
          <cell r="O974">
            <v>262565</v>
          </cell>
          <cell r="P974" t="str">
            <v>2024/184-0088-01</v>
          </cell>
          <cell r="Q974" t="str">
            <v>EST CADEIRA MEDALHINHA (FREIJO) (TELA RATTAN ABERT ENV)</v>
          </cell>
          <cell r="R974"/>
          <cell r="S974"/>
          <cell r="T974">
            <v>0.47</v>
          </cell>
          <cell r="U974">
            <v>0.61</v>
          </cell>
          <cell r="V974">
            <v>0.82</v>
          </cell>
          <cell r="W974">
            <v>0</v>
          </cell>
          <cell r="X974" t="str">
            <v>EST CADEIRA MEDALHINHA (FREIJO) (TELA RATTAN ABERT ENV) - 0,47x0,61x0,82H</v>
          </cell>
          <cell r="Y974">
            <v>9160.44</v>
          </cell>
          <cell r="Z974">
            <v>0.35</v>
          </cell>
          <cell r="AA974">
            <v>5954.2860000000001</v>
          </cell>
          <cell r="AB974"/>
        </row>
        <row r="975">
          <cell r="C975">
            <v>0</v>
          </cell>
          <cell r="D975">
            <v>5</v>
          </cell>
          <cell r="E975">
            <v>4</v>
          </cell>
          <cell r="F975">
            <v>6</v>
          </cell>
          <cell r="H975">
            <v>1</v>
          </cell>
          <cell r="O975">
            <v>262565</v>
          </cell>
          <cell r="P975" t="str">
            <v>2024/184-0089-01</v>
          </cell>
          <cell r="Q975" t="str">
            <v>EST CADEIRA MEDALHINHA (FREIJO) (TELA RATTAN ABERT ENV)</v>
          </cell>
          <cell r="R975"/>
          <cell r="S975"/>
          <cell r="T975">
            <v>0.47</v>
          </cell>
          <cell r="U975">
            <v>0.61</v>
          </cell>
          <cell r="V975">
            <v>0.82</v>
          </cell>
          <cell r="W975">
            <v>0</v>
          </cell>
          <cell r="X975" t="str">
            <v>EST CADEIRA MEDALHINHA (FREIJO) (TELA RATTAN ABERT ENV) - 0,47x0,61x0,82H</v>
          </cell>
          <cell r="Y975">
            <v>9160.44</v>
          </cell>
          <cell r="Z975">
            <v>0.35</v>
          </cell>
          <cell r="AA975">
            <v>5954.2860000000001</v>
          </cell>
          <cell r="AB975"/>
        </row>
        <row r="976">
          <cell r="C976">
            <v>0</v>
          </cell>
          <cell r="D976">
            <v>5</v>
          </cell>
          <cell r="E976">
            <v>4</v>
          </cell>
          <cell r="F976">
            <v>6</v>
          </cell>
          <cell r="H976">
            <v>1</v>
          </cell>
          <cell r="O976">
            <v>262565</v>
          </cell>
          <cell r="P976" t="str">
            <v>2024/184-0090-01</v>
          </cell>
          <cell r="Q976" t="str">
            <v>EST CADEIRA MEDALHINHA (FREIJO) (TELA RATTAN ABERT ENV)</v>
          </cell>
          <cell r="R976"/>
          <cell r="S976"/>
          <cell r="T976">
            <v>0.47</v>
          </cell>
          <cell r="U976">
            <v>0.61</v>
          </cell>
          <cell r="V976">
            <v>0.82</v>
          </cell>
          <cell r="W976">
            <v>0</v>
          </cell>
          <cell r="X976" t="str">
            <v>EST CADEIRA MEDALHINHA (FREIJO) (TELA RATTAN ABERT ENV) - 0,47x0,61x0,82H</v>
          </cell>
          <cell r="Y976">
            <v>9160.44</v>
          </cell>
          <cell r="Z976">
            <v>0.35</v>
          </cell>
          <cell r="AA976">
            <v>5954.2860000000001</v>
          </cell>
          <cell r="AB976"/>
        </row>
        <row r="977">
          <cell r="C977">
            <v>0</v>
          </cell>
          <cell r="D977">
            <v>5</v>
          </cell>
          <cell r="E977">
            <v>4</v>
          </cell>
          <cell r="F977">
            <v>6</v>
          </cell>
          <cell r="H977">
            <v>1</v>
          </cell>
          <cell r="O977">
            <v>262565</v>
          </cell>
          <cell r="P977" t="str">
            <v>2024/184-0091-01</v>
          </cell>
          <cell r="Q977" t="str">
            <v>EST CADEIRA MEDALHINHA (FREIJO) (TELA RATTAN ABERT ENV)</v>
          </cell>
          <cell r="R977"/>
          <cell r="S977"/>
          <cell r="T977">
            <v>0.47</v>
          </cell>
          <cell r="U977">
            <v>0.61</v>
          </cell>
          <cell r="V977">
            <v>0.82</v>
          </cell>
          <cell r="W977">
            <v>0</v>
          </cell>
          <cell r="X977" t="str">
            <v>EST CADEIRA MEDALHINHA (FREIJO) (TELA RATTAN ABERT ENV) - 0,47x0,61x0,82H</v>
          </cell>
          <cell r="Y977">
            <v>9160.44</v>
          </cell>
          <cell r="Z977">
            <v>0.35</v>
          </cell>
          <cell r="AA977">
            <v>5954.2860000000001</v>
          </cell>
          <cell r="AB977"/>
        </row>
        <row r="978">
          <cell r="C978">
            <v>0</v>
          </cell>
          <cell r="D978">
            <v>5</v>
          </cell>
          <cell r="E978">
            <v>4</v>
          </cell>
          <cell r="F978">
            <v>6</v>
          </cell>
          <cell r="H978">
            <v>1</v>
          </cell>
          <cell r="O978">
            <v>262565</v>
          </cell>
          <cell r="P978" t="str">
            <v>2024/184-0092-01</v>
          </cell>
          <cell r="Q978" t="str">
            <v>EST CADEIRA MEDALHINHA (FREIJO) (TELA RATTAN ABERT ENV)</v>
          </cell>
          <cell r="R978"/>
          <cell r="S978"/>
          <cell r="T978">
            <v>0.47</v>
          </cell>
          <cell r="U978">
            <v>0.61</v>
          </cell>
          <cell r="V978">
            <v>0.82</v>
          </cell>
          <cell r="W978">
            <v>0</v>
          </cell>
          <cell r="X978" t="str">
            <v>EST CADEIRA MEDALHINHA (FREIJO) (TELA RATTAN ABERT ENV) - 0,47x0,61x0,82H</v>
          </cell>
          <cell r="Y978">
            <v>9160.44</v>
          </cell>
          <cell r="Z978">
            <v>0.35</v>
          </cell>
          <cell r="AA978">
            <v>5954.2860000000001</v>
          </cell>
          <cell r="AB978"/>
        </row>
        <row r="979">
          <cell r="C979">
            <v>0</v>
          </cell>
          <cell r="D979">
            <v>5</v>
          </cell>
          <cell r="E979">
            <v>4</v>
          </cell>
          <cell r="F979">
            <v>6</v>
          </cell>
          <cell r="H979">
            <v>1</v>
          </cell>
          <cell r="O979">
            <v>262565</v>
          </cell>
          <cell r="P979" t="str">
            <v>2024/184-0093-01</v>
          </cell>
          <cell r="Q979" t="str">
            <v>EST CADEIRA MEDALHINHA (FREIJO) (TELA RATTAN ABERT ENV)</v>
          </cell>
          <cell r="R979"/>
          <cell r="S979"/>
          <cell r="T979">
            <v>0.47</v>
          </cell>
          <cell r="U979">
            <v>0.61</v>
          </cell>
          <cell r="V979">
            <v>0.82</v>
          </cell>
          <cell r="W979">
            <v>0</v>
          </cell>
          <cell r="X979" t="str">
            <v>EST CADEIRA MEDALHINHA (FREIJO) (TELA RATTAN ABERT ENV) - 0,47x0,61x0,82H</v>
          </cell>
          <cell r="Y979">
            <v>9160.44</v>
          </cell>
          <cell r="Z979">
            <v>0.35</v>
          </cell>
          <cell r="AA979">
            <v>5954.2860000000001</v>
          </cell>
          <cell r="AB979"/>
        </row>
        <row r="980">
          <cell r="C980">
            <v>0</v>
          </cell>
          <cell r="D980">
            <v>0</v>
          </cell>
          <cell r="E980">
            <v>1</v>
          </cell>
          <cell r="F980">
            <v>0</v>
          </cell>
          <cell r="H980">
            <v>1</v>
          </cell>
          <cell r="O980">
            <v>270428</v>
          </cell>
          <cell r="P980" t="str">
            <v>2021/053-0013-01</v>
          </cell>
          <cell r="Q980" t="str">
            <v>EST CADEIRA FINA C/B (FREIJO) (TELA RATTAN AB NT)</v>
          </cell>
          <cell r="R980"/>
          <cell r="S980"/>
          <cell r="T980">
            <v>0.55000000000000004</v>
          </cell>
          <cell r="U980">
            <v>0.57999999999999996</v>
          </cell>
          <cell r="V980">
            <v>0.85</v>
          </cell>
          <cell r="W980">
            <v>0</v>
          </cell>
          <cell r="X980" t="str">
            <v>EST CADEIRA FINA C/B (FREIJO) (TELA RATTAN AB NT) - 0,55x0,58x0,85H</v>
          </cell>
          <cell r="Y980">
            <v>9924.99</v>
          </cell>
          <cell r="Z980">
            <v>0.35</v>
          </cell>
          <cell r="AA980">
            <v>6451.2435000000005</v>
          </cell>
          <cell r="AB980"/>
        </row>
        <row r="981">
          <cell r="C981">
            <v>1</v>
          </cell>
          <cell r="D981">
            <v>1</v>
          </cell>
          <cell r="E981">
            <v>1</v>
          </cell>
          <cell r="F981">
            <v>1</v>
          </cell>
          <cell r="H981">
            <v>0</v>
          </cell>
          <cell r="O981">
            <v>270431</v>
          </cell>
          <cell r="P981" t="str">
            <v>2020/353-0122-01</v>
          </cell>
          <cell r="Q981" t="str">
            <v>EST BANQUETA BAR MEDALHINHA H65 (FREIJO) (RATTAN ABERTA NT)</v>
          </cell>
          <cell r="R981"/>
          <cell r="S981"/>
          <cell r="T981">
            <v>0.47</v>
          </cell>
          <cell r="U981">
            <v>0.61</v>
          </cell>
          <cell r="V981">
            <v>1.04</v>
          </cell>
          <cell r="W981">
            <v>0</v>
          </cell>
          <cell r="X981" t="str">
            <v>EST BANQUETA BAR MEDALHINHA H65 (FREIJO) (RATTAN ABERTA NT) - 0,47x0,61x1,04H</v>
          </cell>
          <cell r="Y981">
            <v>10076.950000000001</v>
          </cell>
          <cell r="Z981">
            <v>0.35</v>
          </cell>
          <cell r="AA981">
            <v>6550.0175000000008</v>
          </cell>
          <cell r="AB981"/>
        </row>
        <row r="982">
          <cell r="C982">
            <v>0</v>
          </cell>
          <cell r="D982">
            <v>0</v>
          </cell>
          <cell r="E982">
            <v>1</v>
          </cell>
          <cell r="F982">
            <v>0</v>
          </cell>
          <cell r="H982">
            <v>0</v>
          </cell>
          <cell r="O982">
            <v>371711</v>
          </cell>
          <cell r="P982" t="str">
            <v>2023/282-0036-01</v>
          </cell>
          <cell r="Q982" t="str">
            <v>EST MESA JANTAR NINA (TAUARI NOGUEIRA)</v>
          </cell>
          <cell r="R982"/>
          <cell r="S982"/>
          <cell r="T982">
            <v>1.8</v>
          </cell>
          <cell r="U982">
            <v>0</v>
          </cell>
          <cell r="V982">
            <v>0.75</v>
          </cell>
          <cell r="W982">
            <v>1.8</v>
          </cell>
          <cell r="X982" t="str">
            <v>EST MESA JANTAR NINA (TAUARI NOGUEIRA) - Ø1,8x0,75H</v>
          </cell>
          <cell r="Y982">
            <v>55693.93</v>
          </cell>
          <cell r="Z982">
            <v>0.35</v>
          </cell>
          <cell r="AA982">
            <v>36201.054499999998</v>
          </cell>
          <cell r="AB982"/>
        </row>
        <row r="983">
          <cell r="C983">
            <v>0</v>
          </cell>
          <cell r="D983">
            <v>5</v>
          </cell>
          <cell r="E983">
            <v>4</v>
          </cell>
          <cell r="F983">
            <v>6</v>
          </cell>
          <cell r="H983">
            <v>1</v>
          </cell>
          <cell r="O983">
            <v>262565</v>
          </cell>
          <cell r="P983" t="str">
            <v>2021/348-0016-01</v>
          </cell>
          <cell r="Q983" t="str">
            <v>EST CADEIRA MEDALHINHA (FREIJO) (TELA RATTAN ABERT ENV)</v>
          </cell>
          <cell r="R983"/>
          <cell r="S983"/>
          <cell r="T983">
            <v>0.47</v>
          </cell>
          <cell r="U983">
            <v>0.61</v>
          </cell>
          <cell r="V983">
            <v>0.82</v>
          </cell>
          <cell r="W983">
            <v>0</v>
          </cell>
          <cell r="X983" t="str">
            <v>EST CADEIRA MEDALHINHA (FREIJO) (TELA RATTAN ABERT ENV) - 0,47x0,61x0,82H</v>
          </cell>
          <cell r="Y983">
            <v>9160.44</v>
          </cell>
          <cell r="Z983">
            <v>0.35</v>
          </cell>
          <cell r="AA983">
            <v>5954.2860000000001</v>
          </cell>
          <cell r="AB983"/>
        </row>
        <row r="984">
          <cell r="C984">
            <v>0</v>
          </cell>
          <cell r="D984">
            <v>5</v>
          </cell>
          <cell r="E984">
            <v>4</v>
          </cell>
          <cell r="F984">
            <v>6</v>
          </cell>
          <cell r="H984">
            <v>1</v>
          </cell>
          <cell r="O984">
            <v>262565</v>
          </cell>
          <cell r="P984" t="str">
            <v>2021/348-0015-01</v>
          </cell>
          <cell r="Q984" t="str">
            <v>EST CADEIRA MEDALHINHA (FREIJO) (TELA RATTAN ABERT ENV)</v>
          </cell>
          <cell r="R984"/>
          <cell r="S984"/>
          <cell r="T984">
            <v>0.47</v>
          </cell>
          <cell r="U984">
            <v>0.61</v>
          </cell>
          <cell r="V984">
            <v>0.82</v>
          </cell>
          <cell r="W984">
            <v>0</v>
          </cell>
          <cell r="X984" t="str">
            <v>EST CADEIRA MEDALHINHA (FREIJO) (TELA RATTAN ABERT ENV) - 0,47x0,61x0,82H</v>
          </cell>
          <cell r="Y984">
            <v>9160.44</v>
          </cell>
          <cell r="Z984">
            <v>0.35</v>
          </cell>
          <cell r="AA984">
            <v>5954.2860000000001</v>
          </cell>
          <cell r="AB984"/>
        </row>
        <row r="985">
          <cell r="C985">
            <v>0</v>
          </cell>
          <cell r="D985">
            <v>5</v>
          </cell>
          <cell r="E985">
            <v>4</v>
          </cell>
          <cell r="F985">
            <v>6</v>
          </cell>
          <cell r="H985">
            <v>1</v>
          </cell>
          <cell r="O985">
            <v>262565</v>
          </cell>
          <cell r="P985" t="str">
            <v>2021/348-0038-01</v>
          </cell>
          <cell r="Q985" t="str">
            <v>EST CADEIRA MEDALHINHA (FREIJO) (TELA RATTAN ABERT ENV)</v>
          </cell>
          <cell r="R985"/>
          <cell r="S985"/>
          <cell r="T985">
            <v>0.47</v>
          </cell>
          <cell r="U985">
            <v>0.61</v>
          </cell>
          <cell r="V985">
            <v>0.82</v>
          </cell>
          <cell r="W985">
            <v>0</v>
          </cell>
          <cell r="X985" t="str">
            <v>EST CADEIRA MEDALHINHA (FREIJO) (TELA RATTAN ABERT ENV) - 0,47x0,61x0,82H</v>
          </cell>
          <cell r="Y985">
            <v>9160.44</v>
          </cell>
          <cell r="Z985">
            <v>0.35</v>
          </cell>
          <cell r="AA985">
            <v>5954.2860000000001</v>
          </cell>
          <cell r="AB985"/>
        </row>
        <row r="986">
          <cell r="C986">
            <v>0</v>
          </cell>
          <cell r="D986">
            <v>5</v>
          </cell>
          <cell r="E986">
            <v>4</v>
          </cell>
          <cell r="F986">
            <v>6</v>
          </cell>
          <cell r="H986">
            <v>1</v>
          </cell>
          <cell r="O986">
            <v>262565</v>
          </cell>
          <cell r="P986" t="str">
            <v>2021/348-0019-01</v>
          </cell>
          <cell r="Q986" t="str">
            <v>EST CADEIRA MEDALHINHA (FREIJO) (TELA RATTAN ABERT ENV)</v>
          </cell>
          <cell r="R986"/>
          <cell r="S986"/>
          <cell r="T986">
            <v>0.47</v>
          </cell>
          <cell r="U986">
            <v>0.61</v>
          </cell>
          <cell r="V986">
            <v>0.82</v>
          </cell>
          <cell r="W986">
            <v>0</v>
          </cell>
          <cell r="X986" t="str">
            <v>EST CADEIRA MEDALHINHA (FREIJO) (TELA RATTAN ABERT ENV) - 0,47x0,61x0,82H</v>
          </cell>
          <cell r="Y986">
            <v>9160.44</v>
          </cell>
          <cell r="Z986">
            <v>0.35</v>
          </cell>
          <cell r="AA986">
            <v>5954.2860000000001</v>
          </cell>
          <cell r="AB986"/>
        </row>
        <row r="987">
          <cell r="C987">
            <v>0</v>
          </cell>
          <cell r="D987">
            <v>5</v>
          </cell>
          <cell r="E987">
            <v>4</v>
          </cell>
          <cell r="F987">
            <v>6</v>
          </cell>
          <cell r="H987">
            <v>1</v>
          </cell>
          <cell r="O987">
            <v>262565</v>
          </cell>
          <cell r="P987" t="str">
            <v>2021/348-0069-01</v>
          </cell>
          <cell r="Q987" t="str">
            <v>EST CADEIRA MEDALHINHA (FREIJO) (TELA RATTAN ABERT ENV)</v>
          </cell>
          <cell r="R987"/>
          <cell r="S987"/>
          <cell r="T987">
            <v>0.47</v>
          </cell>
          <cell r="U987">
            <v>0.61</v>
          </cell>
          <cell r="V987">
            <v>0.82</v>
          </cell>
          <cell r="W987">
            <v>0</v>
          </cell>
          <cell r="X987" t="str">
            <v>EST CADEIRA MEDALHINHA (FREIJO) (TELA RATTAN ABERT ENV) - 0,47x0,61x0,82H</v>
          </cell>
          <cell r="Y987">
            <v>9160.44</v>
          </cell>
          <cell r="Z987">
            <v>0.35</v>
          </cell>
          <cell r="AA987">
            <v>5954.2860000000001</v>
          </cell>
          <cell r="AB987"/>
        </row>
        <row r="988">
          <cell r="C988">
            <v>0</v>
          </cell>
          <cell r="D988">
            <v>5</v>
          </cell>
          <cell r="E988">
            <v>4</v>
          </cell>
          <cell r="F988">
            <v>6</v>
          </cell>
          <cell r="H988">
            <v>1</v>
          </cell>
          <cell r="O988">
            <v>262565</v>
          </cell>
          <cell r="P988" t="str">
            <v>2021/348-0018-01</v>
          </cell>
          <cell r="Q988" t="str">
            <v>EST CADEIRA MEDALHINHA (FREIJO) (TELA RATTAN ABERT ENV)</v>
          </cell>
          <cell r="R988"/>
          <cell r="S988"/>
          <cell r="T988">
            <v>0.47</v>
          </cell>
          <cell r="U988">
            <v>0.61</v>
          </cell>
          <cell r="V988">
            <v>0.82</v>
          </cell>
          <cell r="W988">
            <v>0</v>
          </cell>
          <cell r="X988" t="str">
            <v>EST CADEIRA MEDALHINHA (FREIJO) (TELA RATTAN ABERT ENV) - 0,47x0,61x0,82H</v>
          </cell>
          <cell r="Y988">
            <v>9160.44</v>
          </cell>
          <cell r="Z988">
            <v>0.35</v>
          </cell>
          <cell r="AA988">
            <v>5954.2860000000001</v>
          </cell>
          <cell r="AB988"/>
        </row>
        <row r="989">
          <cell r="C989">
            <v>1</v>
          </cell>
          <cell r="D989">
            <v>1</v>
          </cell>
          <cell r="E989">
            <v>1</v>
          </cell>
          <cell r="F989">
            <v>1</v>
          </cell>
          <cell r="H989">
            <v>0</v>
          </cell>
          <cell r="O989">
            <v>270431</v>
          </cell>
          <cell r="P989" t="str">
            <v>2021/015-0086-01</v>
          </cell>
          <cell r="Q989" t="str">
            <v>EST BANQUETA BAR MEDALHINHA H65 (FREIJO) (RATTAN ABERTA NT)</v>
          </cell>
          <cell r="R989"/>
          <cell r="S989"/>
          <cell r="T989">
            <v>0.47</v>
          </cell>
          <cell r="U989">
            <v>0.61</v>
          </cell>
          <cell r="V989">
            <v>1.04</v>
          </cell>
          <cell r="W989">
            <v>0</v>
          </cell>
          <cell r="X989" t="str">
            <v>EST BANQUETA BAR MEDALHINHA H65 (FREIJO) (RATTAN ABERTA NT) - 0,47x0,61x1,04H</v>
          </cell>
          <cell r="Y989">
            <v>10076.950000000001</v>
          </cell>
          <cell r="Z989">
            <v>0.35</v>
          </cell>
          <cell r="AA989">
            <v>6550.0175000000008</v>
          </cell>
          <cell r="AB989"/>
        </row>
        <row r="990">
          <cell r="C990">
            <v>0</v>
          </cell>
          <cell r="D990">
            <v>0</v>
          </cell>
          <cell r="E990">
            <v>0</v>
          </cell>
          <cell r="F990">
            <v>1</v>
          </cell>
          <cell r="H990">
            <v>0</v>
          </cell>
          <cell r="O990">
            <v>334197</v>
          </cell>
          <cell r="P990" t="str">
            <v>2022/203-0146-01</v>
          </cell>
          <cell r="Q990" t="str">
            <v>EST ESCRIVANINHA DIX (IMBUIA) (LATAO ENV)</v>
          </cell>
          <cell r="R990"/>
          <cell r="S990"/>
          <cell r="T990">
            <v>1.8</v>
          </cell>
          <cell r="U990">
            <v>0.7</v>
          </cell>
          <cell r="V990">
            <v>0.75</v>
          </cell>
          <cell r="W990">
            <v>0</v>
          </cell>
          <cell r="X990" t="str">
            <v>EST ESCRIVANINHA DIX (IMBUIA) (LATAO ENV) - 1,8x0,7x0,75H</v>
          </cell>
          <cell r="Y990">
            <v>36836.44</v>
          </cell>
          <cell r="Z990">
            <v>0.35</v>
          </cell>
          <cell r="AA990">
            <v>23943.686000000002</v>
          </cell>
          <cell r="AB990"/>
        </row>
        <row r="991">
          <cell r="C991">
            <v>0</v>
          </cell>
          <cell r="D991">
            <v>0</v>
          </cell>
          <cell r="E991">
            <v>0</v>
          </cell>
          <cell r="F991">
            <v>6</v>
          </cell>
          <cell r="H991">
            <v>0</v>
          </cell>
          <cell r="O991">
            <v>365946</v>
          </cell>
          <cell r="P991" t="str">
            <v>2023/116-0321-01</v>
          </cell>
          <cell r="Q991" t="str">
            <v>EST CADEIRA LOGAN C/B JANTAR (IMBUIA) (ESTOF) TC GABON250 BG</v>
          </cell>
          <cell r="R991"/>
          <cell r="S991"/>
          <cell r="T991">
            <v>0.62</v>
          </cell>
          <cell r="U991">
            <v>0.6</v>
          </cell>
          <cell r="V991">
            <v>0.84</v>
          </cell>
          <cell r="W991">
            <v>0</v>
          </cell>
          <cell r="X991" t="str">
            <v>EST CADEIRA LOGAN C/B JANTAR (IMBUIA) (ESTOF) TC GABON250 BG - 0,62x0,6x0,84H</v>
          </cell>
          <cell r="Y991">
            <v>14105.5419</v>
          </cell>
          <cell r="Z991">
            <v>0.35</v>
          </cell>
          <cell r="AA991">
            <v>9168.6022350000003</v>
          </cell>
          <cell r="AB991"/>
        </row>
        <row r="992">
          <cell r="C992">
            <v>0</v>
          </cell>
          <cell r="D992">
            <v>0</v>
          </cell>
          <cell r="E992">
            <v>0</v>
          </cell>
          <cell r="F992">
            <v>6</v>
          </cell>
          <cell r="H992">
            <v>0</v>
          </cell>
          <cell r="O992">
            <v>365946</v>
          </cell>
          <cell r="P992" t="str">
            <v>2023/116-0322-01</v>
          </cell>
          <cell r="Q992" t="str">
            <v>EST CADEIRA LOGAN C/B JANTAR (IMBUIA) (ESTOF) TC GABON250 BG</v>
          </cell>
          <cell r="R992"/>
          <cell r="S992"/>
          <cell r="T992">
            <v>0.62</v>
          </cell>
          <cell r="U992">
            <v>0.6</v>
          </cell>
          <cell r="V992">
            <v>0.84</v>
          </cell>
          <cell r="W992">
            <v>0</v>
          </cell>
          <cell r="X992" t="str">
            <v>EST CADEIRA LOGAN C/B JANTAR (IMBUIA) (ESTOF) TC GABON250 BG - 0,62x0,6x0,84H</v>
          </cell>
          <cell r="Y992">
            <v>14105.5419</v>
          </cell>
          <cell r="Z992">
            <v>0.35</v>
          </cell>
          <cell r="AA992">
            <v>9168.6022350000003</v>
          </cell>
          <cell r="AB992"/>
        </row>
        <row r="993">
          <cell r="C993">
            <v>0</v>
          </cell>
          <cell r="D993">
            <v>0</v>
          </cell>
          <cell r="E993">
            <v>0</v>
          </cell>
          <cell r="F993">
            <v>6</v>
          </cell>
          <cell r="H993">
            <v>0</v>
          </cell>
          <cell r="O993">
            <v>365946</v>
          </cell>
          <cell r="P993" t="str">
            <v>2023/116-0323-01</v>
          </cell>
          <cell r="Q993" t="str">
            <v>EST CADEIRA LOGAN C/B JANTAR (IMBUIA) (ESTOF) TC GABON250 BG</v>
          </cell>
          <cell r="R993"/>
          <cell r="S993"/>
          <cell r="T993">
            <v>0.62</v>
          </cell>
          <cell r="U993">
            <v>0.6</v>
          </cell>
          <cell r="V993">
            <v>0.84</v>
          </cell>
          <cell r="W993">
            <v>0</v>
          </cell>
          <cell r="X993" t="str">
            <v>EST CADEIRA LOGAN C/B JANTAR (IMBUIA) (ESTOF) TC GABON250 BG - 0,62x0,6x0,84H</v>
          </cell>
          <cell r="Y993">
            <v>14105.5419</v>
          </cell>
          <cell r="Z993">
            <v>0.35</v>
          </cell>
          <cell r="AA993">
            <v>9168.6022350000003</v>
          </cell>
          <cell r="AB993"/>
        </row>
        <row r="994">
          <cell r="C994">
            <v>0</v>
          </cell>
          <cell r="D994">
            <v>0</v>
          </cell>
          <cell r="E994">
            <v>0</v>
          </cell>
          <cell r="F994">
            <v>6</v>
          </cell>
          <cell r="H994">
            <v>0</v>
          </cell>
          <cell r="O994">
            <v>365946</v>
          </cell>
          <cell r="P994" t="str">
            <v>2023/116-0324-01</v>
          </cell>
          <cell r="Q994" t="str">
            <v>EST CADEIRA LOGAN C/B JANTAR (IMBUIA) (ESTOF) TC GABON250 BG</v>
          </cell>
          <cell r="R994"/>
          <cell r="S994"/>
          <cell r="T994">
            <v>0.62</v>
          </cell>
          <cell r="U994">
            <v>0.6</v>
          </cell>
          <cell r="V994">
            <v>0.84</v>
          </cell>
          <cell r="W994">
            <v>0</v>
          </cell>
          <cell r="X994" t="str">
            <v>EST CADEIRA LOGAN C/B JANTAR (IMBUIA) (ESTOF) TC GABON250 BG - 0,62x0,6x0,84H</v>
          </cell>
          <cell r="Y994">
            <v>14105.5419</v>
          </cell>
          <cell r="Z994">
            <v>0.35</v>
          </cell>
          <cell r="AA994">
            <v>9168.6022350000003</v>
          </cell>
          <cell r="AB994"/>
        </row>
        <row r="995">
          <cell r="C995">
            <v>0</v>
          </cell>
          <cell r="D995">
            <v>0</v>
          </cell>
          <cell r="E995">
            <v>0</v>
          </cell>
          <cell r="F995">
            <v>6</v>
          </cell>
          <cell r="H995">
            <v>0</v>
          </cell>
          <cell r="O995">
            <v>365946</v>
          </cell>
          <cell r="P995" t="str">
            <v>2023/116-0325-01</v>
          </cell>
          <cell r="Q995" t="str">
            <v>EST CADEIRA LOGAN C/B JANTAR (IMBUIA) (ESTOF) TC GABON250 BG</v>
          </cell>
          <cell r="R995"/>
          <cell r="S995"/>
          <cell r="T995">
            <v>0.62</v>
          </cell>
          <cell r="U995">
            <v>0.6</v>
          </cell>
          <cell r="V995">
            <v>0.84</v>
          </cell>
          <cell r="W995">
            <v>0</v>
          </cell>
          <cell r="X995" t="str">
            <v>EST CADEIRA LOGAN C/B JANTAR (IMBUIA) (ESTOF) TC GABON250 BG - 0,62x0,6x0,84H</v>
          </cell>
          <cell r="Y995">
            <v>14105.5419</v>
          </cell>
          <cell r="Z995">
            <v>0.35</v>
          </cell>
          <cell r="AA995">
            <v>9168.6022350000003</v>
          </cell>
          <cell r="AB995"/>
        </row>
        <row r="996">
          <cell r="C996">
            <v>0</v>
          </cell>
          <cell r="D996">
            <v>0</v>
          </cell>
          <cell r="E996">
            <v>0</v>
          </cell>
          <cell r="F996">
            <v>6</v>
          </cell>
          <cell r="H996">
            <v>0</v>
          </cell>
          <cell r="O996">
            <v>365946</v>
          </cell>
          <cell r="P996" t="str">
            <v>2023/116-0326-01</v>
          </cell>
          <cell r="Q996" t="str">
            <v>EST CADEIRA LOGAN C/B JANTAR (IMBUIA) (ESTOF) TC GABON250 BG</v>
          </cell>
          <cell r="R996"/>
          <cell r="S996"/>
          <cell r="T996">
            <v>0.62</v>
          </cell>
          <cell r="U996">
            <v>0.6</v>
          </cell>
          <cell r="V996">
            <v>0.84</v>
          </cell>
          <cell r="W996">
            <v>0</v>
          </cell>
          <cell r="X996" t="str">
            <v>EST CADEIRA LOGAN C/B JANTAR (IMBUIA) (ESTOF) TC GABON250 BG - 0,62x0,6x0,84H</v>
          </cell>
          <cell r="Y996">
            <v>14105.5419</v>
          </cell>
          <cell r="Z996">
            <v>0.35</v>
          </cell>
          <cell r="AA996">
            <v>9168.6022350000003</v>
          </cell>
          <cell r="AB996"/>
        </row>
        <row r="997">
          <cell r="C997">
            <v>0</v>
          </cell>
          <cell r="D997">
            <v>0</v>
          </cell>
          <cell r="E997">
            <v>0</v>
          </cell>
          <cell r="F997">
            <v>4</v>
          </cell>
          <cell r="H997">
            <v>0</v>
          </cell>
          <cell r="O997">
            <v>385738</v>
          </cell>
          <cell r="P997" t="str">
            <v>2024/242-0006-01</v>
          </cell>
          <cell r="Q997" t="str">
            <v>EST CADEIRA FINA C/B (FREIJO) (RATTAN AB ENV) TC 5230/207</v>
          </cell>
          <cell r="R997"/>
          <cell r="S997"/>
          <cell r="T997">
            <v>0.55000000000000004</v>
          </cell>
          <cell r="U997">
            <v>0.57999999999999996</v>
          </cell>
          <cell r="V997">
            <v>0.85</v>
          </cell>
          <cell r="W997">
            <v>0</v>
          </cell>
          <cell r="X997" t="str">
            <v>EST CADEIRA FINA C/B (FREIJO) (RATTAN AB ENV) TC 5230/207 - 0,55x0,58x0,85H</v>
          </cell>
          <cell r="Y997">
            <v>10125.16</v>
          </cell>
          <cell r="Z997">
            <v>0.35</v>
          </cell>
          <cell r="AA997">
            <v>6581.3540000000003</v>
          </cell>
          <cell r="AB997"/>
        </row>
        <row r="998">
          <cell r="C998">
            <v>0</v>
          </cell>
          <cell r="D998">
            <v>0</v>
          </cell>
          <cell r="E998">
            <v>0</v>
          </cell>
          <cell r="F998">
            <v>4</v>
          </cell>
          <cell r="H998">
            <v>0</v>
          </cell>
          <cell r="O998">
            <v>385738</v>
          </cell>
          <cell r="P998" t="str">
            <v>2024/242-0007-01</v>
          </cell>
          <cell r="Q998" t="str">
            <v>EST CADEIRA FINA C/B (FREIJO) (RATTAN AB ENV) TC 5230/207</v>
          </cell>
          <cell r="R998"/>
          <cell r="S998"/>
          <cell r="T998">
            <v>0.55000000000000004</v>
          </cell>
          <cell r="U998">
            <v>0.57999999999999996</v>
          </cell>
          <cell r="V998">
            <v>0.85</v>
          </cell>
          <cell r="W998">
            <v>0</v>
          </cell>
          <cell r="X998" t="str">
            <v>EST CADEIRA FINA C/B (FREIJO) (RATTAN AB ENV) TC 5230/207 - 0,55x0,58x0,85H</v>
          </cell>
          <cell r="Y998">
            <v>10125.16</v>
          </cell>
          <cell r="Z998">
            <v>0.35</v>
          </cell>
          <cell r="AA998">
            <v>6581.3540000000003</v>
          </cell>
          <cell r="AB998"/>
        </row>
        <row r="999">
          <cell r="C999">
            <v>0</v>
          </cell>
          <cell r="D999">
            <v>0</v>
          </cell>
          <cell r="E999">
            <v>0</v>
          </cell>
          <cell r="F999">
            <v>4</v>
          </cell>
          <cell r="H999">
            <v>0</v>
          </cell>
          <cell r="O999">
            <v>385738</v>
          </cell>
          <cell r="P999" t="str">
            <v>2024/242-0008-01</v>
          </cell>
          <cell r="Q999" t="str">
            <v>EST CADEIRA FINA C/B (FREIJO) (RATTAN AB ENV) TC 5230/207</v>
          </cell>
          <cell r="R999"/>
          <cell r="S999"/>
          <cell r="T999">
            <v>0.55000000000000004</v>
          </cell>
          <cell r="U999">
            <v>0.57999999999999996</v>
          </cell>
          <cell r="V999">
            <v>0.85</v>
          </cell>
          <cell r="W999">
            <v>0</v>
          </cell>
          <cell r="X999" t="str">
            <v>EST CADEIRA FINA C/B (FREIJO) (RATTAN AB ENV) TC 5230/207 - 0,55x0,58x0,85H</v>
          </cell>
          <cell r="Y999">
            <v>10125.16</v>
          </cell>
          <cell r="Z999">
            <v>0.35</v>
          </cell>
          <cell r="AA999">
            <v>6581.3540000000003</v>
          </cell>
          <cell r="AB999"/>
        </row>
        <row r="1000">
          <cell r="C1000">
            <v>0</v>
          </cell>
          <cell r="D1000">
            <v>0</v>
          </cell>
          <cell r="E1000">
            <v>0</v>
          </cell>
          <cell r="F1000">
            <v>4</v>
          </cell>
          <cell r="H1000">
            <v>0</v>
          </cell>
          <cell r="O1000">
            <v>385738</v>
          </cell>
          <cell r="P1000" t="str">
            <v>2024/242-0009-01</v>
          </cell>
          <cell r="Q1000" t="str">
            <v>EST CADEIRA FINA C/B (FREIJO) (RATTAN AB ENV) TC 5230/207</v>
          </cell>
          <cell r="R1000"/>
          <cell r="S1000"/>
          <cell r="T1000">
            <v>0.55000000000000004</v>
          </cell>
          <cell r="U1000">
            <v>0.57999999999999996</v>
          </cell>
          <cell r="V1000">
            <v>0.85</v>
          </cell>
          <cell r="W1000">
            <v>0</v>
          </cell>
          <cell r="X1000" t="str">
            <v>EST CADEIRA FINA C/B (FREIJO) (RATTAN AB ENV) TC 5230/207 - 0,55x0,58x0,85H</v>
          </cell>
          <cell r="Y1000">
            <v>10125.16</v>
          </cell>
          <cell r="Z1000">
            <v>0.35</v>
          </cell>
          <cell r="AA1000">
            <v>6581.3540000000003</v>
          </cell>
          <cell r="AB1000"/>
        </row>
        <row r="1001">
          <cell r="C1001">
            <v>0</v>
          </cell>
          <cell r="D1001">
            <v>0</v>
          </cell>
          <cell r="E1001">
            <v>0</v>
          </cell>
          <cell r="F1001">
            <v>1</v>
          </cell>
          <cell r="H1001">
            <v>0</v>
          </cell>
          <cell r="O1001">
            <v>404444</v>
          </cell>
          <cell r="P1001" t="str">
            <v>2025/143-0018-01</v>
          </cell>
          <cell r="Q1001" t="str">
            <v>EST BUFFET YAACOV (B) TAUARI NOGUEIRA</v>
          </cell>
          <cell r="R1001"/>
          <cell r="S1001"/>
          <cell r="T1001">
            <v>2.58</v>
          </cell>
          <cell r="U1001">
            <v>0.55000000000000004</v>
          </cell>
          <cell r="V1001">
            <v>0.7</v>
          </cell>
          <cell r="W1001">
            <v>0</v>
          </cell>
          <cell r="X1001" t="str">
            <v>EST BUFFET YAACOV (B) TAUARI NOGUEIRA - 2,58x0,55x0,7H</v>
          </cell>
          <cell r="Y1001">
            <v>47606.720000000001</v>
          </cell>
          <cell r="Z1001">
            <v>0.35</v>
          </cell>
          <cell r="AA1001">
            <v>30944.368000000002</v>
          </cell>
          <cell r="AB1001"/>
        </row>
        <row r="1002">
          <cell r="C1002">
            <v>0</v>
          </cell>
          <cell r="D1002">
            <v>1</v>
          </cell>
          <cell r="E1002">
            <v>0</v>
          </cell>
          <cell r="F1002">
            <v>0</v>
          </cell>
          <cell r="H1002">
            <v>0</v>
          </cell>
          <cell r="O1002">
            <v>260962</v>
          </cell>
          <cell r="P1002" t="str">
            <v>2020/308-0091-01</v>
          </cell>
          <cell r="Q1002" t="str">
            <v>EST ESCRIVANINHA DIX (FREIJO) (INOX PRETO)</v>
          </cell>
          <cell r="R1002"/>
          <cell r="S1002"/>
          <cell r="T1002">
            <v>2</v>
          </cell>
          <cell r="U1002">
            <v>0.8</v>
          </cell>
          <cell r="V1002">
            <v>0.75</v>
          </cell>
          <cell r="W1002">
            <v>0</v>
          </cell>
          <cell r="X1002" t="str">
            <v>EST ESCRIVANINHA DIX (FREIJO) (INOX PRETO) - 2x0,8x0,75H</v>
          </cell>
          <cell r="Y1002">
            <v>32676.49</v>
          </cell>
          <cell r="Z1002">
            <v>0.35</v>
          </cell>
          <cell r="AA1002">
            <v>21239.718500000003</v>
          </cell>
          <cell r="AB1002"/>
        </row>
        <row r="1003">
          <cell r="C1003">
            <v>0</v>
          </cell>
          <cell r="D1003">
            <v>5</v>
          </cell>
          <cell r="E1003">
            <v>4</v>
          </cell>
          <cell r="F1003">
            <v>6</v>
          </cell>
          <cell r="H1003">
            <v>1</v>
          </cell>
          <cell r="O1003">
            <v>262565</v>
          </cell>
          <cell r="P1003" t="str">
            <v>2020/128-0025-01</v>
          </cell>
          <cell r="Q1003" t="str">
            <v>EST CADEIRA MEDALHINHA (FREIJO) (TELA RATTAN ABERT ENV)</v>
          </cell>
          <cell r="R1003"/>
          <cell r="S1003"/>
          <cell r="T1003">
            <v>0.47</v>
          </cell>
          <cell r="U1003">
            <v>0.61</v>
          </cell>
          <cell r="V1003">
            <v>0.82</v>
          </cell>
          <cell r="W1003">
            <v>0</v>
          </cell>
          <cell r="X1003" t="str">
            <v>EST CADEIRA MEDALHINHA (FREIJO) (TELA RATTAN ABERT ENV) - 0,47x0,61x0,82H</v>
          </cell>
          <cell r="Y1003">
            <v>9160.44</v>
          </cell>
          <cell r="Z1003">
            <v>0.35</v>
          </cell>
          <cell r="AA1003">
            <v>5954.2860000000001</v>
          </cell>
          <cell r="AB1003"/>
        </row>
        <row r="1004">
          <cell r="C1004">
            <v>0</v>
          </cell>
          <cell r="D1004">
            <v>5</v>
          </cell>
          <cell r="E1004">
            <v>4</v>
          </cell>
          <cell r="F1004">
            <v>6</v>
          </cell>
          <cell r="H1004">
            <v>1</v>
          </cell>
          <cell r="O1004">
            <v>262565</v>
          </cell>
          <cell r="P1004" t="str">
            <v>2020/128-0028-01</v>
          </cell>
          <cell r="Q1004" t="str">
            <v>EST CADEIRA MEDALHINHA (FREIJO) (TELA RATTAN ABERT ENV)</v>
          </cell>
          <cell r="R1004"/>
          <cell r="S1004"/>
          <cell r="T1004">
            <v>0.47</v>
          </cell>
          <cell r="U1004">
            <v>0.61</v>
          </cell>
          <cell r="V1004">
            <v>0.82</v>
          </cell>
          <cell r="W1004">
            <v>0</v>
          </cell>
          <cell r="X1004" t="str">
            <v>EST CADEIRA MEDALHINHA (FREIJO) (TELA RATTAN ABERT ENV) - 0,47x0,61x0,82H</v>
          </cell>
          <cell r="Y1004">
            <v>9160.44</v>
          </cell>
          <cell r="Z1004">
            <v>0.35</v>
          </cell>
          <cell r="AA1004">
            <v>5954.2860000000001</v>
          </cell>
          <cell r="AB1004"/>
        </row>
        <row r="1005">
          <cell r="C1005">
            <v>0</v>
          </cell>
          <cell r="D1005">
            <v>5</v>
          </cell>
          <cell r="E1005">
            <v>4</v>
          </cell>
          <cell r="F1005">
            <v>6</v>
          </cell>
          <cell r="H1005">
            <v>1</v>
          </cell>
          <cell r="O1005">
            <v>262565</v>
          </cell>
          <cell r="P1005" t="str">
            <v>2020/128-0027-01</v>
          </cell>
          <cell r="Q1005" t="str">
            <v>EST CADEIRA MEDALHINHA (FREIJO) (TELA RATTAN ABERT ENV)</v>
          </cell>
          <cell r="R1005"/>
          <cell r="S1005"/>
          <cell r="T1005">
            <v>0.47</v>
          </cell>
          <cell r="U1005">
            <v>0.61</v>
          </cell>
          <cell r="V1005">
            <v>0.82</v>
          </cell>
          <cell r="W1005">
            <v>0</v>
          </cell>
          <cell r="X1005" t="str">
            <v>EST CADEIRA MEDALHINHA (FREIJO) (TELA RATTAN ABERT ENV) - 0,47x0,61x0,82H</v>
          </cell>
          <cell r="Y1005">
            <v>9160.44</v>
          </cell>
          <cell r="Z1005">
            <v>0.35</v>
          </cell>
          <cell r="AA1005">
            <v>5954.2860000000001</v>
          </cell>
          <cell r="AB1005"/>
        </row>
        <row r="1006">
          <cell r="C1006">
            <v>0</v>
          </cell>
          <cell r="D1006">
            <v>5</v>
          </cell>
          <cell r="E1006">
            <v>4</v>
          </cell>
          <cell r="F1006">
            <v>6</v>
          </cell>
          <cell r="H1006">
            <v>1</v>
          </cell>
          <cell r="O1006">
            <v>262565</v>
          </cell>
          <cell r="P1006" t="str">
            <v>2024/184-0087-01</v>
          </cell>
          <cell r="Q1006" t="str">
            <v>EST CADEIRA MEDALHINHA (FREIJO) (TELA RATTAN ABERT ENV)</v>
          </cell>
          <cell r="R1006"/>
          <cell r="S1006"/>
          <cell r="T1006">
            <v>0.47</v>
          </cell>
          <cell r="U1006">
            <v>0.61</v>
          </cell>
          <cell r="V1006">
            <v>0.82</v>
          </cell>
          <cell r="W1006">
            <v>0</v>
          </cell>
          <cell r="X1006" t="str">
            <v>EST CADEIRA MEDALHINHA (FREIJO) (TELA RATTAN ABERT ENV) - 0,47x0,61x0,82H</v>
          </cell>
          <cell r="Y1006">
            <v>9160.44</v>
          </cell>
          <cell r="Z1006">
            <v>0.35</v>
          </cell>
          <cell r="AA1006">
            <v>5954.2860000000001</v>
          </cell>
          <cell r="AB1006"/>
        </row>
        <row r="1007">
          <cell r="C1007">
            <v>0</v>
          </cell>
          <cell r="D1007">
            <v>5</v>
          </cell>
          <cell r="E1007">
            <v>4</v>
          </cell>
          <cell r="F1007">
            <v>6</v>
          </cell>
          <cell r="H1007">
            <v>1</v>
          </cell>
          <cell r="O1007">
            <v>262565</v>
          </cell>
          <cell r="P1007" t="str">
            <v>2020/128-0026-01</v>
          </cell>
          <cell r="Q1007" t="str">
            <v>EST CADEIRA MEDALHINHA (FREIJO) (TELA RATTAN ABERT ENV)</v>
          </cell>
          <cell r="R1007"/>
          <cell r="S1007"/>
          <cell r="T1007">
            <v>0.47</v>
          </cell>
          <cell r="U1007">
            <v>0.61</v>
          </cell>
          <cell r="V1007">
            <v>0.82</v>
          </cell>
          <cell r="W1007">
            <v>0</v>
          </cell>
          <cell r="X1007" t="str">
            <v>EST CADEIRA MEDALHINHA (FREIJO) (TELA RATTAN ABERT ENV) - 0,47x0,61x0,82H</v>
          </cell>
          <cell r="Y1007">
            <v>9160.44</v>
          </cell>
          <cell r="Z1007">
            <v>0.35</v>
          </cell>
          <cell r="AA1007">
            <v>5954.2860000000001</v>
          </cell>
          <cell r="AB1007"/>
        </row>
        <row r="1008">
          <cell r="C1008">
            <v>1</v>
          </cell>
          <cell r="D1008">
            <v>1</v>
          </cell>
          <cell r="E1008">
            <v>1</v>
          </cell>
          <cell r="F1008">
            <v>1</v>
          </cell>
          <cell r="H1008">
            <v>0</v>
          </cell>
          <cell r="O1008">
            <v>270431</v>
          </cell>
          <cell r="P1008" t="str">
            <v>2020/353-0123-01</v>
          </cell>
          <cell r="Q1008" t="str">
            <v>EST BANQUETA BAR MEDALHINHA H65 (FREIJO) (RATTAN ABERTA NT)</v>
          </cell>
          <cell r="R1008"/>
          <cell r="S1008"/>
          <cell r="T1008">
            <v>0.47</v>
          </cell>
          <cell r="U1008">
            <v>0.61</v>
          </cell>
          <cell r="V1008">
            <v>1.04</v>
          </cell>
          <cell r="W1008">
            <v>0</v>
          </cell>
          <cell r="X1008" t="str">
            <v>EST BANQUETA BAR MEDALHINHA H65 (FREIJO) (RATTAN ABERTA NT) - 0,47x0,61x1,04H</v>
          </cell>
          <cell r="Y1008">
            <v>10076.950000000001</v>
          </cell>
          <cell r="Z1008">
            <v>0.35</v>
          </cell>
          <cell r="AA1008">
            <v>6550.0175000000008</v>
          </cell>
          <cell r="AB1008"/>
        </row>
        <row r="1009">
          <cell r="C1009">
            <v>1</v>
          </cell>
          <cell r="D1009">
            <v>1</v>
          </cell>
          <cell r="E1009">
            <v>2</v>
          </cell>
          <cell r="F1009">
            <v>0</v>
          </cell>
          <cell r="H1009">
            <v>0</v>
          </cell>
          <cell r="O1009">
            <v>270433</v>
          </cell>
          <cell r="P1009" t="str">
            <v>2020/353-0128-01</v>
          </cell>
          <cell r="Q1009" t="str">
            <v>EST CADEIRA MEDALHINHA C/B (FREIJO) (RATTAN ABERTA ENV)</v>
          </cell>
          <cell r="R1009"/>
          <cell r="S1009"/>
          <cell r="T1009">
            <v>0.6</v>
          </cell>
          <cell r="U1009">
            <v>0.61</v>
          </cell>
          <cell r="V1009">
            <v>0.82</v>
          </cell>
          <cell r="W1009">
            <v>0</v>
          </cell>
          <cell r="X1009" t="str">
            <v>EST CADEIRA MEDALHINHA C/B (FREIJO) (RATTAN ABERTA ENV) - 0,6x0,61x0,82H</v>
          </cell>
          <cell r="Y1009">
            <v>10528.09</v>
          </cell>
          <cell r="Z1009">
            <v>0.35</v>
          </cell>
          <cell r="AA1009">
            <v>6843.2584999999999</v>
          </cell>
          <cell r="AB1009"/>
        </row>
        <row r="1010">
          <cell r="C1010">
            <v>0</v>
          </cell>
          <cell r="D1010">
            <v>1</v>
          </cell>
          <cell r="E1010">
            <v>0</v>
          </cell>
          <cell r="F1010">
            <v>0</v>
          </cell>
          <cell r="H1010">
            <v>0</v>
          </cell>
          <cell r="O1010">
            <v>334188</v>
          </cell>
          <cell r="P1010" t="str">
            <v>2022/203-0145-01</v>
          </cell>
          <cell r="Q1010" t="str">
            <v>EST CARRINHO BAR MIES (TAUARI EBANIZADO) (LATAO ACETINADO)</v>
          </cell>
          <cell r="R1010"/>
          <cell r="S1010"/>
          <cell r="T1010">
            <v>1</v>
          </cell>
          <cell r="U1010">
            <v>0.47</v>
          </cell>
          <cell r="V1010">
            <v>0.76</v>
          </cell>
          <cell r="W1010">
            <v>0</v>
          </cell>
          <cell r="X1010" t="str">
            <v>EST CARRINHO BAR MIES (TAUARI EBANIZADO) (LATAO ACETINADO) - 1x0,47x0,76H</v>
          </cell>
          <cell r="Y1010">
            <v>53605.409</v>
          </cell>
          <cell r="Z1010">
            <v>0.35</v>
          </cell>
          <cell r="AA1010">
            <v>34843.515849999996</v>
          </cell>
          <cell r="AB1010"/>
        </row>
        <row r="1011">
          <cell r="C1011">
            <v>0</v>
          </cell>
          <cell r="D1011">
            <v>1</v>
          </cell>
          <cell r="E1011">
            <v>0</v>
          </cell>
          <cell r="F1011">
            <v>0</v>
          </cell>
          <cell r="H1011">
            <v>0</v>
          </cell>
          <cell r="O1011">
            <v>389116</v>
          </cell>
          <cell r="P1011" t="str">
            <v>2024/184-0096-01</v>
          </cell>
          <cell r="Q1011" t="str">
            <v>EST CADEIRA FINA C/B (TAUARI) (TELA RATTAN AB NT)</v>
          </cell>
          <cell r="R1011"/>
          <cell r="S1011"/>
          <cell r="T1011">
            <v>0.55000000000000004</v>
          </cell>
          <cell r="U1011">
            <v>0.57999999999999996</v>
          </cell>
          <cell r="V1011">
            <v>0.85</v>
          </cell>
          <cell r="W1011">
            <v>0</v>
          </cell>
          <cell r="X1011" t="str">
            <v>EST CADEIRA FINA C/B (TAUARI) (TELA RATTAN AB NT) - 0,55x0,58x0,85H</v>
          </cell>
          <cell r="Y1011">
            <v>9682.7999999999993</v>
          </cell>
          <cell r="Z1011">
            <v>0.35</v>
          </cell>
          <cell r="AA1011">
            <v>6293.82</v>
          </cell>
          <cell r="AB1011"/>
        </row>
        <row r="1012">
          <cell r="C1012">
            <v>1</v>
          </cell>
          <cell r="D1012">
            <v>0</v>
          </cell>
          <cell r="E1012">
            <v>0</v>
          </cell>
          <cell r="F1012">
            <v>0</v>
          </cell>
          <cell r="H1012">
            <v>0</v>
          </cell>
          <cell r="O1012">
            <v>260960</v>
          </cell>
          <cell r="P1012" t="str">
            <v>2020/192-0032-01</v>
          </cell>
          <cell r="Q1012" t="str">
            <v>EST CARRINHO BAR MIES (FREIJO NATURAL) (LATAO ACETINADO)</v>
          </cell>
          <cell r="R1012"/>
          <cell r="S1012"/>
          <cell r="T1012">
            <v>1</v>
          </cell>
          <cell r="U1012">
            <v>0.47</v>
          </cell>
          <cell r="V1012">
            <v>0.76</v>
          </cell>
          <cell r="W1012">
            <v>0</v>
          </cell>
          <cell r="X1012" t="str">
            <v>EST CARRINHO BAR MIES (FREIJO NATURAL) (LATAO ACETINADO) - 1x0,47x0,76H</v>
          </cell>
          <cell r="Y1012">
            <v>49473</v>
          </cell>
          <cell r="Z1012">
            <v>0.5</v>
          </cell>
          <cell r="AA1012">
            <v>24736.5</v>
          </cell>
          <cell r="AB1012"/>
        </row>
        <row r="1013"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H1013">
            <v>1</v>
          </cell>
          <cell r="O1013">
            <v>344055</v>
          </cell>
          <cell r="P1013" t="str">
            <v>2022/249-0014-01</v>
          </cell>
          <cell r="Q1013" t="str">
            <v>EST CHAISE NIGHT (FREIJO NT) TELA RATTAN/COURO TAUPE 138</v>
          </cell>
          <cell r="R1013"/>
          <cell r="S1013"/>
          <cell r="T1013">
            <v>1.74</v>
          </cell>
          <cell r="U1013">
            <v>0.65</v>
          </cell>
          <cell r="V1013">
            <v>0.89</v>
          </cell>
          <cell r="W1013">
            <v>0</v>
          </cell>
          <cell r="X1013" t="str">
            <v>EST CHAISE NIGHT (FREIJO NT) TELA RATTAN/COURO TAUPE 138 - 1,74x0,65x0,89H</v>
          </cell>
          <cell r="Y1013">
            <v>38968.65</v>
          </cell>
          <cell r="Z1013">
            <v>0.5</v>
          </cell>
          <cell r="AA1013">
            <v>19484.325000000001</v>
          </cell>
          <cell r="AB1013"/>
        </row>
        <row r="1014">
          <cell r="C1014">
            <v>2</v>
          </cell>
          <cell r="D1014">
            <v>0</v>
          </cell>
          <cell r="E1014">
            <v>0</v>
          </cell>
          <cell r="F1014">
            <v>0</v>
          </cell>
          <cell r="H1014">
            <v>0</v>
          </cell>
          <cell r="O1014">
            <v>344058</v>
          </cell>
          <cell r="P1014" t="str">
            <v>2022/249-0015-01</v>
          </cell>
          <cell r="Q1014" t="str">
            <v>EST ESTANTE LINA (TAUARI TING COGNAC) (LATAO OURO VELHO)</v>
          </cell>
          <cell r="R1014"/>
          <cell r="S1014"/>
          <cell r="T1014">
            <v>1.2</v>
          </cell>
          <cell r="U1014">
            <v>0.43</v>
          </cell>
          <cell r="V1014">
            <v>1.9</v>
          </cell>
          <cell r="W1014">
            <v>0</v>
          </cell>
          <cell r="X1014" t="str">
            <v>EST ESTANTE LINA (TAUARI TING COGNAC) (LATAO OURO VELHO) - 1,2x0,43x1,9H</v>
          </cell>
          <cell r="Y1014">
            <v>34338.57</v>
          </cell>
          <cell r="Z1014">
            <v>0.5</v>
          </cell>
          <cell r="AA1014">
            <v>17169.285</v>
          </cell>
          <cell r="AB1014"/>
        </row>
        <row r="1015">
          <cell r="C1015">
            <v>2</v>
          </cell>
          <cell r="D1015">
            <v>0</v>
          </cell>
          <cell r="E1015">
            <v>0</v>
          </cell>
          <cell r="F1015">
            <v>0</v>
          </cell>
          <cell r="H1015">
            <v>0</v>
          </cell>
          <cell r="O1015">
            <v>344058</v>
          </cell>
          <cell r="P1015" t="str">
            <v>2022/249-0016-01</v>
          </cell>
          <cell r="Q1015" t="str">
            <v>EST ESTANTE LINA (TAUARI TING COGNAC) (LATAO OURO VELHO)</v>
          </cell>
          <cell r="R1015"/>
          <cell r="S1015"/>
          <cell r="T1015">
            <v>1.2</v>
          </cell>
          <cell r="U1015">
            <v>0.43</v>
          </cell>
          <cell r="V1015">
            <v>1.9</v>
          </cell>
          <cell r="W1015">
            <v>0</v>
          </cell>
          <cell r="X1015" t="str">
            <v>EST ESTANTE LINA (TAUARI TING COGNAC) (LATAO OURO VELHO) - 1,2x0,43x1,9H</v>
          </cell>
          <cell r="Y1015">
            <v>34338.57</v>
          </cell>
          <cell r="Z1015">
            <v>0.5</v>
          </cell>
          <cell r="AA1015">
            <v>17169.285</v>
          </cell>
          <cell r="AB1015"/>
        </row>
        <row r="1016">
          <cell r="C1016">
            <v>6</v>
          </cell>
          <cell r="D1016">
            <v>0</v>
          </cell>
          <cell r="E1016">
            <v>0</v>
          </cell>
          <cell r="F1016">
            <v>0</v>
          </cell>
          <cell r="H1016">
            <v>0</v>
          </cell>
          <cell r="O1016">
            <v>254024</v>
          </cell>
          <cell r="P1016" t="str">
            <v>2019/344-0018-01</v>
          </cell>
          <cell r="Q1016" t="str">
            <v>EST CADEIRA MEDALHINHA (FREIJO) (TELA RATTAN ABERT ENV)</v>
          </cell>
          <cell r="R1016"/>
          <cell r="S1016"/>
          <cell r="T1016">
            <v>0.47</v>
          </cell>
          <cell r="U1016">
            <v>0.61</v>
          </cell>
          <cell r="V1016">
            <v>0.82</v>
          </cell>
          <cell r="W1016">
            <v>0</v>
          </cell>
          <cell r="X1016" t="str">
            <v>EST CADEIRA MEDALHINHA (FREIJO) (TELA RATTAN ABERT ENV) - 0,47x0,61x0,82H</v>
          </cell>
          <cell r="Y1016">
            <v>9160.44</v>
          </cell>
          <cell r="Z1016">
            <v>0.35</v>
          </cell>
          <cell r="AA1016">
            <v>5954.2860000000001</v>
          </cell>
          <cell r="AB1016"/>
        </row>
        <row r="1017">
          <cell r="C1017">
            <v>6</v>
          </cell>
          <cell r="D1017">
            <v>0</v>
          </cell>
          <cell r="E1017">
            <v>0</v>
          </cell>
          <cell r="F1017">
            <v>0</v>
          </cell>
          <cell r="H1017">
            <v>0</v>
          </cell>
          <cell r="O1017">
            <v>254024</v>
          </cell>
          <cell r="P1017" t="str">
            <v>2019/344-0019-01</v>
          </cell>
          <cell r="Q1017" t="str">
            <v>EST CADEIRA MEDALHINHA (FREIJO) (TELA RATTAN ABERT ENV)</v>
          </cell>
          <cell r="R1017"/>
          <cell r="S1017"/>
          <cell r="T1017">
            <v>0.47</v>
          </cell>
          <cell r="U1017">
            <v>0.61</v>
          </cell>
          <cell r="V1017">
            <v>0.82</v>
          </cell>
          <cell r="W1017">
            <v>0</v>
          </cell>
          <cell r="X1017" t="str">
            <v>EST CADEIRA MEDALHINHA (FREIJO) (TELA RATTAN ABERT ENV) - 0,47x0,61x0,82H</v>
          </cell>
          <cell r="Y1017">
            <v>9160.44</v>
          </cell>
          <cell r="Z1017">
            <v>0.35</v>
          </cell>
          <cell r="AA1017">
            <v>5954.2860000000001</v>
          </cell>
          <cell r="AB1017"/>
        </row>
        <row r="1018">
          <cell r="C1018">
            <v>6</v>
          </cell>
          <cell r="D1018">
            <v>0</v>
          </cell>
          <cell r="E1018">
            <v>0</v>
          </cell>
          <cell r="F1018">
            <v>0</v>
          </cell>
          <cell r="H1018">
            <v>0</v>
          </cell>
          <cell r="O1018">
            <v>254024</v>
          </cell>
          <cell r="P1018" t="str">
            <v>2019/344-0020-01</v>
          </cell>
          <cell r="Q1018" t="str">
            <v>EST CADEIRA MEDALHINHA (FREIJO) (TELA RATTAN ABERT ENV)</v>
          </cell>
          <cell r="R1018"/>
          <cell r="S1018"/>
          <cell r="T1018">
            <v>0.47</v>
          </cell>
          <cell r="U1018">
            <v>0.61</v>
          </cell>
          <cell r="V1018">
            <v>0.82</v>
          </cell>
          <cell r="W1018">
            <v>0</v>
          </cell>
          <cell r="X1018" t="str">
            <v>EST CADEIRA MEDALHINHA (FREIJO) (TELA RATTAN ABERT ENV) - 0,47x0,61x0,82H</v>
          </cell>
          <cell r="Y1018">
            <v>9160.44</v>
          </cell>
          <cell r="Z1018">
            <v>0.35</v>
          </cell>
          <cell r="AA1018">
            <v>5954.2860000000001</v>
          </cell>
          <cell r="AB1018"/>
        </row>
        <row r="1019">
          <cell r="C1019">
            <v>6</v>
          </cell>
          <cell r="D1019">
            <v>0</v>
          </cell>
          <cell r="E1019">
            <v>0</v>
          </cell>
          <cell r="F1019">
            <v>0</v>
          </cell>
          <cell r="H1019">
            <v>0</v>
          </cell>
          <cell r="O1019">
            <v>254024</v>
          </cell>
          <cell r="P1019" t="str">
            <v>2019/344-0021-01</v>
          </cell>
          <cell r="Q1019" t="str">
            <v>EST CADEIRA MEDALHINHA (FREIJO) (TELA RATTAN ABERT ENV)</v>
          </cell>
          <cell r="R1019"/>
          <cell r="S1019"/>
          <cell r="T1019">
            <v>0.47</v>
          </cell>
          <cell r="U1019">
            <v>0.61</v>
          </cell>
          <cell r="V1019">
            <v>0.82</v>
          </cell>
          <cell r="W1019">
            <v>0</v>
          </cell>
          <cell r="X1019" t="str">
            <v>EST CADEIRA MEDALHINHA (FREIJO) (TELA RATTAN ABERT ENV) - 0,47x0,61x0,82H</v>
          </cell>
          <cell r="Y1019">
            <v>9160.44</v>
          </cell>
          <cell r="Z1019">
            <v>0.35</v>
          </cell>
          <cell r="AA1019">
            <v>5954.2860000000001</v>
          </cell>
          <cell r="AB1019"/>
        </row>
        <row r="1020">
          <cell r="C1020">
            <v>6</v>
          </cell>
          <cell r="D1020">
            <v>0</v>
          </cell>
          <cell r="E1020">
            <v>0</v>
          </cell>
          <cell r="F1020">
            <v>0</v>
          </cell>
          <cell r="H1020">
            <v>0</v>
          </cell>
          <cell r="O1020">
            <v>254024</v>
          </cell>
          <cell r="P1020" t="str">
            <v>2019/344-0022-01</v>
          </cell>
          <cell r="Q1020" t="str">
            <v>EST CADEIRA MEDALHINHA (FREIJO) (TELA RATTAN ABERT ENV)</v>
          </cell>
          <cell r="R1020"/>
          <cell r="S1020"/>
          <cell r="T1020">
            <v>0.47</v>
          </cell>
          <cell r="U1020">
            <v>0.61</v>
          </cell>
          <cell r="V1020">
            <v>0.82</v>
          </cell>
          <cell r="W1020">
            <v>0</v>
          </cell>
          <cell r="X1020" t="str">
            <v>EST CADEIRA MEDALHINHA (FREIJO) (TELA RATTAN ABERT ENV) - 0,47x0,61x0,82H</v>
          </cell>
          <cell r="Y1020">
            <v>9160.44</v>
          </cell>
          <cell r="Z1020">
            <v>0.35</v>
          </cell>
          <cell r="AA1020">
            <v>5954.2860000000001</v>
          </cell>
          <cell r="AB1020"/>
        </row>
        <row r="1021">
          <cell r="C1021">
            <v>6</v>
          </cell>
          <cell r="D1021">
            <v>0</v>
          </cell>
          <cell r="E1021">
            <v>0</v>
          </cell>
          <cell r="F1021">
            <v>0</v>
          </cell>
          <cell r="H1021">
            <v>0</v>
          </cell>
          <cell r="O1021">
            <v>254024</v>
          </cell>
          <cell r="P1021" t="str">
            <v>2019/344-0023-01</v>
          </cell>
          <cell r="Q1021" t="str">
            <v>EST CADEIRA MEDALHINHA (FREIJO) (TELA RATTAN ABERT ENV)</v>
          </cell>
          <cell r="R1021"/>
          <cell r="S1021"/>
          <cell r="T1021">
            <v>0.47</v>
          </cell>
          <cell r="U1021">
            <v>0.61</v>
          </cell>
          <cell r="V1021">
            <v>0.82</v>
          </cell>
          <cell r="W1021">
            <v>0</v>
          </cell>
          <cell r="X1021" t="str">
            <v>EST CADEIRA MEDALHINHA (FREIJO) (TELA RATTAN ABERT ENV) - 0,47x0,61x0,82H</v>
          </cell>
          <cell r="Y1021">
            <v>9160.44</v>
          </cell>
          <cell r="Z1021">
            <v>0.35</v>
          </cell>
          <cell r="AA1021">
            <v>5954.2860000000001</v>
          </cell>
          <cell r="AB1021"/>
        </row>
        <row r="1022">
          <cell r="C1022">
            <v>1</v>
          </cell>
          <cell r="D1022">
            <v>0</v>
          </cell>
          <cell r="E1022">
            <v>0</v>
          </cell>
          <cell r="F1022">
            <v>0</v>
          </cell>
          <cell r="H1022">
            <v>0</v>
          </cell>
          <cell r="O1022">
            <v>262673</v>
          </cell>
          <cell r="P1022" t="str">
            <v>2020/128-0033-01</v>
          </cell>
          <cell r="Q1022" t="str">
            <v>EST CADEIRA MEDALHINHA C/B (FREIJO) (RATTAN ABERTA ENV)</v>
          </cell>
          <cell r="R1022"/>
          <cell r="S1022"/>
          <cell r="T1022">
            <v>0.6</v>
          </cell>
          <cell r="U1022">
            <v>0.61</v>
          </cell>
          <cell r="V1022">
            <v>0.82</v>
          </cell>
          <cell r="W1022">
            <v>0</v>
          </cell>
          <cell r="X1022" t="str">
            <v>EST CADEIRA MEDALHINHA C/B (FREIJO) (RATTAN ABERTA ENV) - 0,6x0,61x0,82H</v>
          </cell>
          <cell r="Y1022">
            <v>10528.09</v>
          </cell>
          <cell r="Z1022">
            <v>0.35</v>
          </cell>
          <cell r="AA1022">
            <v>6843.2584999999999</v>
          </cell>
          <cell r="AB1022"/>
        </row>
        <row r="1023">
          <cell r="C1023">
            <v>1</v>
          </cell>
          <cell r="D1023">
            <v>1</v>
          </cell>
          <cell r="E1023">
            <v>1</v>
          </cell>
          <cell r="F1023">
            <v>1</v>
          </cell>
          <cell r="H1023">
            <v>0</v>
          </cell>
          <cell r="O1023">
            <v>270431</v>
          </cell>
          <cell r="P1023" t="str">
            <v>2020/353-0124-01</v>
          </cell>
          <cell r="Q1023" t="str">
            <v>EST BANQUETA BAR MEDALHINHA H65 (FREIJO) (RATTAN ABERTA NT)</v>
          </cell>
          <cell r="R1023"/>
          <cell r="S1023"/>
          <cell r="T1023">
            <v>0.47</v>
          </cell>
          <cell r="U1023">
            <v>0.61</v>
          </cell>
          <cell r="V1023">
            <v>1.04</v>
          </cell>
          <cell r="W1023">
            <v>0</v>
          </cell>
          <cell r="X1023" t="str">
            <v>EST BANQUETA BAR MEDALHINHA H65 (FREIJO) (RATTAN ABERTA NT) - 0,47x0,61x1,04H</v>
          </cell>
          <cell r="Y1023">
            <v>10076.950000000001</v>
          </cell>
          <cell r="Z1023">
            <v>0.35</v>
          </cell>
          <cell r="AA1023">
            <v>6550.0175000000008</v>
          </cell>
          <cell r="AB1023"/>
        </row>
        <row r="1024">
          <cell r="C1024">
            <v>1</v>
          </cell>
          <cell r="D1024">
            <v>1</v>
          </cell>
          <cell r="E1024">
            <v>2</v>
          </cell>
          <cell r="F1024">
            <v>0</v>
          </cell>
          <cell r="H1024">
            <v>0</v>
          </cell>
          <cell r="O1024">
            <v>270433</v>
          </cell>
          <cell r="P1024" t="str">
            <v>2020/353-0130-01</v>
          </cell>
          <cell r="Q1024" t="str">
            <v>EST CADEIRA MEDALHINHA C/B (FREIJO) (RATTAN ABERTA ENV)</v>
          </cell>
          <cell r="R1024"/>
          <cell r="S1024"/>
          <cell r="T1024">
            <v>0.6</v>
          </cell>
          <cell r="U1024">
            <v>0.61</v>
          </cell>
          <cell r="V1024">
            <v>0.82</v>
          </cell>
          <cell r="W1024">
            <v>0</v>
          </cell>
          <cell r="X1024" t="str">
            <v>EST CADEIRA MEDALHINHA C/B (FREIJO) (RATTAN ABERTA ENV) - 0,6x0,61x0,82H</v>
          </cell>
          <cell r="Y1024">
            <v>10528.09</v>
          </cell>
          <cell r="Z1024">
            <v>0.35</v>
          </cell>
          <cell r="AA1024">
            <v>6843.2584999999999</v>
          </cell>
          <cell r="AB1024"/>
        </row>
        <row r="1025">
          <cell r="C1025">
            <v>2</v>
          </cell>
          <cell r="D1025">
            <v>0</v>
          </cell>
          <cell r="E1025">
            <v>0</v>
          </cell>
          <cell r="F1025">
            <v>0</v>
          </cell>
          <cell r="H1025">
            <v>0</v>
          </cell>
          <cell r="O1025">
            <v>328655</v>
          </cell>
          <cell r="P1025" t="str">
            <v>2022/161-0019-01</v>
          </cell>
          <cell r="Q1025" t="str">
            <v>EST CADEIRA LOGAN C/B JANTAR (FREIJO) (MADEIRA)</v>
          </cell>
          <cell r="R1025"/>
          <cell r="S1025"/>
          <cell r="T1025">
            <v>0.62</v>
          </cell>
          <cell r="U1025">
            <v>0.6</v>
          </cell>
          <cell r="V1025">
            <v>0.84</v>
          </cell>
          <cell r="W1025">
            <v>0</v>
          </cell>
          <cell r="X1025" t="str">
            <v>EST CADEIRA LOGAN C/B JANTAR (FREIJO) (MADEIRA) - 0,62x0,6x0,84H</v>
          </cell>
          <cell r="Y1025">
            <v>13491.34</v>
          </cell>
          <cell r="Z1025">
            <v>0.35</v>
          </cell>
          <cell r="AA1025">
            <v>8769.3709999999992</v>
          </cell>
          <cell r="AB1025"/>
        </row>
        <row r="1026">
          <cell r="C1026">
            <v>2</v>
          </cell>
          <cell r="D1026">
            <v>0</v>
          </cell>
          <cell r="E1026">
            <v>0</v>
          </cell>
          <cell r="F1026">
            <v>0</v>
          </cell>
          <cell r="H1026">
            <v>0</v>
          </cell>
          <cell r="O1026">
            <v>328655</v>
          </cell>
          <cell r="P1026" t="str">
            <v>2022/161-0020-01</v>
          </cell>
          <cell r="Q1026" t="str">
            <v>EST CADEIRA LOGAN C/B JANTAR (FREIJO) (MADEIRA)</v>
          </cell>
          <cell r="R1026"/>
          <cell r="S1026"/>
          <cell r="T1026">
            <v>0.62</v>
          </cell>
          <cell r="U1026">
            <v>0.6</v>
          </cell>
          <cell r="V1026">
            <v>0.84</v>
          </cell>
          <cell r="W1026">
            <v>0</v>
          </cell>
          <cell r="X1026" t="str">
            <v>EST CADEIRA LOGAN C/B JANTAR (FREIJO) (MADEIRA) - 0,62x0,6x0,84H</v>
          </cell>
          <cell r="Y1026">
            <v>13491.34</v>
          </cell>
          <cell r="Z1026">
            <v>0.35</v>
          </cell>
          <cell r="AA1026">
            <v>8769.3709999999992</v>
          </cell>
          <cell r="AB1026"/>
        </row>
        <row r="1027">
          <cell r="C1027">
            <v>8</v>
          </cell>
          <cell r="D1027">
            <v>0</v>
          </cell>
          <cell r="E1027">
            <v>0</v>
          </cell>
          <cell r="F1027">
            <v>0</v>
          </cell>
          <cell r="H1027">
            <v>0</v>
          </cell>
          <cell r="O1027">
            <v>385739</v>
          </cell>
          <cell r="P1027" t="str">
            <v>2024/242-0010-01</v>
          </cell>
          <cell r="Q1027" t="str">
            <v>EST CADEIRA FINA (FREIJO) (RATAN AB ENV) TC 5230/207</v>
          </cell>
          <cell r="R1027"/>
          <cell r="S1027"/>
          <cell r="T1027">
            <v>0.51</v>
          </cell>
          <cell r="U1027">
            <v>0.57999999999999996</v>
          </cell>
          <cell r="V1027">
            <v>0.85</v>
          </cell>
          <cell r="W1027">
            <v>0</v>
          </cell>
          <cell r="X1027" t="str">
            <v>EST CADEIRA FINA (FREIJO) (RATAN AB ENV) TC 5230/207 - 0,51x0,58x0,85H</v>
          </cell>
          <cell r="Y1027">
            <v>8838.23</v>
          </cell>
          <cell r="Z1027">
            <v>0.35</v>
          </cell>
          <cell r="AA1027">
            <v>5744.8495000000003</v>
          </cell>
          <cell r="AB1027"/>
        </row>
        <row r="1028">
          <cell r="C1028">
            <v>8</v>
          </cell>
          <cell r="D1028">
            <v>0</v>
          </cell>
          <cell r="E1028">
            <v>0</v>
          </cell>
          <cell r="F1028">
            <v>0</v>
          </cell>
          <cell r="H1028">
            <v>0</v>
          </cell>
          <cell r="O1028">
            <v>385739</v>
          </cell>
          <cell r="P1028" t="str">
            <v>2024/242-0011-01</v>
          </cell>
          <cell r="Q1028" t="str">
            <v>EST CADEIRA FINA (FREIJO) (RATAN AB ENV) TC 5230/207</v>
          </cell>
          <cell r="R1028"/>
          <cell r="S1028"/>
          <cell r="T1028">
            <v>0.51</v>
          </cell>
          <cell r="U1028">
            <v>0.57999999999999996</v>
          </cell>
          <cell r="V1028">
            <v>0.85</v>
          </cell>
          <cell r="W1028">
            <v>0</v>
          </cell>
          <cell r="X1028" t="str">
            <v>EST CADEIRA FINA (FREIJO) (RATAN AB ENV) TC 5230/207 - 0,51x0,58x0,85H</v>
          </cell>
          <cell r="Y1028">
            <v>8838.23</v>
          </cell>
          <cell r="Z1028">
            <v>0.35</v>
          </cell>
          <cell r="AA1028">
            <v>5744.8495000000003</v>
          </cell>
          <cell r="AB1028"/>
        </row>
        <row r="1029">
          <cell r="C1029">
            <v>8</v>
          </cell>
          <cell r="D1029">
            <v>0</v>
          </cell>
          <cell r="E1029">
            <v>0</v>
          </cell>
          <cell r="F1029">
            <v>0</v>
          </cell>
          <cell r="H1029">
            <v>0</v>
          </cell>
          <cell r="O1029">
            <v>385739</v>
          </cell>
          <cell r="P1029" t="str">
            <v>2024/242-0012-01</v>
          </cell>
          <cell r="Q1029" t="str">
            <v>EST CADEIRA FINA (FREIJO) (RATAN AB ENV) TC 5230/207</v>
          </cell>
          <cell r="R1029"/>
          <cell r="S1029"/>
          <cell r="T1029">
            <v>0.51</v>
          </cell>
          <cell r="U1029">
            <v>0.57999999999999996</v>
          </cell>
          <cell r="V1029">
            <v>0.85</v>
          </cell>
          <cell r="W1029">
            <v>0</v>
          </cell>
          <cell r="X1029" t="str">
            <v>EST CADEIRA FINA (FREIJO) (RATAN AB ENV) TC 5230/207 - 0,51x0,58x0,85H</v>
          </cell>
          <cell r="Y1029">
            <v>8838.23</v>
          </cell>
          <cell r="Z1029">
            <v>0.35</v>
          </cell>
          <cell r="AA1029">
            <v>5744.8495000000003</v>
          </cell>
          <cell r="AB1029"/>
        </row>
        <row r="1030">
          <cell r="C1030">
            <v>8</v>
          </cell>
          <cell r="D1030">
            <v>0</v>
          </cell>
          <cell r="E1030">
            <v>0</v>
          </cell>
          <cell r="F1030">
            <v>0</v>
          </cell>
          <cell r="H1030">
            <v>0</v>
          </cell>
          <cell r="O1030">
            <v>385739</v>
          </cell>
          <cell r="P1030" t="str">
            <v>2024/242-0013-01</v>
          </cell>
          <cell r="Q1030" t="str">
            <v>EST CADEIRA FINA (FREIJO) (RATAN AB ENV) TC 5230/207</v>
          </cell>
          <cell r="R1030"/>
          <cell r="S1030"/>
          <cell r="T1030">
            <v>0.51</v>
          </cell>
          <cell r="U1030">
            <v>0.57999999999999996</v>
          </cell>
          <cell r="V1030">
            <v>0.85</v>
          </cell>
          <cell r="W1030">
            <v>0</v>
          </cell>
          <cell r="X1030" t="str">
            <v>EST CADEIRA FINA (FREIJO) (RATAN AB ENV) TC 5230/207 - 0,51x0,58x0,85H</v>
          </cell>
          <cell r="Y1030">
            <v>8838.23</v>
          </cell>
          <cell r="Z1030">
            <v>0.35</v>
          </cell>
          <cell r="AA1030">
            <v>5744.8495000000003</v>
          </cell>
          <cell r="AB1030"/>
        </row>
        <row r="1031">
          <cell r="C1031">
            <v>8</v>
          </cell>
          <cell r="D1031">
            <v>0</v>
          </cell>
          <cell r="E1031">
            <v>0</v>
          </cell>
          <cell r="F1031">
            <v>0</v>
          </cell>
          <cell r="H1031">
            <v>0</v>
          </cell>
          <cell r="O1031">
            <v>385739</v>
          </cell>
          <cell r="P1031" t="str">
            <v>2024/242-0014-01</v>
          </cell>
          <cell r="Q1031" t="str">
            <v>EST CADEIRA FINA (FREIJO) (RATAN AB ENV) TC 5230/207</v>
          </cell>
          <cell r="R1031"/>
          <cell r="S1031"/>
          <cell r="T1031">
            <v>0.51</v>
          </cell>
          <cell r="U1031">
            <v>0.57999999999999996</v>
          </cell>
          <cell r="V1031">
            <v>0.85</v>
          </cell>
          <cell r="W1031">
            <v>0</v>
          </cell>
          <cell r="X1031" t="str">
            <v>EST CADEIRA FINA (FREIJO) (RATAN AB ENV) TC 5230/207 - 0,51x0,58x0,85H</v>
          </cell>
          <cell r="Y1031">
            <v>8838.23</v>
          </cell>
          <cell r="Z1031">
            <v>0.35</v>
          </cell>
          <cell r="AA1031">
            <v>5744.8495000000003</v>
          </cell>
          <cell r="AB1031"/>
        </row>
        <row r="1032">
          <cell r="C1032">
            <v>8</v>
          </cell>
          <cell r="D1032">
            <v>0</v>
          </cell>
          <cell r="E1032">
            <v>0</v>
          </cell>
          <cell r="F1032">
            <v>0</v>
          </cell>
          <cell r="H1032">
            <v>0</v>
          </cell>
          <cell r="O1032">
            <v>385739</v>
          </cell>
          <cell r="P1032" t="str">
            <v>2024/242-0015-01</v>
          </cell>
          <cell r="Q1032" t="str">
            <v>EST CADEIRA FINA (FREIJO) (RATAN AB ENV) TC 5230/207</v>
          </cell>
          <cell r="R1032"/>
          <cell r="S1032"/>
          <cell r="T1032">
            <v>0.51</v>
          </cell>
          <cell r="U1032">
            <v>0.57999999999999996</v>
          </cell>
          <cell r="V1032">
            <v>0.85</v>
          </cell>
          <cell r="W1032">
            <v>0</v>
          </cell>
          <cell r="X1032" t="str">
            <v>EST CADEIRA FINA (FREIJO) (RATAN AB ENV) TC 5230/207 - 0,51x0,58x0,85H</v>
          </cell>
          <cell r="Y1032">
            <v>8838.23</v>
          </cell>
          <cell r="Z1032">
            <v>0.35</v>
          </cell>
          <cell r="AA1032">
            <v>5744.8495000000003</v>
          </cell>
          <cell r="AB1032"/>
        </row>
        <row r="1033">
          <cell r="C1033">
            <v>8</v>
          </cell>
          <cell r="D1033">
            <v>0</v>
          </cell>
          <cell r="E1033">
            <v>0</v>
          </cell>
          <cell r="F1033">
            <v>0</v>
          </cell>
          <cell r="H1033">
            <v>0</v>
          </cell>
          <cell r="O1033">
            <v>385739</v>
          </cell>
          <cell r="P1033" t="str">
            <v>2024/242-0016-01</v>
          </cell>
          <cell r="Q1033" t="str">
            <v>EST CADEIRA FINA (FREIJO) (RATAN AB ENV) TC 5230/207</v>
          </cell>
          <cell r="R1033"/>
          <cell r="S1033"/>
          <cell r="T1033">
            <v>0.51</v>
          </cell>
          <cell r="U1033">
            <v>0.57999999999999996</v>
          </cell>
          <cell r="V1033">
            <v>0.85</v>
          </cell>
          <cell r="W1033">
            <v>0</v>
          </cell>
          <cell r="X1033" t="str">
            <v>EST CADEIRA FINA (FREIJO) (RATAN AB ENV) TC 5230/207 - 0,51x0,58x0,85H</v>
          </cell>
          <cell r="Y1033">
            <v>8838.23</v>
          </cell>
          <cell r="Z1033">
            <v>0.35</v>
          </cell>
          <cell r="AA1033">
            <v>5744.8495000000003</v>
          </cell>
          <cell r="AB1033"/>
        </row>
        <row r="1034">
          <cell r="C1034">
            <v>8</v>
          </cell>
          <cell r="D1034">
            <v>0</v>
          </cell>
          <cell r="E1034">
            <v>0</v>
          </cell>
          <cell r="F1034">
            <v>0</v>
          </cell>
          <cell r="H1034">
            <v>0</v>
          </cell>
          <cell r="O1034">
            <v>385739</v>
          </cell>
          <cell r="P1034" t="str">
            <v>2024/242-0017-01</v>
          </cell>
          <cell r="Q1034" t="str">
            <v>EST CADEIRA FINA (FREIJO) (RATAN AB ENV) TC 5230/207</v>
          </cell>
          <cell r="R1034"/>
          <cell r="S1034"/>
          <cell r="T1034">
            <v>0.51</v>
          </cell>
          <cell r="U1034">
            <v>0.57999999999999996</v>
          </cell>
          <cell r="V1034">
            <v>0.85</v>
          </cell>
          <cell r="W1034">
            <v>0</v>
          </cell>
          <cell r="X1034" t="str">
            <v>EST CADEIRA FINA (FREIJO) (RATAN AB ENV) TC 5230/207 - 0,51x0,58x0,85H</v>
          </cell>
          <cell r="Y1034">
            <v>8838.23</v>
          </cell>
          <cell r="Z1034">
            <v>0.35</v>
          </cell>
          <cell r="AA1034">
            <v>5744.8495000000003</v>
          </cell>
          <cell r="AB1034"/>
        </row>
        <row r="1035">
          <cell r="C1035" t="e">
            <v>#N/A</v>
          </cell>
          <cell r="D1035" t="e">
            <v>#N/A</v>
          </cell>
          <cell r="E1035" t="e">
            <v>#N/A</v>
          </cell>
          <cell r="F1035" t="e">
            <v>#N/A</v>
          </cell>
          <cell r="H1035" t="e">
            <v>#N/A</v>
          </cell>
          <cell r="O1035">
            <v>391643</v>
          </cell>
          <cell r="P1035" t="str">
            <v>2024/351-0040-01</v>
          </cell>
          <cell r="Q1035" t="e">
            <v>#N/A</v>
          </cell>
          <cell r="R1035"/>
          <cell r="S1035"/>
          <cell r="T1035" t="e">
            <v>#N/A</v>
          </cell>
          <cell r="U1035" t="e">
            <v>#N/A</v>
          </cell>
          <cell r="V1035" t="e">
            <v>#N/A</v>
          </cell>
          <cell r="W1035" t="e">
            <v>#N/A</v>
          </cell>
          <cell r="X1035" t="e">
            <v>#N/A</v>
          </cell>
          <cell r="Y1035">
            <v>32676.49</v>
          </cell>
          <cell r="Z1035">
            <v>0.35</v>
          </cell>
          <cell r="AA1035">
            <v>21239.718500000003</v>
          </cell>
          <cell r="AB1035"/>
        </row>
        <row r="1036">
          <cell r="C1036">
            <v>0</v>
          </cell>
          <cell r="D1036">
            <v>0</v>
          </cell>
          <cell r="E1036">
            <v>1</v>
          </cell>
          <cell r="F1036">
            <v>0</v>
          </cell>
          <cell r="H1036">
            <v>0</v>
          </cell>
          <cell r="O1036">
            <v>260949</v>
          </cell>
          <cell r="P1036" t="str">
            <v>2020/219-0050-01</v>
          </cell>
          <cell r="Q1036" t="str">
            <v>EST CADEIRA LOGAN C/B ESTAR (FREIJO) (ESTOF) COURO PIG OFF W</v>
          </cell>
          <cell r="R1036"/>
          <cell r="S1036"/>
          <cell r="T1036">
            <v>0.62</v>
          </cell>
          <cell r="U1036">
            <v>0.6</v>
          </cell>
          <cell r="V1036">
            <v>0.79</v>
          </cell>
          <cell r="W1036">
            <v>0</v>
          </cell>
          <cell r="X1036" t="str">
            <v>EST CADEIRA LOGAN C/B ESTAR (FREIJO) (ESTOF) COURO PIG OFF W - 0,62x0,6x0,79H</v>
          </cell>
          <cell r="Y1036">
            <v>10982.54</v>
          </cell>
          <cell r="Z1036">
            <v>0.35</v>
          </cell>
          <cell r="AA1036">
            <v>7138.6510000000007</v>
          </cell>
          <cell r="AB1036"/>
        </row>
        <row r="1037">
          <cell r="C1037">
            <v>0</v>
          </cell>
          <cell r="D1037">
            <v>0</v>
          </cell>
          <cell r="E1037">
            <v>1</v>
          </cell>
          <cell r="F1037">
            <v>0</v>
          </cell>
          <cell r="H1037">
            <v>0</v>
          </cell>
          <cell r="O1037">
            <v>334259</v>
          </cell>
          <cell r="P1037" t="str">
            <v>2022/217-0015-01</v>
          </cell>
          <cell r="Q1037" t="str">
            <v>EST MESA LATERAL ALEXANDRIA (MTZ CHUMBO) (MARM IMPERADOR)</v>
          </cell>
          <cell r="R1037"/>
          <cell r="S1037"/>
          <cell r="T1037">
            <v>0.5</v>
          </cell>
          <cell r="U1037">
            <v>0</v>
          </cell>
          <cell r="V1037">
            <v>0.5</v>
          </cell>
          <cell r="W1037">
            <v>0.5</v>
          </cell>
          <cell r="X1037" t="str">
            <v>EST MESA LATERAL ALEXANDRIA (MTZ CHUMBO) (MARM IMPERADOR) - Ø0,5x0,5H</v>
          </cell>
          <cell r="Y1037">
            <v>14314.68</v>
          </cell>
          <cell r="Z1037">
            <v>0.35</v>
          </cell>
          <cell r="AA1037">
            <v>9304.5420000000013</v>
          </cell>
          <cell r="AB1037"/>
        </row>
        <row r="1038">
          <cell r="C1038">
            <v>0</v>
          </cell>
          <cell r="D1038">
            <v>0</v>
          </cell>
          <cell r="E1038">
            <v>1</v>
          </cell>
          <cell r="F1038">
            <v>0</v>
          </cell>
          <cell r="H1038">
            <v>0</v>
          </cell>
          <cell r="O1038">
            <v>334260</v>
          </cell>
          <cell r="P1038" t="str">
            <v>2022/217-0017-01</v>
          </cell>
          <cell r="Q1038" t="str">
            <v>EST MESA LATERAL ALEXANDRIA (MTZ CHUMBO) (MARM IMPERADOR)</v>
          </cell>
          <cell r="R1038"/>
          <cell r="S1038"/>
          <cell r="T1038">
            <v>0.5</v>
          </cell>
          <cell r="U1038">
            <v>0</v>
          </cell>
          <cell r="V1038">
            <v>0.4</v>
          </cell>
          <cell r="W1038">
            <v>0.5</v>
          </cell>
          <cell r="X1038" t="str">
            <v>EST MESA LATERAL ALEXANDRIA (MTZ CHUMBO) (MARM IMPERADOR) - Ø0,5x0,4H</v>
          </cell>
          <cell r="Y1038">
            <v>13970.92</v>
          </cell>
          <cell r="Z1038">
            <v>0.35</v>
          </cell>
          <cell r="AA1038">
            <v>9081.098</v>
          </cell>
          <cell r="AB1038"/>
        </row>
        <row r="1039">
          <cell r="C1039">
            <v>0</v>
          </cell>
          <cell r="D1039">
            <v>0</v>
          </cell>
          <cell r="E1039">
            <v>0</v>
          </cell>
          <cell r="F1039">
            <v>1</v>
          </cell>
          <cell r="H1039">
            <v>0</v>
          </cell>
          <cell r="O1039">
            <v>334257</v>
          </cell>
          <cell r="P1039" t="str">
            <v>2022/222-0013-01</v>
          </cell>
          <cell r="Q1039" t="str">
            <v>EST MESA LATERAL ALEXANDRIA VERDE GUATEMAL/MTZ CHUMBO</v>
          </cell>
          <cell r="R1039"/>
          <cell r="S1039"/>
          <cell r="T1039">
            <v>0.6</v>
          </cell>
          <cell r="U1039">
            <v>0</v>
          </cell>
          <cell r="V1039">
            <v>0.4</v>
          </cell>
          <cell r="W1039">
            <v>0.6</v>
          </cell>
          <cell r="X1039" t="str">
            <v>EST MESA LATERAL ALEXANDRIA VERDE GUATEMAL/MTZ CHUMBO - Ø0,6x0,4H</v>
          </cell>
          <cell r="Y1039">
            <v>16446.259999999998</v>
          </cell>
          <cell r="Z1039">
            <v>0.35</v>
          </cell>
          <cell r="AA1039">
            <v>10690.069</v>
          </cell>
          <cell r="AB1039"/>
        </row>
        <row r="1040">
          <cell r="C1040">
            <v>0</v>
          </cell>
          <cell r="D1040">
            <v>0</v>
          </cell>
          <cell r="E1040">
            <v>0</v>
          </cell>
          <cell r="F1040">
            <v>2</v>
          </cell>
          <cell r="H1040">
            <v>0</v>
          </cell>
          <cell r="O1040">
            <v>363821</v>
          </cell>
          <cell r="P1040" t="str">
            <v>2023/109-0013-01</v>
          </cell>
          <cell r="Q1040" t="str">
            <v>EST POLTRONA FIDDA (BS GIRATORIA VERNIZ NOZES) TC ANAY 3</v>
          </cell>
          <cell r="R1040"/>
          <cell r="S1040"/>
          <cell r="T1040">
            <v>0.8</v>
          </cell>
          <cell r="U1040">
            <v>0.82</v>
          </cell>
          <cell r="V1040">
            <v>0.73</v>
          </cell>
          <cell r="W1040">
            <v>0</v>
          </cell>
          <cell r="X1040" t="str">
            <v>EST POLTRONA FIDDA (BS GIRATORIA VERNIZ NOZES) TC ANAY 3 - 0,8x0,82x0,73H</v>
          </cell>
          <cell r="Y1040">
            <v>14207.02</v>
          </cell>
          <cell r="Z1040">
            <v>0.35</v>
          </cell>
          <cell r="AA1040">
            <v>9234.5630000000019</v>
          </cell>
          <cell r="AB1040"/>
        </row>
        <row r="1041">
          <cell r="C1041">
            <v>0</v>
          </cell>
          <cell r="D1041">
            <v>0</v>
          </cell>
          <cell r="E1041">
            <v>0</v>
          </cell>
          <cell r="F1041">
            <v>2</v>
          </cell>
          <cell r="H1041">
            <v>0</v>
          </cell>
          <cell r="O1041">
            <v>363821</v>
          </cell>
          <cell r="P1041" t="str">
            <v>2023/109-0014-01</v>
          </cell>
          <cell r="Q1041" t="str">
            <v>EST POLTRONA FIDDA (BS GIRATORIA VERNIZ NOZES) TC ANAY 3</v>
          </cell>
          <cell r="R1041"/>
          <cell r="S1041"/>
          <cell r="T1041">
            <v>0.8</v>
          </cell>
          <cell r="U1041">
            <v>0.82</v>
          </cell>
          <cell r="V1041">
            <v>0.73</v>
          </cell>
          <cell r="W1041">
            <v>0</v>
          </cell>
          <cell r="X1041" t="str">
            <v>EST POLTRONA FIDDA (BS GIRATORIA VERNIZ NOZES) TC ANAY 3 - 0,8x0,82x0,73H</v>
          </cell>
          <cell r="Y1041">
            <v>14207.02</v>
          </cell>
          <cell r="Z1041">
            <v>0.35</v>
          </cell>
          <cell r="AA1041">
            <v>9234.5630000000019</v>
          </cell>
          <cell r="AB1041"/>
        </row>
        <row r="1042">
          <cell r="C1042">
            <v>0</v>
          </cell>
          <cell r="D1042">
            <v>0</v>
          </cell>
          <cell r="E1042">
            <v>0</v>
          </cell>
          <cell r="F1042">
            <v>2</v>
          </cell>
          <cell r="H1042">
            <v>0</v>
          </cell>
          <cell r="O1042">
            <v>364606</v>
          </cell>
          <cell r="P1042" t="str">
            <v>2023/102-0056-01</v>
          </cell>
          <cell r="Q1042" t="str">
            <v>EST POLTRONA NEW HARRY (GIRATORIA) FX MALHA D4240</v>
          </cell>
          <cell r="R1042"/>
          <cell r="S1042"/>
          <cell r="T1042">
            <v>0.89</v>
          </cell>
          <cell r="U1042">
            <v>0.83</v>
          </cell>
          <cell r="V1042">
            <v>0.72</v>
          </cell>
          <cell r="W1042">
            <v>0</v>
          </cell>
          <cell r="X1042" t="str">
            <v>EST POLTRONA NEW HARRY (GIRATORIA) FX MALHA D4240 - 0,89x0,83x0,72H</v>
          </cell>
          <cell r="Y1042">
            <v>9698.48</v>
          </cell>
          <cell r="Z1042">
            <v>0.35</v>
          </cell>
          <cell r="AA1042">
            <v>6304.0119999999997</v>
          </cell>
          <cell r="AB1042"/>
        </row>
        <row r="1043">
          <cell r="C1043">
            <v>0</v>
          </cell>
          <cell r="D1043">
            <v>0</v>
          </cell>
          <cell r="E1043">
            <v>0</v>
          </cell>
          <cell r="F1043">
            <v>2</v>
          </cell>
          <cell r="H1043">
            <v>0</v>
          </cell>
          <cell r="O1043">
            <v>364606</v>
          </cell>
          <cell r="P1043" t="str">
            <v>2023/102-0057-01</v>
          </cell>
          <cell r="Q1043" t="str">
            <v>EST POLTRONA NEW HARRY (GIRATORIA) FX MALHA D4240</v>
          </cell>
          <cell r="R1043"/>
          <cell r="S1043"/>
          <cell r="T1043">
            <v>0.89</v>
          </cell>
          <cell r="U1043">
            <v>0.83</v>
          </cell>
          <cell r="V1043">
            <v>0.72</v>
          </cell>
          <cell r="W1043">
            <v>0</v>
          </cell>
          <cell r="X1043" t="str">
            <v>EST POLTRONA NEW HARRY (GIRATORIA) FX MALHA D4240 - 0,89x0,83x0,72H</v>
          </cell>
          <cell r="Y1043">
            <v>9698.48</v>
          </cell>
          <cell r="Z1043">
            <v>0.35</v>
          </cell>
          <cell r="AA1043">
            <v>6304.0119999999997</v>
          </cell>
          <cell r="AB1043"/>
        </row>
        <row r="1044">
          <cell r="C1044">
            <v>0</v>
          </cell>
          <cell r="D1044">
            <v>1</v>
          </cell>
          <cell r="E1044">
            <v>0</v>
          </cell>
          <cell r="F1044">
            <v>1</v>
          </cell>
          <cell r="H1044">
            <v>0</v>
          </cell>
          <cell r="O1044">
            <v>402538</v>
          </cell>
          <cell r="P1044" t="str">
            <v>2025/104-0021-01</v>
          </cell>
          <cell r="Q1044" t="str">
            <v>EST LUMINARIA PENDENTE NOVENTA (P) (INDIRETA) (PRETA)</v>
          </cell>
          <cell r="R1044"/>
          <cell r="S1044"/>
          <cell r="T1044">
            <v>0.45</v>
          </cell>
          <cell r="U1044">
            <v>0.39</v>
          </cell>
          <cell r="V1044">
            <v>0.3</v>
          </cell>
          <cell r="W1044">
            <v>0</v>
          </cell>
          <cell r="X1044" t="str">
            <v>EST LUMINARIA PENDENTE NOVENTA (P) (INDIRETA) (PRETA) - 0,45x0,39x0,3H</v>
          </cell>
          <cell r="Y1044">
            <v>5903.52</v>
          </cell>
          <cell r="Z1044">
            <v>0.35</v>
          </cell>
          <cell r="AA1044">
            <v>3837.2880000000005</v>
          </cell>
          <cell r="AB1044"/>
        </row>
        <row r="1045">
          <cell r="C1045">
            <v>1</v>
          </cell>
          <cell r="D1045">
            <v>1</v>
          </cell>
          <cell r="E1045">
            <v>1</v>
          </cell>
          <cell r="F1045">
            <v>1</v>
          </cell>
          <cell r="H1045">
            <v>0</v>
          </cell>
          <cell r="O1045">
            <v>402541</v>
          </cell>
          <cell r="P1045" t="str">
            <v>2025/104-0023-01</v>
          </cell>
          <cell r="Q1045" t="str">
            <v>EST LUMINARIA MESA NOVENTA (G) (PRETA)</v>
          </cell>
          <cell r="R1045"/>
          <cell r="S1045"/>
          <cell r="T1045">
            <v>0.33</v>
          </cell>
          <cell r="U1045">
            <v>0.22</v>
          </cell>
          <cell r="V1045">
            <v>0.57999999999999996</v>
          </cell>
          <cell r="W1045">
            <v>0</v>
          </cell>
          <cell r="X1045" t="str">
            <v>EST LUMINARIA MESA NOVENTA (G) (PRETA) - 0,33x0,22x0,58H</v>
          </cell>
          <cell r="Y1045">
            <v>5499.78</v>
          </cell>
          <cell r="Z1045">
            <v>0.35</v>
          </cell>
          <cell r="AA1045">
            <v>3574.857</v>
          </cell>
          <cell r="AB1045"/>
        </row>
        <row r="1046">
          <cell r="C1046">
            <v>1</v>
          </cell>
          <cell r="D1046">
            <v>1</v>
          </cell>
          <cell r="E1046">
            <v>0</v>
          </cell>
          <cell r="F1046">
            <v>1</v>
          </cell>
          <cell r="H1046">
            <v>0</v>
          </cell>
          <cell r="O1046">
            <v>402542</v>
          </cell>
          <cell r="P1046" t="str">
            <v>2025/104-0027-01</v>
          </cell>
          <cell r="Q1046" t="str">
            <v>EST LLUMINARIA PISO NOVENTA (3W - 300LM) (PRETA)</v>
          </cell>
          <cell r="R1046"/>
          <cell r="S1046"/>
          <cell r="T1046">
            <v>0.26</v>
          </cell>
          <cell r="U1046">
            <v>0.12</v>
          </cell>
          <cell r="V1046">
            <v>1.62</v>
          </cell>
          <cell r="W1046">
            <v>0</v>
          </cell>
          <cell r="X1046" t="str">
            <v>EST LLUMINARIA PISO NOVENTA (3W - 300LM) (PRETA) - 0,26x0,12x1,62H</v>
          </cell>
          <cell r="Y1046">
            <v>9044.4500000000007</v>
          </cell>
          <cell r="Z1046">
            <v>0.35</v>
          </cell>
          <cell r="AA1046">
            <v>5878.8925000000008</v>
          </cell>
          <cell r="AB1046"/>
        </row>
        <row r="1047">
          <cell r="C1047">
            <v>0</v>
          </cell>
          <cell r="D1047">
            <v>1</v>
          </cell>
          <cell r="E1047">
            <v>0</v>
          </cell>
          <cell r="F1047">
            <v>0</v>
          </cell>
          <cell r="H1047">
            <v>0</v>
          </cell>
          <cell r="O1047">
            <v>274744</v>
          </cell>
          <cell r="P1047" t="str">
            <v>2021/117-0043-01</v>
          </cell>
          <cell r="Q1047" t="str">
            <v>EST MESA LATERAL ALEXANDRIA (TP MARM GTMALA) (BS MTZ CAPUCC)</v>
          </cell>
          <cell r="R1047"/>
          <cell r="S1047"/>
          <cell r="T1047">
            <v>0.5</v>
          </cell>
          <cell r="U1047">
            <v>0</v>
          </cell>
          <cell r="V1047">
            <v>0.4</v>
          </cell>
          <cell r="W1047">
            <v>0.5</v>
          </cell>
          <cell r="X1047" t="str">
            <v>EST MESA LATERAL ALEXANDRIA (TP MARM GTMALA) (BS MTZ CAPUCC) - Ø0,5x0,4H</v>
          </cell>
          <cell r="Y1047">
            <v>13970.92</v>
          </cell>
          <cell r="Z1047">
            <v>0.35</v>
          </cell>
          <cell r="AA1047">
            <v>9081.098</v>
          </cell>
          <cell r="AB1047"/>
        </row>
        <row r="1048">
          <cell r="C1048">
            <v>0</v>
          </cell>
          <cell r="D1048">
            <v>1</v>
          </cell>
          <cell r="E1048">
            <v>0</v>
          </cell>
          <cell r="F1048">
            <v>0</v>
          </cell>
          <cell r="H1048">
            <v>1</v>
          </cell>
          <cell r="O1048">
            <v>274746</v>
          </cell>
          <cell r="P1048" t="str">
            <v>2021/106-0019-01</v>
          </cell>
          <cell r="Q1048" t="str">
            <v>EST MESA CENTRO PISAC (RED) (MTZ CAPUCCINO) (LAMINA WALNUT)</v>
          </cell>
          <cell r="R1048"/>
          <cell r="S1048"/>
          <cell r="T1048">
            <v>0.9</v>
          </cell>
          <cell r="U1048">
            <v>0</v>
          </cell>
          <cell r="V1048">
            <v>0.3</v>
          </cell>
          <cell r="W1048">
            <v>0.9</v>
          </cell>
          <cell r="X1048" t="str">
            <v>EST MESA CENTRO PISAC (RED) (MTZ CAPUCCINO) (LAMINA WALNUT) - Ø0,9x0,3H</v>
          </cell>
          <cell r="Y1048">
            <v>15007.73</v>
          </cell>
          <cell r="Z1048">
            <v>0.35</v>
          </cell>
          <cell r="AA1048">
            <v>9755.0244999999995</v>
          </cell>
          <cell r="AB1048"/>
        </row>
        <row r="1049">
          <cell r="C1049">
            <v>0</v>
          </cell>
          <cell r="D1049">
            <v>0</v>
          </cell>
          <cell r="E1049">
            <v>0</v>
          </cell>
          <cell r="F1049">
            <v>0</v>
          </cell>
          <cell r="H1049">
            <v>1</v>
          </cell>
          <cell r="O1049">
            <v>334161</v>
          </cell>
          <cell r="P1049" t="str">
            <v>2022/189-0007-01</v>
          </cell>
          <cell r="Q1049" t="str">
            <v>EST PUFF ALCALA (BASE VERNIZ EBANO) FX D4144</v>
          </cell>
          <cell r="R1049"/>
          <cell r="S1049"/>
          <cell r="T1049">
            <v>1</v>
          </cell>
          <cell r="U1049">
            <v>1</v>
          </cell>
          <cell r="V1049">
            <v>0.4</v>
          </cell>
          <cell r="W1049">
            <v>0</v>
          </cell>
          <cell r="X1049" t="str">
            <v>EST PUFF ALCALA (BASE VERNIZ EBANO) FX D4144 - 1x1x0,4H</v>
          </cell>
          <cell r="Y1049">
            <v>12023.2</v>
          </cell>
          <cell r="Z1049">
            <v>0.35</v>
          </cell>
          <cell r="AA1049">
            <v>7815.0800000000008</v>
          </cell>
          <cell r="AB1049"/>
        </row>
        <row r="1050">
          <cell r="C1050">
            <v>0</v>
          </cell>
          <cell r="D1050">
            <v>1</v>
          </cell>
          <cell r="E1050">
            <v>0</v>
          </cell>
          <cell r="F1050">
            <v>0</v>
          </cell>
          <cell r="H1050">
            <v>0</v>
          </cell>
          <cell r="O1050">
            <v>334630</v>
          </cell>
          <cell r="P1050" t="str">
            <v>2022/224-0049-01</v>
          </cell>
          <cell r="Q1050" t="str">
            <v>EST MESA CENTRO PISAC (QUAD) (MTX PRETA) (MARM IMPERADOR)</v>
          </cell>
          <cell r="R1050"/>
          <cell r="S1050"/>
          <cell r="T1050">
            <v>0.9</v>
          </cell>
          <cell r="U1050">
            <v>0.9</v>
          </cell>
          <cell r="V1050">
            <v>0.4</v>
          </cell>
          <cell r="W1050">
            <v>0</v>
          </cell>
          <cell r="X1050" t="str">
            <v>EST MESA CENTRO PISAC (QUAD) (MTX PRETA) (MARM IMPERADOR) - 0,9x0,9x0,4H</v>
          </cell>
          <cell r="Y1050">
            <v>21505.93</v>
          </cell>
          <cell r="Z1050">
            <v>0.35</v>
          </cell>
          <cell r="AA1050">
            <v>13978.854500000001</v>
          </cell>
          <cell r="AB1050"/>
        </row>
        <row r="1051">
          <cell r="C1051">
            <v>0</v>
          </cell>
          <cell r="D1051">
            <v>2</v>
          </cell>
          <cell r="E1051">
            <v>0</v>
          </cell>
          <cell r="F1051">
            <v>0</v>
          </cell>
          <cell r="H1051">
            <v>0</v>
          </cell>
          <cell r="O1051">
            <v>402446</v>
          </cell>
          <cell r="P1051" t="str">
            <v>2025/101-0052-01</v>
          </cell>
          <cell r="Q1051" t="str">
            <v>EST POLTRONA NEW HARRY (GIRATORIA) FX B2312</v>
          </cell>
          <cell r="R1051"/>
          <cell r="S1051"/>
          <cell r="T1051">
            <v>0.89</v>
          </cell>
          <cell r="U1051">
            <v>0.83</v>
          </cell>
          <cell r="V1051">
            <v>0.72</v>
          </cell>
          <cell r="W1051">
            <v>0</v>
          </cell>
          <cell r="X1051" t="str">
            <v>EST POLTRONA NEW HARRY (GIRATORIA) FX B2312 - 0,89x0,83x0,72H</v>
          </cell>
          <cell r="Y1051">
            <v>8599.4</v>
          </cell>
          <cell r="Z1051">
            <v>0.35</v>
          </cell>
          <cell r="AA1051">
            <v>5589.6100000000006</v>
          </cell>
          <cell r="AB1051"/>
        </row>
        <row r="1052">
          <cell r="C1052">
            <v>0</v>
          </cell>
          <cell r="D1052">
            <v>2</v>
          </cell>
          <cell r="E1052">
            <v>0</v>
          </cell>
          <cell r="F1052">
            <v>0</v>
          </cell>
          <cell r="H1052">
            <v>0</v>
          </cell>
          <cell r="O1052">
            <v>402446</v>
          </cell>
          <cell r="P1052" t="str">
            <v>2025/101-0053-01</v>
          </cell>
          <cell r="Q1052" t="str">
            <v>EST POLTRONA NEW HARRY (GIRATORIA) FX B2312</v>
          </cell>
          <cell r="R1052"/>
          <cell r="S1052"/>
          <cell r="T1052">
            <v>0.89</v>
          </cell>
          <cell r="U1052">
            <v>0.83</v>
          </cell>
          <cell r="V1052">
            <v>0.72</v>
          </cell>
          <cell r="W1052">
            <v>0</v>
          </cell>
          <cell r="X1052" t="str">
            <v>EST POLTRONA NEW HARRY (GIRATORIA) FX B2312 - 0,89x0,83x0,72H</v>
          </cell>
          <cell r="Y1052">
            <v>8599.4</v>
          </cell>
          <cell r="Z1052">
            <v>0.35</v>
          </cell>
          <cell r="AA1052">
            <v>5589.6100000000006</v>
          </cell>
          <cell r="AB1052"/>
        </row>
        <row r="1053">
          <cell r="C1053">
            <v>2</v>
          </cell>
          <cell r="D1053">
            <v>0</v>
          </cell>
          <cell r="E1053">
            <v>0</v>
          </cell>
          <cell r="F1053">
            <v>0</v>
          </cell>
          <cell r="H1053">
            <v>0</v>
          </cell>
          <cell r="O1053">
            <v>255433</v>
          </cell>
          <cell r="P1053" t="str">
            <v>2019/340-0069-01</v>
          </cell>
          <cell r="Q1053" t="str">
            <v>EST BANCO BUENOS AIRES FX D4122</v>
          </cell>
          <cell r="R1053"/>
          <cell r="S1053"/>
          <cell r="T1053">
            <v>0.5</v>
          </cell>
          <cell r="U1053">
            <v>0.5</v>
          </cell>
          <cell r="V1053">
            <v>0.4</v>
          </cell>
          <cell r="W1053">
            <v>0</v>
          </cell>
          <cell r="X1053" t="str">
            <v>EST BANCO BUENOS AIRES FX D4122 - 0,5x0,5x0,4H</v>
          </cell>
          <cell r="Y1053">
            <v>4955.42</v>
          </cell>
          <cell r="Z1053">
            <v>0.5</v>
          </cell>
          <cell r="AA1053">
            <v>2477.71</v>
          </cell>
          <cell r="AB1053"/>
        </row>
        <row r="1054">
          <cell r="C1054">
            <v>2</v>
          </cell>
          <cell r="D1054">
            <v>0</v>
          </cell>
          <cell r="E1054">
            <v>0</v>
          </cell>
          <cell r="F1054">
            <v>0</v>
          </cell>
          <cell r="H1054">
            <v>0</v>
          </cell>
          <cell r="O1054">
            <v>255433</v>
          </cell>
          <cell r="P1054" t="str">
            <v>2019/340-0070-01</v>
          </cell>
          <cell r="Q1054" t="str">
            <v>EST BANCO BUENOS AIRES FX D4122</v>
          </cell>
          <cell r="R1054"/>
          <cell r="S1054"/>
          <cell r="T1054">
            <v>0.5</v>
          </cell>
          <cell r="U1054">
            <v>0.5</v>
          </cell>
          <cell r="V1054">
            <v>0.4</v>
          </cell>
          <cell r="W1054">
            <v>0</v>
          </cell>
          <cell r="X1054" t="str">
            <v>EST BANCO BUENOS AIRES FX D4122 - 0,5x0,5x0,4H</v>
          </cell>
          <cell r="Y1054">
            <v>4955.42</v>
          </cell>
          <cell r="Z1054">
            <v>0.5</v>
          </cell>
          <cell r="AA1054">
            <v>2477.71</v>
          </cell>
          <cell r="AB1054"/>
        </row>
        <row r="1055">
          <cell r="C1055">
            <v>0</v>
          </cell>
          <cell r="D1055">
            <v>0</v>
          </cell>
          <cell r="E1055">
            <v>0</v>
          </cell>
          <cell r="F1055">
            <v>0</v>
          </cell>
          <cell r="H1055">
            <v>1</v>
          </cell>
          <cell r="O1055">
            <v>270723</v>
          </cell>
          <cell r="P1055" t="str">
            <v>2020/300-0124-01</v>
          </cell>
          <cell r="Q1055" t="str">
            <v>EST POLTRONA PIAF FX B2199 (MTX PRETO)</v>
          </cell>
          <cell r="R1055"/>
          <cell r="S1055"/>
          <cell r="T1055">
            <v>0.75</v>
          </cell>
          <cell r="U1055">
            <v>0.74</v>
          </cell>
          <cell r="V1055">
            <v>0.75</v>
          </cell>
          <cell r="W1055">
            <v>0</v>
          </cell>
          <cell r="X1055" t="str">
            <v>EST POLTRONA PIAF FX B2199 (MTX PRETO) - 0,75x0,74x0,75H</v>
          </cell>
          <cell r="Y1055">
            <v>7270.5</v>
          </cell>
          <cell r="Z1055">
            <v>0.5</v>
          </cell>
          <cell r="AA1055">
            <v>3635.25</v>
          </cell>
          <cell r="AB1055"/>
        </row>
        <row r="1056">
          <cell r="C1056">
            <v>0</v>
          </cell>
          <cell r="D1056">
            <v>0</v>
          </cell>
          <cell r="E1056">
            <v>0</v>
          </cell>
          <cell r="F1056">
            <v>0</v>
          </cell>
          <cell r="H1056">
            <v>1</v>
          </cell>
          <cell r="O1056">
            <v>270723</v>
          </cell>
          <cell r="P1056" t="str">
            <v>2020/300-0125-01</v>
          </cell>
          <cell r="Q1056" t="str">
            <v>EST POLTRONA PIAF FX B2199 (MTX PRETO)</v>
          </cell>
          <cell r="R1056"/>
          <cell r="S1056"/>
          <cell r="T1056">
            <v>0.75</v>
          </cell>
          <cell r="U1056">
            <v>0.74</v>
          </cell>
          <cell r="V1056">
            <v>0.75</v>
          </cell>
          <cell r="W1056">
            <v>0</v>
          </cell>
          <cell r="X1056" t="str">
            <v>EST POLTRONA PIAF FX B2199 (MTX PRETO) - 0,75x0,74x0,75H</v>
          </cell>
          <cell r="Y1056">
            <v>7270.5</v>
          </cell>
          <cell r="Z1056">
            <v>0.5</v>
          </cell>
          <cell r="AA1056">
            <v>3635.25</v>
          </cell>
          <cell r="AB1056"/>
        </row>
        <row r="1057">
          <cell r="C1057">
            <v>2</v>
          </cell>
          <cell r="D1057">
            <v>2</v>
          </cell>
          <cell r="E1057">
            <v>0</v>
          </cell>
          <cell r="F1057">
            <v>0</v>
          </cell>
          <cell r="H1057">
            <v>0</v>
          </cell>
          <cell r="O1057">
            <v>327116</v>
          </cell>
          <cell r="P1057" t="str">
            <v>2022/126-0050-01</v>
          </cell>
          <cell r="Q1057" t="str">
            <v>EST POLTRONA ALBA VERNIZ NOZES) FX E5132</v>
          </cell>
          <cell r="R1057"/>
          <cell r="S1057"/>
          <cell r="T1057">
            <v>0.63</v>
          </cell>
          <cell r="U1057">
            <v>0.79</v>
          </cell>
          <cell r="V1057">
            <v>0.76</v>
          </cell>
          <cell r="W1057">
            <v>0</v>
          </cell>
          <cell r="X1057" t="str">
            <v>EST POLTRONA ALBA VERNIZ NOZES) FX E5132 - 0,63x0,79x0,76H</v>
          </cell>
          <cell r="Y1057">
            <v>8802.89</v>
          </cell>
          <cell r="Z1057">
            <v>0.5</v>
          </cell>
          <cell r="AA1057">
            <v>4401.4449999999997</v>
          </cell>
          <cell r="AB1057"/>
        </row>
        <row r="1058">
          <cell r="C1058">
            <v>2</v>
          </cell>
          <cell r="D1058">
            <v>2</v>
          </cell>
          <cell r="E1058">
            <v>0</v>
          </cell>
          <cell r="F1058">
            <v>0</v>
          </cell>
          <cell r="H1058">
            <v>0</v>
          </cell>
          <cell r="O1058">
            <v>327116</v>
          </cell>
          <cell r="P1058" t="str">
            <v>2022/126-0051-01</v>
          </cell>
          <cell r="Q1058" t="str">
            <v>EST POLTRONA ALBA VERNIZ NOZES) FX E5132</v>
          </cell>
          <cell r="R1058"/>
          <cell r="S1058"/>
          <cell r="T1058">
            <v>0.63</v>
          </cell>
          <cell r="U1058">
            <v>0.79</v>
          </cell>
          <cell r="V1058">
            <v>0.76</v>
          </cell>
          <cell r="W1058">
            <v>0</v>
          </cell>
          <cell r="X1058" t="str">
            <v>EST POLTRONA ALBA VERNIZ NOZES) FX E5132 - 0,63x0,79x0,76H</v>
          </cell>
          <cell r="Y1058">
            <v>8802.89</v>
          </cell>
          <cell r="Z1058">
            <v>0.5</v>
          </cell>
          <cell r="AA1058">
            <v>4401.4449999999997</v>
          </cell>
          <cell r="AB1058"/>
        </row>
        <row r="1059">
          <cell r="C1059">
            <v>1</v>
          </cell>
          <cell r="D1059">
            <v>0</v>
          </cell>
          <cell r="E1059">
            <v>0</v>
          </cell>
          <cell r="F1059">
            <v>0</v>
          </cell>
          <cell r="H1059">
            <v>0</v>
          </cell>
          <cell r="O1059">
            <v>398553</v>
          </cell>
          <cell r="P1059" t="str">
            <v>2025/014-0039-01</v>
          </cell>
          <cell r="Q1059" t="str">
            <v>EST SOFA CRES AUTOMATIZADO (FX E5151)</v>
          </cell>
          <cell r="R1059"/>
          <cell r="S1059"/>
          <cell r="T1059">
            <v>1.57</v>
          </cell>
          <cell r="U1059">
            <v>1.08</v>
          </cell>
          <cell r="V1059">
            <v>0.89</v>
          </cell>
          <cell r="W1059">
            <v>0</v>
          </cell>
          <cell r="X1059" t="str">
            <v>EST SOFA CRES AUTOMATIZADO (FX E5151) - 1,57x1,08x0,89H</v>
          </cell>
          <cell r="Y1059">
            <v>33174.94</v>
          </cell>
          <cell r="Z1059">
            <v>0.35</v>
          </cell>
          <cell r="AA1059">
            <v>21563.711000000003</v>
          </cell>
          <cell r="AB1059"/>
        </row>
        <row r="1060">
          <cell r="C1060">
            <v>1</v>
          </cell>
          <cell r="D1060">
            <v>2</v>
          </cell>
          <cell r="E1060">
            <v>0</v>
          </cell>
          <cell r="F1060">
            <v>0</v>
          </cell>
          <cell r="H1060">
            <v>0</v>
          </cell>
          <cell r="O1060">
            <v>274743</v>
          </cell>
          <cell r="P1060"/>
          <cell r="Q1060" t="str">
            <v>EST MESA LATERAL ALEXANDRIA (TP MARM NERO) (BS MTZ CAPUCC)</v>
          </cell>
          <cell r="R1060"/>
          <cell r="S1060"/>
          <cell r="T1060">
            <v>0.4</v>
          </cell>
          <cell r="U1060">
            <v>0</v>
          </cell>
          <cell r="V1060">
            <v>0.5</v>
          </cell>
          <cell r="W1060">
            <v>0.4</v>
          </cell>
          <cell r="X1060" t="str">
            <v>EST MESA LATERAL ALEXANDRIA (TP MARM NERO) (BS MTZ CAPUCC) - Ø0,4x0,5H</v>
          </cell>
          <cell r="Y1060">
            <v>12213.42</v>
          </cell>
          <cell r="Z1060">
            <v>0.35</v>
          </cell>
          <cell r="AA1060">
            <v>7938.723</v>
          </cell>
          <cell r="AB1060"/>
        </row>
        <row r="1061">
          <cell r="C1061">
            <v>1</v>
          </cell>
          <cell r="D1061">
            <v>0</v>
          </cell>
          <cell r="E1061">
            <v>0</v>
          </cell>
          <cell r="F1061">
            <v>0</v>
          </cell>
          <cell r="H1061">
            <v>0</v>
          </cell>
          <cell r="O1061">
            <v>327121</v>
          </cell>
          <cell r="P1061" t="str">
            <v>2022/139-0004-01</v>
          </cell>
          <cell r="Q1061" t="str">
            <v>EST MESA CENTRO SANTIAGO (TRI) (MTX MARROM) (LAMINA WALNUT)</v>
          </cell>
          <cell r="R1061"/>
          <cell r="S1061"/>
          <cell r="T1061">
            <v>1.4</v>
          </cell>
          <cell r="U1061">
            <v>1.5</v>
          </cell>
          <cell r="V1061">
            <v>0.32</v>
          </cell>
          <cell r="W1061">
            <v>0</v>
          </cell>
          <cell r="X1061" t="str">
            <v>EST MESA CENTRO SANTIAGO (TRI) (MTX MARROM) (LAMINA WALNUT) - 1,4x1,5x0,32H</v>
          </cell>
          <cell r="Y1061">
            <v>16223.56</v>
          </cell>
          <cell r="Z1061">
            <v>0.35</v>
          </cell>
          <cell r="AA1061">
            <v>10545.314</v>
          </cell>
          <cell r="AB1061"/>
        </row>
        <row r="1062">
          <cell r="C1062">
            <v>2</v>
          </cell>
          <cell r="D1062">
            <v>0</v>
          </cell>
          <cell r="E1062">
            <v>0</v>
          </cell>
          <cell r="F1062">
            <v>0</v>
          </cell>
          <cell r="H1062">
            <v>0</v>
          </cell>
          <cell r="O1062">
            <v>353126</v>
          </cell>
          <cell r="P1062" t="str">
            <v>2022/256-0020-01</v>
          </cell>
          <cell r="Q1062" t="str">
            <v>EST POLTRONA AGHATA PLUS (GIRATORIA) (MTX MARROM) FX B2220</v>
          </cell>
          <cell r="R1062"/>
          <cell r="S1062"/>
          <cell r="T1062">
            <v>0.68</v>
          </cell>
          <cell r="U1062">
            <v>0.8</v>
          </cell>
          <cell r="V1062">
            <v>0.76</v>
          </cell>
          <cell r="W1062">
            <v>0</v>
          </cell>
          <cell r="X1062" t="str">
            <v>EST POLTRONA AGHATA PLUS (GIRATORIA) (MTX MARROM) FX B2220 - 0,68x0,8x0,76H</v>
          </cell>
          <cell r="Y1062">
            <v>9627.9699999999993</v>
          </cell>
          <cell r="Z1062">
            <v>0.35</v>
          </cell>
          <cell r="AA1062">
            <v>6258.1805000000004</v>
          </cell>
          <cell r="AB1062"/>
        </row>
        <row r="1063">
          <cell r="C1063">
            <v>2</v>
          </cell>
          <cell r="D1063">
            <v>0</v>
          </cell>
          <cell r="E1063">
            <v>0</v>
          </cell>
          <cell r="F1063">
            <v>0</v>
          </cell>
          <cell r="H1063">
            <v>0</v>
          </cell>
          <cell r="O1063">
            <v>353126</v>
          </cell>
          <cell r="P1063" t="str">
            <v>2022/256-0021-01</v>
          </cell>
          <cell r="Q1063" t="str">
            <v>EST POLTRONA AGHATA PLUS (GIRATORIA) (MTX MARROM) FX B2220</v>
          </cell>
          <cell r="R1063"/>
          <cell r="S1063"/>
          <cell r="T1063">
            <v>0.68</v>
          </cell>
          <cell r="U1063">
            <v>0.8</v>
          </cell>
          <cell r="V1063">
            <v>0.76</v>
          </cell>
          <cell r="W1063">
            <v>0</v>
          </cell>
          <cell r="X1063" t="str">
            <v>EST POLTRONA AGHATA PLUS (GIRATORIA) (MTX MARROM) FX B2220 - 0,68x0,8x0,76H</v>
          </cell>
          <cell r="Y1063">
            <v>9627.9699999999993</v>
          </cell>
          <cell r="Z1063">
            <v>0.35</v>
          </cell>
          <cell r="AA1063">
            <v>6258.1805000000004</v>
          </cell>
          <cell r="AB1063"/>
        </row>
        <row r="1064">
          <cell r="C1064">
            <v>3</v>
          </cell>
          <cell r="D1064">
            <v>0</v>
          </cell>
          <cell r="E1064">
            <v>0</v>
          </cell>
          <cell r="F1064">
            <v>0</v>
          </cell>
          <cell r="H1064">
            <v>5</v>
          </cell>
          <cell r="O1064">
            <v>363833</v>
          </cell>
          <cell r="P1064" t="str">
            <v>2023/123-0103-01</v>
          </cell>
          <cell r="Q1064" t="str">
            <v>EST ALMOFADA DECORATIVA (F 39) TC TARENTO 12</v>
          </cell>
          <cell r="R1064"/>
          <cell r="S1064"/>
          <cell r="T1064">
            <v>0.6</v>
          </cell>
          <cell r="U1064">
            <v>0.6</v>
          </cell>
          <cell r="V1064">
            <v>0</v>
          </cell>
          <cell r="W1064">
            <v>0</v>
          </cell>
          <cell r="X1064" t="str">
            <v>EST ALMOFADA DECORATIVA (F 39) TC TARENTO 12 - 0,6x0,6x0H</v>
          </cell>
          <cell r="Y1064">
            <v>1229.98</v>
          </cell>
          <cell r="Z1064">
            <v>0.35</v>
          </cell>
          <cell r="AA1064">
            <v>799.48700000000008</v>
          </cell>
          <cell r="AB1064"/>
        </row>
        <row r="1065">
          <cell r="C1065">
            <v>3</v>
          </cell>
          <cell r="D1065">
            <v>0</v>
          </cell>
          <cell r="E1065">
            <v>0</v>
          </cell>
          <cell r="F1065">
            <v>0</v>
          </cell>
          <cell r="H1065">
            <v>5</v>
          </cell>
          <cell r="O1065">
            <v>363833</v>
          </cell>
          <cell r="P1065" t="str">
            <v>2023/123-0105-01</v>
          </cell>
          <cell r="Q1065" t="str">
            <v>EST ALMOFADA DECORATIVA (F 39) TC TARENTO 12</v>
          </cell>
          <cell r="R1065"/>
          <cell r="S1065"/>
          <cell r="T1065">
            <v>0.6</v>
          </cell>
          <cell r="U1065">
            <v>0.6</v>
          </cell>
          <cell r="V1065">
            <v>0</v>
          </cell>
          <cell r="W1065">
            <v>0</v>
          </cell>
          <cell r="X1065" t="str">
            <v>EST ALMOFADA DECORATIVA (F 39) TC TARENTO 12 - 0,6x0,6x0H</v>
          </cell>
          <cell r="Y1065">
            <v>1229.98</v>
          </cell>
          <cell r="Z1065">
            <v>0.35</v>
          </cell>
          <cell r="AA1065">
            <v>799.48700000000008</v>
          </cell>
          <cell r="AB1065"/>
        </row>
        <row r="1066">
          <cell r="C1066">
            <v>3</v>
          </cell>
          <cell r="D1066">
            <v>0</v>
          </cell>
          <cell r="E1066">
            <v>0</v>
          </cell>
          <cell r="F1066">
            <v>0</v>
          </cell>
          <cell r="H1066">
            <v>5</v>
          </cell>
          <cell r="O1066">
            <v>363833</v>
          </cell>
          <cell r="P1066" t="str">
            <v>2023/123-0100-01</v>
          </cell>
          <cell r="Q1066" t="str">
            <v>EST ALMOFADA DECORATIVA (F 39) TC TARENTO 12</v>
          </cell>
          <cell r="R1066"/>
          <cell r="S1066"/>
          <cell r="T1066">
            <v>0.6</v>
          </cell>
          <cell r="U1066">
            <v>0.6</v>
          </cell>
          <cell r="V1066">
            <v>0</v>
          </cell>
          <cell r="W1066">
            <v>0</v>
          </cell>
          <cell r="X1066" t="str">
            <v>EST ALMOFADA DECORATIVA (F 39) TC TARENTO 12 - 0,6x0,6x0H</v>
          </cell>
          <cell r="Y1066">
            <v>1229.98</v>
          </cell>
          <cell r="Z1066">
            <v>0.35</v>
          </cell>
          <cell r="AA1066">
            <v>799.48700000000008</v>
          </cell>
          <cell r="AB1066"/>
        </row>
        <row r="1067">
          <cell r="C1067">
            <v>2</v>
          </cell>
          <cell r="D1067">
            <v>0</v>
          </cell>
          <cell r="E1067">
            <v>0</v>
          </cell>
          <cell r="F1067">
            <v>0</v>
          </cell>
          <cell r="H1067">
            <v>0</v>
          </cell>
          <cell r="O1067">
            <v>364608</v>
          </cell>
          <cell r="P1067" t="str">
            <v>2023/087-0018-01</v>
          </cell>
          <cell r="Q1067" t="str">
            <v>EST POLTRONA NEW HARRY (GIRATORIA) FX D4119</v>
          </cell>
          <cell r="R1067"/>
          <cell r="S1067"/>
          <cell r="T1067">
            <v>0.89</v>
          </cell>
          <cell r="U1067">
            <v>0.83</v>
          </cell>
          <cell r="V1067">
            <v>0.72</v>
          </cell>
          <cell r="W1067">
            <v>0</v>
          </cell>
          <cell r="X1067" t="str">
            <v>EST POLTRONA NEW HARRY (GIRATORIA) FX D4119 - 0,89x0,83x0,72H</v>
          </cell>
          <cell r="Y1067">
            <v>9698.48</v>
          </cell>
          <cell r="Z1067">
            <v>0.35</v>
          </cell>
          <cell r="AA1067">
            <v>6304.0119999999997</v>
          </cell>
          <cell r="AB1067"/>
        </row>
        <row r="1068">
          <cell r="C1068">
            <v>2</v>
          </cell>
          <cell r="D1068">
            <v>0</v>
          </cell>
          <cell r="E1068">
            <v>0</v>
          </cell>
          <cell r="F1068">
            <v>0</v>
          </cell>
          <cell r="H1068">
            <v>0</v>
          </cell>
          <cell r="O1068">
            <v>364608</v>
          </cell>
          <cell r="P1068" t="str">
            <v>2023/087-0019-01</v>
          </cell>
          <cell r="Q1068" t="str">
            <v>EST POLTRONA NEW HARRY (GIRATORIA) FX D4119</v>
          </cell>
          <cell r="R1068"/>
          <cell r="S1068"/>
          <cell r="T1068">
            <v>0.89</v>
          </cell>
          <cell r="U1068">
            <v>0.83</v>
          </cell>
          <cell r="V1068">
            <v>0.72</v>
          </cell>
          <cell r="W1068">
            <v>0</v>
          </cell>
          <cell r="X1068" t="str">
            <v>EST POLTRONA NEW HARRY (GIRATORIA) FX D4119 - 0,89x0,83x0,72H</v>
          </cell>
          <cell r="Y1068">
            <v>9698.48</v>
          </cell>
          <cell r="Z1068">
            <v>0.35</v>
          </cell>
          <cell r="AA1068">
            <v>6304.0119999999997</v>
          </cell>
          <cell r="AB1068"/>
        </row>
        <row r="1069">
          <cell r="C1069">
            <v>1</v>
          </cell>
          <cell r="D1069">
            <v>0</v>
          </cell>
          <cell r="E1069">
            <v>0</v>
          </cell>
          <cell r="F1069">
            <v>0</v>
          </cell>
          <cell r="H1069">
            <v>0</v>
          </cell>
          <cell r="O1069">
            <v>373797</v>
          </cell>
          <cell r="P1069" t="str">
            <v>2023/282-0034-01</v>
          </cell>
          <cell r="Q1069" t="str">
            <v>EST CAMA POMME (QUEEN) FX D4121</v>
          </cell>
          <cell r="R1069"/>
          <cell r="S1069"/>
          <cell r="T1069">
            <v>3.15</v>
          </cell>
          <cell r="U1069">
            <v>2.5</v>
          </cell>
          <cell r="V1069">
            <v>0.87</v>
          </cell>
          <cell r="W1069">
            <v>0</v>
          </cell>
          <cell r="X1069" t="str">
            <v>EST CAMA POMME (QUEEN) FX D4121 - 3,15x2,5x0,87H</v>
          </cell>
          <cell r="Y1069">
            <v>25818.02</v>
          </cell>
          <cell r="Z1069">
            <v>0.35</v>
          </cell>
          <cell r="AA1069">
            <v>16781.713000000003</v>
          </cell>
          <cell r="AB1069"/>
        </row>
        <row r="1070">
          <cell r="C1070">
            <v>1</v>
          </cell>
          <cell r="D1070">
            <v>0</v>
          </cell>
          <cell r="E1070">
            <v>0</v>
          </cell>
          <cell r="F1070">
            <v>0</v>
          </cell>
          <cell r="H1070">
            <v>0</v>
          </cell>
          <cell r="O1070">
            <v>373801</v>
          </cell>
          <cell r="P1070" t="str">
            <v>2023/282-0035-01</v>
          </cell>
          <cell r="Q1070" t="str">
            <v>EST BANCO POMME FX D4121</v>
          </cell>
          <cell r="R1070"/>
          <cell r="S1070"/>
          <cell r="T1070">
            <v>1.7</v>
          </cell>
          <cell r="U1070">
            <v>0.65</v>
          </cell>
          <cell r="V1070">
            <v>0.44</v>
          </cell>
          <cell r="W1070">
            <v>0</v>
          </cell>
          <cell r="X1070" t="str">
            <v>EST BANCO POMME FX D4121 - 1,7x0,65x0,44H</v>
          </cell>
          <cell r="Y1070">
            <v>9307.3799999999992</v>
          </cell>
          <cell r="Z1070">
            <v>0.35</v>
          </cell>
          <cell r="AA1070">
            <v>6049.7969999999996</v>
          </cell>
          <cell r="AB1070"/>
        </row>
        <row r="1071">
          <cell r="C1071">
            <v>2</v>
          </cell>
          <cell r="D1071">
            <v>0</v>
          </cell>
          <cell r="E1071">
            <v>0</v>
          </cell>
          <cell r="F1071">
            <v>0</v>
          </cell>
          <cell r="H1071">
            <v>0</v>
          </cell>
          <cell r="O1071">
            <v>380117</v>
          </cell>
          <cell r="P1071" t="str">
            <v>2024/100-0011-01</v>
          </cell>
          <cell r="Q1071" t="str">
            <v>EST POLTRONA FIDDA (GIR VERNIZ NOZES) FX D4235</v>
          </cell>
          <cell r="R1071"/>
          <cell r="S1071"/>
          <cell r="T1071">
            <v>0.8</v>
          </cell>
          <cell r="U1071">
            <v>0.82</v>
          </cell>
          <cell r="V1071">
            <v>0.73</v>
          </cell>
          <cell r="W1071">
            <v>0</v>
          </cell>
          <cell r="X1071" t="str">
            <v>EST POLTRONA FIDDA (GIR VERNIZ NOZES) FX D4235 - 0,8x0,82x0,73H</v>
          </cell>
          <cell r="Y1071">
            <v>11231.09</v>
          </cell>
          <cell r="Z1071">
            <v>0.35</v>
          </cell>
          <cell r="AA1071">
            <v>7300.2085000000006</v>
          </cell>
          <cell r="AB1071"/>
        </row>
        <row r="1072">
          <cell r="C1072">
            <v>2</v>
          </cell>
          <cell r="D1072">
            <v>0</v>
          </cell>
          <cell r="E1072">
            <v>0</v>
          </cell>
          <cell r="F1072">
            <v>0</v>
          </cell>
          <cell r="H1072">
            <v>0</v>
          </cell>
          <cell r="O1072">
            <v>380117</v>
          </cell>
          <cell r="P1072" t="str">
            <v>2024/163-0008-01</v>
          </cell>
          <cell r="Q1072" t="str">
            <v>EST POLTRONA FIDDA (GIR VERNIZ NOZES) FX D4235</v>
          </cell>
          <cell r="R1072"/>
          <cell r="S1072"/>
          <cell r="T1072">
            <v>0.8</v>
          </cell>
          <cell r="U1072">
            <v>0.82</v>
          </cell>
          <cell r="V1072">
            <v>0.73</v>
          </cell>
          <cell r="W1072">
            <v>0</v>
          </cell>
          <cell r="X1072" t="str">
            <v>EST POLTRONA FIDDA (GIR VERNIZ NOZES) FX D4235 - 0,8x0,82x0,73H</v>
          </cell>
          <cell r="Y1072">
            <v>11231.09</v>
          </cell>
          <cell r="Z1072">
            <v>0.35</v>
          </cell>
          <cell r="AA1072">
            <v>7300.2085000000006</v>
          </cell>
          <cell r="AB1072"/>
        </row>
        <row r="1073">
          <cell r="C1073">
            <v>1</v>
          </cell>
          <cell r="D1073">
            <v>0</v>
          </cell>
          <cell r="E1073">
            <v>0</v>
          </cell>
          <cell r="F1073">
            <v>0</v>
          </cell>
          <cell r="H1073">
            <v>0</v>
          </cell>
          <cell r="O1073">
            <v>399358</v>
          </cell>
          <cell r="P1073" t="str">
            <v>2025/029-0003-01</v>
          </cell>
          <cell r="Q1073" t="str">
            <v>EST SOFA NEW ANDROS (2B) FX D4234 (BASE LAMINA WALNUT)</v>
          </cell>
          <cell r="R1073"/>
          <cell r="S1073"/>
          <cell r="T1073">
            <v>3</v>
          </cell>
          <cell r="U1073">
            <v>1.5</v>
          </cell>
          <cell r="V1073">
            <v>0.76</v>
          </cell>
          <cell r="W1073">
            <v>0</v>
          </cell>
          <cell r="X1073" t="str">
            <v>EST SOFA NEW ANDROS (2B) FX D4234 (BASE LAMINA WALNUT) - 3x1,5x0,76H</v>
          </cell>
          <cell r="Y1073">
            <v>50640.98</v>
          </cell>
          <cell r="Z1073">
            <v>0.35</v>
          </cell>
          <cell r="AA1073">
            <v>32916.637000000002</v>
          </cell>
          <cell r="AB1073"/>
        </row>
        <row r="1074">
          <cell r="C1074">
            <v>0</v>
          </cell>
          <cell r="D1074">
            <v>0</v>
          </cell>
          <cell r="E1074">
            <v>2</v>
          </cell>
          <cell r="F1074">
            <v>0</v>
          </cell>
          <cell r="H1074">
            <v>0</v>
          </cell>
          <cell r="O1074">
            <v>394915</v>
          </cell>
          <cell r="P1074" t="str">
            <v>2025/014-0023-01</v>
          </cell>
          <cell r="Q1074" t="str">
            <v>EST POLTRONA ELAN (GIR) (ENC FX G7147) (FX G7147)</v>
          </cell>
          <cell r="R1074"/>
          <cell r="S1074"/>
          <cell r="T1074">
            <v>0.7</v>
          </cell>
          <cell r="U1074">
            <v>0.68</v>
          </cell>
          <cell r="V1074">
            <v>0.76</v>
          </cell>
          <cell r="W1074">
            <v>0</v>
          </cell>
          <cell r="X1074" t="str">
            <v>EST POLTRONA ELAN (GIR) (ENC FX G7147) (FX G7147) - 0,7x0,68x0,76H</v>
          </cell>
          <cell r="Y1074">
            <v>10080.629999999999</v>
          </cell>
          <cell r="Z1074">
            <v>0.35</v>
          </cell>
          <cell r="AA1074">
            <v>6552.4094999999998</v>
          </cell>
          <cell r="AB1074"/>
        </row>
        <row r="1075">
          <cell r="C1075">
            <v>0</v>
          </cell>
          <cell r="D1075">
            <v>0</v>
          </cell>
          <cell r="E1075">
            <v>2</v>
          </cell>
          <cell r="F1075">
            <v>0</v>
          </cell>
          <cell r="H1075">
            <v>0</v>
          </cell>
          <cell r="O1075">
            <v>394915</v>
          </cell>
          <cell r="P1075" t="str">
            <v>2025/014-0024-01</v>
          </cell>
          <cell r="Q1075" t="str">
            <v>EST POLTRONA ELAN (GIR) (ENC FX G7147) (FX G7147)</v>
          </cell>
          <cell r="R1075"/>
          <cell r="S1075"/>
          <cell r="T1075">
            <v>0.7</v>
          </cell>
          <cell r="U1075">
            <v>0.68</v>
          </cell>
          <cell r="V1075">
            <v>0.76</v>
          </cell>
          <cell r="W1075">
            <v>0</v>
          </cell>
          <cell r="X1075" t="str">
            <v>EST POLTRONA ELAN (GIR) (ENC FX G7147) (FX G7147) - 0,7x0,68x0,76H</v>
          </cell>
          <cell r="Y1075">
            <v>10080.629999999999</v>
          </cell>
          <cell r="Z1075">
            <v>0.35</v>
          </cell>
          <cell r="AA1075">
            <v>6552.4094999999998</v>
          </cell>
          <cell r="AB1075"/>
        </row>
        <row r="1076">
          <cell r="C1076">
            <v>0</v>
          </cell>
          <cell r="D1076">
            <v>0</v>
          </cell>
          <cell r="E1076">
            <v>1</v>
          </cell>
          <cell r="F1076">
            <v>0</v>
          </cell>
          <cell r="H1076">
            <v>0</v>
          </cell>
          <cell r="O1076">
            <v>394935</v>
          </cell>
          <cell r="P1076" t="str">
            <v>2024/352-0066-01</v>
          </cell>
          <cell r="Q1076" t="str">
            <v>EST BUFFET ROUND (TP MARM 1 TRAVERTINO) (WALNUT)</v>
          </cell>
          <cell r="R1076"/>
          <cell r="S1076"/>
          <cell r="T1076">
            <v>1.6</v>
          </cell>
          <cell r="U1076">
            <v>0.5</v>
          </cell>
          <cell r="V1076">
            <v>0.83</v>
          </cell>
          <cell r="W1076">
            <v>0</v>
          </cell>
          <cell r="X1076" t="str">
            <v>EST BUFFET ROUND (TP MARM 1 TRAVERTINO) (WALNUT) - 1,6x0,5x0,83H</v>
          </cell>
          <cell r="Y1076">
            <v>41140.15</v>
          </cell>
          <cell r="Z1076">
            <v>0.35</v>
          </cell>
          <cell r="AA1076">
            <v>26741.097500000003</v>
          </cell>
          <cell r="AB1076"/>
        </row>
        <row r="1077">
          <cell r="C1077">
            <v>0</v>
          </cell>
          <cell r="D1077">
            <v>0</v>
          </cell>
          <cell r="E1077">
            <v>1</v>
          </cell>
          <cell r="F1077">
            <v>0</v>
          </cell>
          <cell r="H1077">
            <v>0</v>
          </cell>
          <cell r="O1077">
            <v>394991</v>
          </cell>
          <cell r="P1077" t="str">
            <v>2025/014-0050-01</v>
          </cell>
          <cell r="Q1077" t="str">
            <v>EST BANCO VITALITE I (MTZ MOCCA) (WALNUT) (MTZ) COURO AVELA</v>
          </cell>
          <cell r="R1077"/>
          <cell r="S1077"/>
          <cell r="T1077">
            <v>1.58</v>
          </cell>
          <cell r="U1077">
            <v>0.45</v>
          </cell>
          <cell r="V1077">
            <v>0.42</v>
          </cell>
          <cell r="W1077">
            <v>0</v>
          </cell>
          <cell r="X1077" t="str">
            <v>EST BANCO VITALITE I (MTZ MOCCA) (WALNUT) (MTZ) COURO AVELA - 1,58x0,45x0,42H</v>
          </cell>
          <cell r="Y1077">
            <v>18789.21</v>
          </cell>
          <cell r="Z1077">
            <v>0.35</v>
          </cell>
          <cell r="AA1077">
            <v>12212.986499999999</v>
          </cell>
          <cell r="AB1077"/>
        </row>
        <row r="1078">
          <cell r="C1078">
            <v>0</v>
          </cell>
          <cell r="D1078">
            <v>2</v>
          </cell>
          <cell r="E1078">
            <v>0</v>
          </cell>
          <cell r="F1078">
            <v>0</v>
          </cell>
          <cell r="H1078">
            <v>0</v>
          </cell>
          <cell r="O1078">
            <v>394918</v>
          </cell>
          <cell r="P1078" t="str">
            <v>2025/014-0025-01</v>
          </cell>
          <cell r="Q1078" t="str">
            <v>EST POLTRONA ELAN (GIR) (ENC FX F6247) (FX F6247)</v>
          </cell>
          <cell r="R1078"/>
          <cell r="S1078"/>
          <cell r="T1078">
            <v>0.7</v>
          </cell>
          <cell r="U1078">
            <v>0.68</v>
          </cell>
          <cell r="V1078">
            <v>0.76</v>
          </cell>
          <cell r="W1078">
            <v>0</v>
          </cell>
          <cell r="X1078" t="str">
            <v>EST POLTRONA ELAN (GIR) (ENC FX F6247) (FX F6247) - 0,7x0,68x0,76H</v>
          </cell>
          <cell r="Y1078">
            <v>9741.1299999999992</v>
          </cell>
          <cell r="Z1078">
            <v>0.35</v>
          </cell>
          <cell r="AA1078">
            <v>6331.7344999999996</v>
          </cell>
          <cell r="AB1078"/>
        </row>
        <row r="1079">
          <cell r="C1079">
            <v>0</v>
          </cell>
          <cell r="D1079">
            <v>2</v>
          </cell>
          <cell r="E1079">
            <v>0</v>
          </cell>
          <cell r="F1079">
            <v>0</v>
          </cell>
          <cell r="H1079">
            <v>0</v>
          </cell>
          <cell r="O1079">
            <v>394918</v>
          </cell>
          <cell r="P1079" t="str">
            <v>2025/014-0026-01</v>
          </cell>
          <cell r="Q1079" t="str">
            <v>EST POLTRONA ELAN (GIR) (ENC FX F6247) (FX F6247)</v>
          </cell>
          <cell r="R1079"/>
          <cell r="S1079"/>
          <cell r="T1079">
            <v>0.7</v>
          </cell>
          <cell r="U1079">
            <v>0.68</v>
          </cell>
          <cell r="V1079">
            <v>0.76</v>
          </cell>
          <cell r="W1079">
            <v>0</v>
          </cell>
          <cell r="X1079" t="str">
            <v>EST POLTRONA ELAN (GIR) (ENC FX F6247) (FX F6247) - 0,7x0,68x0,76H</v>
          </cell>
          <cell r="Y1079">
            <v>9741.1299999999992</v>
          </cell>
          <cell r="Z1079">
            <v>0.35</v>
          </cell>
          <cell r="AA1079">
            <v>6331.7344999999996</v>
          </cell>
          <cell r="AB1079"/>
        </row>
        <row r="1080">
          <cell r="C1080">
            <v>0</v>
          </cell>
          <cell r="D1080">
            <v>1</v>
          </cell>
          <cell r="E1080">
            <v>0</v>
          </cell>
          <cell r="F1080">
            <v>0</v>
          </cell>
          <cell r="H1080">
            <v>0</v>
          </cell>
          <cell r="O1080">
            <v>271754</v>
          </cell>
          <cell r="P1080" t="str">
            <v>2021/046-0021-01</v>
          </cell>
          <cell r="Q1080" t="str">
            <v>EST ABAJOUR ASPEN (INOX) (CUPULA LINHO BEGE)</v>
          </cell>
          <cell r="R1080"/>
          <cell r="S1080"/>
          <cell r="T1080">
            <v>0.4</v>
          </cell>
          <cell r="U1080">
            <v>0</v>
          </cell>
          <cell r="V1080">
            <v>0</v>
          </cell>
          <cell r="W1080">
            <v>0.4</v>
          </cell>
          <cell r="X1080" t="str">
            <v>EST ABAJOUR ASPEN (INOX) (CUPULA LINHO BEGE) - Ø0,4x0H</v>
          </cell>
          <cell r="Y1080">
            <v>5219.2</v>
          </cell>
          <cell r="Z1080">
            <v>0.35</v>
          </cell>
          <cell r="AA1080">
            <v>3392.48</v>
          </cell>
          <cell r="AB1080"/>
        </row>
        <row r="1081">
          <cell r="C1081">
            <v>0</v>
          </cell>
          <cell r="D1081">
            <v>0</v>
          </cell>
          <cell r="E1081">
            <v>1</v>
          </cell>
          <cell r="F1081">
            <v>0</v>
          </cell>
          <cell r="H1081">
            <v>0</v>
          </cell>
          <cell r="O1081">
            <v>371594</v>
          </cell>
          <cell r="P1081" t="str">
            <v>2023/269-0006-01</v>
          </cell>
          <cell r="Q1081" t="str">
            <v>EST MESA JANTAR THAI (TP MARM 1 NUVOLA GOLD) (ITALIAN ELM)</v>
          </cell>
          <cell r="R1081"/>
          <cell r="S1081"/>
          <cell r="T1081">
            <v>3</v>
          </cell>
          <cell r="U1081">
            <v>1.2</v>
          </cell>
          <cell r="V1081">
            <v>0.76</v>
          </cell>
          <cell r="W1081">
            <v>0</v>
          </cell>
          <cell r="X1081" t="str">
            <v>EST MESA JANTAR THAI (TP MARM 1 NUVOLA GOLD) (ITALIAN ELM) - 3x1,2x0,76H</v>
          </cell>
          <cell r="Y1081">
            <v>96387.92</v>
          </cell>
          <cell r="Z1081">
            <v>0.35</v>
          </cell>
          <cell r="AA1081">
            <v>62652.148000000001</v>
          </cell>
          <cell r="AB1081"/>
        </row>
        <row r="1082">
          <cell r="C1082">
            <v>0</v>
          </cell>
          <cell r="D1082">
            <v>1</v>
          </cell>
          <cell r="E1082">
            <v>0</v>
          </cell>
          <cell r="F1082">
            <v>0</v>
          </cell>
          <cell r="H1082">
            <v>0</v>
          </cell>
          <cell r="O1082">
            <v>371578</v>
          </cell>
          <cell r="P1082" t="str">
            <v>2023/258-0040-01</v>
          </cell>
          <cell r="Q1082" t="str">
            <v>EST MESA JANTAR PETRA (TP LACA MTZ COSMIC) (BS LAM NAT OAK)</v>
          </cell>
          <cell r="R1082"/>
          <cell r="S1082"/>
          <cell r="T1082">
            <v>1.6</v>
          </cell>
          <cell r="U1082">
            <v>0</v>
          </cell>
          <cell r="V1082">
            <v>0.76</v>
          </cell>
          <cell r="W1082">
            <v>1.6</v>
          </cell>
          <cell r="X1082" t="str">
            <v>EST MESA JANTAR PETRA (TP LACA MTZ COSMIC) (BS LAM NAT OAK) - Ø1,6x0,76H</v>
          </cell>
          <cell r="Y1082">
            <v>48540.04</v>
          </cell>
          <cell r="Z1082">
            <v>0.35</v>
          </cell>
          <cell r="AA1082">
            <v>31551.026000000002</v>
          </cell>
          <cell r="AB1082"/>
        </row>
        <row r="1083">
          <cell r="C1083">
            <v>0</v>
          </cell>
          <cell r="D1083">
            <v>1</v>
          </cell>
          <cell r="E1083">
            <v>0</v>
          </cell>
          <cell r="F1083">
            <v>0</v>
          </cell>
          <cell r="H1083">
            <v>0</v>
          </cell>
          <cell r="O1083">
            <v>371599</v>
          </cell>
          <cell r="P1083" t="str">
            <v>2023/258-0043-01</v>
          </cell>
          <cell r="Q1083" t="str">
            <v>EST MESA CENTRO ECLIPSE (MARM 1 CARRAR/ESP FUM) (MTZ CARBN)</v>
          </cell>
          <cell r="R1083"/>
          <cell r="S1083"/>
          <cell r="T1083">
            <v>1.6</v>
          </cell>
          <cell r="U1083">
            <v>1.2</v>
          </cell>
          <cell r="V1083">
            <v>0.35</v>
          </cell>
          <cell r="W1083">
            <v>0</v>
          </cell>
          <cell r="X1083" t="str">
            <v>EST MESA CENTRO ECLIPSE (MARM 1 CARRAR/ESP FUM) (MTZ CARBN) - 1,6x1,2x0,35H</v>
          </cell>
          <cell r="Y1083">
            <v>49454.32</v>
          </cell>
          <cell r="Z1083">
            <v>0.35</v>
          </cell>
          <cell r="AA1083">
            <v>32145.308000000001</v>
          </cell>
          <cell r="AB1083"/>
        </row>
        <row r="1084">
          <cell r="C1084">
            <v>3</v>
          </cell>
          <cell r="D1084">
            <v>1</v>
          </cell>
          <cell r="E1084">
            <v>0</v>
          </cell>
          <cell r="F1084">
            <v>0</v>
          </cell>
          <cell r="H1084">
            <v>0</v>
          </cell>
          <cell r="O1084">
            <v>312446</v>
          </cell>
          <cell r="P1084" t="str">
            <v>2021/354-0005-01</v>
          </cell>
          <cell r="Q1084" t="str">
            <v>EST LUMINARIA DE TETO BELL II (3114)</v>
          </cell>
          <cell r="R1084"/>
          <cell r="S1084"/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 t="str">
            <v>EST LUMINARIA DE TETO BELL II (3114) - Ø0x0H</v>
          </cell>
          <cell r="Y1084">
            <v>1904</v>
          </cell>
          <cell r="Z1084">
            <v>0.5</v>
          </cell>
          <cell r="AA1084">
            <v>952</v>
          </cell>
          <cell r="AB1084"/>
        </row>
        <row r="1085">
          <cell r="C1085">
            <v>1</v>
          </cell>
          <cell r="D1085">
            <v>0</v>
          </cell>
          <cell r="E1085">
            <v>0</v>
          </cell>
          <cell r="F1085">
            <v>0</v>
          </cell>
          <cell r="H1085">
            <v>0</v>
          </cell>
          <cell r="O1085">
            <v>371591</v>
          </cell>
          <cell r="P1085" t="str">
            <v>2023/258-0042-01</v>
          </cell>
          <cell r="Q1085" t="str">
            <v>EST MESA JANTAR PETRA (TP MARM 2 NEW ROME) (ITALIAN ELM)</v>
          </cell>
          <cell r="R1085"/>
          <cell r="S1085"/>
          <cell r="T1085">
            <v>1.8</v>
          </cell>
          <cell r="U1085">
            <v>0</v>
          </cell>
          <cell r="V1085">
            <v>0.76</v>
          </cell>
          <cell r="W1085">
            <v>1.8</v>
          </cell>
          <cell r="X1085" t="str">
            <v>EST MESA JANTAR PETRA (TP MARM 2 NEW ROME) (ITALIAN ELM) - Ø1,8x0,76H</v>
          </cell>
          <cell r="Y1085">
            <v>111643.53</v>
          </cell>
          <cell r="Z1085">
            <v>0.5</v>
          </cell>
          <cell r="AA1085">
            <v>55821.764999999999</v>
          </cell>
          <cell r="AB1085"/>
        </row>
        <row r="1086">
          <cell r="C1086">
            <v>1</v>
          </cell>
          <cell r="D1086">
            <v>0</v>
          </cell>
          <cell r="E1086">
            <v>0</v>
          </cell>
          <cell r="F1086">
            <v>0</v>
          </cell>
          <cell r="H1086">
            <v>0</v>
          </cell>
          <cell r="O1086">
            <v>371603</v>
          </cell>
          <cell r="P1086" t="str">
            <v>2023/269-0008-01</v>
          </cell>
          <cell r="Q1086" t="str">
            <v>EST MESA CENTRO ECLIPSE (MARM 1 TRAVERTINO/ARMANI) (SABBIA)</v>
          </cell>
          <cell r="R1086"/>
          <cell r="S1086"/>
          <cell r="T1086">
            <v>1.6</v>
          </cell>
          <cell r="U1086">
            <v>1.2</v>
          </cell>
          <cell r="V1086">
            <v>0.38</v>
          </cell>
          <cell r="W1086">
            <v>0</v>
          </cell>
          <cell r="X1086" t="str">
            <v>EST MESA CENTRO ECLIPSE (MARM 1 TRAVERTINO/ARMANI) (SABBIA) - 1,6x1,2x0,38H</v>
          </cell>
          <cell r="Y1086">
            <v>49454.32</v>
          </cell>
          <cell r="Z1086">
            <v>0.35</v>
          </cell>
          <cell r="AA1086">
            <v>32145.308000000001</v>
          </cell>
          <cell r="AB1086"/>
        </row>
        <row r="1087">
          <cell r="C1087">
            <v>1</v>
          </cell>
          <cell r="D1087">
            <v>0</v>
          </cell>
          <cell r="E1087">
            <v>0</v>
          </cell>
          <cell r="F1087">
            <v>0</v>
          </cell>
          <cell r="H1087">
            <v>0</v>
          </cell>
          <cell r="O1087">
            <v>371592</v>
          </cell>
          <cell r="P1087" t="str">
            <v>2023/269-0005-01</v>
          </cell>
          <cell r="Q1087" t="str">
            <v>EST MESA JANTAR THAI (TP LAMINA WALNUT) (LAM WALNUT)</v>
          </cell>
          <cell r="R1087"/>
          <cell r="S1087"/>
          <cell r="T1087">
            <v>3</v>
          </cell>
          <cell r="U1087">
            <v>1.2</v>
          </cell>
          <cell r="V1087">
            <v>0.76</v>
          </cell>
          <cell r="W1087">
            <v>0</v>
          </cell>
          <cell r="X1087" t="str">
            <v>EST MESA JANTAR THAI (TP LAMINA WALNUT) (LAM WALNUT) - 3x1,2x0,76H</v>
          </cell>
          <cell r="Y1087">
            <v>43300.01</v>
          </cell>
          <cell r="Z1087">
            <v>0.35</v>
          </cell>
          <cell r="AA1087">
            <v>28145.006500000003</v>
          </cell>
          <cell r="AB1087"/>
        </row>
        <row r="1088">
          <cell r="C1088">
            <v>2</v>
          </cell>
          <cell r="D1088">
            <v>0</v>
          </cell>
          <cell r="E1088">
            <v>0</v>
          </cell>
          <cell r="F1088">
            <v>0</v>
          </cell>
          <cell r="H1088">
            <v>0</v>
          </cell>
          <cell r="O1088">
            <v>404174</v>
          </cell>
          <cell r="P1088" t="str">
            <v>2025/148-0046-01</v>
          </cell>
          <cell r="Q1088" t="str">
            <v>EST MOVEL AUXILIAR BARCELONA (MARM 1 NUVOLA GOLD) LAM WALNUT</v>
          </cell>
          <cell r="R1088"/>
          <cell r="S1088"/>
          <cell r="T1088">
            <v>0.5</v>
          </cell>
          <cell r="U1088">
            <v>0</v>
          </cell>
          <cell r="V1088">
            <v>0.55000000000000004</v>
          </cell>
          <cell r="W1088">
            <v>0.5</v>
          </cell>
          <cell r="X1088" t="str">
            <v>EST MOVEL AUXILIAR BARCELONA (MARM 1 NUVOLA GOLD) LAM WALNUT - Ø0,5x0,55H</v>
          </cell>
          <cell r="Y1088">
            <v>16629.45</v>
          </cell>
          <cell r="Z1088">
            <v>0.35</v>
          </cell>
          <cell r="AA1088">
            <v>10809.142500000002</v>
          </cell>
          <cell r="AB1088"/>
        </row>
        <row r="1089">
          <cell r="C1089">
            <v>2</v>
          </cell>
          <cell r="D1089">
            <v>0</v>
          </cell>
          <cell r="E1089">
            <v>0</v>
          </cell>
          <cell r="F1089">
            <v>0</v>
          </cell>
          <cell r="H1089">
            <v>0</v>
          </cell>
          <cell r="O1089">
            <v>404174</v>
          </cell>
          <cell r="P1089" t="str">
            <v>2025/148-0044-01</v>
          </cell>
          <cell r="Q1089" t="str">
            <v>EST MOVEL AUXILIAR BARCELONA (MARM 1 NUVOLA GOLD) LAM WALNUT</v>
          </cell>
          <cell r="R1089"/>
          <cell r="S1089"/>
          <cell r="T1089">
            <v>0.5</v>
          </cell>
          <cell r="U1089">
            <v>0</v>
          </cell>
          <cell r="V1089">
            <v>0.55000000000000004</v>
          </cell>
          <cell r="W1089">
            <v>0.5</v>
          </cell>
          <cell r="X1089" t="str">
            <v>EST MOVEL AUXILIAR BARCELONA (MARM 1 NUVOLA GOLD) LAM WALNUT - Ø0,5x0,55H</v>
          </cell>
          <cell r="Y1089">
            <v>16629.45</v>
          </cell>
          <cell r="Z1089">
            <v>0.35</v>
          </cell>
          <cell r="AA1089">
            <v>10809.142500000002</v>
          </cell>
          <cell r="AB1089"/>
        </row>
        <row r="1090">
          <cell r="C1090">
            <v>1</v>
          </cell>
          <cell r="D1090">
            <v>0</v>
          </cell>
          <cell r="E1090">
            <v>0</v>
          </cell>
          <cell r="F1090">
            <v>0</v>
          </cell>
          <cell r="H1090">
            <v>0</v>
          </cell>
          <cell r="O1090">
            <v>274992</v>
          </cell>
          <cell r="P1090" t="str">
            <v>2021/165-0103-01</v>
          </cell>
          <cell r="Q1090" t="str">
            <v>EST BUFFET SHO ALTO (CORPO LAMINADO NOGUEIRA/MTZ OXI)</v>
          </cell>
          <cell r="R1090"/>
          <cell r="S1090"/>
          <cell r="T1090">
            <v>2.2000000000000002</v>
          </cell>
          <cell r="U1090">
            <v>0.43</v>
          </cell>
          <cell r="V1090">
            <v>0.75</v>
          </cell>
          <cell r="W1090">
            <v>0</v>
          </cell>
          <cell r="X1090" t="str">
            <v>EST BUFFET SHO ALTO (CORPO LAMINADO NOGUEIRA/MTZ OXI) - 2,2x0,43x0,75H</v>
          </cell>
          <cell r="Y1090">
            <v>44380.27</v>
          </cell>
          <cell r="Z1090">
            <v>0.5</v>
          </cell>
          <cell r="AA1090">
            <v>22190.134999999998</v>
          </cell>
          <cell r="AB1090"/>
        </row>
        <row r="1091">
          <cell r="C1091">
            <v>2</v>
          </cell>
          <cell r="D1091">
            <v>1</v>
          </cell>
          <cell r="E1091">
            <v>0</v>
          </cell>
          <cell r="F1091">
            <v>0</v>
          </cell>
          <cell r="H1091">
            <v>0</v>
          </cell>
          <cell r="O1091">
            <v>312448</v>
          </cell>
          <cell r="P1091" t="str">
            <v>2023/156-0042-01</v>
          </cell>
          <cell r="Q1091" t="str">
            <v>EST LUMINARIA DE TETO OYSTER 23 (3132)</v>
          </cell>
          <cell r="R1091"/>
          <cell r="S1091"/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 t="str">
            <v>EST LUMINARIA DE TETO OYSTER 23 (3132) - Ø0x0H</v>
          </cell>
          <cell r="Y1091">
            <v>2665.6</v>
          </cell>
          <cell r="Z1091">
            <v>0.35</v>
          </cell>
          <cell r="AA1091">
            <v>1732.6399999999999</v>
          </cell>
          <cell r="AB1091"/>
        </row>
        <row r="1092">
          <cell r="C1092">
            <v>2</v>
          </cell>
          <cell r="D1092">
            <v>1</v>
          </cell>
          <cell r="E1092">
            <v>0</v>
          </cell>
          <cell r="F1092">
            <v>0</v>
          </cell>
          <cell r="H1092">
            <v>0</v>
          </cell>
          <cell r="O1092">
            <v>312448</v>
          </cell>
          <cell r="P1092" t="str">
            <v>2023/156-0041-01</v>
          </cell>
          <cell r="Q1092" t="str">
            <v>EST LUMINARIA DE TETO OYSTER 23 (3132)</v>
          </cell>
          <cell r="R1092"/>
          <cell r="S1092"/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 t="str">
            <v>EST LUMINARIA DE TETO OYSTER 23 (3132) - Ø0x0H</v>
          </cell>
          <cell r="Y1092">
            <v>2665.6</v>
          </cell>
          <cell r="Z1092">
            <v>0.35</v>
          </cell>
          <cell r="AA1092">
            <v>1732.6399999999999</v>
          </cell>
          <cell r="AB1092"/>
        </row>
        <row r="1093">
          <cell r="C1093">
            <v>1</v>
          </cell>
          <cell r="D1093">
            <v>0</v>
          </cell>
          <cell r="E1093">
            <v>0</v>
          </cell>
          <cell r="F1093">
            <v>0</v>
          </cell>
          <cell r="H1093">
            <v>0</v>
          </cell>
          <cell r="O1093">
            <v>387680</v>
          </cell>
          <cell r="P1093" t="str">
            <v>2024/194-0004-01</v>
          </cell>
          <cell r="Q1093" t="str">
            <v>EST BANCO ORNI (TC P18) (COURO C5309) AMENDOA</v>
          </cell>
          <cell r="R1093"/>
          <cell r="S1093"/>
          <cell r="T1093">
            <v>2</v>
          </cell>
          <cell r="U1093">
            <v>0.45</v>
          </cell>
          <cell r="V1093">
            <v>0.45</v>
          </cell>
          <cell r="W1093">
            <v>0</v>
          </cell>
          <cell r="X1093" t="str">
            <v>EST BANCO ORNI (TC P18) (COURO C5309) AMENDOA - 2x0,45x0,45H</v>
          </cell>
          <cell r="Y1093">
            <v>10657.47</v>
          </cell>
          <cell r="Z1093">
            <v>0.35</v>
          </cell>
          <cell r="AA1093">
            <v>6927.3554999999997</v>
          </cell>
          <cell r="AB1093"/>
        </row>
        <row r="1094">
          <cell r="C1094">
            <v>2</v>
          </cell>
          <cell r="D1094">
            <v>0</v>
          </cell>
          <cell r="E1094">
            <v>0</v>
          </cell>
          <cell r="F1094">
            <v>0</v>
          </cell>
          <cell r="H1094">
            <v>0</v>
          </cell>
          <cell r="O1094">
            <v>394919</v>
          </cell>
          <cell r="P1094" t="str">
            <v>2025/014-0045-01</v>
          </cell>
          <cell r="Q1094" t="str">
            <v>EST POLTRONA ELAN (GIR) (ENC FX C3186) (FX C3186)</v>
          </cell>
          <cell r="R1094"/>
          <cell r="S1094"/>
          <cell r="T1094">
            <v>0.7</v>
          </cell>
          <cell r="U1094">
            <v>0.68</v>
          </cell>
          <cell r="V1094">
            <v>0.76</v>
          </cell>
          <cell r="W1094">
            <v>0</v>
          </cell>
          <cell r="X1094" t="str">
            <v>EST POLTRONA ELAN (GIR) (ENC FX C3186) (FX C3186) - 0,7x0,68x0,76H</v>
          </cell>
          <cell r="Y1094">
            <v>9104.61</v>
          </cell>
          <cell r="Z1094">
            <v>0.35</v>
          </cell>
          <cell r="AA1094">
            <v>5917.9965000000011</v>
          </cell>
          <cell r="AB1094"/>
        </row>
        <row r="1095">
          <cell r="C1095">
            <v>2</v>
          </cell>
          <cell r="D1095">
            <v>0</v>
          </cell>
          <cell r="E1095">
            <v>0</v>
          </cell>
          <cell r="F1095">
            <v>0</v>
          </cell>
          <cell r="H1095">
            <v>0</v>
          </cell>
          <cell r="O1095">
            <v>394919</v>
          </cell>
          <cell r="P1095" t="str">
            <v>2025/014-0046-01</v>
          </cell>
          <cell r="Q1095" t="str">
            <v>EST POLTRONA ELAN (GIR) (ENC FX C3186) (FX C3186)</v>
          </cell>
          <cell r="R1095"/>
          <cell r="S1095"/>
          <cell r="T1095">
            <v>0.7</v>
          </cell>
          <cell r="U1095">
            <v>0.68</v>
          </cell>
          <cell r="V1095">
            <v>0.76</v>
          </cell>
          <cell r="W1095">
            <v>0</v>
          </cell>
          <cell r="X1095" t="str">
            <v>EST POLTRONA ELAN (GIR) (ENC FX C3186) (FX C3186) - 0,7x0,68x0,76H</v>
          </cell>
          <cell r="Y1095">
            <v>9104.61</v>
          </cell>
          <cell r="Z1095">
            <v>0.35</v>
          </cell>
          <cell r="AA1095">
            <v>5917.9965000000011</v>
          </cell>
          <cell r="AB1095"/>
        </row>
        <row r="1096">
          <cell r="C1096">
            <v>1</v>
          </cell>
          <cell r="D1096">
            <v>0</v>
          </cell>
          <cell r="E1096">
            <v>0</v>
          </cell>
          <cell r="F1096">
            <v>0</v>
          </cell>
          <cell r="H1096">
            <v>0</v>
          </cell>
          <cell r="O1096">
            <v>394987</v>
          </cell>
          <cell r="P1096" t="str">
            <v>2024/352-0067-01</v>
          </cell>
          <cell r="Q1096" t="str">
            <v>EST BUFFET ROUND (TP VD COMUM MTZ CAPUCC) (WALNUT)</v>
          </cell>
          <cell r="R1096"/>
          <cell r="S1096"/>
          <cell r="T1096">
            <v>2.4</v>
          </cell>
          <cell r="U1096">
            <v>0.5</v>
          </cell>
          <cell r="V1096">
            <v>0.83</v>
          </cell>
          <cell r="W1096">
            <v>0</v>
          </cell>
          <cell r="X1096" t="str">
            <v>EST BUFFET ROUND (TP VD COMUM MTZ CAPUCC) (WALNUT) - 2,4x0,5x0,83H</v>
          </cell>
          <cell r="Y1096">
            <v>34725.69</v>
          </cell>
          <cell r="Z1096">
            <v>0.35</v>
          </cell>
          <cell r="AA1096">
            <v>22571.698500000002</v>
          </cell>
          <cell r="AB1096"/>
        </row>
        <row r="1097">
          <cell r="C1097">
            <v>1</v>
          </cell>
          <cell r="D1097">
            <v>0</v>
          </cell>
          <cell r="E1097">
            <v>0</v>
          </cell>
          <cell r="F1097">
            <v>0</v>
          </cell>
          <cell r="H1097">
            <v>0</v>
          </cell>
          <cell r="O1097">
            <v>334523</v>
          </cell>
          <cell r="P1097" t="str">
            <v>2022/199-0091-01</v>
          </cell>
          <cell r="Q1097" t="str">
            <v>EST CHAISE REGIA COURO FZ-600/V-8005/MTZ RB02</v>
          </cell>
          <cell r="R1097"/>
          <cell r="S1097"/>
          <cell r="T1097">
            <v>1.68</v>
          </cell>
          <cell r="U1097">
            <v>1.65</v>
          </cell>
          <cell r="V1097">
            <v>0.85</v>
          </cell>
          <cell r="W1097">
            <v>0</v>
          </cell>
          <cell r="X1097" t="str">
            <v>EST CHAISE REGIA COURO FZ-600/V-8005/MTZ RB02 - 1,68x1,65x0,85H</v>
          </cell>
          <cell r="Y1097">
            <v>72766.22</v>
          </cell>
          <cell r="Z1097">
            <v>0.5</v>
          </cell>
          <cell r="AA1097">
            <v>36383.11</v>
          </cell>
          <cell r="AB1097"/>
        </row>
        <row r="1098">
          <cell r="C1098">
            <v>1</v>
          </cell>
          <cell r="D1098">
            <v>0</v>
          </cell>
          <cell r="E1098">
            <v>0</v>
          </cell>
          <cell r="F1098">
            <v>0</v>
          </cell>
          <cell r="H1098">
            <v>0</v>
          </cell>
          <cell r="O1098">
            <v>387707</v>
          </cell>
          <cell r="P1098" t="str">
            <v>2024/194-0022-01</v>
          </cell>
          <cell r="Q1098" t="str">
            <v>EST MESA LATERAL PLANALTO (TP/BS LAM CARV CASTANHO)</v>
          </cell>
          <cell r="R1098"/>
          <cell r="S1098"/>
          <cell r="T1098">
            <v>0.65</v>
          </cell>
          <cell r="U1098">
            <v>0.65</v>
          </cell>
          <cell r="V1098">
            <v>0.5</v>
          </cell>
          <cell r="W1098">
            <v>0</v>
          </cell>
          <cell r="X1098" t="str">
            <v>EST MESA LATERAL PLANALTO (TP/BS LAM CARV CASTANHO) - 0,65x0,65x0,5H</v>
          </cell>
          <cell r="Y1098">
            <v>5835.78</v>
          </cell>
          <cell r="Z1098">
            <v>0.35</v>
          </cell>
          <cell r="AA1098">
            <v>3793.2570000000001</v>
          </cell>
          <cell r="AB1098"/>
        </row>
        <row r="1099">
          <cell r="C1099">
            <v>1</v>
          </cell>
          <cell r="D1099">
            <v>0</v>
          </cell>
          <cell r="E1099">
            <v>0</v>
          </cell>
          <cell r="F1099">
            <v>0</v>
          </cell>
          <cell r="H1099">
            <v>0</v>
          </cell>
          <cell r="O1099">
            <v>400337</v>
          </cell>
          <cell r="P1099" t="str">
            <v>2025/090-0107-01</v>
          </cell>
          <cell r="Q1099" t="str">
            <v>EST BUFFET YAACOV (A) (TAUARI NATURAL)</v>
          </cell>
          <cell r="R1099"/>
          <cell r="S1099"/>
          <cell r="T1099">
            <v>2.58</v>
          </cell>
          <cell r="U1099">
            <v>0.55000000000000004</v>
          </cell>
          <cell r="V1099">
            <v>0.7</v>
          </cell>
          <cell r="W1099">
            <v>0</v>
          </cell>
          <cell r="X1099" t="str">
            <v>EST BUFFET YAACOV (A) (TAUARI NATURAL) - 2,58x0,55x0,7H</v>
          </cell>
          <cell r="Y1099">
            <v>47606.720000000001</v>
          </cell>
          <cell r="Z1099">
            <v>0.35</v>
          </cell>
          <cell r="AA1099">
            <v>30944.368000000002</v>
          </cell>
          <cell r="AB1099"/>
        </row>
        <row r="1100">
          <cell r="C1100">
            <v>6</v>
          </cell>
          <cell r="D1100">
            <v>0</v>
          </cell>
          <cell r="E1100">
            <v>0</v>
          </cell>
          <cell r="F1100">
            <v>0</v>
          </cell>
          <cell r="H1100">
            <v>0</v>
          </cell>
          <cell r="O1100">
            <v>402440</v>
          </cell>
          <cell r="P1100" t="str">
            <v>2025/119-0001-01</v>
          </cell>
          <cell r="Q1100" t="str">
            <v>EST CADEIRA CACAU (DAMASCO) (LATAO) TC TREVISO 301</v>
          </cell>
          <cell r="R1100"/>
          <cell r="S1100"/>
          <cell r="T1100">
            <v>0.5</v>
          </cell>
          <cell r="U1100">
            <v>0.61</v>
          </cell>
          <cell r="V1100">
            <v>0.84</v>
          </cell>
          <cell r="W1100">
            <v>0</v>
          </cell>
          <cell r="X1100" t="str">
            <v>EST CADEIRA CACAU (DAMASCO) (LATAO) TC TREVISO 301 - 0,5x0,61x0,84H</v>
          </cell>
          <cell r="Y1100">
            <v>4840.375</v>
          </cell>
          <cell r="Z1100">
            <v>0.35</v>
          </cell>
          <cell r="AA1100">
            <v>3146.2437500000001</v>
          </cell>
          <cell r="AB1100"/>
        </row>
        <row r="1101">
          <cell r="C1101">
            <v>6</v>
          </cell>
          <cell r="D1101">
            <v>0</v>
          </cell>
          <cell r="E1101">
            <v>0</v>
          </cell>
          <cell r="F1101">
            <v>0</v>
          </cell>
          <cell r="H1101">
            <v>0</v>
          </cell>
          <cell r="O1101">
            <v>402440</v>
          </cell>
          <cell r="P1101" t="str">
            <v>2025/119-0002-01</v>
          </cell>
          <cell r="Q1101" t="str">
            <v>EST CADEIRA CACAU (DAMASCO) (LATAO) TC TREVISO 301</v>
          </cell>
          <cell r="R1101"/>
          <cell r="S1101"/>
          <cell r="T1101">
            <v>0.5</v>
          </cell>
          <cell r="U1101">
            <v>0.61</v>
          </cell>
          <cell r="V1101">
            <v>0.84</v>
          </cell>
          <cell r="W1101">
            <v>0</v>
          </cell>
          <cell r="X1101" t="str">
            <v>EST CADEIRA CACAU (DAMASCO) (LATAO) TC TREVISO 301 - 0,5x0,61x0,84H</v>
          </cell>
          <cell r="Y1101">
            <v>4840.375</v>
          </cell>
          <cell r="Z1101">
            <v>0.35</v>
          </cell>
          <cell r="AA1101">
            <v>3146.2437500000001</v>
          </cell>
          <cell r="AB1101"/>
        </row>
        <row r="1102">
          <cell r="C1102">
            <v>6</v>
          </cell>
          <cell r="D1102">
            <v>0</v>
          </cell>
          <cell r="E1102">
            <v>0</v>
          </cell>
          <cell r="F1102">
            <v>0</v>
          </cell>
          <cell r="H1102">
            <v>0</v>
          </cell>
          <cell r="O1102">
            <v>402440</v>
          </cell>
          <cell r="P1102" t="str">
            <v>2025/119-0003-01</v>
          </cell>
          <cell r="Q1102" t="str">
            <v>EST CADEIRA CACAU (DAMASCO) (LATAO) TC TREVISO 301</v>
          </cell>
          <cell r="R1102"/>
          <cell r="S1102"/>
          <cell r="T1102">
            <v>0.5</v>
          </cell>
          <cell r="U1102">
            <v>0.61</v>
          </cell>
          <cell r="V1102">
            <v>0.84</v>
          </cell>
          <cell r="W1102">
            <v>0</v>
          </cell>
          <cell r="X1102" t="str">
            <v>EST CADEIRA CACAU (DAMASCO) (LATAO) TC TREVISO 301 - 0,5x0,61x0,84H</v>
          </cell>
          <cell r="Y1102">
            <v>4840.375</v>
          </cell>
          <cell r="Z1102">
            <v>0.35</v>
          </cell>
          <cell r="AA1102">
            <v>3146.2437500000001</v>
          </cell>
          <cell r="AB1102"/>
        </row>
        <row r="1103">
          <cell r="C1103">
            <v>6</v>
          </cell>
          <cell r="D1103">
            <v>0</v>
          </cell>
          <cell r="E1103">
            <v>0</v>
          </cell>
          <cell r="F1103">
            <v>0</v>
          </cell>
          <cell r="H1103">
            <v>0</v>
          </cell>
          <cell r="O1103">
            <v>402440</v>
          </cell>
          <cell r="P1103" t="str">
            <v>2025/119-0004-01</v>
          </cell>
          <cell r="Q1103" t="str">
            <v>EST CADEIRA CACAU (DAMASCO) (LATAO) TC TREVISO 301</v>
          </cell>
          <cell r="R1103"/>
          <cell r="S1103"/>
          <cell r="T1103">
            <v>0.5</v>
          </cell>
          <cell r="U1103">
            <v>0.61</v>
          </cell>
          <cell r="V1103">
            <v>0.84</v>
          </cell>
          <cell r="W1103">
            <v>0</v>
          </cell>
          <cell r="X1103" t="str">
            <v>EST CADEIRA CACAU (DAMASCO) (LATAO) TC TREVISO 301 - 0,5x0,61x0,84H</v>
          </cell>
          <cell r="Y1103">
            <v>4840.375</v>
          </cell>
          <cell r="Z1103">
            <v>0.35</v>
          </cell>
          <cell r="AA1103">
            <v>3146.2437500000001</v>
          </cell>
          <cell r="AB1103"/>
        </row>
        <row r="1104">
          <cell r="C1104">
            <v>6</v>
          </cell>
          <cell r="D1104">
            <v>0</v>
          </cell>
          <cell r="E1104">
            <v>0</v>
          </cell>
          <cell r="F1104">
            <v>0</v>
          </cell>
          <cell r="H1104">
            <v>0</v>
          </cell>
          <cell r="O1104">
            <v>402440</v>
          </cell>
          <cell r="P1104" t="str">
            <v>2025/119-0005-01</v>
          </cell>
          <cell r="Q1104" t="str">
            <v>EST CADEIRA CACAU (DAMASCO) (LATAO) TC TREVISO 301</v>
          </cell>
          <cell r="R1104"/>
          <cell r="S1104"/>
          <cell r="T1104">
            <v>0.5</v>
          </cell>
          <cell r="U1104">
            <v>0.61</v>
          </cell>
          <cell r="V1104">
            <v>0.84</v>
          </cell>
          <cell r="W1104">
            <v>0</v>
          </cell>
          <cell r="X1104" t="str">
            <v>EST CADEIRA CACAU (DAMASCO) (LATAO) TC TREVISO 301 - 0,5x0,61x0,84H</v>
          </cell>
          <cell r="Y1104">
            <v>4840.375</v>
          </cell>
          <cell r="Z1104">
            <v>0.35</v>
          </cell>
          <cell r="AA1104">
            <v>3146.2437500000001</v>
          </cell>
          <cell r="AB1104"/>
        </row>
        <row r="1105">
          <cell r="C1105">
            <v>6</v>
          </cell>
          <cell r="D1105">
            <v>0</v>
          </cell>
          <cell r="E1105">
            <v>0</v>
          </cell>
          <cell r="F1105">
            <v>0</v>
          </cell>
          <cell r="H1105">
            <v>0</v>
          </cell>
          <cell r="O1105">
            <v>402440</v>
          </cell>
          <cell r="P1105" t="str">
            <v>2025/119-0006-01</v>
          </cell>
          <cell r="Q1105" t="str">
            <v>EST CADEIRA CACAU (DAMASCO) (LATAO) TC TREVISO 301</v>
          </cell>
          <cell r="R1105"/>
          <cell r="S1105"/>
          <cell r="T1105">
            <v>0.5</v>
          </cell>
          <cell r="U1105">
            <v>0.61</v>
          </cell>
          <cell r="V1105">
            <v>0.84</v>
          </cell>
          <cell r="W1105">
            <v>0</v>
          </cell>
          <cell r="X1105" t="str">
            <v>EST CADEIRA CACAU (DAMASCO) (LATAO) TC TREVISO 301 - 0,5x0,61x0,84H</v>
          </cell>
          <cell r="Y1105">
            <v>4840.375</v>
          </cell>
          <cell r="Z1105">
            <v>0.35</v>
          </cell>
          <cell r="AA1105">
            <v>3146.2437500000001</v>
          </cell>
          <cell r="AB1105"/>
        </row>
        <row r="1106">
          <cell r="C1106">
            <v>2</v>
          </cell>
          <cell r="D1106">
            <v>0</v>
          </cell>
          <cell r="E1106">
            <v>0</v>
          </cell>
          <cell r="F1106">
            <v>0</v>
          </cell>
          <cell r="H1106">
            <v>0</v>
          </cell>
          <cell r="O1106">
            <v>402441</v>
          </cell>
          <cell r="P1106" t="str">
            <v>2025/119-0007-01</v>
          </cell>
          <cell r="Q1106" t="str">
            <v>EST CADEIRA CACAU C/BRACO (DAMASCO) (LATAO) TC TREVISO 301</v>
          </cell>
          <cell r="R1106"/>
          <cell r="S1106"/>
          <cell r="T1106">
            <v>0.61</v>
          </cell>
          <cell r="U1106">
            <v>0.61</v>
          </cell>
          <cell r="V1106">
            <v>0.84</v>
          </cell>
          <cell r="W1106">
            <v>0</v>
          </cell>
          <cell r="X1106" t="str">
            <v>EST CADEIRA CACAU C/BRACO (DAMASCO) (LATAO) TC TREVISO 301 - 0,61x0,61x0,84H</v>
          </cell>
          <cell r="Y1106">
            <v>7102.3249999999998</v>
          </cell>
          <cell r="Z1106">
            <v>0.35</v>
          </cell>
          <cell r="AA1106">
            <v>4616.5112499999996</v>
          </cell>
          <cell r="AB1106"/>
        </row>
        <row r="1107">
          <cell r="C1107">
            <v>2</v>
          </cell>
          <cell r="D1107">
            <v>0</v>
          </cell>
          <cell r="E1107">
            <v>0</v>
          </cell>
          <cell r="F1107">
            <v>0</v>
          </cell>
          <cell r="H1107">
            <v>0</v>
          </cell>
          <cell r="O1107">
            <v>402441</v>
          </cell>
          <cell r="P1107" t="str">
            <v>2025/119-0008-01</v>
          </cell>
          <cell r="Q1107" t="str">
            <v>EST CADEIRA CACAU C/BRACO (DAMASCO) (LATAO) TC TREVISO 301</v>
          </cell>
          <cell r="R1107"/>
          <cell r="S1107"/>
          <cell r="T1107">
            <v>0.61</v>
          </cell>
          <cell r="U1107">
            <v>0.61</v>
          </cell>
          <cell r="V1107">
            <v>0.84</v>
          </cell>
          <cell r="W1107">
            <v>0</v>
          </cell>
          <cell r="X1107" t="str">
            <v>EST CADEIRA CACAU C/BRACO (DAMASCO) (LATAO) TC TREVISO 301 - 0,61x0,61x0,84H</v>
          </cell>
          <cell r="Y1107">
            <v>7102.3249999999998</v>
          </cell>
          <cell r="Z1107">
            <v>0.35</v>
          </cell>
          <cell r="AA1107">
            <v>4616.5112499999996</v>
          </cell>
          <cell r="AB1107"/>
        </row>
        <row r="1108">
          <cell r="C1108">
            <v>1</v>
          </cell>
          <cell r="D1108">
            <v>4</v>
          </cell>
          <cell r="E1108">
            <v>1</v>
          </cell>
          <cell r="F1108">
            <v>0</v>
          </cell>
          <cell r="H1108">
            <v>0</v>
          </cell>
          <cell r="O1108">
            <v>314838</v>
          </cell>
          <cell r="P1108" t="str">
            <v>2025/050-0037-01</v>
          </cell>
          <cell r="Q1108" t="str">
            <v>EST ALMOFADA RET.LIVERPOOL MATTE</v>
          </cell>
          <cell r="R1108"/>
          <cell r="S1108"/>
          <cell r="T1108">
            <v>0.6</v>
          </cell>
          <cell r="U1108">
            <v>0.4</v>
          </cell>
          <cell r="V1108">
            <v>0</v>
          </cell>
          <cell r="W1108">
            <v>0</v>
          </cell>
          <cell r="X1108" t="str">
            <v>EST ALMOFADA RET.LIVERPOOL MATTE - 0,6x0,4x0H</v>
          </cell>
          <cell r="Y1108">
            <v>877.14</v>
          </cell>
          <cell r="Z1108">
            <v>0.49999897849736963</v>
          </cell>
          <cell r="AA1108">
            <v>438.57089600081719</v>
          </cell>
          <cell r="AB1108"/>
        </row>
        <row r="1109">
          <cell r="C1109">
            <v>1</v>
          </cell>
          <cell r="D1109">
            <v>4</v>
          </cell>
          <cell r="E1109">
            <v>1</v>
          </cell>
          <cell r="F1109">
            <v>0</v>
          </cell>
          <cell r="H1109">
            <v>0</v>
          </cell>
          <cell r="O1109">
            <v>314838</v>
          </cell>
          <cell r="P1109" t="str">
            <v>2025/050-0038-01</v>
          </cell>
          <cell r="Q1109" t="str">
            <v>EST ALMOFADA RET.LIVERPOOL MATTE</v>
          </cell>
          <cell r="R1109"/>
          <cell r="S1109"/>
          <cell r="T1109">
            <v>0.6</v>
          </cell>
          <cell r="U1109">
            <v>0.4</v>
          </cell>
          <cell r="V1109">
            <v>0</v>
          </cell>
          <cell r="W1109">
            <v>0</v>
          </cell>
          <cell r="X1109" t="str">
            <v>EST ALMOFADA RET.LIVERPOOL MATTE - 0,6x0,4x0H</v>
          </cell>
          <cell r="Y1109">
            <v>877.14</v>
          </cell>
          <cell r="Z1109">
            <v>0.49999897849736963</v>
          </cell>
          <cell r="AA1109">
            <v>438.57089600081719</v>
          </cell>
          <cell r="AB1109"/>
        </row>
        <row r="1110">
          <cell r="C1110">
            <v>1</v>
          </cell>
          <cell r="D1110">
            <v>0</v>
          </cell>
          <cell r="E1110">
            <v>0</v>
          </cell>
          <cell r="F1110">
            <v>0</v>
          </cell>
          <cell r="H1110">
            <v>0</v>
          </cell>
          <cell r="O1110">
            <v>277918</v>
          </cell>
          <cell r="P1110" t="str">
            <v>2021/203-0034-01</v>
          </cell>
          <cell r="Q1110" t="str">
            <v>EST POLTRONA MARE COURO TP2 (PROMO) SEQUOIA WISKY/MARROM</v>
          </cell>
          <cell r="R1110"/>
          <cell r="S1110"/>
          <cell r="T1110">
            <v>0.93</v>
          </cell>
          <cell r="U1110">
            <v>1.06</v>
          </cell>
          <cell r="V1110">
            <v>0.83</v>
          </cell>
          <cell r="W1110">
            <v>0</v>
          </cell>
          <cell r="X1110" t="str">
            <v>EST POLTRONA MARE COURO TP2 (PROMO) SEQUOIA WISKY/MARROM - 0,93x1,06x0,83H</v>
          </cell>
          <cell r="Y1110">
            <v>20456.93</v>
          </cell>
          <cell r="Z1110">
            <v>0.5</v>
          </cell>
          <cell r="AA1110">
            <v>10228.465</v>
          </cell>
          <cell r="AB1110"/>
        </row>
        <row r="1111">
          <cell r="C1111">
            <v>1</v>
          </cell>
          <cell r="D1111">
            <v>0</v>
          </cell>
          <cell r="E1111">
            <v>0</v>
          </cell>
          <cell r="F1111">
            <v>0</v>
          </cell>
          <cell r="H1111">
            <v>0</v>
          </cell>
          <cell r="O1111">
            <v>277921</v>
          </cell>
          <cell r="P1111" t="str">
            <v>2021/203-0035-01</v>
          </cell>
          <cell r="Q1111" t="str">
            <v>EST BANQUETA MARE COURO TP2 (PROMO) SEQUOIA WISKY/MARROM</v>
          </cell>
          <cell r="R1111"/>
          <cell r="S1111"/>
          <cell r="T1111">
            <v>0.91</v>
          </cell>
          <cell r="U1111">
            <v>0.56999999999999995</v>
          </cell>
          <cell r="V1111">
            <v>0.4</v>
          </cell>
          <cell r="W1111">
            <v>0</v>
          </cell>
          <cell r="X1111" t="str">
            <v>EST BANQUETA MARE COURO TP2 (PROMO) SEQUOIA WISKY/MARROM - 0,91x0,57x0,4H</v>
          </cell>
          <cell r="Y1111">
            <v>8620.24</v>
          </cell>
          <cell r="Z1111">
            <v>0.5</v>
          </cell>
          <cell r="AA1111">
            <v>4310.12</v>
          </cell>
          <cell r="AB1111"/>
        </row>
        <row r="1112">
          <cell r="C1112">
            <v>0</v>
          </cell>
          <cell r="D1112">
            <v>1</v>
          </cell>
          <cell r="E1112">
            <v>0</v>
          </cell>
          <cell r="F1112">
            <v>0</v>
          </cell>
          <cell r="H1112">
            <v>0</v>
          </cell>
          <cell r="O1112">
            <v>394986</v>
          </cell>
          <cell r="P1112" t="str">
            <v>2024/352-0068-01</v>
          </cell>
          <cell r="Q1112" t="str">
            <v>EST BUFFET ROUND (TP VD COMUM MTZ MOCC) (ITALIAN ELM)</v>
          </cell>
          <cell r="R1112"/>
          <cell r="S1112"/>
          <cell r="T1112">
            <v>2.4</v>
          </cell>
          <cell r="U1112">
            <v>0.5</v>
          </cell>
          <cell r="V1112">
            <v>0.83</v>
          </cell>
          <cell r="W1112">
            <v>0</v>
          </cell>
          <cell r="X1112" t="str">
            <v>EST BUFFET ROUND (TP VD COMUM MTZ MOCC) (ITALIAN ELM) - 2,4x0,5x0,83H</v>
          </cell>
          <cell r="Y1112">
            <v>34725.69</v>
          </cell>
          <cell r="Z1112">
            <v>0.35</v>
          </cell>
          <cell r="AA1112">
            <v>22571.698500000002</v>
          </cell>
          <cell r="AB1112"/>
        </row>
        <row r="1113">
          <cell r="C1113">
            <v>0</v>
          </cell>
          <cell r="D1113">
            <v>1</v>
          </cell>
          <cell r="E1113">
            <v>0</v>
          </cell>
          <cell r="F1113">
            <v>1</v>
          </cell>
          <cell r="H1113">
            <v>0</v>
          </cell>
          <cell r="O1113">
            <v>402538</v>
          </cell>
          <cell r="P1113" t="str">
            <v>2025/104-0022-01</v>
          </cell>
          <cell r="Q1113" t="str">
            <v>EST LUMINARIA PENDENTE NOVENTA (P) (INDIRETA) (PRETA)</v>
          </cell>
          <cell r="R1113"/>
          <cell r="S1113"/>
          <cell r="T1113">
            <v>0.45</v>
          </cell>
          <cell r="U1113">
            <v>0.39</v>
          </cell>
          <cell r="V1113">
            <v>0.3</v>
          </cell>
          <cell r="W1113">
            <v>0</v>
          </cell>
          <cell r="X1113" t="str">
            <v>EST LUMINARIA PENDENTE NOVENTA (P) (INDIRETA) (PRETA) - 0,45x0,39x0,3H</v>
          </cell>
          <cell r="Y1113">
            <v>5903.52</v>
          </cell>
          <cell r="Z1113">
            <v>0.35</v>
          </cell>
          <cell r="AA1113">
            <v>3837.2880000000005</v>
          </cell>
          <cell r="AB1113"/>
        </row>
        <row r="1114">
          <cell r="C1114">
            <v>1</v>
          </cell>
          <cell r="D1114">
            <v>1</v>
          </cell>
          <cell r="E1114">
            <v>1</v>
          </cell>
          <cell r="F1114">
            <v>1</v>
          </cell>
          <cell r="H1114">
            <v>0</v>
          </cell>
          <cell r="O1114">
            <v>402541</v>
          </cell>
          <cell r="P1114" t="str">
            <v>2025/125-0052-01</v>
          </cell>
          <cell r="Q1114" t="str">
            <v>EST LUMINARIA MESA NOVENTA (G) (PRETA)</v>
          </cell>
          <cell r="R1114"/>
          <cell r="S1114"/>
          <cell r="T1114">
            <v>0.33</v>
          </cell>
          <cell r="U1114">
            <v>0.22</v>
          </cell>
          <cell r="V1114">
            <v>0.57999999999999996</v>
          </cell>
          <cell r="W1114">
            <v>0</v>
          </cell>
          <cell r="X1114" t="str">
            <v>EST LUMINARIA MESA NOVENTA (G) (PRETA) - 0,33x0,22x0,58H</v>
          </cell>
          <cell r="Y1114">
            <v>5499.78</v>
          </cell>
          <cell r="Z1114">
            <v>0.35</v>
          </cell>
          <cell r="AA1114">
            <v>3574.857</v>
          </cell>
          <cell r="AB1114"/>
        </row>
        <row r="1115">
          <cell r="C1115">
            <v>1</v>
          </cell>
          <cell r="D1115">
            <v>1</v>
          </cell>
          <cell r="E1115">
            <v>0</v>
          </cell>
          <cell r="F1115">
            <v>1</v>
          </cell>
          <cell r="H1115">
            <v>0</v>
          </cell>
          <cell r="O1115">
            <v>402542</v>
          </cell>
          <cell r="P1115" t="str">
            <v>2025/104-0026-01</v>
          </cell>
          <cell r="Q1115" t="str">
            <v>EST LLUMINARIA PISO NOVENTA (3W - 300LM) (PRETA)</v>
          </cell>
          <cell r="R1115"/>
          <cell r="S1115"/>
          <cell r="T1115">
            <v>0.26</v>
          </cell>
          <cell r="U1115">
            <v>0.12</v>
          </cell>
          <cell r="V1115">
            <v>1.62</v>
          </cell>
          <cell r="W1115">
            <v>0</v>
          </cell>
          <cell r="X1115" t="str">
            <v>EST LLUMINARIA PISO NOVENTA (3W - 300LM) (PRETA) - 0,26x0,12x1,62H</v>
          </cell>
          <cell r="Y1115">
            <v>9044.4500000000007</v>
          </cell>
          <cell r="Z1115">
            <v>0.35</v>
          </cell>
          <cell r="AA1115">
            <v>5878.8925000000008</v>
          </cell>
          <cell r="AB1115"/>
        </row>
        <row r="1116">
          <cell r="C1116">
            <v>0</v>
          </cell>
          <cell r="D1116">
            <v>6</v>
          </cell>
          <cell r="E1116">
            <v>0</v>
          </cell>
          <cell r="F1116">
            <v>0</v>
          </cell>
          <cell r="H1116">
            <v>2</v>
          </cell>
          <cell r="O1116">
            <v>406191</v>
          </cell>
          <cell r="P1116" t="str">
            <v>2025/164-0064-01</v>
          </cell>
          <cell r="Q1116" t="str">
            <v>EST ALMOFADA CLAMI (SIMPLES) TC AVELUDADO VERDE</v>
          </cell>
          <cell r="R1116"/>
          <cell r="S1116"/>
          <cell r="T1116">
            <v>0.5</v>
          </cell>
          <cell r="U1116">
            <v>0.5</v>
          </cell>
          <cell r="V1116">
            <v>0</v>
          </cell>
          <cell r="W1116">
            <v>0</v>
          </cell>
          <cell r="X1116" t="str">
            <v>EST ALMOFADA CLAMI (SIMPLES) TC AVELUDADO VERDE - 0,5x0,5x0H</v>
          </cell>
          <cell r="Y1116">
            <v>443.52</v>
          </cell>
          <cell r="Z1116">
            <v>0.35</v>
          </cell>
          <cell r="AA1116">
            <v>288.28800000000001</v>
          </cell>
          <cell r="AB1116"/>
        </row>
        <row r="1117">
          <cell r="C1117">
            <v>0</v>
          </cell>
          <cell r="D1117">
            <v>6</v>
          </cell>
          <cell r="E1117">
            <v>0</v>
          </cell>
          <cell r="F1117">
            <v>0</v>
          </cell>
          <cell r="H1117">
            <v>2</v>
          </cell>
          <cell r="O1117">
            <v>406191</v>
          </cell>
          <cell r="P1117" t="str">
            <v>2025/164-0065-01</v>
          </cell>
          <cell r="Q1117" t="str">
            <v>EST ALMOFADA CLAMI (SIMPLES) TC AVELUDADO VERDE</v>
          </cell>
          <cell r="R1117"/>
          <cell r="S1117"/>
          <cell r="T1117">
            <v>0.5</v>
          </cell>
          <cell r="U1117">
            <v>0.5</v>
          </cell>
          <cell r="V1117">
            <v>0</v>
          </cell>
          <cell r="W1117">
            <v>0</v>
          </cell>
          <cell r="X1117" t="str">
            <v>EST ALMOFADA CLAMI (SIMPLES) TC AVELUDADO VERDE - 0,5x0,5x0H</v>
          </cell>
          <cell r="Y1117">
            <v>443.52</v>
          </cell>
          <cell r="Z1117">
            <v>0.35</v>
          </cell>
          <cell r="AA1117">
            <v>288.28800000000001</v>
          </cell>
          <cell r="AB1117"/>
        </row>
        <row r="1118">
          <cell r="C1118">
            <v>0</v>
          </cell>
          <cell r="D1118">
            <v>6</v>
          </cell>
          <cell r="E1118">
            <v>0</v>
          </cell>
          <cell r="F1118">
            <v>0</v>
          </cell>
          <cell r="H1118">
            <v>2</v>
          </cell>
          <cell r="O1118">
            <v>406191</v>
          </cell>
          <cell r="P1118" t="str">
            <v>2025/164-0066-01</v>
          </cell>
          <cell r="Q1118" t="str">
            <v>EST ALMOFADA CLAMI (SIMPLES) TC AVELUDADO VERDE</v>
          </cell>
          <cell r="R1118"/>
          <cell r="S1118"/>
          <cell r="T1118">
            <v>0.5</v>
          </cell>
          <cell r="U1118">
            <v>0.5</v>
          </cell>
          <cell r="V1118">
            <v>0</v>
          </cell>
          <cell r="W1118">
            <v>0</v>
          </cell>
          <cell r="X1118" t="str">
            <v>EST ALMOFADA CLAMI (SIMPLES) TC AVELUDADO VERDE - 0,5x0,5x0H</v>
          </cell>
          <cell r="Y1118">
            <v>443.52</v>
          </cell>
          <cell r="Z1118">
            <v>0.35</v>
          </cell>
          <cell r="AA1118">
            <v>288.28800000000001</v>
          </cell>
          <cell r="AB1118"/>
        </row>
        <row r="1119">
          <cell r="C1119">
            <v>0</v>
          </cell>
          <cell r="D1119">
            <v>6</v>
          </cell>
          <cell r="E1119">
            <v>0</v>
          </cell>
          <cell r="F1119">
            <v>0</v>
          </cell>
          <cell r="H1119">
            <v>2</v>
          </cell>
          <cell r="O1119">
            <v>406191</v>
          </cell>
          <cell r="P1119" t="str">
            <v>2025/164-0067-01</v>
          </cell>
          <cell r="Q1119" t="str">
            <v>EST ALMOFADA CLAMI (SIMPLES) TC AVELUDADO VERDE</v>
          </cell>
          <cell r="R1119"/>
          <cell r="S1119"/>
          <cell r="T1119">
            <v>0.5</v>
          </cell>
          <cell r="U1119">
            <v>0.5</v>
          </cell>
          <cell r="V1119">
            <v>0</v>
          </cell>
          <cell r="W1119">
            <v>0</v>
          </cell>
          <cell r="X1119" t="str">
            <v>EST ALMOFADA CLAMI (SIMPLES) TC AVELUDADO VERDE - 0,5x0,5x0H</v>
          </cell>
          <cell r="Y1119">
            <v>443.52</v>
          </cell>
          <cell r="Z1119">
            <v>0.35</v>
          </cell>
          <cell r="AA1119">
            <v>288.28800000000001</v>
          </cell>
          <cell r="AB1119"/>
        </row>
        <row r="1120">
          <cell r="C1120">
            <v>0</v>
          </cell>
          <cell r="D1120">
            <v>6</v>
          </cell>
          <cell r="E1120">
            <v>0</v>
          </cell>
          <cell r="F1120">
            <v>0</v>
          </cell>
          <cell r="H1120">
            <v>2</v>
          </cell>
          <cell r="O1120">
            <v>406191</v>
          </cell>
          <cell r="P1120" t="str">
            <v>2025/164-0068-01</v>
          </cell>
          <cell r="Q1120" t="str">
            <v>EST ALMOFADA CLAMI (SIMPLES) TC AVELUDADO VERDE</v>
          </cell>
          <cell r="R1120"/>
          <cell r="S1120"/>
          <cell r="T1120">
            <v>0.5</v>
          </cell>
          <cell r="U1120">
            <v>0.5</v>
          </cell>
          <cell r="V1120">
            <v>0</v>
          </cell>
          <cell r="W1120">
            <v>0</v>
          </cell>
          <cell r="X1120" t="str">
            <v>EST ALMOFADA CLAMI (SIMPLES) TC AVELUDADO VERDE - 0,5x0,5x0H</v>
          </cell>
          <cell r="Y1120">
            <v>443.52</v>
          </cell>
          <cell r="Z1120">
            <v>0.35</v>
          </cell>
          <cell r="AA1120">
            <v>288.28800000000001</v>
          </cell>
          <cell r="AB1120"/>
        </row>
        <row r="1121">
          <cell r="C1121">
            <v>0</v>
          </cell>
          <cell r="D1121">
            <v>6</v>
          </cell>
          <cell r="E1121">
            <v>0</v>
          </cell>
          <cell r="F1121">
            <v>0</v>
          </cell>
          <cell r="H1121">
            <v>2</v>
          </cell>
          <cell r="O1121">
            <v>406191</v>
          </cell>
          <cell r="P1121" t="str">
            <v>2025/164-0069-01</v>
          </cell>
          <cell r="Q1121" t="str">
            <v>EST ALMOFADA CLAMI (SIMPLES) TC AVELUDADO VERDE</v>
          </cell>
          <cell r="R1121"/>
          <cell r="S1121"/>
          <cell r="T1121">
            <v>0.5</v>
          </cell>
          <cell r="U1121">
            <v>0.5</v>
          </cell>
          <cell r="V1121">
            <v>0</v>
          </cell>
          <cell r="W1121">
            <v>0</v>
          </cell>
          <cell r="X1121" t="str">
            <v>EST ALMOFADA CLAMI (SIMPLES) TC AVELUDADO VERDE - 0,5x0,5x0H</v>
          </cell>
          <cell r="Y1121">
            <v>443.52</v>
          </cell>
          <cell r="Z1121">
            <v>0.35</v>
          </cell>
          <cell r="AA1121">
            <v>288.28800000000001</v>
          </cell>
          <cell r="AB1121"/>
        </row>
        <row r="1122">
          <cell r="C1122">
            <v>0</v>
          </cell>
          <cell r="D1122">
            <v>6</v>
          </cell>
          <cell r="E1122">
            <v>0</v>
          </cell>
          <cell r="F1122">
            <v>0</v>
          </cell>
          <cell r="H1122">
            <v>2</v>
          </cell>
          <cell r="O1122">
            <v>406191</v>
          </cell>
          <cell r="P1122" t="str">
            <v>2025/164-0070-01</v>
          </cell>
          <cell r="Q1122" t="str">
            <v>EST ALMOFADA CLAMI (SIMPLES) TC AVELUDADO VERDE</v>
          </cell>
          <cell r="R1122"/>
          <cell r="S1122"/>
          <cell r="T1122">
            <v>0.5</v>
          </cell>
          <cell r="U1122">
            <v>0.5</v>
          </cell>
          <cell r="V1122">
            <v>0</v>
          </cell>
          <cell r="W1122">
            <v>0</v>
          </cell>
          <cell r="X1122" t="str">
            <v>EST ALMOFADA CLAMI (SIMPLES) TC AVELUDADO VERDE - 0,5x0,5x0H</v>
          </cell>
          <cell r="Y1122">
            <v>443.52</v>
          </cell>
          <cell r="Z1122">
            <v>0.35</v>
          </cell>
          <cell r="AA1122">
            <v>288.28800000000001</v>
          </cell>
          <cell r="AB1122"/>
        </row>
        <row r="1123">
          <cell r="C1123">
            <v>0</v>
          </cell>
          <cell r="D1123">
            <v>6</v>
          </cell>
          <cell r="E1123">
            <v>0</v>
          </cell>
          <cell r="F1123">
            <v>0</v>
          </cell>
          <cell r="H1123">
            <v>2</v>
          </cell>
          <cell r="O1123">
            <v>406191</v>
          </cell>
          <cell r="P1123" t="str">
            <v>2025/164-0071-01</v>
          </cell>
          <cell r="Q1123" t="str">
            <v>EST ALMOFADA CLAMI (SIMPLES) TC AVELUDADO VERDE</v>
          </cell>
          <cell r="R1123"/>
          <cell r="S1123"/>
          <cell r="T1123">
            <v>0.5</v>
          </cell>
          <cell r="U1123">
            <v>0.5</v>
          </cell>
          <cell r="V1123">
            <v>0</v>
          </cell>
          <cell r="W1123">
            <v>0</v>
          </cell>
          <cell r="X1123" t="str">
            <v>EST ALMOFADA CLAMI (SIMPLES) TC AVELUDADO VERDE - 0,5x0,5x0H</v>
          </cell>
          <cell r="Y1123">
            <v>443.52</v>
          </cell>
          <cell r="Z1123">
            <v>0.35</v>
          </cell>
          <cell r="AA1123">
            <v>288.28800000000001</v>
          </cell>
          <cell r="AB1123"/>
        </row>
        <row r="1124">
          <cell r="C1124">
            <v>2</v>
          </cell>
          <cell r="D1124">
            <v>2</v>
          </cell>
          <cell r="E1124">
            <v>2</v>
          </cell>
          <cell r="F1124">
            <v>0</v>
          </cell>
          <cell r="H1124">
            <v>0</v>
          </cell>
          <cell r="O1124">
            <v>406192</v>
          </cell>
          <cell r="P1124" t="str">
            <v>2025/164-0072-01</v>
          </cell>
          <cell r="Q1124" t="str">
            <v>EST ALMOFADA CLAMI (SIMPLES) TC TRAMADO BR-LARANJA</v>
          </cell>
          <cell r="R1124"/>
          <cell r="S1124"/>
          <cell r="T1124">
            <v>0.5</v>
          </cell>
          <cell r="U1124">
            <v>0.5</v>
          </cell>
          <cell r="V1124">
            <v>0</v>
          </cell>
          <cell r="W1124">
            <v>0</v>
          </cell>
          <cell r="X1124" t="str">
            <v>EST ALMOFADA CLAMI (SIMPLES) TC TRAMADO BR-LARANJA - 0,5x0,5x0H</v>
          </cell>
          <cell r="Y1124">
            <v>443.52</v>
          </cell>
          <cell r="Z1124">
            <v>0.35</v>
          </cell>
          <cell r="AA1124">
            <v>288.28800000000001</v>
          </cell>
          <cell r="AB1124"/>
        </row>
        <row r="1125">
          <cell r="C1125">
            <v>2</v>
          </cell>
          <cell r="D1125">
            <v>2</v>
          </cell>
          <cell r="E1125">
            <v>2</v>
          </cell>
          <cell r="F1125">
            <v>0</v>
          </cell>
          <cell r="H1125">
            <v>0</v>
          </cell>
          <cell r="O1125">
            <v>406192</v>
          </cell>
          <cell r="P1125" t="str">
            <v>2025/164-0073-01</v>
          </cell>
          <cell r="Q1125" t="str">
            <v>EST ALMOFADA CLAMI (SIMPLES) TC TRAMADO BR-LARANJA</v>
          </cell>
          <cell r="R1125"/>
          <cell r="S1125"/>
          <cell r="T1125">
            <v>0.5</v>
          </cell>
          <cell r="U1125">
            <v>0.5</v>
          </cell>
          <cell r="V1125">
            <v>0</v>
          </cell>
          <cell r="W1125">
            <v>0</v>
          </cell>
          <cell r="X1125" t="str">
            <v>EST ALMOFADA CLAMI (SIMPLES) TC TRAMADO BR-LARANJA - 0,5x0,5x0H</v>
          </cell>
          <cell r="Y1125">
            <v>443.52</v>
          </cell>
          <cell r="Z1125">
            <v>0.35</v>
          </cell>
          <cell r="AA1125">
            <v>288.28800000000001</v>
          </cell>
          <cell r="AB1125"/>
        </row>
        <row r="1126">
          <cell r="C1126">
            <v>0</v>
          </cell>
          <cell r="D1126">
            <v>0</v>
          </cell>
          <cell r="E1126">
            <v>3</v>
          </cell>
          <cell r="F1126">
            <v>0</v>
          </cell>
          <cell r="H1126">
            <v>0</v>
          </cell>
          <cell r="O1126">
            <v>406195</v>
          </cell>
          <cell r="P1126" t="str">
            <v>2025/164-0079-01</v>
          </cell>
          <cell r="Q1126" t="str">
            <v>EST ALMOFADA CLAMI (VIVO) TC TRAMADO BRANCO-CINZA/LISO CREME</v>
          </cell>
          <cell r="R1126"/>
          <cell r="S1126"/>
          <cell r="T1126">
            <v>0.5</v>
          </cell>
          <cell r="U1126">
            <v>0.5</v>
          </cell>
          <cell r="V1126">
            <v>0</v>
          </cell>
          <cell r="W1126">
            <v>0</v>
          </cell>
          <cell r="X1126" t="str">
            <v>EST ALMOFADA CLAMI (VIVO) TC TRAMADO BRANCO-CINZA/LISO CREME - 0,5x0,5x0H</v>
          </cell>
          <cell r="Y1126">
            <v>443.52</v>
          </cell>
          <cell r="Z1126">
            <v>0.35</v>
          </cell>
          <cell r="AA1126">
            <v>288.28800000000001</v>
          </cell>
          <cell r="AB1126"/>
        </row>
        <row r="1127">
          <cell r="C1127">
            <v>0</v>
          </cell>
          <cell r="D1127">
            <v>0</v>
          </cell>
          <cell r="E1127">
            <v>3</v>
          </cell>
          <cell r="F1127">
            <v>0</v>
          </cell>
          <cell r="H1127">
            <v>0</v>
          </cell>
          <cell r="O1127">
            <v>406195</v>
          </cell>
          <cell r="P1127" t="str">
            <v>2025/164-0080-01</v>
          </cell>
          <cell r="Q1127" t="str">
            <v>EST ALMOFADA CLAMI (VIVO) TC TRAMADO BRANCO-CINZA/LISO CREME</v>
          </cell>
          <cell r="R1127"/>
          <cell r="S1127"/>
          <cell r="T1127">
            <v>0.5</v>
          </cell>
          <cell r="U1127">
            <v>0.5</v>
          </cell>
          <cell r="V1127">
            <v>0</v>
          </cell>
          <cell r="W1127">
            <v>0</v>
          </cell>
          <cell r="X1127" t="str">
            <v>EST ALMOFADA CLAMI (VIVO) TC TRAMADO BRANCO-CINZA/LISO CREME - 0,5x0,5x0H</v>
          </cell>
          <cell r="Y1127">
            <v>443.52</v>
          </cell>
          <cell r="Z1127">
            <v>0.35</v>
          </cell>
          <cell r="AA1127">
            <v>288.28800000000001</v>
          </cell>
          <cell r="AB1127"/>
        </row>
        <row r="1128">
          <cell r="C1128">
            <v>0</v>
          </cell>
          <cell r="D1128">
            <v>0</v>
          </cell>
          <cell r="E1128">
            <v>3</v>
          </cell>
          <cell r="F1128">
            <v>0</v>
          </cell>
          <cell r="H1128">
            <v>0</v>
          </cell>
          <cell r="O1128">
            <v>406195</v>
          </cell>
          <cell r="P1128" t="str">
            <v>2025/164-0081-01</v>
          </cell>
          <cell r="Q1128" t="str">
            <v>EST ALMOFADA CLAMI (VIVO) TC TRAMADO BRANCO-CINZA/LISO CREME</v>
          </cell>
          <cell r="R1128"/>
          <cell r="S1128"/>
          <cell r="T1128">
            <v>0.5</v>
          </cell>
          <cell r="U1128">
            <v>0.5</v>
          </cell>
          <cell r="V1128">
            <v>0</v>
          </cell>
          <cell r="W1128">
            <v>0</v>
          </cell>
          <cell r="X1128" t="str">
            <v>EST ALMOFADA CLAMI (VIVO) TC TRAMADO BRANCO-CINZA/LISO CREME - 0,5x0,5x0H</v>
          </cell>
          <cell r="Y1128">
            <v>443.52</v>
          </cell>
          <cell r="Z1128">
            <v>0.35</v>
          </cell>
          <cell r="AA1128">
            <v>288.28800000000001</v>
          </cell>
          <cell r="AB1128"/>
        </row>
        <row r="1129">
          <cell r="C1129">
            <v>6</v>
          </cell>
          <cell r="D1129">
            <v>4</v>
          </cell>
          <cell r="E1129">
            <v>3</v>
          </cell>
          <cell r="F1129">
            <v>0</v>
          </cell>
          <cell r="H1129">
            <v>0</v>
          </cell>
          <cell r="O1129">
            <v>406198</v>
          </cell>
          <cell r="P1129" t="str">
            <v>2025/164-0085-01</v>
          </cell>
          <cell r="Q1129" t="str">
            <v>EST ALMOFADA CLAMI (SIMPLES) TC TRAMADO TERRACOTA</v>
          </cell>
          <cell r="R1129"/>
          <cell r="S1129"/>
          <cell r="T1129">
            <v>0.5</v>
          </cell>
          <cell r="U1129">
            <v>0.5</v>
          </cell>
          <cell r="V1129">
            <v>0</v>
          </cell>
          <cell r="W1129">
            <v>0</v>
          </cell>
          <cell r="X1129" t="str">
            <v>EST ALMOFADA CLAMI (SIMPLES) TC TRAMADO TERRACOTA - 0,5x0,5x0H</v>
          </cell>
          <cell r="Y1129">
            <v>443.52</v>
          </cell>
          <cell r="Z1129">
            <v>0.35</v>
          </cell>
          <cell r="AA1129">
            <v>288.28800000000001</v>
          </cell>
          <cell r="AB1129"/>
        </row>
        <row r="1130">
          <cell r="C1130">
            <v>6</v>
          </cell>
          <cell r="D1130">
            <v>4</v>
          </cell>
          <cell r="E1130">
            <v>3</v>
          </cell>
          <cell r="F1130">
            <v>0</v>
          </cell>
          <cell r="H1130">
            <v>0</v>
          </cell>
          <cell r="O1130">
            <v>406198</v>
          </cell>
          <cell r="P1130" t="str">
            <v>2025/164-0086-01</v>
          </cell>
          <cell r="Q1130" t="str">
            <v>EST ALMOFADA CLAMI (SIMPLES) TC TRAMADO TERRACOTA</v>
          </cell>
          <cell r="R1130"/>
          <cell r="S1130"/>
          <cell r="T1130">
            <v>0.5</v>
          </cell>
          <cell r="U1130">
            <v>0.5</v>
          </cell>
          <cell r="V1130">
            <v>0</v>
          </cell>
          <cell r="W1130">
            <v>0</v>
          </cell>
          <cell r="X1130" t="str">
            <v>EST ALMOFADA CLAMI (SIMPLES) TC TRAMADO TERRACOTA - 0,5x0,5x0H</v>
          </cell>
          <cell r="Y1130">
            <v>443.52</v>
          </cell>
          <cell r="Z1130">
            <v>0.35</v>
          </cell>
          <cell r="AA1130">
            <v>288.28800000000001</v>
          </cell>
          <cell r="AB1130"/>
        </row>
        <row r="1131">
          <cell r="C1131">
            <v>6</v>
          </cell>
          <cell r="D1131">
            <v>4</v>
          </cell>
          <cell r="E1131">
            <v>3</v>
          </cell>
          <cell r="F1131">
            <v>0</v>
          </cell>
          <cell r="H1131">
            <v>0</v>
          </cell>
          <cell r="O1131">
            <v>406198</v>
          </cell>
          <cell r="P1131" t="str">
            <v>2025/164-0087-01</v>
          </cell>
          <cell r="Q1131" t="str">
            <v>EST ALMOFADA CLAMI (SIMPLES) TC TRAMADO TERRACOTA</v>
          </cell>
          <cell r="R1131"/>
          <cell r="S1131"/>
          <cell r="T1131">
            <v>0.5</v>
          </cell>
          <cell r="U1131">
            <v>0.5</v>
          </cell>
          <cell r="V1131">
            <v>0</v>
          </cell>
          <cell r="W1131">
            <v>0</v>
          </cell>
          <cell r="X1131" t="str">
            <v>EST ALMOFADA CLAMI (SIMPLES) TC TRAMADO TERRACOTA - 0,5x0,5x0H</v>
          </cell>
          <cell r="Y1131">
            <v>443.52</v>
          </cell>
          <cell r="Z1131">
            <v>0.35</v>
          </cell>
          <cell r="AA1131">
            <v>288.28800000000001</v>
          </cell>
          <cell r="AB1131"/>
        </row>
        <row r="1132">
          <cell r="C1132">
            <v>6</v>
          </cell>
          <cell r="D1132">
            <v>4</v>
          </cell>
          <cell r="E1132">
            <v>3</v>
          </cell>
          <cell r="F1132">
            <v>0</v>
          </cell>
          <cell r="H1132">
            <v>0</v>
          </cell>
          <cell r="O1132">
            <v>406198</v>
          </cell>
          <cell r="P1132" t="str">
            <v>2025/164-0088-01</v>
          </cell>
          <cell r="Q1132" t="str">
            <v>EST ALMOFADA CLAMI (SIMPLES) TC TRAMADO TERRACOTA</v>
          </cell>
          <cell r="R1132"/>
          <cell r="S1132"/>
          <cell r="T1132">
            <v>0.5</v>
          </cell>
          <cell r="U1132">
            <v>0.5</v>
          </cell>
          <cell r="V1132">
            <v>0</v>
          </cell>
          <cell r="W1132">
            <v>0</v>
          </cell>
          <cell r="X1132" t="str">
            <v>EST ALMOFADA CLAMI (SIMPLES) TC TRAMADO TERRACOTA - 0,5x0,5x0H</v>
          </cell>
          <cell r="Y1132">
            <v>443.52</v>
          </cell>
          <cell r="Z1132">
            <v>0.35</v>
          </cell>
          <cell r="AA1132">
            <v>288.28800000000001</v>
          </cell>
          <cell r="AB1132"/>
        </row>
        <row r="1133">
          <cell r="C1133" t="e">
            <v>#N/A</v>
          </cell>
          <cell r="D1133" t="e">
            <v>#N/A</v>
          </cell>
          <cell r="E1133" t="e">
            <v>#N/A</v>
          </cell>
          <cell r="F1133" t="e">
            <v>#N/A</v>
          </cell>
          <cell r="H1133" t="e">
            <v>#N/A</v>
          </cell>
          <cell r="O1133">
            <v>406202</v>
          </cell>
          <cell r="P1133" t="str">
            <v>2025/164-0098-01</v>
          </cell>
          <cell r="Q1133" t="e">
            <v>#N/A</v>
          </cell>
          <cell r="R1133"/>
          <cell r="S1133"/>
          <cell r="T1133" t="e">
            <v>#N/A</v>
          </cell>
          <cell r="U1133" t="e">
            <v>#N/A</v>
          </cell>
          <cell r="V1133" t="e">
            <v>#N/A</v>
          </cell>
          <cell r="W1133" t="e">
            <v>#N/A</v>
          </cell>
          <cell r="X1133" t="e">
            <v>#N/A</v>
          </cell>
          <cell r="Y1133">
            <v>443.52</v>
          </cell>
          <cell r="Z1133">
            <v>0.35</v>
          </cell>
          <cell r="AA1133">
            <v>288.28800000000001</v>
          </cell>
          <cell r="AB1133"/>
        </row>
        <row r="1134">
          <cell r="C1134" t="e">
            <v>#N/A</v>
          </cell>
          <cell r="D1134" t="e">
            <v>#N/A</v>
          </cell>
          <cell r="E1134" t="e">
            <v>#N/A</v>
          </cell>
          <cell r="F1134" t="e">
            <v>#N/A</v>
          </cell>
          <cell r="H1134" t="e">
            <v>#N/A</v>
          </cell>
          <cell r="O1134">
            <v>406202</v>
          </cell>
          <cell r="P1134" t="str">
            <v>2025/164-0099-01</v>
          </cell>
          <cell r="Q1134" t="e">
            <v>#N/A</v>
          </cell>
          <cell r="R1134"/>
          <cell r="S1134"/>
          <cell r="T1134" t="e">
            <v>#N/A</v>
          </cell>
          <cell r="U1134" t="e">
            <v>#N/A</v>
          </cell>
          <cell r="V1134" t="e">
            <v>#N/A</v>
          </cell>
          <cell r="W1134" t="e">
            <v>#N/A</v>
          </cell>
          <cell r="X1134" t="e">
            <v>#N/A</v>
          </cell>
          <cell r="Y1134">
            <v>443.52</v>
          </cell>
          <cell r="Z1134">
            <v>0.35</v>
          </cell>
          <cell r="AA1134">
            <v>288.28800000000001</v>
          </cell>
          <cell r="AB1134"/>
        </row>
        <row r="1135">
          <cell r="C1135" t="e">
            <v>#N/A</v>
          </cell>
          <cell r="D1135" t="e">
            <v>#N/A</v>
          </cell>
          <cell r="E1135" t="e">
            <v>#N/A</v>
          </cell>
          <cell r="F1135" t="e">
            <v>#N/A</v>
          </cell>
          <cell r="H1135" t="e">
            <v>#N/A</v>
          </cell>
          <cell r="O1135">
            <v>406202</v>
          </cell>
          <cell r="P1135" t="str">
            <v>2025/164-0100-01</v>
          </cell>
          <cell r="Q1135" t="e">
            <v>#N/A</v>
          </cell>
          <cell r="R1135"/>
          <cell r="S1135"/>
          <cell r="T1135" t="e">
            <v>#N/A</v>
          </cell>
          <cell r="U1135" t="e">
            <v>#N/A</v>
          </cell>
          <cell r="V1135" t="e">
            <v>#N/A</v>
          </cell>
          <cell r="W1135" t="e">
            <v>#N/A</v>
          </cell>
          <cell r="X1135" t="e">
            <v>#N/A</v>
          </cell>
          <cell r="Y1135">
            <v>443.52</v>
          </cell>
          <cell r="Z1135">
            <v>0.35</v>
          </cell>
          <cell r="AA1135">
            <v>288.28800000000001</v>
          </cell>
          <cell r="AB1135"/>
        </row>
        <row r="1136">
          <cell r="C1136" t="e">
            <v>#N/A</v>
          </cell>
          <cell r="D1136" t="e">
            <v>#N/A</v>
          </cell>
          <cell r="E1136" t="e">
            <v>#N/A</v>
          </cell>
          <cell r="F1136" t="e">
            <v>#N/A</v>
          </cell>
          <cell r="H1136" t="e">
            <v>#N/A</v>
          </cell>
          <cell r="O1136">
            <v>406202</v>
          </cell>
          <cell r="P1136" t="str">
            <v>2025/164-0101-01</v>
          </cell>
          <cell r="Q1136" t="e">
            <v>#N/A</v>
          </cell>
          <cell r="R1136"/>
          <cell r="S1136"/>
          <cell r="T1136" t="e">
            <v>#N/A</v>
          </cell>
          <cell r="U1136" t="e">
            <v>#N/A</v>
          </cell>
          <cell r="V1136" t="e">
            <v>#N/A</v>
          </cell>
          <cell r="W1136" t="e">
            <v>#N/A</v>
          </cell>
          <cell r="X1136" t="e">
            <v>#N/A</v>
          </cell>
          <cell r="Y1136">
            <v>443.52</v>
          </cell>
          <cell r="Z1136">
            <v>0.35</v>
          </cell>
          <cell r="AA1136">
            <v>288.28800000000001</v>
          </cell>
          <cell r="AB1136"/>
        </row>
        <row r="1137">
          <cell r="C1137">
            <v>0</v>
          </cell>
          <cell r="D1137">
            <v>1</v>
          </cell>
          <cell r="E1137">
            <v>0</v>
          </cell>
          <cell r="F1137">
            <v>0</v>
          </cell>
          <cell r="H1137">
            <v>0</v>
          </cell>
          <cell r="O1137">
            <v>234335</v>
          </cell>
          <cell r="P1137" t="str">
            <v>2019/261-0061-01</v>
          </cell>
          <cell r="Q1137" t="str">
            <v>EST LUMINARIA GHOST PISO G/BS PEDRA NEGRA</v>
          </cell>
          <cell r="R1137"/>
          <cell r="S1137"/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 t="str">
            <v>EST LUMINARIA GHOST PISO G/BS PEDRA NEGRA - Ø0x0H</v>
          </cell>
          <cell r="Y1137">
            <v>29934.06</v>
          </cell>
          <cell r="Z1137">
            <v>0.5</v>
          </cell>
          <cell r="AA1137">
            <v>14967.03</v>
          </cell>
          <cell r="AB1137"/>
        </row>
        <row r="1138">
          <cell r="C1138">
            <v>0</v>
          </cell>
          <cell r="D1138">
            <v>0</v>
          </cell>
          <cell r="E1138">
            <v>1</v>
          </cell>
          <cell r="F1138">
            <v>0</v>
          </cell>
          <cell r="H1138">
            <v>0</v>
          </cell>
          <cell r="O1138">
            <v>377925</v>
          </cell>
          <cell r="P1138" t="str">
            <v>2023/304-0068-01</v>
          </cell>
          <cell r="Q1138" t="str">
            <v>EST MESA LATERAL ALEXANDRIA (TP MARM GTMALA) (BS MTZ GOLDEN)</v>
          </cell>
          <cell r="R1138"/>
          <cell r="S1138"/>
          <cell r="T1138">
            <v>0.6</v>
          </cell>
          <cell r="U1138">
            <v>0</v>
          </cell>
          <cell r="V1138">
            <v>0.4</v>
          </cell>
          <cell r="W1138">
            <v>0.6</v>
          </cell>
          <cell r="X1138" t="str">
            <v>EST MESA LATERAL ALEXANDRIA (TP MARM GTMALA) (BS MTZ GOLDEN) - Ø0,6x0,4H</v>
          </cell>
          <cell r="Y1138">
            <v>16446.259999999998</v>
          </cell>
          <cell r="Z1138">
            <v>0.35</v>
          </cell>
          <cell r="AA1138">
            <v>10690.069</v>
          </cell>
          <cell r="AB1138"/>
        </row>
        <row r="1139">
          <cell r="C1139">
            <v>0</v>
          </cell>
          <cell r="D1139">
            <v>0</v>
          </cell>
          <cell r="E1139">
            <v>1</v>
          </cell>
          <cell r="F1139">
            <v>0</v>
          </cell>
          <cell r="H1139">
            <v>0</v>
          </cell>
          <cell r="O1139">
            <v>378475</v>
          </cell>
          <cell r="P1139" t="str">
            <v>2024/030-0009-01</v>
          </cell>
          <cell r="Q1139" t="str">
            <v>EST MESA LATERAL HIMALAYA (CLAS) (MARM 1 ARMANI) (WALNUT)</v>
          </cell>
          <cell r="R1139"/>
          <cell r="S1139"/>
          <cell r="T1139">
            <v>0.5</v>
          </cell>
          <cell r="U1139">
            <v>0</v>
          </cell>
          <cell r="V1139">
            <v>0.45</v>
          </cell>
          <cell r="W1139">
            <v>0.5</v>
          </cell>
          <cell r="X1139" t="str">
            <v>EST MESA LATERAL HIMALAYA (CLAS) (MARM 1 ARMANI) (WALNUT) - Ø0,5x0,45H</v>
          </cell>
          <cell r="Y1139">
            <v>13843.16</v>
          </cell>
          <cell r="Z1139">
            <v>0.35</v>
          </cell>
          <cell r="AA1139">
            <v>8998.0540000000001</v>
          </cell>
          <cell r="AB1139"/>
        </row>
        <row r="1140">
          <cell r="C1140">
            <v>0</v>
          </cell>
          <cell r="D1140">
            <v>0</v>
          </cell>
          <cell r="E1140">
            <v>1</v>
          </cell>
          <cell r="F1140">
            <v>0</v>
          </cell>
          <cell r="H1140">
            <v>0</v>
          </cell>
          <cell r="O1140">
            <v>378484</v>
          </cell>
          <cell r="P1140" t="str">
            <v>2024/075-0005-01</v>
          </cell>
          <cell r="Q1140" t="str">
            <v>EST MESA CENTRO HIMALAYA (CLAS) (MARM 1 ARMANI) (WALNUT)</v>
          </cell>
          <cell r="R1140"/>
          <cell r="S1140"/>
          <cell r="T1140">
            <v>1.2</v>
          </cell>
          <cell r="U1140">
            <v>0</v>
          </cell>
          <cell r="V1140">
            <v>0.35</v>
          </cell>
          <cell r="W1140">
            <v>1.2</v>
          </cell>
          <cell r="X1140" t="str">
            <v>EST MESA CENTRO HIMALAYA (CLAS) (MARM 1 ARMANI) (WALNUT) - Ø1,2x0,35H</v>
          </cell>
          <cell r="Y1140">
            <v>43885.41</v>
          </cell>
          <cell r="Z1140">
            <v>0.35</v>
          </cell>
          <cell r="AA1140">
            <v>28525.516500000005</v>
          </cell>
          <cell r="AB1140"/>
        </row>
        <row r="1141">
          <cell r="C1141">
            <v>0</v>
          </cell>
          <cell r="D1141">
            <v>1</v>
          </cell>
          <cell r="E1141">
            <v>1</v>
          </cell>
          <cell r="F1141">
            <v>0</v>
          </cell>
          <cell r="H1141">
            <v>2</v>
          </cell>
          <cell r="O1141">
            <v>391647</v>
          </cell>
          <cell r="P1141" t="str">
            <v>2024/351-0041-01</v>
          </cell>
          <cell r="Q1141" t="str">
            <v>EST BANQUETA BAR FINA H81 C/B (FREIJO) (MIS) COURO CH OLIVA</v>
          </cell>
          <cell r="R1141"/>
          <cell r="S1141"/>
          <cell r="T1141">
            <v>0.48</v>
          </cell>
          <cell r="U1141">
            <v>0.55000000000000004</v>
          </cell>
          <cell r="V1141">
            <v>1.21</v>
          </cell>
          <cell r="W1141">
            <v>0</v>
          </cell>
          <cell r="X1141" t="str">
            <v>EST BANQUETA BAR FINA H81 C/B (FREIJO) (MIS) COURO CH OLIVA - 0,48x0,55x1,21H</v>
          </cell>
          <cell r="Y1141">
            <v>13139.66</v>
          </cell>
          <cell r="Z1141">
            <v>0.35</v>
          </cell>
          <cell r="AA1141">
            <v>8540.7790000000005</v>
          </cell>
          <cell r="AB1141"/>
        </row>
        <row r="1142">
          <cell r="C1142">
            <v>0</v>
          </cell>
          <cell r="D1142">
            <v>1</v>
          </cell>
          <cell r="E1142">
            <v>1</v>
          </cell>
          <cell r="F1142">
            <v>0</v>
          </cell>
          <cell r="H1142">
            <v>2</v>
          </cell>
          <cell r="O1142">
            <v>391647</v>
          </cell>
          <cell r="P1142" t="str">
            <v>2024/351-0042-01</v>
          </cell>
          <cell r="Q1142" t="str">
            <v>EST BANQUETA BAR FINA H81 C/B (FREIJO) (MIS) COURO CH OLIVA</v>
          </cell>
          <cell r="R1142"/>
          <cell r="S1142"/>
          <cell r="T1142">
            <v>0.48</v>
          </cell>
          <cell r="U1142">
            <v>0.55000000000000004</v>
          </cell>
          <cell r="V1142">
            <v>1.21</v>
          </cell>
          <cell r="W1142">
            <v>0</v>
          </cell>
          <cell r="X1142" t="str">
            <v>EST BANQUETA BAR FINA H81 C/B (FREIJO) (MIS) COURO CH OLIVA - 0,48x0,55x1,21H</v>
          </cell>
          <cell r="Y1142">
            <v>13139.66</v>
          </cell>
          <cell r="Z1142">
            <v>0.35</v>
          </cell>
          <cell r="AA1142">
            <v>8540.7790000000005</v>
          </cell>
          <cell r="AB1142"/>
        </row>
        <row r="1143">
          <cell r="C1143">
            <v>0</v>
          </cell>
          <cell r="D1143">
            <v>1</v>
          </cell>
          <cell r="E1143">
            <v>1</v>
          </cell>
          <cell r="F1143">
            <v>0</v>
          </cell>
          <cell r="H1143">
            <v>2</v>
          </cell>
          <cell r="O1143">
            <v>391647</v>
          </cell>
          <cell r="P1143" t="str">
            <v>2024/351-0044-01</v>
          </cell>
          <cell r="Q1143" t="str">
            <v>EST BANQUETA BAR FINA H81 C/B (FREIJO) (MIS) COURO CH OLIVA</v>
          </cell>
          <cell r="R1143"/>
          <cell r="S1143"/>
          <cell r="T1143">
            <v>0.48</v>
          </cell>
          <cell r="U1143">
            <v>0.55000000000000004</v>
          </cell>
          <cell r="V1143">
            <v>1.21</v>
          </cell>
          <cell r="W1143">
            <v>0</v>
          </cell>
          <cell r="X1143" t="str">
            <v>EST BANQUETA BAR FINA H81 C/B (FREIJO) (MIS) COURO CH OLIVA - 0,48x0,55x1,21H</v>
          </cell>
          <cell r="Y1143">
            <v>13139.66</v>
          </cell>
          <cell r="Z1143">
            <v>0.35</v>
          </cell>
          <cell r="AA1143">
            <v>8540.7790000000005</v>
          </cell>
          <cell r="AB1143"/>
        </row>
        <row r="1144">
          <cell r="C1144">
            <v>0</v>
          </cell>
          <cell r="D1144">
            <v>0</v>
          </cell>
          <cell r="E1144">
            <v>0</v>
          </cell>
          <cell r="F1144">
            <v>1</v>
          </cell>
          <cell r="H1144">
            <v>0</v>
          </cell>
          <cell r="O1144">
            <v>363885</v>
          </cell>
          <cell r="P1144" t="str">
            <v>2023/152-0022-01</v>
          </cell>
          <cell r="Q1144" t="str">
            <v>EST MESA JANTAR BELIZE (MADEIRA) TP/BS LAMINA NOGUEIRA</v>
          </cell>
          <cell r="R1144"/>
          <cell r="S1144"/>
          <cell r="T1144">
            <v>3</v>
          </cell>
          <cell r="U1144">
            <v>1.4</v>
          </cell>
          <cell r="V1144">
            <v>0.76</v>
          </cell>
          <cell r="W1144">
            <v>0</v>
          </cell>
          <cell r="X1144" t="str">
            <v>EST MESA JANTAR BELIZE (MADEIRA) TP/BS LAMINA NOGUEIRA - 3x1,4x0,76H</v>
          </cell>
          <cell r="Y1144">
            <v>27097.95</v>
          </cell>
          <cell r="Z1144">
            <v>0.35</v>
          </cell>
          <cell r="AA1144">
            <v>17613.667500000003</v>
          </cell>
          <cell r="AB1144"/>
        </row>
        <row r="1145">
          <cell r="C1145">
            <v>0</v>
          </cell>
          <cell r="D1145">
            <v>1</v>
          </cell>
          <cell r="E1145">
            <v>0</v>
          </cell>
          <cell r="F1145">
            <v>0</v>
          </cell>
          <cell r="H1145">
            <v>0</v>
          </cell>
          <cell r="O1145">
            <v>400731</v>
          </cell>
          <cell r="P1145" t="str">
            <v>2025/107-0148-01</v>
          </cell>
          <cell r="Q1145" t="str">
            <v>EST MESA JANTAR ORIENTE TEKA NOGAL (CTO ARRED) CRISTAL NEVOA</v>
          </cell>
          <cell r="R1145"/>
          <cell r="S1145"/>
          <cell r="T1145">
            <v>2</v>
          </cell>
          <cell r="U1145">
            <v>1</v>
          </cell>
          <cell r="V1145">
            <v>0.76</v>
          </cell>
          <cell r="W1145">
            <v>0</v>
          </cell>
          <cell r="X1145" t="str">
            <v>EST MESA JANTAR ORIENTE TEKA NOGAL (CTO ARRED) CRISTAL NEVOA - 2x1x0,76H</v>
          </cell>
          <cell r="Y1145">
            <v>27131.87</v>
          </cell>
          <cell r="Z1145">
            <v>0.35</v>
          </cell>
          <cell r="AA1145">
            <v>17635.715499999998</v>
          </cell>
          <cell r="AB1145"/>
        </row>
        <row r="1146">
          <cell r="C1146">
            <v>0</v>
          </cell>
          <cell r="D1146">
            <v>0</v>
          </cell>
          <cell r="E1146">
            <v>0</v>
          </cell>
          <cell r="F1146">
            <v>0</v>
          </cell>
          <cell r="H1146">
            <v>1</v>
          </cell>
          <cell r="O1146">
            <v>327118</v>
          </cell>
          <cell r="P1146" t="str">
            <v>2022/126-0046-01</v>
          </cell>
          <cell r="Q1146" t="str">
            <v>EST MESA CENTRO SANTIAGO (TRI) (MTX PRETO) (MARM VERDE)</v>
          </cell>
          <cell r="R1146"/>
          <cell r="S1146"/>
          <cell r="T1146">
            <v>1.4</v>
          </cell>
          <cell r="U1146">
            <v>1.5</v>
          </cell>
          <cell r="V1146">
            <v>0.32</v>
          </cell>
          <cell r="W1146">
            <v>0</v>
          </cell>
          <cell r="X1146" t="str">
            <v>EST MESA CENTRO SANTIAGO (TRI) (MTX PRETO) (MARM VERDE) - 1,4x1,5x0,32H</v>
          </cell>
          <cell r="Y1146">
            <v>32531.19</v>
          </cell>
          <cell r="Z1146">
            <v>0.5</v>
          </cell>
          <cell r="AA1146">
            <v>16265.594999999999</v>
          </cell>
          <cell r="AB1146"/>
        </row>
        <row r="1147">
          <cell r="C1147">
            <v>0</v>
          </cell>
          <cell r="D1147">
            <v>0</v>
          </cell>
          <cell r="E1147">
            <v>1</v>
          </cell>
          <cell r="F1147">
            <v>1</v>
          </cell>
          <cell r="H1147">
            <v>0</v>
          </cell>
          <cell r="O1147">
            <v>260958</v>
          </cell>
          <cell r="P1147" t="str">
            <v>2021/067-0054-01</v>
          </cell>
          <cell r="Q1147" t="str">
            <v>EST BANCO MARINA REV (FREIJO) COURO TPE138/WKY26/LT ENV</v>
          </cell>
          <cell r="R1147"/>
          <cell r="S1147"/>
          <cell r="T1147">
            <v>2</v>
          </cell>
          <cell r="U1147">
            <v>0.5</v>
          </cell>
          <cell r="V1147">
            <v>0.37</v>
          </cell>
          <cell r="W1147">
            <v>0</v>
          </cell>
          <cell r="X1147" t="str">
            <v>EST BANCO MARINA REV (FREIJO) COURO TPE138/WKY26/LT ENV - 2x0,5x0,37H</v>
          </cell>
          <cell r="Y1147">
            <v>27664.81</v>
          </cell>
          <cell r="Z1147">
            <v>0.35</v>
          </cell>
          <cell r="AA1147">
            <v>17982.126500000002</v>
          </cell>
          <cell r="AB1147"/>
        </row>
        <row r="1148">
          <cell r="C1148">
            <v>0</v>
          </cell>
          <cell r="D1148">
            <v>0</v>
          </cell>
          <cell r="E1148">
            <v>2</v>
          </cell>
          <cell r="F1148">
            <v>0</v>
          </cell>
          <cell r="H1148">
            <v>0</v>
          </cell>
          <cell r="O1148">
            <v>371534</v>
          </cell>
          <cell r="P1148" t="str">
            <v>2023/192-0009-01</v>
          </cell>
          <cell r="Q1148" t="str">
            <v>EST POLTRONA ARCO (JEQ CAST CLARO) (FENDI) COURO CH ENV 32</v>
          </cell>
          <cell r="R1148"/>
          <cell r="S1148"/>
          <cell r="T1148">
            <v>0.75</v>
          </cell>
          <cell r="U1148">
            <v>0.91</v>
          </cell>
          <cell r="V1148">
            <v>0.7</v>
          </cell>
          <cell r="W1148">
            <v>0</v>
          </cell>
          <cell r="X1148" t="str">
            <v>EST POLTRONA ARCO (JEQ CAST CLARO) (FENDI) COURO CH ENV 32 - 0,75x0,91x0,7H</v>
          </cell>
          <cell r="Y1148">
            <v>15566.07</v>
          </cell>
          <cell r="Z1148">
            <v>0.35</v>
          </cell>
          <cell r="AA1148">
            <v>10117.9455</v>
          </cell>
          <cell r="AB1148"/>
        </row>
        <row r="1149">
          <cell r="C1149">
            <v>0</v>
          </cell>
          <cell r="D1149">
            <v>0</v>
          </cell>
          <cell r="E1149">
            <v>2</v>
          </cell>
          <cell r="F1149">
            <v>0</v>
          </cell>
          <cell r="H1149">
            <v>0</v>
          </cell>
          <cell r="O1149">
            <v>371534</v>
          </cell>
          <cell r="P1149" t="str">
            <v>2023/192-0010-01</v>
          </cell>
          <cell r="Q1149" t="str">
            <v>EST POLTRONA ARCO (JEQ CAST CLARO) (FENDI) COURO CH ENV 32</v>
          </cell>
          <cell r="R1149"/>
          <cell r="S1149"/>
          <cell r="T1149">
            <v>0.75</v>
          </cell>
          <cell r="U1149">
            <v>0.91</v>
          </cell>
          <cell r="V1149">
            <v>0.7</v>
          </cell>
          <cell r="W1149">
            <v>0</v>
          </cell>
          <cell r="X1149" t="str">
            <v>EST POLTRONA ARCO (JEQ CAST CLARO) (FENDI) COURO CH ENV 32 - 0,75x0,91x0,7H</v>
          </cell>
          <cell r="Y1149">
            <v>15566.07</v>
          </cell>
          <cell r="Z1149">
            <v>0.35</v>
          </cell>
          <cell r="AA1149">
            <v>10117.9455</v>
          </cell>
          <cell r="AB1149"/>
        </row>
        <row r="1150">
          <cell r="C1150">
            <v>0</v>
          </cell>
          <cell r="D1150">
            <v>0</v>
          </cell>
          <cell r="E1150">
            <v>0</v>
          </cell>
          <cell r="F1150">
            <v>1</v>
          </cell>
          <cell r="H1150">
            <v>0</v>
          </cell>
          <cell r="O1150">
            <v>362672</v>
          </cell>
          <cell r="P1150" t="str">
            <v>2023/104-0015-01</v>
          </cell>
          <cell r="Q1150" t="str">
            <v>EST MESA LATERAL MARINA (TAUARI TING NOG) COURO TP138/LT ENV</v>
          </cell>
          <cell r="R1150"/>
          <cell r="S1150"/>
          <cell r="T1150">
            <v>0.85</v>
          </cell>
          <cell r="U1150">
            <v>0.5</v>
          </cell>
          <cell r="V1150">
            <v>0.45</v>
          </cell>
          <cell r="W1150">
            <v>0</v>
          </cell>
          <cell r="X1150" t="str">
            <v>EST MESA LATERAL MARINA (TAUARI TING NOG) COURO TP138/LT ENV - 0,85x0,5x0,45H</v>
          </cell>
          <cell r="Y1150">
            <v>14414.13</v>
          </cell>
          <cell r="Z1150">
            <v>0.35</v>
          </cell>
          <cell r="AA1150">
            <v>9369.1844999999994</v>
          </cell>
          <cell r="AB1150"/>
        </row>
        <row r="1151">
          <cell r="C1151">
            <v>0</v>
          </cell>
          <cell r="D1151">
            <v>0</v>
          </cell>
          <cell r="E1151">
            <v>0</v>
          </cell>
          <cell r="F1151">
            <v>2</v>
          </cell>
          <cell r="H1151">
            <v>0</v>
          </cell>
          <cell r="O1151">
            <v>371699</v>
          </cell>
          <cell r="P1151" t="str">
            <v>2023/234-0033-01</v>
          </cell>
          <cell r="Q1151" t="str">
            <v>EST POLTRONA ARCO (JEQ IMB CLARO) (VERDE) COURO CH ENV 16</v>
          </cell>
          <cell r="R1151"/>
          <cell r="S1151"/>
          <cell r="T1151">
            <v>0.75</v>
          </cell>
          <cell r="U1151">
            <v>0.91</v>
          </cell>
          <cell r="V1151">
            <v>0.7</v>
          </cell>
          <cell r="W1151">
            <v>0</v>
          </cell>
          <cell r="X1151" t="str">
            <v>EST POLTRONA ARCO (JEQ IMB CLARO) (VERDE) COURO CH ENV 16 - 0,75x0,91x0,7H</v>
          </cell>
          <cell r="Y1151">
            <v>15566.07</v>
          </cell>
          <cell r="Z1151">
            <v>0.35</v>
          </cell>
          <cell r="AA1151">
            <v>10117.9455</v>
          </cell>
          <cell r="AB1151"/>
        </row>
        <row r="1152">
          <cell r="C1152">
            <v>0</v>
          </cell>
          <cell r="D1152">
            <v>0</v>
          </cell>
          <cell r="E1152">
            <v>0</v>
          </cell>
          <cell r="F1152">
            <v>2</v>
          </cell>
          <cell r="H1152">
            <v>0</v>
          </cell>
          <cell r="O1152">
            <v>371699</v>
          </cell>
          <cell r="P1152" t="str">
            <v>2023/234-0034-01</v>
          </cell>
          <cell r="Q1152" t="str">
            <v>EST POLTRONA ARCO (JEQ IMB CLARO) (VERDE) COURO CH ENV 16</v>
          </cell>
          <cell r="R1152"/>
          <cell r="S1152"/>
          <cell r="T1152">
            <v>0.75</v>
          </cell>
          <cell r="U1152">
            <v>0.91</v>
          </cell>
          <cell r="V1152">
            <v>0.7</v>
          </cell>
          <cell r="W1152">
            <v>0</v>
          </cell>
          <cell r="X1152" t="str">
            <v>EST POLTRONA ARCO (JEQ IMB CLARO) (VERDE) COURO CH ENV 16 - 0,75x0,91x0,7H</v>
          </cell>
          <cell r="Y1152">
            <v>15566.07</v>
          </cell>
          <cell r="Z1152">
            <v>0.35</v>
          </cell>
          <cell r="AA1152">
            <v>10117.9455</v>
          </cell>
          <cell r="AB1152"/>
        </row>
        <row r="1153">
          <cell r="C1153">
            <v>0</v>
          </cell>
          <cell r="D1153">
            <v>1</v>
          </cell>
          <cell r="E1153">
            <v>0</v>
          </cell>
          <cell r="F1153">
            <v>0</v>
          </cell>
          <cell r="H1153">
            <v>0</v>
          </cell>
          <cell r="O1153">
            <v>260950</v>
          </cell>
          <cell r="P1153" t="str">
            <v>2020/343-0149-01</v>
          </cell>
          <cell r="Q1153" t="str">
            <v>EST CADEIRA LOGAN C/B JANTAR (FREIJO) (ESTOF) COURO CH 32</v>
          </cell>
          <cell r="R1153"/>
          <cell r="S1153"/>
          <cell r="T1153">
            <v>0.62</v>
          </cell>
          <cell r="U1153">
            <v>0.6</v>
          </cell>
          <cell r="V1153">
            <v>0.84</v>
          </cell>
          <cell r="W1153">
            <v>0</v>
          </cell>
          <cell r="X1153" t="str">
            <v>EST CADEIRA LOGAN C/B JANTAR (FREIJO) (ESTOF) COURO CH 32 - 0,62x0,6x0,84H</v>
          </cell>
          <cell r="Y1153">
            <v>13913.720000000001</v>
          </cell>
          <cell r="Z1153">
            <v>0.35</v>
          </cell>
          <cell r="AA1153">
            <v>9043.9180000000015</v>
          </cell>
          <cell r="AB1153"/>
        </row>
        <row r="1154">
          <cell r="C1154">
            <v>0</v>
          </cell>
          <cell r="D1154">
            <v>1</v>
          </cell>
          <cell r="E1154">
            <v>0</v>
          </cell>
          <cell r="F1154">
            <v>0</v>
          </cell>
          <cell r="H1154">
            <v>1</v>
          </cell>
          <cell r="O1154">
            <v>260959</v>
          </cell>
          <cell r="P1154" t="str">
            <v>2020/192-0034-01</v>
          </cell>
          <cell r="Q1154" t="str">
            <v>EST MESA LATERAL MARINA (IMBUIA) CAMURCA AVELA 25/LT ENV</v>
          </cell>
          <cell r="R1154"/>
          <cell r="S1154"/>
          <cell r="T1154">
            <v>0.85</v>
          </cell>
          <cell r="U1154">
            <v>0.5</v>
          </cell>
          <cell r="V1154">
            <v>0.45</v>
          </cell>
          <cell r="W1154">
            <v>0</v>
          </cell>
          <cell r="X1154" t="str">
            <v>EST MESA LATERAL MARINA (IMBUIA) CAMURCA AVELA 25/LT ENV - 0,85x0,5x0,45H</v>
          </cell>
          <cell r="Y1154">
            <v>15154.94</v>
          </cell>
          <cell r="Z1154">
            <v>0.35</v>
          </cell>
          <cell r="AA1154">
            <v>9850.7109999999993</v>
          </cell>
          <cell r="AB1154"/>
        </row>
        <row r="1155">
          <cell r="C1155">
            <v>0</v>
          </cell>
          <cell r="D1155">
            <v>2</v>
          </cell>
          <cell r="E1155">
            <v>0</v>
          </cell>
          <cell r="F1155">
            <v>0</v>
          </cell>
          <cell r="H1155">
            <v>0</v>
          </cell>
          <cell r="O1155">
            <v>371700</v>
          </cell>
          <cell r="P1155" t="str">
            <v>2023/234-0035-01</v>
          </cell>
          <cell r="Q1155" t="str">
            <v>EST POLTRONA ARCO (JEQ IMB CLARO) (MARROM) COURO CH ENV 01</v>
          </cell>
          <cell r="R1155"/>
          <cell r="S1155"/>
          <cell r="T1155">
            <v>0.75</v>
          </cell>
          <cell r="U1155">
            <v>0.91</v>
          </cell>
          <cell r="V1155">
            <v>0.7</v>
          </cell>
          <cell r="W1155">
            <v>0</v>
          </cell>
          <cell r="X1155" t="str">
            <v>EST POLTRONA ARCO (JEQ IMB CLARO) (MARROM) COURO CH ENV 01 - 0,75x0,91x0,7H</v>
          </cell>
          <cell r="Y1155">
            <v>15566.07</v>
          </cell>
          <cell r="Z1155">
            <v>0.35</v>
          </cell>
          <cell r="AA1155">
            <v>10117.9455</v>
          </cell>
          <cell r="AB1155"/>
        </row>
        <row r="1156">
          <cell r="C1156">
            <v>0</v>
          </cell>
          <cell r="D1156">
            <v>2</v>
          </cell>
          <cell r="E1156">
            <v>0</v>
          </cell>
          <cell r="F1156">
            <v>0</v>
          </cell>
          <cell r="H1156">
            <v>0</v>
          </cell>
          <cell r="O1156">
            <v>371700</v>
          </cell>
          <cell r="P1156" t="str">
            <v>2023/234-0036-01</v>
          </cell>
          <cell r="Q1156" t="str">
            <v>EST POLTRONA ARCO (JEQ IMB CLARO) (MARROM) COURO CH ENV 01</v>
          </cell>
          <cell r="R1156"/>
          <cell r="S1156"/>
          <cell r="T1156">
            <v>0.75</v>
          </cell>
          <cell r="U1156">
            <v>0.91</v>
          </cell>
          <cell r="V1156">
            <v>0.7</v>
          </cell>
          <cell r="W1156">
            <v>0</v>
          </cell>
          <cell r="X1156" t="str">
            <v>EST POLTRONA ARCO (JEQ IMB CLARO) (MARROM) COURO CH ENV 01 - 0,75x0,91x0,7H</v>
          </cell>
          <cell r="Y1156">
            <v>15566.07</v>
          </cell>
          <cell r="Z1156">
            <v>0.35</v>
          </cell>
          <cell r="AA1156">
            <v>10117.9455</v>
          </cell>
          <cell r="AB1156"/>
        </row>
        <row r="1157">
          <cell r="C1157">
            <v>0</v>
          </cell>
          <cell r="D1157">
            <v>1</v>
          </cell>
          <cell r="E1157">
            <v>0</v>
          </cell>
          <cell r="F1157">
            <v>0</v>
          </cell>
          <cell r="H1157">
            <v>0</v>
          </cell>
          <cell r="O1157">
            <v>371707</v>
          </cell>
          <cell r="P1157" t="str">
            <v>2023/234-0041-01</v>
          </cell>
          <cell r="Q1157" t="str">
            <v>EST POLTRONA YUMI FORN COURO CH ENV 32/JEQ CAST CLARO</v>
          </cell>
          <cell r="R1157"/>
          <cell r="S1157"/>
          <cell r="T1157">
            <v>1.1599999999999999</v>
          </cell>
          <cell r="U1157">
            <v>0.86</v>
          </cell>
          <cell r="V1157">
            <v>0.84</v>
          </cell>
          <cell r="W1157">
            <v>0</v>
          </cell>
          <cell r="X1157" t="str">
            <v>EST POLTRONA YUMI FORN COURO CH ENV 32/JEQ CAST CLARO - 1,16x0,86x0,84H</v>
          </cell>
          <cell r="Y1157">
            <v>23532.5</v>
          </cell>
          <cell r="Z1157">
            <v>0.35</v>
          </cell>
          <cell r="AA1157">
            <v>15296.125</v>
          </cell>
          <cell r="AB1157"/>
        </row>
        <row r="1158">
          <cell r="C1158">
            <v>0</v>
          </cell>
          <cell r="D1158">
            <v>1</v>
          </cell>
          <cell r="E1158">
            <v>0</v>
          </cell>
          <cell r="F1158">
            <v>0</v>
          </cell>
          <cell r="H1158">
            <v>0</v>
          </cell>
          <cell r="O1158">
            <v>371708</v>
          </cell>
          <cell r="P1158" t="str">
            <v>2023/234-0042-01</v>
          </cell>
          <cell r="Q1158" t="str">
            <v>EST BANQUETA YUMI FORN COURO CH ENV 32/JEQ CAST CLARO</v>
          </cell>
          <cell r="R1158"/>
          <cell r="S1158"/>
          <cell r="T1158">
            <v>0.69</v>
          </cell>
          <cell r="U1158">
            <v>0.53</v>
          </cell>
          <cell r="V1158">
            <v>0.4</v>
          </cell>
          <cell r="W1158">
            <v>0</v>
          </cell>
          <cell r="X1158" t="str">
            <v>EST BANQUETA YUMI FORN COURO CH ENV 32/JEQ CAST CLARO - 0,69x0,53x0,4H</v>
          </cell>
          <cell r="Y1158">
            <v>7613.9859999999999</v>
          </cell>
          <cell r="Z1158">
            <v>0.35</v>
          </cell>
          <cell r="AA1158">
            <v>4949.0909000000001</v>
          </cell>
          <cell r="AB1158"/>
        </row>
        <row r="1159">
          <cell r="C1159">
            <v>0</v>
          </cell>
          <cell r="D1159">
            <v>1</v>
          </cell>
          <cell r="E1159">
            <v>1</v>
          </cell>
          <cell r="F1159">
            <v>0</v>
          </cell>
          <cell r="H1159">
            <v>2</v>
          </cell>
          <cell r="O1159">
            <v>391647</v>
          </cell>
          <cell r="P1159" t="str">
            <v>2024/351-0043-01</v>
          </cell>
          <cell r="Q1159" t="str">
            <v>EST BANQUETA BAR FINA H81 C/B (FREIJO) (MIS) COURO CH OLIVA</v>
          </cell>
          <cell r="R1159"/>
          <cell r="S1159"/>
          <cell r="T1159">
            <v>0.48</v>
          </cell>
          <cell r="U1159">
            <v>0.55000000000000004</v>
          </cell>
          <cell r="V1159">
            <v>1.21</v>
          </cell>
          <cell r="W1159">
            <v>0</v>
          </cell>
          <cell r="X1159" t="str">
            <v>EST BANQUETA BAR FINA H81 C/B (FREIJO) (MIS) COURO CH OLIVA - 0,48x0,55x1,21H</v>
          </cell>
          <cell r="Y1159">
            <v>13139.66</v>
          </cell>
          <cell r="Z1159">
            <v>0.35</v>
          </cell>
          <cell r="AA1159">
            <v>8540.7790000000005</v>
          </cell>
          <cell r="AB1159"/>
        </row>
        <row r="1160">
          <cell r="C1160">
            <v>1</v>
          </cell>
          <cell r="D1160">
            <v>0</v>
          </cell>
          <cell r="E1160">
            <v>0</v>
          </cell>
          <cell r="F1160">
            <v>0</v>
          </cell>
          <cell r="H1160">
            <v>1</v>
          </cell>
          <cell r="O1160">
            <v>151023</v>
          </cell>
          <cell r="P1160" t="str">
            <v>2014/219-0267-01</v>
          </cell>
          <cell r="Q1160" t="str">
            <v>EST POLTRONA DORA (BAIXA) TC SEDA 259 ECO</v>
          </cell>
          <cell r="R1160"/>
          <cell r="S1160"/>
          <cell r="T1160">
            <v>0.76</v>
          </cell>
          <cell r="U1160">
            <v>0.83</v>
          </cell>
          <cell r="V1160">
            <v>0.7</v>
          </cell>
          <cell r="W1160">
            <v>0</v>
          </cell>
          <cell r="X1160" t="str">
            <v>EST POLTRONA DORA (BAIXA) TC SEDA 259 ECO - 0,76x0,83x0,7H</v>
          </cell>
          <cell r="Y1160">
            <v>29568</v>
          </cell>
          <cell r="Z1160">
            <v>0.5</v>
          </cell>
          <cell r="AA1160">
            <v>14784</v>
          </cell>
          <cell r="AB1160"/>
        </row>
        <row r="1161">
          <cell r="C1161">
            <v>1</v>
          </cell>
          <cell r="D1161">
            <v>0</v>
          </cell>
          <cell r="E1161">
            <v>0</v>
          </cell>
          <cell r="F1161">
            <v>0</v>
          </cell>
          <cell r="H1161">
            <v>0</v>
          </cell>
          <cell r="O1161">
            <v>362671</v>
          </cell>
          <cell r="P1161" t="str">
            <v>2023/104-0014-01</v>
          </cell>
          <cell r="Q1161" t="str">
            <v>EST BANCO MARINA EST (TAUARI TING NOG) COURO TP138/LT ENV</v>
          </cell>
          <cell r="R1161"/>
          <cell r="S1161"/>
          <cell r="T1161">
            <v>2</v>
          </cell>
          <cell r="U1161">
            <v>0.5</v>
          </cell>
          <cell r="V1161">
            <v>0.37</v>
          </cell>
          <cell r="W1161">
            <v>0</v>
          </cell>
          <cell r="X1161" t="str">
            <v>EST BANCO MARINA EST (TAUARI TING NOG) COURO TP138/LT ENV - 2x0,5x0,37H</v>
          </cell>
          <cell r="Y1161">
            <v>23955.99</v>
          </cell>
          <cell r="Z1161">
            <v>0.35</v>
          </cell>
          <cell r="AA1161">
            <v>15571.393500000002</v>
          </cell>
          <cell r="AB1161"/>
        </row>
        <row r="1162">
          <cell r="C1162">
            <v>0</v>
          </cell>
          <cell r="D1162">
            <v>0</v>
          </cell>
          <cell r="E1162">
            <v>1</v>
          </cell>
          <cell r="F1162">
            <v>0</v>
          </cell>
          <cell r="H1162">
            <v>1</v>
          </cell>
          <cell r="O1162">
            <v>364605</v>
          </cell>
          <cell r="P1162" t="str">
            <v>2023/094-0138-01</v>
          </cell>
          <cell r="Q1162" t="str">
            <v>EST POLTRONA AGHATA PLUS (GIRATORIA) (MTX PRETO) FX F6069</v>
          </cell>
          <cell r="R1162"/>
          <cell r="S1162"/>
          <cell r="T1162">
            <v>0.68</v>
          </cell>
          <cell r="U1162">
            <v>0.8</v>
          </cell>
          <cell r="V1162">
            <v>0.76</v>
          </cell>
          <cell r="W1162">
            <v>0</v>
          </cell>
          <cell r="X1162" t="str">
            <v>EST POLTRONA AGHATA PLUS (GIRATORIA) (MTX PRETO) FX F6069 - 0,68x0,8x0,76H</v>
          </cell>
          <cell r="Y1162">
            <v>10330.52</v>
          </cell>
          <cell r="Z1162">
            <v>0.35</v>
          </cell>
          <cell r="AA1162">
            <v>6714.8380000000006</v>
          </cell>
          <cell r="AB1162"/>
        </row>
        <row r="1163">
          <cell r="C1163">
            <v>0</v>
          </cell>
          <cell r="D1163">
            <v>0</v>
          </cell>
          <cell r="E1163">
            <v>1</v>
          </cell>
          <cell r="F1163">
            <v>0</v>
          </cell>
          <cell r="H1163">
            <v>1</v>
          </cell>
          <cell r="O1163">
            <v>364605</v>
          </cell>
          <cell r="P1163" t="str">
            <v>2023/094-0139-01</v>
          </cell>
          <cell r="Q1163" t="str">
            <v>EST POLTRONA AGHATA PLUS (GIRATORIA) (MTX PRETO) FX F6069</v>
          </cell>
          <cell r="R1163"/>
          <cell r="S1163"/>
          <cell r="T1163">
            <v>0.68</v>
          </cell>
          <cell r="U1163">
            <v>0.8</v>
          </cell>
          <cell r="V1163">
            <v>0.76</v>
          </cell>
          <cell r="W1163">
            <v>0</v>
          </cell>
          <cell r="X1163" t="str">
            <v>EST POLTRONA AGHATA PLUS (GIRATORIA) (MTX PRETO) FX F6069 - 0,68x0,8x0,76H</v>
          </cell>
          <cell r="Y1163">
            <v>10330.52</v>
          </cell>
          <cell r="Z1163">
            <v>0.35</v>
          </cell>
          <cell r="AA1163">
            <v>6714.8380000000006</v>
          </cell>
          <cell r="AB1163"/>
        </row>
        <row r="1164">
          <cell r="C1164">
            <v>0</v>
          </cell>
          <cell r="D1164">
            <v>1</v>
          </cell>
          <cell r="E1164">
            <v>1</v>
          </cell>
          <cell r="F1164">
            <v>0</v>
          </cell>
          <cell r="H1164">
            <v>0</v>
          </cell>
          <cell r="O1164">
            <v>405115</v>
          </cell>
          <cell r="P1164" t="str">
            <v>2025/175-0029-01</v>
          </cell>
          <cell r="Q1164" t="str">
            <v>EST MESA LATERAL TRONCO (TP/BS TEKA CASTANHO)</v>
          </cell>
          <cell r="R1164"/>
          <cell r="S1164"/>
          <cell r="T1164">
            <v>0.48</v>
          </cell>
          <cell r="U1164">
            <v>0</v>
          </cell>
          <cell r="V1164">
            <v>0.35</v>
          </cell>
          <cell r="W1164">
            <v>0.48</v>
          </cell>
          <cell r="X1164" t="str">
            <v>EST MESA LATERAL TRONCO (TP/BS TEKA CASTANHO) - Ø0,48x0,35H</v>
          </cell>
          <cell r="Y1164">
            <v>5142.1400000000003</v>
          </cell>
          <cell r="Z1164">
            <v>0.35</v>
          </cell>
          <cell r="AA1164">
            <v>3342.3910000000005</v>
          </cell>
          <cell r="AB1164"/>
        </row>
        <row r="1165">
          <cell r="C1165">
            <v>0</v>
          </cell>
          <cell r="D1165">
            <v>1</v>
          </cell>
          <cell r="E1165">
            <v>1</v>
          </cell>
          <cell r="F1165">
            <v>0</v>
          </cell>
          <cell r="H1165">
            <v>0</v>
          </cell>
          <cell r="O1165">
            <v>405116</v>
          </cell>
          <cell r="P1165" t="str">
            <v>2025/175-0030-01</v>
          </cell>
          <cell r="Q1165" t="str">
            <v>EST MESA LATERAL TRONCO (TP/BS TEKA CASTANHO)</v>
          </cell>
          <cell r="R1165"/>
          <cell r="S1165"/>
          <cell r="T1165">
            <v>0.38</v>
          </cell>
          <cell r="U1165">
            <v>0</v>
          </cell>
          <cell r="V1165">
            <v>0.45</v>
          </cell>
          <cell r="W1165">
            <v>0.38</v>
          </cell>
          <cell r="X1165" t="str">
            <v>EST MESA LATERAL TRONCO (TP/BS TEKA CASTANHO) - Ø0,38x0,45H</v>
          </cell>
          <cell r="Y1165">
            <v>5142.1400000000003</v>
          </cell>
          <cell r="Z1165">
            <v>0.35</v>
          </cell>
          <cell r="AA1165">
            <v>3342.3910000000005</v>
          </cell>
          <cell r="AB1165"/>
        </row>
        <row r="1166">
          <cell r="C1166">
            <v>0</v>
          </cell>
          <cell r="D1166">
            <v>0</v>
          </cell>
          <cell r="E1166">
            <v>0</v>
          </cell>
          <cell r="F1166">
            <v>1</v>
          </cell>
          <cell r="H1166">
            <v>0</v>
          </cell>
          <cell r="O1166">
            <v>405111</v>
          </cell>
          <cell r="P1166" t="str">
            <v>2025/175-0024-01</v>
          </cell>
          <cell r="Q1166" t="str">
            <v>EST MESA LATERAL TRONCO (TP/BS TEKA NOGAL)</v>
          </cell>
          <cell r="R1166"/>
          <cell r="S1166"/>
          <cell r="T1166">
            <v>0.48</v>
          </cell>
          <cell r="U1166">
            <v>0</v>
          </cell>
          <cell r="V1166">
            <v>0.35</v>
          </cell>
          <cell r="W1166">
            <v>0.48</v>
          </cell>
          <cell r="X1166" t="str">
            <v>EST MESA LATERAL TRONCO (TP/BS TEKA NOGAL) - Ø0,48x0,35H</v>
          </cell>
          <cell r="Y1166">
            <v>5142.1400000000003</v>
          </cell>
          <cell r="Z1166">
            <v>0.35</v>
          </cell>
          <cell r="AA1166">
            <v>3342.3910000000005</v>
          </cell>
          <cell r="AB1166"/>
        </row>
        <row r="1167">
          <cell r="C1167">
            <v>0</v>
          </cell>
          <cell r="D1167">
            <v>0</v>
          </cell>
          <cell r="E1167">
            <v>0</v>
          </cell>
          <cell r="F1167">
            <v>1</v>
          </cell>
          <cell r="H1167">
            <v>0</v>
          </cell>
          <cell r="O1167">
            <v>405112</v>
          </cell>
          <cell r="P1167" t="str">
            <v>2025/175-0025-01</v>
          </cell>
          <cell r="Q1167" t="str">
            <v>EST MESA LATERAL TRONCO (TP/BS TEKA NOGAL)</v>
          </cell>
          <cell r="R1167"/>
          <cell r="S1167"/>
          <cell r="T1167">
            <v>0.38</v>
          </cell>
          <cell r="U1167">
            <v>0</v>
          </cell>
          <cell r="V1167">
            <v>0.45</v>
          </cell>
          <cell r="W1167">
            <v>0.38</v>
          </cell>
          <cell r="X1167" t="str">
            <v>EST MESA LATERAL TRONCO (TP/BS TEKA NOGAL) - Ø0,38x0,45H</v>
          </cell>
          <cell r="Y1167">
            <v>5142.1400000000003</v>
          </cell>
          <cell r="Z1167">
            <v>0.35</v>
          </cell>
          <cell r="AA1167">
            <v>3342.3910000000005</v>
          </cell>
          <cell r="AB1167"/>
        </row>
        <row r="1168">
          <cell r="C1168">
            <v>4</v>
          </cell>
          <cell r="D1168">
            <v>0</v>
          </cell>
          <cell r="E1168">
            <v>0</v>
          </cell>
          <cell r="F1168">
            <v>2</v>
          </cell>
          <cell r="H1168">
            <v>0</v>
          </cell>
          <cell r="O1168">
            <v>406189</v>
          </cell>
          <cell r="P1168" t="str">
            <v>2025/184-0020-01</v>
          </cell>
          <cell r="Q1168" t="str">
            <v>EST ALMOFADA CLAMI (SIMPLES) TC LISO VERDE</v>
          </cell>
          <cell r="R1168"/>
          <cell r="S1168"/>
          <cell r="T1168">
            <v>0.5</v>
          </cell>
          <cell r="U1168">
            <v>0.5</v>
          </cell>
          <cell r="V1168">
            <v>0</v>
          </cell>
          <cell r="W1168">
            <v>0</v>
          </cell>
          <cell r="X1168" t="str">
            <v>EST ALMOFADA CLAMI (SIMPLES) TC LISO VERDE - 0,5x0,5x0H</v>
          </cell>
          <cell r="Y1168">
            <v>443.52</v>
          </cell>
          <cell r="Z1168">
            <v>0.35</v>
          </cell>
          <cell r="AA1168">
            <v>288.28800000000001</v>
          </cell>
          <cell r="AB1168"/>
        </row>
        <row r="1169">
          <cell r="C1169">
            <v>4</v>
          </cell>
          <cell r="D1169">
            <v>0</v>
          </cell>
          <cell r="E1169">
            <v>0</v>
          </cell>
          <cell r="F1169">
            <v>2</v>
          </cell>
          <cell r="H1169">
            <v>0</v>
          </cell>
          <cell r="O1169">
            <v>406189</v>
          </cell>
          <cell r="P1169" t="str">
            <v>2025/184-0021-01</v>
          </cell>
          <cell r="Q1169" t="str">
            <v>EST ALMOFADA CLAMI (SIMPLES) TC LISO VERDE</v>
          </cell>
          <cell r="R1169"/>
          <cell r="S1169"/>
          <cell r="T1169">
            <v>0.5</v>
          </cell>
          <cell r="U1169">
            <v>0.5</v>
          </cell>
          <cell r="V1169">
            <v>0</v>
          </cell>
          <cell r="W1169">
            <v>0</v>
          </cell>
          <cell r="X1169" t="str">
            <v>EST ALMOFADA CLAMI (SIMPLES) TC LISO VERDE - 0,5x0,5x0H</v>
          </cell>
          <cell r="Y1169">
            <v>443.52</v>
          </cell>
          <cell r="Z1169">
            <v>0.35</v>
          </cell>
          <cell r="AA1169">
            <v>288.28800000000001</v>
          </cell>
          <cell r="AB1169"/>
        </row>
        <row r="1170">
          <cell r="C1170">
            <v>2</v>
          </cell>
          <cell r="D1170">
            <v>0</v>
          </cell>
          <cell r="E1170">
            <v>1</v>
          </cell>
          <cell r="F1170">
            <v>2</v>
          </cell>
          <cell r="H1170">
            <v>0</v>
          </cell>
          <cell r="O1170">
            <v>406190</v>
          </cell>
          <cell r="P1170" t="str">
            <v>2025/184-0026-01</v>
          </cell>
          <cell r="Q1170" t="str">
            <v>EST ALMOFADA CLAMI (SIMPLES) TC TRAMADO VERDE</v>
          </cell>
          <cell r="R1170"/>
          <cell r="S1170"/>
          <cell r="T1170">
            <v>0.5</v>
          </cell>
          <cell r="U1170">
            <v>0.5</v>
          </cell>
          <cell r="V1170">
            <v>0</v>
          </cell>
          <cell r="W1170">
            <v>0</v>
          </cell>
          <cell r="X1170" t="str">
            <v>EST ALMOFADA CLAMI (SIMPLES) TC TRAMADO VERDE - 0,5x0,5x0H</v>
          </cell>
          <cell r="Y1170">
            <v>443.52</v>
          </cell>
          <cell r="Z1170">
            <v>0.35</v>
          </cell>
          <cell r="AA1170">
            <v>288.28800000000001</v>
          </cell>
          <cell r="AB1170"/>
        </row>
        <row r="1171">
          <cell r="C1171">
            <v>2</v>
          </cell>
          <cell r="D1171">
            <v>0</v>
          </cell>
          <cell r="E1171">
            <v>1</v>
          </cell>
          <cell r="F1171">
            <v>2</v>
          </cell>
          <cell r="H1171">
            <v>0</v>
          </cell>
          <cell r="O1171">
            <v>406190</v>
          </cell>
          <cell r="P1171" t="str">
            <v>2025/184-0027-01</v>
          </cell>
          <cell r="Q1171" t="str">
            <v>EST ALMOFADA CLAMI (SIMPLES) TC TRAMADO VERDE</v>
          </cell>
          <cell r="R1171"/>
          <cell r="S1171"/>
          <cell r="T1171">
            <v>0.5</v>
          </cell>
          <cell r="U1171">
            <v>0.5</v>
          </cell>
          <cell r="V1171">
            <v>0</v>
          </cell>
          <cell r="W1171">
            <v>0</v>
          </cell>
          <cell r="X1171" t="str">
            <v>EST ALMOFADA CLAMI (SIMPLES) TC TRAMADO VERDE - 0,5x0,5x0H</v>
          </cell>
          <cell r="Y1171">
            <v>443.52</v>
          </cell>
          <cell r="Z1171">
            <v>0.35</v>
          </cell>
          <cell r="AA1171">
            <v>288.28800000000001</v>
          </cell>
          <cell r="AB1171"/>
        </row>
        <row r="1172">
          <cell r="C1172">
            <v>0</v>
          </cell>
          <cell r="D1172">
            <v>1</v>
          </cell>
          <cell r="E1172">
            <v>0</v>
          </cell>
          <cell r="F1172">
            <v>0</v>
          </cell>
          <cell r="H1172">
            <v>0</v>
          </cell>
          <cell r="O1172">
            <v>327119</v>
          </cell>
          <cell r="P1172" t="str">
            <v>2022/126-0047-01</v>
          </cell>
          <cell r="Q1172" t="str">
            <v>EST MESA CENTRO SANTIAGO (TRI) (MTX PRETO) (LAMINA EBONY)</v>
          </cell>
          <cell r="R1172"/>
          <cell r="S1172"/>
          <cell r="T1172">
            <v>1.4</v>
          </cell>
          <cell r="U1172">
            <v>1.5</v>
          </cell>
          <cell r="V1172">
            <v>0.32</v>
          </cell>
          <cell r="W1172">
            <v>0</v>
          </cell>
          <cell r="X1172" t="str">
            <v>EST MESA CENTRO SANTIAGO (TRI) (MTX PRETO) (LAMINA EBONY) - 1,4x1,5x0,32H</v>
          </cell>
          <cell r="Y1172">
            <v>16223.56</v>
          </cell>
          <cell r="Z1172">
            <v>0.35</v>
          </cell>
          <cell r="AA1172">
            <v>10545.314</v>
          </cell>
          <cell r="AB1172"/>
        </row>
        <row r="1173">
          <cell r="C1173">
            <v>0</v>
          </cell>
          <cell r="D1173">
            <v>1</v>
          </cell>
          <cell r="E1173">
            <v>1</v>
          </cell>
          <cell r="F1173">
            <v>0</v>
          </cell>
          <cell r="H1173">
            <v>0</v>
          </cell>
          <cell r="O1173">
            <v>405115</v>
          </cell>
          <cell r="P1173" t="str">
            <v>2025/175-0028-01</v>
          </cell>
          <cell r="Q1173" t="str">
            <v>EST MESA LATERAL TRONCO (TP/BS TEKA CASTANHO)</v>
          </cell>
          <cell r="R1173"/>
          <cell r="S1173"/>
          <cell r="T1173">
            <v>0.48</v>
          </cell>
          <cell r="U1173">
            <v>0</v>
          </cell>
          <cell r="V1173">
            <v>0.35</v>
          </cell>
          <cell r="W1173">
            <v>0.48</v>
          </cell>
          <cell r="X1173" t="str">
            <v>EST MESA LATERAL TRONCO (TP/BS TEKA CASTANHO) - Ø0,48x0,35H</v>
          </cell>
          <cell r="Y1173">
            <v>5142.1400000000003</v>
          </cell>
          <cell r="Z1173">
            <v>0.35</v>
          </cell>
          <cell r="AA1173">
            <v>3342.3910000000005</v>
          </cell>
          <cell r="AB1173"/>
        </row>
        <row r="1174">
          <cell r="C1174">
            <v>0</v>
          </cell>
          <cell r="D1174">
            <v>1</v>
          </cell>
          <cell r="E1174">
            <v>1</v>
          </cell>
          <cell r="F1174">
            <v>0</v>
          </cell>
          <cell r="H1174">
            <v>0</v>
          </cell>
          <cell r="O1174">
            <v>405116</v>
          </cell>
          <cell r="P1174" t="str">
            <v>2025/175-0031-01</v>
          </cell>
          <cell r="Q1174" t="str">
            <v>EST MESA LATERAL TRONCO (TP/BS TEKA CASTANHO)</v>
          </cell>
          <cell r="R1174"/>
          <cell r="S1174"/>
          <cell r="T1174">
            <v>0.38</v>
          </cell>
          <cell r="U1174">
            <v>0</v>
          </cell>
          <cell r="V1174">
            <v>0.45</v>
          </cell>
          <cell r="W1174">
            <v>0.38</v>
          </cell>
          <cell r="X1174" t="str">
            <v>EST MESA LATERAL TRONCO (TP/BS TEKA CASTANHO) - Ø0,38x0,45H</v>
          </cell>
          <cell r="Y1174">
            <v>5142.1400000000003</v>
          </cell>
          <cell r="Z1174">
            <v>0.35</v>
          </cell>
          <cell r="AA1174">
            <v>3342.3910000000005</v>
          </cell>
          <cell r="AB1174"/>
        </row>
        <row r="1175">
          <cell r="C1175">
            <v>1</v>
          </cell>
          <cell r="D1175">
            <v>2</v>
          </cell>
          <cell r="E1175">
            <v>3</v>
          </cell>
          <cell r="F1175">
            <v>0</v>
          </cell>
          <cell r="H1175">
            <v>0</v>
          </cell>
          <cell r="O1175">
            <v>406193</v>
          </cell>
          <cell r="P1175" t="str">
            <v>2025/184-0032-01</v>
          </cell>
          <cell r="Q1175" t="str">
            <v>EST ALMOFADA CLAMI (VIVO) TC TRAMADO BR-LARANJA/COURO MARROM</v>
          </cell>
          <cell r="R1175"/>
          <cell r="S1175"/>
          <cell r="T1175">
            <v>0.5</v>
          </cell>
          <cell r="U1175">
            <v>0.5</v>
          </cell>
          <cell r="V1175">
            <v>0</v>
          </cell>
          <cell r="W1175">
            <v>0</v>
          </cell>
          <cell r="X1175" t="str">
            <v>EST ALMOFADA CLAMI (VIVO) TC TRAMADO BR-LARANJA/COURO MARROM - 0,5x0,5x0H</v>
          </cell>
          <cell r="Y1175">
            <v>443.52</v>
          </cell>
          <cell r="Z1175">
            <v>0.35</v>
          </cell>
          <cell r="AA1175">
            <v>288.28800000000001</v>
          </cell>
          <cell r="AB1175"/>
        </row>
        <row r="1176">
          <cell r="C1176">
            <v>1</v>
          </cell>
          <cell r="D1176">
            <v>2</v>
          </cell>
          <cell r="E1176">
            <v>3</v>
          </cell>
          <cell r="F1176">
            <v>0</v>
          </cell>
          <cell r="H1176">
            <v>0</v>
          </cell>
          <cell r="O1176">
            <v>406193</v>
          </cell>
          <cell r="P1176" t="str">
            <v>2025/184-0033-01</v>
          </cell>
          <cell r="Q1176" t="str">
            <v>EST ALMOFADA CLAMI (VIVO) TC TRAMADO BR-LARANJA/COURO MARROM</v>
          </cell>
          <cell r="R1176"/>
          <cell r="S1176"/>
          <cell r="T1176">
            <v>0.5</v>
          </cell>
          <cell r="U1176">
            <v>0.5</v>
          </cell>
          <cell r="V1176">
            <v>0</v>
          </cell>
          <cell r="W1176">
            <v>0</v>
          </cell>
          <cell r="X1176" t="str">
            <v>EST ALMOFADA CLAMI (VIVO) TC TRAMADO BR-LARANJA/COURO MARROM - 0,5x0,5x0H</v>
          </cell>
          <cell r="Y1176">
            <v>443.52</v>
          </cell>
          <cell r="Z1176">
            <v>0.35</v>
          </cell>
          <cell r="AA1176">
            <v>288.28800000000001</v>
          </cell>
          <cell r="AB1176"/>
        </row>
        <row r="1177">
          <cell r="C1177">
            <v>1</v>
          </cell>
          <cell r="D1177">
            <v>0</v>
          </cell>
          <cell r="E1177">
            <v>0</v>
          </cell>
          <cell r="F1177">
            <v>0</v>
          </cell>
          <cell r="H1177">
            <v>0</v>
          </cell>
          <cell r="O1177">
            <v>405113</v>
          </cell>
          <cell r="P1177" t="str">
            <v>2025/175-0026-01</v>
          </cell>
          <cell r="Q1177" t="str">
            <v>EST MESA LATERAL TRONCO (TP/BS TEKA NATURAL)</v>
          </cell>
          <cell r="R1177"/>
          <cell r="S1177"/>
          <cell r="T1177">
            <v>0.48</v>
          </cell>
          <cell r="U1177">
            <v>0</v>
          </cell>
          <cell r="V1177">
            <v>0.35</v>
          </cell>
          <cell r="W1177">
            <v>0.48</v>
          </cell>
          <cell r="X1177" t="str">
            <v>EST MESA LATERAL TRONCO (TP/BS TEKA NATURAL) - Ø0,48x0,35H</v>
          </cell>
          <cell r="Y1177">
            <v>5142.1400000000003</v>
          </cell>
          <cell r="Z1177">
            <v>0.35</v>
          </cell>
          <cell r="AA1177">
            <v>3342.3910000000005</v>
          </cell>
          <cell r="AB1177"/>
        </row>
        <row r="1178">
          <cell r="C1178">
            <v>1</v>
          </cell>
          <cell r="D1178">
            <v>0</v>
          </cell>
          <cell r="E1178">
            <v>0</v>
          </cell>
          <cell r="F1178">
            <v>0</v>
          </cell>
          <cell r="H1178">
            <v>0</v>
          </cell>
          <cell r="O1178">
            <v>405114</v>
          </cell>
          <cell r="P1178" t="str">
            <v>2025/175-0027-01</v>
          </cell>
          <cell r="Q1178" t="str">
            <v>EST MESA LATERAL TRONCO (TP/BS TEKA NATURAL)</v>
          </cell>
          <cell r="R1178"/>
          <cell r="S1178"/>
          <cell r="T1178">
            <v>0.38</v>
          </cell>
          <cell r="U1178">
            <v>0</v>
          </cell>
          <cell r="V1178">
            <v>0.45</v>
          </cell>
          <cell r="W1178">
            <v>0.38</v>
          </cell>
          <cell r="X1178" t="str">
            <v>EST MESA LATERAL TRONCO (TP/BS TEKA NATURAL) - Ø0,38x0,45H</v>
          </cell>
          <cell r="Y1178">
            <v>5142.1400000000003</v>
          </cell>
          <cell r="Z1178">
            <v>0.35</v>
          </cell>
          <cell r="AA1178">
            <v>3342.3910000000005</v>
          </cell>
          <cell r="AB1178"/>
        </row>
        <row r="1179">
          <cell r="C1179">
            <v>0</v>
          </cell>
          <cell r="D1179">
            <v>0</v>
          </cell>
          <cell r="E1179">
            <v>0</v>
          </cell>
          <cell r="F1179">
            <v>0</v>
          </cell>
          <cell r="H1179">
            <v>0</v>
          </cell>
          <cell r="O1179">
            <v>404348</v>
          </cell>
          <cell r="P1179" t="str">
            <v>(LOTE 004)</v>
          </cell>
          <cell r="Q1179" t="str">
            <v>ROLO TECIDO EL NOVE 04 - (AQUA) -</v>
          </cell>
          <cell r="R1179"/>
          <cell r="S1179"/>
          <cell r="T1179">
            <v>2.1</v>
          </cell>
          <cell r="U1179">
            <v>1.4</v>
          </cell>
          <cell r="V1179">
            <v>0</v>
          </cell>
          <cell r="W1179">
            <v>0</v>
          </cell>
          <cell r="X1179" t="str">
            <v>ROLO TECIDO EL NOVE 04 - (AQUA) - - 2,1x1,4x0H</v>
          </cell>
          <cell r="Y1179">
            <v>0</v>
          </cell>
          <cell r="Z1179">
            <v>0.35</v>
          </cell>
          <cell r="AA1179">
            <v>0</v>
          </cell>
          <cell r="AB1179"/>
        </row>
        <row r="1180">
          <cell r="C1180">
            <v>0</v>
          </cell>
          <cell r="D1180">
            <v>0</v>
          </cell>
          <cell r="E1180">
            <v>0</v>
          </cell>
          <cell r="F1180">
            <v>0</v>
          </cell>
          <cell r="H1180">
            <v>0</v>
          </cell>
          <cell r="O1180">
            <v>404349</v>
          </cell>
          <cell r="P1180" t="str">
            <v>(LOTE 004)</v>
          </cell>
          <cell r="Q1180" t="str">
            <v>ROLO TECIDO ELB SARASOTA - (GREY &amp; BEIGE) -</v>
          </cell>
          <cell r="R1180"/>
          <cell r="S1180"/>
          <cell r="T1180">
            <v>2.5</v>
          </cell>
          <cell r="U1180">
            <v>1.4</v>
          </cell>
          <cell r="V1180">
            <v>0</v>
          </cell>
          <cell r="W1180">
            <v>0</v>
          </cell>
          <cell r="X1180" t="str">
            <v>ROLO TECIDO ELB SARASOTA - (GREY &amp; BEIGE) - - 2,5x1,4x0H</v>
          </cell>
          <cell r="Y1180">
            <v>0</v>
          </cell>
          <cell r="Z1180">
            <v>0.35</v>
          </cell>
          <cell r="AA1180">
            <v>0</v>
          </cell>
          <cell r="AB1180"/>
        </row>
        <row r="1181">
          <cell r="C1181">
            <v>0</v>
          </cell>
          <cell r="D1181">
            <v>0</v>
          </cell>
          <cell r="E1181">
            <v>0</v>
          </cell>
          <cell r="F1181">
            <v>0</v>
          </cell>
          <cell r="H1181">
            <v>0</v>
          </cell>
          <cell r="O1181">
            <v>404350</v>
          </cell>
          <cell r="P1181" t="str">
            <v>(LOTE 004)</v>
          </cell>
          <cell r="Q1181" t="str">
            <v>ROLO TECIDO MANTILLA - (MARS) -</v>
          </cell>
          <cell r="R1181"/>
          <cell r="S1181"/>
          <cell r="T1181">
            <v>2</v>
          </cell>
          <cell r="U1181">
            <v>1.4</v>
          </cell>
          <cell r="V1181">
            <v>0</v>
          </cell>
          <cell r="W1181">
            <v>0</v>
          </cell>
          <cell r="X1181" t="str">
            <v>ROLO TECIDO MANTILLA - (MARS) - - 2x1,4x0H</v>
          </cell>
          <cell r="Y1181">
            <v>0</v>
          </cell>
          <cell r="Z1181">
            <v>0.35</v>
          </cell>
          <cell r="AA1181">
            <v>0</v>
          </cell>
          <cell r="AB1181"/>
        </row>
        <row r="1182">
          <cell r="C1182">
            <v>0</v>
          </cell>
          <cell r="D1182">
            <v>0</v>
          </cell>
          <cell r="E1182">
            <v>0</v>
          </cell>
          <cell r="F1182">
            <v>0</v>
          </cell>
          <cell r="H1182">
            <v>0</v>
          </cell>
          <cell r="O1182">
            <v>404351</v>
          </cell>
          <cell r="P1182" t="str">
            <v>(LOTE 004)</v>
          </cell>
          <cell r="Q1182" t="str">
            <v>ROLO TECIDO WALLS - (WHITE (GUARDIAN))</v>
          </cell>
          <cell r="R1182"/>
          <cell r="S1182"/>
          <cell r="T1182">
            <v>2.5</v>
          </cell>
          <cell r="U1182">
            <v>1.4</v>
          </cell>
          <cell r="V1182">
            <v>0</v>
          </cell>
          <cell r="W1182">
            <v>0</v>
          </cell>
          <cell r="X1182" t="str">
            <v>ROLO TECIDO WALLS - (WHITE (GUARDIAN)) - 2,5x1,4x0H</v>
          </cell>
          <cell r="Y1182">
            <v>0</v>
          </cell>
          <cell r="Z1182">
            <v>0.35</v>
          </cell>
          <cell r="AA1182">
            <v>0</v>
          </cell>
          <cell r="AB1182"/>
        </row>
        <row r="1183"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H1183">
            <v>0</v>
          </cell>
          <cell r="O1183">
            <v>404352</v>
          </cell>
          <cell r="P1183" t="str">
            <v>(LOTE 005) (FL)</v>
          </cell>
          <cell r="Q1183" t="str">
            <v>ROLO TECIDO ALGARVE (BEGE CLARO) -</v>
          </cell>
          <cell r="R1183"/>
          <cell r="S1183"/>
          <cell r="T1183">
            <v>2.1</v>
          </cell>
          <cell r="U1183">
            <v>1.4</v>
          </cell>
          <cell r="V1183">
            <v>0</v>
          </cell>
          <cell r="W1183">
            <v>0</v>
          </cell>
          <cell r="X1183" t="str">
            <v>ROLO TECIDO ALGARVE (BEGE CLARO) - - 2,1x1,4x0H</v>
          </cell>
          <cell r="Y1183">
            <v>0</v>
          </cell>
          <cell r="Z1183">
            <v>0.35</v>
          </cell>
          <cell r="AA1183">
            <v>0</v>
          </cell>
          <cell r="AB1183"/>
        </row>
        <row r="1184">
          <cell r="C1184">
            <v>0</v>
          </cell>
          <cell r="D1184">
            <v>0</v>
          </cell>
          <cell r="E1184">
            <v>0</v>
          </cell>
          <cell r="F1184">
            <v>0</v>
          </cell>
          <cell r="H1184">
            <v>0</v>
          </cell>
          <cell r="O1184">
            <v>404353</v>
          </cell>
          <cell r="P1184" t="str">
            <v>(LOTE 005)</v>
          </cell>
          <cell r="Q1184" t="str">
            <v>ROLO TECIDO TRAMADO (RUSTY) (COD 24402592) -</v>
          </cell>
          <cell r="R1184"/>
          <cell r="S1184"/>
          <cell r="T1184">
            <v>2</v>
          </cell>
          <cell r="U1184">
            <v>1.4</v>
          </cell>
          <cell r="V1184">
            <v>0</v>
          </cell>
          <cell r="W1184">
            <v>0</v>
          </cell>
          <cell r="X1184" t="str">
            <v>ROLO TECIDO TRAMADO (RUSTY) (COD 24402592) - - 2x1,4x0H</v>
          </cell>
          <cell r="Y1184">
            <v>0</v>
          </cell>
          <cell r="Z1184">
            <v>0.35</v>
          </cell>
          <cell r="AA1184">
            <v>0</v>
          </cell>
          <cell r="AB1184"/>
        </row>
        <row r="1185">
          <cell r="C1185">
            <v>0</v>
          </cell>
          <cell r="D1185">
            <v>0</v>
          </cell>
          <cell r="E1185">
            <v>0</v>
          </cell>
          <cell r="F1185">
            <v>0</v>
          </cell>
          <cell r="H1185">
            <v>0</v>
          </cell>
          <cell r="O1185">
            <v>404354</v>
          </cell>
          <cell r="P1185" t="str">
            <v>(LOTE 005) (FL)</v>
          </cell>
          <cell r="Q1185" t="str">
            <v>ROLO TECIDO CAMURCA SUPER FUSTANI (IMPER) (COD 1059) -</v>
          </cell>
          <cell r="R1185"/>
          <cell r="S1185"/>
          <cell r="T1185">
            <v>3</v>
          </cell>
          <cell r="U1185">
            <v>1.4</v>
          </cell>
          <cell r="V1185">
            <v>0</v>
          </cell>
          <cell r="W1185">
            <v>0</v>
          </cell>
          <cell r="X1185" t="str">
            <v>ROLO TECIDO CAMURCA SUPER FUSTANI (IMPER) (COD 1059) - - 3x1,4x0H</v>
          </cell>
          <cell r="Y1185">
            <v>0</v>
          </cell>
          <cell r="Z1185">
            <v>0.35</v>
          </cell>
          <cell r="AA1185">
            <v>0</v>
          </cell>
          <cell r="AB1185"/>
        </row>
        <row r="1186">
          <cell r="C1186">
            <v>0</v>
          </cell>
          <cell r="D1186">
            <v>0</v>
          </cell>
          <cell r="E1186">
            <v>0</v>
          </cell>
          <cell r="F1186">
            <v>0</v>
          </cell>
          <cell r="H1186">
            <v>0</v>
          </cell>
          <cell r="O1186">
            <v>404355</v>
          </cell>
          <cell r="P1186" t="str">
            <v>(LOTE 005)</v>
          </cell>
          <cell r="Q1186" t="str">
            <v>ROLO TECIDO PIED COQ (JEANS) (COD 24402812) -</v>
          </cell>
          <cell r="R1186"/>
          <cell r="S1186"/>
          <cell r="T1186">
            <v>2.6</v>
          </cell>
          <cell r="U1186">
            <v>1.4</v>
          </cell>
          <cell r="V1186">
            <v>0</v>
          </cell>
          <cell r="W1186">
            <v>0</v>
          </cell>
          <cell r="X1186" t="str">
            <v>ROLO TECIDO PIED COQ (JEANS) (COD 24402812) - - 2,6x1,4x0H</v>
          </cell>
          <cell r="Y1186">
            <v>0</v>
          </cell>
          <cell r="Z1186">
            <v>0.35</v>
          </cell>
          <cell r="AA1186">
            <v>0</v>
          </cell>
          <cell r="AB1186"/>
        </row>
        <row r="1187">
          <cell r="C1187">
            <v>0</v>
          </cell>
          <cell r="D1187">
            <v>0</v>
          </cell>
          <cell r="E1187">
            <v>4</v>
          </cell>
          <cell r="F1187">
            <v>0</v>
          </cell>
          <cell r="H1187">
            <v>4</v>
          </cell>
          <cell r="O1187">
            <v>320671</v>
          </cell>
          <cell r="P1187" t="str">
            <v>2022/090-0018-01</v>
          </cell>
          <cell r="Q1187" t="str">
            <v>EST CADEIRA JULIA C/BRACO (COURO FIRENZE TALIN) (CORTEN)</v>
          </cell>
          <cell r="R1187"/>
          <cell r="S1187"/>
          <cell r="T1187">
            <v>0.61</v>
          </cell>
          <cell r="U1187">
            <v>0.54</v>
          </cell>
          <cell r="V1187">
            <v>0.76</v>
          </cell>
          <cell r="W1187">
            <v>0</v>
          </cell>
          <cell r="X1187" t="str">
            <v>EST CADEIRA JULIA C/BRACO (COURO FIRENZE TALIN) (CORTEN) - 0,61x0,54x0,76H</v>
          </cell>
          <cell r="Y1187">
            <v>10250.150000000001</v>
          </cell>
          <cell r="Z1187">
            <v>0.35</v>
          </cell>
          <cell r="AA1187">
            <v>6662.5975000000017</v>
          </cell>
          <cell r="AB1187"/>
        </row>
        <row r="1188">
          <cell r="C1188">
            <v>0</v>
          </cell>
          <cell r="D1188">
            <v>0</v>
          </cell>
          <cell r="E1188">
            <v>4</v>
          </cell>
          <cell r="F1188">
            <v>0</v>
          </cell>
          <cell r="H1188">
            <v>4</v>
          </cell>
          <cell r="O1188">
            <v>320671</v>
          </cell>
          <cell r="P1188" t="str">
            <v>2022/090-0022-01</v>
          </cell>
          <cell r="Q1188" t="str">
            <v>EST CADEIRA JULIA C/BRACO (COURO FIRENZE TALIN) (CORTEN)</v>
          </cell>
          <cell r="R1188"/>
          <cell r="S1188"/>
          <cell r="T1188">
            <v>0.61</v>
          </cell>
          <cell r="U1188">
            <v>0.54</v>
          </cell>
          <cell r="V1188">
            <v>0.76</v>
          </cell>
          <cell r="W1188">
            <v>0</v>
          </cell>
          <cell r="X1188" t="str">
            <v>EST CADEIRA JULIA C/BRACO (COURO FIRENZE TALIN) (CORTEN) - 0,61x0,54x0,76H</v>
          </cell>
          <cell r="Y1188">
            <v>10250.150000000001</v>
          </cell>
          <cell r="Z1188">
            <v>0.35</v>
          </cell>
          <cell r="AA1188">
            <v>6662.5975000000017</v>
          </cell>
          <cell r="AB1188"/>
        </row>
        <row r="1189">
          <cell r="C1189">
            <v>0</v>
          </cell>
          <cell r="D1189">
            <v>0</v>
          </cell>
          <cell r="E1189">
            <v>4</v>
          </cell>
          <cell r="F1189">
            <v>0</v>
          </cell>
          <cell r="H1189">
            <v>4</v>
          </cell>
          <cell r="O1189">
            <v>320671</v>
          </cell>
          <cell r="P1189" t="str">
            <v>2022/090-0023-01</v>
          </cell>
          <cell r="Q1189" t="str">
            <v>EST CADEIRA JULIA C/BRACO (COURO FIRENZE TALIN) (CORTEN)</v>
          </cell>
          <cell r="R1189"/>
          <cell r="S1189"/>
          <cell r="T1189">
            <v>0.61</v>
          </cell>
          <cell r="U1189">
            <v>0.54</v>
          </cell>
          <cell r="V1189">
            <v>0.76</v>
          </cell>
          <cell r="W1189">
            <v>0</v>
          </cell>
          <cell r="X1189" t="str">
            <v>EST CADEIRA JULIA C/BRACO (COURO FIRENZE TALIN) (CORTEN) - 0,61x0,54x0,76H</v>
          </cell>
          <cell r="Y1189">
            <v>10250.150000000001</v>
          </cell>
          <cell r="Z1189">
            <v>0.35</v>
          </cell>
          <cell r="AA1189">
            <v>6662.5975000000017</v>
          </cell>
          <cell r="AB1189"/>
        </row>
        <row r="1190">
          <cell r="C1190">
            <v>0</v>
          </cell>
          <cell r="D1190">
            <v>0</v>
          </cell>
          <cell r="E1190">
            <v>4</v>
          </cell>
          <cell r="F1190">
            <v>0</v>
          </cell>
          <cell r="H1190">
            <v>4</v>
          </cell>
          <cell r="O1190">
            <v>320671</v>
          </cell>
          <cell r="P1190" t="str">
            <v>2022/090-0024-01</v>
          </cell>
          <cell r="Q1190" t="str">
            <v>EST CADEIRA JULIA C/BRACO (COURO FIRENZE TALIN) (CORTEN)</v>
          </cell>
          <cell r="R1190"/>
          <cell r="S1190"/>
          <cell r="T1190">
            <v>0.61</v>
          </cell>
          <cell r="U1190">
            <v>0.54</v>
          </cell>
          <cell r="V1190">
            <v>0.76</v>
          </cell>
          <cell r="W1190">
            <v>0</v>
          </cell>
          <cell r="X1190" t="str">
            <v>EST CADEIRA JULIA C/BRACO (COURO FIRENZE TALIN) (CORTEN) - 0,61x0,54x0,76H</v>
          </cell>
          <cell r="Y1190">
            <v>10250.150000000001</v>
          </cell>
          <cell r="Z1190">
            <v>0.35</v>
          </cell>
          <cell r="AA1190">
            <v>6662.5975000000017</v>
          </cell>
          <cell r="AB1190"/>
        </row>
        <row r="1191">
          <cell r="C1191">
            <v>0</v>
          </cell>
          <cell r="D1191">
            <v>0</v>
          </cell>
          <cell r="E1191">
            <v>1</v>
          </cell>
          <cell r="F1191">
            <v>0</v>
          </cell>
          <cell r="H1191">
            <v>1</v>
          </cell>
          <cell r="O1191">
            <v>328748</v>
          </cell>
          <cell r="P1191" t="str">
            <v>2022/178-0045-01</v>
          </cell>
          <cell r="Q1191" t="str">
            <v>EST POLTRONA SOFT (BS ELET CORTEN) B0707-024/SOL MARFIM</v>
          </cell>
          <cell r="R1191"/>
          <cell r="S1191"/>
          <cell r="T1191">
            <v>0.87</v>
          </cell>
          <cell r="U1191">
            <v>1.02</v>
          </cell>
          <cell r="V1191">
            <v>0.8</v>
          </cell>
          <cell r="W1191">
            <v>0</v>
          </cell>
          <cell r="X1191" t="str">
            <v>EST POLTRONA SOFT (BS ELET CORTEN) B0707-024/SOL MARFIM - 0,87x1,02x0,8H</v>
          </cell>
          <cell r="Y1191">
            <v>30356.12</v>
          </cell>
          <cell r="Z1191">
            <v>0.35</v>
          </cell>
          <cell r="AA1191">
            <v>19731.477999999999</v>
          </cell>
          <cell r="AB1191"/>
        </row>
        <row r="1192">
          <cell r="C1192">
            <v>0</v>
          </cell>
          <cell r="D1192">
            <v>0</v>
          </cell>
          <cell r="E1192">
            <v>1</v>
          </cell>
          <cell r="F1192">
            <v>0</v>
          </cell>
          <cell r="H1192">
            <v>1</v>
          </cell>
          <cell r="O1192">
            <v>328749</v>
          </cell>
          <cell r="P1192" t="str">
            <v>2022/178-0048-01</v>
          </cell>
          <cell r="Q1192" t="str">
            <v>EST BANQUETA SOFT (BS ELET CORTEN) B0707-024/SOL MARFIM</v>
          </cell>
          <cell r="R1192"/>
          <cell r="S1192"/>
          <cell r="T1192">
            <v>0.57999999999999996</v>
          </cell>
          <cell r="U1192">
            <v>0.75</v>
          </cell>
          <cell r="V1192">
            <v>0.4</v>
          </cell>
          <cell r="W1192">
            <v>0</v>
          </cell>
          <cell r="X1192" t="str">
            <v>EST BANQUETA SOFT (BS ELET CORTEN) B0707-024/SOL MARFIM - 0,58x0,75x0,4H</v>
          </cell>
          <cell r="Y1192">
            <v>13823.8</v>
          </cell>
          <cell r="Z1192">
            <v>0.35</v>
          </cell>
          <cell r="AA1192">
            <v>8985.4700000000012</v>
          </cell>
          <cell r="AB1192"/>
        </row>
        <row r="1193">
          <cell r="C1193">
            <v>0</v>
          </cell>
          <cell r="D1193">
            <v>0</v>
          </cell>
          <cell r="E1193">
            <v>2</v>
          </cell>
          <cell r="F1193">
            <v>0</v>
          </cell>
          <cell r="H1193">
            <v>6</v>
          </cell>
          <cell r="O1193">
            <v>378288</v>
          </cell>
          <cell r="P1193" t="str">
            <v>2024/045-0011-01</v>
          </cell>
          <cell r="Q1193" t="str">
            <v>EST CADEIRA PI C/BRACO (CORTEN) COURO PIG 611</v>
          </cell>
          <cell r="R1193"/>
          <cell r="S1193"/>
          <cell r="T1193">
            <v>0.53</v>
          </cell>
          <cell r="U1193">
            <v>0.6</v>
          </cell>
          <cell r="V1193">
            <v>0.76</v>
          </cell>
          <cell r="W1193">
            <v>0</v>
          </cell>
          <cell r="X1193" t="str">
            <v>EST CADEIRA PI C/BRACO (CORTEN) COURO PIG 611 - 0,53x0,6x0,76H</v>
          </cell>
          <cell r="Y1193">
            <v>10088.870000000001</v>
          </cell>
          <cell r="Z1193">
            <v>0.35</v>
          </cell>
          <cell r="AA1193">
            <v>6557.7655000000013</v>
          </cell>
          <cell r="AB1193"/>
        </row>
        <row r="1194">
          <cell r="C1194">
            <v>0</v>
          </cell>
          <cell r="D1194">
            <v>0</v>
          </cell>
          <cell r="E1194">
            <v>2</v>
          </cell>
          <cell r="F1194">
            <v>0</v>
          </cell>
          <cell r="H1194">
            <v>6</v>
          </cell>
          <cell r="O1194">
            <v>378288</v>
          </cell>
          <cell r="P1194" t="str">
            <v>2024/045-0012-01</v>
          </cell>
          <cell r="Q1194" t="str">
            <v>EST CADEIRA PI C/BRACO (CORTEN) COURO PIG 611</v>
          </cell>
          <cell r="R1194"/>
          <cell r="S1194"/>
          <cell r="T1194">
            <v>0.53</v>
          </cell>
          <cell r="U1194">
            <v>0.6</v>
          </cell>
          <cell r="V1194">
            <v>0.76</v>
          </cell>
          <cell r="W1194">
            <v>0</v>
          </cell>
          <cell r="X1194" t="str">
            <v>EST CADEIRA PI C/BRACO (CORTEN) COURO PIG 611 - 0,53x0,6x0,76H</v>
          </cell>
          <cell r="Y1194">
            <v>10088.870000000001</v>
          </cell>
          <cell r="Z1194">
            <v>0.35</v>
          </cell>
          <cell r="AA1194">
            <v>6557.7655000000013</v>
          </cell>
          <cell r="AB1194"/>
        </row>
        <row r="1195">
          <cell r="C1195">
            <v>0</v>
          </cell>
          <cell r="D1195">
            <v>0</v>
          </cell>
          <cell r="E1195">
            <v>1</v>
          </cell>
          <cell r="F1195">
            <v>0</v>
          </cell>
          <cell r="H1195">
            <v>0</v>
          </cell>
          <cell r="O1195">
            <v>389992</v>
          </cell>
          <cell r="P1195" t="str">
            <v>2024/302-0038-01</v>
          </cell>
          <cell r="Q1195" t="str">
            <v>EST POLTRONA VINCI (LAM COMUM NOG NT/MARROM) COURO PIG 241</v>
          </cell>
          <cell r="R1195"/>
          <cell r="S1195"/>
          <cell r="T1195">
            <v>0.83</v>
          </cell>
          <cell r="U1195">
            <v>0.83</v>
          </cell>
          <cell r="V1195">
            <v>0.65</v>
          </cell>
          <cell r="W1195">
            <v>0</v>
          </cell>
          <cell r="X1195" t="str">
            <v>EST POLTRONA VINCI (LAM COMUM NOG NT/MARROM) COURO PIG 241 - 0,83x0,83x0,65H</v>
          </cell>
          <cell r="Y1195">
            <v>36188.5</v>
          </cell>
          <cell r="Z1195">
            <v>0.35</v>
          </cell>
          <cell r="AA1195">
            <v>23522.525000000001</v>
          </cell>
          <cell r="AB1195"/>
        </row>
        <row r="1196">
          <cell r="C1196">
            <v>0</v>
          </cell>
          <cell r="D1196">
            <v>0</v>
          </cell>
          <cell r="E1196">
            <v>1</v>
          </cell>
          <cell r="F1196">
            <v>0</v>
          </cell>
          <cell r="H1196">
            <v>1</v>
          </cell>
          <cell r="O1196">
            <v>389998</v>
          </cell>
          <cell r="P1196" t="str">
            <v>2024/281-0096-01</v>
          </cell>
          <cell r="Q1196" t="str">
            <v>EST CADEIRA WOODY C/B (TING AVELA) COURO PIG 513/SOL FENDY</v>
          </cell>
          <cell r="R1196"/>
          <cell r="S1196"/>
          <cell r="T1196">
            <v>0.53</v>
          </cell>
          <cell r="U1196">
            <v>0.53</v>
          </cell>
          <cell r="V1196">
            <v>0.82</v>
          </cell>
          <cell r="W1196">
            <v>0</v>
          </cell>
          <cell r="X1196" t="str">
            <v>EST CADEIRA WOODY C/B (TING AVELA) COURO PIG 513/SOL FENDY - 0,53x0,53x0,82H</v>
          </cell>
          <cell r="Y1196">
            <v>10521.59</v>
          </cell>
          <cell r="Z1196">
            <v>0.35</v>
          </cell>
          <cell r="AA1196">
            <v>6839.0335000000005</v>
          </cell>
          <cell r="AB1196"/>
        </row>
        <row r="1197">
          <cell r="C1197">
            <v>1</v>
          </cell>
          <cell r="D1197">
            <v>1</v>
          </cell>
          <cell r="E1197">
            <v>1</v>
          </cell>
          <cell r="F1197">
            <v>1</v>
          </cell>
          <cell r="H1197">
            <v>0</v>
          </cell>
          <cell r="O1197">
            <v>390008</v>
          </cell>
          <cell r="P1197" t="str">
            <v>2024/297-0151-01</v>
          </cell>
          <cell r="Q1197" t="str">
            <v>EST BANQUETA BAR WOODY H67 (TING MEL) COURO CAMURCA HAVANA</v>
          </cell>
          <cell r="R1197"/>
          <cell r="S1197"/>
          <cell r="T1197">
            <v>0.44</v>
          </cell>
          <cell r="U1197">
            <v>0.49</v>
          </cell>
          <cell r="V1197">
            <v>0.87</v>
          </cell>
          <cell r="W1197">
            <v>0</v>
          </cell>
          <cell r="X1197" t="str">
            <v>EST BANQUETA BAR WOODY H67 (TING MEL) COURO CAMURCA HAVANA - 0,44x0,49x0,87H</v>
          </cell>
          <cell r="Y1197">
            <v>10081.93</v>
          </cell>
          <cell r="Z1197">
            <v>0.35</v>
          </cell>
          <cell r="AA1197">
            <v>6553.2545000000009</v>
          </cell>
          <cell r="AB1197"/>
        </row>
        <row r="1198">
          <cell r="C1198">
            <v>1</v>
          </cell>
          <cell r="D1198">
            <v>1</v>
          </cell>
          <cell r="E1198">
            <v>1</v>
          </cell>
          <cell r="F1198">
            <v>1</v>
          </cell>
          <cell r="H1198">
            <v>0</v>
          </cell>
          <cell r="O1198">
            <v>390009</v>
          </cell>
          <cell r="P1198" t="str">
            <v>2024/316-0105-01</v>
          </cell>
          <cell r="Q1198" t="str">
            <v>EST BANQUETA BAR NEO CAIRO SLIM H67 (LAM NOG) TC B0707-024</v>
          </cell>
          <cell r="R1198"/>
          <cell r="S1198"/>
          <cell r="T1198">
            <v>0.5</v>
          </cell>
          <cell r="U1198">
            <v>0.49</v>
          </cell>
          <cell r="V1198">
            <v>0.84</v>
          </cell>
          <cell r="W1198">
            <v>0</v>
          </cell>
          <cell r="X1198" t="str">
            <v>EST BANQUETA BAR NEO CAIRO SLIM H67 (LAM NOG) TC B0707-024 - 0,5x0,49x0,84H</v>
          </cell>
          <cell r="Y1198">
            <v>9423.23</v>
          </cell>
          <cell r="Z1198">
            <v>0.35</v>
          </cell>
          <cell r="AA1198">
            <v>6125.0995000000003</v>
          </cell>
          <cell r="AB1198"/>
        </row>
        <row r="1199">
          <cell r="C1199">
            <v>0</v>
          </cell>
          <cell r="D1199">
            <v>0</v>
          </cell>
          <cell r="E1199">
            <v>0</v>
          </cell>
          <cell r="F1199">
            <v>6</v>
          </cell>
          <cell r="H1199">
            <v>2</v>
          </cell>
          <cell r="O1199">
            <v>335230</v>
          </cell>
          <cell r="P1199" t="str">
            <v>2022/220-0001-01</v>
          </cell>
          <cell r="Q1199" t="str">
            <v>EST CADEIRA JULIA C/BRACO (COURO PIG 000) (MARROM MTZ)</v>
          </cell>
          <cell r="R1199"/>
          <cell r="S1199"/>
          <cell r="T1199">
            <v>0.61</v>
          </cell>
          <cell r="U1199">
            <v>0.54</v>
          </cell>
          <cell r="V1199">
            <v>0.76</v>
          </cell>
          <cell r="W1199">
            <v>0</v>
          </cell>
          <cell r="X1199" t="str">
            <v>EST CADEIRA JULIA C/BRACO (COURO PIG 000) (MARROM MTZ) - 0,61x0,54x0,76H</v>
          </cell>
          <cell r="Y1199">
            <v>8798.630000000001</v>
          </cell>
          <cell r="Z1199">
            <v>0.35</v>
          </cell>
          <cell r="AA1199">
            <v>5719.1095000000005</v>
          </cell>
          <cell r="AB1199"/>
        </row>
        <row r="1200">
          <cell r="C1200">
            <v>0</v>
          </cell>
          <cell r="D1200">
            <v>0</v>
          </cell>
          <cell r="E1200">
            <v>0</v>
          </cell>
          <cell r="F1200">
            <v>6</v>
          </cell>
          <cell r="H1200">
            <v>2</v>
          </cell>
          <cell r="O1200">
            <v>335230</v>
          </cell>
          <cell r="P1200" t="str">
            <v>2022/220-0002-01</v>
          </cell>
          <cell r="Q1200" t="str">
            <v>EST CADEIRA JULIA C/BRACO (COURO PIG 000) (MARROM MTZ)</v>
          </cell>
          <cell r="R1200"/>
          <cell r="S1200"/>
          <cell r="T1200">
            <v>0.61</v>
          </cell>
          <cell r="U1200">
            <v>0.54</v>
          </cell>
          <cell r="V1200">
            <v>0.76</v>
          </cell>
          <cell r="W1200">
            <v>0</v>
          </cell>
          <cell r="X1200" t="str">
            <v>EST CADEIRA JULIA C/BRACO (COURO PIG 000) (MARROM MTZ) - 0,61x0,54x0,76H</v>
          </cell>
          <cell r="Y1200">
            <v>8798.630000000001</v>
          </cell>
          <cell r="Z1200">
            <v>0.35</v>
          </cell>
          <cell r="AA1200">
            <v>5719.1095000000005</v>
          </cell>
          <cell r="AB1200"/>
        </row>
        <row r="1201">
          <cell r="C1201">
            <v>0</v>
          </cell>
          <cell r="D1201">
            <v>0</v>
          </cell>
          <cell r="E1201">
            <v>0</v>
          </cell>
          <cell r="F1201">
            <v>6</v>
          </cell>
          <cell r="H1201">
            <v>2</v>
          </cell>
          <cell r="O1201">
            <v>335230</v>
          </cell>
          <cell r="P1201" t="str">
            <v>2022/220-0003-01</v>
          </cell>
          <cell r="Q1201" t="str">
            <v>EST CADEIRA JULIA C/BRACO (COURO PIG 000) (MARROM MTZ)</v>
          </cell>
          <cell r="R1201"/>
          <cell r="S1201"/>
          <cell r="T1201">
            <v>0.61</v>
          </cell>
          <cell r="U1201">
            <v>0.54</v>
          </cell>
          <cell r="V1201">
            <v>0.76</v>
          </cell>
          <cell r="W1201">
            <v>0</v>
          </cell>
          <cell r="X1201" t="str">
            <v>EST CADEIRA JULIA C/BRACO (COURO PIG 000) (MARROM MTZ) - 0,61x0,54x0,76H</v>
          </cell>
          <cell r="Y1201">
            <v>8798.630000000001</v>
          </cell>
          <cell r="Z1201">
            <v>0.35</v>
          </cell>
          <cell r="AA1201">
            <v>5719.1095000000005</v>
          </cell>
          <cell r="AB1201"/>
        </row>
        <row r="1202">
          <cell r="C1202">
            <v>0</v>
          </cell>
          <cell r="D1202">
            <v>0</v>
          </cell>
          <cell r="E1202">
            <v>0</v>
          </cell>
          <cell r="F1202">
            <v>6</v>
          </cell>
          <cell r="H1202">
            <v>2</v>
          </cell>
          <cell r="O1202">
            <v>335230</v>
          </cell>
          <cell r="P1202" t="str">
            <v>2022/220-0004-01</v>
          </cell>
          <cell r="Q1202" t="str">
            <v>EST CADEIRA JULIA C/BRACO (COURO PIG 000) (MARROM MTZ)</v>
          </cell>
          <cell r="R1202"/>
          <cell r="S1202"/>
          <cell r="T1202">
            <v>0.61</v>
          </cell>
          <cell r="U1202">
            <v>0.54</v>
          </cell>
          <cell r="V1202">
            <v>0.76</v>
          </cell>
          <cell r="W1202">
            <v>0</v>
          </cell>
          <cell r="X1202" t="str">
            <v>EST CADEIRA JULIA C/BRACO (COURO PIG 000) (MARROM MTZ) - 0,61x0,54x0,76H</v>
          </cell>
          <cell r="Y1202">
            <v>8798.630000000001</v>
          </cell>
          <cell r="Z1202">
            <v>0.35</v>
          </cell>
          <cell r="AA1202">
            <v>5719.1095000000005</v>
          </cell>
          <cell r="AB1202"/>
        </row>
        <row r="1203">
          <cell r="C1203">
            <v>0</v>
          </cell>
          <cell r="D1203">
            <v>0</v>
          </cell>
          <cell r="E1203">
            <v>0</v>
          </cell>
          <cell r="F1203">
            <v>6</v>
          </cell>
          <cell r="H1203">
            <v>2</v>
          </cell>
          <cell r="O1203">
            <v>335230</v>
          </cell>
          <cell r="P1203" t="str">
            <v>2022/220-0005-01</v>
          </cell>
          <cell r="Q1203" t="str">
            <v>EST CADEIRA JULIA C/BRACO (COURO PIG 000) (MARROM MTZ)</v>
          </cell>
          <cell r="R1203"/>
          <cell r="S1203"/>
          <cell r="T1203">
            <v>0.61</v>
          </cell>
          <cell r="U1203">
            <v>0.54</v>
          </cell>
          <cell r="V1203">
            <v>0.76</v>
          </cell>
          <cell r="W1203">
            <v>0</v>
          </cell>
          <cell r="X1203" t="str">
            <v>EST CADEIRA JULIA C/BRACO (COURO PIG 000) (MARROM MTZ) - 0,61x0,54x0,76H</v>
          </cell>
          <cell r="Y1203">
            <v>8798.630000000001</v>
          </cell>
          <cell r="Z1203">
            <v>0.35</v>
          </cell>
          <cell r="AA1203">
            <v>5719.1095000000005</v>
          </cell>
          <cell r="AB1203"/>
        </row>
        <row r="1204">
          <cell r="C1204">
            <v>0</v>
          </cell>
          <cell r="D1204">
            <v>0</v>
          </cell>
          <cell r="E1204">
            <v>0</v>
          </cell>
          <cell r="F1204">
            <v>6</v>
          </cell>
          <cell r="H1204">
            <v>2</v>
          </cell>
          <cell r="O1204">
            <v>335230</v>
          </cell>
          <cell r="P1204" t="str">
            <v>2022/220-0007-01</v>
          </cell>
          <cell r="Q1204" t="str">
            <v>EST CADEIRA JULIA C/BRACO (COURO PIG 000) (MARROM MTZ)</v>
          </cell>
          <cell r="R1204"/>
          <cell r="S1204"/>
          <cell r="T1204">
            <v>0.61</v>
          </cell>
          <cell r="U1204">
            <v>0.54</v>
          </cell>
          <cell r="V1204">
            <v>0.76</v>
          </cell>
          <cell r="W1204">
            <v>0</v>
          </cell>
          <cell r="X1204" t="str">
            <v>EST CADEIRA JULIA C/BRACO (COURO PIG 000) (MARROM MTZ) - 0,61x0,54x0,76H</v>
          </cell>
          <cell r="Y1204">
            <v>8798.630000000001</v>
          </cell>
          <cell r="Z1204">
            <v>0.35</v>
          </cell>
          <cell r="AA1204">
            <v>5719.1095000000005</v>
          </cell>
          <cell r="AB1204"/>
        </row>
        <row r="1205">
          <cell r="C1205">
            <v>1</v>
          </cell>
          <cell r="D1205">
            <v>1</v>
          </cell>
          <cell r="E1205">
            <v>1</v>
          </cell>
          <cell r="F1205">
            <v>1</v>
          </cell>
          <cell r="H1205">
            <v>0</v>
          </cell>
          <cell r="O1205">
            <v>390008</v>
          </cell>
          <cell r="P1205" t="str">
            <v>2024/297-0148-01</v>
          </cell>
          <cell r="Q1205" t="str">
            <v>EST BANQUETA BAR WOODY H67 (TING MEL) COURO CAMURCA HAVANA</v>
          </cell>
          <cell r="R1205"/>
          <cell r="S1205"/>
          <cell r="T1205">
            <v>0.44</v>
          </cell>
          <cell r="U1205">
            <v>0.49</v>
          </cell>
          <cell r="V1205">
            <v>0.87</v>
          </cell>
          <cell r="W1205">
            <v>0</v>
          </cell>
          <cell r="X1205" t="str">
            <v>EST BANQUETA BAR WOODY H67 (TING MEL) COURO CAMURCA HAVANA - 0,44x0,49x0,87H</v>
          </cell>
          <cell r="Y1205">
            <v>10081.93</v>
          </cell>
          <cell r="Z1205">
            <v>0.35</v>
          </cell>
          <cell r="AA1205">
            <v>6553.2545000000009</v>
          </cell>
          <cell r="AB1205"/>
        </row>
        <row r="1206">
          <cell r="C1206">
            <v>1</v>
          </cell>
          <cell r="D1206">
            <v>1</v>
          </cell>
          <cell r="E1206">
            <v>1</v>
          </cell>
          <cell r="F1206">
            <v>1</v>
          </cell>
          <cell r="H1206">
            <v>0</v>
          </cell>
          <cell r="O1206">
            <v>390009</v>
          </cell>
          <cell r="P1206" t="str">
            <v>2024/316-0103-01</v>
          </cell>
          <cell r="Q1206" t="str">
            <v>EST BANQUETA BAR NEO CAIRO SLIM H67 (LAM NOG) TC B0707-024</v>
          </cell>
          <cell r="R1206"/>
          <cell r="S1206"/>
          <cell r="T1206">
            <v>0.5</v>
          </cell>
          <cell r="U1206">
            <v>0.49</v>
          </cell>
          <cell r="V1206">
            <v>0.84</v>
          </cell>
          <cell r="W1206">
            <v>0</v>
          </cell>
          <cell r="X1206" t="str">
            <v>EST BANQUETA BAR NEO CAIRO SLIM H67 (LAM NOG) TC B0707-024 - 0,5x0,49x0,84H</v>
          </cell>
          <cell r="Y1206">
            <v>9423.23</v>
          </cell>
          <cell r="Z1206">
            <v>0.35</v>
          </cell>
          <cell r="AA1206">
            <v>6125.0995000000003</v>
          </cell>
          <cell r="AB1206"/>
        </row>
        <row r="1207">
          <cell r="C1207">
            <v>0</v>
          </cell>
          <cell r="D1207">
            <v>0</v>
          </cell>
          <cell r="E1207">
            <v>0</v>
          </cell>
          <cell r="F1207">
            <v>1</v>
          </cell>
          <cell r="H1207">
            <v>0</v>
          </cell>
          <cell r="O1207">
            <v>402776</v>
          </cell>
          <cell r="P1207" t="str">
            <v>2025/091-0019-01</v>
          </cell>
          <cell r="Q1207" t="str">
            <v>EST BANCO TRILHO (CARVALHO TING MEL)</v>
          </cell>
          <cell r="R1207"/>
          <cell r="S1207"/>
          <cell r="T1207">
            <v>1.8</v>
          </cell>
          <cell r="U1207">
            <v>0.52</v>
          </cell>
          <cell r="V1207">
            <v>0.42</v>
          </cell>
          <cell r="W1207">
            <v>0</v>
          </cell>
          <cell r="X1207" t="str">
            <v>EST BANCO TRILHO (CARVALHO TING MEL) - 1,8x0,52x0,42H</v>
          </cell>
          <cell r="Y1207">
            <v>27984.41</v>
          </cell>
          <cell r="Z1207">
            <v>0.35</v>
          </cell>
          <cell r="AA1207">
            <v>18189.8665</v>
          </cell>
          <cell r="AB1207"/>
        </row>
        <row r="1208">
          <cell r="C1208">
            <v>0</v>
          </cell>
          <cell r="D1208">
            <v>0</v>
          </cell>
          <cell r="E1208">
            <v>0</v>
          </cell>
          <cell r="F1208">
            <v>1</v>
          </cell>
          <cell r="H1208">
            <v>5</v>
          </cell>
          <cell r="O1208">
            <v>389997</v>
          </cell>
          <cell r="P1208" t="str">
            <v>2024/297-0134-01</v>
          </cell>
          <cell r="Q1208" t="str">
            <v>EST CADEIRA WOODY (TING MEL) CAMURCA HAVANA/SOL HAVANA</v>
          </cell>
          <cell r="R1208"/>
          <cell r="S1208"/>
          <cell r="T1208">
            <v>0.49</v>
          </cell>
          <cell r="U1208">
            <v>0.53</v>
          </cell>
          <cell r="V1208">
            <v>0.82</v>
          </cell>
          <cell r="W1208">
            <v>0</v>
          </cell>
          <cell r="X1208" t="str">
            <v>EST CADEIRA WOODY (TING MEL) CAMURCA HAVANA/SOL HAVANA - 0,49x0,53x0,82H</v>
          </cell>
          <cell r="Y1208">
            <v>11376.92</v>
          </cell>
          <cell r="Z1208">
            <v>0.35</v>
          </cell>
          <cell r="AA1208">
            <v>7394.9980000000005</v>
          </cell>
          <cell r="AB1208"/>
        </row>
        <row r="1209">
          <cell r="C1209">
            <v>0</v>
          </cell>
          <cell r="D1209">
            <v>0</v>
          </cell>
          <cell r="E1209">
            <v>0</v>
          </cell>
          <cell r="F1209">
            <v>1</v>
          </cell>
          <cell r="H1209">
            <v>5</v>
          </cell>
          <cell r="O1209">
            <v>389997</v>
          </cell>
          <cell r="P1209" t="str">
            <v>2024/297-0135-01</v>
          </cell>
          <cell r="Q1209" t="str">
            <v>EST CADEIRA WOODY (TING MEL) CAMURCA HAVANA/SOL HAVANA</v>
          </cell>
          <cell r="R1209"/>
          <cell r="S1209"/>
          <cell r="T1209">
            <v>0.49</v>
          </cell>
          <cell r="U1209">
            <v>0.53</v>
          </cell>
          <cell r="V1209">
            <v>0.82</v>
          </cell>
          <cell r="W1209">
            <v>0</v>
          </cell>
          <cell r="X1209" t="str">
            <v>EST CADEIRA WOODY (TING MEL) CAMURCA HAVANA/SOL HAVANA - 0,49x0,53x0,82H</v>
          </cell>
          <cell r="Y1209">
            <v>11376.92</v>
          </cell>
          <cell r="Z1209">
            <v>0.35</v>
          </cell>
          <cell r="AA1209">
            <v>7394.9980000000005</v>
          </cell>
          <cell r="AB1209"/>
        </row>
        <row r="1210">
          <cell r="C1210">
            <v>0</v>
          </cell>
          <cell r="D1210">
            <v>0</v>
          </cell>
          <cell r="E1210">
            <v>0</v>
          </cell>
          <cell r="F1210">
            <v>1</v>
          </cell>
          <cell r="H1210">
            <v>5</v>
          </cell>
          <cell r="O1210">
            <v>389997</v>
          </cell>
          <cell r="P1210" t="str">
            <v>2024/297-0136-01</v>
          </cell>
          <cell r="Q1210" t="str">
            <v>EST CADEIRA WOODY (TING MEL) CAMURCA HAVANA/SOL HAVANA</v>
          </cell>
          <cell r="R1210"/>
          <cell r="S1210"/>
          <cell r="T1210">
            <v>0.49</v>
          </cell>
          <cell r="U1210">
            <v>0.53</v>
          </cell>
          <cell r="V1210">
            <v>0.82</v>
          </cell>
          <cell r="W1210">
            <v>0</v>
          </cell>
          <cell r="X1210" t="str">
            <v>EST CADEIRA WOODY (TING MEL) CAMURCA HAVANA/SOL HAVANA - 0,49x0,53x0,82H</v>
          </cell>
          <cell r="Y1210">
            <v>11376.92</v>
          </cell>
          <cell r="Z1210">
            <v>0.35</v>
          </cell>
          <cell r="AA1210">
            <v>7394.9980000000005</v>
          </cell>
          <cell r="AB1210"/>
        </row>
        <row r="1211">
          <cell r="C1211">
            <v>0</v>
          </cell>
          <cell r="D1211">
            <v>0</v>
          </cell>
          <cell r="E1211">
            <v>0</v>
          </cell>
          <cell r="F1211">
            <v>1</v>
          </cell>
          <cell r="H1211">
            <v>5</v>
          </cell>
          <cell r="O1211">
            <v>389997</v>
          </cell>
          <cell r="P1211" t="str">
            <v>2024/297-0137-01</v>
          </cell>
          <cell r="Q1211" t="str">
            <v>EST CADEIRA WOODY (TING MEL) CAMURCA HAVANA/SOL HAVANA</v>
          </cell>
          <cell r="R1211"/>
          <cell r="S1211"/>
          <cell r="T1211">
            <v>0.49</v>
          </cell>
          <cell r="U1211">
            <v>0.53</v>
          </cell>
          <cell r="V1211">
            <v>0.82</v>
          </cell>
          <cell r="W1211">
            <v>0</v>
          </cell>
          <cell r="X1211" t="str">
            <v>EST CADEIRA WOODY (TING MEL) CAMURCA HAVANA/SOL HAVANA - 0,49x0,53x0,82H</v>
          </cell>
          <cell r="Y1211">
            <v>11376.92</v>
          </cell>
          <cell r="Z1211">
            <v>0.35</v>
          </cell>
          <cell r="AA1211">
            <v>7394.9980000000005</v>
          </cell>
          <cell r="AB1211"/>
        </row>
        <row r="1212">
          <cell r="C1212">
            <v>0</v>
          </cell>
          <cell r="D1212">
            <v>0</v>
          </cell>
          <cell r="E1212">
            <v>0</v>
          </cell>
          <cell r="F1212">
            <v>1</v>
          </cell>
          <cell r="H1212">
            <v>5</v>
          </cell>
          <cell r="O1212">
            <v>389997</v>
          </cell>
          <cell r="P1212" t="str">
            <v>2024/297-0138-01</v>
          </cell>
          <cell r="Q1212" t="str">
            <v>EST CADEIRA WOODY (TING MEL) CAMURCA HAVANA/SOL HAVANA</v>
          </cell>
          <cell r="R1212"/>
          <cell r="S1212"/>
          <cell r="T1212">
            <v>0.49</v>
          </cell>
          <cell r="U1212">
            <v>0.53</v>
          </cell>
          <cell r="V1212">
            <v>0.82</v>
          </cell>
          <cell r="W1212">
            <v>0</v>
          </cell>
          <cell r="X1212" t="str">
            <v>EST CADEIRA WOODY (TING MEL) CAMURCA HAVANA/SOL HAVANA - 0,49x0,53x0,82H</v>
          </cell>
          <cell r="Y1212">
            <v>11376.92</v>
          </cell>
          <cell r="Z1212">
            <v>0.35</v>
          </cell>
          <cell r="AA1212">
            <v>7394.9980000000005</v>
          </cell>
          <cell r="AB1212"/>
        </row>
        <row r="1213">
          <cell r="C1213">
            <v>0</v>
          </cell>
          <cell r="D1213">
            <v>0</v>
          </cell>
          <cell r="E1213">
            <v>0</v>
          </cell>
          <cell r="F1213">
            <v>1</v>
          </cell>
          <cell r="H1213">
            <v>5</v>
          </cell>
          <cell r="O1213">
            <v>389997</v>
          </cell>
          <cell r="P1213" t="str">
            <v>2024/297-0139-01</v>
          </cell>
          <cell r="Q1213" t="str">
            <v>EST CADEIRA WOODY (TING MEL) CAMURCA HAVANA/SOL HAVANA</v>
          </cell>
          <cell r="R1213"/>
          <cell r="S1213"/>
          <cell r="T1213">
            <v>0.49</v>
          </cell>
          <cell r="U1213">
            <v>0.53</v>
          </cell>
          <cell r="V1213">
            <v>0.82</v>
          </cell>
          <cell r="W1213">
            <v>0</v>
          </cell>
          <cell r="X1213" t="str">
            <v>EST CADEIRA WOODY (TING MEL) CAMURCA HAVANA/SOL HAVANA - 0,49x0,53x0,82H</v>
          </cell>
          <cell r="Y1213">
            <v>11376.92</v>
          </cell>
          <cell r="Z1213">
            <v>0.35</v>
          </cell>
          <cell r="AA1213">
            <v>7394.9980000000005</v>
          </cell>
          <cell r="AB1213"/>
        </row>
        <row r="1214"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H1214">
            <v>8</v>
          </cell>
          <cell r="O1214">
            <v>320670</v>
          </cell>
          <cell r="P1214" t="str">
            <v>2022/083-0011-01</v>
          </cell>
          <cell r="Q1214" t="str">
            <v>EST CADEIRA JULIA C/BRACO (COURO PIG 42 VERDE) (PRETO FSC)</v>
          </cell>
          <cell r="R1214"/>
          <cell r="S1214"/>
          <cell r="T1214">
            <v>0.61</v>
          </cell>
          <cell r="U1214">
            <v>0.54</v>
          </cell>
          <cell r="V1214">
            <v>0.76</v>
          </cell>
          <cell r="W1214">
            <v>0</v>
          </cell>
          <cell r="X1214" t="str">
            <v>EST CADEIRA JULIA C/BRACO (COURO PIG 42 VERDE) (PRETO FSC) - 0,61x0,54x0,76H</v>
          </cell>
          <cell r="Y1214">
            <v>8798.630000000001</v>
          </cell>
          <cell r="Z1214">
            <v>0.35</v>
          </cell>
          <cell r="AA1214">
            <v>5719.1095000000005</v>
          </cell>
          <cell r="AB1214"/>
        </row>
        <row r="1215"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H1215">
            <v>8</v>
          </cell>
          <cell r="O1215">
            <v>320670</v>
          </cell>
          <cell r="P1215" t="str">
            <v>2022/083-0012-01</v>
          </cell>
          <cell r="Q1215" t="str">
            <v>EST CADEIRA JULIA C/BRACO (COURO PIG 42 VERDE) (PRETO FSC)</v>
          </cell>
          <cell r="R1215"/>
          <cell r="S1215"/>
          <cell r="T1215">
            <v>0.61</v>
          </cell>
          <cell r="U1215">
            <v>0.54</v>
          </cell>
          <cell r="V1215">
            <v>0.76</v>
          </cell>
          <cell r="W1215">
            <v>0</v>
          </cell>
          <cell r="X1215" t="str">
            <v>EST CADEIRA JULIA C/BRACO (COURO PIG 42 VERDE) (PRETO FSC) - 0,61x0,54x0,76H</v>
          </cell>
          <cell r="Y1215">
            <v>8798.630000000001</v>
          </cell>
          <cell r="Z1215">
            <v>0.35</v>
          </cell>
          <cell r="AA1215">
            <v>5719.1095000000005</v>
          </cell>
          <cell r="AB1215"/>
        </row>
        <row r="1216">
          <cell r="C1216">
            <v>0</v>
          </cell>
          <cell r="D1216">
            <v>0</v>
          </cell>
          <cell r="E1216">
            <v>0</v>
          </cell>
          <cell r="F1216">
            <v>0</v>
          </cell>
          <cell r="H1216">
            <v>8</v>
          </cell>
          <cell r="O1216">
            <v>320670</v>
          </cell>
          <cell r="P1216" t="str">
            <v>2022/083-0013-01</v>
          </cell>
          <cell r="Q1216" t="str">
            <v>EST CADEIRA JULIA C/BRACO (COURO PIG 42 VERDE) (PRETO FSC)</v>
          </cell>
          <cell r="R1216"/>
          <cell r="S1216"/>
          <cell r="T1216">
            <v>0.61</v>
          </cell>
          <cell r="U1216">
            <v>0.54</v>
          </cell>
          <cell r="V1216">
            <v>0.76</v>
          </cell>
          <cell r="W1216">
            <v>0</v>
          </cell>
          <cell r="X1216" t="str">
            <v>EST CADEIRA JULIA C/BRACO (COURO PIG 42 VERDE) (PRETO FSC) - 0,61x0,54x0,76H</v>
          </cell>
          <cell r="Y1216">
            <v>8798.630000000001</v>
          </cell>
          <cell r="Z1216">
            <v>0.35</v>
          </cell>
          <cell r="AA1216">
            <v>5719.1095000000005</v>
          </cell>
          <cell r="AB1216"/>
        </row>
        <row r="1217">
          <cell r="C1217">
            <v>0</v>
          </cell>
          <cell r="D1217">
            <v>0</v>
          </cell>
          <cell r="E1217">
            <v>0</v>
          </cell>
          <cell r="F1217">
            <v>0</v>
          </cell>
          <cell r="H1217">
            <v>8</v>
          </cell>
          <cell r="O1217">
            <v>320670</v>
          </cell>
          <cell r="P1217" t="str">
            <v>2022/083-0014-01</v>
          </cell>
          <cell r="Q1217" t="str">
            <v>EST CADEIRA JULIA C/BRACO (COURO PIG 42 VERDE) (PRETO FSC)</v>
          </cell>
          <cell r="R1217"/>
          <cell r="S1217"/>
          <cell r="T1217">
            <v>0.61</v>
          </cell>
          <cell r="U1217">
            <v>0.54</v>
          </cell>
          <cell r="V1217">
            <v>0.76</v>
          </cell>
          <cell r="W1217">
            <v>0</v>
          </cell>
          <cell r="X1217" t="str">
            <v>EST CADEIRA JULIA C/BRACO (COURO PIG 42 VERDE) (PRETO FSC) - 0,61x0,54x0,76H</v>
          </cell>
          <cell r="Y1217">
            <v>8798.630000000001</v>
          </cell>
          <cell r="Z1217">
            <v>0.35</v>
          </cell>
          <cell r="AA1217">
            <v>5719.1095000000005</v>
          </cell>
          <cell r="AB1217"/>
        </row>
        <row r="1218">
          <cell r="C1218">
            <v>0</v>
          </cell>
          <cell r="D1218">
            <v>0</v>
          </cell>
          <cell r="E1218">
            <v>0</v>
          </cell>
          <cell r="F1218">
            <v>0</v>
          </cell>
          <cell r="H1218">
            <v>8</v>
          </cell>
          <cell r="O1218">
            <v>320670</v>
          </cell>
          <cell r="P1218" t="str">
            <v>2022/083-0015-01</v>
          </cell>
          <cell r="Q1218" t="str">
            <v>EST CADEIRA JULIA C/BRACO (COURO PIG 42 VERDE) (PRETO FSC)</v>
          </cell>
          <cell r="R1218"/>
          <cell r="S1218"/>
          <cell r="T1218">
            <v>0.61</v>
          </cell>
          <cell r="U1218">
            <v>0.54</v>
          </cell>
          <cell r="V1218">
            <v>0.76</v>
          </cell>
          <cell r="W1218">
            <v>0</v>
          </cell>
          <cell r="X1218" t="str">
            <v>EST CADEIRA JULIA C/BRACO (COURO PIG 42 VERDE) (PRETO FSC) - 0,61x0,54x0,76H</v>
          </cell>
          <cell r="Y1218">
            <v>8798.630000000001</v>
          </cell>
          <cell r="Z1218">
            <v>0.35</v>
          </cell>
          <cell r="AA1218">
            <v>5719.1095000000005</v>
          </cell>
          <cell r="AB1218"/>
        </row>
        <row r="1219">
          <cell r="C1219">
            <v>0</v>
          </cell>
          <cell r="D1219">
            <v>0</v>
          </cell>
          <cell r="E1219">
            <v>0</v>
          </cell>
          <cell r="F1219">
            <v>0</v>
          </cell>
          <cell r="H1219">
            <v>8</v>
          </cell>
          <cell r="O1219">
            <v>320670</v>
          </cell>
          <cell r="P1219" t="str">
            <v>2022/083-0016-01</v>
          </cell>
          <cell r="Q1219" t="str">
            <v>EST CADEIRA JULIA C/BRACO (COURO PIG 42 VERDE) (PRETO FSC)</v>
          </cell>
          <cell r="R1219"/>
          <cell r="S1219"/>
          <cell r="T1219">
            <v>0.61</v>
          </cell>
          <cell r="U1219">
            <v>0.54</v>
          </cell>
          <cell r="V1219">
            <v>0.76</v>
          </cell>
          <cell r="W1219">
            <v>0</v>
          </cell>
          <cell r="X1219" t="str">
            <v>EST CADEIRA JULIA C/BRACO (COURO PIG 42 VERDE) (PRETO FSC) - 0,61x0,54x0,76H</v>
          </cell>
          <cell r="Y1219">
            <v>8798.630000000001</v>
          </cell>
          <cell r="Z1219">
            <v>0.35</v>
          </cell>
          <cell r="AA1219">
            <v>5719.1095000000005</v>
          </cell>
          <cell r="AB1219"/>
        </row>
        <row r="1220">
          <cell r="C1220">
            <v>0</v>
          </cell>
          <cell r="D1220">
            <v>1</v>
          </cell>
          <cell r="E1220">
            <v>0</v>
          </cell>
          <cell r="F1220">
            <v>0</v>
          </cell>
          <cell r="H1220">
            <v>5</v>
          </cell>
          <cell r="O1220">
            <v>378286</v>
          </cell>
          <cell r="P1220" t="str">
            <v>2024/029-0114-01</v>
          </cell>
          <cell r="Q1220" t="str">
            <v>EST CADEIRA PI C/BRACO (PRETO FSC) TC LEROY 6200-007</v>
          </cell>
          <cell r="R1220"/>
          <cell r="S1220"/>
          <cell r="T1220">
            <v>0.75</v>
          </cell>
          <cell r="U1220">
            <v>0.6</v>
          </cell>
          <cell r="V1220">
            <v>0.76</v>
          </cell>
          <cell r="W1220">
            <v>0</v>
          </cell>
          <cell r="X1220" t="str">
            <v>EST CADEIRA PI C/BRACO (PRETO FSC) TC LEROY 6200-007 - 0,75x0,6x0,76H</v>
          </cell>
          <cell r="Y1220">
            <v>10102.205</v>
          </cell>
          <cell r="Z1220">
            <v>0.35</v>
          </cell>
          <cell r="AA1220">
            <v>6566.43325</v>
          </cell>
          <cell r="AB1220"/>
        </row>
        <row r="1221">
          <cell r="C1221">
            <v>0</v>
          </cell>
          <cell r="D1221">
            <v>1</v>
          </cell>
          <cell r="E1221">
            <v>0</v>
          </cell>
          <cell r="F1221">
            <v>0</v>
          </cell>
          <cell r="H1221">
            <v>5</v>
          </cell>
          <cell r="O1221">
            <v>378286</v>
          </cell>
          <cell r="P1221" t="str">
            <v>2024/029-0115-01</v>
          </cell>
          <cell r="Q1221" t="str">
            <v>EST CADEIRA PI C/BRACO (PRETO FSC) TC LEROY 6200-007</v>
          </cell>
          <cell r="R1221"/>
          <cell r="S1221"/>
          <cell r="T1221">
            <v>0.75</v>
          </cell>
          <cell r="U1221">
            <v>0.6</v>
          </cell>
          <cell r="V1221">
            <v>0.76</v>
          </cell>
          <cell r="W1221">
            <v>0</v>
          </cell>
          <cell r="X1221" t="str">
            <v>EST CADEIRA PI C/BRACO (PRETO FSC) TC LEROY 6200-007 - 0,75x0,6x0,76H</v>
          </cell>
          <cell r="Y1221">
            <v>10102.205</v>
          </cell>
          <cell r="Z1221">
            <v>0.35</v>
          </cell>
          <cell r="AA1221">
            <v>6566.43325</v>
          </cell>
          <cell r="AB1221"/>
        </row>
        <row r="1222">
          <cell r="C1222">
            <v>0</v>
          </cell>
          <cell r="D1222">
            <v>2</v>
          </cell>
          <cell r="E1222">
            <v>0</v>
          </cell>
          <cell r="F1222">
            <v>0</v>
          </cell>
          <cell r="H1222">
            <v>0</v>
          </cell>
          <cell r="O1222">
            <v>389993</v>
          </cell>
          <cell r="P1222" t="str">
            <v>2024/326-0080-01</v>
          </cell>
          <cell r="Q1222" t="str">
            <v>EST POLTRONA VINCI (LAM COMUM FREIJO NT/CORTEN) TC B0707-024</v>
          </cell>
          <cell r="R1222"/>
          <cell r="S1222"/>
          <cell r="T1222">
            <v>0.83</v>
          </cell>
          <cell r="U1222">
            <v>0.83</v>
          </cell>
          <cell r="V1222">
            <v>0.65</v>
          </cell>
          <cell r="W1222">
            <v>0</v>
          </cell>
          <cell r="X1222" t="str">
            <v>EST POLTRONA VINCI (LAM COMUM FREIJO NT/CORTEN) TC B0707-024 - 0,83x0,83x0,65H</v>
          </cell>
          <cell r="Y1222">
            <v>35583.924999999996</v>
          </cell>
          <cell r="Z1222">
            <v>0.35</v>
          </cell>
          <cell r="AA1222">
            <v>23129.551249999997</v>
          </cell>
          <cell r="AB1222"/>
        </row>
        <row r="1223">
          <cell r="C1223">
            <v>0</v>
          </cell>
          <cell r="D1223">
            <v>2</v>
          </cell>
          <cell r="E1223">
            <v>0</v>
          </cell>
          <cell r="F1223">
            <v>0</v>
          </cell>
          <cell r="H1223">
            <v>0</v>
          </cell>
          <cell r="O1223">
            <v>389993</v>
          </cell>
          <cell r="P1223" t="str">
            <v>2024/326-0081-01</v>
          </cell>
          <cell r="Q1223" t="str">
            <v>EST POLTRONA VINCI (LAM COMUM FREIJO NT/CORTEN) TC B0707-024</v>
          </cell>
          <cell r="R1223"/>
          <cell r="S1223"/>
          <cell r="T1223">
            <v>0.83</v>
          </cell>
          <cell r="U1223">
            <v>0.83</v>
          </cell>
          <cell r="V1223">
            <v>0.65</v>
          </cell>
          <cell r="W1223">
            <v>0</v>
          </cell>
          <cell r="X1223" t="str">
            <v>EST POLTRONA VINCI (LAM COMUM FREIJO NT/CORTEN) TC B0707-024 - 0,83x0,83x0,65H</v>
          </cell>
          <cell r="Y1223">
            <v>35583.924999999996</v>
          </cell>
          <cell r="Z1223">
            <v>0.35</v>
          </cell>
          <cell r="AA1223">
            <v>23129.551249999997</v>
          </cell>
          <cell r="AB1223"/>
        </row>
        <row r="1224">
          <cell r="C1224">
            <v>1</v>
          </cell>
          <cell r="D1224">
            <v>1</v>
          </cell>
          <cell r="E1224">
            <v>1</v>
          </cell>
          <cell r="F1224">
            <v>1</v>
          </cell>
          <cell r="H1224">
            <v>0</v>
          </cell>
          <cell r="O1224">
            <v>390008</v>
          </cell>
          <cell r="P1224" t="str">
            <v>2024/297-0149-01</v>
          </cell>
          <cell r="Q1224" t="str">
            <v>EST BANQUETA BAR WOODY H67 (TING MEL) COURO CAMURCA HAVANA</v>
          </cell>
          <cell r="R1224"/>
          <cell r="S1224"/>
          <cell r="T1224">
            <v>0.44</v>
          </cell>
          <cell r="U1224">
            <v>0.49</v>
          </cell>
          <cell r="V1224">
            <v>0.87</v>
          </cell>
          <cell r="W1224">
            <v>0</v>
          </cell>
          <cell r="X1224" t="str">
            <v>EST BANQUETA BAR WOODY H67 (TING MEL) COURO CAMURCA HAVANA - 0,44x0,49x0,87H</v>
          </cell>
          <cell r="Y1224">
            <v>10081.93</v>
          </cell>
          <cell r="Z1224">
            <v>0.35</v>
          </cell>
          <cell r="AA1224">
            <v>6553.2545000000009</v>
          </cell>
          <cell r="AB1224"/>
        </row>
        <row r="1225">
          <cell r="C1225">
            <v>1</v>
          </cell>
          <cell r="D1225">
            <v>1</v>
          </cell>
          <cell r="E1225">
            <v>1</v>
          </cell>
          <cell r="F1225">
            <v>1</v>
          </cell>
          <cell r="H1225">
            <v>0</v>
          </cell>
          <cell r="O1225">
            <v>390009</v>
          </cell>
          <cell r="P1225" t="str">
            <v>2024/316-0104-01</v>
          </cell>
          <cell r="Q1225" t="str">
            <v>EST BANQUETA BAR NEO CAIRO SLIM H67 (LAM NOG) TC B0707-024</v>
          </cell>
          <cell r="R1225"/>
          <cell r="S1225"/>
          <cell r="T1225">
            <v>0.5</v>
          </cell>
          <cell r="U1225">
            <v>0.49</v>
          </cell>
          <cell r="V1225">
            <v>0.84</v>
          </cell>
          <cell r="W1225">
            <v>0</v>
          </cell>
          <cell r="X1225" t="str">
            <v>EST BANQUETA BAR NEO CAIRO SLIM H67 (LAM NOG) TC B0707-024 - 0,5x0,49x0,84H</v>
          </cell>
          <cell r="Y1225">
            <v>9423.23</v>
          </cell>
          <cell r="Z1225">
            <v>0.35</v>
          </cell>
          <cell r="AA1225">
            <v>6125.0995000000003</v>
          </cell>
          <cell r="AB1225"/>
        </row>
        <row r="1226">
          <cell r="C1226">
            <v>1</v>
          </cell>
          <cell r="D1226">
            <v>0</v>
          </cell>
          <cell r="E1226">
            <v>0</v>
          </cell>
          <cell r="F1226">
            <v>0</v>
          </cell>
          <cell r="H1226">
            <v>0</v>
          </cell>
          <cell r="O1226">
            <v>270487</v>
          </cell>
          <cell r="P1226" t="str">
            <v>2020/331-0064-01</v>
          </cell>
          <cell r="Q1226" t="str">
            <v>EST MESA LATERAL SMITH TP VD BRONZE/BS MTZ CHAMP</v>
          </cell>
          <cell r="R1226"/>
          <cell r="S1226"/>
          <cell r="T1226">
            <v>0.45</v>
          </cell>
          <cell r="U1226">
            <v>0</v>
          </cell>
          <cell r="V1226">
            <v>0.48</v>
          </cell>
          <cell r="W1226">
            <v>0.45</v>
          </cell>
          <cell r="X1226" t="str">
            <v>EST MESA LATERAL SMITH TP VD BRONZE/BS MTZ CHAMP - Ø0,45x0,48H</v>
          </cell>
          <cell r="Y1226">
            <v>6695.81</v>
          </cell>
          <cell r="Z1226">
            <v>0.5</v>
          </cell>
          <cell r="AA1226">
            <v>3347.9050000000002</v>
          </cell>
          <cell r="AB1226"/>
        </row>
        <row r="1227">
          <cell r="C1227">
            <v>1</v>
          </cell>
          <cell r="D1227">
            <v>0</v>
          </cell>
          <cell r="E1227">
            <v>0</v>
          </cell>
          <cell r="F1227">
            <v>0</v>
          </cell>
          <cell r="H1227">
            <v>2</v>
          </cell>
          <cell r="O1227">
            <v>270478</v>
          </cell>
          <cell r="P1227" t="str">
            <v>2020/335-0124-01</v>
          </cell>
          <cell r="Q1227" t="str">
            <v>EST POLTRONA SOFT (BS ELET CORTEN) C0700-1/SOL NATURAL</v>
          </cell>
          <cell r="R1227"/>
          <cell r="S1227"/>
          <cell r="T1227">
            <v>0.87</v>
          </cell>
          <cell r="U1227">
            <v>1.02</v>
          </cell>
          <cell r="V1227">
            <v>0.8</v>
          </cell>
          <cell r="W1227">
            <v>0</v>
          </cell>
          <cell r="X1227" t="str">
            <v>EST POLTRONA SOFT (BS ELET CORTEN) C0700-1/SOL NATURAL - 0,87x1,02x0,8H</v>
          </cell>
          <cell r="Y1227">
            <v>30886.22</v>
          </cell>
          <cell r="Z1227">
            <v>0.35</v>
          </cell>
          <cell r="AA1227">
            <v>20076.043000000001</v>
          </cell>
          <cell r="AB1227"/>
        </row>
        <row r="1228">
          <cell r="C1228">
            <v>1</v>
          </cell>
          <cell r="D1228">
            <v>0</v>
          </cell>
          <cell r="E1228">
            <v>0</v>
          </cell>
          <cell r="F1228">
            <v>0</v>
          </cell>
          <cell r="H1228">
            <v>0</v>
          </cell>
          <cell r="O1228">
            <v>270484</v>
          </cell>
          <cell r="P1228" t="str">
            <v>2020/335-0125-01</v>
          </cell>
          <cell r="Q1228" t="str">
            <v>EST BANQUETA SOFT (BS ELET CORTEN) C0700-1/SOL NATURAL</v>
          </cell>
          <cell r="R1228"/>
          <cell r="S1228"/>
          <cell r="T1228">
            <v>0.57999999999999996</v>
          </cell>
          <cell r="U1228">
            <v>0.75</v>
          </cell>
          <cell r="V1228">
            <v>0.4</v>
          </cell>
          <cell r="W1228">
            <v>0</v>
          </cell>
          <cell r="X1228" t="str">
            <v>EST BANQUETA SOFT (BS ELET CORTEN) C0700-1/SOL NATURAL - 0,58x0,75x0,4H</v>
          </cell>
          <cell r="Y1228">
            <v>14000.5</v>
          </cell>
          <cell r="Z1228">
            <v>0.35</v>
          </cell>
          <cell r="AA1228">
            <v>9100.3250000000007</v>
          </cell>
          <cell r="AB1228"/>
        </row>
        <row r="1229">
          <cell r="C1229">
            <v>8</v>
          </cell>
          <cell r="D1229">
            <v>0</v>
          </cell>
          <cell r="E1229">
            <v>0</v>
          </cell>
          <cell r="F1229">
            <v>0</v>
          </cell>
          <cell r="H1229">
            <v>0</v>
          </cell>
          <cell r="O1229">
            <v>334212</v>
          </cell>
          <cell r="P1229" t="str">
            <v>2022/193-0041-01</v>
          </cell>
          <cell r="Q1229" t="str">
            <v>EST CADEIRA JULIA C/BRACO C0090/001/MARROM CORTEN</v>
          </cell>
          <cell r="R1229"/>
          <cell r="S1229"/>
          <cell r="T1229">
            <v>0.61</v>
          </cell>
          <cell r="U1229">
            <v>0.54</v>
          </cell>
          <cell r="V1229">
            <v>0.76</v>
          </cell>
          <cell r="W1229">
            <v>0</v>
          </cell>
          <cell r="X1229" t="str">
            <v>EST CADEIRA JULIA C/BRACO C0090/001/MARROM CORTEN - 0,61x0,54x0,76H</v>
          </cell>
          <cell r="Y1229">
            <v>8491.67</v>
          </cell>
          <cell r="Z1229">
            <v>0.35</v>
          </cell>
          <cell r="AA1229">
            <v>5519.5855000000001</v>
          </cell>
          <cell r="AB1229"/>
        </row>
        <row r="1230">
          <cell r="C1230">
            <v>8</v>
          </cell>
          <cell r="D1230">
            <v>0</v>
          </cell>
          <cell r="E1230">
            <v>0</v>
          </cell>
          <cell r="F1230">
            <v>0</v>
          </cell>
          <cell r="H1230">
            <v>0</v>
          </cell>
          <cell r="O1230">
            <v>334212</v>
          </cell>
          <cell r="P1230" t="str">
            <v>2022/193-0034-01</v>
          </cell>
          <cell r="Q1230" t="str">
            <v>EST CADEIRA JULIA C/BRACO C0090/001/MARROM CORTEN</v>
          </cell>
          <cell r="R1230"/>
          <cell r="S1230"/>
          <cell r="T1230">
            <v>0.61</v>
          </cell>
          <cell r="U1230">
            <v>0.54</v>
          </cell>
          <cell r="V1230">
            <v>0.76</v>
          </cell>
          <cell r="W1230">
            <v>0</v>
          </cell>
          <cell r="X1230" t="str">
            <v>EST CADEIRA JULIA C/BRACO C0090/001/MARROM CORTEN - 0,61x0,54x0,76H</v>
          </cell>
          <cell r="Y1230">
            <v>8491.67</v>
          </cell>
          <cell r="Z1230">
            <v>0.35</v>
          </cell>
          <cell r="AA1230">
            <v>5519.5855000000001</v>
          </cell>
          <cell r="AB1230"/>
        </row>
        <row r="1231">
          <cell r="C1231">
            <v>8</v>
          </cell>
          <cell r="D1231">
            <v>0</v>
          </cell>
          <cell r="E1231">
            <v>0</v>
          </cell>
          <cell r="F1231">
            <v>0</v>
          </cell>
          <cell r="H1231">
            <v>0</v>
          </cell>
          <cell r="O1231">
            <v>334212</v>
          </cell>
          <cell r="P1231" t="str">
            <v>2022/193-0035-01</v>
          </cell>
          <cell r="Q1231" t="str">
            <v>EST CADEIRA JULIA C/BRACO C0090/001/MARROM CORTEN</v>
          </cell>
          <cell r="R1231"/>
          <cell r="S1231"/>
          <cell r="T1231">
            <v>0.61</v>
          </cell>
          <cell r="U1231">
            <v>0.54</v>
          </cell>
          <cell r="V1231">
            <v>0.76</v>
          </cell>
          <cell r="W1231">
            <v>0</v>
          </cell>
          <cell r="X1231" t="str">
            <v>EST CADEIRA JULIA C/BRACO C0090/001/MARROM CORTEN - 0,61x0,54x0,76H</v>
          </cell>
          <cell r="Y1231">
            <v>8491.67</v>
          </cell>
          <cell r="Z1231">
            <v>0.35</v>
          </cell>
          <cell r="AA1231">
            <v>5519.5855000000001</v>
          </cell>
          <cell r="AB1231"/>
        </row>
        <row r="1232">
          <cell r="C1232">
            <v>8</v>
          </cell>
          <cell r="D1232">
            <v>0</v>
          </cell>
          <cell r="E1232">
            <v>0</v>
          </cell>
          <cell r="F1232">
            <v>0</v>
          </cell>
          <cell r="H1232">
            <v>0</v>
          </cell>
          <cell r="O1232">
            <v>334212</v>
          </cell>
          <cell r="P1232" t="str">
            <v>2022/193-0036-01</v>
          </cell>
          <cell r="Q1232" t="str">
            <v>EST CADEIRA JULIA C/BRACO C0090/001/MARROM CORTEN</v>
          </cell>
          <cell r="R1232"/>
          <cell r="S1232"/>
          <cell r="T1232">
            <v>0.61</v>
          </cell>
          <cell r="U1232">
            <v>0.54</v>
          </cell>
          <cell r="V1232">
            <v>0.76</v>
          </cell>
          <cell r="W1232">
            <v>0</v>
          </cell>
          <cell r="X1232" t="str">
            <v>EST CADEIRA JULIA C/BRACO C0090/001/MARROM CORTEN - 0,61x0,54x0,76H</v>
          </cell>
          <cell r="Y1232">
            <v>8491.67</v>
          </cell>
          <cell r="Z1232">
            <v>0.35</v>
          </cell>
          <cell r="AA1232">
            <v>5519.5855000000001</v>
          </cell>
          <cell r="AB1232"/>
        </row>
        <row r="1233">
          <cell r="C1233">
            <v>8</v>
          </cell>
          <cell r="D1233">
            <v>0</v>
          </cell>
          <cell r="E1233">
            <v>0</v>
          </cell>
          <cell r="F1233">
            <v>0</v>
          </cell>
          <cell r="H1233">
            <v>0</v>
          </cell>
          <cell r="O1233">
            <v>334212</v>
          </cell>
          <cell r="P1233" t="str">
            <v>2022/193-0037-01</v>
          </cell>
          <cell r="Q1233" t="str">
            <v>EST CADEIRA JULIA C/BRACO C0090/001/MARROM CORTEN</v>
          </cell>
          <cell r="R1233"/>
          <cell r="S1233"/>
          <cell r="T1233">
            <v>0.61</v>
          </cell>
          <cell r="U1233">
            <v>0.54</v>
          </cell>
          <cell r="V1233">
            <v>0.76</v>
          </cell>
          <cell r="W1233">
            <v>0</v>
          </cell>
          <cell r="X1233" t="str">
            <v>EST CADEIRA JULIA C/BRACO C0090/001/MARROM CORTEN - 0,61x0,54x0,76H</v>
          </cell>
          <cell r="Y1233">
            <v>8491.67</v>
          </cell>
          <cell r="Z1233">
            <v>0.35</v>
          </cell>
          <cell r="AA1233">
            <v>5519.5855000000001</v>
          </cell>
          <cell r="AB1233"/>
        </row>
        <row r="1234">
          <cell r="C1234">
            <v>8</v>
          </cell>
          <cell r="D1234">
            <v>0</v>
          </cell>
          <cell r="E1234">
            <v>0</v>
          </cell>
          <cell r="F1234">
            <v>0</v>
          </cell>
          <cell r="H1234">
            <v>0</v>
          </cell>
          <cell r="O1234">
            <v>334212</v>
          </cell>
          <cell r="P1234" t="str">
            <v>2022/193-0038-01</v>
          </cell>
          <cell r="Q1234" t="str">
            <v>EST CADEIRA JULIA C/BRACO C0090/001/MARROM CORTEN</v>
          </cell>
          <cell r="R1234"/>
          <cell r="S1234"/>
          <cell r="T1234">
            <v>0.61</v>
          </cell>
          <cell r="U1234">
            <v>0.54</v>
          </cell>
          <cell r="V1234">
            <v>0.76</v>
          </cell>
          <cell r="W1234">
            <v>0</v>
          </cell>
          <cell r="X1234" t="str">
            <v>EST CADEIRA JULIA C/BRACO C0090/001/MARROM CORTEN - 0,61x0,54x0,76H</v>
          </cell>
          <cell r="Y1234">
            <v>8491.67</v>
          </cell>
          <cell r="Z1234">
            <v>0.35</v>
          </cell>
          <cell r="AA1234">
            <v>5519.5855000000001</v>
          </cell>
          <cell r="AB1234"/>
        </row>
        <row r="1235">
          <cell r="C1235">
            <v>8</v>
          </cell>
          <cell r="D1235">
            <v>0</v>
          </cell>
          <cell r="E1235">
            <v>0</v>
          </cell>
          <cell r="F1235">
            <v>0</v>
          </cell>
          <cell r="H1235">
            <v>0</v>
          </cell>
          <cell r="O1235">
            <v>334212</v>
          </cell>
          <cell r="P1235" t="str">
            <v>2022/193-0039-01</v>
          </cell>
          <cell r="Q1235" t="str">
            <v>EST CADEIRA JULIA C/BRACO C0090/001/MARROM CORTEN</v>
          </cell>
          <cell r="R1235"/>
          <cell r="S1235"/>
          <cell r="T1235">
            <v>0.61</v>
          </cell>
          <cell r="U1235">
            <v>0.54</v>
          </cell>
          <cell r="V1235">
            <v>0.76</v>
          </cell>
          <cell r="W1235">
            <v>0</v>
          </cell>
          <cell r="X1235" t="str">
            <v>EST CADEIRA JULIA C/BRACO C0090/001/MARROM CORTEN - 0,61x0,54x0,76H</v>
          </cell>
          <cell r="Y1235">
            <v>8491.67</v>
          </cell>
          <cell r="Z1235">
            <v>0.35</v>
          </cell>
          <cell r="AA1235">
            <v>5519.5855000000001</v>
          </cell>
          <cell r="AB1235"/>
        </row>
        <row r="1236">
          <cell r="C1236">
            <v>8</v>
          </cell>
          <cell r="D1236">
            <v>0</v>
          </cell>
          <cell r="E1236">
            <v>0</v>
          </cell>
          <cell r="F1236">
            <v>0</v>
          </cell>
          <cell r="H1236">
            <v>0</v>
          </cell>
          <cell r="O1236">
            <v>334212</v>
          </cell>
          <cell r="P1236" t="str">
            <v>2022/193-0040-01</v>
          </cell>
          <cell r="Q1236" t="str">
            <v>EST CADEIRA JULIA C/BRACO C0090/001/MARROM CORTEN</v>
          </cell>
          <cell r="R1236"/>
          <cell r="S1236"/>
          <cell r="T1236">
            <v>0.61</v>
          </cell>
          <cell r="U1236">
            <v>0.54</v>
          </cell>
          <cell r="V1236">
            <v>0.76</v>
          </cell>
          <cell r="W1236">
            <v>0</v>
          </cell>
          <cell r="X1236" t="str">
            <v>EST CADEIRA JULIA C/BRACO C0090/001/MARROM CORTEN - 0,61x0,54x0,76H</v>
          </cell>
          <cell r="Y1236">
            <v>8491.67</v>
          </cell>
          <cell r="Z1236">
            <v>0.35</v>
          </cell>
          <cell r="AA1236">
            <v>5519.5855000000001</v>
          </cell>
          <cell r="AB1236"/>
        </row>
        <row r="1237">
          <cell r="C1237">
            <v>2</v>
          </cell>
          <cell r="D1237">
            <v>0</v>
          </cell>
          <cell r="E1237">
            <v>0</v>
          </cell>
          <cell r="F1237">
            <v>0</v>
          </cell>
          <cell r="H1237">
            <v>0</v>
          </cell>
          <cell r="O1237">
            <v>389995</v>
          </cell>
          <cell r="P1237" t="str">
            <v>2024/282-0008-01</v>
          </cell>
          <cell r="Q1237" t="str">
            <v>EST POLTRONA VINCI (LAM COMUM NOG NT/CORTEN) CAMURCA AREIA</v>
          </cell>
          <cell r="R1237"/>
          <cell r="S1237"/>
          <cell r="T1237">
            <v>0.83</v>
          </cell>
          <cell r="U1237">
            <v>0.83</v>
          </cell>
          <cell r="V1237">
            <v>0.65</v>
          </cell>
          <cell r="W1237">
            <v>0</v>
          </cell>
          <cell r="X1237" t="str">
            <v>EST POLTRONA VINCI (LAM COMUM NOG NT/CORTEN) CAMURCA AREIA - 0,83x0,83x0,65H</v>
          </cell>
          <cell r="Y1237">
            <v>38182.1</v>
          </cell>
          <cell r="Z1237">
            <v>0.35</v>
          </cell>
          <cell r="AA1237">
            <v>24818.364999999998</v>
          </cell>
          <cell r="AB1237"/>
        </row>
        <row r="1238">
          <cell r="C1238">
            <v>2</v>
          </cell>
          <cell r="D1238">
            <v>0</v>
          </cell>
          <cell r="E1238">
            <v>0</v>
          </cell>
          <cell r="F1238">
            <v>0</v>
          </cell>
          <cell r="H1238">
            <v>0</v>
          </cell>
          <cell r="O1238">
            <v>389995</v>
          </cell>
          <cell r="P1238" t="str">
            <v>2024/282-0009-01</v>
          </cell>
          <cell r="Q1238" t="str">
            <v>EST POLTRONA VINCI (LAM COMUM NOG NT/CORTEN) CAMURCA AREIA</v>
          </cell>
          <cell r="R1238"/>
          <cell r="S1238"/>
          <cell r="T1238">
            <v>0.83</v>
          </cell>
          <cell r="U1238">
            <v>0.83</v>
          </cell>
          <cell r="V1238">
            <v>0.65</v>
          </cell>
          <cell r="W1238">
            <v>0</v>
          </cell>
          <cell r="X1238" t="str">
            <v>EST POLTRONA VINCI (LAM COMUM NOG NT/CORTEN) CAMURCA AREIA - 0,83x0,83x0,65H</v>
          </cell>
          <cell r="Y1238">
            <v>38182.1</v>
          </cell>
          <cell r="Z1238">
            <v>0.35</v>
          </cell>
          <cell r="AA1238">
            <v>24818.364999999998</v>
          </cell>
          <cell r="AB1238"/>
        </row>
        <row r="1239">
          <cell r="C1239">
            <v>2</v>
          </cell>
          <cell r="D1239">
            <v>0</v>
          </cell>
          <cell r="E1239">
            <v>0</v>
          </cell>
          <cell r="F1239">
            <v>0</v>
          </cell>
          <cell r="H1239">
            <v>0</v>
          </cell>
          <cell r="O1239">
            <v>390004</v>
          </cell>
          <cell r="P1239" t="str">
            <v>2024/297-0140-01</v>
          </cell>
          <cell r="Q1239" t="str">
            <v>EST CADEIRA WOODY C/B (TING NOG) COURO PIG 611/SOL CAFE</v>
          </cell>
          <cell r="R1239"/>
          <cell r="S1239"/>
          <cell r="T1239">
            <v>0.53</v>
          </cell>
          <cell r="U1239">
            <v>0.53</v>
          </cell>
          <cell r="V1239">
            <v>0.82</v>
          </cell>
          <cell r="W1239">
            <v>0</v>
          </cell>
          <cell r="X1239" t="str">
            <v>EST CADEIRA WOODY C/B (TING NOG) COURO PIG 611/SOL CAFE - 0,53x0,53x0,82H</v>
          </cell>
          <cell r="Y1239">
            <v>10521.59</v>
          </cell>
          <cell r="Z1239">
            <v>0.35</v>
          </cell>
          <cell r="AA1239">
            <v>6839.0335000000005</v>
          </cell>
          <cell r="AB1239"/>
        </row>
        <row r="1240">
          <cell r="C1240">
            <v>2</v>
          </cell>
          <cell r="D1240">
            <v>0</v>
          </cell>
          <cell r="E1240">
            <v>0</v>
          </cell>
          <cell r="F1240">
            <v>0</v>
          </cell>
          <cell r="H1240">
            <v>0</v>
          </cell>
          <cell r="O1240">
            <v>390004</v>
          </cell>
          <cell r="P1240" t="str">
            <v>2024/297-0141-01</v>
          </cell>
          <cell r="Q1240" t="str">
            <v>EST CADEIRA WOODY C/B (TING NOG) COURO PIG 611/SOL CAFE</v>
          </cell>
          <cell r="R1240"/>
          <cell r="S1240"/>
          <cell r="T1240">
            <v>0.53</v>
          </cell>
          <cell r="U1240">
            <v>0.53</v>
          </cell>
          <cell r="V1240">
            <v>0.82</v>
          </cell>
          <cell r="W1240">
            <v>0</v>
          </cell>
          <cell r="X1240" t="str">
            <v>EST CADEIRA WOODY C/B (TING NOG) COURO PIG 611/SOL CAFE - 0,53x0,53x0,82H</v>
          </cell>
          <cell r="Y1240">
            <v>10521.59</v>
          </cell>
          <cell r="Z1240">
            <v>0.35</v>
          </cell>
          <cell r="AA1240">
            <v>6839.0335000000005</v>
          </cell>
          <cell r="AB1240"/>
        </row>
        <row r="1241">
          <cell r="C1241">
            <v>6</v>
          </cell>
          <cell r="D1241">
            <v>0</v>
          </cell>
          <cell r="E1241">
            <v>0</v>
          </cell>
          <cell r="F1241">
            <v>0</v>
          </cell>
          <cell r="H1241">
            <v>0</v>
          </cell>
          <cell r="O1241">
            <v>390006</v>
          </cell>
          <cell r="P1241" t="str">
            <v>2024/297-0142-01</v>
          </cell>
          <cell r="Q1241" t="str">
            <v>EST CADEIRA WOODY (TING NOG) COURO PIG 611/SOL CAFE</v>
          </cell>
          <cell r="R1241"/>
          <cell r="S1241"/>
          <cell r="T1241">
            <v>0.49</v>
          </cell>
          <cell r="U1241">
            <v>0.53</v>
          </cell>
          <cell r="V1241">
            <v>0.82</v>
          </cell>
          <cell r="W1241">
            <v>0</v>
          </cell>
          <cell r="X1241" t="str">
            <v>EST CADEIRA WOODY (TING NOG) COURO PIG 611/SOL CAFE - 0,49x0,53x0,82H</v>
          </cell>
          <cell r="Y1241">
            <v>9782.0400000000009</v>
          </cell>
          <cell r="Z1241">
            <v>0.35</v>
          </cell>
          <cell r="AA1241">
            <v>6358.3260000000009</v>
          </cell>
          <cell r="AB1241"/>
        </row>
        <row r="1242">
          <cell r="C1242">
            <v>6</v>
          </cell>
          <cell r="D1242">
            <v>0</v>
          </cell>
          <cell r="E1242">
            <v>0</v>
          </cell>
          <cell r="F1242">
            <v>0</v>
          </cell>
          <cell r="H1242">
            <v>0</v>
          </cell>
          <cell r="O1242">
            <v>390006</v>
          </cell>
          <cell r="P1242" t="str">
            <v>2024/297-0143-01</v>
          </cell>
          <cell r="Q1242" t="str">
            <v>EST CADEIRA WOODY (TING NOG) COURO PIG 611/SOL CAFE</v>
          </cell>
          <cell r="R1242"/>
          <cell r="S1242"/>
          <cell r="T1242">
            <v>0.49</v>
          </cell>
          <cell r="U1242">
            <v>0.53</v>
          </cell>
          <cell r="V1242">
            <v>0.82</v>
          </cell>
          <cell r="W1242">
            <v>0</v>
          </cell>
          <cell r="X1242" t="str">
            <v>EST CADEIRA WOODY (TING NOG) COURO PIG 611/SOL CAFE - 0,49x0,53x0,82H</v>
          </cell>
          <cell r="Y1242">
            <v>9782.0400000000009</v>
          </cell>
          <cell r="Z1242">
            <v>0.35</v>
          </cell>
          <cell r="AA1242">
            <v>6358.3260000000009</v>
          </cell>
          <cell r="AB1242"/>
        </row>
        <row r="1243">
          <cell r="C1243">
            <v>6</v>
          </cell>
          <cell r="D1243">
            <v>0</v>
          </cell>
          <cell r="E1243">
            <v>0</v>
          </cell>
          <cell r="F1243">
            <v>0</v>
          </cell>
          <cell r="H1243">
            <v>0</v>
          </cell>
          <cell r="O1243">
            <v>390006</v>
          </cell>
          <cell r="P1243" t="str">
            <v>2024/297-0144-01</v>
          </cell>
          <cell r="Q1243" t="str">
            <v>EST CADEIRA WOODY (TING NOG) COURO PIG 611/SOL CAFE</v>
          </cell>
          <cell r="R1243"/>
          <cell r="S1243"/>
          <cell r="T1243">
            <v>0.49</v>
          </cell>
          <cell r="U1243">
            <v>0.53</v>
          </cell>
          <cell r="V1243">
            <v>0.82</v>
          </cell>
          <cell r="W1243">
            <v>0</v>
          </cell>
          <cell r="X1243" t="str">
            <v>EST CADEIRA WOODY (TING NOG) COURO PIG 611/SOL CAFE - 0,49x0,53x0,82H</v>
          </cell>
          <cell r="Y1243">
            <v>9782.0400000000009</v>
          </cell>
          <cell r="Z1243">
            <v>0.35</v>
          </cell>
          <cell r="AA1243">
            <v>6358.3260000000009</v>
          </cell>
          <cell r="AB1243"/>
        </row>
        <row r="1244">
          <cell r="C1244">
            <v>6</v>
          </cell>
          <cell r="D1244">
            <v>0</v>
          </cell>
          <cell r="E1244">
            <v>0</v>
          </cell>
          <cell r="F1244">
            <v>0</v>
          </cell>
          <cell r="H1244">
            <v>0</v>
          </cell>
          <cell r="O1244">
            <v>390006</v>
          </cell>
          <cell r="P1244" t="str">
            <v>2024/297-0145-01</v>
          </cell>
          <cell r="Q1244" t="str">
            <v>EST CADEIRA WOODY (TING NOG) COURO PIG 611/SOL CAFE</v>
          </cell>
          <cell r="R1244"/>
          <cell r="S1244"/>
          <cell r="T1244">
            <v>0.49</v>
          </cell>
          <cell r="U1244">
            <v>0.53</v>
          </cell>
          <cell r="V1244">
            <v>0.82</v>
          </cell>
          <cell r="W1244">
            <v>0</v>
          </cell>
          <cell r="X1244" t="str">
            <v>EST CADEIRA WOODY (TING NOG) COURO PIG 611/SOL CAFE - 0,49x0,53x0,82H</v>
          </cell>
          <cell r="Y1244">
            <v>9782.0400000000009</v>
          </cell>
          <cell r="Z1244">
            <v>0.35</v>
          </cell>
          <cell r="AA1244">
            <v>6358.3260000000009</v>
          </cell>
          <cell r="AB1244"/>
        </row>
        <row r="1245">
          <cell r="C1245">
            <v>6</v>
          </cell>
          <cell r="D1245">
            <v>0</v>
          </cell>
          <cell r="E1245">
            <v>0</v>
          </cell>
          <cell r="F1245">
            <v>0</v>
          </cell>
          <cell r="H1245">
            <v>0</v>
          </cell>
          <cell r="O1245">
            <v>390006</v>
          </cell>
          <cell r="P1245" t="str">
            <v>2024/297-0146-01</v>
          </cell>
          <cell r="Q1245" t="str">
            <v>EST CADEIRA WOODY (TING NOG) COURO PIG 611/SOL CAFE</v>
          </cell>
          <cell r="R1245"/>
          <cell r="S1245"/>
          <cell r="T1245">
            <v>0.49</v>
          </cell>
          <cell r="U1245">
            <v>0.53</v>
          </cell>
          <cell r="V1245">
            <v>0.82</v>
          </cell>
          <cell r="W1245">
            <v>0</v>
          </cell>
          <cell r="X1245" t="str">
            <v>EST CADEIRA WOODY (TING NOG) COURO PIG 611/SOL CAFE - 0,49x0,53x0,82H</v>
          </cell>
          <cell r="Y1245">
            <v>9782.0400000000009</v>
          </cell>
          <cell r="Z1245">
            <v>0.35</v>
          </cell>
          <cell r="AA1245">
            <v>6358.3260000000009</v>
          </cell>
          <cell r="AB1245"/>
        </row>
        <row r="1246">
          <cell r="C1246">
            <v>6</v>
          </cell>
          <cell r="D1246">
            <v>0</v>
          </cell>
          <cell r="E1246">
            <v>0</v>
          </cell>
          <cell r="F1246">
            <v>0</v>
          </cell>
          <cell r="H1246">
            <v>0</v>
          </cell>
          <cell r="O1246">
            <v>390006</v>
          </cell>
          <cell r="P1246" t="str">
            <v>2024/297-0147-01</v>
          </cell>
          <cell r="Q1246" t="str">
            <v>EST CADEIRA WOODY (TING NOG) COURO PIG 611/SOL CAFE</v>
          </cell>
          <cell r="R1246"/>
          <cell r="S1246"/>
          <cell r="T1246">
            <v>0.49</v>
          </cell>
          <cell r="U1246">
            <v>0.53</v>
          </cell>
          <cell r="V1246">
            <v>0.82</v>
          </cell>
          <cell r="W1246">
            <v>0</v>
          </cell>
          <cell r="X1246" t="str">
            <v>EST CADEIRA WOODY (TING NOG) COURO PIG 611/SOL CAFE - 0,49x0,53x0,82H</v>
          </cell>
          <cell r="Y1246">
            <v>9782.0400000000009</v>
          </cell>
          <cell r="Z1246">
            <v>0.35</v>
          </cell>
          <cell r="AA1246">
            <v>6358.3260000000009</v>
          </cell>
          <cell r="AB1246"/>
        </row>
        <row r="1247">
          <cell r="C1247">
            <v>1</v>
          </cell>
          <cell r="D1247">
            <v>1</v>
          </cell>
          <cell r="E1247">
            <v>1</v>
          </cell>
          <cell r="F1247">
            <v>1</v>
          </cell>
          <cell r="H1247">
            <v>0</v>
          </cell>
          <cell r="O1247">
            <v>390008</v>
          </cell>
          <cell r="P1247" t="str">
            <v>2024/297-0150-01</v>
          </cell>
          <cell r="Q1247" t="str">
            <v>EST BANQUETA BAR WOODY H67 (TING MEL) COURO CAMURCA HAVANA</v>
          </cell>
          <cell r="R1247"/>
          <cell r="S1247"/>
          <cell r="T1247">
            <v>0.44</v>
          </cell>
          <cell r="U1247">
            <v>0.49</v>
          </cell>
          <cell r="V1247">
            <v>0.87</v>
          </cell>
          <cell r="W1247">
            <v>0</v>
          </cell>
          <cell r="X1247" t="str">
            <v>EST BANQUETA BAR WOODY H67 (TING MEL) COURO CAMURCA HAVANA - 0,44x0,49x0,87H</v>
          </cell>
          <cell r="Y1247">
            <v>10081.93</v>
          </cell>
          <cell r="Z1247">
            <v>0.35</v>
          </cell>
          <cell r="AA1247">
            <v>6553.2545000000009</v>
          </cell>
          <cell r="AB1247"/>
        </row>
        <row r="1248">
          <cell r="C1248">
            <v>1</v>
          </cell>
          <cell r="D1248">
            <v>1</v>
          </cell>
          <cell r="E1248">
            <v>1</v>
          </cell>
          <cell r="F1248">
            <v>1</v>
          </cell>
          <cell r="H1248">
            <v>0</v>
          </cell>
          <cell r="O1248">
            <v>390009</v>
          </cell>
          <cell r="P1248" t="str">
            <v>2024/297-0152-01</v>
          </cell>
          <cell r="Q1248" t="str">
            <v>EST BANQUETA BAR NEO CAIRO SLIM H67 (LAM NOG) TC B0707-024</v>
          </cell>
          <cell r="R1248"/>
          <cell r="S1248"/>
          <cell r="T1248">
            <v>0.5</v>
          </cell>
          <cell r="U1248">
            <v>0.49</v>
          </cell>
          <cell r="V1248">
            <v>0.84</v>
          </cell>
          <cell r="W1248">
            <v>0</v>
          </cell>
          <cell r="X1248" t="str">
            <v>EST BANQUETA BAR NEO CAIRO SLIM H67 (LAM NOG) TC B0707-024 - 0,5x0,49x0,84H</v>
          </cell>
          <cell r="Y1248">
            <v>9423.23</v>
          </cell>
          <cell r="Z1248">
            <v>0.35</v>
          </cell>
          <cell r="AA1248">
            <v>6125.0995000000003</v>
          </cell>
          <cell r="AB1248"/>
        </row>
        <row r="1249">
          <cell r="C1249">
            <v>1</v>
          </cell>
          <cell r="D1249">
            <v>0</v>
          </cell>
          <cell r="E1249">
            <v>0</v>
          </cell>
          <cell r="F1249">
            <v>0</v>
          </cell>
          <cell r="H1249">
            <v>0</v>
          </cell>
          <cell r="O1249">
            <v>399361</v>
          </cell>
          <cell r="P1249" t="str">
            <v>2025/021-0024-01</v>
          </cell>
          <cell r="Q1249" t="str">
            <v>EST BANCO TRILHO (TAUARI TING MOCCA)</v>
          </cell>
          <cell r="R1249"/>
          <cell r="S1249"/>
          <cell r="T1249">
            <v>1.8</v>
          </cell>
          <cell r="U1249">
            <v>0.52</v>
          </cell>
          <cell r="V1249">
            <v>0.42</v>
          </cell>
          <cell r="W1249">
            <v>0</v>
          </cell>
          <cell r="X1249" t="str">
            <v>EST BANCO TRILHO (TAUARI TING MOCCA) - 1,8x0,52x0,42H</v>
          </cell>
          <cell r="Y1249">
            <v>27984.41</v>
          </cell>
          <cell r="Z1249">
            <v>0.35</v>
          </cell>
          <cell r="AA1249">
            <v>18189.8665</v>
          </cell>
          <cell r="AB1249"/>
        </row>
        <row r="1250">
          <cell r="C1250">
            <v>0</v>
          </cell>
          <cell r="D1250">
            <v>7</v>
          </cell>
          <cell r="E1250">
            <v>1</v>
          </cell>
          <cell r="F1250">
            <v>0</v>
          </cell>
          <cell r="H1250">
            <v>0</v>
          </cell>
          <cell r="O1250">
            <v>336646</v>
          </cell>
          <cell r="P1250" t="str">
            <v>2022/298-0086-01</v>
          </cell>
          <cell r="Q1250" t="str">
            <v>EST CADEIRA CLARA (JEQ TING NOG) (ESTOF) (C4 PINHAO)</v>
          </cell>
          <cell r="R1250"/>
          <cell r="S1250"/>
          <cell r="T1250">
            <v>0.48</v>
          </cell>
          <cell r="U1250">
            <v>0.56999999999999995</v>
          </cell>
          <cell r="V1250">
            <v>0.86</v>
          </cell>
          <cell r="W1250">
            <v>0</v>
          </cell>
          <cell r="X1250" t="str">
            <v>EST CADEIRA CLARA (JEQ TING NOG) (ESTOF) (C4 PINHAO) - 0,48x0,57x0,86H</v>
          </cell>
          <cell r="Y1250">
            <v>8042.5</v>
          </cell>
          <cell r="Z1250">
            <v>0.5</v>
          </cell>
          <cell r="AA1250">
            <v>4021.25</v>
          </cell>
          <cell r="AB1250"/>
        </row>
        <row r="1251">
          <cell r="C1251">
            <v>0</v>
          </cell>
          <cell r="D1251">
            <v>0</v>
          </cell>
          <cell r="E1251">
            <v>0</v>
          </cell>
          <cell r="F1251">
            <v>1</v>
          </cell>
          <cell r="H1251">
            <v>0</v>
          </cell>
          <cell r="O1251">
            <v>405880</v>
          </cell>
          <cell r="P1251" t="str">
            <v>2025/182-0069-01</v>
          </cell>
          <cell r="Q1251" t="str">
            <v>EST CADEIRA GIORNATTA OFFICE (AJUST) (MTZ CAPPUC) TC D4120</v>
          </cell>
          <cell r="R1251"/>
          <cell r="S1251"/>
          <cell r="T1251">
            <v>0.67</v>
          </cell>
          <cell r="U1251">
            <v>0.66</v>
          </cell>
          <cell r="V1251">
            <v>0.8</v>
          </cell>
          <cell r="W1251">
            <v>0</v>
          </cell>
          <cell r="X1251" t="str">
            <v>EST CADEIRA GIORNATTA OFFICE (AJUST) (MTZ CAPPUC) TC D4120 - 0,67x0,66x0,8H</v>
          </cell>
          <cell r="Y1251">
            <v>9269.66</v>
          </cell>
          <cell r="Z1251">
            <v>0.35</v>
          </cell>
          <cell r="AA1251">
            <v>6025.2790000000005</v>
          </cell>
          <cell r="AB1251"/>
        </row>
        <row r="1252">
          <cell r="C1252" t="e">
            <v>#N/A</v>
          </cell>
          <cell r="D1252" t="e">
            <v>#N/A</v>
          </cell>
          <cell r="E1252" t="e">
            <v>#N/A</v>
          </cell>
          <cell r="F1252" t="e">
            <v>#N/A</v>
          </cell>
          <cell r="H1252" t="e">
            <v>#N/A</v>
          </cell>
          <cell r="O1252">
            <v>405882</v>
          </cell>
          <cell r="P1252" t="str">
            <v>2025/182-0070-01</v>
          </cell>
          <cell r="Q1252" t="e">
            <v>#N/A</v>
          </cell>
          <cell r="R1252"/>
          <cell r="S1252"/>
          <cell r="T1252" t="e">
            <v>#N/A</v>
          </cell>
          <cell r="U1252" t="e">
            <v>#N/A</v>
          </cell>
          <cell r="V1252" t="e">
            <v>#N/A</v>
          </cell>
          <cell r="W1252" t="e">
            <v>#N/A</v>
          </cell>
          <cell r="X1252" t="e">
            <v>#N/A</v>
          </cell>
          <cell r="Y1252">
            <v>9269.66</v>
          </cell>
          <cell r="Z1252">
            <v>0.35</v>
          </cell>
          <cell r="AA1252">
            <v>6025.2790000000005</v>
          </cell>
          <cell r="AB1252"/>
        </row>
        <row r="1253">
          <cell r="C1253">
            <v>1</v>
          </cell>
          <cell r="D1253">
            <v>0</v>
          </cell>
          <cell r="E1253">
            <v>0</v>
          </cell>
          <cell r="F1253">
            <v>0</v>
          </cell>
          <cell r="H1253">
            <v>0</v>
          </cell>
          <cell r="O1253">
            <v>405884</v>
          </cell>
          <cell r="P1253" t="str">
            <v>2025/182-0071-01</v>
          </cell>
          <cell r="Q1253" t="str">
            <v>EST CADEIRA GIORNATTA OFFICE (AJUST) (MTZ CONHAQUE) TC B2220</v>
          </cell>
          <cell r="R1253"/>
          <cell r="S1253"/>
          <cell r="T1253">
            <v>0.67</v>
          </cell>
          <cell r="U1253">
            <v>0.66</v>
          </cell>
          <cell r="V1253">
            <v>0.8</v>
          </cell>
          <cell r="W1253">
            <v>0</v>
          </cell>
          <cell r="X1253" t="str">
            <v>EST CADEIRA GIORNATTA OFFICE (AJUST) (MTZ CONHAQUE) TC B2220 - 0,67x0,66x0,8H</v>
          </cell>
          <cell r="Y1253">
            <v>8977.2900000000009</v>
          </cell>
          <cell r="Z1253">
            <v>0.35</v>
          </cell>
          <cell r="AA1253">
            <v>5835.2385000000013</v>
          </cell>
          <cell r="AB1253"/>
        </row>
        <row r="1254">
          <cell r="C1254">
            <v>6</v>
          </cell>
          <cell r="D1254">
            <v>0</v>
          </cell>
          <cell r="E1254">
            <v>1</v>
          </cell>
          <cell r="F1254">
            <v>1</v>
          </cell>
          <cell r="H1254">
            <v>0</v>
          </cell>
          <cell r="O1254">
            <v>379642</v>
          </cell>
          <cell r="P1254" t="str">
            <v>2024/106-0009-01</v>
          </cell>
          <cell r="Q1254" t="str">
            <v>EST CADEIRA YASMIM (TELA NOGUEIRA) (AMENDOA) TC 1000 - 1272</v>
          </cell>
          <cell r="R1254"/>
          <cell r="S1254"/>
          <cell r="T1254">
            <v>0.49</v>
          </cell>
          <cell r="U1254">
            <v>0.6</v>
          </cell>
          <cell r="V1254">
            <v>0.84</v>
          </cell>
          <cell r="W1254">
            <v>0</v>
          </cell>
          <cell r="X1254" t="str">
            <v>EST CADEIRA YASMIM (TELA NOGUEIRA) (AMENDOA) TC 1000 - 1272 - 0,49x0,6x0,84H</v>
          </cell>
          <cell r="Y1254">
            <v>3592.69</v>
          </cell>
          <cell r="Z1254">
            <v>0.35</v>
          </cell>
          <cell r="AA1254">
            <v>2335.2485000000001</v>
          </cell>
          <cell r="AB1254"/>
        </row>
        <row r="1255">
          <cell r="C1255">
            <v>1</v>
          </cell>
          <cell r="D1255">
            <v>1</v>
          </cell>
          <cell r="E1255">
            <v>1</v>
          </cell>
          <cell r="F1255">
            <v>1</v>
          </cell>
          <cell r="H1255">
            <v>0</v>
          </cell>
          <cell r="O1255">
            <v>379914</v>
          </cell>
          <cell r="P1255" t="str">
            <v>2024/081-0054-01</v>
          </cell>
          <cell r="Q1255" t="str">
            <v>EST BANQUETA BAR YASMIM (TELA NOG) (AMENDOA) TC 2000 - 2335</v>
          </cell>
          <cell r="R1255"/>
          <cell r="S1255"/>
          <cell r="T1255">
            <v>0.45</v>
          </cell>
          <cell r="U1255">
            <v>0.52</v>
          </cell>
          <cell r="V1255">
            <v>0.95</v>
          </cell>
          <cell r="W1255">
            <v>0</v>
          </cell>
          <cell r="X1255" t="str">
            <v>EST BANQUETA BAR YASMIM (TELA NOG) (AMENDOA) TC 2000 - 2335 - 0,45x0,52x0,95H</v>
          </cell>
          <cell r="Y1255">
            <v>4738.72</v>
          </cell>
          <cell r="Z1255">
            <v>0.35</v>
          </cell>
          <cell r="AA1255">
            <v>3080.1680000000006</v>
          </cell>
          <cell r="AB1255"/>
        </row>
        <row r="1256">
          <cell r="C1256">
            <v>0</v>
          </cell>
          <cell r="D1256">
            <v>0</v>
          </cell>
          <cell r="E1256">
            <v>1</v>
          </cell>
          <cell r="F1256">
            <v>0</v>
          </cell>
          <cell r="H1256">
            <v>0</v>
          </cell>
          <cell r="O1256">
            <v>387661</v>
          </cell>
          <cell r="P1256" t="str">
            <v>2024/206-0059-01</v>
          </cell>
          <cell r="Q1256" t="str">
            <v>EST CADEIRA BLANCA (CASTANHO) TC 3000 - 3336</v>
          </cell>
          <cell r="R1256"/>
          <cell r="S1256"/>
          <cell r="T1256">
            <v>0.54</v>
          </cell>
          <cell r="U1256">
            <v>0.56000000000000005</v>
          </cell>
          <cell r="V1256">
            <v>0.79</v>
          </cell>
          <cell r="W1256">
            <v>0</v>
          </cell>
          <cell r="X1256" t="str">
            <v>EST CADEIRA BLANCA (CASTANHO) TC 3000 - 3336 - 0,54x0,56x0,79H</v>
          </cell>
          <cell r="Y1256">
            <v>3460.76</v>
          </cell>
          <cell r="Z1256">
            <v>0.35</v>
          </cell>
          <cell r="AA1256">
            <v>2249.4940000000001</v>
          </cell>
          <cell r="AB1256"/>
        </row>
        <row r="1257">
          <cell r="C1257">
            <v>0</v>
          </cell>
          <cell r="D1257">
            <v>0</v>
          </cell>
          <cell r="E1257">
            <v>2</v>
          </cell>
          <cell r="F1257">
            <v>0</v>
          </cell>
          <cell r="H1257">
            <v>0</v>
          </cell>
          <cell r="O1257">
            <v>387664</v>
          </cell>
          <cell r="P1257" t="str">
            <v>2024/206-0077-01</v>
          </cell>
          <cell r="Q1257" t="str">
            <v>EST POLTRONA BLANCA (NOGAL) TC 2000- 2337</v>
          </cell>
          <cell r="R1257"/>
          <cell r="S1257"/>
          <cell r="T1257">
            <v>0.7</v>
          </cell>
          <cell r="U1257">
            <v>0.66</v>
          </cell>
          <cell r="V1257">
            <v>0.79</v>
          </cell>
          <cell r="W1257">
            <v>0</v>
          </cell>
          <cell r="X1257" t="str">
            <v>EST POLTRONA BLANCA (NOGAL) TC 2000- 2337 - 0,7x0,66x0,79H</v>
          </cell>
          <cell r="Y1257">
            <v>12267.23</v>
          </cell>
          <cell r="Z1257">
            <v>0.35</v>
          </cell>
          <cell r="AA1257">
            <v>7973.6994999999997</v>
          </cell>
          <cell r="AB1257"/>
        </row>
        <row r="1258">
          <cell r="C1258">
            <v>0</v>
          </cell>
          <cell r="D1258">
            <v>0</v>
          </cell>
          <cell r="E1258">
            <v>2</v>
          </cell>
          <cell r="F1258">
            <v>0</v>
          </cell>
          <cell r="H1258">
            <v>0</v>
          </cell>
          <cell r="O1258">
            <v>387664</v>
          </cell>
          <cell r="P1258" t="str">
            <v>2024/206-0078-01</v>
          </cell>
          <cell r="Q1258" t="str">
            <v>EST POLTRONA BLANCA (NOGAL) TC 2000- 2337</v>
          </cell>
          <cell r="R1258"/>
          <cell r="S1258"/>
          <cell r="T1258">
            <v>0.7</v>
          </cell>
          <cell r="U1258">
            <v>0.66</v>
          </cell>
          <cell r="V1258">
            <v>0.79</v>
          </cell>
          <cell r="W1258">
            <v>0</v>
          </cell>
          <cell r="X1258" t="str">
            <v>EST POLTRONA BLANCA (NOGAL) TC 2000- 2337 - 0,7x0,66x0,79H</v>
          </cell>
          <cell r="Y1258">
            <v>12267.23</v>
          </cell>
          <cell r="Z1258">
            <v>0.35</v>
          </cell>
          <cell r="AA1258">
            <v>7973.6994999999997</v>
          </cell>
          <cell r="AB1258"/>
        </row>
        <row r="1259">
          <cell r="C1259">
            <v>6</v>
          </cell>
          <cell r="D1259">
            <v>0</v>
          </cell>
          <cell r="E1259">
            <v>1</v>
          </cell>
          <cell r="F1259">
            <v>1</v>
          </cell>
          <cell r="H1259">
            <v>0</v>
          </cell>
          <cell r="O1259">
            <v>379642</v>
          </cell>
          <cell r="P1259" t="str">
            <v>2024/106-0010-01</v>
          </cell>
          <cell r="Q1259" t="str">
            <v>EST CADEIRA YASMIM (TELA NOGUEIRA) (AMENDOA) TC 1000 - 1272</v>
          </cell>
          <cell r="R1259"/>
          <cell r="S1259"/>
          <cell r="T1259">
            <v>0.49</v>
          </cell>
          <cell r="U1259">
            <v>0.6</v>
          </cell>
          <cell r="V1259">
            <v>0.84</v>
          </cell>
          <cell r="W1259">
            <v>0</v>
          </cell>
          <cell r="X1259" t="str">
            <v>EST CADEIRA YASMIM (TELA NOGUEIRA) (AMENDOA) TC 1000 - 1272 - 0,49x0,6x0,84H</v>
          </cell>
          <cell r="Y1259">
            <v>3592.69</v>
          </cell>
          <cell r="Z1259">
            <v>0.35</v>
          </cell>
          <cell r="AA1259">
            <v>2335.2485000000001</v>
          </cell>
          <cell r="AB1259"/>
        </row>
        <row r="1260">
          <cell r="C1260">
            <v>0</v>
          </cell>
          <cell r="D1260">
            <v>1</v>
          </cell>
          <cell r="E1260">
            <v>0</v>
          </cell>
          <cell r="F1260">
            <v>0</v>
          </cell>
          <cell r="H1260">
            <v>1</v>
          </cell>
          <cell r="O1260">
            <v>379641</v>
          </cell>
          <cell r="P1260" t="str">
            <v>2024/106-0008-01</v>
          </cell>
          <cell r="Q1260" t="str">
            <v>EST CADEIRA YASMIM (ESTOFADO) (NOGUEIRA) TC 2000 - 2337</v>
          </cell>
          <cell r="R1260"/>
          <cell r="S1260"/>
          <cell r="T1260">
            <v>0.49</v>
          </cell>
          <cell r="U1260">
            <v>0.6</v>
          </cell>
          <cell r="V1260">
            <v>0.84</v>
          </cell>
          <cell r="W1260">
            <v>0</v>
          </cell>
          <cell r="X1260" t="str">
            <v>EST CADEIRA YASMIM (ESTOFADO) (NOGUEIRA) TC 2000 - 2337 - 0,49x0,6x0,84H</v>
          </cell>
          <cell r="Y1260">
            <v>3185.55</v>
          </cell>
          <cell r="Z1260">
            <v>0.35</v>
          </cell>
          <cell r="AA1260">
            <v>2070.6075000000001</v>
          </cell>
          <cell r="AB1260"/>
        </row>
        <row r="1261">
          <cell r="C1261">
            <v>1</v>
          </cell>
          <cell r="D1261">
            <v>1</v>
          </cell>
          <cell r="E1261">
            <v>1</v>
          </cell>
          <cell r="F1261">
            <v>1</v>
          </cell>
          <cell r="H1261">
            <v>0</v>
          </cell>
          <cell r="O1261">
            <v>379914</v>
          </cell>
          <cell r="P1261" t="str">
            <v>2024/081-0053-01</v>
          </cell>
          <cell r="Q1261" t="str">
            <v>EST BANQUETA BAR YASMIM (TELA NOG) (AMENDOA) TC 2000 - 2335</v>
          </cell>
          <cell r="R1261"/>
          <cell r="S1261"/>
          <cell r="T1261">
            <v>0.45</v>
          </cell>
          <cell r="U1261">
            <v>0.52</v>
          </cell>
          <cell r="V1261">
            <v>0.95</v>
          </cell>
          <cell r="W1261">
            <v>0</v>
          </cell>
          <cell r="X1261" t="str">
            <v>EST BANQUETA BAR YASMIM (TELA NOG) (AMENDOA) TC 2000 - 2335 - 0,45x0,52x0,95H</v>
          </cell>
          <cell r="Y1261">
            <v>4738.72</v>
          </cell>
          <cell r="Z1261">
            <v>0.35</v>
          </cell>
          <cell r="AA1261">
            <v>3080.1680000000006</v>
          </cell>
          <cell r="AB1261"/>
        </row>
        <row r="1262">
          <cell r="C1262">
            <v>0</v>
          </cell>
          <cell r="D1262">
            <v>2</v>
          </cell>
          <cell r="E1262">
            <v>0</v>
          </cell>
          <cell r="F1262">
            <v>0</v>
          </cell>
          <cell r="H1262">
            <v>0</v>
          </cell>
          <cell r="O1262">
            <v>387673</v>
          </cell>
          <cell r="P1262" t="str">
            <v>2024/206-0083-01</v>
          </cell>
          <cell r="Q1262" t="str">
            <v>EST POLTRONA BLANCA (AMENDOA) TC 3000- 3336</v>
          </cell>
          <cell r="R1262"/>
          <cell r="S1262"/>
          <cell r="T1262">
            <v>0.7</v>
          </cell>
          <cell r="U1262">
            <v>0.66</v>
          </cell>
          <cell r="V1262">
            <v>0.79</v>
          </cell>
          <cell r="W1262">
            <v>0</v>
          </cell>
          <cell r="X1262" t="str">
            <v>EST POLTRONA BLANCA (AMENDOA) TC 3000- 3336 - 0,7x0,66x0,79H</v>
          </cell>
          <cell r="Y1262">
            <v>11916.62</v>
          </cell>
          <cell r="Z1262">
            <v>0.35</v>
          </cell>
          <cell r="AA1262">
            <v>7745.8030000000008</v>
          </cell>
          <cell r="AB1262"/>
        </row>
        <row r="1263">
          <cell r="C1263">
            <v>0</v>
          </cell>
          <cell r="D1263">
            <v>2</v>
          </cell>
          <cell r="E1263">
            <v>0</v>
          </cell>
          <cell r="F1263">
            <v>0</v>
          </cell>
          <cell r="H1263">
            <v>0</v>
          </cell>
          <cell r="O1263">
            <v>387673</v>
          </cell>
          <cell r="P1263" t="str">
            <v>2024/206-0084-01</v>
          </cell>
          <cell r="Q1263" t="str">
            <v>EST POLTRONA BLANCA (AMENDOA) TC 3000- 3336</v>
          </cell>
          <cell r="R1263"/>
          <cell r="S1263"/>
          <cell r="T1263">
            <v>0.7</v>
          </cell>
          <cell r="U1263">
            <v>0.66</v>
          </cell>
          <cell r="V1263">
            <v>0.79</v>
          </cell>
          <cell r="W1263">
            <v>0</v>
          </cell>
          <cell r="X1263" t="str">
            <v>EST POLTRONA BLANCA (AMENDOA) TC 3000- 3336 - 0,7x0,66x0,79H</v>
          </cell>
          <cell r="Y1263">
            <v>11916.62</v>
          </cell>
          <cell r="Z1263">
            <v>0.35</v>
          </cell>
          <cell r="AA1263">
            <v>7745.8030000000008</v>
          </cell>
          <cell r="AB1263"/>
        </row>
        <row r="1264">
          <cell r="C1264">
            <v>0</v>
          </cell>
          <cell r="D1264">
            <v>2</v>
          </cell>
          <cell r="E1264">
            <v>0</v>
          </cell>
          <cell r="F1264">
            <v>0</v>
          </cell>
          <cell r="H1264">
            <v>0</v>
          </cell>
          <cell r="O1264">
            <v>387675</v>
          </cell>
          <cell r="P1264" t="str">
            <v>2024/206-0087-01</v>
          </cell>
          <cell r="Q1264" t="str">
            <v>EST POLTRONA ANGELINA (CASTANHO) TC 1000- 1380</v>
          </cell>
          <cell r="R1264"/>
          <cell r="S1264"/>
          <cell r="T1264">
            <v>0.79</v>
          </cell>
          <cell r="U1264">
            <v>0.57999999999999996</v>
          </cell>
          <cell r="V1264">
            <v>0.79</v>
          </cell>
          <cell r="W1264">
            <v>0</v>
          </cell>
          <cell r="X1264" t="str">
            <v>EST POLTRONA ANGELINA (CASTANHO) TC 1000- 1380 - 0,79x0,58x0,79H</v>
          </cell>
          <cell r="Y1264">
            <v>14842.02</v>
          </cell>
          <cell r="Z1264">
            <v>0.35</v>
          </cell>
          <cell r="AA1264">
            <v>9647.3130000000019</v>
          </cell>
          <cell r="AB1264"/>
        </row>
        <row r="1265">
          <cell r="C1265">
            <v>0</v>
          </cell>
          <cell r="D1265">
            <v>2</v>
          </cell>
          <cell r="E1265">
            <v>0</v>
          </cell>
          <cell r="F1265">
            <v>0</v>
          </cell>
          <cell r="H1265">
            <v>0</v>
          </cell>
          <cell r="O1265">
            <v>387675</v>
          </cell>
          <cell r="P1265" t="str">
            <v>2024/206-0088-01</v>
          </cell>
          <cell r="Q1265" t="str">
            <v>EST POLTRONA ANGELINA (CASTANHO) TC 1000- 1380</v>
          </cell>
          <cell r="R1265"/>
          <cell r="S1265"/>
          <cell r="T1265">
            <v>0.79</v>
          </cell>
          <cell r="U1265">
            <v>0.57999999999999996</v>
          </cell>
          <cell r="V1265">
            <v>0.79</v>
          </cell>
          <cell r="W1265">
            <v>0</v>
          </cell>
          <cell r="X1265" t="str">
            <v>EST POLTRONA ANGELINA (CASTANHO) TC 1000- 1380 - 0,79x0,58x0,79H</v>
          </cell>
          <cell r="Y1265">
            <v>14842.02</v>
          </cell>
          <cell r="Z1265">
            <v>0.35</v>
          </cell>
          <cell r="AA1265">
            <v>9647.3130000000019</v>
          </cell>
          <cell r="AB1265"/>
        </row>
        <row r="1266">
          <cell r="C1266">
            <v>0</v>
          </cell>
          <cell r="D1266">
            <v>1</v>
          </cell>
          <cell r="E1266">
            <v>0</v>
          </cell>
          <cell r="F1266">
            <v>0</v>
          </cell>
          <cell r="H1266">
            <v>0</v>
          </cell>
          <cell r="O1266">
            <v>387681</v>
          </cell>
          <cell r="P1266" t="str">
            <v>2024/194-0005-01</v>
          </cell>
          <cell r="Q1266" t="str">
            <v>EST BANCO ORNI (TC 1380) (COURO C5312) CASTANHO</v>
          </cell>
          <cell r="R1266"/>
          <cell r="S1266"/>
          <cell r="T1266">
            <v>2</v>
          </cell>
          <cell r="U1266">
            <v>0.45</v>
          </cell>
          <cell r="V1266">
            <v>0.45</v>
          </cell>
          <cell r="W1266">
            <v>0</v>
          </cell>
          <cell r="X1266" t="str">
            <v>EST BANCO ORNI (TC 1380) (COURO C5312) CASTANHO - 2x0,45x0,45H</v>
          </cell>
          <cell r="Y1266">
            <v>9684.86</v>
          </cell>
          <cell r="Z1266">
            <v>0.35</v>
          </cell>
          <cell r="AA1266">
            <v>6295.1590000000006</v>
          </cell>
          <cell r="AB1266"/>
        </row>
        <row r="1267">
          <cell r="C1267">
            <v>6</v>
          </cell>
          <cell r="D1267">
            <v>0</v>
          </cell>
          <cell r="E1267">
            <v>1</v>
          </cell>
          <cell r="F1267">
            <v>1</v>
          </cell>
          <cell r="H1267">
            <v>0</v>
          </cell>
          <cell r="O1267">
            <v>379642</v>
          </cell>
          <cell r="P1267" t="str">
            <v>2024/106-0011-01</v>
          </cell>
          <cell r="Q1267" t="str">
            <v>EST CADEIRA YASMIM (TELA NOGUEIRA) (AMENDOA) TC 1000 - 1272</v>
          </cell>
          <cell r="R1267"/>
          <cell r="S1267"/>
          <cell r="T1267">
            <v>0.49</v>
          </cell>
          <cell r="U1267">
            <v>0.6</v>
          </cell>
          <cell r="V1267">
            <v>0.84</v>
          </cell>
          <cell r="W1267">
            <v>0</v>
          </cell>
          <cell r="X1267" t="str">
            <v>EST CADEIRA YASMIM (TELA NOGUEIRA) (AMENDOA) TC 1000 - 1272 - 0,49x0,6x0,84H</v>
          </cell>
          <cell r="Y1267">
            <v>3592.69</v>
          </cell>
          <cell r="Z1267">
            <v>0.35</v>
          </cell>
          <cell r="AA1267">
            <v>2335.2485000000001</v>
          </cell>
          <cell r="AB1267"/>
        </row>
        <row r="1268">
          <cell r="C1268">
            <v>6</v>
          </cell>
          <cell r="D1268">
            <v>0</v>
          </cell>
          <cell r="E1268">
            <v>1</v>
          </cell>
          <cell r="F1268">
            <v>1</v>
          </cell>
          <cell r="H1268">
            <v>0</v>
          </cell>
          <cell r="O1268">
            <v>379642</v>
          </cell>
          <cell r="P1268" t="str">
            <v>2024/106-0012-01</v>
          </cell>
          <cell r="Q1268" t="str">
            <v>EST CADEIRA YASMIM (TELA NOGUEIRA) (AMENDOA) TC 1000 - 1272</v>
          </cell>
          <cell r="R1268"/>
          <cell r="S1268"/>
          <cell r="T1268">
            <v>0.49</v>
          </cell>
          <cell r="U1268">
            <v>0.6</v>
          </cell>
          <cell r="V1268">
            <v>0.84</v>
          </cell>
          <cell r="W1268">
            <v>0</v>
          </cell>
          <cell r="X1268" t="str">
            <v>EST CADEIRA YASMIM (TELA NOGUEIRA) (AMENDOA) TC 1000 - 1272 - 0,49x0,6x0,84H</v>
          </cell>
          <cell r="Y1268">
            <v>3592.69</v>
          </cell>
          <cell r="Z1268">
            <v>0.35</v>
          </cell>
          <cell r="AA1268">
            <v>2335.2485000000001</v>
          </cell>
          <cell r="AB1268"/>
        </row>
        <row r="1269">
          <cell r="C1269">
            <v>6</v>
          </cell>
          <cell r="D1269">
            <v>0</v>
          </cell>
          <cell r="E1269">
            <v>1</v>
          </cell>
          <cell r="F1269">
            <v>1</v>
          </cell>
          <cell r="H1269">
            <v>0</v>
          </cell>
          <cell r="O1269">
            <v>379642</v>
          </cell>
          <cell r="P1269" t="str">
            <v>2024/106-0013-01</v>
          </cell>
          <cell r="Q1269" t="str">
            <v>EST CADEIRA YASMIM (TELA NOGUEIRA) (AMENDOA) TC 1000 - 1272</v>
          </cell>
          <cell r="R1269"/>
          <cell r="S1269"/>
          <cell r="T1269">
            <v>0.49</v>
          </cell>
          <cell r="U1269">
            <v>0.6</v>
          </cell>
          <cell r="V1269">
            <v>0.84</v>
          </cell>
          <cell r="W1269">
            <v>0</v>
          </cell>
          <cell r="X1269" t="str">
            <v>EST CADEIRA YASMIM (TELA NOGUEIRA) (AMENDOA) TC 1000 - 1272 - 0,49x0,6x0,84H</v>
          </cell>
          <cell r="Y1269">
            <v>3592.69</v>
          </cell>
          <cell r="Z1269">
            <v>0.35</v>
          </cell>
          <cell r="AA1269">
            <v>2335.2485000000001</v>
          </cell>
          <cell r="AB1269"/>
        </row>
        <row r="1270">
          <cell r="C1270">
            <v>6</v>
          </cell>
          <cell r="D1270">
            <v>0</v>
          </cell>
          <cell r="E1270">
            <v>1</v>
          </cell>
          <cell r="F1270">
            <v>1</v>
          </cell>
          <cell r="H1270">
            <v>0</v>
          </cell>
          <cell r="O1270">
            <v>379642</v>
          </cell>
          <cell r="P1270" t="str">
            <v>2024/106-0014-01</v>
          </cell>
          <cell r="Q1270" t="str">
            <v>EST CADEIRA YASMIM (TELA NOGUEIRA) (AMENDOA) TC 1000 - 1272</v>
          </cell>
          <cell r="R1270"/>
          <cell r="S1270"/>
          <cell r="T1270">
            <v>0.49</v>
          </cell>
          <cell r="U1270">
            <v>0.6</v>
          </cell>
          <cell r="V1270">
            <v>0.84</v>
          </cell>
          <cell r="W1270">
            <v>0</v>
          </cell>
          <cell r="X1270" t="str">
            <v>EST CADEIRA YASMIM (TELA NOGUEIRA) (AMENDOA) TC 1000 - 1272 - 0,49x0,6x0,84H</v>
          </cell>
          <cell r="Y1270">
            <v>3592.69</v>
          </cell>
          <cell r="Z1270">
            <v>0.35</v>
          </cell>
          <cell r="AA1270">
            <v>2335.2485000000001</v>
          </cell>
          <cell r="AB1270"/>
        </row>
        <row r="1271">
          <cell r="C1271">
            <v>6</v>
          </cell>
          <cell r="D1271">
            <v>0</v>
          </cell>
          <cell r="E1271">
            <v>1</v>
          </cell>
          <cell r="F1271">
            <v>1</v>
          </cell>
          <cell r="H1271">
            <v>0</v>
          </cell>
          <cell r="O1271">
            <v>379642</v>
          </cell>
          <cell r="P1271" t="str">
            <v>2024/106-0015-01</v>
          </cell>
          <cell r="Q1271" t="str">
            <v>EST CADEIRA YASMIM (TELA NOGUEIRA) (AMENDOA) TC 1000 - 1272</v>
          </cell>
          <cell r="R1271"/>
          <cell r="S1271"/>
          <cell r="T1271">
            <v>0.49</v>
          </cell>
          <cell r="U1271">
            <v>0.6</v>
          </cell>
          <cell r="V1271">
            <v>0.84</v>
          </cell>
          <cell r="W1271">
            <v>0</v>
          </cell>
          <cell r="X1271" t="str">
            <v>EST CADEIRA YASMIM (TELA NOGUEIRA) (AMENDOA) TC 1000 - 1272 - 0,49x0,6x0,84H</v>
          </cell>
          <cell r="Y1271">
            <v>3592.69</v>
          </cell>
          <cell r="Z1271">
            <v>0.35</v>
          </cell>
          <cell r="AA1271">
            <v>2335.2485000000001</v>
          </cell>
          <cell r="AB1271"/>
        </row>
        <row r="1272">
          <cell r="C1272">
            <v>6</v>
          </cell>
          <cell r="D1272">
            <v>0</v>
          </cell>
          <cell r="E1272">
            <v>1</v>
          </cell>
          <cell r="F1272">
            <v>1</v>
          </cell>
          <cell r="H1272">
            <v>0</v>
          </cell>
          <cell r="O1272">
            <v>379642</v>
          </cell>
          <cell r="P1272" t="str">
            <v>2024/106-0016-01</v>
          </cell>
          <cell r="Q1272" t="str">
            <v>EST CADEIRA YASMIM (TELA NOGUEIRA) (AMENDOA) TC 1000 - 1272</v>
          </cell>
          <cell r="R1272"/>
          <cell r="S1272"/>
          <cell r="T1272">
            <v>0.49</v>
          </cell>
          <cell r="U1272">
            <v>0.6</v>
          </cell>
          <cell r="V1272">
            <v>0.84</v>
          </cell>
          <cell r="W1272">
            <v>0</v>
          </cell>
          <cell r="X1272" t="str">
            <v>EST CADEIRA YASMIM (TELA NOGUEIRA) (AMENDOA) TC 1000 - 1272 - 0,49x0,6x0,84H</v>
          </cell>
          <cell r="Y1272">
            <v>3592.69</v>
          </cell>
          <cell r="Z1272">
            <v>0.35</v>
          </cell>
          <cell r="AA1272">
            <v>2335.2485000000001</v>
          </cell>
          <cell r="AB1272"/>
        </row>
        <row r="1273">
          <cell r="C1273">
            <v>2</v>
          </cell>
          <cell r="D1273">
            <v>0</v>
          </cell>
          <cell r="E1273">
            <v>0</v>
          </cell>
          <cell r="F1273">
            <v>0</v>
          </cell>
          <cell r="H1273">
            <v>0</v>
          </cell>
          <cell r="O1273">
            <v>379643</v>
          </cell>
          <cell r="P1273" t="str">
            <v>2024/106-0017-01</v>
          </cell>
          <cell r="Q1273" t="str">
            <v>EST CADEIRA YASMIM (ESTOFADO) (AMENDOA) TC 1000 - 1272</v>
          </cell>
          <cell r="R1273"/>
          <cell r="S1273"/>
          <cell r="T1273">
            <v>0.49</v>
          </cell>
          <cell r="U1273">
            <v>0.6</v>
          </cell>
          <cell r="V1273">
            <v>0.84</v>
          </cell>
          <cell r="W1273">
            <v>0</v>
          </cell>
          <cell r="X1273" t="str">
            <v>EST CADEIRA YASMIM (ESTOFADO) (AMENDOA) TC 1000 - 1272 - 0,49x0,6x0,84H</v>
          </cell>
          <cell r="Y1273">
            <v>3264.71</v>
          </cell>
          <cell r="Z1273">
            <v>0.35</v>
          </cell>
          <cell r="AA1273">
            <v>2122.0614999999998</v>
          </cell>
          <cell r="AB1273"/>
        </row>
        <row r="1274">
          <cell r="C1274">
            <v>2</v>
          </cell>
          <cell r="D1274">
            <v>0</v>
          </cell>
          <cell r="E1274">
            <v>0</v>
          </cell>
          <cell r="F1274">
            <v>0</v>
          </cell>
          <cell r="H1274">
            <v>0</v>
          </cell>
          <cell r="O1274">
            <v>379643</v>
          </cell>
          <cell r="P1274" t="str">
            <v>2024/106-0018-01</v>
          </cell>
          <cell r="Q1274" t="str">
            <v>EST CADEIRA YASMIM (ESTOFADO) (AMENDOA) TC 1000 - 1272</v>
          </cell>
          <cell r="R1274"/>
          <cell r="S1274"/>
          <cell r="T1274">
            <v>0.49</v>
          </cell>
          <cell r="U1274">
            <v>0.6</v>
          </cell>
          <cell r="V1274">
            <v>0.84</v>
          </cell>
          <cell r="W1274">
            <v>0</v>
          </cell>
          <cell r="X1274" t="str">
            <v>EST CADEIRA YASMIM (ESTOFADO) (AMENDOA) TC 1000 - 1272 - 0,49x0,6x0,84H</v>
          </cell>
          <cell r="Y1274">
            <v>3264.71</v>
          </cell>
          <cell r="Z1274">
            <v>0.35</v>
          </cell>
          <cell r="AA1274">
            <v>2122.0614999999998</v>
          </cell>
          <cell r="AB1274"/>
        </row>
        <row r="1275">
          <cell r="C1275">
            <v>1</v>
          </cell>
          <cell r="D1275">
            <v>1</v>
          </cell>
          <cell r="E1275">
            <v>1</v>
          </cell>
          <cell r="F1275">
            <v>1</v>
          </cell>
          <cell r="H1275">
            <v>0</v>
          </cell>
          <cell r="O1275">
            <v>379914</v>
          </cell>
          <cell r="P1275" t="str">
            <v>2024/081-0051-01</v>
          </cell>
          <cell r="Q1275" t="str">
            <v>EST BANQUETA BAR YASMIM (TELA NOG) (AMENDOA) TC 2000 - 2335</v>
          </cell>
          <cell r="R1275"/>
          <cell r="S1275"/>
          <cell r="T1275">
            <v>0.45</v>
          </cell>
          <cell r="U1275">
            <v>0.52</v>
          </cell>
          <cell r="V1275">
            <v>0.95</v>
          </cell>
          <cell r="W1275">
            <v>0</v>
          </cell>
          <cell r="X1275" t="str">
            <v>EST BANQUETA BAR YASMIM (TELA NOG) (AMENDOA) TC 2000 - 2335 - 0,45x0,52x0,95H</v>
          </cell>
          <cell r="Y1275">
            <v>4738.72</v>
          </cell>
          <cell r="Z1275">
            <v>0.35</v>
          </cell>
          <cell r="AA1275">
            <v>3080.1680000000006</v>
          </cell>
          <cell r="AB1275"/>
        </row>
        <row r="1276">
          <cell r="C1276">
            <v>6</v>
          </cell>
          <cell r="D1276">
            <v>0</v>
          </cell>
          <cell r="E1276">
            <v>0</v>
          </cell>
          <cell r="F1276">
            <v>0</v>
          </cell>
          <cell r="H1276">
            <v>2</v>
          </cell>
          <cell r="O1276">
            <v>386525</v>
          </cell>
          <cell r="P1276" t="str">
            <v>2024/159-0025-01</v>
          </cell>
          <cell r="Q1276" t="str">
            <v>EST CADEIRA JUSSARA (CASTANHO) TC 2000 - 2337</v>
          </cell>
          <cell r="R1276"/>
          <cell r="S1276"/>
          <cell r="T1276">
            <v>0.48</v>
          </cell>
          <cell r="U1276">
            <v>0.6</v>
          </cell>
          <cell r="V1276">
            <v>0.89</v>
          </cell>
          <cell r="W1276">
            <v>0</v>
          </cell>
          <cell r="X1276" t="str">
            <v>EST CADEIRA JUSSARA (CASTANHO) TC 2000 - 2337 - 0,48x0,6x0,89H</v>
          </cell>
          <cell r="Y1276">
            <v>3837.75</v>
          </cell>
          <cell r="Z1276">
            <v>0.35</v>
          </cell>
          <cell r="AA1276">
            <v>2494.5375000000004</v>
          </cell>
          <cell r="AB1276"/>
        </row>
        <row r="1277">
          <cell r="C1277">
            <v>6</v>
          </cell>
          <cell r="D1277">
            <v>0</v>
          </cell>
          <cell r="E1277">
            <v>0</v>
          </cell>
          <cell r="F1277">
            <v>0</v>
          </cell>
          <cell r="H1277">
            <v>2</v>
          </cell>
          <cell r="O1277">
            <v>386525</v>
          </cell>
          <cell r="P1277" t="str">
            <v>2024/159-0026-01</v>
          </cell>
          <cell r="Q1277" t="str">
            <v>EST CADEIRA JUSSARA (CASTANHO) TC 2000 - 2337</v>
          </cell>
          <cell r="R1277"/>
          <cell r="S1277"/>
          <cell r="T1277">
            <v>0.48</v>
          </cell>
          <cell r="U1277">
            <v>0.6</v>
          </cell>
          <cell r="V1277">
            <v>0.89</v>
          </cell>
          <cell r="W1277">
            <v>0</v>
          </cell>
          <cell r="X1277" t="str">
            <v>EST CADEIRA JUSSARA (CASTANHO) TC 2000 - 2337 - 0,48x0,6x0,89H</v>
          </cell>
          <cell r="Y1277">
            <v>3837.75</v>
          </cell>
          <cell r="Z1277">
            <v>0.35</v>
          </cell>
          <cell r="AA1277">
            <v>2494.5375000000004</v>
          </cell>
          <cell r="AB1277"/>
        </row>
        <row r="1278">
          <cell r="C1278">
            <v>6</v>
          </cell>
          <cell r="D1278">
            <v>0</v>
          </cell>
          <cell r="E1278">
            <v>0</v>
          </cell>
          <cell r="F1278">
            <v>0</v>
          </cell>
          <cell r="H1278">
            <v>2</v>
          </cell>
          <cell r="O1278">
            <v>386525</v>
          </cell>
          <cell r="P1278" t="str">
            <v>2024/159-0027-01</v>
          </cell>
          <cell r="Q1278" t="str">
            <v>EST CADEIRA JUSSARA (CASTANHO) TC 2000 - 2337</v>
          </cell>
          <cell r="R1278"/>
          <cell r="S1278"/>
          <cell r="T1278">
            <v>0.48</v>
          </cell>
          <cell r="U1278">
            <v>0.6</v>
          </cell>
          <cell r="V1278">
            <v>0.89</v>
          </cell>
          <cell r="W1278">
            <v>0</v>
          </cell>
          <cell r="X1278" t="str">
            <v>EST CADEIRA JUSSARA (CASTANHO) TC 2000 - 2337 - 0,48x0,6x0,89H</v>
          </cell>
          <cell r="Y1278">
            <v>3837.75</v>
          </cell>
          <cell r="Z1278">
            <v>0.35</v>
          </cell>
          <cell r="AA1278">
            <v>2494.5375000000004</v>
          </cell>
          <cell r="AB1278"/>
        </row>
        <row r="1279">
          <cell r="C1279">
            <v>6</v>
          </cell>
          <cell r="D1279">
            <v>0</v>
          </cell>
          <cell r="E1279">
            <v>0</v>
          </cell>
          <cell r="F1279">
            <v>0</v>
          </cell>
          <cell r="H1279">
            <v>2</v>
          </cell>
          <cell r="O1279">
            <v>386525</v>
          </cell>
          <cell r="P1279" t="str">
            <v>2024/159-0028-01</v>
          </cell>
          <cell r="Q1279" t="str">
            <v>EST CADEIRA JUSSARA (CASTANHO) TC 2000 - 2337</v>
          </cell>
          <cell r="R1279"/>
          <cell r="S1279"/>
          <cell r="T1279">
            <v>0.48</v>
          </cell>
          <cell r="U1279">
            <v>0.6</v>
          </cell>
          <cell r="V1279">
            <v>0.89</v>
          </cell>
          <cell r="W1279">
            <v>0</v>
          </cell>
          <cell r="X1279" t="str">
            <v>EST CADEIRA JUSSARA (CASTANHO) TC 2000 - 2337 - 0,48x0,6x0,89H</v>
          </cell>
          <cell r="Y1279">
            <v>3837.75</v>
          </cell>
          <cell r="Z1279">
            <v>0.35</v>
          </cell>
          <cell r="AA1279">
            <v>2494.5375000000004</v>
          </cell>
          <cell r="AB1279"/>
        </row>
        <row r="1280">
          <cell r="C1280">
            <v>6</v>
          </cell>
          <cell r="D1280">
            <v>0</v>
          </cell>
          <cell r="E1280">
            <v>0</v>
          </cell>
          <cell r="F1280">
            <v>0</v>
          </cell>
          <cell r="H1280">
            <v>2</v>
          </cell>
          <cell r="O1280">
            <v>386525</v>
          </cell>
          <cell r="P1280" t="str">
            <v>2024/159-0029-01</v>
          </cell>
          <cell r="Q1280" t="str">
            <v>EST CADEIRA JUSSARA (CASTANHO) TC 2000 - 2337</v>
          </cell>
          <cell r="R1280"/>
          <cell r="S1280"/>
          <cell r="T1280">
            <v>0.48</v>
          </cell>
          <cell r="U1280">
            <v>0.6</v>
          </cell>
          <cell r="V1280">
            <v>0.89</v>
          </cell>
          <cell r="W1280">
            <v>0</v>
          </cell>
          <cell r="X1280" t="str">
            <v>EST CADEIRA JUSSARA (CASTANHO) TC 2000 - 2337 - 0,48x0,6x0,89H</v>
          </cell>
          <cell r="Y1280">
            <v>3837.75</v>
          </cell>
          <cell r="Z1280">
            <v>0.35</v>
          </cell>
          <cell r="AA1280">
            <v>2494.5375000000004</v>
          </cell>
          <cell r="AB1280"/>
        </row>
        <row r="1281">
          <cell r="C1281">
            <v>6</v>
          </cell>
          <cell r="D1281">
            <v>0</v>
          </cell>
          <cell r="E1281">
            <v>0</v>
          </cell>
          <cell r="F1281">
            <v>0</v>
          </cell>
          <cell r="H1281">
            <v>2</v>
          </cell>
          <cell r="O1281">
            <v>386525</v>
          </cell>
          <cell r="P1281" t="str">
            <v>2024/159-0030-01</v>
          </cell>
          <cell r="Q1281" t="str">
            <v>EST CADEIRA JUSSARA (CASTANHO) TC 2000 - 2337</v>
          </cell>
          <cell r="R1281"/>
          <cell r="S1281"/>
          <cell r="T1281">
            <v>0.48</v>
          </cell>
          <cell r="U1281">
            <v>0.6</v>
          </cell>
          <cell r="V1281">
            <v>0.89</v>
          </cell>
          <cell r="W1281">
            <v>0</v>
          </cell>
          <cell r="X1281" t="str">
            <v>EST CADEIRA JUSSARA (CASTANHO) TC 2000 - 2337 - 0,48x0,6x0,89H</v>
          </cell>
          <cell r="Y1281">
            <v>3837.75</v>
          </cell>
          <cell r="Z1281">
            <v>0.35</v>
          </cell>
          <cell r="AA1281">
            <v>2494.5375000000004</v>
          </cell>
          <cell r="AB1281"/>
        </row>
        <row r="1282">
          <cell r="C1282">
            <v>8</v>
          </cell>
          <cell r="D1282">
            <v>0</v>
          </cell>
          <cell r="E1282">
            <v>0</v>
          </cell>
          <cell r="F1282">
            <v>0</v>
          </cell>
          <cell r="H1282">
            <v>0</v>
          </cell>
          <cell r="O1282">
            <v>387658</v>
          </cell>
          <cell r="P1282" t="str">
            <v>2024/206-0037-01</v>
          </cell>
          <cell r="Q1282" t="str">
            <v>EST CADEIRA MIRIAM (CASTANHO) TC PREMIUM P023</v>
          </cell>
          <cell r="R1282"/>
          <cell r="S1282"/>
          <cell r="T1282">
            <v>0.55000000000000004</v>
          </cell>
          <cell r="U1282">
            <v>0.51</v>
          </cell>
          <cell r="V1282">
            <v>0.78</v>
          </cell>
          <cell r="W1282">
            <v>0</v>
          </cell>
          <cell r="X1282" t="str">
            <v>EST CADEIRA MIRIAM (CASTANHO) TC PREMIUM P023 - 0,55x0,51x0,78H</v>
          </cell>
          <cell r="Y1282">
            <v>4474.8500000000004</v>
          </cell>
          <cell r="Z1282">
            <v>0.35</v>
          </cell>
          <cell r="AA1282">
            <v>2908.6525000000001</v>
          </cell>
          <cell r="AB1282"/>
        </row>
        <row r="1283">
          <cell r="C1283">
            <v>8</v>
          </cell>
          <cell r="D1283">
            <v>0</v>
          </cell>
          <cell r="E1283">
            <v>0</v>
          </cell>
          <cell r="F1283">
            <v>0</v>
          </cell>
          <cell r="H1283">
            <v>0</v>
          </cell>
          <cell r="O1283">
            <v>387658</v>
          </cell>
          <cell r="P1283" t="str">
            <v>2024/206-0038-01</v>
          </cell>
          <cell r="Q1283" t="str">
            <v>EST CADEIRA MIRIAM (CASTANHO) TC PREMIUM P023</v>
          </cell>
          <cell r="R1283"/>
          <cell r="S1283"/>
          <cell r="T1283">
            <v>0.55000000000000004</v>
          </cell>
          <cell r="U1283">
            <v>0.51</v>
          </cell>
          <cell r="V1283">
            <v>0.78</v>
          </cell>
          <cell r="W1283">
            <v>0</v>
          </cell>
          <cell r="X1283" t="str">
            <v>EST CADEIRA MIRIAM (CASTANHO) TC PREMIUM P023 - 0,55x0,51x0,78H</v>
          </cell>
          <cell r="Y1283">
            <v>4474.8500000000004</v>
          </cell>
          <cell r="Z1283">
            <v>0.35</v>
          </cell>
          <cell r="AA1283">
            <v>2908.6525000000001</v>
          </cell>
          <cell r="AB1283"/>
        </row>
        <row r="1284">
          <cell r="C1284">
            <v>8</v>
          </cell>
          <cell r="D1284">
            <v>0</v>
          </cell>
          <cell r="E1284">
            <v>0</v>
          </cell>
          <cell r="F1284">
            <v>0</v>
          </cell>
          <cell r="H1284">
            <v>0</v>
          </cell>
          <cell r="O1284">
            <v>387658</v>
          </cell>
          <cell r="P1284" t="str">
            <v>2024/206-0039-01</v>
          </cell>
          <cell r="Q1284" t="str">
            <v>EST CADEIRA MIRIAM (CASTANHO) TC PREMIUM P023</v>
          </cell>
          <cell r="R1284"/>
          <cell r="S1284"/>
          <cell r="T1284">
            <v>0.55000000000000004</v>
          </cell>
          <cell r="U1284">
            <v>0.51</v>
          </cell>
          <cell r="V1284">
            <v>0.78</v>
          </cell>
          <cell r="W1284">
            <v>0</v>
          </cell>
          <cell r="X1284" t="str">
            <v>EST CADEIRA MIRIAM (CASTANHO) TC PREMIUM P023 - 0,55x0,51x0,78H</v>
          </cell>
          <cell r="Y1284">
            <v>4474.8500000000004</v>
          </cell>
          <cell r="Z1284">
            <v>0.35</v>
          </cell>
          <cell r="AA1284">
            <v>2908.6525000000001</v>
          </cell>
          <cell r="AB1284"/>
        </row>
        <row r="1285">
          <cell r="C1285">
            <v>8</v>
          </cell>
          <cell r="D1285">
            <v>0</v>
          </cell>
          <cell r="E1285">
            <v>0</v>
          </cell>
          <cell r="F1285">
            <v>0</v>
          </cell>
          <cell r="H1285">
            <v>0</v>
          </cell>
          <cell r="O1285">
            <v>387658</v>
          </cell>
          <cell r="P1285" t="str">
            <v>2024/206-0040-01</v>
          </cell>
          <cell r="Q1285" t="str">
            <v>EST CADEIRA MIRIAM (CASTANHO) TC PREMIUM P023</v>
          </cell>
          <cell r="R1285"/>
          <cell r="S1285"/>
          <cell r="T1285">
            <v>0.55000000000000004</v>
          </cell>
          <cell r="U1285">
            <v>0.51</v>
          </cell>
          <cell r="V1285">
            <v>0.78</v>
          </cell>
          <cell r="W1285">
            <v>0</v>
          </cell>
          <cell r="X1285" t="str">
            <v>EST CADEIRA MIRIAM (CASTANHO) TC PREMIUM P023 - 0,55x0,51x0,78H</v>
          </cell>
          <cell r="Y1285">
            <v>4474.8500000000004</v>
          </cell>
          <cell r="Z1285">
            <v>0.35</v>
          </cell>
          <cell r="AA1285">
            <v>2908.6525000000001</v>
          </cell>
          <cell r="AB1285"/>
        </row>
        <row r="1286">
          <cell r="C1286">
            <v>8</v>
          </cell>
          <cell r="D1286">
            <v>0</v>
          </cell>
          <cell r="E1286">
            <v>0</v>
          </cell>
          <cell r="F1286">
            <v>0</v>
          </cell>
          <cell r="H1286">
            <v>0</v>
          </cell>
          <cell r="O1286">
            <v>387658</v>
          </cell>
          <cell r="P1286" t="str">
            <v>2024/206-0041-01</v>
          </cell>
          <cell r="Q1286" t="str">
            <v>EST CADEIRA MIRIAM (CASTANHO) TC PREMIUM P023</v>
          </cell>
          <cell r="R1286"/>
          <cell r="S1286"/>
          <cell r="T1286">
            <v>0.55000000000000004</v>
          </cell>
          <cell r="U1286">
            <v>0.51</v>
          </cell>
          <cell r="V1286">
            <v>0.78</v>
          </cell>
          <cell r="W1286">
            <v>0</v>
          </cell>
          <cell r="X1286" t="str">
            <v>EST CADEIRA MIRIAM (CASTANHO) TC PREMIUM P023 - 0,55x0,51x0,78H</v>
          </cell>
          <cell r="Y1286">
            <v>4474.8500000000004</v>
          </cell>
          <cell r="Z1286">
            <v>0.35</v>
          </cell>
          <cell r="AA1286">
            <v>2908.6525000000001</v>
          </cell>
          <cell r="AB1286"/>
        </row>
        <row r="1287">
          <cell r="C1287">
            <v>8</v>
          </cell>
          <cell r="D1287">
            <v>0</v>
          </cell>
          <cell r="E1287">
            <v>0</v>
          </cell>
          <cell r="F1287">
            <v>0</v>
          </cell>
          <cell r="H1287">
            <v>0</v>
          </cell>
          <cell r="O1287">
            <v>387658</v>
          </cell>
          <cell r="P1287" t="str">
            <v>2024/206-0042-01</v>
          </cell>
          <cell r="Q1287" t="str">
            <v>EST CADEIRA MIRIAM (CASTANHO) TC PREMIUM P023</v>
          </cell>
          <cell r="R1287"/>
          <cell r="S1287"/>
          <cell r="T1287">
            <v>0.55000000000000004</v>
          </cell>
          <cell r="U1287">
            <v>0.51</v>
          </cell>
          <cell r="V1287">
            <v>0.78</v>
          </cell>
          <cell r="W1287">
            <v>0</v>
          </cell>
          <cell r="X1287" t="str">
            <v>EST CADEIRA MIRIAM (CASTANHO) TC PREMIUM P023 - 0,55x0,51x0,78H</v>
          </cell>
          <cell r="Y1287">
            <v>4474.8500000000004</v>
          </cell>
          <cell r="Z1287">
            <v>0.35</v>
          </cell>
          <cell r="AA1287">
            <v>2908.6525000000001</v>
          </cell>
          <cell r="AB1287"/>
        </row>
        <row r="1288">
          <cell r="C1288">
            <v>8</v>
          </cell>
          <cell r="D1288">
            <v>0</v>
          </cell>
          <cell r="E1288">
            <v>0</v>
          </cell>
          <cell r="F1288">
            <v>0</v>
          </cell>
          <cell r="H1288">
            <v>0</v>
          </cell>
          <cell r="O1288">
            <v>387658</v>
          </cell>
          <cell r="P1288" t="str">
            <v>2024/206-0043-01</v>
          </cell>
          <cell r="Q1288" t="str">
            <v>EST CADEIRA MIRIAM (CASTANHO) TC PREMIUM P023</v>
          </cell>
          <cell r="R1288"/>
          <cell r="S1288"/>
          <cell r="T1288">
            <v>0.55000000000000004</v>
          </cell>
          <cell r="U1288">
            <v>0.51</v>
          </cell>
          <cell r="V1288">
            <v>0.78</v>
          </cell>
          <cell r="W1288">
            <v>0</v>
          </cell>
          <cell r="X1288" t="str">
            <v>EST CADEIRA MIRIAM (CASTANHO) TC PREMIUM P023 - 0,55x0,51x0,78H</v>
          </cell>
          <cell r="Y1288">
            <v>4474.8500000000004</v>
          </cell>
          <cell r="Z1288">
            <v>0.35</v>
          </cell>
          <cell r="AA1288">
            <v>2908.6525000000001</v>
          </cell>
          <cell r="AB1288"/>
        </row>
        <row r="1289">
          <cell r="C1289">
            <v>8</v>
          </cell>
          <cell r="D1289">
            <v>0</v>
          </cell>
          <cell r="E1289">
            <v>0</v>
          </cell>
          <cell r="F1289">
            <v>0</v>
          </cell>
          <cell r="H1289">
            <v>0</v>
          </cell>
          <cell r="O1289">
            <v>387658</v>
          </cell>
          <cell r="P1289" t="str">
            <v>2024/206-0044-01</v>
          </cell>
          <cell r="Q1289" t="str">
            <v>EST CADEIRA MIRIAM (CASTANHO) TC PREMIUM P023</v>
          </cell>
          <cell r="R1289"/>
          <cell r="S1289"/>
          <cell r="T1289">
            <v>0.55000000000000004</v>
          </cell>
          <cell r="U1289">
            <v>0.51</v>
          </cell>
          <cell r="V1289">
            <v>0.78</v>
          </cell>
          <cell r="W1289">
            <v>0</v>
          </cell>
          <cell r="X1289" t="str">
            <v>EST CADEIRA MIRIAM (CASTANHO) TC PREMIUM P023 - 0,55x0,51x0,78H</v>
          </cell>
          <cell r="Y1289">
            <v>4474.8500000000004</v>
          </cell>
          <cell r="Z1289">
            <v>0.35</v>
          </cell>
          <cell r="AA1289">
            <v>2908.6525000000001</v>
          </cell>
          <cell r="AB1289"/>
        </row>
        <row r="1290">
          <cell r="C1290">
            <v>5</v>
          </cell>
          <cell r="D1290">
            <v>0</v>
          </cell>
          <cell r="E1290">
            <v>0</v>
          </cell>
          <cell r="F1290">
            <v>0</v>
          </cell>
          <cell r="H1290">
            <v>0</v>
          </cell>
          <cell r="O1290">
            <v>387663</v>
          </cell>
          <cell r="P1290" t="str">
            <v>2024/206-0071-01</v>
          </cell>
          <cell r="Q1290" t="str">
            <v>EST CADEIRA BLANCA (DAMASCO) TC 1000 - 1272</v>
          </cell>
          <cell r="R1290"/>
          <cell r="S1290"/>
          <cell r="T1290">
            <v>0.54</v>
          </cell>
          <cell r="U1290">
            <v>0.56000000000000005</v>
          </cell>
          <cell r="V1290">
            <v>0.79</v>
          </cell>
          <cell r="W1290">
            <v>0</v>
          </cell>
          <cell r="X1290" t="str">
            <v>EST CADEIRA BLANCA (DAMASCO) TC 1000 - 1272 - 0,54x0,56x0,79H</v>
          </cell>
          <cell r="Y1290">
            <v>3536.15</v>
          </cell>
          <cell r="Z1290">
            <v>0.35</v>
          </cell>
          <cell r="AA1290">
            <v>2298.4975000000004</v>
          </cell>
          <cell r="AB1290"/>
        </row>
        <row r="1291">
          <cell r="C1291">
            <v>5</v>
          </cell>
          <cell r="D1291">
            <v>0</v>
          </cell>
          <cell r="E1291">
            <v>0</v>
          </cell>
          <cell r="F1291">
            <v>0</v>
          </cell>
          <cell r="H1291">
            <v>0</v>
          </cell>
          <cell r="O1291">
            <v>387663</v>
          </cell>
          <cell r="P1291" t="str">
            <v>2024/206-0072-01</v>
          </cell>
          <cell r="Q1291" t="str">
            <v>EST CADEIRA BLANCA (DAMASCO) TC 1000 - 1272</v>
          </cell>
          <cell r="R1291"/>
          <cell r="S1291"/>
          <cell r="T1291">
            <v>0.54</v>
          </cell>
          <cell r="U1291">
            <v>0.56000000000000005</v>
          </cell>
          <cell r="V1291">
            <v>0.79</v>
          </cell>
          <cell r="W1291">
            <v>0</v>
          </cell>
          <cell r="X1291" t="str">
            <v>EST CADEIRA BLANCA (DAMASCO) TC 1000 - 1272 - 0,54x0,56x0,79H</v>
          </cell>
          <cell r="Y1291">
            <v>3536.15</v>
          </cell>
          <cell r="Z1291">
            <v>0.35</v>
          </cell>
          <cell r="AA1291">
            <v>2298.4975000000004</v>
          </cell>
          <cell r="AB1291"/>
        </row>
        <row r="1292">
          <cell r="C1292">
            <v>5</v>
          </cell>
          <cell r="D1292">
            <v>0</v>
          </cell>
          <cell r="E1292">
            <v>0</v>
          </cell>
          <cell r="F1292">
            <v>0</v>
          </cell>
          <cell r="H1292">
            <v>0</v>
          </cell>
          <cell r="O1292">
            <v>387663</v>
          </cell>
          <cell r="P1292" t="str">
            <v>2024/206-0073-01</v>
          </cell>
          <cell r="Q1292" t="str">
            <v>EST CADEIRA BLANCA (DAMASCO) TC 1000 - 1272</v>
          </cell>
          <cell r="R1292"/>
          <cell r="S1292"/>
          <cell r="T1292">
            <v>0.54</v>
          </cell>
          <cell r="U1292">
            <v>0.56000000000000005</v>
          </cell>
          <cell r="V1292">
            <v>0.79</v>
          </cell>
          <cell r="W1292">
            <v>0</v>
          </cell>
          <cell r="X1292" t="str">
            <v>EST CADEIRA BLANCA (DAMASCO) TC 1000 - 1272 - 0,54x0,56x0,79H</v>
          </cell>
          <cell r="Y1292">
            <v>3536.15</v>
          </cell>
          <cell r="Z1292">
            <v>0.35</v>
          </cell>
          <cell r="AA1292">
            <v>2298.4975000000004</v>
          </cell>
          <cell r="AB1292"/>
        </row>
        <row r="1293">
          <cell r="C1293">
            <v>5</v>
          </cell>
          <cell r="D1293">
            <v>0</v>
          </cell>
          <cell r="E1293">
            <v>0</v>
          </cell>
          <cell r="F1293">
            <v>0</v>
          </cell>
          <cell r="H1293">
            <v>0</v>
          </cell>
          <cell r="O1293">
            <v>387663</v>
          </cell>
          <cell r="P1293" t="str">
            <v>2024/206-0074-01</v>
          </cell>
          <cell r="Q1293" t="str">
            <v>EST CADEIRA BLANCA (DAMASCO) TC 1000 - 1272</v>
          </cell>
          <cell r="R1293"/>
          <cell r="S1293"/>
          <cell r="T1293">
            <v>0.54</v>
          </cell>
          <cell r="U1293">
            <v>0.56000000000000005</v>
          </cell>
          <cell r="V1293">
            <v>0.79</v>
          </cell>
          <cell r="W1293">
            <v>0</v>
          </cell>
          <cell r="X1293" t="str">
            <v>EST CADEIRA BLANCA (DAMASCO) TC 1000 - 1272 - 0,54x0,56x0,79H</v>
          </cell>
          <cell r="Y1293">
            <v>3536.15</v>
          </cell>
          <cell r="Z1293">
            <v>0.35</v>
          </cell>
          <cell r="AA1293">
            <v>2298.4975000000004</v>
          </cell>
          <cell r="AB1293"/>
        </row>
        <row r="1294">
          <cell r="C1294">
            <v>5</v>
          </cell>
          <cell r="D1294">
            <v>0</v>
          </cell>
          <cell r="E1294">
            <v>0</v>
          </cell>
          <cell r="F1294">
            <v>0</v>
          </cell>
          <cell r="H1294">
            <v>0</v>
          </cell>
          <cell r="O1294">
            <v>387663</v>
          </cell>
          <cell r="P1294" t="str">
            <v>2024/206-0075-01</v>
          </cell>
          <cell r="Q1294" t="str">
            <v>EST CADEIRA BLANCA (DAMASCO) TC 1000 - 1272</v>
          </cell>
          <cell r="R1294"/>
          <cell r="S1294"/>
          <cell r="T1294">
            <v>0.54</v>
          </cell>
          <cell r="U1294">
            <v>0.56000000000000005</v>
          </cell>
          <cell r="V1294">
            <v>0.79</v>
          </cell>
          <cell r="W1294">
            <v>0</v>
          </cell>
          <cell r="X1294" t="str">
            <v>EST CADEIRA BLANCA (DAMASCO) TC 1000 - 1272 - 0,54x0,56x0,79H</v>
          </cell>
          <cell r="Y1294">
            <v>3536.15</v>
          </cell>
          <cell r="Z1294">
            <v>0.35</v>
          </cell>
          <cell r="AA1294">
            <v>2298.4975000000004</v>
          </cell>
          <cell r="AB1294"/>
        </row>
        <row r="1295">
          <cell r="C1295">
            <v>0</v>
          </cell>
          <cell r="D1295">
            <v>0</v>
          </cell>
          <cell r="E1295">
            <v>2</v>
          </cell>
          <cell r="F1295">
            <v>0</v>
          </cell>
          <cell r="H1295">
            <v>0</v>
          </cell>
          <cell r="O1295">
            <v>387664</v>
          </cell>
          <cell r="P1295" t="str">
            <v>2024/206-0079-01</v>
          </cell>
          <cell r="Q1295" t="str">
            <v>EST POLTRONA BLANCA (NOGAL) TC 2000- 2337</v>
          </cell>
          <cell r="R1295"/>
          <cell r="S1295"/>
          <cell r="T1295">
            <v>0.7</v>
          </cell>
          <cell r="U1295">
            <v>0.66</v>
          </cell>
          <cell r="V1295">
            <v>0.79</v>
          </cell>
          <cell r="W1295">
            <v>0</v>
          </cell>
          <cell r="X1295" t="str">
            <v>EST POLTRONA BLANCA (NOGAL) TC 2000- 2337 - 0,7x0,66x0,79H</v>
          </cell>
          <cell r="Y1295">
            <v>12267.23</v>
          </cell>
          <cell r="Z1295">
            <v>0.35</v>
          </cell>
          <cell r="AA1295">
            <v>7973.6994999999997</v>
          </cell>
          <cell r="AB1295"/>
        </row>
        <row r="1296">
          <cell r="C1296">
            <v>0</v>
          </cell>
          <cell r="D1296">
            <v>0</v>
          </cell>
          <cell r="E1296">
            <v>2</v>
          </cell>
          <cell r="F1296">
            <v>0</v>
          </cell>
          <cell r="H1296">
            <v>0</v>
          </cell>
          <cell r="O1296">
            <v>387664</v>
          </cell>
          <cell r="P1296" t="str">
            <v>2024/206-0080-01</v>
          </cell>
          <cell r="Q1296" t="str">
            <v>EST POLTRONA BLANCA (NOGAL) TC 2000- 2337</v>
          </cell>
          <cell r="R1296"/>
          <cell r="S1296"/>
          <cell r="T1296">
            <v>0.7</v>
          </cell>
          <cell r="U1296">
            <v>0.66</v>
          </cell>
          <cell r="V1296">
            <v>0.79</v>
          </cell>
          <cell r="W1296">
            <v>0</v>
          </cell>
          <cell r="X1296" t="str">
            <v>EST POLTRONA BLANCA (NOGAL) TC 2000- 2337 - 0,7x0,66x0,79H</v>
          </cell>
          <cell r="Y1296">
            <v>12267.23</v>
          </cell>
          <cell r="Z1296">
            <v>0.35</v>
          </cell>
          <cell r="AA1296">
            <v>7973.6994999999997</v>
          </cell>
          <cell r="AB1296"/>
        </row>
        <row r="1297">
          <cell r="C1297">
            <v>1</v>
          </cell>
          <cell r="D1297">
            <v>1</v>
          </cell>
          <cell r="E1297">
            <v>1</v>
          </cell>
          <cell r="F1297">
            <v>1</v>
          </cell>
          <cell r="H1297">
            <v>2</v>
          </cell>
          <cell r="O1297">
            <v>334164</v>
          </cell>
          <cell r="P1297" t="str">
            <v>2022/175-0010-01</v>
          </cell>
          <cell r="Q1297" t="str">
            <v>EST CADEIRA JULIETA (JEQ PECAN) (COURO PIGUIMENTADO AREIA)</v>
          </cell>
          <cell r="R1297"/>
          <cell r="S1297"/>
          <cell r="T1297">
            <v>0.6</v>
          </cell>
          <cell r="U1297">
            <v>0.54</v>
          </cell>
          <cell r="V1297">
            <v>0.71</v>
          </cell>
          <cell r="W1297">
            <v>0</v>
          </cell>
          <cell r="X1297" t="str">
            <v>EST CADEIRA JULIETA (JEQ PECAN) (COURO PIGUIMENTADO AREIA) - 0,6x0,54x0,71H</v>
          </cell>
          <cell r="Y1297">
            <v>9657.4</v>
          </cell>
          <cell r="Z1297">
            <v>0.35</v>
          </cell>
          <cell r="AA1297">
            <v>6277.3099999999995</v>
          </cell>
          <cell r="AB1297"/>
        </row>
        <row r="1298">
          <cell r="C1298">
            <v>0</v>
          </cell>
          <cell r="D1298">
            <v>1</v>
          </cell>
          <cell r="E1298">
            <v>0</v>
          </cell>
          <cell r="F1298">
            <v>0</v>
          </cell>
          <cell r="H1298">
            <v>0</v>
          </cell>
          <cell r="O1298">
            <v>88590</v>
          </cell>
          <cell r="P1298"/>
          <cell r="Q1298" t="str">
            <v>EST CABIDEIRO FOR (AZUL)</v>
          </cell>
          <cell r="R1298"/>
          <cell r="S1298"/>
          <cell r="T1298">
            <v>0.5</v>
          </cell>
          <cell r="U1298">
            <v>0.5</v>
          </cell>
          <cell r="V1298">
            <v>1.6</v>
          </cell>
          <cell r="W1298">
            <v>0</v>
          </cell>
          <cell r="X1298" t="str">
            <v>EST CABIDEIRO FOR (AZUL) - 0,5x0,5x1,6H</v>
          </cell>
          <cell r="Y1298">
            <v>14863.83</v>
          </cell>
          <cell r="Z1298">
            <v>0.5</v>
          </cell>
          <cell r="AA1298">
            <v>7431.915</v>
          </cell>
          <cell r="AB1298"/>
        </row>
        <row r="1299">
          <cell r="C1299">
            <v>0</v>
          </cell>
          <cell r="D1299">
            <v>1</v>
          </cell>
          <cell r="E1299">
            <v>0</v>
          </cell>
          <cell r="F1299">
            <v>0</v>
          </cell>
          <cell r="H1299">
            <v>0</v>
          </cell>
          <cell r="O1299">
            <v>120889</v>
          </cell>
          <cell r="P1299" t="str">
            <v>2025/021-0048-01</v>
          </cell>
          <cell r="Q1299" t="str">
            <v>EST LUMINARIA VIC (G) (LACA SAYERLACK Y018 BRILHO)</v>
          </cell>
          <cell r="R1299"/>
          <cell r="S1299"/>
          <cell r="T1299">
            <v>1.8</v>
          </cell>
          <cell r="U1299">
            <v>0.6</v>
          </cell>
          <cell r="V1299">
            <v>0.6</v>
          </cell>
          <cell r="W1299">
            <v>0</v>
          </cell>
          <cell r="X1299" t="str">
            <v>EST LUMINARIA VIC (G) (LACA SAYERLACK Y018 BRILHO) - 1,8x0,6x0,6H</v>
          </cell>
          <cell r="Y1299">
            <v>17024</v>
          </cell>
          <cell r="Z1299">
            <v>0.5</v>
          </cell>
          <cell r="AA1299">
            <v>8512</v>
          </cell>
          <cell r="AB1299"/>
        </row>
        <row r="1300">
          <cell r="C1300">
            <v>0</v>
          </cell>
          <cell r="D1300">
            <v>1</v>
          </cell>
          <cell r="E1300">
            <v>0</v>
          </cell>
          <cell r="F1300">
            <v>0</v>
          </cell>
          <cell r="H1300">
            <v>0</v>
          </cell>
          <cell r="O1300">
            <v>147928</v>
          </cell>
          <cell r="P1300" t="str">
            <v>2014/262-0089-01</v>
          </cell>
          <cell r="Q1300" t="str">
            <v>EST LUMINARIA MESA MUSH (C/LAMPADA) (CORK CLARO)</v>
          </cell>
          <cell r="R1300"/>
          <cell r="S1300"/>
          <cell r="T1300">
            <v>0.27</v>
          </cell>
          <cell r="U1300">
            <v>0.27</v>
          </cell>
          <cell r="V1300">
            <v>0.16</v>
          </cell>
          <cell r="W1300">
            <v>0</v>
          </cell>
          <cell r="X1300" t="str">
            <v>EST LUMINARIA MESA MUSH (C/LAMPADA) (CORK CLARO) - 0,27x0,27x0,16H</v>
          </cell>
          <cell r="Y1300">
            <v>6720</v>
          </cell>
          <cell r="Z1300">
            <v>0.5</v>
          </cell>
          <cell r="AA1300">
            <v>3360</v>
          </cell>
          <cell r="AB1300"/>
        </row>
        <row r="1301">
          <cell r="C1301">
            <v>0</v>
          </cell>
          <cell r="D1301">
            <v>1</v>
          </cell>
          <cell r="E1301">
            <v>0</v>
          </cell>
          <cell r="F1301">
            <v>0</v>
          </cell>
          <cell r="H1301">
            <v>0</v>
          </cell>
          <cell r="O1301">
            <v>190084</v>
          </cell>
          <cell r="P1301"/>
          <cell r="Q1301" t="str">
            <v>EST LUMINARIA CODE (LAMINA NOGUEIRA) (LAMPADA L008 110V)</v>
          </cell>
          <cell r="R1301"/>
          <cell r="S1301"/>
          <cell r="T1301">
            <v>0.4</v>
          </cell>
          <cell r="U1301">
            <v>0.15</v>
          </cell>
          <cell r="V1301">
            <v>0.16</v>
          </cell>
          <cell r="W1301">
            <v>0</v>
          </cell>
          <cell r="X1301" t="str">
            <v>EST LUMINARIA CODE (LAMINA NOGUEIRA) (LAMPADA L008 110V) - 0,4x0,15x0,16H</v>
          </cell>
          <cell r="Y1301">
            <v>6720</v>
          </cell>
          <cell r="Z1301">
            <v>0.5</v>
          </cell>
          <cell r="AA1301">
            <v>3360</v>
          </cell>
          <cell r="AB1301"/>
        </row>
        <row r="1302">
          <cell r="C1302">
            <v>0</v>
          </cell>
          <cell r="D1302">
            <v>1</v>
          </cell>
          <cell r="E1302">
            <v>0</v>
          </cell>
          <cell r="F1302">
            <v>0</v>
          </cell>
          <cell r="H1302">
            <v>0</v>
          </cell>
          <cell r="O1302">
            <v>190086</v>
          </cell>
          <cell r="P1302"/>
          <cell r="Q1302" t="str">
            <v>EST LUMINARIA TOKIO (BASE CORK) (LATAO) (VIDRO LEITOSO)</v>
          </cell>
          <cell r="R1302"/>
          <cell r="S1302"/>
          <cell r="T1302">
            <v>0.3</v>
          </cell>
          <cell r="U1302">
            <v>0</v>
          </cell>
          <cell r="V1302">
            <v>0.3</v>
          </cell>
          <cell r="W1302">
            <v>0.3</v>
          </cell>
          <cell r="X1302" t="str">
            <v>EST LUMINARIA TOKIO (BASE CORK) (LATAO) (VIDRO LEITOSO) - Ø0,3x0,3H</v>
          </cell>
          <cell r="Y1302">
            <v>13440</v>
          </cell>
          <cell r="Z1302">
            <v>0.5</v>
          </cell>
          <cell r="AA1302">
            <v>6720</v>
          </cell>
          <cell r="AB1302"/>
        </row>
        <row r="1303">
          <cell r="C1303">
            <v>0</v>
          </cell>
          <cell r="D1303">
            <v>1</v>
          </cell>
          <cell r="E1303">
            <v>0</v>
          </cell>
          <cell r="F1303">
            <v>0</v>
          </cell>
          <cell r="H1303">
            <v>0</v>
          </cell>
          <cell r="O1303">
            <v>222249</v>
          </cell>
          <cell r="P1303"/>
          <cell r="Q1303" t="str">
            <v>EST LUMINARIA CODE (CARV PINHO DE RIGA) (LAMPADA L008 110V)</v>
          </cell>
          <cell r="R1303"/>
          <cell r="S1303"/>
          <cell r="T1303">
            <v>0.4</v>
          </cell>
          <cell r="U1303">
            <v>0.15</v>
          </cell>
          <cell r="V1303">
            <v>0.16</v>
          </cell>
          <cell r="W1303">
            <v>0</v>
          </cell>
          <cell r="X1303" t="str">
            <v>EST LUMINARIA CODE (CARV PINHO DE RIGA) (LAMPADA L008 110V) - 0,4x0,15x0,16H</v>
          </cell>
          <cell r="Y1303">
            <v>6720</v>
          </cell>
          <cell r="Z1303">
            <v>0.5</v>
          </cell>
          <cell r="AA1303">
            <v>3360</v>
          </cell>
          <cell r="AB1303"/>
        </row>
        <row r="1304">
          <cell r="C1304">
            <v>1</v>
          </cell>
          <cell r="D1304">
            <v>1</v>
          </cell>
          <cell r="E1304">
            <v>1</v>
          </cell>
          <cell r="F1304">
            <v>0</v>
          </cell>
          <cell r="H1304">
            <v>0</v>
          </cell>
          <cell r="O1304">
            <v>186566</v>
          </cell>
          <cell r="P1304" t="str">
            <v>2016/133-0183-01</v>
          </cell>
          <cell r="Q1304" t="str">
            <v>EST MESA LATERAL CANCUN (MAD LAM CARVALHO NT) (AUT SAND)</v>
          </cell>
          <cell r="R1304"/>
          <cell r="S1304"/>
          <cell r="T1304">
            <v>0.55000000000000004</v>
          </cell>
          <cell r="U1304">
            <v>0</v>
          </cell>
          <cell r="V1304">
            <v>0.52</v>
          </cell>
          <cell r="W1304">
            <v>0.55000000000000004</v>
          </cell>
          <cell r="X1304" t="str">
            <v>EST MESA LATERAL CANCUN (MAD LAM CARVALHO NT) (AUT SAND) - Ø0,55x0,52H</v>
          </cell>
          <cell r="Y1304">
            <v>8089.85</v>
          </cell>
          <cell r="Z1304">
            <v>0.35</v>
          </cell>
          <cell r="AA1304">
            <v>5258.4025000000001</v>
          </cell>
          <cell r="AB1304"/>
        </row>
        <row r="1305">
          <cell r="C1305">
            <v>0</v>
          </cell>
          <cell r="D1305">
            <v>1</v>
          </cell>
          <cell r="E1305">
            <v>1</v>
          </cell>
          <cell r="F1305">
            <v>0</v>
          </cell>
          <cell r="H1305">
            <v>0</v>
          </cell>
          <cell r="O1305">
            <v>253847</v>
          </cell>
          <cell r="P1305" t="str">
            <v>2019/339-0055-01</v>
          </cell>
          <cell r="Q1305" t="str">
            <v>EST BANDEJA RITMO Ø55 (MARMORE 4 NERO MARQUINA FOSCO)</v>
          </cell>
          <cell r="R1305"/>
          <cell r="S1305"/>
          <cell r="T1305">
            <v>0.55000000000000004</v>
          </cell>
          <cell r="U1305">
            <v>0</v>
          </cell>
          <cell r="V1305">
            <v>0.02</v>
          </cell>
          <cell r="W1305">
            <v>0.55000000000000004</v>
          </cell>
          <cell r="X1305" t="str">
            <v>EST BANDEJA RITMO Ø55 (MARMORE 4 NERO MARQUINA FOSCO) - Ø0,55x0,02H</v>
          </cell>
          <cell r="Y1305">
            <v>9892.7800000000007</v>
          </cell>
          <cell r="Z1305">
            <v>0.35</v>
          </cell>
          <cell r="AA1305">
            <v>6430.3070000000007</v>
          </cell>
          <cell r="AB1305"/>
        </row>
        <row r="1306">
          <cell r="C1306">
            <v>0</v>
          </cell>
          <cell r="D1306">
            <v>1</v>
          </cell>
          <cell r="E1306">
            <v>1</v>
          </cell>
          <cell r="F1306">
            <v>0</v>
          </cell>
          <cell r="H1306">
            <v>0</v>
          </cell>
          <cell r="O1306">
            <v>255054</v>
          </cell>
          <cell r="P1306" t="str">
            <v>2020/027-0055-01</v>
          </cell>
          <cell r="Q1306" t="str">
            <v>EST MESA LATERAL CANCUN (MAD PINT AUT CARBONE) (MARROM FSC)</v>
          </cell>
          <cell r="R1306"/>
          <cell r="S1306"/>
          <cell r="T1306">
            <v>0.6</v>
          </cell>
          <cell r="U1306">
            <v>0</v>
          </cell>
          <cell r="V1306">
            <v>0.62</v>
          </cell>
          <cell r="W1306">
            <v>0.6</v>
          </cell>
          <cell r="X1306" t="str">
            <v>EST MESA LATERAL CANCUN (MAD PINT AUT CARBONE) (MARROM FSC) - Ø0,6x0,62H</v>
          </cell>
          <cell r="Y1306">
            <v>7981.39</v>
          </cell>
          <cell r="Z1306">
            <v>0.35</v>
          </cell>
          <cell r="AA1306">
            <v>5187.9035000000003</v>
          </cell>
          <cell r="AB1306"/>
        </row>
        <row r="1307">
          <cell r="C1307">
            <v>0</v>
          </cell>
          <cell r="D1307">
            <v>0</v>
          </cell>
          <cell r="E1307">
            <v>1</v>
          </cell>
          <cell r="F1307">
            <v>0</v>
          </cell>
          <cell r="H1307">
            <v>0</v>
          </cell>
          <cell r="O1307">
            <v>255062</v>
          </cell>
          <cell r="P1307" t="str">
            <v>2020/066-0044-01</v>
          </cell>
          <cell r="Q1307" t="str">
            <v>EST MESA LATERAL CANCUN (MAD LAM FAJO) (AUT FRAPE)</v>
          </cell>
          <cell r="R1307"/>
          <cell r="S1307"/>
          <cell r="T1307">
            <v>0.55000000000000004</v>
          </cell>
          <cell r="U1307">
            <v>0</v>
          </cell>
          <cell r="V1307">
            <v>0.52</v>
          </cell>
          <cell r="W1307">
            <v>0.55000000000000004</v>
          </cell>
          <cell r="X1307" t="str">
            <v>EST MESA LATERAL CANCUN (MAD LAM FAJO) (AUT FRAPE) - Ø0,55x0,52H</v>
          </cell>
          <cell r="Y1307">
            <v>8089.85</v>
          </cell>
          <cell r="Z1307">
            <v>0.35</v>
          </cell>
          <cell r="AA1307">
            <v>5258.4025000000001</v>
          </cell>
          <cell r="AB1307"/>
        </row>
        <row r="1308">
          <cell r="C1308">
            <v>0</v>
          </cell>
          <cell r="D1308">
            <v>0</v>
          </cell>
          <cell r="E1308">
            <v>1</v>
          </cell>
          <cell r="F1308">
            <v>0</v>
          </cell>
          <cell r="H1308">
            <v>0</v>
          </cell>
          <cell r="O1308">
            <v>255063</v>
          </cell>
          <cell r="P1308" t="str">
            <v>2020/241-0008-01</v>
          </cell>
          <cell r="Q1308" t="str">
            <v>EST MESA LATERAL CANCUN (FX5 EXOTIC) (AUT FRAPE)</v>
          </cell>
          <cell r="R1308"/>
          <cell r="S1308"/>
          <cell r="T1308">
            <v>0.6</v>
          </cell>
          <cell r="U1308">
            <v>0</v>
          </cell>
          <cell r="V1308">
            <v>0.62</v>
          </cell>
          <cell r="W1308">
            <v>0.6</v>
          </cell>
          <cell r="X1308" t="str">
            <v>EST MESA LATERAL CANCUN (FX5 EXOTIC) (AUT FRAPE) - Ø0,6x0,62H</v>
          </cell>
          <cell r="Y1308">
            <v>19213.419999999998</v>
          </cell>
          <cell r="Z1308">
            <v>0.35</v>
          </cell>
          <cell r="AA1308">
            <v>12488.722999999998</v>
          </cell>
          <cell r="AB1308"/>
        </row>
        <row r="1309">
          <cell r="C1309">
            <v>0</v>
          </cell>
          <cell r="D1309">
            <v>0</v>
          </cell>
          <cell r="E1309">
            <v>1</v>
          </cell>
          <cell r="F1309">
            <v>0</v>
          </cell>
          <cell r="H1309">
            <v>0</v>
          </cell>
          <cell r="O1309">
            <v>273383</v>
          </cell>
          <cell r="P1309" t="str">
            <v>2021/011-0030-01</v>
          </cell>
          <cell r="Q1309" t="str">
            <v>EST MESA CENTRO CRUX (DES) (LAM 2 NOGUEIRA) (BS PTO FSC)</v>
          </cell>
          <cell r="R1309"/>
          <cell r="S1309"/>
          <cell r="T1309">
            <v>1.6</v>
          </cell>
          <cell r="U1309">
            <v>1</v>
          </cell>
          <cell r="V1309">
            <v>0.35</v>
          </cell>
          <cell r="W1309">
            <v>0</v>
          </cell>
          <cell r="X1309" t="str">
            <v>EST MESA CENTRO CRUX (DES) (LAM 2 NOGUEIRA) (BS PTO FSC) - 1,6x1x0,35H</v>
          </cell>
          <cell r="Y1309">
            <v>16385.64</v>
          </cell>
          <cell r="Z1309">
            <v>0.35</v>
          </cell>
          <cell r="AA1309">
            <v>10650.666000000001</v>
          </cell>
          <cell r="AB1309"/>
        </row>
        <row r="1310">
          <cell r="C1310">
            <v>0</v>
          </cell>
          <cell r="D1310">
            <v>0</v>
          </cell>
          <cell r="E1310">
            <v>1</v>
          </cell>
          <cell r="F1310">
            <v>0</v>
          </cell>
          <cell r="H1310">
            <v>1</v>
          </cell>
          <cell r="O1310">
            <v>299533</v>
          </cell>
          <cell r="P1310" t="str">
            <v>2022/034-0019-01</v>
          </cell>
          <cell r="Q1310" t="str">
            <v>EST ESTANTE VO (B) (MTZ ONIX PRETO) (LAM 2 NOGUEIRA)</v>
          </cell>
          <cell r="R1310"/>
          <cell r="S1310"/>
          <cell r="T1310">
            <v>1.04</v>
          </cell>
          <cell r="U1310">
            <v>0.45</v>
          </cell>
          <cell r="V1310">
            <v>2.11</v>
          </cell>
          <cell r="W1310">
            <v>0</v>
          </cell>
          <cell r="X1310" t="str">
            <v>EST ESTANTE VO (B) (MTZ ONIX PRETO) (LAM 2 NOGUEIRA) - 1,04x0,45x2,11H</v>
          </cell>
          <cell r="Y1310">
            <v>63815.4</v>
          </cell>
          <cell r="Z1310">
            <v>0.35</v>
          </cell>
          <cell r="AA1310">
            <v>41480.01</v>
          </cell>
          <cell r="AB1310"/>
        </row>
        <row r="1311">
          <cell r="C1311">
            <v>0</v>
          </cell>
          <cell r="D1311">
            <v>0</v>
          </cell>
          <cell r="E1311">
            <v>1</v>
          </cell>
          <cell r="F1311">
            <v>0</v>
          </cell>
          <cell r="H1311">
            <v>1</v>
          </cell>
          <cell r="O1311">
            <v>299562</v>
          </cell>
          <cell r="P1311" t="str">
            <v>2022/034-0020-01</v>
          </cell>
          <cell r="Q1311" t="str">
            <v>EST ESTANTE VO (C) (MTZ ONIX PRETO) (LAM 2 NOGUEIRA)</v>
          </cell>
          <cell r="R1311"/>
          <cell r="S1311"/>
          <cell r="T1311">
            <v>1.04</v>
          </cell>
          <cell r="U1311">
            <v>0.45</v>
          </cell>
          <cell r="V1311">
            <v>2.11</v>
          </cell>
          <cell r="W1311">
            <v>0</v>
          </cell>
          <cell r="X1311" t="str">
            <v>EST ESTANTE VO (C) (MTZ ONIX PRETO) (LAM 2 NOGUEIRA) - 1,04x0,45x2,11H</v>
          </cell>
          <cell r="Y1311">
            <v>61959.61</v>
          </cell>
          <cell r="Z1311">
            <v>0.35</v>
          </cell>
          <cell r="AA1311">
            <v>40273.746500000001</v>
          </cell>
          <cell r="AB1311"/>
        </row>
        <row r="1312">
          <cell r="C1312">
            <v>0</v>
          </cell>
          <cell r="D1312">
            <v>0</v>
          </cell>
          <cell r="E1312">
            <v>1</v>
          </cell>
          <cell r="F1312">
            <v>0</v>
          </cell>
          <cell r="H1312">
            <v>0</v>
          </cell>
          <cell r="O1312">
            <v>328715</v>
          </cell>
          <cell r="P1312" t="str">
            <v>2022/213-0005-01</v>
          </cell>
          <cell r="Q1312" t="str">
            <v>EST ESTANTE BURLE (MTZ MARROM COBRE) (LAM 2 PRAT CANELA)</v>
          </cell>
          <cell r="R1312"/>
          <cell r="S1312"/>
          <cell r="T1312">
            <v>1.3</v>
          </cell>
          <cell r="U1312">
            <v>0.45</v>
          </cell>
          <cell r="V1312">
            <v>1.83</v>
          </cell>
          <cell r="W1312">
            <v>0</v>
          </cell>
          <cell r="X1312" t="str">
            <v>EST ESTANTE BURLE (MTZ MARROM COBRE) (LAM 2 PRAT CANELA) - 1,3x0,45x1,83H</v>
          </cell>
          <cell r="Y1312">
            <v>44856.36</v>
          </cell>
          <cell r="Z1312">
            <v>0.35</v>
          </cell>
          <cell r="AA1312">
            <v>29156.634000000002</v>
          </cell>
          <cell r="AB1312"/>
        </row>
        <row r="1313">
          <cell r="C1313">
            <v>0</v>
          </cell>
          <cell r="D1313">
            <v>0</v>
          </cell>
          <cell r="E1313">
            <v>6</v>
          </cell>
          <cell r="F1313">
            <v>0</v>
          </cell>
          <cell r="H1313">
            <v>0</v>
          </cell>
          <cell r="O1313">
            <v>328717</v>
          </cell>
          <cell r="P1313" t="str">
            <v>2022/213-0006-01</v>
          </cell>
          <cell r="Q1313" t="str">
            <v>EST COMPONENTE PRATELEIRA ESTANTE VO (UNIAO) (LAM 2 NOG)</v>
          </cell>
          <cell r="R1313"/>
          <cell r="S1313"/>
          <cell r="T1313">
            <v>0.6</v>
          </cell>
          <cell r="U1313">
            <v>0.39</v>
          </cell>
          <cell r="V1313">
            <v>0.03</v>
          </cell>
          <cell r="W1313">
            <v>0</v>
          </cell>
          <cell r="X1313" t="str">
            <v>EST COMPONENTE PRATELEIRA ESTANTE VO (UNIAO) (LAM 2 NOG) - 0,6x0,39x0,03H</v>
          </cell>
          <cell r="Y1313">
            <v>2603.1</v>
          </cell>
          <cell r="Z1313">
            <v>0.35</v>
          </cell>
          <cell r="AA1313">
            <v>1692.0149999999999</v>
          </cell>
          <cell r="AB1313"/>
        </row>
        <row r="1314">
          <cell r="C1314">
            <v>0</v>
          </cell>
          <cell r="D1314">
            <v>0</v>
          </cell>
          <cell r="E1314">
            <v>6</v>
          </cell>
          <cell r="F1314">
            <v>0</v>
          </cell>
          <cell r="H1314">
            <v>0</v>
          </cell>
          <cell r="O1314">
            <v>328717</v>
          </cell>
          <cell r="P1314" t="str">
            <v>2022/213-0007-01</v>
          </cell>
          <cell r="Q1314" t="str">
            <v>EST COMPONENTE PRATELEIRA ESTANTE VO (UNIAO) (LAM 2 NOG)</v>
          </cell>
          <cell r="R1314"/>
          <cell r="S1314"/>
          <cell r="T1314">
            <v>0.6</v>
          </cell>
          <cell r="U1314">
            <v>0.39</v>
          </cell>
          <cell r="V1314">
            <v>0.03</v>
          </cell>
          <cell r="W1314">
            <v>0</v>
          </cell>
          <cell r="X1314" t="str">
            <v>EST COMPONENTE PRATELEIRA ESTANTE VO (UNIAO) (LAM 2 NOG) - 0,6x0,39x0,03H</v>
          </cell>
          <cell r="Y1314">
            <v>2603.1</v>
          </cell>
          <cell r="Z1314">
            <v>0.35</v>
          </cell>
          <cell r="AA1314">
            <v>1692.0149999999999</v>
          </cell>
          <cell r="AB1314"/>
        </row>
        <row r="1315">
          <cell r="C1315">
            <v>0</v>
          </cell>
          <cell r="D1315">
            <v>0</v>
          </cell>
          <cell r="E1315">
            <v>6</v>
          </cell>
          <cell r="F1315">
            <v>0</v>
          </cell>
          <cell r="H1315">
            <v>0</v>
          </cell>
          <cell r="O1315">
            <v>328717</v>
          </cell>
          <cell r="P1315" t="str">
            <v>2022/213-0008-01</v>
          </cell>
          <cell r="Q1315" t="str">
            <v>EST COMPONENTE PRATELEIRA ESTANTE VO (UNIAO) (LAM 2 NOG)</v>
          </cell>
          <cell r="R1315"/>
          <cell r="S1315"/>
          <cell r="T1315">
            <v>0.6</v>
          </cell>
          <cell r="U1315">
            <v>0.39</v>
          </cell>
          <cell r="V1315">
            <v>0.03</v>
          </cell>
          <cell r="W1315">
            <v>0</v>
          </cell>
          <cell r="X1315" t="str">
            <v>EST COMPONENTE PRATELEIRA ESTANTE VO (UNIAO) (LAM 2 NOG) - 0,6x0,39x0,03H</v>
          </cell>
          <cell r="Y1315">
            <v>2603.1</v>
          </cell>
          <cell r="Z1315">
            <v>0.35</v>
          </cell>
          <cell r="AA1315">
            <v>1692.0149999999999</v>
          </cell>
          <cell r="AB1315"/>
        </row>
        <row r="1316">
          <cell r="C1316">
            <v>0</v>
          </cell>
          <cell r="D1316">
            <v>0</v>
          </cell>
          <cell r="E1316">
            <v>6</v>
          </cell>
          <cell r="F1316">
            <v>0</v>
          </cell>
          <cell r="H1316">
            <v>0</v>
          </cell>
          <cell r="O1316">
            <v>328717</v>
          </cell>
          <cell r="P1316" t="str">
            <v>2022/213-0009-01</v>
          </cell>
          <cell r="Q1316" t="str">
            <v>EST COMPONENTE PRATELEIRA ESTANTE VO (UNIAO) (LAM 2 NOG)</v>
          </cell>
          <cell r="R1316"/>
          <cell r="S1316"/>
          <cell r="T1316">
            <v>0.6</v>
          </cell>
          <cell r="U1316">
            <v>0.39</v>
          </cell>
          <cell r="V1316">
            <v>0.03</v>
          </cell>
          <cell r="W1316">
            <v>0</v>
          </cell>
          <cell r="X1316" t="str">
            <v>EST COMPONENTE PRATELEIRA ESTANTE VO (UNIAO) (LAM 2 NOG) - 0,6x0,39x0,03H</v>
          </cell>
          <cell r="Y1316">
            <v>2603.1</v>
          </cell>
          <cell r="Z1316">
            <v>0.35</v>
          </cell>
          <cell r="AA1316">
            <v>1692.0149999999999</v>
          </cell>
          <cell r="AB1316"/>
        </row>
        <row r="1317">
          <cell r="C1317">
            <v>0</v>
          </cell>
          <cell r="D1317">
            <v>0</v>
          </cell>
          <cell r="E1317">
            <v>6</v>
          </cell>
          <cell r="F1317">
            <v>0</v>
          </cell>
          <cell r="H1317">
            <v>0</v>
          </cell>
          <cell r="O1317">
            <v>328717</v>
          </cell>
          <cell r="P1317" t="str">
            <v>2022/213-0010-01</v>
          </cell>
          <cell r="Q1317" t="str">
            <v>EST COMPONENTE PRATELEIRA ESTANTE VO (UNIAO) (LAM 2 NOG)</v>
          </cell>
          <cell r="R1317"/>
          <cell r="S1317"/>
          <cell r="T1317">
            <v>0.6</v>
          </cell>
          <cell r="U1317">
            <v>0.39</v>
          </cell>
          <cell r="V1317">
            <v>0.03</v>
          </cell>
          <cell r="W1317">
            <v>0</v>
          </cell>
          <cell r="X1317" t="str">
            <v>EST COMPONENTE PRATELEIRA ESTANTE VO (UNIAO) (LAM 2 NOG) - 0,6x0,39x0,03H</v>
          </cell>
          <cell r="Y1317">
            <v>2603.1</v>
          </cell>
          <cell r="Z1317">
            <v>0.35</v>
          </cell>
          <cell r="AA1317">
            <v>1692.0149999999999</v>
          </cell>
          <cell r="AB1317"/>
        </row>
        <row r="1318">
          <cell r="C1318">
            <v>0</v>
          </cell>
          <cell r="D1318">
            <v>0</v>
          </cell>
          <cell r="E1318">
            <v>6</v>
          </cell>
          <cell r="F1318">
            <v>0</v>
          </cell>
          <cell r="H1318">
            <v>0</v>
          </cell>
          <cell r="O1318">
            <v>328717</v>
          </cell>
          <cell r="P1318" t="str">
            <v>2022/213-0011-01</v>
          </cell>
          <cell r="Q1318" t="str">
            <v>EST COMPONENTE PRATELEIRA ESTANTE VO (UNIAO) (LAM 2 NOG)</v>
          </cell>
          <cell r="R1318"/>
          <cell r="S1318"/>
          <cell r="T1318">
            <v>0.6</v>
          </cell>
          <cell r="U1318">
            <v>0.39</v>
          </cell>
          <cell r="V1318">
            <v>0.03</v>
          </cell>
          <cell r="W1318">
            <v>0</v>
          </cell>
          <cell r="X1318" t="str">
            <v>EST COMPONENTE PRATELEIRA ESTANTE VO (UNIAO) (LAM 2 NOG) - 0,6x0,39x0,03H</v>
          </cell>
          <cell r="Y1318">
            <v>2603.1</v>
          </cell>
          <cell r="Z1318">
            <v>0.35</v>
          </cell>
          <cell r="AA1318">
            <v>1692.0149999999999</v>
          </cell>
          <cell r="AB1318"/>
        </row>
        <row r="1319">
          <cell r="C1319">
            <v>0</v>
          </cell>
          <cell r="D1319">
            <v>0</v>
          </cell>
          <cell r="E1319">
            <v>1</v>
          </cell>
          <cell r="F1319">
            <v>0</v>
          </cell>
          <cell r="H1319">
            <v>0</v>
          </cell>
          <cell r="O1319">
            <v>328740</v>
          </cell>
          <cell r="P1319" t="str">
            <v>2022/213-0013-01</v>
          </cell>
          <cell r="Q1319" t="str">
            <v>EST BUFFET CHUVA (CORPO/PT MTZ MARROM COB) (BS MARROM COB)</v>
          </cell>
          <cell r="R1319"/>
          <cell r="S1319"/>
          <cell r="T1319">
            <v>2.2400000000000002</v>
          </cell>
          <cell r="U1319">
            <v>0.5</v>
          </cell>
          <cell r="V1319">
            <v>0.75</v>
          </cell>
          <cell r="W1319">
            <v>0</v>
          </cell>
          <cell r="X1319" t="str">
            <v>EST BUFFET CHUVA (CORPO/PT MTZ MARROM COB) (BS MARROM COB) - 2,24x0,5x0,75H</v>
          </cell>
          <cell r="Y1319">
            <v>41784.096000000005</v>
          </cell>
          <cell r="Z1319">
            <v>0.35</v>
          </cell>
          <cell r="AA1319">
            <v>27159.662400000005</v>
          </cell>
          <cell r="AB1319"/>
        </row>
        <row r="1320">
          <cell r="C1320">
            <v>1</v>
          </cell>
          <cell r="D1320">
            <v>1</v>
          </cell>
          <cell r="E1320">
            <v>1</v>
          </cell>
          <cell r="F1320">
            <v>1</v>
          </cell>
          <cell r="H1320">
            <v>2</v>
          </cell>
          <cell r="O1320">
            <v>334164</v>
          </cell>
          <cell r="P1320" t="str">
            <v>2022/175-0008-01</v>
          </cell>
          <cell r="Q1320" t="str">
            <v>EST CADEIRA JULIETA (JEQ PECAN) (COURO PIGUIMENTADO AREIA)</v>
          </cell>
          <cell r="R1320"/>
          <cell r="S1320"/>
          <cell r="T1320">
            <v>0.6</v>
          </cell>
          <cell r="U1320">
            <v>0.54</v>
          </cell>
          <cell r="V1320">
            <v>0.71</v>
          </cell>
          <cell r="W1320">
            <v>0</v>
          </cell>
          <cell r="X1320" t="str">
            <v>EST CADEIRA JULIETA (JEQ PECAN) (COURO PIGUIMENTADO AREIA) - 0,6x0,54x0,71H</v>
          </cell>
          <cell r="Y1320">
            <v>9657.4</v>
          </cell>
          <cell r="Z1320">
            <v>0.35</v>
          </cell>
          <cell r="AA1320">
            <v>6277.3099999999995</v>
          </cell>
          <cell r="AB1320"/>
        </row>
        <row r="1321">
          <cell r="C1321">
            <v>0</v>
          </cell>
          <cell r="D1321">
            <v>0</v>
          </cell>
          <cell r="E1321">
            <v>1</v>
          </cell>
          <cell r="F1321">
            <v>0</v>
          </cell>
          <cell r="H1321">
            <v>0</v>
          </cell>
          <cell r="O1321">
            <v>337718</v>
          </cell>
          <cell r="P1321" t="str">
            <v>2022/221-0019-01</v>
          </cell>
          <cell r="Q1321" t="str">
            <v>EST ESTANTE BURLE (MTZ MARROM COBRE) (LAM 2 PRAT CANELA)</v>
          </cell>
          <cell r="R1321"/>
          <cell r="S1321"/>
          <cell r="T1321">
            <v>1.3</v>
          </cell>
          <cell r="U1321">
            <v>0.45</v>
          </cell>
          <cell r="V1321">
            <v>1.83</v>
          </cell>
          <cell r="W1321">
            <v>0</v>
          </cell>
          <cell r="X1321" t="str">
            <v>EST ESTANTE BURLE (MTZ MARROM COBRE) (LAM 2 PRAT CANELA) - 1,3x0,45x1,83H</v>
          </cell>
          <cell r="Y1321">
            <v>44856.36</v>
          </cell>
          <cell r="Z1321">
            <v>0.35</v>
          </cell>
          <cell r="AA1321">
            <v>29156.634000000002</v>
          </cell>
          <cell r="AB1321"/>
        </row>
        <row r="1322">
          <cell r="C1322">
            <v>0</v>
          </cell>
          <cell r="D1322">
            <v>1</v>
          </cell>
          <cell r="E1322">
            <v>1</v>
          </cell>
          <cell r="F1322">
            <v>0</v>
          </cell>
          <cell r="H1322">
            <v>0</v>
          </cell>
          <cell r="O1322">
            <v>379648</v>
          </cell>
          <cell r="P1322" t="str">
            <v>2024/081-0060-01</v>
          </cell>
          <cell r="Q1322" t="str">
            <v>EST POLTRONA PATER (JEQUITIBA) COURO 1 CAMEL/ALMOF FX6649</v>
          </cell>
          <cell r="R1322"/>
          <cell r="S1322"/>
          <cell r="T1322">
            <v>0.82</v>
          </cell>
          <cell r="U1322">
            <v>0.94</v>
          </cell>
          <cell r="V1322">
            <v>0.83</v>
          </cell>
          <cell r="W1322">
            <v>0</v>
          </cell>
          <cell r="X1322" t="str">
            <v>EST POLTRONA PATER (JEQUITIBA) COURO 1 CAMEL/ALMOF FX6649 - 0,82x0,94x0,83H</v>
          </cell>
          <cell r="Y1322">
            <v>32716.68</v>
          </cell>
          <cell r="Z1322">
            <v>0.35</v>
          </cell>
          <cell r="AA1322">
            <v>21265.842000000001</v>
          </cell>
          <cell r="AB1322"/>
        </row>
        <row r="1323">
          <cell r="C1323">
            <v>0</v>
          </cell>
          <cell r="D1323">
            <v>1</v>
          </cell>
          <cell r="E1323">
            <v>1</v>
          </cell>
          <cell r="F1323">
            <v>0</v>
          </cell>
          <cell r="H1323">
            <v>0</v>
          </cell>
          <cell r="O1323">
            <v>379649</v>
          </cell>
          <cell r="P1323" t="str">
            <v>2024/081-0061-01</v>
          </cell>
          <cell r="Q1323" t="str">
            <v>EST BANQUETA PATER (JEQUITIBA) COURO 1 CAMEL/ALMOF FX6649</v>
          </cell>
          <cell r="R1323"/>
          <cell r="S1323"/>
          <cell r="T1323">
            <v>0.66</v>
          </cell>
          <cell r="U1323">
            <v>0.51</v>
          </cell>
          <cell r="V1323">
            <v>0.47</v>
          </cell>
          <cell r="W1323">
            <v>0</v>
          </cell>
          <cell r="X1323" t="str">
            <v>EST BANQUETA PATER (JEQUITIBA) COURO 1 CAMEL/ALMOF FX6649 - 0,66x0,51x0,47H</v>
          </cell>
          <cell r="Y1323">
            <v>14786.6</v>
          </cell>
          <cell r="Z1323">
            <v>0.35</v>
          </cell>
          <cell r="AA1323">
            <v>9611.2900000000009</v>
          </cell>
          <cell r="AB1323"/>
        </row>
        <row r="1324">
          <cell r="C1324">
            <v>0</v>
          </cell>
          <cell r="D1324">
            <v>0</v>
          </cell>
          <cell r="E1324">
            <v>1</v>
          </cell>
          <cell r="F1324">
            <v>0</v>
          </cell>
          <cell r="H1324">
            <v>0</v>
          </cell>
          <cell r="O1324">
            <v>390792</v>
          </cell>
          <cell r="P1324" t="str">
            <v>2024/226-0034-01</v>
          </cell>
          <cell r="Q1324" t="str">
            <v>EST MESA LATERAL EXOTICA H50 (MARM 3 JADORE) MTX CINZA F MED</v>
          </cell>
          <cell r="R1324"/>
          <cell r="S1324"/>
          <cell r="T1324">
            <v>0.25</v>
          </cell>
          <cell r="U1324">
            <v>0</v>
          </cell>
          <cell r="V1324">
            <v>0.5</v>
          </cell>
          <cell r="W1324">
            <v>0.25</v>
          </cell>
          <cell r="X1324" t="str">
            <v>EST MESA LATERAL EXOTICA H50 (MARM 3 JADORE) MTX CINZA F MED - Ø0,25x0,5H</v>
          </cell>
          <cell r="Y1324">
            <v>8902.9699999999993</v>
          </cell>
          <cell r="Z1324">
            <v>0.35</v>
          </cell>
          <cell r="AA1324">
            <v>5786.9305000000004</v>
          </cell>
          <cell r="AB1324"/>
        </row>
        <row r="1325">
          <cell r="C1325">
            <v>0</v>
          </cell>
          <cell r="D1325">
            <v>0</v>
          </cell>
          <cell r="E1325">
            <v>1</v>
          </cell>
          <cell r="F1325">
            <v>0</v>
          </cell>
          <cell r="H1325">
            <v>0</v>
          </cell>
          <cell r="O1325">
            <v>394909</v>
          </cell>
          <cell r="P1325" t="str">
            <v>2025/014-0043-01</v>
          </cell>
          <cell r="Q1325" t="str">
            <v>EST POLTRONA COCON (GIR) (ENC FX G7126) (FX G7126)</v>
          </cell>
          <cell r="R1325"/>
          <cell r="S1325"/>
          <cell r="T1325">
            <v>0.95</v>
          </cell>
          <cell r="U1325">
            <v>0.9</v>
          </cell>
          <cell r="V1325">
            <v>0.74</v>
          </cell>
          <cell r="W1325">
            <v>0</v>
          </cell>
          <cell r="X1325" t="str">
            <v>EST POLTRONA COCON (GIR) (ENC FX G7126) (FX G7126) - 0,95x0,9x0,74H</v>
          </cell>
          <cell r="Y1325">
            <v>10886.62</v>
          </cell>
          <cell r="Z1325">
            <v>0.35</v>
          </cell>
          <cell r="AA1325">
            <v>7076.3030000000008</v>
          </cell>
          <cell r="AB1325"/>
        </row>
        <row r="1326">
          <cell r="C1326">
            <v>0</v>
          </cell>
          <cell r="D1326">
            <v>0</v>
          </cell>
          <cell r="E1326">
            <v>1</v>
          </cell>
          <cell r="F1326">
            <v>0</v>
          </cell>
          <cell r="H1326">
            <v>0</v>
          </cell>
          <cell r="O1326">
            <v>394909</v>
          </cell>
          <cell r="P1326" t="str">
            <v>2025/014-0044-01</v>
          </cell>
          <cell r="Q1326" t="str">
            <v>EST POLTRONA COCON (GIR) (ENC FX G7126) (FX G7126)</v>
          </cell>
          <cell r="R1326"/>
          <cell r="S1326"/>
          <cell r="T1326">
            <v>0.95</v>
          </cell>
          <cell r="U1326">
            <v>0.9</v>
          </cell>
          <cell r="V1326">
            <v>0.74</v>
          </cell>
          <cell r="W1326">
            <v>0</v>
          </cell>
          <cell r="X1326" t="str">
            <v>EST POLTRONA COCON (GIR) (ENC FX G7126) (FX G7126) - 0,95x0,9x0,74H</v>
          </cell>
          <cell r="Y1326">
            <v>10886.62</v>
          </cell>
          <cell r="Z1326">
            <v>0.35</v>
          </cell>
          <cell r="AA1326">
            <v>7076.3030000000008</v>
          </cell>
          <cell r="AB1326"/>
        </row>
        <row r="1327">
          <cell r="C1327">
            <v>0</v>
          </cell>
          <cell r="D1327">
            <v>0</v>
          </cell>
          <cell r="E1327">
            <v>1</v>
          </cell>
          <cell r="F1327">
            <v>0</v>
          </cell>
          <cell r="H1327">
            <v>1</v>
          </cell>
          <cell r="O1327">
            <v>394921</v>
          </cell>
          <cell r="P1327" t="str">
            <v>2025/014-0037-01</v>
          </cell>
          <cell r="Q1327" t="str">
            <v>EST CADEIRA DESIREE (GIR) (ENC FX D4236) (FX D4236)</v>
          </cell>
          <cell r="R1327"/>
          <cell r="S1327"/>
          <cell r="T1327">
            <v>0.66</v>
          </cell>
          <cell r="U1327">
            <v>0.62</v>
          </cell>
          <cell r="V1327">
            <v>0.81</v>
          </cell>
          <cell r="W1327">
            <v>0</v>
          </cell>
          <cell r="X1327" t="str">
            <v>EST CADEIRA DESIREE (GIR) (ENC FX D4236) (FX D4236) - 0,66x0,62x0,81H</v>
          </cell>
          <cell r="Y1327">
            <v>8114.22</v>
          </cell>
          <cell r="Z1327">
            <v>0.35</v>
          </cell>
          <cell r="AA1327">
            <v>5274.2430000000004</v>
          </cell>
          <cell r="AB1327"/>
        </row>
        <row r="1328">
          <cell r="C1328">
            <v>0</v>
          </cell>
          <cell r="D1328">
            <v>0</v>
          </cell>
          <cell r="E1328">
            <v>1</v>
          </cell>
          <cell r="F1328">
            <v>0</v>
          </cell>
          <cell r="H1328">
            <v>1</v>
          </cell>
          <cell r="O1328">
            <v>394921</v>
          </cell>
          <cell r="P1328" t="str">
            <v>2025/014-0038-01</v>
          </cell>
          <cell r="Q1328" t="str">
            <v>EST CADEIRA DESIREE (GIR) (ENC FX D4236) (FX D4236)</v>
          </cell>
          <cell r="R1328"/>
          <cell r="S1328"/>
          <cell r="T1328">
            <v>0.66</v>
          </cell>
          <cell r="U1328">
            <v>0.62</v>
          </cell>
          <cell r="V1328">
            <v>0.81</v>
          </cell>
          <cell r="W1328">
            <v>0</v>
          </cell>
          <cell r="X1328" t="str">
            <v>EST CADEIRA DESIREE (GIR) (ENC FX D4236) (FX D4236) - 0,66x0,62x0,81H</v>
          </cell>
          <cell r="Y1328">
            <v>8114.22</v>
          </cell>
          <cell r="Z1328">
            <v>0.35</v>
          </cell>
          <cell r="AA1328">
            <v>5274.2430000000004</v>
          </cell>
          <cell r="AB1328"/>
        </row>
        <row r="1329">
          <cell r="C1329">
            <v>0</v>
          </cell>
          <cell r="D1329">
            <v>0</v>
          </cell>
          <cell r="E1329">
            <v>0</v>
          </cell>
          <cell r="F1329">
            <v>0</v>
          </cell>
          <cell r="H1329">
            <v>0</v>
          </cell>
          <cell r="O1329">
            <v>394925</v>
          </cell>
          <cell r="P1329" t="str">
            <v>2025/069-0082-01</v>
          </cell>
          <cell r="Q1329" t="str">
            <v>EST MESA CENTRO ESSENCE OBLONGO (MTZ CAPUCCINO) CLEAR/NUVOLA</v>
          </cell>
          <cell r="R1329"/>
          <cell r="S1329"/>
          <cell r="T1329">
            <v>1.28</v>
          </cell>
          <cell r="U1329">
            <v>1</v>
          </cell>
          <cell r="V1329">
            <v>0.3</v>
          </cell>
          <cell r="W1329">
            <v>0</v>
          </cell>
          <cell r="X1329" t="str">
            <v>EST MESA CENTRO ESSENCE OBLONGO (MTZ CAPUCCINO) CLEAR/NUVOLA - 1,28x1x0,3H</v>
          </cell>
          <cell r="Y1329">
            <v>29859.96</v>
          </cell>
          <cell r="Z1329">
            <v>0.35</v>
          </cell>
          <cell r="AA1329">
            <v>19408.974000000002</v>
          </cell>
          <cell r="AB1329"/>
        </row>
        <row r="1330">
          <cell r="C1330">
            <v>0</v>
          </cell>
          <cell r="D1330">
            <v>0</v>
          </cell>
          <cell r="E1330">
            <v>1</v>
          </cell>
          <cell r="F1330">
            <v>0</v>
          </cell>
          <cell r="H1330">
            <v>0</v>
          </cell>
          <cell r="O1330">
            <v>404834</v>
          </cell>
          <cell r="P1330" t="str">
            <v>2025/129-0038-01</v>
          </cell>
          <cell r="Q1330" t="str">
            <v>EST TAPETE SISAL CY (BARRA VIRADA)</v>
          </cell>
          <cell r="R1330"/>
          <cell r="S1330"/>
          <cell r="T1330">
            <v>4</v>
          </cell>
          <cell r="U1330">
            <v>0</v>
          </cell>
          <cell r="V1330">
            <v>0</v>
          </cell>
          <cell r="W1330">
            <v>4</v>
          </cell>
          <cell r="X1330" t="str">
            <v>EST TAPETE SISAL CY (BARRA VIRADA) - Ø4x0H</v>
          </cell>
          <cell r="Y1330">
            <v>8951.49</v>
          </cell>
          <cell r="Z1330">
            <v>0.35</v>
          </cell>
          <cell r="AA1330">
            <v>5818.4684999999999</v>
          </cell>
          <cell r="AB1330"/>
        </row>
        <row r="1331">
          <cell r="C1331">
            <v>0</v>
          </cell>
          <cell r="D1331">
            <v>0</v>
          </cell>
          <cell r="E1331">
            <v>1</v>
          </cell>
          <cell r="F1331">
            <v>0</v>
          </cell>
          <cell r="H1331">
            <v>0</v>
          </cell>
          <cell r="O1331">
            <v>404835</v>
          </cell>
          <cell r="P1331" t="str">
            <v>2025/129-0039-01</v>
          </cell>
          <cell r="Q1331" t="str">
            <v>EST TAPETE SISAL CD (BARRA VIRADA)</v>
          </cell>
          <cell r="R1331"/>
          <cell r="S1331"/>
          <cell r="T1331">
            <v>5</v>
          </cell>
          <cell r="U1331">
            <v>3.5</v>
          </cell>
          <cell r="V1331">
            <v>0</v>
          </cell>
          <cell r="W1331">
            <v>0</v>
          </cell>
          <cell r="X1331" t="str">
            <v>EST TAPETE SISAL CD (BARRA VIRADA) - 5x3,5x0H</v>
          </cell>
          <cell r="Y1331">
            <v>10836.76</v>
          </cell>
          <cell r="Z1331">
            <v>0.35</v>
          </cell>
          <cell r="AA1331">
            <v>7043.8940000000002</v>
          </cell>
          <cell r="AB1331"/>
        </row>
        <row r="1332">
          <cell r="C1332">
            <v>0</v>
          </cell>
          <cell r="D1332">
            <v>0</v>
          </cell>
          <cell r="E1332">
            <v>1</v>
          </cell>
          <cell r="F1332">
            <v>0</v>
          </cell>
          <cell r="H1332">
            <v>0</v>
          </cell>
          <cell r="O1332">
            <v>302844</v>
          </cell>
          <cell r="P1332" t="str">
            <v>2022/034-0016-01</v>
          </cell>
          <cell r="Q1332" t="str">
            <v>EST BANDEJA RITMO Ø55 (MARMORE 1 MAORI)</v>
          </cell>
          <cell r="R1332"/>
          <cell r="S1332"/>
          <cell r="T1332">
            <v>0.55000000000000004</v>
          </cell>
          <cell r="U1332">
            <v>0</v>
          </cell>
          <cell r="V1332">
            <v>0.02</v>
          </cell>
          <cell r="W1332">
            <v>0.55000000000000004</v>
          </cell>
          <cell r="X1332" t="str">
            <v>EST BANDEJA RITMO Ø55 (MARMORE 1 MAORI) - Ø0,55x0,02H</v>
          </cell>
          <cell r="Y1332">
            <v>8586.23</v>
          </cell>
          <cell r="Z1332">
            <v>0.5</v>
          </cell>
          <cell r="AA1332">
            <v>4293.1149999999998</v>
          </cell>
          <cell r="AB1332"/>
        </row>
        <row r="1333">
          <cell r="C1333">
            <v>0</v>
          </cell>
          <cell r="D1333">
            <v>0</v>
          </cell>
          <cell r="E1333">
            <v>0</v>
          </cell>
          <cell r="F1333">
            <v>1</v>
          </cell>
          <cell r="H1333">
            <v>0</v>
          </cell>
          <cell r="O1333">
            <v>328741</v>
          </cell>
          <cell r="P1333" t="str">
            <v>2022/153-0046-01</v>
          </cell>
          <cell r="Q1333" t="str">
            <v>EST MODULO ENCOSTO (L) LENCOIS M (DET BG4) (FX8173)</v>
          </cell>
          <cell r="R1333"/>
          <cell r="S1333"/>
          <cell r="T1333">
            <v>1.1000000000000001</v>
          </cell>
          <cell r="U1333">
            <v>0.8</v>
          </cell>
          <cell r="V1333">
            <v>0.26</v>
          </cell>
          <cell r="W1333">
            <v>0</v>
          </cell>
          <cell r="X1333" t="str">
            <v>EST MODULO ENCOSTO (L) LENCOIS M (DET BG4) (FX8173) - 1,1x0,8x0,26H</v>
          </cell>
          <cell r="Y1333">
            <v>7282.37</v>
          </cell>
          <cell r="Z1333">
            <v>0.35</v>
          </cell>
          <cell r="AA1333">
            <v>4733.5405000000001</v>
          </cell>
          <cell r="AB1333"/>
        </row>
        <row r="1334">
          <cell r="C1334">
            <v>0</v>
          </cell>
          <cell r="D1334">
            <v>0</v>
          </cell>
          <cell r="E1334">
            <v>0</v>
          </cell>
          <cell r="F1334">
            <v>2</v>
          </cell>
          <cell r="H1334">
            <v>0</v>
          </cell>
          <cell r="O1334">
            <v>328742</v>
          </cell>
          <cell r="P1334" t="str">
            <v>2022/153-0047-01</v>
          </cell>
          <cell r="Q1334" t="str">
            <v>EST MODULO ENCOSTO RETO LENCOIS M (DET BG4) (FX8173)</v>
          </cell>
          <cell r="R1334"/>
          <cell r="S1334"/>
          <cell r="T1334">
            <v>1.1000000000000001</v>
          </cell>
          <cell r="U1334">
            <v>0.26</v>
          </cell>
          <cell r="V1334">
            <v>0.26</v>
          </cell>
          <cell r="W1334">
            <v>0</v>
          </cell>
          <cell r="X1334" t="str">
            <v>EST MODULO ENCOSTO RETO LENCOIS M (DET BG4) (FX8173) - 1,1x0,26x0,26H</v>
          </cell>
          <cell r="Y1334">
            <v>4711.03</v>
          </cell>
          <cell r="Z1334">
            <v>0.35</v>
          </cell>
          <cell r="AA1334">
            <v>3062.1695</v>
          </cell>
          <cell r="AB1334"/>
        </row>
        <row r="1335">
          <cell r="C1335">
            <v>0</v>
          </cell>
          <cell r="D1335">
            <v>0</v>
          </cell>
          <cell r="E1335">
            <v>0</v>
          </cell>
          <cell r="F1335">
            <v>2</v>
          </cell>
          <cell r="H1335">
            <v>0</v>
          </cell>
          <cell r="O1335">
            <v>328742</v>
          </cell>
          <cell r="P1335" t="str">
            <v>2022/153-0048-01</v>
          </cell>
          <cell r="Q1335" t="str">
            <v>EST MODULO ENCOSTO RETO LENCOIS M (DET BG4) (FX8173)</v>
          </cell>
          <cell r="R1335"/>
          <cell r="S1335"/>
          <cell r="T1335">
            <v>1.1000000000000001</v>
          </cell>
          <cell r="U1335">
            <v>0.26</v>
          </cell>
          <cell r="V1335">
            <v>0.26</v>
          </cell>
          <cell r="W1335">
            <v>0</v>
          </cell>
          <cell r="X1335" t="str">
            <v>EST MODULO ENCOSTO RETO LENCOIS M (DET BG4) (FX8173) - 1,1x0,26x0,26H</v>
          </cell>
          <cell r="Y1335">
            <v>4711.03</v>
          </cell>
          <cell r="Z1335">
            <v>0.35</v>
          </cell>
          <cell r="AA1335">
            <v>3062.1695</v>
          </cell>
          <cell r="AB1335"/>
        </row>
        <row r="1336">
          <cell r="C1336">
            <v>0</v>
          </cell>
          <cell r="D1336">
            <v>0</v>
          </cell>
          <cell r="E1336">
            <v>0</v>
          </cell>
          <cell r="F1336">
            <v>3</v>
          </cell>
          <cell r="H1336">
            <v>0</v>
          </cell>
          <cell r="O1336">
            <v>328743</v>
          </cell>
          <cell r="P1336" t="str">
            <v>2022/153-0049-01</v>
          </cell>
          <cell r="Q1336" t="str">
            <v>EST MODULO ENCOSTO RETO LENCOIS M (DET BG4) (FX8173)</v>
          </cell>
          <cell r="R1336"/>
          <cell r="S1336"/>
          <cell r="T1336">
            <v>0.7</v>
          </cell>
          <cell r="U1336">
            <v>0.26</v>
          </cell>
          <cell r="V1336">
            <v>0.26</v>
          </cell>
          <cell r="W1336">
            <v>0</v>
          </cell>
          <cell r="X1336" t="str">
            <v>EST MODULO ENCOSTO RETO LENCOIS M (DET BG4) (FX8173) - 0,7x0,26x0,26H</v>
          </cell>
          <cell r="Y1336">
            <v>3650.57</v>
          </cell>
          <cell r="Z1336">
            <v>0.35</v>
          </cell>
          <cell r="AA1336">
            <v>2372.8705</v>
          </cell>
          <cell r="AB1336"/>
        </row>
        <row r="1337">
          <cell r="C1337">
            <v>0</v>
          </cell>
          <cell r="D1337">
            <v>0</v>
          </cell>
          <cell r="E1337">
            <v>0</v>
          </cell>
          <cell r="F1337">
            <v>3</v>
          </cell>
          <cell r="H1337">
            <v>0</v>
          </cell>
          <cell r="O1337">
            <v>328743</v>
          </cell>
          <cell r="P1337" t="str">
            <v>2022/153-0050-01</v>
          </cell>
          <cell r="Q1337" t="str">
            <v>EST MODULO ENCOSTO RETO LENCOIS M (DET BG4) (FX8173)</v>
          </cell>
          <cell r="R1337"/>
          <cell r="S1337"/>
          <cell r="T1337">
            <v>0.7</v>
          </cell>
          <cell r="U1337">
            <v>0.26</v>
          </cell>
          <cell r="V1337">
            <v>0.26</v>
          </cell>
          <cell r="W1337">
            <v>0</v>
          </cell>
          <cell r="X1337" t="str">
            <v>EST MODULO ENCOSTO RETO LENCOIS M (DET BG4) (FX8173) - 0,7x0,26x0,26H</v>
          </cell>
          <cell r="Y1337">
            <v>3650.57</v>
          </cell>
          <cell r="Z1337">
            <v>0.35</v>
          </cell>
          <cell r="AA1337">
            <v>2372.8705</v>
          </cell>
          <cell r="AB1337"/>
        </row>
        <row r="1338">
          <cell r="C1338">
            <v>0</v>
          </cell>
          <cell r="D1338">
            <v>0</v>
          </cell>
          <cell r="E1338">
            <v>0</v>
          </cell>
          <cell r="F1338">
            <v>3</v>
          </cell>
          <cell r="H1338">
            <v>0</v>
          </cell>
          <cell r="O1338">
            <v>328743</v>
          </cell>
          <cell r="P1338" t="str">
            <v>2022/153-0051-01</v>
          </cell>
          <cell r="Q1338" t="str">
            <v>EST MODULO ENCOSTO RETO LENCOIS M (DET BG4) (FX8173)</v>
          </cell>
          <cell r="R1338"/>
          <cell r="S1338"/>
          <cell r="T1338">
            <v>0.7</v>
          </cell>
          <cell r="U1338">
            <v>0.26</v>
          </cell>
          <cell r="V1338">
            <v>0.26</v>
          </cell>
          <cell r="W1338">
            <v>0</v>
          </cell>
          <cell r="X1338" t="str">
            <v>EST MODULO ENCOSTO RETO LENCOIS M (DET BG4) (FX8173) - 0,7x0,26x0,26H</v>
          </cell>
          <cell r="Y1338">
            <v>3650.57</v>
          </cell>
          <cell r="Z1338">
            <v>0.35</v>
          </cell>
          <cell r="AA1338">
            <v>2372.8705</v>
          </cell>
          <cell r="AB1338"/>
        </row>
        <row r="1339">
          <cell r="C1339">
            <v>0</v>
          </cell>
          <cell r="D1339">
            <v>0</v>
          </cell>
          <cell r="E1339">
            <v>0</v>
          </cell>
          <cell r="F1339">
            <v>1</v>
          </cell>
          <cell r="H1339">
            <v>0</v>
          </cell>
          <cell r="O1339">
            <v>328745</v>
          </cell>
          <cell r="P1339" t="str">
            <v>2022/153-0052-01</v>
          </cell>
          <cell r="Q1339" t="str">
            <v>EST MODULO PUFF LENCOIS M (RVST BG4) (FX8173)</v>
          </cell>
          <cell r="R1339"/>
          <cell r="S1339"/>
          <cell r="T1339">
            <v>2.4</v>
          </cell>
          <cell r="U1339">
            <v>1</v>
          </cell>
          <cell r="V1339">
            <v>0.38</v>
          </cell>
          <cell r="W1339">
            <v>0</v>
          </cell>
          <cell r="X1339" t="str">
            <v>EST MODULO PUFF LENCOIS M (RVST BG4) (FX8173) - 2,4x1x0,38H</v>
          </cell>
          <cell r="Y1339">
            <v>18482.73</v>
          </cell>
          <cell r="Z1339">
            <v>0.35</v>
          </cell>
          <cell r="AA1339">
            <v>12013.7745</v>
          </cell>
          <cell r="AB1339"/>
        </row>
        <row r="1340">
          <cell r="C1340">
            <v>0</v>
          </cell>
          <cell r="D1340">
            <v>0</v>
          </cell>
          <cell r="E1340">
            <v>0</v>
          </cell>
          <cell r="F1340">
            <v>1</v>
          </cell>
          <cell r="H1340">
            <v>0</v>
          </cell>
          <cell r="O1340">
            <v>328746</v>
          </cell>
          <cell r="P1340" t="str">
            <v>2022/153-0053-01</v>
          </cell>
          <cell r="Q1340" t="str">
            <v>EST MODULO PUFF CHAISE LENCOIS M (RVST BG4) (FX8173)</v>
          </cell>
          <cell r="R1340"/>
          <cell r="S1340"/>
          <cell r="T1340">
            <v>2.4</v>
          </cell>
          <cell r="U1340">
            <v>1.55</v>
          </cell>
          <cell r="V1340">
            <v>0.38</v>
          </cell>
          <cell r="W1340">
            <v>0</v>
          </cell>
          <cell r="X1340" t="str">
            <v>EST MODULO PUFF CHAISE LENCOIS M (RVST BG4) (FX8173) - 2,4x1,55x0,38H</v>
          </cell>
          <cell r="Y1340">
            <v>27360.44</v>
          </cell>
          <cell r="Z1340">
            <v>0.35</v>
          </cell>
          <cell r="AA1340">
            <v>17784.286</v>
          </cell>
          <cell r="AB1340"/>
        </row>
        <row r="1341">
          <cell r="C1341">
            <v>0</v>
          </cell>
          <cell r="D1341">
            <v>0</v>
          </cell>
          <cell r="E1341">
            <v>0</v>
          </cell>
          <cell r="F1341">
            <v>1</v>
          </cell>
          <cell r="H1341">
            <v>0</v>
          </cell>
          <cell r="O1341">
            <v>328890</v>
          </cell>
          <cell r="P1341" t="str">
            <v>2022/153-0054-01</v>
          </cell>
          <cell r="Q1341" t="str">
            <v>EST MODULO PUFF CANTO 90 LENCOIS M (RVST BG4) (FX8173)</v>
          </cell>
          <cell r="R1341"/>
          <cell r="S1341"/>
          <cell r="T1341">
            <v>1</v>
          </cell>
          <cell r="U1341">
            <v>1</v>
          </cell>
          <cell r="V1341">
            <v>0.38</v>
          </cell>
          <cell r="W1341">
            <v>0</v>
          </cell>
          <cell r="X1341" t="str">
            <v>EST MODULO PUFF CANTO 90 LENCOIS M (RVST BG4) (FX8173) - 1x1x0,38H</v>
          </cell>
          <cell r="Y1341">
            <v>11125.27</v>
          </cell>
          <cell r="Z1341">
            <v>0.35</v>
          </cell>
          <cell r="AA1341">
            <v>7231.4255000000012</v>
          </cell>
          <cell r="AB1341"/>
        </row>
        <row r="1342">
          <cell r="C1342">
            <v>0</v>
          </cell>
          <cell r="D1342">
            <v>0</v>
          </cell>
          <cell r="E1342">
            <v>0</v>
          </cell>
          <cell r="F1342">
            <v>1</v>
          </cell>
          <cell r="H1342">
            <v>0</v>
          </cell>
          <cell r="O1342">
            <v>334195</v>
          </cell>
          <cell r="P1342" t="str">
            <v>2022/221-0013-01</v>
          </cell>
          <cell r="Q1342" t="str">
            <v>EST MESA CENTRO CRUX (RED MST) (MARM 4 NERO/NOG) (BS PTO)</v>
          </cell>
          <cell r="R1342"/>
          <cell r="S1342"/>
          <cell r="T1342">
            <v>1.6</v>
          </cell>
          <cell r="U1342">
            <v>1</v>
          </cell>
          <cell r="V1342">
            <v>0.35</v>
          </cell>
          <cell r="W1342">
            <v>0</v>
          </cell>
          <cell r="X1342" t="str">
            <v>EST MESA CENTRO CRUX (RED MST) (MARM 4 NERO/NOG) (BS PTO) - 1,6x1x0,35H</v>
          </cell>
          <cell r="Y1342">
            <v>40704.79</v>
          </cell>
          <cell r="Z1342">
            <v>0.35</v>
          </cell>
          <cell r="AA1342">
            <v>26458.113499999999</v>
          </cell>
          <cell r="AB1342"/>
        </row>
        <row r="1343">
          <cell r="C1343">
            <v>0</v>
          </cell>
          <cell r="D1343">
            <v>0</v>
          </cell>
          <cell r="E1343">
            <v>0</v>
          </cell>
          <cell r="F1343">
            <v>1</v>
          </cell>
          <cell r="H1343">
            <v>0</v>
          </cell>
          <cell r="O1343">
            <v>334263</v>
          </cell>
          <cell r="P1343" t="str">
            <v>2022/221-0015-01</v>
          </cell>
          <cell r="Q1343" t="str">
            <v>EST MESA LATERAL METAIS H49 (MTZ ONIX COBREADO)</v>
          </cell>
          <cell r="R1343"/>
          <cell r="S1343"/>
          <cell r="T1343">
            <v>0.25</v>
          </cell>
          <cell r="U1343">
            <v>0</v>
          </cell>
          <cell r="V1343">
            <v>0.49</v>
          </cell>
          <cell r="W1343">
            <v>0.25</v>
          </cell>
          <cell r="X1343" t="str">
            <v>EST MESA LATERAL METAIS H49 (MTZ ONIX COBREADO) - Ø0,25x0,49H</v>
          </cell>
          <cell r="Y1343">
            <v>7170.91</v>
          </cell>
          <cell r="Z1343">
            <v>0.35</v>
          </cell>
          <cell r="AA1343">
            <v>4661.0915000000005</v>
          </cell>
          <cell r="AB1343"/>
        </row>
        <row r="1344">
          <cell r="C1344">
            <v>0</v>
          </cell>
          <cell r="D1344">
            <v>0</v>
          </cell>
          <cell r="E1344">
            <v>0</v>
          </cell>
          <cell r="F1344">
            <v>1</v>
          </cell>
          <cell r="H1344">
            <v>0</v>
          </cell>
          <cell r="O1344">
            <v>334264</v>
          </cell>
          <cell r="P1344" t="str">
            <v>2022/221-0016-01</v>
          </cell>
          <cell r="Q1344" t="str">
            <v>EST MESA LATERAL METAIS H53 (MTZ ACIZENTADO)</v>
          </cell>
          <cell r="R1344"/>
          <cell r="S1344"/>
          <cell r="T1344">
            <v>0.35</v>
          </cell>
          <cell r="U1344">
            <v>0</v>
          </cell>
          <cell r="V1344">
            <v>0.53</v>
          </cell>
          <cell r="W1344">
            <v>0.35</v>
          </cell>
          <cell r="X1344" t="str">
            <v>EST MESA LATERAL METAIS H53 (MTZ ACIZENTADO) - Ø0,35x0,53H</v>
          </cell>
          <cell r="Y1344">
            <v>7898.37</v>
          </cell>
          <cell r="Z1344">
            <v>0.35</v>
          </cell>
          <cell r="AA1344">
            <v>5133.9405000000006</v>
          </cell>
          <cell r="AB1344"/>
        </row>
        <row r="1345">
          <cell r="C1345">
            <v>0</v>
          </cell>
          <cell r="D1345">
            <v>0</v>
          </cell>
          <cell r="E1345">
            <v>0</v>
          </cell>
          <cell r="F1345">
            <v>1</v>
          </cell>
          <cell r="H1345">
            <v>0</v>
          </cell>
          <cell r="O1345">
            <v>334265</v>
          </cell>
          <cell r="P1345" t="str">
            <v>2022/221-0017-01</v>
          </cell>
          <cell r="Q1345" t="str">
            <v>EST MESA LATERAL METAIS H57 (MTZ ACIZENTADO)</v>
          </cell>
          <cell r="R1345"/>
          <cell r="S1345"/>
          <cell r="T1345">
            <v>0.25</v>
          </cell>
          <cell r="U1345">
            <v>0</v>
          </cell>
          <cell r="V1345">
            <v>0.56999999999999995</v>
          </cell>
          <cell r="W1345">
            <v>0.25</v>
          </cell>
          <cell r="X1345" t="str">
            <v>EST MESA LATERAL METAIS H57 (MTZ ACIZENTADO) - Ø0,25x0,57H</v>
          </cell>
          <cell r="Y1345">
            <v>7170.91</v>
          </cell>
          <cell r="Z1345">
            <v>0.35</v>
          </cell>
          <cell r="AA1345">
            <v>4661.0915000000005</v>
          </cell>
          <cell r="AB1345"/>
        </row>
        <row r="1346">
          <cell r="C1346">
            <v>0</v>
          </cell>
          <cell r="D1346">
            <v>0</v>
          </cell>
          <cell r="E1346">
            <v>0</v>
          </cell>
          <cell r="F1346">
            <v>1</v>
          </cell>
          <cell r="H1346">
            <v>0</v>
          </cell>
          <cell r="O1346">
            <v>334267</v>
          </cell>
          <cell r="P1346" t="str">
            <v>2022/221-0018-01</v>
          </cell>
          <cell r="Q1346" t="str">
            <v>EST MESA LATERAL METAIS H57 (MTZ ONIX COBREADO)</v>
          </cell>
          <cell r="R1346"/>
          <cell r="S1346"/>
          <cell r="T1346">
            <v>0.35</v>
          </cell>
          <cell r="U1346">
            <v>0</v>
          </cell>
          <cell r="V1346">
            <v>0.56999999999999995</v>
          </cell>
          <cell r="W1346">
            <v>0.35</v>
          </cell>
          <cell r="X1346" t="str">
            <v>EST MESA LATERAL METAIS H57 (MTZ ONIX COBREADO) - Ø0,35x0,57H</v>
          </cell>
          <cell r="Y1346">
            <v>7898.37</v>
          </cell>
          <cell r="Z1346">
            <v>0.35</v>
          </cell>
          <cell r="AA1346">
            <v>5133.9405000000006</v>
          </cell>
          <cell r="AB1346"/>
        </row>
        <row r="1347">
          <cell r="C1347">
            <v>0</v>
          </cell>
          <cell r="D1347">
            <v>0</v>
          </cell>
          <cell r="E1347">
            <v>0</v>
          </cell>
          <cell r="F1347">
            <v>1</v>
          </cell>
          <cell r="H1347">
            <v>0</v>
          </cell>
          <cell r="O1347">
            <v>334269</v>
          </cell>
          <cell r="P1347" t="str">
            <v>2022/213-0036-01</v>
          </cell>
          <cell r="Q1347" t="str">
            <v>EST BUFFET CHUVA (CORPO/PT MTZ COBRE ESC) (BS MTZ COBRE ESC)</v>
          </cell>
          <cell r="R1347"/>
          <cell r="S1347"/>
          <cell r="T1347">
            <v>2.2400000000000002</v>
          </cell>
          <cell r="U1347">
            <v>0.5</v>
          </cell>
          <cell r="V1347">
            <v>0.75</v>
          </cell>
          <cell r="W1347">
            <v>0</v>
          </cell>
          <cell r="X1347" t="str">
            <v>EST BUFFET CHUVA (CORPO/PT MTZ COBRE ESC) (BS MTZ COBRE ESC) - 2,24x0,5x0,75H</v>
          </cell>
          <cell r="Y1347">
            <v>41784.096000000005</v>
          </cell>
          <cell r="Z1347">
            <v>0.35</v>
          </cell>
          <cell r="AA1347">
            <v>27159.662400000005</v>
          </cell>
          <cell r="AB1347"/>
        </row>
        <row r="1348">
          <cell r="C1348">
            <v>0</v>
          </cell>
          <cell r="D1348">
            <v>0</v>
          </cell>
          <cell r="E1348">
            <v>0</v>
          </cell>
          <cell r="F1348">
            <v>1</v>
          </cell>
          <cell r="H1348">
            <v>0</v>
          </cell>
          <cell r="O1348">
            <v>334451</v>
          </cell>
          <cell r="P1348" t="str">
            <v>2022/222-0016-01</v>
          </cell>
          <cell r="Q1348" t="str">
            <v>EST MESA LATERAL METAIS H49 (MTZ MARROM CLARO COBREADO)</v>
          </cell>
          <cell r="R1348"/>
          <cell r="S1348"/>
          <cell r="T1348">
            <v>0.35</v>
          </cell>
          <cell r="U1348">
            <v>0</v>
          </cell>
          <cell r="V1348">
            <v>0.49</v>
          </cell>
          <cell r="W1348">
            <v>0.35</v>
          </cell>
          <cell r="X1348" t="str">
            <v>EST MESA LATERAL METAIS H49 (MTZ MARROM CLARO COBREADO) - Ø0,35x0,49H</v>
          </cell>
          <cell r="Y1348">
            <v>7898.37</v>
          </cell>
          <cell r="Z1348">
            <v>0.35</v>
          </cell>
          <cell r="AA1348">
            <v>5133.9405000000006</v>
          </cell>
          <cell r="AB1348"/>
        </row>
        <row r="1349">
          <cell r="C1349">
            <v>0</v>
          </cell>
          <cell r="D1349">
            <v>0</v>
          </cell>
          <cell r="E1349">
            <v>0</v>
          </cell>
          <cell r="F1349">
            <v>2</v>
          </cell>
          <cell r="H1349">
            <v>0</v>
          </cell>
          <cell r="O1349">
            <v>334453</v>
          </cell>
          <cell r="P1349" t="str">
            <v>2022/222-0018-01</v>
          </cell>
          <cell r="Q1349" t="str">
            <v>EST MESA LATERAL METAIS H57 (MTZ MARROM COBREADO)</v>
          </cell>
          <cell r="R1349"/>
          <cell r="S1349"/>
          <cell r="T1349">
            <v>0.25</v>
          </cell>
          <cell r="U1349">
            <v>0</v>
          </cell>
          <cell r="V1349">
            <v>0.56999999999999995</v>
          </cell>
          <cell r="W1349">
            <v>0.25</v>
          </cell>
          <cell r="X1349" t="str">
            <v>EST MESA LATERAL METAIS H57 (MTZ MARROM COBREADO) - Ø0,25x0,57H</v>
          </cell>
          <cell r="Y1349">
            <v>7170.91</v>
          </cell>
          <cell r="Z1349">
            <v>0.35</v>
          </cell>
          <cell r="AA1349">
            <v>4661.0915000000005</v>
          </cell>
          <cell r="AB1349"/>
        </row>
        <row r="1350">
          <cell r="C1350">
            <v>0</v>
          </cell>
          <cell r="D1350">
            <v>0</v>
          </cell>
          <cell r="E1350">
            <v>0</v>
          </cell>
          <cell r="F1350">
            <v>2</v>
          </cell>
          <cell r="H1350">
            <v>0</v>
          </cell>
          <cell r="O1350">
            <v>334453</v>
          </cell>
          <cell r="P1350" t="str">
            <v>2022/222-0019-01</v>
          </cell>
          <cell r="Q1350" t="str">
            <v>EST MESA LATERAL METAIS H57 (MTZ MARROM COBREADO)</v>
          </cell>
          <cell r="R1350"/>
          <cell r="S1350"/>
          <cell r="T1350">
            <v>0.25</v>
          </cell>
          <cell r="U1350">
            <v>0</v>
          </cell>
          <cell r="V1350">
            <v>0.56999999999999995</v>
          </cell>
          <cell r="W1350">
            <v>0.25</v>
          </cell>
          <cell r="X1350" t="str">
            <v>EST MESA LATERAL METAIS H57 (MTZ MARROM COBREADO) - Ø0,25x0,57H</v>
          </cell>
          <cell r="Y1350">
            <v>7170.91</v>
          </cell>
          <cell r="Z1350">
            <v>0.35</v>
          </cell>
          <cell r="AA1350">
            <v>4661.0915000000005</v>
          </cell>
          <cell r="AB1350"/>
        </row>
        <row r="1351">
          <cell r="C1351">
            <v>0</v>
          </cell>
          <cell r="D1351">
            <v>0</v>
          </cell>
          <cell r="E1351">
            <v>0</v>
          </cell>
          <cell r="F1351">
            <v>2</v>
          </cell>
          <cell r="H1351">
            <v>0</v>
          </cell>
          <cell r="O1351">
            <v>334455</v>
          </cell>
          <cell r="P1351" t="str">
            <v>2022/222-0021-01</v>
          </cell>
          <cell r="Q1351" t="str">
            <v>EST MESA LATERAL EXOTICA H54 (MARM 2 ROSA) MTZ MARROM C COB</v>
          </cell>
          <cell r="R1351"/>
          <cell r="S1351"/>
          <cell r="T1351">
            <v>0.25</v>
          </cell>
          <cell r="U1351">
            <v>0</v>
          </cell>
          <cell r="V1351">
            <v>0.54</v>
          </cell>
          <cell r="W1351">
            <v>0.25</v>
          </cell>
          <cell r="X1351" t="str">
            <v>EST MESA LATERAL EXOTICA H54 (MARM 2 ROSA) MTZ MARROM C COB - Ø0,25x0,54H</v>
          </cell>
          <cell r="Y1351">
            <v>9793.82</v>
          </cell>
          <cell r="Z1351">
            <v>0.35</v>
          </cell>
          <cell r="AA1351">
            <v>6365.9830000000002</v>
          </cell>
          <cell r="AB1351"/>
        </row>
        <row r="1352">
          <cell r="C1352">
            <v>0</v>
          </cell>
          <cell r="D1352">
            <v>0</v>
          </cell>
          <cell r="E1352">
            <v>0</v>
          </cell>
          <cell r="F1352">
            <v>2</v>
          </cell>
          <cell r="H1352">
            <v>0</v>
          </cell>
          <cell r="O1352">
            <v>334455</v>
          </cell>
          <cell r="P1352" t="str">
            <v>2022/222-0020-01</v>
          </cell>
          <cell r="Q1352" t="str">
            <v>EST MESA LATERAL EXOTICA H54 (MARM 2 ROSA) MTZ MARROM C COB</v>
          </cell>
          <cell r="R1352"/>
          <cell r="S1352"/>
          <cell r="T1352">
            <v>0.25</v>
          </cell>
          <cell r="U1352">
            <v>0</v>
          </cell>
          <cell r="V1352">
            <v>0.54</v>
          </cell>
          <cell r="W1352">
            <v>0.25</v>
          </cell>
          <cell r="X1352" t="str">
            <v>EST MESA LATERAL EXOTICA H54 (MARM 2 ROSA) MTZ MARROM C COB - Ø0,25x0,54H</v>
          </cell>
          <cell r="Y1352">
            <v>9793.82</v>
          </cell>
          <cell r="Z1352">
            <v>0.35</v>
          </cell>
          <cell r="AA1352">
            <v>6365.9830000000002</v>
          </cell>
          <cell r="AB1352"/>
        </row>
        <row r="1353">
          <cell r="C1353">
            <v>0</v>
          </cell>
          <cell r="D1353">
            <v>0</v>
          </cell>
          <cell r="E1353">
            <v>0</v>
          </cell>
          <cell r="F1353">
            <v>1</v>
          </cell>
          <cell r="H1353">
            <v>0</v>
          </cell>
          <cell r="O1353">
            <v>334456</v>
          </cell>
          <cell r="P1353" t="str">
            <v>2023/171-0053-01</v>
          </cell>
          <cell r="Q1353" t="str">
            <v>EST MESA LATERAL EXOTICA H54 (MARM 4 MADRE P) MTZ MARROM COB</v>
          </cell>
          <cell r="R1353"/>
          <cell r="S1353"/>
          <cell r="T1353">
            <v>0.35</v>
          </cell>
          <cell r="U1353">
            <v>0</v>
          </cell>
          <cell r="V1353">
            <v>0.54</v>
          </cell>
          <cell r="W1353">
            <v>0.35</v>
          </cell>
          <cell r="X1353" t="str">
            <v>EST MESA LATERAL EXOTICA H54 (MARM 4 MADRE P) MTZ MARROM COB - Ø0,35x0,54H</v>
          </cell>
          <cell r="Y1353">
            <v>10828.07</v>
          </cell>
          <cell r="Z1353">
            <v>0.35</v>
          </cell>
          <cell r="AA1353">
            <v>7038.2455</v>
          </cell>
          <cell r="AB1353"/>
        </row>
        <row r="1354">
          <cell r="C1354">
            <v>0</v>
          </cell>
          <cell r="D1354">
            <v>0</v>
          </cell>
          <cell r="E1354">
            <v>0</v>
          </cell>
          <cell r="F1354">
            <v>1</v>
          </cell>
          <cell r="H1354">
            <v>0</v>
          </cell>
          <cell r="O1354">
            <v>335143</v>
          </cell>
          <cell r="P1354" t="str">
            <v>2022/207-0015-01</v>
          </cell>
          <cell r="Q1354" t="str">
            <v>EST MODULO ENCOSTO RETO LENCOIS M (DET BG4) (FX8285)</v>
          </cell>
          <cell r="R1354"/>
          <cell r="S1354"/>
          <cell r="T1354">
            <v>0.7</v>
          </cell>
          <cell r="U1354">
            <v>0.26</v>
          </cell>
          <cell r="V1354">
            <v>0.26</v>
          </cell>
          <cell r="W1354">
            <v>0</v>
          </cell>
          <cell r="X1354" t="str">
            <v>EST MODULO ENCOSTO RETO LENCOIS M (DET BG4) (FX8285) - 0,7x0,26x0,26H</v>
          </cell>
          <cell r="Y1354">
            <v>3650.57</v>
          </cell>
          <cell r="Z1354">
            <v>0.35</v>
          </cell>
          <cell r="AA1354">
            <v>2372.8705</v>
          </cell>
          <cell r="AB1354"/>
        </row>
        <row r="1355">
          <cell r="C1355">
            <v>0</v>
          </cell>
          <cell r="D1355">
            <v>0</v>
          </cell>
          <cell r="E1355">
            <v>0</v>
          </cell>
          <cell r="F1355">
            <v>4</v>
          </cell>
          <cell r="H1355">
            <v>0</v>
          </cell>
          <cell r="O1355">
            <v>373888</v>
          </cell>
          <cell r="P1355" t="str">
            <v>2023/307-0035-01</v>
          </cell>
          <cell r="Q1355" t="str">
            <v>EST ALMOFADA DECORATIVA LENCOIS M (DET BG4) (FX8173)</v>
          </cell>
          <cell r="R1355"/>
          <cell r="S1355"/>
          <cell r="T1355">
            <v>0.6</v>
          </cell>
          <cell r="U1355">
            <v>0.6</v>
          </cell>
          <cell r="V1355">
            <v>0</v>
          </cell>
          <cell r="W1355">
            <v>0</v>
          </cell>
          <cell r="X1355" t="str">
            <v>EST ALMOFADA DECORATIVA LENCOIS M (DET BG4) (FX8173) - 0,6x0,6x0H</v>
          </cell>
          <cell r="Y1355">
            <v>1511.91</v>
          </cell>
          <cell r="Z1355">
            <v>0.35</v>
          </cell>
          <cell r="AA1355">
            <v>982.74150000000009</v>
          </cell>
          <cell r="AB1355"/>
        </row>
        <row r="1356">
          <cell r="C1356">
            <v>0</v>
          </cell>
          <cell r="D1356">
            <v>0</v>
          </cell>
          <cell r="E1356">
            <v>0</v>
          </cell>
          <cell r="F1356">
            <v>4</v>
          </cell>
          <cell r="H1356">
            <v>0</v>
          </cell>
          <cell r="O1356">
            <v>373888</v>
          </cell>
          <cell r="P1356" t="str">
            <v>2023/307-0036-01</v>
          </cell>
          <cell r="Q1356" t="str">
            <v>EST ALMOFADA DECORATIVA LENCOIS M (DET BG4) (FX8173)</v>
          </cell>
          <cell r="R1356"/>
          <cell r="S1356"/>
          <cell r="T1356">
            <v>0.6</v>
          </cell>
          <cell r="U1356">
            <v>0.6</v>
          </cell>
          <cell r="V1356">
            <v>0</v>
          </cell>
          <cell r="W1356">
            <v>0</v>
          </cell>
          <cell r="X1356" t="str">
            <v>EST ALMOFADA DECORATIVA LENCOIS M (DET BG4) (FX8173) - 0,6x0,6x0H</v>
          </cell>
          <cell r="Y1356">
            <v>1511.91</v>
          </cell>
          <cell r="Z1356">
            <v>0.35</v>
          </cell>
          <cell r="AA1356">
            <v>982.74150000000009</v>
          </cell>
          <cell r="AB1356"/>
        </row>
        <row r="1357">
          <cell r="C1357">
            <v>0</v>
          </cell>
          <cell r="D1357">
            <v>0</v>
          </cell>
          <cell r="E1357">
            <v>0</v>
          </cell>
          <cell r="F1357">
            <v>4</v>
          </cell>
          <cell r="H1357">
            <v>0</v>
          </cell>
          <cell r="O1357">
            <v>373888</v>
          </cell>
          <cell r="P1357" t="str">
            <v>2023/307-0037-01</v>
          </cell>
          <cell r="Q1357" t="str">
            <v>EST ALMOFADA DECORATIVA LENCOIS M (DET BG4) (FX8173)</v>
          </cell>
          <cell r="R1357"/>
          <cell r="S1357"/>
          <cell r="T1357">
            <v>0.6</v>
          </cell>
          <cell r="U1357">
            <v>0.6</v>
          </cell>
          <cell r="V1357">
            <v>0</v>
          </cell>
          <cell r="W1357">
            <v>0</v>
          </cell>
          <cell r="X1357" t="str">
            <v>EST ALMOFADA DECORATIVA LENCOIS M (DET BG4) (FX8173) - 0,6x0,6x0H</v>
          </cell>
          <cell r="Y1357">
            <v>1511.91</v>
          </cell>
          <cell r="Z1357">
            <v>0.35</v>
          </cell>
          <cell r="AA1357">
            <v>982.74150000000009</v>
          </cell>
          <cell r="AB1357"/>
        </row>
        <row r="1358">
          <cell r="C1358">
            <v>0</v>
          </cell>
          <cell r="D1358">
            <v>0</v>
          </cell>
          <cell r="E1358">
            <v>0</v>
          </cell>
          <cell r="F1358">
            <v>4</v>
          </cell>
          <cell r="H1358">
            <v>0</v>
          </cell>
          <cell r="O1358">
            <v>373888</v>
          </cell>
          <cell r="P1358" t="str">
            <v>2023/307-0038-01</v>
          </cell>
          <cell r="Q1358" t="str">
            <v>EST ALMOFADA DECORATIVA LENCOIS M (DET BG4) (FX8173)</v>
          </cell>
          <cell r="R1358"/>
          <cell r="S1358"/>
          <cell r="T1358">
            <v>0.6</v>
          </cell>
          <cell r="U1358">
            <v>0.6</v>
          </cell>
          <cell r="V1358">
            <v>0</v>
          </cell>
          <cell r="W1358">
            <v>0</v>
          </cell>
          <cell r="X1358" t="str">
            <v>EST ALMOFADA DECORATIVA LENCOIS M (DET BG4) (FX8173) - 0,6x0,6x0H</v>
          </cell>
          <cell r="Y1358">
            <v>1511.91</v>
          </cell>
          <cell r="Z1358">
            <v>0.35</v>
          </cell>
          <cell r="AA1358">
            <v>982.74150000000009</v>
          </cell>
          <cell r="AB1358"/>
        </row>
        <row r="1359">
          <cell r="C1359">
            <v>2</v>
          </cell>
          <cell r="D1359">
            <v>1</v>
          </cell>
          <cell r="E1359">
            <v>0</v>
          </cell>
          <cell r="F1359">
            <v>5</v>
          </cell>
          <cell r="H1359">
            <v>1</v>
          </cell>
          <cell r="O1359">
            <v>379867</v>
          </cell>
          <cell r="P1359" t="str">
            <v>2024/068-0034-01</v>
          </cell>
          <cell r="Q1359" t="str">
            <v>EST BANDEJA MONDRIAN (DARK BRONZE) MAMMUT</v>
          </cell>
          <cell r="R1359"/>
          <cell r="S1359"/>
          <cell r="T1359">
            <v>0.56000000000000005</v>
          </cell>
          <cell r="U1359">
            <v>0.41</v>
          </cell>
          <cell r="V1359">
            <v>0.04</v>
          </cell>
          <cell r="W1359">
            <v>0</v>
          </cell>
          <cell r="X1359" t="str">
            <v>EST BANDEJA MONDRIAN (DARK BRONZE) MAMMUT - 0,56x0,41x0,04H</v>
          </cell>
          <cell r="Y1359">
            <v>4954.84</v>
          </cell>
          <cell r="Z1359">
            <v>0.35</v>
          </cell>
          <cell r="AA1359">
            <v>3220.6460000000002</v>
          </cell>
          <cell r="AB1359"/>
        </row>
        <row r="1360">
          <cell r="C1360">
            <v>2</v>
          </cell>
          <cell r="D1360">
            <v>1</v>
          </cell>
          <cell r="E1360">
            <v>0</v>
          </cell>
          <cell r="F1360">
            <v>5</v>
          </cell>
          <cell r="H1360">
            <v>1</v>
          </cell>
          <cell r="O1360">
            <v>379867</v>
          </cell>
          <cell r="P1360" t="str">
            <v>2024/068-0036-01</v>
          </cell>
          <cell r="Q1360" t="str">
            <v>EST BANDEJA MONDRIAN (DARK BRONZE) MAMMUT</v>
          </cell>
          <cell r="R1360"/>
          <cell r="S1360"/>
          <cell r="T1360">
            <v>0.56000000000000005</v>
          </cell>
          <cell r="U1360">
            <v>0.41</v>
          </cell>
          <cell r="V1360">
            <v>0.04</v>
          </cell>
          <cell r="W1360">
            <v>0</v>
          </cell>
          <cell r="X1360" t="str">
            <v>EST BANDEJA MONDRIAN (DARK BRONZE) MAMMUT - 0,56x0,41x0,04H</v>
          </cell>
          <cell r="Y1360">
            <v>4954.84</v>
          </cell>
          <cell r="Z1360">
            <v>0.35</v>
          </cell>
          <cell r="AA1360">
            <v>3220.6460000000002</v>
          </cell>
          <cell r="AB1360"/>
        </row>
        <row r="1361">
          <cell r="C1361">
            <v>2</v>
          </cell>
          <cell r="D1361">
            <v>1</v>
          </cell>
          <cell r="E1361">
            <v>0</v>
          </cell>
          <cell r="F1361">
            <v>5</v>
          </cell>
          <cell r="H1361">
            <v>1</v>
          </cell>
          <cell r="O1361">
            <v>379867</v>
          </cell>
          <cell r="P1361" t="str">
            <v>2024/068-0037-01</v>
          </cell>
          <cell r="Q1361" t="str">
            <v>EST BANDEJA MONDRIAN (DARK BRONZE) MAMMUT</v>
          </cell>
          <cell r="R1361"/>
          <cell r="S1361"/>
          <cell r="T1361">
            <v>0.56000000000000005</v>
          </cell>
          <cell r="U1361">
            <v>0.41</v>
          </cell>
          <cell r="V1361">
            <v>0.04</v>
          </cell>
          <cell r="W1361">
            <v>0</v>
          </cell>
          <cell r="X1361" t="str">
            <v>EST BANDEJA MONDRIAN (DARK BRONZE) MAMMUT - 0,56x0,41x0,04H</v>
          </cell>
          <cell r="Y1361">
            <v>4954.84</v>
          </cell>
          <cell r="Z1361">
            <v>0.35</v>
          </cell>
          <cell r="AA1361">
            <v>3220.6460000000002</v>
          </cell>
          <cell r="AB1361"/>
        </row>
        <row r="1362">
          <cell r="C1362">
            <v>2</v>
          </cell>
          <cell r="D1362">
            <v>1</v>
          </cell>
          <cell r="E1362">
            <v>0</v>
          </cell>
          <cell r="F1362">
            <v>5</v>
          </cell>
          <cell r="H1362">
            <v>1</v>
          </cell>
          <cell r="O1362">
            <v>379867</v>
          </cell>
          <cell r="P1362" t="str">
            <v>2024/068-0038-01</v>
          </cell>
          <cell r="Q1362" t="str">
            <v>EST BANDEJA MONDRIAN (DARK BRONZE) MAMMUT</v>
          </cell>
          <cell r="R1362"/>
          <cell r="S1362"/>
          <cell r="T1362">
            <v>0.56000000000000005</v>
          </cell>
          <cell r="U1362">
            <v>0.41</v>
          </cell>
          <cell r="V1362">
            <v>0.04</v>
          </cell>
          <cell r="W1362">
            <v>0</v>
          </cell>
          <cell r="X1362" t="str">
            <v>EST BANDEJA MONDRIAN (DARK BRONZE) MAMMUT - 0,56x0,41x0,04H</v>
          </cell>
          <cell r="Y1362">
            <v>4954.84</v>
          </cell>
          <cell r="Z1362">
            <v>0.35</v>
          </cell>
          <cell r="AA1362">
            <v>3220.6460000000002</v>
          </cell>
          <cell r="AB1362"/>
        </row>
        <row r="1363">
          <cell r="C1363">
            <v>2</v>
          </cell>
          <cell r="D1363">
            <v>1</v>
          </cell>
          <cell r="E1363">
            <v>0</v>
          </cell>
          <cell r="F1363">
            <v>5</v>
          </cell>
          <cell r="H1363">
            <v>1</v>
          </cell>
          <cell r="O1363">
            <v>379867</v>
          </cell>
          <cell r="P1363" t="str">
            <v>2024/068-0039-01</v>
          </cell>
          <cell r="Q1363" t="str">
            <v>EST BANDEJA MONDRIAN (DARK BRONZE) MAMMUT</v>
          </cell>
          <cell r="R1363"/>
          <cell r="S1363"/>
          <cell r="T1363">
            <v>0.56000000000000005</v>
          </cell>
          <cell r="U1363">
            <v>0.41</v>
          </cell>
          <cell r="V1363">
            <v>0.04</v>
          </cell>
          <cell r="W1363">
            <v>0</v>
          </cell>
          <cell r="X1363" t="str">
            <v>EST BANDEJA MONDRIAN (DARK BRONZE) MAMMUT - 0,56x0,41x0,04H</v>
          </cell>
          <cell r="Y1363">
            <v>4954.84</v>
          </cell>
          <cell r="Z1363">
            <v>0.35</v>
          </cell>
          <cell r="AA1363">
            <v>3220.6460000000002</v>
          </cell>
          <cell r="AB1363"/>
        </row>
        <row r="1364">
          <cell r="C1364">
            <v>2</v>
          </cell>
          <cell r="D1364">
            <v>1</v>
          </cell>
          <cell r="E1364">
            <v>0</v>
          </cell>
          <cell r="F1364">
            <v>5</v>
          </cell>
          <cell r="H1364">
            <v>1</v>
          </cell>
          <cell r="O1364">
            <v>379867</v>
          </cell>
          <cell r="P1364" t="str">
            <v>2024/068-0040-01</v>
          </cell>
          <cell r="Q1364" t="str">
            <v>EST BANDEJA MONDRIAN (DARK BRONZE) MAMMUT</v>
          </cell>
          <cell r="R1364"/>
          <cell r="S1364"/>
          <cell r="T1364">
            <v>0.56000000000000005</v>
          </cell>
          <cell r="U1364">
            <v>0.41</v>
          </cell>
          <cell r="V1364">
            <v>0.04</v>
          </cell>
          <cell r="W1364">
            <v>0</v>
          </cell>
          <cell r="X1364" t="str">
            <v>EST BANDEJA MONDRIAN (DARK BRONZE) MAMMUT - 0,56x0,41x0,04H</v>
          </cell>
          <cell r="Y1364">
            <v>4954.84</v>
          </cell>
          <cell r="Z1364">
            <v>0.35</v>
          </cell>
          <cell r="AA1364">
            <v>3220.6460000000002</v>
          </cell>
          <cell r="AB1364"/>
        </row>
        <row r="1365">
          <cell r="C1365">
            <v>2</v>
          </cell>
          <cell r="D1365">
            <v>1</v>
          </cell>
          <cell r="E1365">
            <v>0</v>
          </cell>
          <cell r="F1365">
            <v>5</v>
          </cell>
          <cell r="H1365">
            <v>1</v>
          </cell>
          <cell r="O1365">
            <v>379867</v>
          </cell>
          <cell r="P1365" t="str">
            <v>2024/068-0041-01</v>
          </cell>
          <cell r="Q1365" t="str">
            <v>EST BANDEJA MONDRIAN (DARK BRONZE) MAMMUT</v>
          </cell>
          <cell r="R1365"/>
          <cell r="S1365"/>
          <cell r="T1365">
            <v>0.56000000000000005</v>
          </cell>
          <cell r="U1365">
            <v>0.41</v>
          </cell>
          <cell r="V1365">
            <v>0.04</v>
          </cell>
          <cell r="W1365">
            <v>0</v>
          </cell>
          <cell r="X1365" t="str">
            <v>EST BANDEJA MONDRIAN (DARK BRONZE) MAMMUT - 0,56x0,41x0,04H</v>
          </cell>
          <cell r="Y1365">
            <v>4954.84</v>
          </cell>
          <cell r="Z1365">
            <v>0.35</v>
          </cell>
          <cell r="AA1365">
            <v>3220.6460000000002</v>
          </cell>
          <cell r="AB1365"/>
        </row>
        <row r="1366">
          <cell r="C1366">
            <v>1</v>
          </cell>
          <cell r="D1366">
            <v>0</v>
          </cell>
          <cell r="E1366">
            <v>0</v>
          </cell>
          <cell r="F1366">
            <v>2</v>
          </cell>
          <cell r="H1366">
            <v>2</v>
          </cell>
          <cell r="O1366">
            <v>389953</v>
          </cell>
          <cell r="P1366" t="str">
            <v>2024/267-0074-01</v>
          </cell>
          <cell r="Q1366" t="str">
            <v>EST MODULO PUFF LENCOIS M OUTDOOR TC KEEPSAKE TAUPE</v>
          </cell>
          <cell r="R1366"/>
          <cell r="S1366"/>
          <cell r="T1366">
            <v>1.7</v>
          </cell>
          <cell r="U1366">
            <v>1</v>
          </cell>
          <cell r="V1366">
            <v>0.38</v>
          </cell>
          <cell r="W1366">
            <v>0</v>
          </cell>
          <cell r="X1366" t="str">
            <v>EST MODULO PUFF LENCOIS M OUTDOOR TC KEEPSAKE TAUPE - 1,7x1x0,38H</v>
          </cell>
          <cell r="Y1366">
            <v>26097.426900000002</v>
          </cell>
          <cell r="Z1366">
            <v>0.35</v>
          </cell>
          <cell r="AA1366">
            <v>16963.327485000002</v>
          </cell>
          <cell r="AB1366"/>
        </row>
        <row r="1367">
          <cell r="C1367">
            <v>1</v>
          </cell>
          <cell r="D1367">
            <v>0</v>
          </cell>
          <cell r="E1367">
            <v>0</v>
          </cell>
          <cell r="F1367">
            <v>2</v>
          </cell>
          <cell r="H1367">
            <v>2</v>
          </cell>
          <cell r="O1367">
            <v>389953</v>
          </cell>
          <cell r="P1367" t="str">
            <v>2024/267-0075-01</v>
          </cell>
          <cell r="Q1367" t="str">
            <v>EST MODULO PUFF LENCOIS M OUTDOOR TC KEEPSAKE TAUPE</v>
          </cell>
          <cell r="R1367"/>
          <cell r="S1367"/>
          <cell r="T1367">
            <v>1.7</v>
          </cell>
          <cell r="U1367">
            <v>1</v>
          </cell>
          <cell r="V1367">
            <v>0.38</v>
          </cell>
          <cell r="W1367">
            <v>0</v>
          </cell>
          <cell r="X1367" t="str">
            <v>EST MODULO PUFF LENCOIS M OUTDOOR TC KEEPSAKE TAUPE - 1,7x1x0,38H</v>
          </cell>
          <cell r="Y1367">
            <v>26097.426900000002</v>
          </cell>
          <cell r="Z1367">
            <v>0.35</v>
          </cell>
          <cell r="AA1367">
            <v>16963.327485000002</v>
          </cell>
          <cell r="AB1367"/>
        </row>
        <row r="1368">
          <cell r="C1368">
            <v>1</v>
          </cell>
          <cell r="D1368">
            <v>0</v>
          </cell>
          <cell r="E1368">
            <v>0</v>
          </cell>
          <cell r="F1368">
            <v>2</v>
          </cell>
          <cell r="H1368">
            <v>0</v>
          </cell>
          <cell r="O1368">
            <v>389955</v>
          </cell>
          <cell r="P1368" t="str">
            <v>2024/267-0079-01</v>
          </cell>
          <cell r="Q1368" t="str">
            <v>EST MODULO ENCOSTO RTO LENCOIS M OUTDOOR TC KEEPSAKE TAUPE</v>
          </cell>
          <cell r="R1368"/>
          <cell r="S1368"/>
          <cell r="T1368">
            <v>0.7</v>
          </cell>
          <cell r="U1368">
            <v>0.26</v>
          </cell>
          <cell r="V1368">
            <v>0.26</v>
          </cell>
          <cell r="W1368">
            <v>0</v>
          </cell>
          <cell r="X1368" t="str">
            <v>EST MODULO ENCOSTO RTO LENCOIS M OUTDOOR TC KEEPSAKE TAUPE - 0,7x0,26x0,26H</v>
          </cell>
          <cell r="Y1368">
            <v>4161.7422999999999</v>
          </cell>
          <cell r="Z1368">
            <v>0.35</v>
          </cell>
          <cell r="AA1368">
            <v>2705.1324949999998</v>
          </cell>
          <cell r="AB1368"/>
        </row>
        <row r="1369">
          <cell r="C1369">
            <v>1</v>
          </cell>
          <cell r="D1369">
            <v>0</v>
          </cell>
          <cell r="E1369">
            <v>0</v>
          </cell>
          <cell r="F1369">
            <v>2</v>
          </cell>
          <cell r="H1369">
            <v>0</v>
          </cell>
          <cell r="O1369">
            <v>389955</v>
          </cell>
          <cell r="P1369" t="str">
            <v>2024/267-0080-01</v>
          </cell>
          <cell r="Q1369" t="str">
            <v>EST MODULO ENCOSTO RTO LENCOIS M OUTDOOR TC KEEPSAKE TAUPE</v>
          </cell>
          <cell r="R1369"/>
          <cell r="S1369"/>
          <cell r="T1369">
            <v>0.7</v>
          </cell>
          <cell r="U1369">
            <v>0.26</v>
          </cell>
          <cell r="V1369">
            <v>0.26</v>
          </cell>
          <cell r="W1369">
            <v>0</v>
          </cell>
          <cell r="X1369" t="str">
            <v>EST MODULO ENCOSTO RTO LENCOIS M OUTDOOR TC KEEPSAKE TAUPE - 0,7x0,26x0,26H</v>
          </cell>
          <cell r="Y1369">
            <v>4161.7422999999999</v>
          </cell>
          <cell r="Z1369">
            <v>0.35</v>
          </cell>
          <cell r="AA1369">
            <v>2705.1324949999998</v>
          </cell>
          <cell r="AB1369"/>
        </row>
        <row r="1370">
          <cell r="C1370">
            <v>1</v>
          </cell>
          <cell r="D1370">
            <v>0</v>
          </cell>
          <cell r="E1370">
            <v>0</v>
          </cell>
          <cell r="F1370">
            <v>2</v>
          </cell>
          <cell r="H1370">
            <v>0</v>
          </cell>
          <cell r="O1370">
            <v>389956</v>
          </cell>
          <cell r="P1370" t="str">
            <v>2024/267-0084-01</v>
          </cell>
          <cell r="Q1370" t="str">
            <v>EST CAPA PUFF LENCOIS M OUTDOOR (CAPA LISO) TC 8599</v>
          </cell>
          <cell r="R1370"/>
          <cell r="S1370"/>
          <cell r="T1370">
            <v>1.7</v>
          </cell>
          <cell r="U1370">
            <v>0</v>
          </cell>
          <cell r="V1370">
            <v>0</v>
          </cell>
          <cell r="W1370">
            <v>0</v>
          </cell>
          <cell r="X1370" t="str">
            <v>EST CAPA PUFF LENCOIS M OUTDOOR (CAPA LISO) TC 8599 - Ø0x0H</v>
          </cell>
          <cell r="Y1370">
            <v>5320.99</v>
          </cell>
          <cell r="Z1370">
            <v>0.35</v>
          </cell>
          <cell r="AA1370">
            <v>3458.6435000000001</v>
          </cell>
          <cell r="AB1370"/>
        </row>
        <row r="1371">
          <cell r="C1371">
            <v>1</v>
          </cell>
          <cell r="D1371">
            <v>0</v>
          </cell>
          <cell r="E1371">
            <v>0</v>
          </cell>
          <cell r="F1371">
            <v>2</v>
          </cell>
          <cell r="H1371">
            <v>0</v>
          </cell>
          <cell r="O1371">
            <v>389956</v>
          </cell>
          <cell r="P1371" t="str">
            <v>2024/267-0081-01</v>
          </cell>
          <cell r="Q1371" t="str">
            <v>EST CAPA PUFF LENCOIS M OUTDOOR (CAPA LISO) TC 8599</v>
          </cell>
          <cell r="R1371"/>
          <cell r="S1371"/>
          <cell r="T1371">
            <v>1.7</v>
          </cell>
          <cell r="U1371">
            <v>0</v>
          </cell>
          <cell r="V1371">
            <v>0</v>
          </cell>
          <cell r="W1371">
            <v>0</v>
          </cell>
          <cell r="X1371" t="str">
            <v>EST CAPA PUFF LENCOIS M OUTDOOR (CAPA LISO) TC 8599 - Ø0x0H</v>
          </cell>
          <cell r="Y1371">
            <v>5320.99</v>
          </cell>
          <cell r="Z1371">
            <v>0.35</v>
          </cell>
          <cell r="AA1371">
            <v>3458.6435000000001</v>
          </cell>
          <cell r="AB1371"/>
        </row>
        <row r="1372">
          <cell r="C1372">
            <v>1</v>
          </cell>
          <cell r="D1372">
            <v>0</v>
          </cell>
          <cell r="E1372">
            <v>0</v>
          </cell>
          <cell r="F1372">
            <v>2</v>
          </cell>
          <cell r="H1372">
            <v>1</v>
          </cell>
          <cell r="O1372">
            <v>389958</v>
          </cell>
          <cell r="P1372" t="str">
            <v>2024/267-0086-01</v>
          </cell>
          <cell r="Q1372" t="str">
            <v>EST ALMOFADA DECORATIVA LENCOIS M OUTDOOR TC KEEPSAKE TAUPE</v>
          </cell>
          <cell r="R1372"/>
          <cell r="S1372"/>
          <cell r="T1372">
            <v>0.6</v>
          </cell>
          <cell r="U1372">
            <v>0.6</v>
          </cell>
          <cell r="V1372">
            <v>0</v>
          </cell>
          <cell r="W1372">
            <v>0</v>
          </cell>
          <cell r="X1372" t="str">
            <v>EST ALMOFADA DECORATIVA LENCOIS M OUTDOOR TC KEEPSAKE TAUPE - 0,6x0,6x0H</v>
          </cell>
          <cell r="Y1372">
            <v>1751.3990200000003</v>
          </cell>
          <cell r="Z1372">
            <v>0.35</v>
          </cell>
          <cell r="AA1372">
            <v>1138.4093630000002</v>
          </cell>
          <cell r="AB1372"/>
        </row>
        <row r="1373">
          <cell r="C1373">
            <v>1</v>
          </cell>
          <cell r="D1373">
            <v>0</v>
          </cell>
          <cell r="E1373">
            <v>0</v>
          </cell>
          <cell r="F1373">
            <v>2</v>
          </cell>
          <cell r="H1373">
            <v>1</v>
          </cell>
          <cell r="O1373">
            <v>389958</v>
          </cell>
          <cell r="P1373" t="str">
            <v>2024/267-0087-01</v>
          </cell>
          <cell r="Q1373" t="str">
            <v>EST ALMOFADA DECORATIVA LENCOIS M OUTDOOR TC KEEPSAKE TAUPE</v>
          </cell>
          <cell r="R1373"/>
          <cell r="S1373"/>
          <cell r="T1373">
            <v>0.6</v>
          </cell>
          <cell r="U1373">
            <v>0.6</v>
          </cell>
          <cell r="V1373">
            <v>0</v>
          </cell>
          <cell r="W1373">
            <v>0</v>
          </cell>
          <cell r="X1373" t="str">
            <v>EST ALMOFADA DECORATIVA LENCOIS M OUTDOOR TC KEEPSAKE TAUPE - 0,6x0,6x0H</v>
          </cell>
          <cell r="Y1373">
            <v>1751.3990200000003</v>
          </cell>
          <cell r="Z1373">
            <v>0.35</v>
          </cell>
          <cell r="AA1373">
            <v>1138.4093630000002</v>
          </cell>
          <cell r="AB1373"/>
        </row>
        <row r="1374">
          <cell r="C1374">
            <v>0</v>
          </cell>
          <cell r="D1374">
            <v>0</v>
          </cell>
          <cell r="E1374">
            <v>0</v>
          </cell>
          <cell r="F1374">
            <v>2</v>
          </cell>
          <cell r="H1374">
            <v>0</v>
          </cell>
          <cell r="O1374">
            <v>394910</v>
          </cell>
          <cell r="P1374" t="str">
            <v>2025/016-0112-01</v>
          </cell>
          <cell r="Q1374" t="str">
            <v>EST POLTRONA COCON (GIR) (ENC FX E5159) (FX E5159)</v>
          </cell>
          <cell r="R1374"/>
          <cell r="S1374"/>
          <cell r="T1374">
            <v>0.95</v>
          </cell>
          <cell r="U1374">
            <v>0.9</v>
          </cell>
          <cell r="V1374">
            <v>0.74</v>
          </cell>
          <cell r="W1374">
            <v>0</v>
          </cell>
          <cell r="X1374" t="str">
            <v>EST POLTRONA COCON (GIR) (ENC FX E5159) (FX E5159) - 0,95x0,9x0,74H</v>
          </cell>
          <cell r="Y1374">
            <v>10035.16</v>
          </cell>
          <cell r="Z1374">
            <v>0.35</v>
          </cell>
          <cell r="AA1374">
            <v>6522.8540000000003</v>
          </cell>
          <cell r="AB1374"/>
        </row>
        <row r="1375">
          <cell r="C1375">
            <v>0</v>
          </cell>
          <cell r="D1375">
            <v>0</v>
          </cell>
          <cell r="E1375">
            <v>0</v>
          </cell>
          <cell r="F1375">
            <v>2</v>
          </cell>
          <cell r="H1375">
            <v>0</v>
          </cell>
          <cell r="O1375">
            <v>394910</v>
          </cell>
          <cell r="P1375" t="str">
            <v>2025/016-0113-01</v>
          </cell>
          <cell r="Q1375" t="str">
            <v>EST POLTRONA COCON (GIR) (ENC FX E5159) (FX E5159)</v>
          </cell>
          <cell r="R1375"/>
          <cell r="S1375"/>
          <cell r="T1375">
            <v>0.95</v>
          </cell>
          <cell r="U1375">
            <v>0.9</v>
          </cell>
          <cell r="V1375">
            <v>0.74</v>
          </cell>
          <cell r="W1375">
            <v>0</v>
          </cell>
          <cell r="X1375" t="str">
            <v>EST POLTRONA COCON (GIR) (ENC FX E5159) (FX E5159) - 0,95x0,9x0,74H</v>
          </cell>
          <cell r="Y1375">
            <v>10035.16</v>
          </cell>
          <cell r="Z1375">
            <v>0.35</v>
          </cell>
          <cell r="AA1375">
            <v>6522.8540000000003</v>
          </cell>
          <cell r="AB1375"/>
        </row>
        <row r="1376">
          <cell r="C1376">
            <v>0</v>
          </cell>
          <cell r="D1376">
            <v>0</v>
          </cell>
          <cell r="E1376">
            <v>0</v>
          </cell>
          <cell r="F1376">
            <v>6</v>
          </cell>
          <cell r="H1376">
            <v>0</v>
          </cell>
          <cell r="O1376">
            <v>394923</v>
          </cell>
          <cell r="P1376" t="str">
            <v>2025/014-0031-01</v>
          </cell>
          <cell r="Q1376" t="str">
            <v>EST CADEIRA DESIREE (GIR) (ENC FX C3185) (FX C3185)</v>
          </cell>
          <cell r="R1376"/>
          <cell r="S1376"/>
          <cell r="T1376">
            <v>0.66</v>
          </cell>
          <cell r="U1376">
            <v>0.62</v>
          </cell>
          <cell r="V1376">
            <v>0.81</v>
          </cell>
          <cell r="W1376">
            <v>0</v>
          </cell>
          <cell r="X1376" t="str">
            <v>EST CADEIRA DESIREE (GIR) (ENC FX C3185) (FX C3185) - 0,66x0,62x0,81H</v>
          </cell>
          <cell r="Y1376">
            <v>7945.91</v>
          </cell>
          <cell r="Z1376">
            <v>0.35</v>
          </cell>
          <cell r="AA1376">
            <v>5164.8415000000005</v>
          </cell>
          <cell r="AB1376"/>
        </row>
        <row r="1377">
          <cell r="C1377">
            <v>0</v>
          </cell>
          <cell r="D1377">
            <v>0</v>
          </cell>
          <cell r="E1377">
            <v>0</v>
          </cell>
          <cell r="F1377">
            <v>6</v>
          </cell>
          <cell r="H1377">
            <v>0</v>
          </cell>
          <cell r="O1377">
            <v>394923</v>
          </cell>
          <cell r="P1377" t="str">
            <v>2025/014-0032-01</v>
          </cell>
          <cell r="Q1377" t="str">
            <v>EST CADEIRA DESIREE (GIR) (ENC FX C3185) (FX C3185)</v>
          </cell>
          <cell r="R1377"/>
          <cell r="S1377"/>
          <cell r="T1377">
            <v>0.66</v>
          </cell>
          <cell r="U1377">
            <v>0.62</v>
          </cell>
          <cell r="V1377">
            <v>0.81</v>
          </cell>
          <cell r="W1377">
            <v>0</v>
          </cell>
          <cell r="X1377" t="str">
            <v>EST CADEIRA DESIREE (GIR) (ENC FX C3185) (FX C3185) - 0,66x0,62x0,81H</v>
          </cell>
          <cell r="Y1377">
            <v>7945.91</v>
          </cell>
          <cell r="Z1377">
            <v>0.35</v>
          </cell>
          <cell r="AA1377">
            <v>5164.8415000000005</v>
          </cell>
          <cell r="AB1377"/>
        </row>
        <row r="1378">
          <cell r="C1378">
            <v>0</v>
          </cell>
          <cell r="D1378">
            <v>0</v>
          </cell>
          <cell r="E1378">
            <v>0</v>
          </cell>
          <cell r="F1378">
            <v>6</v>
          </cell>
          <cell r="H1378">
            <v>0</v>
          </cell>
          <cell r="O1378">
            <v>394923</v>
          </cell>
          <cell r="P1378" t="str">
            <v>2025/014-0033-01</v>
          </cell>
          <cell r="Q1378" t="str">
            <v>EST CADEIRA DESIREE (GIR) (ENC FX C3185) (FX C3185)</v>
          </cell>
          <cell r="R1378"/>
          <cell r="S1378"/>
          <cell r="T1378">
            <v>0.66</v>
          </cell>
          <cell r="U1378">
            <v>0.62</v>
          </cell>
          <cell r="V1378">
            <v>0.81</v>
          </cell>
          <cell r="W1378">
            <v>0</v>
          </cell>
          <cell r="X1378" t="str">
            <v>EST CADEIRA DESIREE (GIR) (ENC FX C3185) (FX C3185) - 0,66x0,62x0,81H</v>
          </cell>
          <cell r="Y1378">
            <v>7945.91</v>
          </cell>
          <cell r="Z1378">
            <v>0.35</v>
          </cell>
          <cell r="AA1378">
            <v>5164.8415000000005</v>
          </cell>
          <cell r="AB1378"/>
        </row>
        <row r="1379">
          <cell r="C1379">
            <v>0</v>
          </cell>
          <cell r="D1379">
            <v>0</v>
          </cell>
          <cell r="E1379">
            <v>0</v>
          </cell>
          <cell r="F1379">
            <v>6</v>
          </cell>
          <cell r="H1379">
            <v>0</v>
          </cell>
          <cell r="O1379">
            <v>394923</v>
          </cell>
          <cell r="P1379" t="str">
            <v>2025/014-0034-01</v>
          </cell>
          <cell r="Q1379" t="str">
            <v>EST CADEIRA DESIREE (GIR) (ENC FX C3185) (FX C3185)</v>
          </cell>
          <cell r="R1379"/>
          <cell r="S1379"/>
          <cell r="T1379">
            <v>0.66</v>
          </cell>
          <cell r="U1379">
            <v>0.62</v>
          </cell>
          <cell r="V1379">
            <v>0.81</v>
          </cell>
          <cell r="W1379">
            <v>0</v>
          </cell>
          <cell r="X1379" t="str">
            <v>EST CADEIRA DESIREE (GIR) (ENC FX C3185) (FX C3185) - 0,66x0,62x0,81H</v>
          </cell>
          <cell r="Y1379">
            <v>7945.91</v>
          </cell>
          <cell r="Z1379">
            <v>0.35</v>
          </cell>
          <cell r="AA1379">
            <v>5164.8415000000005</v>
          </cell>
          <cell r="AB1379"/>
        </row>
        <row r="1380">
          <cell r="C1380">
            <v>0</v>
          </cell>
          <cell r="D1380">
            <v>0</v>
          </cell>
          <cell r="E1380">
            <v>0</v>
          </cell>
          <cell r="F1380">
            <v>6</v>
          </cell>
          <cell r="H1380">
            <v>0</v>
          </cell>
          <cell r="O1380">
            <v>394923</v>
          </cell>
          <cell r="P1380" t="str">
            <v>2025/014-0035-01</v>
          </cell>
          <cell r="Q1380" t="str">
            <v>EST CADEIRA DESIREE (GIR) (ENC FX C3185) (FX C3185)</v>
          </cell>
          <cell r="R1380"/>
          <cell r="S1380"/>
          <cell r="T1380">
            <v>0.66</v>
          </cell>
          <cell r="U1380">
            <v>0.62</v>
          </cell>
          <cell r="V1380">
            <v>0.81</v>
          </cell>
          <cell r="W1380">
            <v>0</v>
          </cell>
          <cell r="X1380" t="str">
            <v>EST CADEIRA DESIREE (GIR) (ENC FX C3185) (FX C3185) - 0,66x0,62x0,81H</v>
          </cell>
          <cell r="Y1380">
            <v>7945.91</v>
          </cell>
          <cell r="Z1380">
            <v>0.35</v>
          </cell>
          <cell r="AA1380">
            <v>5164.8415000000005</v>
          </cell>
          <cell r="AB1380"/>
        </row>
        <row r="1381">
          <cell r="C1381">
            <v>0</v>
          </cell>
          <cell r="D1381">
            <v>0</v>
          </cell>
          <cell r="E1381">
            <v>0</v>
          </cell>
          <cell r="F1381">
            <v>6</v>
          </cell>
          <cell r="H1381">
            <v>0</v>
          </cell>
          <cell r="O1381">
            <v>394923</v>
          </cell>
          <cell r="P1381" t="str">
            <v>2025/014-0036-01</v>
          </cell>
          <cell r="Q1381" t="str">
            <v>EST CADEIRA DESIREE (GIR) (ENC FX C3185) (FX C3185)</v>
          </cell>
          <cell r="R1381"/>
          <cell r="S1381"/>
          <cell r="T1381">
            <v>0.66</v>
          </cell>
          <cell r="U1381">
            <v>0.62</v>
          </cell>
          <cell r="V1381">
            <v>0.81</v>
          </cell>
          <cell r="W1381">
            <v>0</v>
          </cell>
          <cell r="X1381" t="str">
            <v>EST CADEIRA DESIREE (GIR) (ENC FX C3185) (FX C3185) - 0,66x0,62x0,81H</v>
          </cell>
          <cell r="Y1381">
            <v>7945.91</v>
          </cell>
          <cell r="Z1381">
            <v>0.35</v>
          </cell>
          <cell r="AA1381">
            <v>5164.8415000000005</v>
          </cell>
          <cell r="AB1381"/>
        </row>
        <row r="1382">
          <cell r="C1382">
            <v>0</v>
          </cell>
          <cell r="D1382">
            <v>0</v>
          </cell>
          <cell r="E1382">
            <v>0</v>
          </cell>
          <cell r="F1382">
            <v>1</v>
          </cell>
          <cell r="H1382">
            <v>0</v>
          </cell>
          <cell r="O1382">
            <v>394927</v>
          </cell>
          <cell r="P1382" t="str">
            <v>2025/118-0023-01</v>
          </cell>
          <cell r="Q1382" t="str">
            <v>EST MESA CENTRO ESSENCE ORGANICA (MTZ CAPPUC) CLEAR/TRAV ROM</v>
          </cell>
          <cell r="R1382"/>
          <cell r="S1382"/>
          <cell r="T1382">
            <v>1.2</v>
          </cell>
          <cell r="U1382">
            <v>1.19</v>
          </cell>
          <cell r="V1382">
            <v>0.3</v>
          </cell>
          <cell r="W1382">
            <v>0</v>
          </cell>
          <cell r="X1382" t="str">
            <v>EST MESA CENTRO ESSENCE ORGANICA (MTZ CAPPUC) CLEAR/TRAV ROM - 1,2x1,19x0,3H</v>
          </cell>
          <cell r="Y1382">
            <v>31679.65</v>
          </cell>
          <cell r="Z1382">
            <v>0.35</v>
          </cell>
          <cell r="AA1382">
            <v>20591.772499999999</v>
          </cell>
          <cell r="AB1382"/>
        </row>
        <row r="1383">
          <cell r="C1383">
            <v>0</v>
          </cell>
          <cell r="D1383">
            <v>0</v>
          </cell>
          <cell r="E1383">
            <v>0</v>
          </cell>
          <cell r="F1383">
            <v>0</v>
          </cell>
          <cell r="H1383">
            <v>1</v>
          </cell>
          <cell r="O1383">
            <v>402443</v>
          </cell>
          <cell r="P1383" t="str">
            <v>2025/085-0062-01</v>
          </cell>
          <cell r="Q1383" t="str">
            <v>EST MESA JANTAR MONIZ (C/GIR) (ESPINHADA D) (LAM 3 FREIJO)</v>
          </cell>
          <cell r="R1383"/>
          <cell r="S1383"/>
          <cell r="T1383">
            <v>1.8</v>
          </cell>
          <cell r="U1383">
            <v>0</v>
          </cell>
          <cell r="V1383">
            <v>0.75</v>
          </cell>
          <cell r="W1383">
            <v>1.8</v>
          </cell>
          <cell r="X1383" t="str">
            <v>EST MESA JANTAR MONIZ (C/GIR) (ESPINHADA D) (LAM 3 FREIJO) - Ø1,8x0,75H</v>
          </cell>
          <cell r="Y1383">
            <v>49371.53</v>
          </cell>
          <cell r="Z1383">
            <v>0.35</v>
          </cell>
          <cell r="AA1383">
            <v>32091.494500000001</v>
          </cell>
          <cell r="AB1383"/>
        </row>
        <row r="1384">
          <cell r="C1384">
            <v>0</v>
          </cell>
          <cell r="D1384">
            <v>0</v>
          </cell>
          <cell r="E1384">
            <v>0</v>
          </cell>
          <cell r="F1384">
            <v>1</v>
          </cell>
          <cell r="H1384">
            <v>0</v>
          </cell>
          <cell r="O1384">
            <v>402449</v>
          </cell>
          <cell r="P1384" t="str">
            <v>2025/077-0049-01</v>
          </cell>
          <cell r="Q1384" t="str">
            <v>EST POLTRONA WAVE (MISTA) INT LEATHER 10017/EXT TRAMA 10020</v>
          </cell>
          <cell r="R1384"/>
          <cell r="S1384"/>
          <cell r="T1384">
            <v>0.8</v>
          </cell>
          <cell r="U1384">
            <v>0.95</v>
          </cell>
          <cell r="V1384">
            <v>0.65</v>
          </cell>
          <cell r="W1384">
            <v>0</v>
          </cell>
          <cell r="X1384" t="str">
            <v>EST POLTRONA WAVE (MISTA) INT LEATHER 10017/EXT TRAMA 10020 - 0,8x0,95x0,65H</v>
          </cell>
          <cell r="Y1384">
            <v>46227.96</v>
          </cell>
          <cell r="Z1384">
            <v>0.35</v>
          </cell>
          <cell r="AA1384">
            <v>30048.173999999999</v>
          </cell>
          <cell r="AB1384"/>
        </row>
        <row r="1385">
          <cell r="C1385">
            <v>0</v>
          </cell>
          <cell r="D1385">
            <v>0</v>
          </cell>
          <cell r="E1385">
            <v>0</v>
          </cell>
          <cell r="F1385">
            <v>1</v>
          </cell>
          <cell r="H1385">
            <v>1</v>
          </cell>
          <cell r="O1385">
            <v>402454</v>
          </cell>
          <cell r="P1385" t="str">
            <v>2025/077-0050-01</v>
          </cell>
          <cell r="Q1385" t="str">
            <v>EST POLTRONA PATER (JEQUITIBA) COURO 1 SEPIA/ALMOF FX8560</v>
          </cell>
          <cell r="R1385"/>
          <cell r="S1385"/>
          <cell r="T1385">
            <v>0.82</v>
          </cell>
          <cell r="U1385">
            <v>0.94</v>
          </cell>
          <cell r="V1385">
            <v>0.83</v>
          </cell>
          <cell r="W1385">
            <v>0</v>
          </cell>
          <cell r="X1385" t="str">
            <v>EST POLTRONA PATER (JEQUITIBA) COURO 1 SEPIA/ALMOF FX8560 - 0,82x0,94x0,83H</v>
          </cell>
          <cell r="Y1385">
            <v>33633.96</v>
          </cell>
          <cell r="Z1385">
            <v>0.35</v>
          </cell>
          <cell r="AA1385">
            <v>21862.074000000001</v>
          </cell>
          <cell r="AB1385"/>
        </row>
        <row r="1386">
          <cell r="C1386">
            <v>0</v>
          </cell>
          <cell r="D1386">
            <v>0</v>
          </cell>
          <cell r="E1386">
            <v>0</v>
          </cell>
          <cell r="F1386">
            <v>1</v>
          </cell>
          <cell r="H1386">
            <v>1</v>
          </cell>
          <cell r="O1386">
            <v>402454</v>
          </cell>
          <cell r="P1386" t="str">
            <v>2025/077-0051-01</v>
          </cell>
          <cell r="Q1386" t="str">
            <v>EST POLTRONA PATER (JEQUITIBA) COURO 1 SEPIA/ALMOF FX8560</v>
          </cell>
          <cell r="R1386"/>
          <cell r="S1386"/>
          <cell r="T1386">
            <v>0.82</v>
          </cell>
          <cell r="U1386">
            <v>0.94</v>
          </cell>
          <cell r="V1386">
            <v>0.83</v>
          </cell>
          <cell r="W1386">
            <v>0</v>
          </cell>
          <cell r="X1386" t="str">
            <v>EST POLTRONA PATER (JEQUITIBA) COURO 1 SEPIA/ALMOF FX8560 - 0,82x0,94x0,83H</v>
          </cell>
          <cell r="Y1386">
            <v>33633.96</v>
          </cell>
          <cell r="Z1386">
            <v>0.35</v>
          </cell>
          <cell r="AA1386">
            <v>21862.074000000001</v>
          </cell>
          <cell r="AB1386"/>
        </row>
        <row r="1387">
          <cell r="C1387">
            <v>0</v>
          </cell>
          <cell r="D1387">
            <v>0</v>
          </cell>
          <cell r="E1387">
            <v>0</v>
          </cell>
          <cell r="F1387">
            <v>1</v>
          </cell>
          <cell r="H1387">
            <v>1</v>
          </cell>
          <cell r="O1387">
            <v>402455</v>
          </cell>
          <cell r="P1387" t="str">
            <v>2025/077-0052-01</v>
          </cell>
          <cell r="Q1387" t="str">
            <v>EST BANQUETA PATER (JEQUITIBA) COURO 1 SEPIA/ALMOF FX8560</v>
          </cell>
          <cell r="R1387"/>
          <cell r="S1387"/>
          <cell r="T1387">
            <v>0.66</v>
          </cell>
          <cell r="U1387">
            <v>0.51</v>
          </cell>
          <cell r="V1387">
            <v>0.47</v>
          </cell>
          <cell r="W1387">
            <v>0</v>
          </cell>
          <cell r="X1387" t="str">
            <v>EST BANQUETA PATER (JEQUITIBA) COURO 1 SEPIA/ALMOF FX8560 - 0,66x0,51x0,47H</v>
          </cell>
          <cell r="Y1387">
            <v>14989.27</v>
          </cell>
          <cell r="Z1387">
            <v>0.35</v>
          </cell>
          <cell r="AA1387">
            <v>9743.0254999999997</v>
          </cell>
          <cell r="AB1387"/>
        </row>
        <row r="1388">
          <cell r="C1388">
            <v>0</v>
          </cell>
          <cell r="D1388">
            <v>0</v>
          </cell>
          <cell r="E1388">
            <v>0</v>
          </cell>
          <cell r="F1388">
            <v>1</v>
          </cell>
          <cell r="H1388">
            <v>1</v>
          </cell>
          <cell r="O1388">
            <v>402455</v>
          </cell>
          <cell r="P1388" t="str">
            <v>2025/077-0053-01</v>
          </cell>
          <cell r="Q1388" t="str">
            <v>EST BANQUETA PATER (JEQUITIBA) COURO 1 SEPIA/ALMOF FX8560</v>
          </cell>
          <cell r="R1388"/>
          <cell r="S1388"/>
          <cell r="T1388">
            <v>0.66</v>
          </cell>
          <cell r="U1388">
            <v>0.51</v>
          </cell>
          <cell r="V1388">
            <v>0.47</v>
          </cell>
          <cell r="W1388">
            <v>0</v>
          </cell>
          <cell r="X1388" t="str">
            <v>EST BANQUETA PATER (JEQUITIBA) COURO 1 SEPIA/ALMOF FX8560 - 0,66x0,51x0,47H</v>
          </cell>
          <cell r="Y1388">
            <v>14989.27</v>
          </cell>
          <cell r="Z1388">
            <v>0.35</v>
          </cell>
          <cell r="AA1388">
            <v>9743.0254999999997</v>
          </cell>
          <cell r="AB1388"/>
        </row>
        <row r="1389">
          <cell r="C1389">
            <v>0</v>
          </cell>
          <cell r="D1389">
            <v>0</v>
          </cell>
          <cell r="E1389">
            <v>0</v>
          </cell>
          <cell r="F1389">
            <v>1</v>
          </cell>
          <cell r="H1389">
            <v>0</v>
          </cell>
          <cell r="O1389">
            <v>404828</v>
          </cell>
          <cell r="P1389" t="str">
            <v>2025/129-0032-01</v>
          </cell>
          <cell r="Q1389" t="str">
            <v>EST TAPETE SISAL CY (BARRA VIRADA)</v>
          </cell>
          <cell r="R1389"/>
          <cell r="S1389"/>
          <cell r="T1389">
            <v>5.5</v>
          </cell>
          <cell r="U1389">
            <v>4.5</v>
          </cell>
          <cell r="V1389">
            <v>0</v>
          </cell>
          <cell r="W1389">
            <v>0</v>
          </cell>
          <cell r="X1389" t="str">
            <v>EST TAPETE SISAL CY (BARRA VIRADA) - 5,5x4,5x0H</v>
          </cell>
          <cell r="Y1389">
            <v>17561.060000000001</v>
          </cell>
          <cell r="Z1389">
            <v>0.35</v>
          </cell>
          <cell r="AA1389">
            <v>11414.689000000002</v>
          </cell>
          <cell r="AB1389"/>
        </row>
        <row r="1390">
          <cell r="C1390">
            <v>1</v>
          </cell>
          <cell r="D1390">
            <v>1</v>
          </cell>
          <cell r="E1390">
            <v>1</v>
          </cell>
          <cell r="F1390">
            <v>0</v>
          </cell>
          <cell r="H1390">
            <v>0</v>
          </cell>
          <cell r="O1390">
            <v>186566</v>
          </cell>
          <cell r="P1390" t="str">
            <v>2016/133-0169-01</v>
          </cell>
          <cell r="Q1390" t="str">
            <v>EST MESA LATERAL CANCUN (MAD LAM CARVALHO NT) (AUT SAND)</v>
          </cell>
          <cell r="R1390"/>
          <cell r="S1390"/>
          <cell r="T1390">
            <v>0.55000000000000004</v>
          </cell>
          <cell r="U1390">
            <v>0</v>
          </cell>
          <cell r="V1390">
            <v>0.52</v>
          </cell>
          <cell r="W1390">
            <v>0.55000000000000004</v>
          </cell>
          <cell r="X1390" t="str">
            <v>EST MESA LATERAL CANCUN (MAD LAM CARVALHO NT) (AUT SAND) - Ø0,55x0,52H</v>
          </cell>
          <cell r="Y1390">
            <v>8089.85</v>
          </cell>
          <cell r="Z1390">
            <v>0.35</v>
          </cell>
          <cell r="AA1390">
            <v>5258.4025000000001</v>
          </cell>
          <cell r="AB1390"/>
        </row>
        <row r="1391">
          <cell r="C1391">
            <v>1</v>
          </cell>
          <cell r="D1391">
            <v>2</v>
          </cell>
          <cell r="E1391">
            <v>0</v>
          </cell>
          <cell r="F1391">
            <v>0</v>
          </cell>
          <cell r="H1391">
            <v>0</v>
          </cell>
          <cell r="O1391">
            <v>186567</v>
          </cell>
          <cell r="P1391" t="str">
            <v>2016/133-0170-01</v>
          </cell>
          <cell r="Q1391" t="str">
            <v>EST MESA LATERAL CANCUN (MAD PINT AUT SAND) (AUT SAND)</v>
          </cell>
          <cell r="R1391"/>
          <cell r="S1391"/>
          <cell r="T1391">
            <v>0.48</v>
          </cell>
          <cell r="U1391">
            <v>0</v>
          </cell>
          <cell r="V1391">
            <v>0.56999999999999995</v>
          </cell>
          <cell r="W1391">
            <v>0.48</v>
          </cell>
          <cell r="X1391" t="str">
            <v>EST MESA LATERAL CANCUN (MAD PINT AUT SAND) (AUT SAND) - Ø0,48x0,57H</v>
          </cell>
          <cell r="Y1391">
            <v>7729.66</v>
          </cell>
          <cell r="Z1391">
            <v>0.35</v>
          </cell>
          <cell r="AA1391">
            <v>5024.2790000000005</v>
          </cell>
          <cell r="AB1391"/>
        </row>
        <row r="1392">
          <cell r="C1392">
            <v>1</v>
          </cell>
          <cell r="D1392">
            <v>2</v>
          </cell>
          <cell r="E1392">
            <v>0</v>
          </cell>
          <cell r="F1392">
            <v>0</v>
          </cell>
          <cell r="H1392">
            <v>0</v>
          </cell>
          <cell r="O1392">
            <v>186567</v>
          </cell>
          <cell r="P1392" t="str">
            <v>2016/133-0184-01</v>
          </cell>
          <cell r="Q1392" t="str">
            <v>EST MESA LATERAL CANCUN (MAD PINT AUT SAND) (AUT SAND)</v>
          </cell>
          <cell r="R1392"/>
          <cell r="S1392"/>
          <cell r="T1392">
            <v>0.48</v>
          </cell>
          <cell r="U1392">
            <v>0</v>
          </cell>
          <cell r="V1392">
            <v>0.56999999999999995</v>
          </cell>
          <cell r="W1392">
            <v>0.48</v>
          </cell>
          <cell r="X1392" t="str">
            <v>EST MESA LATERAL CANCUN (MAD PINT AUT SAND) (AUT SAND) - Ø0,48x0,57H</v>
          </cell>
          <cell r="Y1392">
            <v>7729.66</v>
          </cell>
          <cell r="Z1392">
            <v>0.35</v>
          </cell>
          <cell r="AA1392">
            <v>5024.2790000000005</v>
          </cell>
          <cell r="AB1392"/>
        </row>
        <row r="1393">
          <cell r="C1393">
            <v>0</v>
          </cell>
          <cell r="D1393">
            <v>1</v>
          </cell>
          <cell r="E1393">
            <v>0</v>
          </cell>
          <cell r="F1393">
            <v>0</v>
          </cell>
          <cell r="H1393">
            <v>0</v>
          </cell>
          <cell r="O1393">
            <v>221183</v>
          </cell>
          <cell r="P1393" t="str">
            <v>2018/169-0068-01</v>
          </cell>
          <cell r="Q1393" t="str">
            <v>EST MESA LATERAL CANCUN (FX5 IMPERADOR) (AUT BRONW)</v>
          </cell>
          <cell r="R1393"/>
          <cell r="S1393"/>
          <cell r="T1393">
            <v>0.55000000000000004</v>
          </cell>
          <cell r="U1393">
            <v>0</v>
          </cell>
          <cell r="V1393">
            <v>0.52</v>
          </cell>
          <cell r="W1393">
            <v>0.55000000000000004</v>
          </cell>
          <cell r="X1393" t="str">
            <v>EST MESA LATERAL CANCUN (FX5 IMPERADOR) (AUT BRONW) - Ø0,55x0,52H</v>
          </cell>
          <cell r="Y1393">
            <v>18510.37</v>
          </cell>
          <cell r="Z1393">
            <v>0.35</v>
          </cell>
          <cell r="AA1393">
            <v>12031.7405</v>
          </cell>
          <cell r="AB1393"/>
        </row>
        <row r="1394">
          <cell r="C1394">
            <v>0</v>
          </cell>
          <cell r="D1394">
            <v>1</v>
          </cell>
          <cell r="E1394">
            <v>1</v>
          </cell>
          <cell r="F1394">
            <v>0</v>
          </cell>
          <cell r="H1394">
            <v>0</v>
          </cell>
          <cell r="O1394">
            <v>253847</v>
          </cell>
          <cell r="P1394" t="str">
            <v>2019/337-0031-01</v>
          </cell>
          <cell r="Q1394" t="str">
            <v>EST BANDEJA RITMO Ø55 (MARMORE 4 NERO MARQUINA FOSCO)</v>
          </cell>
          <cell r="R1394"/>
          <cell r="S1394"/>
          <cell r="T1394">
            <v>0.55000000000000004</v>
          </cell>
          <cell r="U1394">
            <v>0</v>
          </cell>
          <cell r="V1394">
            <v>0.02</v>
          </cell>
          <cell r="W1394">
            <v>0.55000000000000004</v>
          </cell>
          <cell r="X1394" t="str">
            <v>EST BANDEJA RITMO Ø55 (MARMORE 4 NERO MARQUINA FOSCO) - Ø0,55x0,02H</v>
          </cell>
          <cell r="Y1394">
            <v>9892.7800000000007</v>
          </cell>
          <cell r="Z1394">
            <v>0.35</v>
          </cell>
          <cell r="AA1394">
            <v>6430.3070000000007</v>
          </cell>
          <cell r="AB1394"/>
        </row>
        <row r="1395">
          <cell r="C1395">
            <v>1</v>
          </cell>
          <cell r="D1395">
            <v>2</v>
          </cell>
          <cell r="E1395">
            <v>0</v>
          </cell>
          <cell r="F1395">
            <v>0</v>
          </cell>
          <cell r="H1395">
            <v>0</v>
          </cell>
          <cell r="O1395">
            <v>253852</v>
          </cell>
          <cell r="P1395" t="str">
            <v>2019/330-0014-01</v>
          </cell>
          <cell r="Q1395" t="str">
            <v>EST BANDEJA URBANA (M) H18 (DET LATAO) (TAUARI EBANIZADA)</v>
          </cell>
          <cell r="R1395"/>
          <cell r="S1395"/>
          <cell r="T1395">
            <v>0.25</v>
          </cell>
          <cell r="U1395">
            <v>0</v>
          </cell>
          <cell r="V1395">
            <v>0.18</v>
          </cell>
          <cell r="W1395">
            <v>0.25</v>
          </cell>
          <cell r="X1395" t="str">
            <v>EST BANDEJA URBANA (M) H18 (DET LATAO) (TAUARI EBANIZADA) - Ø0,25x0,18H</v>
          </cell>
          <cell r="Y1395">
            <v>2687.24</v>
          </cell>
          <cell r="Z1395">
            <v>0.35</v>
          </cell>
          <cell r="AA1395">
            <v>1746.7059999999999</v>
          </cell>
          <cell r="AB1395"/>
        </row>
        <row r="1396">
          <cell r="C1396">
            <v>1</v>
          </cell>
          <cell r="D1396">
            <v>2</v>
          </cell>
          <cell r="E1396">
            <v>0</v>
          </cell>
          <cell r="F1396">
            <v>0</v>
          </cell>
          <cell r="H1396">
            <v>0</v>
          </cell>
          <cell r="O1396">
            <v>253852</v>
          </cell>
          <cell r="P1396" t="str">
            <v>2019/330-0015-01</v>
          </cell>
          <cell r="Q1396" t="str">
            <v>EST BANDEJA URBANA (M) H18 (DET LATAO) (TAUARI EBANIZADA)</v>
          </cell>
          <cell r="R1396"/>
          <cell r="S1396"/>
          <cell r="T1396">
            <v>0.25</v>
          </cell>
          <cell r="U1396">
            <v>0</v>
          </cell>
          <cell r="V1396">
            <v>0.18</v>
          </cell>
          <cell r="W1396">
            <v>0.25</v>
          </cell>
          <cell r="X1396" t="str">
            <v>EST BANDEJA URBANA (M) H18 (DET LATAO) (TAUARI EBANIZADA) - Ø0,25x0,18H</v>
          </cell>
          <cell r="Y1396">
            <v>2687.24</v>
          </cell>
          <cell r="Z1396">
            <v>0.35</v>
          </cell>
          <cell r="AA1396">
            <v>1746.7059999999999</v>
          </cell>
          <cell r="AB1396"/>
        </row>
        <row r="1397">
          <cell r="C1397">
            <v>0</v>
          </cell>
          <cell r="D1397">
            <v>1</v>
          </cell>
          <cell r="E1397">
            <v>0</v>
          </cell>
          <cell r="F1397">
            <v>0</v>
          </cell>
          <cell r="H1397">
            <v>0</v>
          </cell>
          <cell r="O1397">
            <v>255045</v>
          </cell>
          <cell r="P1397" t="str">
            <v>2021/007-0096-01</v>
          </cell>
          <cell r="Q1397" t="str">
            <v>EST LUMINARIA FOLK CHAO (PONTEIRA MARROM FSC) (CUP/BS RAIZ)</v>
          </cell>
          <cell r="R1397"/>
          <cell r="S1397"/>
          <cell r="T1397">
            <v>0.4</v>
          </cell>
          <cell r="U1397">
            <v>0.4</v>
          </cell>
          <cell r="V1397">
            <v>1.8</v>
          </cell>
          <cell r="W1397">
            <v>0</v>
          </cell>
          <cell r="X1397" t="str">
            <v>EST LUMINARIA FOLK CHAO (PONTEIRA MARROM FSC) (CUP/BS RAIZ) - 0,4x0,4x1,8H</v>
          </cell>
          <cell r="Y1397">
            <v>20541.52</v>
          </cell>
          <cell r="Z1397">
            <v>0.35</v>
          </cell>
          <cell r="AA1397">
            <v>13351.988000000001</v>
          </cell>
          <cell r="AB1397"/>
        </row>
        <row r="1398">
          <cell r="C1398">
            <v>0</v>
          </cell>
          <cell r="D1398">
            <v>1</v>
          </cell>
          <cell r="E1398">
            <v>0</v>
          </cell>
          <cell r="F1398">
            <v>0</v>
          </cell>
          <cell r="H1398">
            <v>0</v>
          </cell>
          <cell r="O1398">
            <v>255052</v>
          </cell>
          <cell r="P1398" t="str">
            <v>2020/072-0080-01</v>
          </cell>
          <cell r="Q1398" t="str">
            <v>EST MESA CENTRO CANCUN (FX5 EXOTIC BRI) (AUT FRAPE)</v>
          </cell>
          <cell r="R1398"/>
          <cell r="S1398"/>
          <cell r="T1398">
            <v>1.1000000000000001</v>
          </cell>
          <cell r="U1398">
            <v>0</v>
          </cell>
          <cell r="V1398">
            <v>0.27</v>
          </cell>
          <cell r="W1398">
            <v>1.1000000000000001</v>
          </cell>
          <cell r="X1398" t="str">
            <v>EST MESA CENTRO CANCUN (FX5 EXOTIC BRI) (AUT FRAPE) - Ø1,1x0,27H</v>
          </cell>
          <cell r="Y1398">
            <v>37749.82</v>
          </cell>
          <cell r="Z1398">
            <v>0.35</v>
          </cell>
          <cell r="AA1398">
            <v>24537.383000000002</v>
          </cell>
          <cell r="AB1398"/>
        </row>
        <row r="1399">
          <cell r="C1399">
            <v>0</v>
          </cell>
          <cell r="D1399">
            <v>1</v>
          </cell>
          <cell r="E1399">
            <v>1</v>
          </cell>
          <cell r="F1399">
            <v>0</v>
          </cell>
          <cell r="H1399">
            <v>0</v>
          </cell>
          <cell r="O1399">
            <v>255054</v>
          </cell>
          <cell r="P1399" t="str">
            <v>2020/027-0058-01</v>
          </cell>
          <cell r="Q1399" t="str">
            <v>EST MESA LATERAL CANCUN (MAD PINT AUT CARBONE) (MARROM FSC)</v>
          </cell>
          <cell r="R1399"/>
          <cell r="S1399"/>
          <cell r="T1399">
            <v>0.6</v>
          </cell>
          <cell r="U1399">
            <v>0</v>
          </cell>
          <cell r="V1399">
            <v>0.62</v>
          </cell>
          <cell r="W1399">
            <v>0.6</v>
          </cell>
          <cell r="X1399" t="str">
            <v>EST MESA LATERAL CANCUN (MAD PINT AUT CARBONE) (MARROM FSC) - Ø0,6x0,62H</v>
          </cell>
          <cell r="Y1399">
            <v>7981.39</v>
          </cell>
          <cell r="Z1399">
            <v>0.35</v>
          </cell>
          <cell r="AA1399">
            <v>5187.9035000000003</v>
          </cell>
          <cell r="AB1399"/>
        </row>
        <row r="1400">
          <cell r="C1400">
            <v>0</v>
          </cell>
          <cell r="D1400">
            <v>1</v>
          </cell>
          <cell r="E1400">
            <v>0</v>
          </cell>
          <cell r="F1400">
            <v>1</v>
          </cell>
          <cell r="H1400">
            <v>0</v>
          </cell>
          <cell r="O1400">
            <v>273070</v>
          </cell>
          <cell r="P1400" t="str">
            <v>2021/018-0035-01</v>
          </cell>
          <cell r="Q1400" t="str">
            <v>EST MESA JANTAR MONIZ (C/GIR) (ESPINHADA D) (LAM 3 FREIJO)</v>
          </cell>
          <cell r="R1400"/>
          <cell r="S1400"/>
          <cell r="T1400">
            <v>1.8</v>
          </cell>
          <cell r="U1400">
            <v>0</v>
          </cell>
          <cell r="V1400">
            <v>0.75</v>
          </cell>
          <cell r="W1400">
            <v>1.8</v>
          </cell>
          <cell r="X1400" t="str">
            <v>EST MESA JANTAR MONIZ (C/GIR) (ESPINHADA D) (LAM 3 FREIJO) - Ø1,8x0,75H</v>
          </cell>
          <cell r="Y1400">
            <v>49371.53</v>
          </cell>
          <cell r="Z1400">
            <v>0.35</v>
          </cell>
          <cell r="AA1400">
            <v>32091.494500000001</v>
          </cell>
          <cell r="AB1400"/>
        </row>
        <row r="1401">
          <cell r="C1401">
            <v>0</v>
          </cell>
          <cell r="D1401">
            <v>1</v>
          </cell>
          <cell r="E1401">
            <v>0</v>
          </cell>
          <cell r="F1401">
            <v>0</v>
          </cell>
          <cell r="H1401">
            <v>0</v>
          </cell>
          <cell r="O1401">
            <v>328739</v>
          </cell>
          <cell r="P1401" t="str">
            <v>2022/199-0009-01</v>
          </cell>
          <cell r="Q1401" t="str">
            <v>EST BUFFET CHUVA (CORPO/PT MTX AZUL ACINZ) (BASE MTZ ONIX)</v>
          </cell>
          <cell r="R1401"/>
          <cell r="S1401"/>
          <cell r="T1401">
            <v>2.7</v>
          </cell>
          <cell r="U1401">
            <v>0.5</v>
          </cell>
          <cell r="V1401">
            <v>0.75</v>
          </cell>
          <cell r="W1401">
            <v>0</v>
          </cell>
          <cell r="X1401" t="str">
            <v>EST BUFFET CHUVA (CORPO/PT MTX AZUL ACINZ) (BASE MTZ ONIX) - 2,7x0,5x0,75H</v>
          </cell>
          <cell r="Y1401">
            <v>38071.49</v>
          </cell>
          <cell r="Z1401">
            <v>0.35</v>
          </cell>
          <cell r="AA1401">
            <v>24746.468499999999</v>
          </cell>
          <cell r="AB1401"/>
        </row>
        <row r="1402">
          <cell r="C1402">
            <v>0</v>
          </cell>
          <cell r="D1402">
            <v>1</v>
          </cell>
          <cell r="E1402">
            <v>0</v>
          </cell>
          <cell r="F1402">
            <v>0</v>
          </cell>
          <cell r="H1402">
            <v>0</v>
          </cell>
          <cell r="O1402">
            <v>353808</v>
          </cell>
          <cell r="P1402" t="str">
            <v>2022/308-0051-01</v>
          </cell>
          <cell r="Q1402" t="str">
            <v>EST MESA CENTRO CRUX (RED MST) (MARM 5 SCARLAT/FREIJO)</v>
          </cell>
          <cell r="R1402"/>
          <cell r="S1402"/>
          <cell r="T1402">
            <v>1.8</v>
          </cell>
          <cell r="U1402">
            <v>1.1000000000000001</v>
          </cell>
          <cell r="V1402">
            <v>0.35</v>
          </cell>
          <cell r="W1402">
            <v>0</v>
          </cell>
          <cell r="X1402" t="str">
            <v>EST MESA CENTRO CRUX (RED MST) (MARM 5 SCARLAT/FREIJO) - 1,8x1,1x0,35H</v>
          </cell>
          <cell r="Y1402">
            <v>51091.89</v>
          </cell>
          <cell r="Z1402">
            <v>0.35</v>
          </cell>
          <cell r="AA1402">
            <v>33209.728499999997</v>
          </cell>
          <cell r="AB1402"/>
        </row>
        <row r="1403">
          <cell r="C1403">
            <v>0</v>
          </cell>
          <cell r="D1403">
            <v>1</v>
          </cell>
          <cell r="E1403">
            <v>0</v>
          </cell>
          <cell r="F1403">
            <v>0</v>
          </cell>
          <cell r="H1403">
            <v>0</v>
          </cell>
          <cell r="O1403">
            <v>378740</v>
          </cell>
          <cell r="P1403" t="str">
            <v>2024/037-0035-01</v>
          </cell>
          <cell r="Q1403" t="str">
            <v>EST MESA JANTAR ELISE (MTX F100 FSC C/VD CLEAR 4MM/BS NOG)</v>
          </cell>
          <cell r="R1403"/>
          <cell r="S1403"/>
          <cell r="T1403">
            <v>3</v>
          </cell>
          <cell r="U1403">
            <v>1.2</v>
          </cell>
          <cell r="V1403">
            <v>0.75</v>
          </cell>
          <cell r="W1403">
            <v>0</v>
          </cell>
          <cell r="X1403" t="str">
            <v>EST MESA JANTAR ELISE (MTX F100 FSC C/VD CLEAR 4MM/BS NOG) - 3x1,2x0,75H</v>
          </cell>
          <cell r="Y1403">
            <v>43430.6</v>
          </cell>
          <cell r="Z1403">
            <v>0.35</v>
          </cell>
          <cell r="AA1403">
            <v>28229.89</v>
          </cell>
          <cell r="AB1403"/>
        </row>
        <row r="1404">
          <cell r="C1404">
            <v>0</v>
          </cell>
          <cell r="D1404">
            <v>1</v>
          </cell>
          <cell r="E1404">
            <v>1</v>
          </cell>
          <cell r="F1404">
            <v>0</v>
          </cell>
          <cell r="H1404">
            <v>0</v>
          </cell>
          <cell r="O1404">
            <v>379648</v>
          </cell>
          <cell r="P1404" t="str">
            <v>2024/081-0059-01</v>
          </cell>
          <cell r="Q1404" t="str">
            <v>EST POLTRONA PATER (JEQUITIBA) COURO 1 CAMEL/ALMOF FX6649</v>
          </cell>
          <cell r="R1404"/>
          <cell r="S1404"/>
          <cell r="T1404">
            <v>0.82</v>
          </cell>
          <cell r="U1404">
            <v>0.94</v>
          </cell>
          <cell r="V1404">
            <v>0.83</v>
          </cell>
          <cell r="W1404">
            <v>0</v>
          </cell>
          <cell r="X1404" t="str">
            <v>EST POLTRONA PATER (JEQUITIBA) COURO 1 CAMEL/ALMOF FX6649 - 0,82x0,94x0,83H</v>
          </cell>
          <cell r="Y1404">
            <v>32716.68</v>
          </cell>
          <cell r="Z1404">
            <v>0.35</v>
          </cell>
          <cell r="AA1404">
            <v>21265.842000000001</v>
          </cell>
          <cell r="AB1404"/>
        </row>
        <row r="1405">
          <cell r="C1405">
            <v>0</v>
          </cell>
          <cell r="D1405">
            <v>1</v>
          </cell>
          <cell r="E1405">
            <v>1</v>
          </cell>
          <cell r="F1405">
            <v>0</v>
          </cell>
          <cell r="H1405">
            <v>0</v>
          </cell>
          <cell r="O1405">
            <v>379649</v>
          </cell>
          <cell r="P1405" t="str">
            <v>2024/081-0062-01</v>
          </cell>
          <cell r="Q1405" t="str">
            <v>EST BANQUETA PATER (JEQUITIBA) COURO 1 CAMEL/ALMOF FX6649</v>
          </cell>
          <cell r="R1405"/>
          <cell r="S1405"/>
          <cell r="T1405">
            <v>0.66</v>
          </cell>
          <cell r="U1405">
            <v>0.51</v>
          </cell>
          <cell r="V1405">
            <v>0.47</v>
          </cell>
          <cell r="W1405">
            <v>0</v>
          </cell>
          <cell r="X1405" t="str">
            <v>EST BANQUETA PATER (JEQUITIBA) COURO 1 CAMEL/ALMOF FX6649 - 0,66x0,51x0,47H</v>
          </cell>
          <cell r="Y1405">
            <v>14786.6</v>
          </cell>
          <cell r="Z1405">
            <v>0.35</v>
          </cell>
          <cell r="AA1405">
            <v>9611.2900000000009</v>
          </cell>
          <cell r="AB1405"/>
        </row>
        <row r="1406">
          <cell r="C1406">
            <v>0</v>
          </cell>
          <cell r="D1406">
            <v>1</v>
          </cell>
          <cell r="E1406">
            <v>0</v>
          </cell>
          <cell r="F1406">
            <v>0</v>
          </cell>
          <cell r="H1406">
            <v>0</v>
          </cell>
          <cell r="O1406">
            <v>379659</v>
          </cell>
          <cell r="P1406" t="str">
            <v>2024/099-0032-01</v>
          </cell>
          <cell r="Q1406" t="str">
            <v>EST APOIO DE CABECA NEW ARAGON (MTZ CAPU) TC B2271</v>
          </cell>
          <cell r="R1406"/>
          <cell r="S1406"/>
          <cell r="T1406">
            <v>0.65</v>
          </cell>
          <cell r="U1406">
            <v>0.12</v>
          </cell>
          <cell r="V1406">
            <v>0.75</v>
          </cell>
          <cell r="W1406">
            <v>0</v>
          </cell>
          <cell r="X1406" t="str">
            <v>EST APOIO DE CABECA NEW ARAGON (MTZ CAPU) TC B2271 - 0,65x0,12x0,75H</v>
          </cell>
          <cell r="Y1406">
            <v>5034.8500000000004</v>
          </cell>
          <cell r="Z1406">
            <v>0.35</v>
          </cell>
          <cell r="AA1406">
            <v>3272.6525000000001</v>
          </cell>
          <cell r="AB1406"/>
        </row>
        <row r="1407">
          <cell r="C1407">
            <v>2</v>
          </cell>
          <cell r="D1407">
            <v>1</v>
          </cell>
          <cell r="E1407">
            <v>0</v>
          </cell>
          <cell r="F1407">
            <v>5</v>
          </cell>
          <cell r="H1407">
            <v>1</v>
          </cell>
          <cell r="O1407">
            <v>379867</v>
          </cell>
          <cell r="P1407" t="str">
            <v>2024/072-0093-01</v>
          </cell>
          <cell r="Q1407" t="str">
            <v>EST BANDEJA MONDRIAN (DARK BRONZE) MAMMUT</v>
          </cell>
          <cell r="R1407"/>
          <cell r="S1407"/>
          <cell r="T1407">
            <v>0.56000000000000005</v>
          </cell>
          <cell r="U1407">
            <v>0.41</v>
          </cell>
          <cell r="V1407">
            <v>0.04</v>
          </cell>
          <cell r="W1407">
            <v>0</v>
          </cell>
          <cell r="X1407" t="str">
            <v>EST BANDEJA MONDRIAN (DARK BRONZE) MAMMUT - 0,56x0,41x0,04H</v>
          </cell>
          <cell r="Y1407">
            <v>4954.84</v>
          </cell>
          <cell r="Z1407">
            <v>0.35</v>
          </cell>
          <cell r="AA1407">
            <v>3220.6460000000002</v>
          </cell>
          <cell r="AB1407"/>
        </row>
        <row r="1408">
          <cell r="C1408">
            <v>1</v>
          </cell>
          <cell r="D1408">
            <v>0</v>
          </cell>
          <cell r="E1408">
            <v>0</v>
          </cell>
          <cell r="F1408">
            <v>2</v>
          </cell>
          <cell r="H1408">
            <v>2</v>
          </cell>
          <cell r="O1408">
            <v>389953</v>
          </cell>
          <cell r="P1408" t="str">
            <v>2024/267-0072-01</v>
          </cell>
          <cell r="Q1408" t="str">
            <v>EST MODULO PUFF LENCOIS M OUTDOOR TC KEEPSAKE TAUPE</v>
          </cell>
          <cell r="R1408"/>
          <cell r="S1408"/>
          <cell r="T1408">
            <v>1.7</v>
          </cell>
          <cell r="U1408">
            <v>1</v>
          </cell>
          <cell r="V1408">
            <v>0.38</v>
          </cell>
          <cell r="W1408">
            <v>0</v>
          </cell>
          <cell r="X1408" t="str">
            <v>EST MODULO PUFF LENCOIS M OUTDOOR TC KEEPSAKE TAUPE - 1,7x1x0,38H</v>
          </cell>
          <cell r="Y1408">
            <v>26097.426900000002</v>
          </cell>
          <cell r="Z1408">
            <v>0.35</v>
          </cell>
          <cell r="AA1408">
            <v>16963.327485000002</v>
          </cell>
          <cell r="AB1408"/>
        </row>
        <row r="1409">
          <cell r="C1409">
            <v>0</v>
          </cell>
          <cell r="D1409">
            <v>0</v>
          </cell>
          <cell r="E1409">
            <v>0</v>
          </cell>
          <cell r="F1409">
            <v>0</v>
          </cell>
          <cell r="H1409">
            <v>2</v>
          </cell>
          <cell r="O1409">
            <v>389954</v>
          </cell>
          <cell r="P1409" t="str">
            <v>2024/267-0077-01</v>
          </cell>
          <cell r="Q1409" t="str">
            <v>EST MODULO ENCOSTO (L) LENCOIS M OUTDOOR TC KEEPSAKE TAUPE</v>
          </cell>
          <cell r="R1409"/>
          <cell r="S1409"/>
          <cell r="T1409">
            <v>0.8</v>
          </cell>
          <cell r="U1409">
            <v>0.8</v>
          </cell>
          <cell r="V1409">
            <v>0.26</v>
          </cell>
          <cell r="W1409">
            <v>0</v>
          </cell>
          <cell r="X1409" t="str">
            <v>EST MODULO ENCOSTO (L) LENCOIS M OUTDOOR TC KEEPSAKE TAUPE - 0,8x0,8x0,26H</v>
          </cell>
          <cell r="Y1409">
            <v>6989.4105</v>
          </cell>
          <cell r="Z1409">
            <v>0.35</v>
          </cell>
          <cell r="AA1409">
            <v>4543.1168250000001</v>
          </cell>
          <cell r="AB1409"/>
        </row>
        <row r="1410">
          <cell r="C1410">
            <v>1</v>
          </cell>
          <cell r="D1410">
            <v>0</v>
          </cell>
          <cell r="E1410">
            <v>0</v>
          </cell>
          <cell r="F1410">
            <v>2</v>
          </cell>
          <cell r="H1410">
            <v>1</v>
          </cell>
          <cell r="O1410">
            <v>389958</v>
          </cell>
          <cell r="P1410" t="str">
            <v>2024/267-0088-01</v>
          </cell>
          <cell r="Q1410" t="str">
            <v>EST ALMOFADA DECORATIVA LENCOIS M OUTDOOR TC KEEPSAKE TAUPE</v>
          </cell>
          <cell r="R1410"/>
          <cell r="S1410"/>
          <cell r="T1410">
            <v>0.6</v>
          </cell>
          <cell r="U1410">
            <v>0.6</v>
          </cell>
          <cell r="V1410">
            <v>0</v>
          </cell>
          <cell r="W1410">
            <v>0</v>
          </cell>
          <cell r="X1410" t="str">
            <v>EST ALMOFADA DECORATIVA LENCOIS M OUTDOOR TC KEEPSAKE TAUPE - 0,6x0,6x0H</v>
          </cell>
          <cell r="Y1410">
            <v>1751.3990200000003</v>
          </cell>
          <cell r="Z1410">
            <v>0.35</v>
          </cell>
          <cell r="AA1410">
            <v>1138.4093630000002</v>
          </cell>
          <cell r="AB1410"/>
        </row>
        <row r="1411">
          <cell r="C1411">
            <v>0</v>
          </cell>
          <cell r="D1411">
            <v>2</v>
          </cell>
          <cell r="E1411">
            <v>0</v>
          </cell>
          <cell r="F1411">
            <v>0</v>
          </cell>
          <cell r="H1411">
            <v>0</v>
          </cell>
          <cell r="O1411">
            <v>394911</v>
          </cell>
          <cell r="P1411" t="str">
            <v>2025/014-0029-01</v>
          </cell>
          <cell r="Q1411" t="str">
            <v>EST POLTRONA COCON (GIR) (ENC FX D4235) (FX D4235)</v>
          </cell>
          <cell r="R1411"/>
          <cell r="S1411"/>
          <cell r="T1411">
            <v>0.95</v>
          </cell>
          <cell r="U1411">
            <v>0.9</v>
          </cell>
          <cell r="V1411">
            <v>0.74</v>
          </cell>
          <cell r="W1411">
            <v>0</v>
          </cell>
          <cell r="X1411" t="str">
            <v>EST POLTRONA COCON (GIR) (ENC FX D4235) (FX D4235) - 0,95x0,9x0,74H</v>
          </cell>
          <cell r="Y1411">
            <v>9757.84</v>
          </cell>
          <cell r="Z1411">
            <v>0.35</v>
          </cell>
          <cell r="AA1411">
            <v>6342.5960000000005</v>
          </cell>
          <cell r="AB1411"/>
        </row>
        <row r="1412">
          <cell r="C1412">
            <v>0</v>
          </cell>
          <cell r="D1412">
            <v>2</v>
          </cell>
          <cell r="E1412">
            <v>0</v>
          </cell>
          <cell r="F1412">
            <v>0</v>
          </cell>
          <cell r="H1412">
            <v>0</v>
          </cell>
          <cell r="O1412">
            <v>394911</v>
          </cell>
          <cell r="P1412" t="str">
            <v>2025/014-0030-01</v>
          </cell>
          <cell r="Q1412" t="str">
            <v>EST POLTRONA COCON (GIR) (ENC FX D4235) (FX D4235)</v>
          </cell>
          <cell r="R1412"/>
          <cell r="S1412"/>
          <cell r="T1412">
            <v>0.95</v>
          </cell>
          <cell r="U1412">
            <v>0.9</v>
          </cell>
          <cell r="V1412">
            <v>0.74</v>
          </cell>
          <cell r="W1412">
            <v>0</v>
          </cell>
          <cell r="X1412" t="str">
            <v>EST POLTRONA COCON (GIR) (ENC FX D4235) (FX D4235) - 0,95x0,9x0,74H</v>
          </cell>
          <cell r="Y1412">
            <v>9757.84</v>
          </cell>
          <cell r="Z1412">
            <v>0.35</v>
          </cell>
          <cell r="AA1412">
            <v>6342.5960000000005</v>
          </cell>
          <cell r="AB1412"/>
        </row>
        <row r="1413">
          <cell r="C1413">
            <v>0</v>
          </cell>
          <cell r="D1413">
            <v>1</v>
          </cell>
          <cell r="E1413">
            <v>0</v>
          </cell>
          <cell r="F1413">
            <v>0</v>
          </cell>
          <cell r="H1413">
            <v>0</v>
          </cell>
          <cell r="O1413">
            <v>394926</v>
          </cell>
          <cell r="P1413" t="str">
            <v>2025/118-0022-01</v>
          </cell>
          <cell r="Q1413" t="str">
            <v>EST MESA CENTRO ESSENCE ORGANICA (MTZ CAPPUC) CLEAR/WALNUT</v>
          </cell>
          <cell r="R1413"/>
          <cell r="S1413"/>
          <cell r="T1413">
            <v>0.8</v>
          </cell>
          <cell r="U1413">
            <v>0.8</v>
          </cell>
          <cell r="V1413">
            <v>0.35</v>
          </cell>
          <cell r="W1413">
            <v>0</v>
          </cell>
          <cell r="X1413" t="str">
            <v>EST MESA CENTRO ESSENCE ORGANICA (MTZ CAPPUC) CLEAR/WALNUT - 0,8x0,8x0,35H</v>
          </cell>
          <cell r="Y1413">
            <v>18075.099999999999</v>
          </cell>
          <cell r="Z1413">
            <v>0.35</v>
          </cell>
          <cell r="AA1413">
            <v>11748.814999999999</v>
          </cell>
          <cell r="AB1413"/>
        </row>
        <row r="1414">
          <cell r="C1414">
            <v>0</v>
          </cell>
          <cell r="D1414">
            <v>1</v>
          </cell>
          <cell r="E1414">
            <v>0</v>
          </cell>
          <cell r="F1414">
            <v>0</v>
          </cell>
          <cell r="H1414">
            <v>0</v>
          </cell>
          <cell r="O1414">
            <v>206589</v>
          </cell>
          <cell r="P1414" t="str">
            <v>2017/080-0140-01</v>
          </cell>
          <cell r="Q1414" t="str">
            <v>EST MESA LATERAL BORDER (TP NOGAL/BS ALCA PINT BROWN)</v>
          </cell>
          <cell r="R1414"/>
          <cell r="S1414"/>
          <cell r="T1414">
            <v>0.53</v>
          </cell>
          <cell r="U1414">
            <v>0.53</v>
          </cell>
          <cell r="V1414">
            <v>0.56999999999999995</v>
          </cell>
          <cell r="W1414">
            <v>0</v>
          </cell>
          <cell r="X1414" t="str">
            <v>EST MESA LATERAL BORDER (TP NOGAL/BS ALCA PINT BROWN) - 0,53x0,53x0,57H</v>
          </cell>
          <cell r="Y1414">
            <v>3953.73</v>
          </cell>
          <cell r="Z1414">
            <v>0.5</v>
          </cell>
          <cell r="AA1414">
            <v>1976.865</v>
          </cell>
          <cell r="AB1414"/>
        </row>
        <row r="1415">
          <cell r="C1415">
            <v>0</v>
          </cell>
          <cell r="D1415">
            <v>2</v>
          </cell>
          <cell r="E1415">
            <v>0</v>
          </cell>
          <cell r="F1415">
            <v>0</v>
          </cell>
          <cell r="H1415">
            <v>0</v>
          </cell>
          <cell r="O1415">
            <v>255046</v>
          </cell>
          <cell r="P1415" t="str">
            <v>2021/050-0204-01</v>
          </cell>
          <cell r="Q1415" t="str">
            <v>EST LUMINARIA FOLK MESA (PONTEIRA MARROM FSC) (CUP/BS RAIZ)</v>
          </cell>
          <cell r="R1415"/>
          <cell r="S1415"/>
          <cell r="T1415">
            <v>0.3</v>
          </cell>
          <cell r="U1415">
            <v>0.3</v>
          </cell>
          <cell r="V1415">
            <v>0.72</v>
          </cell>
          <cell r="W1415">
            <v>0</v>
          </cell>
          <cell r="X1415" t="str">
            <v>EST LUMINARIA FOLK MESA (PONTEIRA MARROM FSC) (CUP/BS RAIZ) - 0,3x0,3x0,72H</v>
          </cell>
          <cell r="Y1415">
            <v>16370.68</v>
          </cell>
          <cell r="Z1415">
            <v>0.5</v>
          </cell>
          <cell r="AA1415">
            <v>8185.34</v>
          </cell>
          <cell r="AB1415"/>
        </row>
        <row r="1416">
          <cell r="C1416">
            <v>0</v>
          </cell>
          <cell r="D1416">
            <v>2</v>
          </cell>
          <cell r="E1416">
            <v>0</v>
          </cell>
          <cell r="F1416">
            <v>0</v>
          </cell>
          <cell r="H1416">
            <v>0</v>
          </cell>
          <cell r="O1416">
            <v>255046</v>
          </cell>
          <cell r="P1416" t="str">
            <v>2020/072-0086-01</v>
          </cell>
          <cell r="Q1416" t="str">
            <v>EST LUMINARIA FOLK MESA (PONTEIRA MARROM FSC) (CUP/BS RAIZ)</v>
          </cell>
          <cell r="R1416"/>
          <cell r="S1416"/>
          <cell r="T1416">
            <v>0.3</v>
          </cell>
          <cell r="U1416">
            <v>0.3</v>
          </cell>
          <cell r="V1416">
            <v>0.72</v>
          </cell>
          <cell r="W1416">
            <v>0</v>
          </cell>
          <cell r="X1416" t="str">
            <v>EST LUMINARIA FOLK MESA (PONTEIRA MARROM FSC) (CUP/BS RAIZ) - 0,3x0,3x0,72H</v>
          </cell>
          <cell r="Y1416">
            <v>16370.68</v>
          </cell>
          <cell r="Z1416">
            <v>0.5</v>
          </cell>
          <cell r="AA1416">
            <v>8185.34</v>
          </cell>
          <cell r="AB1416"/>
        </row>
        <row r="1417">
          <cell r="C1417">
            <v>0</v>
          </cell>
          <cell r="D1417">
            <v>1</v>
          </cell>
          <cell r="E1417">
            <v>0</v>
          </cell>
          <cell r="F1417">
            <v>0</v>
          </cell>
          <cell r="H1417">
            <v>0</v>
          </cell>
          <cell r="O1417">
            <v>255047</v>
          </cell>
          <cell r="P1417" t="str">
            <v>2020/072-0087-01</v>
          </cell>
          <cell r="Q1417" t="str">
            <v>EST LUMINARIA FOLK MESA (PONTEIRA AUT FRAPE) (CUP/BS FAJO)</v>
          </cell>
          <cell r="R1417"/>
          <cell r="S1417"/>
          <cell r="T1417">
            <v>0.3</v>
          </cell>
          <cell r="U1417">
            <v>0.3</v>
          </cell>
          <cell r="V1417">
            <v>0.72</v>
          </cell>
          <cell r="W1417">
            <v>0</v>
          </cell>
          <cell r="X1417" t="str">
            <v>EST LUMINARIA FOLK MESA (PONTEIRA AUT FRAPE) (CUP/BS FAJO) - 0,3x0,3x0,72H</v>
          </cell>
          <cell r="Y1417">
            <v>16370.68</v>
          </cell>
          <cell r="Z1417">
            <v>0.5</v>
          </cell>
          <cell r="AA1417">
            <v>8185.34</v>
          </cell>
          <cell r="AB1417"/>
        </row>
        <row r="1418">
          <cell r="C1418">
            <v>0</v>
          </cell>
          <cell r="D1418">
            <v>1</v>
          </cell>
          <cell r="E1418">
            <v>0</v>
          </cell>
          <cell r="F1418">
            <v>0</v>
          </cell>
          <cell r="H1418">
            <v>0</v>
          </cell>
          <cell r="O1418">
            <v>255049</v>
          </cell>
          <cell r="P1418" t="str">
            <v>2020/066-0040-01</v>
          </cell>
          <cell r="Q1418" t="str">
            <v>EST BANDEJA PLENN 2269W (LAMINA FAJO)</v>
          </cell>
          <cell r="R1418"/>
          <cell r="S1418"/>
          <cell r="T1418">
            <v>0.57999999999999996</v>
          </cell>
          <cell r="U1418">
            <v>0</v>
          </cell>
          <cell r="V1418">
            <v>0.04</v>
          </cell>
          <cell r="W1418">
            <v>0.57999999999999996</v>
          </cell>
          <cell r="X1418" t="str">
            <v>EST BANDEJA PLENN 2269W (LAMINA FAJO) - Ø0,58x0,04H</v>
          </cell>
          <cell r="Y1418">
            <v>3083.9</v>
          </cell>
          <cell r="Z1418">
            <v>0.5</v>
          </cell>
          <cell r="AA1418">
            <v>1541.95</v>
          </cell>
          <cell r="AB1418"/>
        </row>
        <row r="1419">
          <cell r="C1419">
            <v>0</v>
          </cell>
          <cell r="D1419">
            <v>1</v>
          </cell>
          <cell r="E1419">
            <v>0</v>
          </cell>
          <cell r="F1419">
            <v>0</v>
          </cell>
          <cell r="H1419">
            <v>0</v>
          </cell>
          <cell r="O1419">
            <v>328886</v>
          </cell>
          <cell r="P1419" t="str">
            <v>2022/200-0049-01</v>
          </cell>
          <cell r="Q1419" t="str">
            <v>EST MESA CENTRO BALLET II (FX4 CALACATA BRI) (COMBINATA FSC)</v>
          </cell>
          <cell r="R1419"/>
          <cell r="S1419"/>
          <cell r="T1419">
            <v>1</v>
          </cell>
          <cell r="U1419">
            <v>0</v>
          </cell>
          <cell r="V1419">
            <v>0.35</v>
          </cell>
          <cell r="W1419">
            <v>1</v>
          </cell>
          <cell r="X1419" t="str">
            <v>EST MESA CENTRO BALLET II (FX4 CALACATA BRI) (COMBINATA FSC) - Ø1x0,35H</v>
          </cell>
          <cell r="Y1419">
            <v>47723.29</v>
          </cell>
          <cell r="Z1419">
            <v>0.5</v>
          </cell>
          <cell r="AA1419">
            <v>23861.645</v>
          </cell>
          <cell r="AB1419"/>
        </row>
        <row r="1420">
          <cell r="C1420">
            <v>0</v>
          </cell>
          <cell r="D1420">
            <v>0</v>
          </cell>
          <cell r="E1420">
            <v>0</v>
          </cell>
          <cell r="F1420">
            <v>0</v>
          </cell>
          <cell r="H1420">
            <v>2</v>
          </cell>
          <cell r="O1420">
            <v>334175</v>
          </cell>
          <cell r="P1420" t="str">
            <v>2022/196-0062-01</v>
          </cell>
          <cell r="Q1420" t="str">
            <v>EST POLTRONA PATER (IMBUIA) TAURUS 30/ALMOF FX10008</v>
          </cell>
          <cell r="R1420"/>
          <cell r="S1420"/>
          <cell r="T1420">
            <v>0.82</v>
          </cell>
          <cell r="U1420">
            <v>0.94</v>
          </cell>
          <cell r="V1420">
            <v>0.83</v>
          </cell>
          <cell r="W1420">
            <v>0</v>
          </cell>
          <cell r="X1420" t="str">
            <v>EST POLTRONA PATER (IMBUIA) TAURUS 30/ALMOF FX10008 - 0,82x0,94x0,83H</v>
          </cell>
          <cell r="Y1420">
            <v>32157.17</v>
          </cell>
          <cell r="Z1420">
            <v>0.5</v>
          </cell>
          <cell r="AA1420">
            <v>16078.584999999999</v>
          </cell>
          <cell r="AB1420"/>
        </row>
        <row r="1421">
          <cell r="C1421">
            <v>0</v>
          </cell>
          <cell r="D1421">
            <v>0</v>
          </cell>
          <cell r="E1421">
            <v>0</v>
          </cell>
          <cell r="F1421">
            <v>0</v>
          </cell>
          <cell r="H1421">
            <v>1</v>
          </cell>
          <cell r="O1421">
            <v>334465</v>
          </cell>
          <cell r="P1421" t="str">
            <v>2022/222-0048-01</v>
          </cell>
          <cell r="Q1421" t="str">
            <v>EST BANQUETA PATER (IMBUIA) TAURUS 30/ALMOF  FX10008</v>
          </cell>
          <cell r="R1421"/>
          <cell r="S1421"/>
          <cell r="T1421">
            <v>0.66</v>
          </cell>
          <cell r="U1421">
            <v>0.51</v>
          </cell>
          <cell r="V1421">
            <v>0.47</v>
          </cell>
          <cell r="W1421">
            <v>0</v>
          </cell>
          <cell r="X1421" t="str">
            <v>EST BANQUETA PATER (IMBUIA) TAURUS 30/ALMOF  FX10008 - 0,66x0,51x0,47H</v>
          </cell>
          <cell r="Y1421">
            <v>16580.84</v>
          </cell>
          <cell r="Z1421">
            <v>0.5</v>
          </cell>
          <cell r="AA1421">
            <v>8290.42</v>
          </cell>
          <cell r="AB1421"/>
        </row>
        <row r="1422">
          <cell r="C1422">
            <v>0</v>
          </cell>
          <cell r="D1422">
            <v>8</v>
          </cell>
          <cell r="E1422">
            <v>0</v>
          </cell>
          <cell r="F1422">
            <v>0</v>
          </cell>
          <cell r="H1422">
            <v>0</v>
          </cell>
          <cell r="O1422">
            <v>371344</v>
          </cell>
          <cell r="P1422" t="str">
            <v>2023/247-0001-01</v>
          </cell>
          <cell r="Q1422" t="str">
            <v>EST CADEIRA JUSSARA (AMENDOA) COURO CH ENV 16</v>
          </cell>
          <cell r="R1422"/>
          <cell r="S1422"/>
          <cell r="T1422">
            <v>0.48</v>
          </cell>
          <cell r="U1422">
            <v>0.6</v>
          </cell>
          <cell r="V1422">
            <v>0.89</v>
          </cell>
          <cell r="W1422">
            <v>0</v>
          </cell>
          <cell r="X1422" t="str">
            <v>EST CADEIRA JUSSARA (AMENDOA) COURO CH ENV 16 - 0,48x0,6x0,89H</v>
          </cell>
          <cell r="Y1422">
            <v>6661.49</v>
          </cell>
          <cell r="Z1422">
            <v>0.5</v>
          </cell>
          <cell r="AA1422">
            <v>3330.7449999999999</v>
          </cell>
          <cell r="AB1422"/>
        </row>
        <row r="1423">
          <cell r="C1423">
            <v>0</v>
          </cell>
          <cell r="D1423">
            <v>8</v>
          </cell>
          <cell r="E1423">
            <v>0</v>
          </cell>
          <cell r="F1423">
            <v>0</v>
          </cell>
          <cell r="H1423">
            <v>0</v>
          </cell>
          <cell r="O1423">
            <v>371344</v>
          </cell>
          <cell r="P1423" t="str">
            <v>2023/247-0002-01</v>
          </cell>
          <cell r="Q1423" t="str">
            <v>EST CADEIRA JUSSARA (AMENDOA) COURO CH ENV 16</v>
          </cell>
          <cell r="R1423"/>
          <cell r="S1423"/>
          <cell r="T1423">
            <v>0.48</v>
          </cell>
          <cell r="U1423">
            <v>0.6</v>
          </cell>
          <cell r="V1423">
            <v>0.89</v>
          </cell>
          <cell r="W1423">
            <v>0</v>
          </cell>
          <cell r="X1423" t="str">
            <v>EST CADEIRA JUSSARA (AMENDOA) COURO CH ENV 16 - 0,48x0,6x0,89H</v>
          </cell>
          <cell r="Y1423">
            <v>6661.49</v>
          </cell>
          <cell r="Z1423">
            <v>0.5</v>
          </cell>
          <cell r="AA1423">
            <v>3330.7449999999999</v>
          </cell>
          <cell r="AB1423"/>
        </row>
        <row r="1424">
          <cell r="C1424">
            <v>0</v>
          </cell>
          <cell r="D1424">
            <v>8</v>
          </cell>
          <cell r="E1424">
            <v>0</v>
          </cell>
          <cell r="F1424">
            <v>0</v>
          </cell>
          <cell r="H1424">
            <v>0</v>
          </cell>
          <cell r="O1424">
            <v>371344</v>
          </cell>
          <cell r="P1424" t="str">
            <v>2023/247-0003-01</v>
          </cell>
          <cell r="Q1424" t="str">
            <v>EST CADEIRA JUSSARA (AMENDOA) COURO CH ENV 16</v>
          </cell>
          <cell r="R1424"/>
          <cell r="S1424"/>
          <cell r="T1424">
            <v>0.48</v>
          </cell>
          <cell r="U1424">
            <v>0.6</v>
          </cell>
          <cell r="V1424">
            <v>0.89</v>
          </cell>
          <cell r="W1424">
            <v>0</v>
          </cell>
          <cell r="X1424" t="str">
            <v>EST CADEIRA JUSSARA (AMENDOA) COURO CH ENV 16 - 0,48x0,6x0,89H</v>
          </cell>
          <cell r="Y1424">
            <v>6661.49</v>
          </cell>
          <cell r="Z1424">
            <v>0.5</v>
          </cell>
          <cell r="AA1424">
            <v>3330.7449999999999</v>
          </cell>
          <cell r="AB1424"/>
        </row>
        <row r="1425">
          <cell r="C1425">
            <v>0</v>
          </cell>
          <cell r="D1425">
            <v>8</v>
          </cell>
          <cell r="E1425">
            <v>0</v>
          </cell>
          <cell r="F1425">
            <v>0</v>
          </cell>
          <cell r="H1425">
            <v>0</v>
          </cell>
          <cell r="O1425">
            <v>371344</v>
          </cell>
          <cell r="P1425" t="str">
            <v>2023/247-0004-01</v>
          </cell>
          <cell r="Q1425" t="str">
            <v>EST CADEIRA JUSSARA (AMENDOA) COURO CH ENV 16</v>
          </cell>
          <cell r="R1425"/>
          <cell r="S1425"/>
          <cell r="T1425">
            <v>0.48</v>
          </cell>
          <cell r="U1425">
            <v>0.6</v>
          </cell>
          <cell r="V1425">
            <v>0.89</v>
          </cell>
          <cell r="W1425">
            <v>0</v>
          </cell>
          <cell r="X1425" t="str">
            <v>EST CADEIRA JUSSARA (AMENDOA) COURO CH ENV 16 - 0,48x0,6x0,89H</v>
          </cell>
          <cell r="Y1425">
            <v>6661.49</v>
          </cell>
          <cell r="Z1425">
            <v>0.5</v>
          </cell>
          <cell r="AA1425">
            <v>3330.7449999999999</v>
          </cell>
          <cell r="AB1425"/>
        </row>
        <row r="1426">
          <cell r="C1426">
            <v>0</v>
          </cell>
          <cell r="D1426">
            <v>8</v>
          </cell>
          <cell r="E1426">
            <v>0</v>
          </cell>
          <cell r="F1426">
            <v>0</v>
          </cell>
          <cell r="H1426">
            <v>0</v>
          </cell>
          <cell r="O1426">
            <v>371344</v>
          </cell>
          <cell r="P1426" t="str">
            <v>2023/247-0005-01</v>
          </cell>
          <cell r="Q1426" t="str">
            <v>EST CADEIRA JUSSARA (AMENDOA) COURO CH ENV 16</v>
          </cell>
          <cell r="R1426"/>
          <cell r="S1426"/>
          <cell r="T1426">
            <v>0.48</v>
          </cell>
          <cell r="U1426">
            <v>0.6</v>
          </cell>
          <cell r="V1426">
            <v>0.89</v>
          </cell>
          <cell r="W1426">
            <v>0</v>
          </cell>
          <cell r="X1426" t="str">
            <v>EST CADEIRA JUSSARA (AMENDOA) COURO CH ENV 16 - 0,48x0,6x0,89H</v>
          </cell>
          <cell r="Y1426">
            <v>6661.49</v>
          </cell>
          <cell r="Z1426">
            <v>0.5</v>
          </cell>
          <cell r="AA1426">
            <v>3330.7449999999999</v>
          </cell>
          <cell r="AB1426"/>
        </row>
        <row r="1427">
          <cell r="C1427">
            <v>0</v>
          </cell>
          <cell r="D1427">
            <v>8</v>
          </cell>
          <cell r="E1427">
            <v>0</v>
          </cell>
          <cell r="F1427">
            <v>0</v>
          </cell>
          <cell r="H1427">
            <v>0</v>
          </cell>
          <cell r="O1427">
            <v>371344</v>
          </cell>
          <cell r="P1427" t="str">
            <v>2023/247-0007-01</v>
          </cell>
          <cell r="Q1427" t="str">
            <v>EST CADEIRA JUSSARA (AMENDOA) COURO CH ENV 16</v>
          </cell>
          <cell r="R1427"/>
          <cell r="S1427"/>
          <cell r="T1427">
            <v>0.48</v>
          </cell>
          <cell r="U1427">
            <v>0.6</v>
          </cell>
          <cell r="V1427">
            <v>0.89</v>
          </cell>
          <cell r="W1427">
            <v>0</v>
          </cell>
          <cell r="X1427" t="str">
            <v>EST CADEIRA JUSSARA (AMENDOA) COURO CH ENV 16 - 0,48x0,6x0,89H</v>
          </cell>
          <cell r="Y1427">
            <v>6661.49</v>
          </cell>
          <cell r="Z1427">
            <v>0.5</v>
          </cell>
          <cell r="AA1427">
            <v>3330.7449999999999</v>
          </cell>
          <cell r="AB1427"/>
        </row>
        <row r="1428">
          <cell r="C1428">
            <v>0</v>
          </cell>
          <cell r="D1428">
            <v>8</v>
          </cell>
          <cell r="E1428">
            <v>0</v>
          </cell>
          <cell r="F1428">
            <v>0</v>
          </cell>
          <cell r="H1428">
            <v>0</v>
          </cell>
          <cell r="O1428">
            <v>371344</v>
          </cell>
          <cell r="P1428" t="str">
            <v>2023/247-0008-01</v>
          </cell>
          <cell r="Q1428" t="str">
            <v>EST CADEIRA JUSSARA (AMENDOA) COURO CH ENV 16</v>
          </cell>
          <cell r="R1428"/>
          <cell r="S1428"/>
          <cell r="T1428">
            <v>0.48</v>
          </cell>
          <cell r="U1428">
            <v>0.6</v>
          </cell>
          <cell r="V1428">
            <v>0.89</v>
          </cell>
          <cell r="W1428">
            <v>0</v>
          </cell>
          <cell r="X1428" t="str">
            <v>EST CADEIRA JUSSARA (AMENDOA) COURO CH ENV 16 - 0,48x0,6x0,89H</v>
          </cell>
          <cell r="Y1428">
            <v>6661.49</v>
          </cell>
          <cell r="Z1428">
            <v>0.5</v>
          </cell>
          <cell r="AA1428">
            <v>3330.7449999999999</v>
          </cell>
          <cell r="AB1428"/>
        </row>
        <row r="1429">
          <cell r="C1429">
            <v>0</v>
          </cell>
          <cell r="D1429">
            <v>8</v>
          </cell>
          <cell r="E1429">
            <v>0</v>
          </cell>
          <cell r="F1429">
            <v>0</v>
          </cell>
          <cell r="H1429">
            <v>0</v>
          </cell>
          <cell r="O1429">
            <v>371344</v>
          </cell>
          <cell r="P1429" t="str">
            <v>2023/247-0006-01</v>
          </cell>
          <cell r="Q1429" t="str">
            <v>EST CADEIRA JUSSARA (AMENDOA) COURO CH ENV 16</v>
          </cell>
          <cell r="R1429"/>
          <cell r="S1429"/>
          <cell r="T1429">
            <v>0.48</v>
          </cell>
          <cell r="U1429">
            <v>0.6</v>
          </cell>
          <cell r="V1429">
            <v>0.89</v>
          </cell>
          <cell r="W1429">
            <v>0</v>
          </cell>
          <cell r="X1429" t="str">
            <v>EST CADEIRA JUSSARA (AMENDOA) COURO CH ENV 16 - 0,48x0,6x0,89H</v>
          </cell>
          <cell r="Y1429">
            <v>6661.49</v>
          </cell>
          <cell r="Z1429">
            <v>0.5</v>
          </cell>
          <cell r="AA1429">
            <v>3330.7449999999999</v>
          </cell>
          <cell r="AB1429"/>
        </row>
        <row r="1430">
          <cell r="C1430">
            <v>1</v>
          </cell>
          <cell r="D1430">
            <v>0</v>
          </cell>
          <cell r="E1430">
            <v>0</v>
          </cell>
          <cell r="F1430">
            <v>0</v>
          </cell>
          <cell r="H1430">
            <v>1</v>
          </cell>
          <cell r="O1430">
            <v>233669</v>
          </cell>
          <cell r="P1430" t="str">
            <v>2019/149-0128-01</v>
          </cell>
          <cell r="Q1430" t="str">
            <v>EST PUFF DINN (CARVALHO CARBONO) COURO BLACK 7</v>
          </cell>
          <cell r="R1430"/>
          <cell r="S1430"/>
          <cell r="T1430">
            <v>1.5</v>
          </cell>
          <cell r="U1430">
            <v>0.7</v>
          </cell>
          <cell r="V1430">
            <v>0.4</v>
          </cell>
          <cell r="W1430">
            <v>0</v>
          </cell>
          <cell r="X1430" t="str">
            <v>EST PUFF DINN (CARVALHO CARBONO) COURO BLACK 7 - 1,5x0,7x0,4H</v>
          </cell>
          <cell r="Y1430">
            <v>26880.01</v>
          </cell>
          <cell r="Z1430">
            <v>0.5</v>
          </cell>
          <cell r="AA1430">
            <v>13440.004999999999</v>
          </cell>
          <cell r="AB1430"/>
        </row>
        <row r="1431">
          <cell r="C1431">
            <v>2</v>
          </cell>
          <cell r="D1431">
            <v>0</v>
          </cell>
          <cell r="E1431">
            <v>0</v>
          </cell>
          <cell r="F1431">
            <v>0</v>
          </cell>
          <cell r="H1431">
            <v>0</v>
          </cell>
          <cell r="O1431">
            <v>253850</v>
          </cell>
          <cell r="P1431" t="str">
            <v>2019/330-0012-01</v>
          </cell>
          <cell r="Q1431" t="str">
            <v>EST BANDEJA URBANA (M) H18 (DET LATAO) (TAUARI NATURAL)</v>
          </cell>
          <cell r="R1431"/>
          <cell r="S1431"/>
          <cell r="T1431">
            <v>0.25</v>
          </cell>
          <cell r="U1431">
            <v>0</v>
          </cell>
          <cell r="V1431">
            <v>0.18</v>
          </cell>
          <cell r="W1431">
            <v>0.25</v>
          </cell>
          <cell r="X1431" t="str">
            <v>EST BANDEJA URBANA (M) H18 (DET LATAO) (TAUARI NATURAL) - Ø0,25x0,18H</v>
          </cell>
          <cell r="Y1431">
            <v>2687.24</v>
          </cell>
          <cell r="Z1431">
            <v>0.5</v>
          </cell>
          <cell r="AA1431">
            <v>1343.62</v>
          </cell>
          <cell r="AB1431"/>
        </row>
        <row r="1432">
          <cell r="C1432">
            <v>2</v>
          </cell>
          <cell r="D1432">
            <v>0</v>
          </cell>
          <cell r="E1432">
            <v>0</v>
          </cell>
          <cell r="F1432">
            <v>0</v>
          </cell>
          <cell r="H1432">
            <v>0</v>
          </cell>
          <cell r="O1432">
            <v>253850</v>
          </cell>
          <cell r="P1432" t="str">
            <v>2019/337-0034-01</v>
          </cell>
          <cell r="Q1432" t="str">
            <v>EST BANDEJA URBANA (M) H18 (DET LATAO) (TAUARI NATURAL)</v>
          </cell>
          <cell r="R1432"/>
          <cell r="S1432"/>
          <cell r="T1432">
            <v>0.25</v>
          </cell>
          <cell r="U1432">
            <v>0</v>
          </cell>
          <cell r="V1432">
            <v>0.18</v>
          </cell>
          <cell r="W1432">
            <v>0.25</v>
          </cell>
          <cell r="X1432" t="str">
            <v>EST BANDEJA URBANA (M) H18 (DET LATAO) (TAUARI NATURAL) - Ø0,25x0,18H</v>
          </cell>
          <cell r="Y1432">
            <v>2687.24</v>
          </cell>
          <cell r="Z1432">
            <v>0.5</v>
          </cell>
          <cell r="AA1432">
            <v>1343.62</v>
          </cell>
          <cell r="AB1432"/>
        </row>
        <row r="1433">
          <cell r="C1433">
            <v>1</v>
          </cell>
          <cell r="D1433">
            <v>2</v>
          </cell>
          <cell r="E1433">
            <v>0</v>
          </cell>
          <cell r="F1433">
            <v>0</v>
          </cell>
          <cell r="H1433">
            <v>0</v>
          </cell>
          <cell r="O1433">
            <v>253852</v>
          </cell>
          <cell r="P1433" t="str">
            <v>2019/337-0035-01</v>
          </cell>
          <cell r="Q1433" t="str">
            <v>EST BANDEJA URBANA (M) H18 (DET LATAO) (TAUARI EBANIZADA)</v>
          </cell>
          <cell r="R1433"/>
          <cell r="S1433"/>
          <cell r="T1433">
            <v>0.25</v>
          </cell>
          <cell r="U1433">
            <v>0</v>
          </cell>
          <cell r="V1433">
            <v>0.18</v>
          </cell>
          <cell r="W1433">
            <v>0.25</v>
          </cell>
          <cell r="X1433" t="str">
            <v>EST BANDEJA URBANA (M) H18 (DET LATAO) (TAUARI EBANIZADA) - Ø0,25x0,18H</v>
          </cell>
          <cell r="Y1433">
            <v>2687.24</v>
          </cell>
          <cell r="Z1433">
            <v>0.5</v>
          </cell>
          <cell r="AA1433">
            <v>1343.62</v>
          </cell>
          <cell r="AB1433"/>
        </row>
        <row r="1434">
          <cell r="C1434">
            <v>2</v>
          </cell>
          <cell r="D1434">
            <v>0</v>
          </cell>
          <cell r="E1434">
            <v>0</v>
          </cell>
          <cell r="F1434">
            <v>0</v>
          </cell>
          <cell r="H1434">
            <v>0</v>
          </cell>
          <cell r="O1434">
            <v>253854</v>
          </cell>
          <cell r="P1434" t="str">
            <v>2019/337-0037-01</v>
          </cell>
          <cell r="Q1434" t="str">
            <v>EST BANDEJA URBANA (B) H28 (DET LATAO) (TAUARI NATURAL)</v>
          </cell>
          <cell r="R1434"/>
          <cell r="S1434"/>
          <cell r="T1434">
            <v>0.25</v>
          </cell>
          <cell r="U1434">
            <v>0</v>
          </cell>
          <cell r="V1434">
            <v>0.28000000000000003</v>
          </cell>
          <cell r="W1434">
            <v>0</v>
          </cell>
          <cell r="X1434" t="str">
            <v>EST BANDEJA URBANA (B) H28 (DET LATAO) (TAUARI NATURAL) - Ø0x0,28H</v>
          </cell>
          <cell r="Y1434">
            <v>2518.92</v>
          </cell>
          <cell r="Z1434">
            <v>0.5</v>
          </cell>
          <cell r="AA1434">
            <v>1259.46</v>
          </cell>
          <cell r="AB1434"/>
        </row>
        <row r="1435">
          <cell r="C1435">
            <v>2</v>
          </cell>
          <cell r="D1435">
            <v>0</v>
          </cell>
          <cell r="E1435">
            <v>0</v>
          </cell>
          <cell r="F1435">
            <v>0</v>
          </cell>
          <cell r="H1435">
            <v>0</v>
          </cell>
          <cell r="O1435">
            <v>253854</v>
          </cell>
          <cell r="P1435" t="str">
            <v>2019/337-0038-01</v>
          </cell>
          <cell r="Q1435" t="str">
            <v>EST BANDEJA URBANA (B) H28 (DET LATAO) (TAUARI NATURAL)</v>
          </cell>
          <cell r="R1435"/>
          <cell r="S1435"/>
          <cell r="T1435">
            <v>0.25</v>
          </cell>
          <cell r="U1435">
            <v>0</v>
          </cell>
          <cell r="V1435">
            <v>0.28000000000000003</v>
          </cell>
          <cell r="W1435">
            <v>0</v>
          </cell>
          <cell r="X1435" t="str">
            <v>EST BANDEJA URBANA (B) H28 (DET LATAO) (TAUARI NATURAL) - Ø0x0,28H</v>
          </cell>
          <cell r="Y1435">
            <v>2518.92</v>
          </cell>
          <cell r="Z1435">
            <v>0.5</v>
          </cell>
          <cell r="AA1435">
            <v>1259.46</v>
          </cell>
          <cell r="AB1435"/>
        </row>
        <row r="1436">
          <cell r="C1436">
            <v>1</v>
          </cell>
          <cell r="D1436">
            <v>0</v>
          </cell>
          <cell r="E1436">
            <v>0</v>
          </cell>
          <cell r="F1436">
            <v>0</v>
          </cell>
          <cell r="H1436">
            <v>0</v>
          </cell>
          <cell r="O1436">
            <v>299527</v>
          </cell>
          <cell r="P1436" t="str">
            <v>2022/034-0009-01</v>
          </cell>
          <cell r="Q1436" t="str">
            <v>EST ESTANTE BURLE (MTZ MARROM COBRE) (LAM 2 PRAT CANELA)</v>
          </cell>
          <cell r="R1436"/>
          <cell r="S1436"/>
          <cell r="T1436">
            <v>1.3</v>
          </cell>
          <cell r="U1436">
            <v>0.45</v>
          </cell>
          <cell r="V1436">
            <v>1.83</v>
          </cell>
          <cell r="W1436">
            <v>0</v>
          </cell>
          <cell r="X1436" t="str">
            <v>EST ESTANTE BURLE (MTZ MARROM COBRE) (LAM 2 PRAT CANELA) - 1,3x0,45x1,83H</v>
          </cell>
          <cell r="Y1436">
            <v>44856.36</v>
          </cell>
          <cell r="Z1436">
            <v>0.5</v>
          </cell>
          <cell r="AA1436">
            <v>22428.18</v>
          </cell>
          <cell r="AB1436"/>
        </row>
        <row r="1437">
          <cell r="C1437">
            <v>2</v>
          </cell>
          <cell r="D1437">
            <v>0</v>
          </cell>
          <cell r="E1437">
            <v>0</v>
          </cell>
          <cell r="F1437">
            <v>0</v>
          </cell>
          <cell r="H1437">
            <v>0</v>
          </cell>
          <cell r="O1437">
            <v>334458</v>
          </cell>
          <cell r="P1437" t="str">
            <v>2022/222-0024-01</v>
          </cell>
          <cell r="Q1437" t="str">
            <v>EST ESTANTE VO (A) (MTZ ONIX PRETO) (LAM 3 LOURO PRETO)</v>
          </cell>
          <cell r="R1437"/>
          <cell r="S1437"/>
          <cell r="T1437">
            <v>1.04</v>
          </cell>
          <cell r="U1437">
            <v>0.45</v>
          </cell>
          <cell r="V1437">
            <v>2.11</v>
          </cell>
          <cell r="W1437">
            <v>0</v>
          </cell>
          <cell r="X1437" t="str">
            <v>EST ESTANTE VO (A) (MTZ ONIX PRETO) (LAM 3 LOURO PRETO) - 1,04x0,45x2,11H</v>
          </cell>
          <cell r="Y1437">
            <v>69758.98</v>
          </cell>
          <cell r="Z1437">
            <v>0.5</v>
          </cell>
          <cell r="AA1437">
            <v>34879.49</v>
          </cell>
          <cell r="AB1437"/>
        </row>
        <row r="1438">
          <cell r="C1438">
            <v>2</v>
          </cell>
          <cell r="D1438">
            <v>0</v>
          </cell>
          <cell r="E1438">
            <v>0</v>
          </cell>
          <cell r="F1438">
            <v>0</v>
          </cell>
          <cell r="H1438">
            <v>0</v>
          </cell>
          <cell r="O1438">
            <v>334458</v>
          </cell>
          <cell r="P1438" t="str">
            <v>2022/222-0025-01</v>
          </cell>
          <cell r="Q1438" t="str">
            <v>EST ESTANTE VO (A) (MTZ ONIX PRETO) (LAM 3 LOURO PRETO)</v>
          </cell>
          <cell r="R1438"/>
          <cell r="S1438"/>
          <cell r="T1438">
            <v>1.04</v>
          </cell>
          <cell r="U1438">
            <v>0.45</v>
          </cell>
          <cell r="V1438">
            <v>2.11</v>
          </cell>
          <cell r="W1438">
            <v>0</v>
          </cell>
          <cell r="X1438" t="str">
            <v>EST ESTANTE VO (A) (MTZ ONIX PRETO) (LAM 3 LOURO PRETO) - 1,04x0,45x2,11H</v>
          </cell>
          <cell r="Y1438">
            <v>69758.98</v>
          </cell>
          <cell r="Z1438">
            <v>0.5</v>
          </cell>
          <cell r="AA1438">
            <v>34879.49</v>
          </cell>
          <cell r="AB1438"/>
        </row>
        <row r="1439">
          <cell r="C1439">
            <v>6</v>
          </cell>
          <cell r="D1439">
            <v>0</v>
          </cell>
          <cell r="E1439">
            <v>0</v>
          </cell>
          <cell r="F1439">
            <v>0</v>
          </cell>
          <cell r="H1439">
            <v>6</v>
          </cell>
          <cell r="O1439">
            <v>334461</v>
          </cell>
          <cell r="P1439" t="str">
            <v>2022/222-0028-01</v>
          </cell>
          <cell r="Q1439" t="str">
            <v>EST COMPONENTE PRATELEIRA ESTANTE VO (UNIAO) (LAM 3 LOURO P)</v>
          </cell>
          <cell r="R1439"/>
          <cell r="S1439"/>
          <cell r="T1439">
            <v>0.6</v>
          </cell>
          <cell r="U1439">
            <v>0.39</v>
          </cell>
          <cell r="V1439">
            <v>0.03</v>
          </cell>
          <cell r="W1439">
            <v>0</v>
          </cell>
          <cell r="X1439" t="str">
            <v>EST COMPONENTE PRATELEIRA ESTANTE VO (UNIAO) (LAM 3 LOURO P) - 0,6x0,39x0,03H</v>
          </cell>
          <cell r="Y1439">
            <v>2825.8</v>
          </cell>
          <cell r="Z1439">
            <v>0.5</v>
          </cell>
          <cell r="AA1439">
            <v>1412.9</v>
          </cell>
          <cell r="AB1439"/>
        </row>
        <row r="1440">
          <cell r="C1440">
            <v>6</v>
          </cell>
          <cell r="D1440">
            <v>0</v>
          </cell>
          <cell r="E1440">
            <v>0</v>
          </cell>
          <cell r="F1440">
            <v>0</v>
          </cell>
          <cell r="H1440">
            <v>6</v>
          </cell>
          <cell r="O1440">
            <v>334461</v>
          </cell>
          <cell r="P1440" t="str">
            <v>2022/222-0032-01</v>
          </cell>
          <cell r="Q1440" t="str">
            <v>EST COMPONENTE PRATELEIRA ESTANTE VO (UNIAO) (LAM 3 LOURO P)</v>
          </cell>
          <cell r="R1440"/>
          <cell r="S1440"/>
          <cell r="T1440">
            <v>0.6</v>
          </cell>
          <cell r="U1440">
            <v>0.39</v>
          </cell>
          <cell r="V1440">
            <v>0.03</v>
          </cell>
          <cell r="W1440">
            <v>0</v>
          </cell>
          <cell r="X1440" t="str">
            <v>EST COMPONENTE PRATELEIRA ESTANTE VO (UNIAO) (LAM 3 LOURO P) - 0,6x0,39x0,03H</v>
          </cell>
          <cell r="Y1440">
            <v>2825.8</v>
          </cell>
          <cell r="Z1440">
            <v>0.5</v>
          </cell>
          <cell r="AA1440">
            <v>1412.9</v>
          </cell>
          <cell r="AB1440"/>
        </row>
        <row r="1441">
          <cell r="C1441">
            <v>6</v>
          </cell>
          <cell r="D1441">
            <v>0</v>
          </cell>
          <cell r="E1441">
            <v>0</v>
          </cell>
          <cell r="F1441">
            <v>0</v>
          </cell>
          <cell r="H1441">
            <v>6</v>
          </cell>
          <cell r="O1441">
            <v>334461</v>
          </cell>
          <cell r="P1441" t="str">
            <v>2022/222-0034-01</v>
          </cell>
          <cell r="Q1441" t="str">
            <v>EST COMPONENTE PRATELEIRA ESTANTE VO (UNIAO) (LAM 3 LOURO P)</v>
          </cell>
          <cell r="R1441"/>
          <cell r="S1441"/>
          <cell r="T1441">
            <v>0.6</v>
          </cell>
          <cell r="U1441">
            <v>0.39</v>
          </cell>
          <cell r="V1441">
            <v>0.03</v>
          </cell>
          <cell r="W1441">
            <v>0</v>
          </cell>
          <cell r="X1441" t="str">
            <v>EST COMPONENTE PRATELEIRA ESTANTE VO (UNIAO) (LAM 3 LOURO P) - 0,6x0,39x0,03H</v>
          </cell>
          <cell r="Y1441">
            <v>2825.8</v>
          </cell>
          <cell r="Z1441">
            <v>0.5</v>
          </cell>
          <cell r="AA1441">
            <v>1412.9</v>
          </cell>
          <cell r="AB1441"/>
        </row>
        <row r="1442">
          <cell r="C1442">
            <v>6</v>
          </cell>
          <cell r="D1442">
            <v>0</v>
          </cell>
          <cell r="E1442">
            <v>0</v>
          </cell>
          <cell r="F1442">
            <v>0</v>
          </cell>
          <cell r="H1442">
            <v>6</v>
          </cell>
          <cell r="O1442">
            <v>334461</v>
          </cell>
          <cell r="P1442" t="str">
            <v>2022/222-0035-01</v>
          </cell>
          <cell r="Q1442" t="str">
            <v>EST COMPONENTE PRATELEIRA ESTANTE VO (UNIAO) (LAM 3 LOURO P)</v>
          </cell>
          <cell r="R1442"/>
          <cell r="S1442"/>
          <cell r="T1442">
            <v>0.6</v>
          </cell>
          <cell r="U1442">
            <v>0.39</v>
          </cell>
          <cell r="V1442">
            <v>0.03</v>
          </cell>
          <cell r="W1442">
            <v>0</v>
          </cell>
          <cell r="X1442" t="str">
            <v>EST COMPONENTE PRATELEIRA ESTANTE VO (UNIAO) (LAM 3 LOURO P) - 0,6x0,39x0,03H</v>
          </cell>
          <cell r="Y1442">
            <v>2825.8</v>
          </cell>
          <cell r="Z1442">
            <v>0.5</v>
          </cell>
          <cell r="AA1442">
            <v>1412.9</v>
          </cell>
          <cell r="AB1442"/>
        </row>
        <row r="1443">
          <cell r="C1443">
            <v>6</v>
          </cell>
          <cell r="D1443">
            <v>0</v>
          </cell>
          <cell r="E1443">
            <v>0</v>
          </cell>
          <cell r="F1443">
            <v>0</v>
          </cell>
          <cell r="H1443">
            <v>6</v>
          </cell>
          <cell r="O1443">
            <v>334461</v>
          </cell>
          <cell r="P1443" t="str">
            <v>2022/222-0037-01</v>
          </cell>
          <cell r="Q1443" t="str">
            <v>EST COMPONENTE PRATELEIRA ESTANTE VO (UNIAO) (LAM 3 LOURO P)</v>
          </cell>
          <cell r="R1443"/>
          <cell r="S1443"/>
          <cell r="T1443">
            <v>0.6</v>
          </cell>
          <cell r="U1443">
            <v>0.39</v>
          </cell>
          <cell r="V1443">
            <v>0.03</v>
          </cell>
          <cell r="W1443">
            <v>0</v>
          </cell>
          <cell r="X1443" t="str">
            <v>EST COMPONENTE PRATELEIRA ESTANTE VO (UNIAO) (LAM 3 LOURO P) - 0,6x0,39x0,03H</v>
          </cell>
          <cell r="Y1443">
            <v>2825.8</v>
          </cell>
          <cell r="Z1443">
            <v>0.5</v>
          </cell>
          <cell r="AA1443">
            <v>1412.9</v>
          </cell>
          <cell r="AB1443"/>
        </row>
        <row r="1444">
          <cell r="C1444">
            <v>6</v>
          </cell>
          <cell r="D1444">
            <v>0</v>
          </cell>
          <cell r="E1444">
            <v>0</v>
          </cell>
          <cell r="F1444">
            <v>0</v>
          </cell>
          <cell r="H1444">
            <v>6</v>
          </cell>
          <cell r="O1444">
            <v>334461</v>
          </cell>
          <cell r="P1444" t="str">
            <v>2022/222-0038-01</v>
          </cell>
          <cell r="Q1444" t="str">
            <v>EST COMPONENTE PRATELEIRA ESTANTE VO (UNIAO) (LAM 3 LOURO P)</v>
          </cell>
          <cell r="R1444"/>
          <cell r="S1444"/>
          <cell r="T1444">
            <v>0.6</v>
          </cell>
          <cell r="U1444">
            <v>0.39</v>
          </cell>
          <cell r="V1444">
            <v>0.03</v>
          </cell>
          <cell r="W1444">
            <v>0</v>
          </cell>
          <cell r="X1444" t="str">
            <v>EST COMPONENTE PRATELEIRA ESTANTE VO (UNIAO) (LAM 3 LOURO P) - 0,6x0,39x0,03H</v>
          </cell>
          <cell r="Y1444">
            <v>2825.8</v>
          </cell>
          <cell r="Z1444">
            <v>0.5</v>
          </cell>
          <cell r="AA1444">
            <v>1412.9</v>
          </cell>
          <cell r="AB1444"/>
        </row>
        <row r="1445">
          <cell r="C1445">
            <v>6</v>
          </cell>
          <cell r="D1445">
            <v>0</v>
          </cell>
          <cell r="E1445">
            <v>0</v>
          </cell>
          <cell r="F1445">
            <v>0</v>
          </cell>
          <cell r="H1445">
            <v>2</v>
          </cell>
          <cell r="O1445">
            <v>378282</v>
          </cell>
          <cell r="P1445" t="str">
            <v>2024/033-0001-01</v>
          </cell>
          <cell r="Q1445" t="str">
            <v>EST CADEIRA PI C/BRACO (MARROM) TC BOUCLE REIMS 5323-001</v>
          </cell>
          <cell r="R1445"/>
          <cell r="S1445"/>
          <cell r="T1445">
            <v>0.75</v>
          </cell>
          <cell r="U1445">
            <v>0.6</v>
          </cell>
          <cell r="V1445">
            <v>0.76</v>
          </cell>
          <cell r="W1445">
            <v>0</v>
          </cell>
          <cell r="X1445" t="str">
            <v>EST CADEIRA PI C/BRACO (MARROM) TC BOUCLE REIMS 5323-001 - 0,75x0,6x0,76H</v>
          </cell>
          <cell r="Y1445">
            <v>9997.93</v>
          </cell>
          <cell r="Z1445">
            <v>0.49999994879216059</v>
          </cell>
          <cell r="AA1445">
            <v>4998.9655119723939</v>
          </cell>
          <cell r="AB1445"/>
        </row>
        <row r="1446">
          <cell r="C1446">
            <v>6</v>
          </cell>
          <cell r="D1446">
            <v>0</v>
          </cell>
          <cell r="E1446">
            <v>0</v>
          </cell>
          <cell r="F1446">
            <v>0</v>
          </cell>
          <cell r="H1446">
            <v>2</v>
          </cell>
          <cell r="O1446">
            <v>378282</v>
          </cell>
          <cell r="P1446" t="str">
            <v>2024/033-0003-01</v>
          </cell>
          <cell r="Q1446" t="str">
            <v>EST CADEIRA PI C/BRACO (MARROM) TC BOUCLE REIMS 5323-001</v>
          </cell>
          <cell r="R1446"/>
          <cell r="S1446"/>
          <cell r="T1446">
            <v>0.75</v>
          </cell>
          <cell r="U1446">
            <v>0.6</v>
          </cell>
          <cell r="V1446">
            <v>0.76</v>
          </cell>
          <cell r="W1446">
            <v>0</v>
          </cell>
          <cell r="X1446" t="str">
            <v>EST CADEIRA PI C/BRACO (MARROM) TC BOUCLE REIMS 5323-001 - 0,75x0,6x0,76H</v>
          </cell>
          <cell r="Y1446">
            <v>9997.93</v>
          </cell>
          <cell r="Z1446">
            <v>0.49999994879216059</v>
          </cell>
          <cell r="AA1446">
            <v>4998.9655119723939</v>
          </cell>
          <cell r="AB1446"/>
        </row>
        <row r="1447">
          <cell r="C1447">
            <v>6</v>
          </cell>
          <cell r="D1447">
            <v>0</v>
          </cell>
          <cell r="E1447">
            <v>0</v>
          </cell>
          <cell r="F1447">
            <v>0</v>
          </cell>
          <cell r="H1447">
            <v>2</v>
          </cell>
          <cell r="O1447">
            <v>378282</v>
          </cell>
          <cell r="P1447" t="str">
            <v>2024/033-0005-01</v>
          </cell>
          <cell r="Q1447" t="str">
            <v>EST CADEIRA PI C/BRACO (MARROM) TC BOUCLE REIMS 5323-001</v>
          </cell>
          <cell r="R1447"/>
          <cell r="S1447"/>
          <cell r="T1447">
            <v>0.75</v>
          </cell>
          <cell r="U1447">
            <v>0.6</v>
          </cell>
          <cell r="V1447">
            <v>0.76</v>
          </cell>
          <cell r="W1447">
            <v>0</v>
          </cell>
          <cell r="X1447" t="str">
            <v>EST CADEIRA PI C/BRACO (MARROM) TC BOUCLE REIMS 5323-001 - 0,75x0,6x0,76H</v>
          </cell>
          <cell r="Y1447">
            <v>9997.93</v>
          </cell>
          <cell r="Z1447">
            <v>0.49999994879216059</v>
          </cell>
          <cell r="AA1447">
            <v>4998.9655119723939</v>
          </cell>
          <cell r="AB1447"/>
        </row>
        <row r="1448">
          <cell r="C1448">
            <v>6</v>
          </cell>
          <cell r="D1448">
            <v>0</v>
          </cell>
          <cell r="E1448">
            <v>0</v>
          </cell>
          <cell r="F1448">
            <v>0</v>
          </cell>
          <cell r="H1448">
            <v>2</v>
          </cell>
          <cell r="O1448">
            <v>378282</v>
          </cell>
          <cell r="P1448" t="str">
            <v>2024/033-0006-01</v>
          </cell>
          <cell r="Q1448" t="str">
            <v>EST CADEIRA PI C/BRACO (MARROM) TC BOUCLE REIMS 5323-001</v>
          </cell>
          <cell r="R1448"/>
          <cell r="S1448"/>
          <cell r="T1448">
            <v>0.75</v>
          </cell>
          <cell r="U1448">
            <v>0.6</v>
          </cell>
          <cell r="V1448">
            <v>0.76</v>
          </cell>
          <cell r="W1448">
            <v>0</v>
          </cell>
          <cell r="X1448" t="str">
            <v>EST CADEIRA PI C/BRACO (MARROM) TC BOUCLE REIMS 5323-001 - 0,75x0,6x0,76H</v>
          </cell>
          <cell r="Y1448">
            <v>9997.93</v>
          </cell>
          <cell r="Z1448">
            <v>0.49999994879216059</v>
          </cell>
          <cell r="AA1448">
            <v>4998.9655119723939</v>
          </cell>
          <cell r="AB1448"/>
        </row>
        <row r="1449">
          <cell r="C1449">
            <v>6</v>
          </cell>
          <cell r="D1449">
            <v>0</v>
          </cell>
          <cell r="E1449">
            <v>0</v>
          </cell>
          <cell r="F1449">
            <v>0</v>
          </cell>
          <cell r="H1449">
            <v>2</v>
          </cell>
          <cell r="O1449">
            <v>378282</v>
          </cell>
          <cell r="P1449" t="str">
            <v>2024/033-0007-01</v>
          </cell>
          <cell r="Q1449" t="str">
            <v>EST CADEIRA PI C/BRACO (MARROM) TC BOUCLE REIMS 5323-001</v>
          </cell>
          <cell r="R1449"/>
          <cell r="S1449"/>
          <cell r="T1449">
            <v>0.75</v>
          </cell>
          <cell r="U1449">
            <v>0.6</v>
          </cell>
          <cell r="V1449">
            <v>0.76</v>
          </cell>
          <cell r="W1449">
            <v>0</v>
          </cell>
          <cell r="X1449" t="str">
            <v>EST CADEIRA PI C/BRACO (MARROM) TC BOUCLE REIMS 5323-001 - 0,75x0,6x0,76H</v>
          </cell>
          <cell r="Y1449">
            <v>9997.93</v>
          </cell>
          <cell r="Z1449">
            <v>0.49999994879216059</v>
          </cell>
          <cell r="AA1449">
            <v>4998.9655119723939</v>
          </cell>
          <cell r="AB1449"/>
        </row>
        <row r="1450">
          <cell r="C1450">
            <v>6</v>
          </cell>
          <cell r="D1450">
            <v>0</v>
          </cell>
          <cell r="E1450">
            <v>0</v>
          </cell>
          <cell r="F1450">
            <v>0</v>
          </cell>
          <cell r="H1450">
            <v>2</v>
          </cell>
          <cell r="O1450">
            <v>378282</v>
          </cell>
          <cell r="P1450" t="str">
            <v>2024/033-0008-01</v>
          </cell>
          <cell r="Q1450" t="str">
            <v>EST CADEIRA PI C/BRACO (MARROM) TC BOUCLE REIMS 5323-001</v>
          </cell>
          <cell r="R1450"/>
          <cell r="S1450"/>
          <cell r="T1450">
            <v>0.75</v>
          </cell>
          <cell r="U1450">
            <v>0.6</v>
          </cell>
          <cell r="V1450">
            <v>0.76</v>
          </cell>
          <cell r="W1450">
            <v>0</v>
          </cell>
          <cell r="X1450" t="str">
            <v>EST CADEIRA PI C/BRACO (MARROM) TC BOUCLE REIMS 5323-001 - 0,75x0,6x0,76H</v>
          </cell>
          <cell r="Y1450">
            <v>9997.93</v>
          </cell>
          <cell r="Z1450">
            <v>0.49999994879216059</v>
          </cell>
          <cell r="AA1450">
            <v>4998.9655119723939</v>
          </cell>
          <cell r="AB1450"/>
        </row>
        <row r="1451">
          <cell r="C1451">
            <v>1</v>
          </cell>
          <cell r="D1451">
            <v>0</v>
          </cell>
          <cell r="E1451">
            <v>0</v>
          </cell>
          <cell r="F1451">
            <v>0</v>
          </cell>
          <cell r="H1451">
            <v>0</v>
          </cell>
          <cell r="O1451">
            <v>379888</v>
          </cell>
          <cell r="P1451" t="str">
            <v>2024/068-0051-01</v>
          </cell>
          <cell r="Q1451" t="str">
            <v>EST CHAISE B/DIR MONDRIAN (ESTOF) (C2 MAMMUT/NOG) (TC 7637)</v>
          </cell>
          <cell r="R1451"/>
          <cell r="S1451"/>
          <cell r="T1451">
            <v>1.04</v>
          </cell>
          <cell r="U1451">
            <v>1.7</v>
          </cell>
          <cell r="V1451">
            <v>0.71</v>
          </cell>
          <cell r="W1451">
            <v>0</v>
          </cell>
          <cell r="X1451" t="str">
            <v>EST CHAISE B/DIR MONDRIAN (ESTOF) (C2 MAMMUT/NOG) (TC 7637) - 1,04x1,7x0,71H</v>
          </cell>
          <cell r="Y1451">
            <v>46650.6</v>
          </cell>
          <cell r="Z1451">
            <v>0.35</v>
          </cell>
          <cell r="AA1451">
            <v>30322.89</v>
          </cell>
          <cell r="AB1451"/>
        </row>
        <row r="1452">
          <cell r="C1452">
            <v>0</v>
          </cell>
          <cell r="D1452">
            <v>0</v>
          </cell>
          <cell r="E1452">
            <v>0</v>
          </cell>
          <cell r="F1452">
            <v>0</v>
          </cell>
          <cell r="H1452">
            <v>2</v>
          </cell>
          <cell r="O1452">
            <v>274795</v>
          </cell>
          <cell r="P1452" t="str">
            <v>2021/091-0033-01</v>
          </cell>
          <cell r="Q1452" t="str">
            <v>EST MESA JANTAR ELISE (MTX OFF WHITE C/VD CLEAR 4MM/BS NOG)</v>
          </cell>
          <cell r="R1452"/>
          <cell r="S1452"/>
          <cell r="T1452">
            <v>2.6</v>
          </cell>
          <cell r="U1452">
            <v>1.2</v>
          </cell>
          <cell r="V1452">
            <v>0.75</v>
          </cell>
          <cell r="W1452">
            <v>0</v>
          </cell>
          <cell r="X1452" t="str">
            <v>EST MESA JANTAR ELISE (MTX OFF WHITE C/VD CLEAR 4MM/BS NOG) - 2,6x1,2x0,75H</v>
          </cell>
          <cell r="Y1452">
            <v>40011.550000000003</v>
          </cell>
          <cell r="Z1452">
            <v>0.35</v>
          </cell>
          <cell r="AA1452">
            <v>26007.507500000003</v>
          </cell>
          <cell r="AB1452"/>
        </row>
        <row r="1453">
          <cell r="C1453">
            <v>1</v>
          </cell>
          <cell r="D1453">
            <v>0</v>
          </cell>
          <cell r="E1453">
            <v>0</v>
          </cell>
          <cell r="F1453">
            <v>0</v>
          </cell>
          <cell r="H1453">
            <v>0</v>
          </cell>
          <cell r="O1453">
            <v>275435</v>
          </cell>
          <cell r="P1453" t="str">
            <v>2021/056-0144-01</v>
          </cell>
          <cell r="Q1453" t="str">
            <v>EST MESA JANTAR MONIZ (C/GIR) (PADRAO B) (LAM 1 CARV NAT)</v>
          </cell>
          <cell r="R1453"/>
          <cell r="S1453"/>
          <cell r="T1453">
            <v>1.8</v>
          </cell>
          <cell r="U1453">
            <v>0</v>
          </cell>
          <cell r="V1453">
            <v>0.75</v>
          </cell>
          <cell r="W1453">
            <v>1.8</v>
          </cell>
          <cell r="X1453" t="str">
            <v>EST MESA JANTAR MONIZ (C/GIR) (PADRAO B) (LAM 1 CARV NAT) - Ø1,8x0,75H</v>
          </cell>
          <cell r="Y1453">
            <v>39288.879999999997</v>
          </cell>
          <cell r="Z1453">
            <v>0.35</v>
          </cell>
          <cell r="AA1453">
            <v>25537.771999999997</v>
          </cell>
          <cell r="AB1453"/>
        </row>
        <row r="1454">
          <cell r="C1454">
            <v>1</v>
          </cell>
          <cell r="D1454">
            <v>0</v>
          </cell>
          <cell r="E1454">
            <v>0</v>
          </cell>
          <cell r="F1454">
            <v>0</v>
          </cell>
          <cell r="H1454">
            <v>0</v>
          </cell>
          <cell r="O1454">
            <v>299528</v>
          </cell>
          <cell r="P1454" t="str">
            <v>2022/034-0018-01</v>
          </cell>
          <cell r="Q1454" t="str">
            <v>EST MESA LATERAL METAIS H53 (MTZ CHAMPAGNE ACINZENTADO)</v>
          </cell>
          <cell r="R1454"/>
          <cell r="S1454"/>
          <cell r="T1454">
            <v>0.25</v>
          </cell>
          <cell r="U1454">
            <v>0</v>
          </cell>
          <cell r="V1454">
            <v>0.53</v>
          </cell>
          <cell r="W1454">
            <v>0.25</v>
          </cell>
          <cell r="X1454" t="str">
            <v>EST MESA LATERAL METAIS H53 (MTZ CHAMPAGNE ACINZENTADO) - Ø0,25x0,53H</v>
          </cell>
          <cell r="Y1454">
            <v>7170.91</v>
          </cell>
          <cell r="Z1454">
            <v>0.35</v>
          </cell>
          <cell r="AA1454">
            <v>4661.0915000000005</v>
          </cell>
          <cell r="AB1454"/>
        </row>
        <row r="1455">
          <cell r="C1455">
            <v>3</v>
          </cell>
          <cell r="D1455">
            <v>0</v>
          </cell>
          <cell r="E1455">
            <v>0</v>
          </cell>
          <cell r="F1455">
            <v>0</v>
          </cell>
          <cell r="H1455">
            <v>0</v>
          </cell>
          <cell r="O1455">
            <v>299555</v>
          </cell>
          <cell r="P1455" t="str">
            <v>2025/038-0025-01</v>
          </cell>
          <cell r="Q1455" t="str">
            <v>EST ESTANTE BURLE (MTX MARROM FSC) (LAM 2 PRAT FREIJO NAT)</v>
          </cell>
          <cell r="R1455"/>
          <cell r="S1455"/>
          <cell r="T1455">
            <v>1.3</v>
          </cell>
          <cell r="U1455">
            <v>0.45</v>
          </cell>
          <cell r="V1455">
            <v>1.83</v>
          </cell>
          <cell r="W1455">
            <v>0</v>
          </cell>
          <cell r="X1455" t="str">
            <v>EST ESTANTE BURLE (MTX MARROM FSC) (LAM 2 PRAT FREIJO NAT) - 1,3x0,45x1,83H</v>
          </cell>
          <cell r="Y1455">
            <v>44856.36</v>
          </cell>
          <cell r="Z1455">
            <v>0.35</v>
          </cell>
          <cell r="AA1455">
            <v>29156.634000000002</v>
          </cell>
          <cell r="AB1455"/>
        </row>
        <row r="1456">
          <cell r="C1456">
            <v>3</v>
          </cell>
          <cell r="D1456">
            <v>0</v>
          </cell>
          <cell r="E1456">
            <v>0</v>
          </cell>
          <cell r="F1456">
            <v>0</v>
          </cell>
          <cell r="H1456">
            <v>0</v>
          </cell>
          <cell r="O1456">
            <v>299555</v>
          </cell>
          <cell r="P1456" t="str">
            <v>2025/038-0026-01</v>
          </cell>
          <cell r="Q1456" t="str">
            <v>EST ESTANTE BURLE (MTX MARROM FSC) (LAM 2 PRAT FREIJO NAT)</v>
          </cell>
          <cell r="R1456"/>
          <cell r="S1456"/>
          <cell r="T1456">
            <v>1.3</v>
          </cell>
          <cell r="U1456">
            <v>0.45</v>
          </cell>
          <cell r="V1456">
            <v>1.83</v>
          </cell>
          <cell r="W1456">
            <v>0</v>
          </cell>
          <cell r="X1456" t="str">
            <v>EST ESTANTE BURLE (MTX MARROM FSC) (LAM 2 PRAT FREIJO NAT) - 1,3x0,45x1,83H</v>
          </cell>
          <cell r="Y1456">
            <v>44856.36</v>
          </cell>
          <cell r="Z1456">
            <v>0.35</v>
          </cell>
          <cell r="AA1456">
            <v>29156.634000000002</v>
          </cell>
          <cell r="AB1456"/>
        </row>
        <row r="1457">
          <cell r="C1457">
            <v>1</v>
          </cell>
          <cell r="D1457">
            <v>0</v>
          </cell>
          <cell r="E1457">
            <v>0</v>
          </cell>
          <cell r="F1457">
            <v>0</v>
          </cell>
          <cell r="H1457">
            <v>0</v>
          </cell>
          <cell r="O1457">
            <v>300090</v>
          </cell>
          <cell r="P1457" t="str">
            <v>2022/034-0025-01</v>
          </cell>
          <cell r="Q1457" t="str">
            <v>EST MESA LATERAL EXOTICA H50 (MARM 4 MADRE P) MTZ CHAMP ACIZ</v>
          </cell>
          <cell r="R1457"/>
          <cell r="S1457"/>
          <cell r="T1457">
            <v>0.25</v>
          </cell>
          <cell r="U1457">
            <v>0</v>
          </cell>
          <cell r="V1457">
            <v>0.5</v>
          </cell>
          <cell r="W1457">
            <v>0.25</v>
          </cell>
          <cell r="X1457" t="str">
            <v>EST MESA LATERAL EXOTICA H50 (MARM 4 MADRE P) MTZ CHAMP ACIZ - Ø0,25x0,5H</v>
          </cell>
          <cell r="Y1457">
            <v>8902.9699999999993</v>
          </cell>
          <cell r="Z1457">
            <v>0.35</v>
          </cell>
          <cell r="AA1457">
            <v>5786.9305000000004</v>
          </cell>
          <cell r="AB1457"/>
        </row>
        <row r="1458">
          <cell r="C1458">
            <v>2</v>
          </cell>
          <cell r="D1458">
            <v>0</v>
          </cell>
          <cell r="E1458">
            <v>0</v>
          </cell>
          <cell r="F1458">
            <v>0</v>
          </cell>
          <cell r="H1458">
            <v>0</v>
          </cell>
          <cell r="O1458">
            <v>320760</v>
          </cell>
          <cell r="P1458" t="str">
            <v>2022/040-0116-01</v>
          </cell>
          <cell r="Q1458" t="str">
            <v>EST POLTRONA PATER (JEQUITIBA) TAURUS 81/ALMOF FX7266</v>
          </cell>
          <cell r="R1458"/>
          <cell r="S1458"/>
          <cell r="T1458">
            <v>0.82</v>
          </cell>
          <cell r="U1458">
            <v>0.94</v>
          </cell>
          <cell r="V1458">
            <v>0.83</v>
          </cell>
          <cell r="W1458">
            <v>0</v>
          </cell>
          <cell r="X1458" t="str">
            <v>EST POLTRONA PATER (JEQUITIBA) TAURUS 81/ALMOF FX7266 - 0,82x0,94x0,83H</v>
          </cell>
          <cell r="Y1458">
            <v>29521.27</v>
          </cell>
          <cell r="Z1458">
            <v>0.35</v>
          </cell>
          <cell r="AA1458">
            <v>19188.825499999999</v>
          </cell>
          <cell r="AB1458"/>
        </row>
        <row r="1459">
          <cell r="C1459">
            <v>2</v>
          </cell>
          <cell r="D1459">
            <v>0</v>
          </cell>
          <cell r="E1459">
            <v>0</v>
          </cell>
          <cell r="F1459">
            <v>0</v>
          </cell>
          <cell r="H1459">
            <v>0</v>
          </cell>
          <cell r="O1459">
            <v>320760</v>
          </cell>
          <cell r="P1459" t="str">
            <v>2022/040-0117-01</v>
          </cell>
          <cell r="Q1459" t="str">
            <v>EST POLTRONA PATER (JEQUITIBA) TAURUS 81/ALMOF FX7266</v>
          </cell>
          <cell r="R1459"/>
          <cell r="S1459"/>
          <cell r="T1459">
            <v>0.82</v>
          </cell>
          <cell r="U1459">
            <v>0.94</v>
          </cell>
          <cell r="V1459">
            <v>0.83</v>
          </cell>
          <cell r="W1459">
            <v>0</v>
          </cell>
          <cell r="X1459" t="str">
            <v>EST POLTRONA PATER (JEQUITIBA) TAURUS 81/ALMOF FX7266 - 0,82x0,94x0,83H</v>
          </cell>
          <cell r="Y1459">
            <v>29521.27</v>
          </cell>
          <cell r="Z1459">
            <v>0.35</v>
          </cell>
          <cell r="AA1459">
            <v>19188.825499999999</v>
          </cell>
          <cell r="AB1459"/>
        </row>
        <row r="1460">
          <cell r="C1460">
            <v>1</v>
          </cell>
          <cell r="D1460">
            <v>0</v>
          </cell>
          <cell r="E1460">
            <v>0</v>
          </cell>
          <cell r="F1460">
            <v>0</v>
          </cell>
          <cell r="H1460">
            <v>0</v>
          </cell>
          <cell r="O1460">
            <v>331257</v>
          </cell>
          <cell r="P1460" t="str">
            <v>2022/187-0061-01</v>
          </cell>
          <cell r="Q1460" t="str">
            <v>EST MESA JANTAR ABACATE (LAM 2 NOGUEIRA) (MARM 4 M.PEROLA)</v>
          </cell>
          <cell r="R1460"/>
          <cell r="S1460"/>
          <cell r="T1460">
            <v>2.7</v>
          </cell>
          <cell r="U1460">
            <v>1.6</v>
          </cell>
          <cell r="V1460">
            <v>0.75</v>
          </cell>
          <cell r="W1460">
            <v>0</v>
          </cell>
          <cell r="X1460" t="str">
            <v>EST MESA JANTAR ABACATE (LAM 2 NOGUEIRA) (MARM 4 M.PEROLA) - 2,7x1,6x0,75H</v>
          </cell>
          <cell r="Y1460">
            <v>156621.74</v>
          </cell>
          <cell r="Z1460">
            <v>0.35</v>
          </cell>
          <cell r="AA1460">
            <v>101804.13099999999</v>
          </cell>
          <cell r="AB1460"/>
        </row>
        <row r="1461">
          <cell r="C1461">
            <v>1</v>
          </cell>
          <cell r="D1461">
            <v>1</v>
          </cell>
          <cell r="E1461">
            <v>1</v>
          </cell>
          <cell r="F1461">
            <v>1</v>
          </cell>
          <cell r="H1461">
            <v>2</v>
          </cell>
          <cell r="O1461">
            <v>334164</v>
          </cell>
          <cell r="P1461" t="str">
            <v>2022/175-0012-01</v>
          </cell>
          <cell r="Q1461" t="str">
            <v>EST CADEIRA JULIETA (JEQ PECAN) (COURO PIGUIMENTADO AREIA)</v>
          </cell>
          <cell r="R1461"/>
          <cell r="S1461"/>
          <cell r="T1461">
            <v>0.6</v>
          </cell>
          <cell r="U1461">
            <v>0.54</v>
          </cell>
          <cell r="V1461">
            <v>0.71</v>
          </cell>
          <cell r="W1461">
            <v>0</v>
          </cell>
          <cell r="X1461" t="str">
            <v>EST CADEIRA JULIETA (JEQ PECAN) (COURO PIGUIMENTADO AREIA) - 0,6x0,54x0,71H</v>
          </cell>
          <cell r="Y1461">
            <v>9657.4</v>
          </cell>
          <cell r="Z1461">
            <v>0.35</v>
          </cell>
          <cell r="AA1461">
            <v>6277.3099999999995</v>
          </cell>
          <cell r="AB1461"/>
        </row>
        <row r="1462">
          <cell r="C1462">
            <v>2</v>
          </cell>
          <cell r="D1462">
            <v>0</v>
          </cell>
          <cell r="E1462">
            <v>0</v>
          </cell>
          <cell r="F1462">
            <v>0</v>
          </cell>
          <cell r="H1462">
            <v>0</v>
          </cell>
          <cell r="O1462">
            <v>337681</v>
          </cell>
          <cell r="P1462" t="str">
            <v>2022/210-0105-01</v>
          </cell>
          <cell r="Q1462" t="str">
            <v>EST BANQUETA PATER (JEQUITIBA) TAURUS 81/ALMOF FX7266</v>
          </cell>
          <cell r="R1462"/>
          <cell r="S1462"/>
          <cell r="T1462">
            <v>0.66</v>
          </cell>
          <cell r="U1462">
            <v>0.51</v>
          </cell>
          <cell r="V1462">
            <v>0.47</v>
          </cell>
          <cell r="W1462">
            <v>0</v>
          </cell>
          <cell r="X1462" t="str">
            <v>EST BANQUETA PATER (JEQUITIBA) TAURUS 81/ALMOF FX7266 - 0,66x0,51x0,47H</v>
          </cell>
          <cell r="Y1462">
            <v>14725.13</v>
          </cell>
          <cell r="Z1462">
            <v>0.35</v>
          </cell>
          <cell r="AA1462">
            <v>9571.3345000000008</v>
          </cell>
          <cell r="AB1462"/>
        </row>
        <row r="1463">
          <cell r="C1463">
            <v>2</v>
          </cell>
          <cell r="D1463">
            <v>0</v>
          </cell>
          <cell r="E1463">
            <v>0</v>
          </cell>
          <cell r="F1463">
            <v>0</v>
          </cell>
          <cell r="H1463">
            <v>0</v>
          </cell>
          <cell r="O1463">
            <v>337681</v>
          </cell>
          <cell r="P1463" t="str">
            <v>2022/210-0106-01</v>
          </cell>
          <cell r="Q1463" t="str">
            <v>EST BANQUETA PATER (JEQUITIBA) TAURUS 81/ALMOF FX7266</v>
          </cell>
          <cell r="R1463"/>
          <cell r="S1463"/>
          <cell r="T1463">
            <v>0.66</v>
          </cell>
          <cell r="U1463">
            <v>0.51</v>
          </cell>
          <cell r="V1463">
            <v>0.47</v>
          </cell>
          <cell r="W1463">
            <v>0</v>
          </cell>
          <cell r="X1463" t="str">
            <v>EST BANQUETA PATER (JEQUITIBA) TAURUS 81/ALMOF FX7266 - 0,66x0,51x0,47H</v>
          </cell>
          <cell r="Y1463">
            <v>14725.13</v>
          </cell>
          <cell r="Z1463">
            <v>0.35</v>
          </cell>
          <cell r="AA1463">
            <v>9571.3345000000008</v>
          </cell>
          <cell r="AB1463"/>
        </row>
        <row r="1464">
          <cell r="C1464">
            <v>1</v>
          </cell>
          <cell r="D1464">
            <v>0</v>
          </cell>
          <cell r="E1464">
            <v>0</v>
          </cell>
          <cell r="F1464">
            <v>0</v>
          </cell>
          <cell r="H1464">
            <v>0</v>
          </cell>
          <cell r="O1464">
            <v>353807</v>
          </cell>
          <cell r="P1464" t="str">
            <v>2022/308-0050-01</v>
          </cell>
          <cell r="Q1464" t="str">
            <v>EST MESA CENTRO CRUX (RED MST) (MARM 1 NOTTE/NOG) (BS ONIX)</v>
          </cell>
          <cell r="R1464"/>
          <cell r="S1464"/>
          <cell r="T1464">
            <v>1.8</v>
          </cell>
          <cell r="U1464">
            <v>1.1000000000000001</v>
          </cell>
          <cell r="V1464">
            <v>0.35</v>
          </cell>
          <cell r="W1464">
            <v>0</v>
          </cell>
          <cell r="X1464" t="str">
            <v>EST MESA CENTRO CRUX (RED MST) (MARM 1 NOTTE/NOG) (BS ONIX) - 1,8x1,1x0,35H</v>
          </cell>
          <cell r="Y1464">
            <v>38866.65</v>
          </cell>
          <cell r="Z1464">
            <v>0.35</v>
          </cell>
          <cell r="AA1464">
            <v>25263.322500000002</v>
          </cell>
          <cell r="AB1464"/>
        </row>
        <row r="1465">
          <cell r="C1465">
            <v>1</v>
          </cell>
          <cell r="D1465">
            <v>0</v>
          </cell>
          <cell r="E1465">
            <v>0</v>
          </cell>
          <cell r="F1465">
            <v>0</v>
          </cell>
          <cell r="H1465">
            <v>0</v>
          </cell>
          <cell r="O1465">
            <v>379861</v>
          </cell>
          <cell r="P1465" t="str">
            <v>2024/068-0020-01</v>
          </cell>
          <cell r="Q1465" t="str">
            <v>EST BANDEJA MONDRIAN (PRATA) KURKUMA</v>
          </cell>
          <cell r="R1465"/>
          <cell r="S1465"/>
          <cell r="T1465">
            <v>0.56000000000000005</v>
          </cell>
          <cell r="U1465">
            <v>0.41</v>
          </cell>
          <cell r="V1465">
            <v>0.04</v>
          </cell>
          <cell r="W1465">
            <v>0</v>
          </cell>
          <cell r="X1465" t="str">
            <v>EST BANDEJA MONDRIAN (PRATA) KURKUMA - 0,56x0,41x0,04H</v>
          </cell>
          <cell r="Y1465">
            <v>4954.84</v>
          </cell>
          <cell r="Z1465">
            <v>0.35</v>
          </cell>
          <cell r="AA1465">
            <v>3220.6460000000002</v>
          </cell>
          <cell r="AB1465"/>
        </row>
        <row r="1466">
          <cell r="C1466">
            <v>2</v>
          </cell>
          <cell r="D1466">
            <v>1</v>
          </cell>
          <cell r="E1466">
            <v>0</v>
          </cell>
          <cell r="F1466">
            <v>5</v>
          </cell>
          <cell r="H1466">
            <v>1</v>
          </cell>
          <cell r="O1466">
            <v>379867</v>
          </cell>
          <cell r="P1466" t="str">
            <v>2024/068-0035-01</v>
          </cell>
          <cell r="Q1466" t="str">
            <v>EST BANDEJA MONDRIAN (DARK BRONZE) MAMMUT</v>
          </cell>
          <cell r="R1466"/>
          <cell r="S1466"/>
          <cell r="T1466">
            <v>0.56000000000000005</v>
          </cell>
          <cell r="U1466">
            <v>0.41</v>
          </cell>
          <cell r="V1466">
            <v>0.04</v>
          </cell>
          <cell r="W1466">
            <v>0</v>
          </cell>
          <cell r="X1466" t="str">
            <v>EST BANDEJA MONDRIAN (DARK BRONZE) MAMMUT - 0,56x0,41x0,04H</v>
          </cell>
          <cell r="Y1466">
            <v>4954.84</v>
          </cell>
          <cell r="Z1466">
            <v>0.35</v>
          </cell>
          <cell r="AA1466">
            <v>3220.6460000000002</v>
          </cell>
          <cell r="AB1466"/>
        </row>
        <row r="1467">
          <cell r="C1467">
            <v>2</v>
          </cell>
          <cell r="D1467">
            <v>1</v>
          </cell>
          <cell r="E1467">
            <v>0</v>
          </cell>
          <cell r="F1467">
            <v>5</v>
          </cell>
          <cell r="H1467">
            <v>1</v>
          </cell>
          <cell r="O1467">
            <v>379867</v>
          </cell>
          <cell r="P1467" t="str">
            <v>2024/068-0042-01</v>
          </cell>
          <cell r="Q1467" t="str">
            <v>EST BANDEJA MONDRIAN (DARK BRONZE) MAMMUT</v>
          </cell>
          <cell r="R1467"/>
          <cell r="S1467"/>
          <cell r="T1467">
            <v>0.56000000000000005</v>
          </cell>
          <cell r="U1467">
            <v>0.41</v>
          </cell>
          <cell r="V1467">
            <v>0.04</v>
          </cell>
          <cell r="W1467">
            <v>0</v>
          </cell>
          <cell r="X1467" t="str">
            <v>EST BANDEJA MONDRIAN (DARK BRONZE) MAMMUT - 0,56x0,41x0,04H</v>
          </cell>
          <cell r="Y1467">
            <v>4954.84</v>
          </cell>
          <cell r="Z1467">
            <v>0.35</v>
          </cell>
          <cell r="AA1467">
            <v>3220.6460000000002</v>
          </cell>
          <cell r="AB1467"/>
        </row>
        <row r="1468">
          <cell r="C1468">
            <v>2</v>
          </cell>
          <cell r="D1468">
            <v>1</v>
          </cell>
          <cell r="E1468">
            <v>0</v>
          </cell>
          <cell r="F1468">
            <v>5</v>
          </cell>
          <cell r="H1468">
            <v>1</v>
          </cell>
          <cell r="O1468">
            <v>379867</v>
          </cell>
          <cell r="P1468" t="str">
            <v>2024/072-0094-01</v>
          </cell>
          <cell r="Q1468" t="str">
            <v>EST BANDEJA MONDRIAN (DARK BRONZE) MAMMUT</v>
          </cell>
          <cell r="R1468"/>
          <cell r="S1468"/>
          <cell r="T1468">
            <v>0.56000000000000005</v>
          </cell>
          <cell r="U1468">
            <v>0.41</v>
          </cell>
          <cell r="V1468">
            <v>0.04</v>
          </cell>
          <cell r="W1468">
            <v>0</v>
          </cell>
          <cell r="X1468" t="str">
            <v>EST BANDEJA MONDRIAN (DARK BRONZE) MAMMUT - 0,56x0,41x0,04H</v>
          </cell>
          <cell r="Y1468">
            <v>4954.84</v>
          </cell>
          <cell r="Z1468">
            <v>0.35</v>
          </cell>
          <cell r="AA1468">
            <v>3220.6460000000002</v>
          </cell>
          <cell r="AB1468"/>
        </row>
        <row r="1469">
          <cell r="C1469">
            <v>1</v>
          </cell>
          <cell r="D1469">
            <v>0</v>
          </cell>
          <cell r="E1469">
            <v>0</v>
          </cell>
          <cell r="F1469">
            <v>0</v>
          </cell>
          <cell r="H1469">
            <v>0</v>
          </cell>
          <cell r="O1469">
            <v>386526</v>
          </cell>
          <cell r="P1469" t="str">
            <v>2024/170-0023-01</v>
          </cell>
          <cell r="Q1469" t="str">
            <v>EST BUFFET CHUVA (CORPO/PT/BS MARROM CLARO COBREADO)</v>
          </cell>
          <cell r="R1469"/>
          <cell r="S1469"/>
          <cell r="T1469">
            <v>2.2400000000000002</v>
          </cell>
          <cell r="U1469">
            <v>0.5</v>
          </cell>
          <cell r="V1469">
            <v>0.75</v>
          </cell>
          <cell r="W1469">
            <v>0</v>
          </cell>
          <cell r="X1469" t="str">
            <v>EST BUFFET CHUVA (CORPO/PT/BS MARROM CLARO COBREADO) - 2,24x0,5x0,75H</v>
          </cell>
          <cell r="Y1469">
            <v>41784.096000000005</v>
          </cell>
          <cell r="Z1469">
            <v>0.35</v>
          </cell>
          <cell r="AA1469">
            <v>27159.662400000005</v>
          </cell>
          <cell r="AB1469"/>
        </row>
        <row r="1470">
          <cell r="C1470">
            <v>1</v>
          </cell>
          <cell r="D1470">
            <v>0</v>
          </cell>
          <cell r="E1470">
            <v>0</v>
          </cell>
          <cell r="F1470">
            <v>0</v>
          </cell>
          <cell r="H1470">
            <v>0</v>
          </cell>
          <cell r="O1470">
            <v>386701</v>
          </cell>
          <cell r="P1470" t="str">
            <v>2024/186-0012-01</v>
          </cell>
          <cell r="Q1470" t="str">
            <v>EST SOFA CAMA EVANS STILL (TC RUSTICO VAT 5238/COR 352)</v>
          </cell>
          <cell r="R1470"/>
          <cell r="S1470"/>
          <cell r="T1470">
            <v>1.92</v>
          </cell>
          <cell r="U1470">
            <v>1.05</v>
          </cell>
          <cell r="V1470">
            <v>0.91</v>
          </cell>
          <cell r="W1470">
            <v>0</v>
          </cell>
          <cell r="X1470" t="str">
            <v>EST SOFA CAMA EVANS STILL (TC RUSTICO VAT 5238/COR 352) - 1,92x1,05x0,91H</v>
          </cell>
          <cell r="Y1470">
            <v>26617.85</v>
          </cell>
          <cell r="Z1470">
            <v>0.35</v>
          </cell>
          <cell r="AA1470">
            <v>17301.602500000001</v>
          </cell>
          <cell r="AB1470"/>
        </row>
        <row r="1471">
          <cell r="C1471">
            <v>1</v>
          </cell>
          <cell r="D1471">
            <v>0</v>
          </cell>
          <cell r="E1471">
            <v>0</v>
          </cell>
          <cell r="F1471">
            <v>2</v>
          </cell>
          <cell r="H1471">
            <v>0</v>
          </cell>
          <cell r="O1471">
            <v>389955</v>
          </cell>
          <cell r="P1471" t="str">
            <v>2024/267-0078-01</v>
          </cell>
          <cell r="Q1471" t="str">
            <v>EST MODULO ENCOSTO RTO LENCOIS M OUTDOOR TC KEEPSAKE TAUPE</v>
          </cell>
          <cell r="R1471"/>
          <cell r="S1471"/>
          <cell r="T1471">
            <v>0.7</v>
          </cell>
          <cell r="U1471">
            <v>0.26</v>
          </cell>
          <cell r="V1471">
            <v>0.26</v>
          </cell>
          <cell r="W1471">
            <v>0</v>
          </cell>
          <cell r="X1471" t="str">
            <v>EST MODULO ENCOSTO RTO LENCOIS M OUTDOOR TC KEEPSAKE TAUPE - 0,7x0,26x0,26H</v>
          </cell>
          <cell r="Y1471">
            <v>4161.7422999999999</v>
          </cell>
          <cell r="Z1471">
            <v>0.35</v>
          </cell>
          <cell r="AA1471">
            <v>2705.1324949999998</v>
          </cell>
          <cell r="AB1471"/>
        </row>
        <row r="1472">
          <cell r="C1472">
            <v>2</v>
          </cell>
          <cell r="D1472">
            <v>0</v>
          </cell>
          <cell r="E1472">
            <v>0</v>
          </cell>
          <cell r="F1472">
            <v>0</v>
          </cell>
          <cell r="H1472">
            <v>0</v>
          </cell>
          <cell r="O1472">
            <v>394913</v>
          </cell>
          <cell r="P1472" t="str">
            <v>2025/014-0047-01</v>
          </cell>
          <cell r="Q1472" t="str">
            <v>EST POLTRONA COCON (GIR) (ENC FX G7139) (FX G7139)</v>
          </cell>
          <cell r="R1472"/>
          <cell r="S1472"/>
          <cell r="T1472">
            <v>0.95</v>
          </cell>
          <cell r="U1472">
            <v>0.9</v>
          </cell>
          <cell r="V1472">
            <v>0.74</v>
          </cell>
          <cell r="W1472">
            <v>0</v>
          </cell>
          <cell r="X1472" t="str">
            <v>EST POLTRONA COCON (GIR) (ENC FX G7139) (FX G7139) - 0,95x0,9x0,74H</v>
          </cell>
          <cell r="Y1472">
            <v>10886.62</v>
          </cell>
          <cell r="Z1472">
            <v>0.35</v>
          </cell>
          <cell r="AA1472">
            <v>7076.3030000000008</v>
          </cell>
          <cell r="AB1472"/>
        </row>
        <row r="1473">
          <cell r="C1473">
            <v>2</v>
          </cell>
          <cell r="D1473">
            <v>0</v>
          </cell>
          <cell r="E1473">
            <v>0</v>
          </cell>
          <cell r="F1473">
            <v>0</v>
          </cell>
          <cell r="H1473">
            <v>0</v>
          </cell>
          <cell r="O1473">
            <v>394913</v>
          </cell>
          <cell r="P1473" t="str">
            <v>2025/014-0048-01</v>
          </cell>
          <cell r="Q1473" t="str">
            <v>EST POLTRONA COCON (GIR) (ENC FX G7139) (FX G7139)</v>
          </cell>
          <cell r="R1473"/>
          <cell r="S1473"/>
          <cell r="T1473">
            <v>0.95</v>
          </cell>
          <cell r="U1473">
            <v>0.9</v>
          </cell>
          <cell r="V1473">
            <v>0.74</v>
          </cell>
          <cell r="W1473">
            <v>0</v>
          </cell>
          <cell r="X1473" t="str">
            <v>EST POLTRONA COCON (GIR) (ENC FX G7139) (FX G7139) - 0,95x0,9x0,74H</v>
          </cell>
          <cell r="Y1473">
            <v>10886.62</v>
          </cell>
          <cell r="Z1473">
            <v>0.35</v>
          </cell>
          <cell r="AA1473">
            <v>7076.3030000000008</v>
          </cell>
          <cell r="AB1473"/>
        </row>
        <row r="1474">
          <cell r="C1474">
            <v>2</v>
          </cell>
          <cell r="D1474">
            <v>0</v>
          </cell>
          <cell r="E1474">
            <v>0</v>
          </cell>
          <cell r="F1474">
            <v>0</v>
          </cell>
          <cell r="H1474">
            <v>0</v>
          </cell>
          <cell r="O1474">
            <v>394924</v>
          </cell>
          <cell r="P1474" t="str">
            <v>2025/014-0041-01</v>
          </cell>
          <cell r="Q1474" t="str">
            <v>EST CADEIRA DESIREE (GIR) (ENC COURO NOZES) (FX F6224)</v>
          </cell>
          <cell r="R1474"/>
          <cell r="S1474"/>
          <cell r="T1474">
            <v>0.66</v>
          </cell>
          <cell r="U1474">
            <v>0.62</v>
          </cell>
          <cell r="V1474">
            <v>0.81</v>
          </cell>
          <cell r="W1474">
            <v>0</v>
          </cell>
          <cell r="X1474" t="str">
            <v>EST CADEIRA DESIREE (GIR) (ENC COURO NOZES) (FX F6224) - 0,66x0,62x0,81H</v>
          </cell>
          <cell r="Y1474">
            <v>9931.1299999999992</v>
          </cell>
          <cell r="Z1474">
            <v>0.35</v>
          </cell>
          <cell r="AA1474">
            <v>6455.2344999999996</v>
          </cell>
          <cell r="AB1474"/>
        </row>
        <row r="1475">
          <cell r="C1475">
            <v>2</v>
          </cell>
          <cell r="D1475">
            <v>0</v>
          </cell>
          <cell r="E1475">
            <v>0</v>
          </cell>
          <cell r="F1475">
            <v>0</v>
          </cell>
          <cell r="H1475">
            <v>0</v>
          </cell>
          <cell r="O1475">
            <v>394924</v>
          </cell>
          <cell r="P1475" t="str">
            <v>2025/014-0042-01</v>
          </cell>
          <cell r="Q1475" t="str">
            <v>EST CADEIRA DESIREE (GIR) (ENC COURO NOZES) (FX F6224)</v>
          </cell>
          <cell r="R1475"/>
          <cell r="S1475"/>
          <cell r="T1475">
            <v>0.66</v>
          </cell>
          <cell r="U1475">
            <v>0.62</v>
          </cell>
          <cell r="V1475">
            <v>0.81</v>
          </cell>
          <cell r="W1475">
            <v>0</v>
          </cell>
          <cell r="X1475" t="str">
            <v>EST CADEIRA DESIREE (GIR) (ENC COURO NOZES) (FX F6224) - 0,66x0,62x0,81H</v>
          </cell>
          <cell r="Y1475">
            <v>9931.1299999999992</v>
          </cell>
          <cell r="Z1475">
            <v>0.35</v>
          </cell>
          <cell r="AA1475">
            <v>6455.2344999999996</v>
          </cell>
          <cell r="AB1475"/>
        </row>
        <row r="1476">
          <cell r="C1476">
            <v>1</v>
          </cell>
          <cell r="D1476">
            <v>0</v>
          </cell>
          <cell r="E1476">
            <v>0</v>
          </cell>
          <cell r="F1476">
            <v>0</v>
          </cell>
          <cell r="H1476">
            <v>0</v>
          </cell>
          <cell r="O1476">
            <v>394929</v>
          </cell>
          <cell r="P1476" t="str">
            <v>2025/080-0033-01</v>
          </cell>
          <cell r="Q1476" t="str">
            <v>EST MESA CENTRO ESSENCE ORGANICA (MTZ CONHAQUE) CLEAR/GRIGIO</v>
          </cell>
          <cell r="R1476"/>
          <cell r="S1476"/>
          <cell r="T1476">
            <v>1</v>
          </cell>
          <cell r="U1476">
            <v>0.98</v>
          </cell>
          <cell r="V1476">
            <v>0.3</v>
          </cell>
          <cell r="W1476">
            <v>0</v>
          </cell>
          <cell r="X1476" t="str">
            <v>EST MESA CENTRO ESSENCE ORGANICA (MTZ CONHAQUE) CLEAR/GRIGIO - 1x0,98x0,3H</v>
          </cell>
          <cell r="Y1476">
            <v>23372.38</v>
          </cell>
          <cell r="Z1476">
            <v>0.35</v>
          </cell>
          <cell r="AA1476">
            <v>15192.047000000002</v>
          </cell>
          <cell r="AB1476"/>
        </row>
        <row r="1477">
          <cell r="C1477">
            <v>1</v>
          </cell>
          <cell r="D1477">
            <v>0</v>
          </cell>
          <cell r="E1477">
            <v>0</v>
          </cell>
          <cell r="F1477">
            <v>0</v>
          </cell>
          <cell r="H1477">
            <v>0</v>
          </cell>
          <cell r="O1477">
            <v>394934</v>
          </cell>
          <cell r="P1477" t="str">
            <v>2025/113-0013-01</v>
          </cell>
          <cell r="Q1477" t="str">
            <v>EST MESA CENTRO ESSENCE OBLONGO (MTZ CONHAQUE) CLEAR/GREY</v>
          </cell>
          <cell r="R1477"/>
          <cell r="S1477"/>
          <cell r="T1477">
            <v>1.28</v>
          </cell>
          <cell r="U1477">
            <v>1</v>
          </cell>
          <cell r="V1477">
            <v>0.3</v>
          </cell>
          <cell r="W1477">
            <v>0</v>
          </cell>
          <cell r="X1477" t="str">
            <v>EST MESA CENTRO ESSENCE OBLONGO (MTZ CONHAQUE) CLEAR/GREY - 1,28x1x0,3H</v>
          </cell>
          <cell r="Y1477">
            <v>17253.29</v>
          </cell>
          <cell r="Z1477">
            <v>0.35</v>
          </cell>
          <cell r="AA1477">
            <v>11214.638500000001</v>
          </cell>
          <cell r="AB1477"/>
        </row>
        <row r="1478">
          <cell r="C1478">
            <v>3</v>
          </cell>
          <cell r="D1478">
            <v>0</v>
          </cell>
          <cell r="E1478">
            <v>0</v>
          </cell>
          <cell r="F1478">
            <v>0</v>
          </cell>
          <cell r="H1478">
            <v>0</v>
          </cell>
          <cell r="O1478">
            <v>402463</v>
          </cell>
          <cell r="P1478" t="str">
            <v>2025/113-0023-01</v>
          </cell>
          <cell r="Q1478" t="str">
            <v>EST ALMOFADA DECORATIVA LENCOIS M (LISO) TC LEROY MARINHO</v>
          </cell>
          <cell r="R1478"/>
          <cell r="S1478"/>
          <cell r="T1478">
            <v>0.6</v>
          </cell>
          <cell r="U1478">
            <v>0.6</v>
          </cell>
          <cell r="V1478">
            <v>0</v>
          </cell>
          <cell r="W1478">
            <v>0</v>
          </cell>
          <cell r="X1478" t="str">
            <v>EST ALMOFADA DECORATIVA LENCOIS M (LISO) TC LEROY MARINHO - 0,6x0,6x0H</v>
          </cell>
          <cell r="Y1478">
            <v>1879.3870000000002</v>
          </cell>
          <cell r="Z1478">
            <v>0.35</v>
          </cell>
          <cell r="AA1478">
            <v>1221.6015500000003</v>
          </cell>
          <cell r="AB1478"/>
        </row>
        <row r="1479">
          <cell r="C1479">
            <v>3</v>
          </cell>
          <cell r="D1479">
            <v>0</v>
          </cell>
          <cell r="E1479">
            <v>0</v>
          </cell>
          <cell r="F1479">
            <v>0</v>
          </cell>
          <cell r="H1479">
            <v>0</v>
          </cell>
          <cell r="O1479">
            <v>402463</v>
          </cell>
          <cell r="P1479" t="str">
            <v>2025/113-0024-01</v>
          </cell>
          <cell r="Q1479" t="str">
            <v>EST ALMOFADA DECORATIVA LENCOIS M (LISO) TC LEROY MARINHO</v>
          </cell>
          <cell r="R1479"/>
          <cell r="S1479"/>
          <cell r="T1479">
            <v>0.6</v>
          </cell>
          <cell r="U1479">
            <v>0.6</v>
          </cell>
          <cell r="V1479">
            <v>0</v>
          </cell>
          <cell r="W1479">
            <v>0</v>
          </cell>
          <cell r="X1479" t="str">
            <v>EST ALMOFADA DECORATIVA LENCOIS M (LISO) TC LEROY MARINHO - 0,6x0,6x0H</v>
          </cell>
          <cell r="Y1479">
            <v>1879.3870000000002</v>
          </cell>
          <cell r="Z1479">
            <v>0.35</v>
          </cell>
          <cell r="AA1479">
            <v>1221.6015500000003</v>
          </cell>
          <cell r="AB1479"/>
        </row>
        <row r="1480">
          <cell r="C1480">
            <v>3</v>
          </cell>
          <cell r="D1480">
            <v>0</v>
          </cell>
          <cell r="E1480">
            <v>0</v>
          </cell>
          <cell r="F1480">
            <v>0</v>
          </cell>
          <cell r="H1480">
            <v>0</v>
          </cell>
          <cell r="O1480">
            <v>402463</v>
          </cell>
          <cell r="P1480" t="str">
            <v>2025/113-0025-01</v>
          </cell>
          <cell r="Q1480" t="str">
            <v>EST ALMOFADA DECORATIVA LENCOIS M (LISO) TC LEROY MARINHO</v>
          </cell>
          <cell r="R1480"/>
          <cell r="S1480"/>
          <cell r="T1480">
            <v>0.6</v>
          </cell>
          <cell r="U1480">
            <v>0.6</v>
          </cell>
          <cell r="V1480">
            <v>0</v>
          </cell>
          <cell r="W1480">
            <v>0</v>
          </cell>
          <cell r="X1480" t="str">
            <v>EST ALMOFADA DECORATIVA LENCOIS M (LISO) TC LEROY MARINHO - 0,6x0,6x0H</v>
          </cell>
          <cell r="Y1480">
            <v>1879.3870000000002</v>
          </cell>
          <cell r="Z1480">
            <v>0.35</v>
          </cell>
          <cell r="AA1480">
            <v>1221.6015500000003</v>
          </cell>
          <cell r="AB1480"/>
        </row>
        <row r="1481">
          <cell r="C1481">
            <v>1</v>
          </cell>
          <cell r="D1481">
            <v>0</v>
          </cell>
          <cell r="E1481">
            <v>0</v>
          </cell>
          <cell r="F1481">
            <v>0</v>
          </cell>
          <cell r="H1481">
            <v>0</v>
          </cell>
          <cell r="O1481">
            <v>402464</v>
          </cell>
          <cell r="P1481" t="str">
            <v>2025/113-0026-01</v>
          </cell>
          <cell r="Q1481" t="str">
            <v>EST MODULO ENCOSTO RETO LENCOIS M (LISO) TC LEROY MARINHO</v>
          </cell>
          <cell r="R1481"/>
          <cell r="S1481"/>
          <cell r="T1481">
            <v>0.7</v>
          </cell>
          <cell r="U1481">
            <v>0.26</v>
          </cell>
          <cell r="V1481">
            <v>0.26</v>
          </cell>
          <cell r="W1481">
            <v>0</v>
          </cell>
          <cell r="X1481" t="str">
            <v>EST MODULO ENCOSTO RETO LENCOIS M (LISO) TC LEROY MARINHO - 0,7x0,26x0,26H</v>
          </cell>
          <cell r="Y1481">
            <v>3923.605</v>
          </cell>
          <cell r="Z1481">
            <v>0.35</v>
          </cell>
          <cell r="AA1481">
            <v>2550.3432499999999</v>
          </cell>
          <cell r="AB1481"/>
        </row>
        <row r="1482">
          <cell r="C1482">
            <v>1</v>
          </cell>
          <cell r="D1482">
            <v>0</v>
          </cell>
          <cell r="E1482">
            <v>0</v>
          </cell>
          <cell r="F1482">
            <v>0</v>
          </cell>
          <cell r="H1482">
            <v>0</v>
          </cell>
          <cell r="O1482">
            <v>402465</v>
          </cell>
          <cell r="P1482" t="str">
            <v>2025/113-0027-01</v>
          </cell>
          <cell r="Q1482" t="str">
            <v>EST MODULO PUFF CANTO 90 LENCOIS M (LISO) TC LEROY MARINHO</v>
          </cell>
          <cell r="R1482"/>
          <cell r="S1482"/>
          <cell r="T1482">
            <v>1</v>
          </cell>
          <cell r="U1482">
            <v>1</v>
          </cell>
          <cell r="V1482">
            <v>0.38</v>
          </cell>
          <cell r="W1482">
            <v>0</v>
          </cell>
          <cell r="X1482" t="str">
            <v>EST MODULO PUFF CANTO 90 LENCOIS M (LISO) TC LEROY MARINHO - 1x1x0,38H</v>
          </cell>
          <cell r="Y1482">
            <v>10114.416000000001</v>
          </cell>
          <cell r="Z1482">
            <v>0.35</v>
          </cell>
          <cell r="AA1482">
            <v>6574.3704000000007</v>
          </cell>
          <cell r="AB1482"/>
        </row>
        <row r="1483">
          <cell r="C1483">
            <v>3</v>
          </cell>
          <cell r="D1483">
            <v>0</v>
          </cell>
          <cell r="E1483">
            <v>0</v>
          </cell>
          <cell r="F1483">
            <v>0</v>
          </cell>
          <cell r="H1483">
            <v>0</v>
          </cell>
          <cell r="O1483">
            <v>402466</v>
          </cell>
          <cell r="P1483" t="str">
            <v>2025/113-0028-01</v>
          </cell>
          <cell r="Q1483" t="str">
            <v>EST ALMOFADA DECORATIVA LENCOIS M (LISO) TC STELLA MARINHO</v>
          </cell>
          <cell r="R1483"/>
          <cell r="S1483"/>
          <cell r="T1483">
            <v>0.5</v>
          </cell>
          <cell r="U1483">
            <v>0.5</v>
          </cell>
          <cell r="V1483">
            <v>0</v>
          </cell>
          <cell r="W1483">
            <v>0</v>
          </cell>
          <cell r="X1483" t="str">
            <v>EST ALMOFADA DECORATIVA LENCOIS M (LISO) TC STELLA MARINHO - 0,5x0,5x0H</v>
          </cell>
          <cell r="Y1483">
            <v>1640.2199999999998</v>
          </cell>
          <cell r="Z1483">
            <v>0.35</v>
          </cell>
          <cell r="AA1483">
            <v>1066.143</v>
          </cell>
          <cell r="AB1483"/>
        </row>
        <row r="1484">
          <cell r="C1484">
            <v>3</v>
          </cell>
          <cell r="D1484">
            <v>0</v>
          </cell>
          <cell r="E1484">
            <v>0</v>
          </cell>
          <cell r="F1484">
            <v>0</v>
          </cell>
          <cell r="H1484">
            <v>0</v>
          </cell>
          <cell r="O1484">
            <v>402466</v>
          </cell>
          <cell r="P1484" t="str">
            <v>2025/113-0029-01</v>
          </cell>
          <cell r="Q1484" t="str">
            <v>EST ALMOFADA DECORATIVA LENCOIS M (LISO) TC STELLA MARINHO</v>
          </cell>
          <cell r="R1484"/>
          <cell r="S1484"/>
          <cell r="T1484">
            <v>0.5</v>
          </cell>
          <cell r="U1484">
            <v>0.5</v>
          </cell>
          <cell r="V1484">
            <v>0</v>
          </cell>
          <cell r="W1484">
            <v>0</v>
          </cell>
          <cell r="X1484" t="str">
            <v>EST ALMOFADA DECORATIVA LENCOIS M (LISO) TC STELLA MARINHO - 0,5x0,5x0H</v>
          </cell>
          <cell r="Y1484">
            <v>1640.2199999999998</v>
          </cell>
          <cell r="Z1484">
            <v>0.35</v>
          </cell>
          <cell r="AA1484">
            <v>1066.143</v>
          </cell>
          <cell r="AB1484"/>
        </row>
        <row r="1485">
          <cell r="C1485">
            <v>3</v>
          </cell>
          <cell r="D1485">
            <v>0</v>
          </cell>
          <cell r="E1485">
            <v>0</v>
          </cell>
          <cell r="F1485">
            <v>0</v>
          </cell>
          <cell r="H1485">
            <v>0</v>
          </cell>
          <cell r="O1485">
            <v>402466</v>
          </cell>
          <cell r="P1485" t="str">
            <v>2025/113-0030-01</v>
          </cell>
          <cell r="Q1485" t="str">
            <v>EST ALMOFADA DECORATIVA LENCOIS M (LISO) TC STELLA MARINHO</v>
          </cell>
          <cell r="R1485"/>
          <cell r="S1485"/>
          <cell r="T1485">
            <v>0.5</v>
          </cell>
          <cell r="U1485">
            <v>0.5</v>
          </cell>
          <cell r="V1485">
            <v>0</v>
          </cell>
          <cell r="W1485">
            <v>0</v>
          </cell>
          <cell r="X1485" t="str">
            <v>EST ALMOFADA DECORATIVA LENCOIS M (LISO) TC STELLA MARINHO - 0,5x0,5x0H</v>
          </cell>
          <cell r="Y1485">
            <v>1640.2199999999998</v>
          </cell>
          <cell r="Z1485">
            <v>0.35</v>
          </cell>
          <cell r="AA1485">
            <v>1066.143</v>
          </cell>
          <cell r="AB1485"/>
        </row>
        <row r="1486">
          <cell r="C1486">
            <v>3</v>
          </cell>
          <cell r="D1486">
            <v>0</v>
          </cell>
          <cell r="E1486">
            <v>0</v>
          </cell>
          <cell r="F1486">
            <v>0</v>
          </cell>
          <cell r="H1486">
            <v>0</v>
          </cell>
          <cell r="O1486">
            <v>402477</v>
          </cell>
          <cell r="P1486" t="str">
            <v>2025/113-0031-01</v>
          </cell>
          <cell r="Q1486" t="str">
            <v>EST MODULO ENCOSTO RETO LENCOIS M (RVST BG4) TC LONA AZUL</v>
          </cell>
          <cell r="R1486"/>
          <cell r="S1486"/>
          <cell r="T1486">
            <v>1.1000000000000001</v>
          </cell>
          <cell r="U1486">
            <v>0.26</v>
          </cell>
          <cell r="V1486">
            <v>0.26</v>
          </cell>
          <cell r="W1486">
            <v>0</v>
          </cell>
          <cell r="X1486" t="str">
            <v>EST MODULO ENCOSTO RETO LENCOIS M (RVST BG4) TC LONA AZUL - 1,1x0,26x0,26H</v>
          </cell>
          <cell r="Y1486">
            <v>4453.3490000000002</v>
          </cell>
          <cell r="Z1486">
            <v>0.35</v>
          </cell>
          <cell r="AA1486">
            <v>2894.6768500000003</v>
          </cell>
          <cell r="AB1486"/>
        </row>
        <row r="1487">
          <cell r="C1487">
            <v>3</v>
          </cell>
          <cell r="D1487">
            <v>0</v>
          </cell>
          <cell r="E1487">
            <v>0</v>
          </cell>
          <cell r="F1487">
            <v>0</v>
          </cell>
          <cell r="H1487">
            <v>0</v>
          </cell>
          <cell r="O1487">
            <v>402477</v>
          </cell>
          <cell r="P1487" t="str">
            <v>2025/113-0032-01</v>
          </cell>
          <cell r="Q1487" t="str">
            <v>EST MODULO ENCOSTO RETO LENCOIS M (RVST BG4) TC LONA AZUL</v>
          </cell>
          <cell r="R1487"/>
          <cell r="S1487"/>
          <cell r="T1487">
            <v>1.1000000000000001</v>
          </cell>
          <cell r="U1487">
            <v>0.26</v>
          </cell>
          <cell r="V1487">
            <v>0.26</v>
          </cell>
          <cell r="W1487">
            <v>0</v>
          </cell>
          <cell r="X1487" t="str">
            <v>EST MODULO ENCOSTO RETO LENCOIS M (RVST BG4) TC LONA AZUL - 1,1x0,26x0,26H</v>
          </cell>
          <cell r="Y1487">
            <v>4453.3490000000002</v>
          </cell>
          <cell r="Z1487">
            <v>0.35</v>
          </cell>
          <cell r="AA1487">
            <v>2894.6768500000003</v>
          </cell>
          <cell r="AB1487"/>
        </row>
        <row r="1488">
          <cell r="C1488">
            <v>3</v>
          </cell>
          <cell r="D1488">
            <v>0</v>
          </cell>
          <cell r="E1488">
            <v>0</v>
          </cell>
          <cell r="F1488">
            <v>0</v>
          </cell>
          <cell r="H1488">
            <v>0</v>
          </cell>
          <cell r="O1488">
            <v>402477</v>
          </cell>
          <cell r="P1488" t="str">
            <v>2025/113-0033-01</v>
          </cell>
          <cell r="Q1488" t="str">
            <v>EST MODULO ENCOSTO RETO LENCOIS M (RVST BG4) TC LONA AZUL</v>
          </cell>
          <cell r="R1488"/>
          <cell r="S1488"/>
          <cell r="T1488">
            <v>1.1000000000000001</v>
          </cell>
          <cell r="U1488">
            <v>0.26</v>
          </cell>
          <cell r="V1488">
            <v>0.26</v>
          </cell>
          <cell r="W1488">
            <v>0</v>
          </cell>
          <cell r="X1488" t="str">
            <v>EST MODULO ENCOSTO RETO LENCOIS M (RVST BG4) TC LONA AZUL - 1,1x0,26x0,26H</v>
          </cell>
          <cell r="Y1488">
            <v>4453.3490000000002</v>
          </cell>
          <cell r="Z1488">
            <v>0.35</v>
          </cell>
          <cell r="AA1488">
            <v>2894.6768500000003</v>
          </cell>
          <cell r="AB1488"/>
        </row>
        <row r="1489">
          <cell r="C1489">
            <v>1</v>
          </cell>
          <cell r="D1489">
            <v>0</v>
          </cell>
          <cell r="E1489">
            <v>0</v>
          </cell>
          <cell r="F1489">
            <v>0</v>
          </cell>
          <cell r="H1489">
            <v>0</v>
          </cell>
          <cell r="O1489">
            <v>402478</v>
          </cell>
          <cell r="P1489" t="str">
            <v>2025/113-0034-01</v>
          </cell>
          <cell r="Q1489" t="str">
            <v>EST MODULO ENCOSTO (L) LENCOIS M (RVST BG4) TC LONA AZUL</v>
          </cell>
          <cell r="R1489"/>
          <cell r="S1489"/>
          <cell r="T1489">
            <v>1.1000000000000001</v>
          </cell>
          <cell r="U1489">
            <v>0.8</v>
          </cell>
          <cell r="V1489">
            <v>0.26</v>
          </cell>
          <cell r="W1489">
            <v>0</v>
          </cell>
          <cell r="X1489" t="str">
            <v>EST MODULO ENCOSTO (L) LENCOIS M (RVST BG4) TC LONA AZUL - 1,1x0,8x0,26H</v>
          </cell>
          <cell r="Y1489">
            <v>6917.4179999999997</v>
          </cell>
          <cell r="Z1489">
            <v>0.35</v>
          </cell>
          <cell r="AA1489">
            <v>4496.3217000000004</v>
          </cell>
          <cell r="AB1489"/>
        </row>
        <row r="1490">
          <cell r="C1490">
            <v>1</v>
          </cell>
          <cell r="D1490">
            <v>0</v>
          </cell>
          <cell r="E1490">
            <v>0</v>
          </cell>
          <cell r="F1490">
            <v>0</v>
          </cell>
          <cell r="H1490">
            <v>0</v>
          </cell>
          <cell r="O1490">
            <v>402479</v>
          </cell>
          <cell r="P1490" t="str">
            <v>2025/113-0035-01</v>
          </cell>
          <cell r="Q1490" t="str">
            <v>EST MODULO ENCOSTO RETO LENCOIS M (RVST BG4) TC LONA AZUL</v>
          </cell>
          <cell r="R1490"/>
          <cell r="S1490"/>
          <cell r="T1490">
            <v>0.7</v>
          </cell>
          <cell r="U1490">
            <v>0.26</v>
          </cell>
          <cell r="V1490">
            <v>0.26</v>
          </cell>
          <cell r="W1490">
            <v>0</v>
          </cell>
          <cell r="X1490" t="str">
            <v>EST MODULO ENCOSTO RETO LENCOIS M (RVST BG4) TC LONA AZUL - 0,7x0,26x0,26H</v>
          </cell>
          <cell r="Y1490">
            <v>3515.0039999999999</v>
          </cell>
          <cell r="Z1490">
            <v>0.35</v>
          </cell>
          <cell r="AA1490">
            <v>2284.7525999999998</v>
          </cell>
          <cell r="AB1490"/>
        </row>
        <row r="1491">
          <cell r="C1491">
            <v>1</v>
          </cell>
          <cell r="D1491">
            <v>0</v>
          </cell>
          <cell r="E1491">
            <v>0</v>
          </cell>
          <cell r="F1491">
            <v>0</v>
          </cell>
          <cell r="H1491">
            <v>0</v>
          </cell>
          <cell r="O1491">
            <v>402480</v>
          </cell>
          <cell r="P1491" t="str">
            <v>2025/113-0036-01</v>
          </cell>
          <cell r="Q1491" t="str">
            <v>EST MODULO PUFF CHAISE LENCOIS M (RVST BG4) TC LONA AZUL</v>
          </cell>
          <cell r="R1491"/>
          <cell r="S1491"/>
          <cell r="T1491">
            <v>2.4</v>
          </cell>
          <cell r="U1491">
            <v>1.55</v>
          </cell>
          <cell r="V1491">
            <v>0.38</v>
          </cell>
          <cell r="W1491">
            <v>0</v>
          </cell>
          <cell r="X1491" t="str">
            <v>EST MODULO PUFF CHAISE LENCOIS M (RVST BG4) TC LONA AZUL - 2,4x1,55x0,38H</v>
          </cell>
          <cell r="Y1491">
            <v>24755.937999999998</v>
          </cell>
          <cell r="Z1491">
            <v>0.35</v>
          </cell>
          <cell r="AA1491">
            <v>16091.359699999999</v>
          </cell>
          <cell r="AB1491"/>
        </row>
        <row r="1492">
          <cell r="C1492">
            <v>1</v>
          </cell>
          <cell r="D1492">
            <v>0</v>
          </cell>
          <cell r="E1492">
            <v>0</v>
          </cell>
          <cell r="F1492">
            <v>0</v>
          </cell>
          <cell r="H1492">
            <v>0</v>
          </cell>
          <cell r="O1492">
            <v>402481</v>
          </cell>
          <cell r="P1492" t="str">
            <v>2025/113-0037-01</v>
          </cell>
          <cell r="Q1492" t="str">
            <v>EST MODULO PUFF LENCOIS M (RVST BG4) TC LONA AZUL</v>
          </cell>
          <cell r="R1492"/>
          <cell r="S1492"/>
          <cell r="T1492">
            <v>2.4</v>
          </cell>
          <cell r="U1492">
            <v>1</v>
          </cell>
          <cell r="V1492">
            <v>0.38</v>
          </cell>
          <cell r="W1492">
            <v>0</v>
          </cell>
          <cell r="X1492" t="str">
            <v>EST MODULO PUFF LENCOIS M (RVST BG4) TC LONA AZUL - 2,4x1x0,38H</v>
          </cell>
          <cell r="Y1492">
            <v>17814.77</v>
          </cell>
          <cell r="Z1492">
            <v>0.35</v>
          </cell>
          <cell r="AA1492">
            <v>11579.6005</v>
          </cell>
          <cell r="AB1492"/>
        </row>
        <row r="1493">
          <cell r="C1493">
            <v>0</v>
          </cell>
          <cell r="D1493">
            <v>0</v>
          </cell>
          <cell r="E1493">
            <v>1</v>
          </cell>
          <cell r="F1493">
            <v>0</v>
          </cell>
          <cell r="H1493">
            <v>0</v>
          </cell>
          <cell r="O1493">
            <v>378171</v>
          </cell>
          <cell r="P1493" t="str">
            <v>2024/023-0008-01</v>
          </cell>
          <cell r="Q1493" t="str">
            <v>EST TAPETE SISAL CD (BARRA VIRADA)</v>
          </cell>
          <cell r="R1493"/>
          <cell r="S1493"/>
          <cell r="T1493">
            <v>4</v>
          </cell>
          <cell r="U1493">
            <v>3</v>
          </cell>
          <cell r="V1493">
            <v>0</v>
          </cell>
          <cell r="W1493">
            <v>0</v>
          </cell>
          <cell r="X1493" t="str">
            <v>EST TAPETE SISAL CD (BARRA VIRADA) - 4x3x0H</v>
          </cell>
          <cell r="Y1493">
            <v>5398.4</v>
          </cell>
          <cell r="Z1493">
            <v>0.35</v>
          </cell>
          <cell r="AA1493">
            <v>3508.96</v>
          </cell>
          <cell r="AB1493"/>
        </row>
        <row r="1494">
          <cell r="C1494">
            <v>0</v>
          </cell>
          <cell r="D1494">
            <v>0</v>
          </cell>
          <cell r="E1494">
            <v>1</v>
          </cell>
          <cell r="F1494">
            <v>0</v>
          </cell>
          <cell r="H1494">
            <v>0</v>
          </cell>
          <cell r="O1494">
            <v>63168</v>
          </cell>
          <cell r="P1494" t="str">
            <v>2013/294-0084-01</v>
          </cell>
          <cell r="Q1494" t="str">
            <v>EST CADEIRA BASICA (LACA GELO)</v>
          </cell>
          <cell r="R1494"/>
          <cell r="S1494"/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 t="str">
            <v>EST CADEIRA BASICA (LACA GELO) - Ø0x0H</v>
          </cell>
          <cell r="Y1494">
            <v>4250</v>
          </cell>
          <cell r="Z1494">
            <v>0.5</v>
          </cell>
          <cell r="AA1494">
            <v>2125</v>
          </cell>
          <cell r="AB1494"/>
        </row>
        <row r="1495">
          <cell r="C1495">
            <v>0</v>
          </cell>
          <cell r="D1495">
            <v>0</v>
          </cell>
          <cell r="E1495">
            <v>1</v>
          </cell>
          <cell r="F1495">
            <v>0</v>
          </cell>
          <cell r="H1495">
            <v>0</v>
          </cell>
          <cell r="O1495">
            <v>351053</v>
          </cell>
          <cell r="P1495" t="str">
            <v>2022/263-0002-01</v>
          </cell>
          <cell r="Q1495" t="str">
            <v>EST BANDEJA MATISSE (CIRCULAR) (DUETTO RUST PINT CHAMPAGNE)</v>
          </cell>
          <cell r="R1495"/>
          <cell r="S1495"/>
          <cell r="T1495">
            <v>0.3</v>
          </cell>
          <cell r="U1495">
            <v>0</v>
          </cell>
          <cell r="V1495">
            <v>0.06</v>
          </cell>
          <cell r="W1495">
            <v>0.3</v>
          </cell>
          <cell r="X1495" t="str">
            <v>EST BANDEJA MATISSE (CIRCULAR) (DUETTO RUST PINT CHAMPAGNE) - Ø0,3x0,06H</v>
          </cell>
          <cell r="Y1495">
            <v>2307.96</v>
          </cell>
          <cell r="Z1495">
            <v>0.4</v>
          </cell>
          <cell r="AA1495">
            <v>1384.7759999999998</v>
          </cell>
          <cell r="AB1495"/>
        </row>
        <row r="1496">
          <cell r="C1496">
            <v>0</v>
          </cell>
          <cell r="D1496">
            <v>0</v>
          </cell>
          <cell r="E1496">
            <v>1</v>
          </cell>
          <cell r="F1496">
            <v>0</v>
          </cell>
          <cell r="H1496">
            <v>0</v>
          </cell>
          <cell r="O1496">
            <v>351071</v>
          </cell>
          <cell r="P1496" t="str">
            <v>2025/050-0034-01</v>
          </cell>
          <cell r="Q1496" t="str">
            <v>EST BANDEJA MATISSE (GRIS ARMANI) (INOX COOPER)</v>
          </cell>
          <cell r="R1496"/>
          <cell r="S1496"/>
          <cell r="T1496">
            <v>0.6</v>
          </cell>
          <cell r="U1496">
            <v>0.3</v>
          </cell>
          <cell r="V1496">
            <v>0.06</v>
          </cell>
          <cell r="W1496">
            <v>0</v>
          </cell>
          <cell r="X1496" t="str">
            <v>EST BANDEJA MATISSE (GRIS ARMANI) (INOX COOPER) - 0,6x0,3x0,06H</v>
          </cell>
          <cell r="Y1496">
            <v>4538.91</v>
          </cell>
          <cell r="Z1496">
            <v>0.4</v>
          </cell>
          <cell r="AA1496">
            <v>2723.3459999999995</v>
          </cell>
          <cell r="AB1496"/>
        </row>
        <row r="1497">
          <cell r="C1497">
            <v>0</v>
          </cell>
          <cell r="D1497">
            <v>0</v>
          </cell>
          <cell r="E1497">
            <v>1</v>
          </cell>
          <cell r="F1497">
            <v>0</v>
          </cell>
          <cell r="H1497">
            <v>0</v>
          </cell>
          <cell r="O1497">
            <v>351072</v>
          </cell>
          <cell r="P1497" t="str">
            <v>2022/263-0021-01</v>
          </cell>
          <cell r="Q1497" t="str">
            <v>EST BANDEJA MATISSE (CARRARA G) (PINT CINZA CHUMBO)</v>
          </cell>
          <cell r="R1497"/>
          <cell r="S1497"/>
          <cell r="T1497">
            <v>0.3</v>
          </cell>
          <cell r="U1497">
            <v>0.3</v>
          </cell>
          <cell r="V1497">
            <v>0.06</v>
          </cell>
          <cell r="W1497">
            <v>0</v>
          </cell>
          <cell r="X1497" t="str">
            <v>EST BANDEJA MATISSE (CARRARA G) (PINT CINZA CHUMBO) - 0,3x0,3x0,06H</v>
          </cell>
          <cell r="Y1497">
            <v>2307.96</v>
          </cell>
          <cell r="Z1497">
            <v>0.4</v>
          </cell>
          <cell r="AA1497">
            <v>1384.7759999999998</v>
          </cell>
          <cell r="AB1497"/>
        </row>
        <row r="1498">
          <cell r="C1498">
            <v>0</v>
          </cell>
          <cell r="D1498">
            <v>0</v>
          </cell>
          <cell r="E1498">
            <v>1</v>
          </cell>
          <cell r="F1498">
            <v>0</v>
          </cell>
          <cell r="H1498">
            <v>0</v>
          </cell>
          <cell r="O1498">
            <v>351079</v>
          </cell>
          <cell r="P1498" t="str">
            <v>2022/263-0028-01</v>
          </cell>
          <cell r="Q1498" t="str">
            <v>EST BANDEJA MATISSE ORGANICA (CARV EBNZ) (PINT CINZA CHUMBO)</v>
          </cell>
          <cell r="R1498"/>
          <cell r="S1498"/>
          <cell r="T1498">
            <v>0.6</v>
          </cell>
          <cell r="U1498">
            <v>0.6</v>
          </cell>
          <cell r="V1498">
            <v>0.06</v>
          </cell>
          <cell r="W1498">
            <v>0</v>
          </cell>
          <cell r="X1498" t="str">
            <v>EST BANDEJA MATISSE ORGANICA (CARV EBNZ) (PINT CINZA CHUMBO) - 0,6x0,6x0,06H</v>
          </cell>
          <cell r="Y1498">
            <v>2841.31</v>
          </cell>
          <cell r="Z1498">
            <v>0.4</v>
          </cell>
          <cell r="AA1498">
            <v>1704.7859999999998</v>
          </cell>
          <cell r="AB1498"/>
        </row>
        <row r="1499">
          <cell r="C1499">
            <v>0</v>
          </cell>
          <cell r="D1499">
            <v>0</v>
          </cell>
          <cell r="E1499">
            <v>0</v>
          </cell>
          <cell r="F1499">
            <v>1</v>
          </cell>
          <cell r="H1499">
            <v>0</v>
          </cell>
          <cell r="O1499">
            <v>350008</v>
          </cell>
          <cell r="P1499" t="str">
            <v>2022/222-0009-01</v>
          </cell>
          <cell r="Q1499" t="str">
            <v>EST MESA CENTRO MATISSE ORGANICA (TP NOG PURE) (BS NOG PURE)</v>
          </cell>
          <cell r="R1499"/>
          <cell r="S1499"/>
          <cell r="T1499">
            <v>0.8</v>
          </cell>
          <cell r="U1499">
            <v>0.85</v>
          </cell>
          <cell r="V1499">
            <v>0.35</v>
          </cell>
          <cell r="W1499">
            <v>0</v>
          </cell>
          <cell r="X1499" t="str">
            <v>EST MESA CENTRO MATISSE ORGANICA (TP NOG PURE) (BS NOG PURE) - 0,8x0,85x0,35H</v>
          </cell>
          <cell r="Y1499">
            <v>12426.85</v>
          </cell>
          <cell r="Z1499">
            <v>0.35</v>
          </cell>
          <cell r="AA1499">
            <v>8077.4525000000003</v>
          </cell>
          <cell r="AB1499"/>
        </row>
        <row r="1500">
          <cell r="C1500">
            <v>0</v>
          </cell>
          <cell r="D1500">
            <v>0</v>
          </cell>
          <cell r="E1500">
            <v>0</v>
          </cell>
          <cell r="F1500">
            <v>1</v>
          </cell>
          <cell r="H1500">
            <v>0</v>
          </cell>
          <cell r="O1500">
            <v>350008</v>
          </cell>
          <cell r="P1500" t="str">
            <v>2022/222-0010-01</v>
          </cell>
          <cell r="Q1500" t="str">
            <v>EST MESA CENTRO MATISSE ORGANICA (TP NOG PURE) (BS NOG PURE)</v>
          </cell>
          <cell r="R1500"/>
          <cell r="S1500"/>
          <cell r="T1500">
            <v>0.8</v>
          </cell>
          <cell r="U1500">
            <v>0.85</v>
          </cell>
          <cell r="V1500">
            <v>0.35</v>
          </cell>
          <cell r="W1500">
            <v>0</v>
          </cell>
          <cell r="X1500" t="str">
            <v>EST MESA CENTRO MATISSE ORGANICA (TP NOG PURE) (BS NOG PURE) - 0,8x0,85x0,35H</v>
          </cell>
          <cell r="Y1500">
            <v>12426.85</v>
          </cell>
          <cell r="Z1500">
            <v>0.35</v>
          </cell>
          <cell r="AA1500">
            <v>8077.4525000000003</v>
          </cell>
          <cell r="AB1500"/>
        </row>
        <row r="1501">
          <cell r="C1501">
            <v>0</v>
          </cell>
          <cell r="D1501">
            <v>0</v>
          </cell>
          <cell r="E1501">
            <v>0</v>
          </cell>
          <cell r="F1501">
            <v>1</v>
          </cell>
          <cell r="H1501">
            <v>0</v>
          </cell>
          <cell r="O1501">
            <v>350009</v>
          </cell>
          <cell r="P1501" t="str">
            <v>2022/222-0011-01</v>
          </cell>
          <cell r="Q1501" t="str">
            <v>EST MESA CENTRO MATISSE ORGANICA (TP IMP DUETTO) (BS BRONZE)</v>
          </cell>
          <cell r="R1501"/>
          <cell r="S1501"/>
          <cell r="T1501">
            <v>0.8</v>
          </cell>
          <cell r="U1501">
            <v>0.85</v>
          </cell>
          <cell r="V1501">
            <v>0.3</v>
          </cell>
          <cell r="W1501">
            <v>0</v>
          </cell>
          <cell r="X1501" t="str">
            <v>EST MESA CENTRO MATISSE ORGANICA (TP IMP DUETTO) (BS BRONZE) - 0,8x0,85x0,3H</v>
          </cell>
          <cell r="Y1501">
            <v>16699.07</v>
          </cell>
          <cell r="Z1501">
            <v>0.35</v>
          </cell>
          <cell r="AA1501">
            <v>10854.395500000001</v>
          </cell>
          <cell r="AB1501"/>
        </row>
        <row r="1502">
          <cell r="C1502">
            <v>0</v>
          </cell>
          <cell r="D1502">
            <v>0</v>
          </cell>
          <cell r="E1502">
            <v>0</v>
          </cell>
          <cell r="F1502">
            <v>1</v>
          </cell>
          <cell r="H1502">
            <v>0</v>
          </cell>
          <cell r="O1502">
            <v>350010</v>
          </cell>
          <cell r="P1502" t="str">
            <v>2022/222-0012-01</v>
          </cell>
          <cell r="Q1502" t="str">
            <v>EST MESA CENTRO MATISSE (TP IMP GRIS ARMANI) (BS BRONZE CF)</v>
          </cell>
          <cell r="R1502"/>
          <cell r="S1502"/>
          <cell r="T1502">
            <v>0.5</v>
          </cell>
          <cell r="U1502">
            <v>0</v>
          </cell>
          <cell r="V1502">
            <v>0.35</v>
          </cell>
          <cell r="W1502">
            <v>0.5</v>
          </cell>
          <cell r="X1502" t="str">
            <v>EST MESA CENTRO MATISSE (TP IMP GRIS ARMANI) (BS BRONZE CF) - Ø0,5x0,35H</v>
          </cell>
          <cell r="Y1502">
            <v>8749.57</v>
          </cell>
          <cell r="Z1502">
            <v>0.35</v>
          </cell>
          <cell r="AA1502">
            <v>5687.2204999999994</v>
          </cell>
          <cell r="AB1502"/>
        </row>
        <row r="1503">
          <cell r="C1503">
            <v>0</v>
          </cell>
          <cell r="D1503">
            <v>0</v>
          </cell>
          <cell r="E1503">
            <v>0</v>
          </cell>
          <cell r="F1503">
            <v>1</v>
          </cell>
          <cell r="H1503">
            <v>0</v>
          </cell>
          <cell r="O1503">
            <v>373053</v>
          </cell>
          <cell r="P1503" t="str">
            <v>2023/270-0024-01</v>
          </cell>
          <cell r="Q1503" t="str">
            <v>EST MESA CENTRO MATISSE ORGANICA (TP GRIS ARMAMI) (BS NOG P)</v>
          </cell>
          <cell r="R1503"/>
          <cell r="S1503"/>
          <cell r="T1503">
            <v>1.9</v>
          </cell>
          <cell r="U1503">
            <v>1.8</v>
          </cell>
          <cell r="V1503">
            <v>0.3</v>
          </cell>
          <cell r="W1503">
            <v>0</v>
          </cell>
          <cell r="X1503" t="str">
            <v>EST MESA CENTRO MATISSE ORGANICA (TP GRIS ARMAMI) (BS NOG P) - 1,9x1,8x0,3H</v>
          </cell>
          <cell r="Y1503">
            <v>68816.97</v>
          </cell>
          <cell r="Z1503">
            <v>0.35</v>
          </cell>
          <cell r="AA1503">
            <v>44731.030500000001</v>
          </cell>
          <cell r="AB1503"/>
        </row>
        <row r="1504">
          <cell r="C1504">
            <v>0</v>
          </cell>
          <cell r="D1504">
            <v>0</v>
          </cell>
          <cell r="E1504">
            <v>0</v>
          </cell>
          <cell r="F1504">
            <v>1</v>
          </cell>
          <cell r="H1504">
            <v>0</v>
          </cell>
          <cell r="O1504">
            <v>373148</v>
          </cell>
          <cell r="P1504" t="str">
            <v>2023/270-0026-01</v>
          </cell>
          <cell r="Q1504" t="str">
            <v>EST MESA JANTAR MATISSE (TP VERDE GUAT TRIP) (BS NOG PURE)</v>
          </cell>
          <cell r="R1504"/>
          <cell r="S1504"/>
          <cell r="T1504">
            <v>1.83</v>
          </cell>
          <cell r="U1504">
            <v>0</v>
          </cell>
          <cell r="V1504">
            <v>0.75</v>
          </cell>
          <cell r="W1504">
            <v>1.83</v>
          </cell>
          <cell r="X1504" t="str">
            <v>EST MESA JANTAR MATISSE (TP VERDE GUAT TRIP) (BS NOG PURE) - Ø1,83x0,75H</v>
          </cell>
          <cell r="Y1504">
            <v>87818.8</v>
          </cell>
          <cell r="Z1504">
            <v>0.35</v>
          </cell>
          <cell r="AA1504">
            <v>57082.22</v>
          </cell>
          <cell r="AB1504"/>
        </row>
        <row r="1505">
          <cell r="C1505">
            <v>0</v>
          </cell>
          <cell r="D1505">
            <v>0</v>
          </cell>
          <cell r="E1505">
            <v>0</v>
          </cell>
          <cell r="F1505">
            <v>1</v>
          </cell>
          <cell r="H1505">
            <v>0</v>
          </cell>
          <cell r="O1505">
            <v>404433</v>
          </cell>
          <cell r="P1505" t="str">
            <v>2025/076-0011-01</v>
          </cell>
          <cell r="Q1505" t="str">
            <v>EST MESA JANTAR MATISSE (TP E BS FREIO PURE S/DET)</v>
          </cell>
          <cell r="R1505"/>
          <cell r="S1505"/>
          <cell r="T1505">
            <v>3</v>
          </cell>
          <cell r="U1505">
            <v>1.05</v>
          </cell>
          <cell r="V1505">
            <v>0.75</v>
          </cell>
          <cell r="W1505">
            <v>0</v>
          </cell>
          <cell r="X1505" t="str">
            <v>EST MESA JANTAR MATISSE (TP E BS FREIO PURE S/DET) - 3x1,05x0,75H</v>
          </cell>
          <cell r="Y1505">
            <v>59262.2</v>
          </cell>
          <cell r="Z1505">
            <v>0.35</v>
          </cell>
          <cell r="AA1505">
            <v>38520.43</v>
          </cell>
          <cell r="AB1505"/>
        </row>
        <row r="1506">
          <cell r="C1506">
            <v>0</v>
          </cell>
          <cell r="D1506">
            <v>0</v>
          </cell>
          <cell r="E1506">
            <v>0</v>
          </cell>
          <cell r="F1506">
            <v>1</v>
          </cell>
          <cell r="H1506">
            <v>0</v>
          </cell>
          <cell r="O1506">
            <v>351062</v>
          </cell>
          <cell r="P1506" t="str">
            <v>2022/263-0011-01</v>
          </cell>
          <cell r="Q1506" t="str">
            <v>EST BANDEJA MATISSE 90 (CIRCULAR) (CARV CAFE PINT BRNZ CAFE)</v>
          </cell>
          <cell r="R1506"/>
          <cell r="S1506"/>
          <cell r="T1506">
            <v>0.3</v>
          </cell>
          <cell r="U1506">
            <v>0</v>
          </cell>
          <cell r="V1506">
            <v>0.06</v>
          </cell>
          <cell r="W1506">
            <v>0.3</v>
          </cell>
          <cell r="X1506" t="str">
            <v>EST BANDEJA MATISSE 90 (CIRCULAR) (CARV CAFE PINT BRNZ CAFE) - Ø0,3x0,06H</v>
          </cell>
          <cell r="Y1506">
            <v>1046.26</v>
          </cell>
          <cell r="Z1506">
            <v>0.4</v>
          </cell>
          <cell r="AA1506">
            <v>627.75599999999997</v>
          </cell>
          <cell r="AB1506"/>
        </row>
        <row r="1507">
          <cell r="C1507">
            <v>0</v>
          </cell>
          <cell r="D1507">
            <v>0</v>
          </cell>
          <cell r="E1507">
            <v>0</v>
          </cell>
          <cell r="F1507">
            <v>1</v>
          </cell>
          <cell r="H1507">
            <v>0</v>
          </cell>
          <cell r="O1507">
            <v>351064</v>
          </cell>
          <cell r="P1507" t="str">
            <v>2022/263-0013-01</v>
          </cell>
          <cell r="Q1507" t="str">
            <v>EST BANDEJA MATISSE (CIRCULAR) (CARV CAFE) (PINT BRNZ CAFE)</v>
          </cell>
          <cell r="R1507"/>
          <cell r="S1507"/>
          <cell r="T1507">
            <v>0.6</v>
          </cell>
          <cell r="U1507">
            <v>0</v>
          </cell>
          <cell r="V1507">
            <v>0.06</v>
          </cell>
          <cell r="W1507">
            <v>0.6</v>
          </cell>
          <cell r="X1507" t="str">
            <v>EST BANDEJA MATISSE (CIRCULAR) (CARV CAFE) (PINT BRNZ CAFE) - Ø0,6x0,06H</v>
          </cell>
          <cell r="Y1507">
            <v>2502.8000000000002</v>
          </cell>
          <cell r="Z1507">
            <v>0.4</v>
          </cell>
          <cell r="AA1507">
            <v>1501.68</v>
          </cell>
          <cell r="AB1507"/>
        </row>
        <row r="1508">
          <cell r="C1508">
            <v>0</v>
          </cell>
          <cell r="D1508">
            <v>0</v>
          </cell>
          <cell r="E1508">
            <v>0</v>
          </cell>
          <cell r="F1508">
            <v>1</v>
          </cell>
          <cell r="H1508">
            <v>0</v>
          </cell>
          <cell r="O1508">
            <v>351074</v>
          </cell>
          <cell r="P1508" t="str">
            <v>2022/263-0023-01</v>
          </cell>
          <cell r="Q1508" t="str">
            <v>EST BANDEJA MATISSE (CARVALHO CAFE) (PINT BRONZE CAFE)</v>
          </cell>
          <cell r="R1508"/>
          <cell r="S1508"/>
          <cell r="T1508">
            <v>0.3</v>
          </cell>
          <cell r="U1508">
            <v>0.3</v>
          </cell>
          <cell r="V1508">
            <v>0.06</v>
          </cell>
          <cell r="W1508">
            <v>0</v>
          </cell>
          <cell r="X1508" t="str">
            <v>EST BANDEJA MATISSE (CARVALHO CAFE) (PINT BRONZE CAFE) - 0,3x0,3x0,06H</v>
          </cell>
          <cell r="Y1508">
            <v>1046.26</v>
          </cell>
          <cell r="Z1508">
            <v>0.4</v>
          </cell>
          <cell r="AA1508">
            <v>627.75599999999997</v>
          </cell>
          <cell r="AB1508"/>
        </row>
        <row r="1509">
          <cell r="C1509">
            <v>0</v>
          </cell>
          <cell r="D1509">
            <v>0</v>
          </cell>
          <cell r="E1509">
            <v>0</v>
          </cell>
          <cell r="F1509">
            <v>1</v>
          </cell>
          <cell r="H1509">
            <v>0</v>
          </cell>
          <cell r="O1509">
            <v>351075</v>
          </cell>
          <cell r="P1509" t="str">
            <v>2022/263-0024-01</v>
          </cell>
          <cell r="Q1509" t="str">
            <v>EST BANDEJA MATISSE (CARVALHO CAFE) (PINT BRONZE CAFE)</v>
          </cell>
          <cell r="R1509"/>
          <cell r="S1509"/>
          <cell r="T1509">
            <v>0.6</v>
          </cell>
          <cell r="U1509">
            <v>0.3</v>
          </cell>
          <cell r="V1509">
            <v>0.06</v>
          </cell>
          <cell r="W1509">
            <v>0</v>
          </cell>
          <cell r="X1509" t="str">
            <v>EST BANDEJA MATISSE (CARVALHO CAFE) (PINT BRONZE CAFE) - 0,6x0,3x0,06H</v>
          </cell>
          <cell r="Y1509">
            <v>1477.06</v>
          </cell>
          <cell r="Z1509">
            <v>0.4</v>
          </cell>
          <cell r="AA1509">
            <v>886.23599999999999</v>
          </cell>
          <cell r="AB1509"/>
        </row>
        <row r="1510">
          <cell r="C1510">
            <v>0</v>
          </cell>
          <cell r="D1510">
            <v>0</v>
          </cell>
          <cell r="E1510">
            <v>0</v>
          </cell>
          <cell r="F1510">
            <v>1</v>
          </cell>
          <cell r="H1510">
            <v>0</v>
          </cell>
          <cell r="O1510">
            <v>352608</v>
          </cell>
          <cell r="P1510" t="str">
            <v>2022/266-0099-01</v>
          </cell>
          <cell r="Q1510" t="str">
            <v>EST BANDEJA MATISSE RED (LAM NOGUEIRA) (PINT CORTEN)</v>
          </cell>
          <cell r="R1510"/>
          <cell r="S1510"/>
          <cell r="T1510">
            <v>0.3</v>
          </cell>
          <cell r="U1510">
            <v>0</v>
          </cell>
          <cell r="V1510">
            <v>0.06</v>
          </cell>
          <cell r="W1510">
            <v>0.3</v>
          </cell>
          <cell r="X1510" t="str">
            <v>EST BANDEJA MATISSE RED (LAM NOGUEIRA) (PINT CORTEN) - Ø0,3x0,06H</v>
          </cell>
          <cell r="Y1510">
            <v>1046.26</v>
          </cell>
          <cell r="Z1510">
            <v>0.4</v>
          </cell>
          <cell r="AA1510">
            <v>627.75599999999997</v>
          </cell>
          <cell r="AB1510"/>
        </row>
        <row r="1511">
          <cell r="C1511">
            <v>0</v>
          </cell>
          <cell r="D1511">
            <v>0</v>
          </cell>
          <cell r="E1511">
            <v>0</v>
          </cell>
          <cell r="F1511">
            <v>1</v>
          </cell>
          <cell r="H1511">
            <v>0</v>
          </cell>
          <cell r="O1511">
            <v>352609</v>
          </cell>
          <cell r="P1511" t="str">
            <v>2022/266-0100-01</v>
          </cell>
          <cell r="Q1511" t="str">
            <v>EST BANDEJA MATISSE RED (CRISTAL COBRE) (PINT COBRE)</v>
          </cell>
          <cell r="R1511"/>
          <cell r="S1511"/>
          <cell r="T1511">
            <v>0.4</v>
          </cell>
          <cell r="U1511">
            <v>0</v>
          </cell>
          <cell r="V1511">
            <v>0.06</v>
          </cell>
          <cell r="W1511">
            <v>0.4</v>
          </cell>
          <cell r="X1511" t="str">
            <v>EST BANDEJA MATISSE RED (CRISTAL COBRE) (PINT COBRE) - Ø0,4x0,06H</v>
          </cell>
          <cell r="Y1511">
            <v>1507.88</v>
          </cell>
          <cell r="Z1511">
            <v>0.4</v>
          </cell>
          <cell r="AA1511">
            <v>904.72800000000007</v>
          </cell>
          <cell r="AB1511"/>
        </row>
        <row r="1512">
          <cell r="C1512">
            <v>0</v>
          </cell>
          <cell r="D1512">
            <v>0</v>
          </cell>
          <cell r="E1512">
            <v>0</v>
          </cell>
          <cell r="F1512">
            <v>1</v>
          </cell>
          <cell r="H1512">
            <v>0</v>
          </cell>
          <cell r="O1512">
            <v>352610</v>
          </cell>
          <cell r="P1512" t="str">
            <v>2022/266-0101-01</v>
          </cell>
          <cell r="Q1512" t="str">
            <v>EST BANDEJA MATISSE RED (ESP FUME) (PINT CINZA CHUMBO)</v>
          </cell>
          <cell r="R1512"/>
          <cell r="S1512"/>
          <cell r="T1512">
            <v>0.6</v>
          </cell>
          <cell r="U1512">
            <v>0</v>
          </cell>
          <cell r="V1512">
            <v>0.06</v>
          </cell>
          <cell r="W1512">
            <v>0.6</v>
          </cell>
          <cell r="X1512" t="str">
            <v>EST BANDEJA MATISSE RED (ESP FUME) (PINT CINZA CHUMBO) - Ø0,6x0,06H</v>
          </cell>
          <cell r="Y1512">
            <v>2584.87</v>
          </cell>
          <cell r="Z1512">
            <v>0.4</v>
          </cell>
          <cell r="AA1512">
            <v>1550.9219999999998</v>
          </cell>
          <cell r="AB1512"/>
        </row>
        <row r="1513">
          <cell r="C1513">
            <v>0</v>
          </cell>
          <cell r="D1513">
            <v>0</v>
          </cell>
          <cell r="E1513">
            <v>0</v>
          </cell>
          <cell r="F1513">
            <v>1</v>
          </cell>
          <cell r="H1513">
            <v>0</v>
          </cell>
          <cell r="O1513">
            <v>352611</v>
          </cell>
          <cell r="P1513" t="str">
            <v>2022/266-0102-01</v>
          </cell>
          <cell r="Q1513" t="str">
            <v>EST BANDEJA MATISSE QUAD (PORCELANATO) (LAMINA CARV NT)</v>
          </cell>
          <cell r="R1513"/>
          <cell r="S1513"/>
          <cell r="T1513">
            <v>0.3</v>
          </cell>
          <cell r="U1513">
            <v>0.3</v>
          </cell>
          <cell r="V1513">
            <v>0.06</v>
          </cell>
          <cell r="W1513">
            <v>0</v>
          </cell>
          <cell r="X1513" t="str">
            <v>EST BANDEJA MATISSE QUAD (PORCELANATO) (LAMINA CARV NT) - 0,3x0,3x0,06H</v>
          </cell>
          <cell r="Y1513">
            <v>1564.24</v>
          </cell>
          <cell r="Z1513">
            <v>0.4</v>
          </cell>
          <cell r="AA1513">
            <v>938.54399999999998</v>
          </cell>
          <cell r="AB1513"/>
        </row>
        <row r="1514">
          <cell r="C1514">
            <v>0</v>
          </cell>
          <cell r="D1514">
            <v>0</v>
          </cell>
          <cell r="E1514">
            <v>0</v>
          </cell>
          <cell r="F1514">
            <v>1</v>
          </cell>
          <cell r="H1514">
            <v>0</v>
          </cell>
          <cell r="O1514">
            <v>352612</v>
          </cell>
          <cell r="P1514" t="str">
            <v>2022/266-0103-01</v>
          </cell>
          <cell r="Q1514" t="str">
            <v>EST BANDEJA MATISSE RET (LAM CARV TITANIUM) (PINT CHAMPAGNE)</v>
          </cell>
          <cell r="R1514"/>
          <cell r="S1514"/>
          <cell r="T1514">
            <v>0.6</v>
          </cell>
          <cell r="U1514">
            <v>0.3</v>
          </cell>
          <cell r="V1514">
            <v>0.06</v>
          </cell>
          <cell r="W1514">
            <v>0</v>
          </cell>
          <cell r="X1514" t="str">
            <v>EST BANDEJA MATISSE RET (LAM CARV TITANIUM) (PINT CHAMPAGNE) - 0,6x0,3x0,06H</v>
          </cell>
          <cell r="Y1514">
            <v>1477.06</v>
          </cell>
          <cell r="Z1514">
            <v>0.4</v>
          </cell>
          <cell r="AA1514">
            <v>886.23599999999999</v>
          </cell>
          <cell r="AB1514"/>
        </row>
        <row r="1515">
          <cell r="C1515">
            <v>0</v>
          </cell>
          <cell r="D1515">
            <v>0</v>
          </cell>
          <cell r="E1515">
            <v>0</v>
          </cell>
          <cell r="F1515">
            <v>1</v>
          </cell>
          <cell r="H1515">
            <v>0</v>
          </cell>
          <cell r="O1515">
            <v>352613</v>
          </cell>
          <cell r="P1515" t="str">
            <v>2022/266-0104-01</v>
          </cell>
          <cell r="Q1515" t="str">
            <v>EST BANDEJA MATISSE ORG (LAM PED KINGS) (PINT CHAMPAGNE)</v>
          </cell>
          <cell r="R1515"/>
          <cell r="S1515"/>
          <cell r="T1515">
            <v>0.6</v>
          </cell>
          <cell r="U1515">
            <v>0.6</v>
          </cell>
          <cell r="V1515">
            <v>0.06</v>
          </cell>
          <cell r="W1515">
            <v>0</v>
          </cell>
          <cell r="X1515" t="str">
            <v>EST BANDEJA MATISSE ORG (LAM PED KINGS) (PINT CHAMPAGNE) - 0,6x0,6x0,06H</v>
          </cell>
          <cell r="Y1515">
            <v>6036.49</v>
          </cell>
          <cell r="Z1515">
            <v>0.4</v>
          </cell>
          <cell r="AA1515">
            <v>3621.8939999999998</v>
          </cell>
          <cell r="AB1515"/>
        </row>
        <row r="1516">
          <cell r="C1516">
            <v>0</v>
          </cell>
          <cell r="D1516">
            <v>1</v>
          </cell>
          <cell r="E1516">
            <v>0</v>
          </cell>
          <cell r="F1516">
            <v>0</v>
          </cell>
          <cell r="H1516">
            <v>0</v>
          </cell>
          <cell r="O1516">
            <v>350006</v>
          </cell>
          <cell r="P1516" t="str">
            <v>2022/222-0007-01</v>
          </cell>
          <cell r="Q1516" t="str">
            <v>EST MESA CENTRO MATISSE (TP IMP NERO MARQUINA) (BS CINZA CH)</v>
          </cell>
          <cell r="R1516"/>
          <cell r="S1516"/>
          <cell r="T1516">
            <v>1.1000000000000001</v>
          </cell>
          <cell r="U1516">
            <v>0</v>
          </cell>
          <cell r="V1516">
            <v>0.3</v>
          </cell>
          <cell r="W1516">
            <v>1.1000000000000001</v>
          </cell>
          <cell r="X1516" t="str">
            <v>EST MESA CENTRO MATISSE (TP IMP NERO MARQUINA) (BS CINZA CH) - Ø1,1x0,3H</v>
          </cell>
          <cell r="Y1516">
            <v>26110.25</v>
          </cell>
          <cell r="Z1516">
            <v>0.35</v>
          </cell>
          <cell r="AA1516">
            <v>16971.662499999999</v>
          </cell>
          <cell r="AB1516"/>
        </row>
        <row r="1517">
          <cell r="C1517">
            <v>0</v>
          </cell>
          <cell r="D1517">
            <v>1</v>
          </cell>
          <cell r="E1517">
            <v>0</v>
          </cell>
          <cell r="F1517">
            <v>0</v>
          </cell>
          <cell r="H1517">
            <v>0</v>
          </cell>
          <cell r="O1517">
            <v>151276</v>
          </cell>
          <cell r="P1517" t="str">
            <v>2014/219-0055-01</v>
          </cell>
          <cell r="Q1517" t="str">
            <v>EST BANDEJA DESCOLAMENTO GRANDE (CAMURCA VANILLA)</v>
          </cell>
          <cell r="R1517"/>
          <cell r="S1517"/>
          <cell r="T1517">
            <v>0.63</v>
          </cell>
          <cell r="U1517">
            <v>0.45</v>
          </cell>
          <cell r="V1517">
            <v>0.06</v>
          </cell>
          <cell r="W1517">
            <v>0</v>
          </cell>
          <cell r="X1517" t="str">
            <v>EST BANDEJA DESCOLAMENTO GRANDE (CAMURCA VANILLA) - 0,63x0,45x0,06H</v>
          </cell>
          <cell r="Y1517">
            <v>5891.2</v>
          </cell>
          <cell r="Z1517">
            <v>0.5</v>
          </cell>
          <cell r="AA1517">
            <v>2945.6</v>
          </cell>
          <cell r="AB1517"/>
        </row>
        <row r="1518">
          <cell r="C1518">
            <v>0</v>
          </cell>
          <cell r="D1518">
            <v>1</v>
          </cell>
          <cell r="E1518">
            <v>0</v>
          </cell>
          <cell r="F1518">
            <v>0</v>
          </cell>
          <cell r="H1518">
            <v>0</v>
          </cell>
          <cell r="O1518">
            <v>250137</v>
          </cell>
          <cell r="P1518" t="str">
            <v>2019/252-0116-01</v>
          </cell>
          <cell r="Q1518" t="str">
            <v>EST ALMOFADA ONDAS (TERRACOTA COD 4006)</v>
          </cell>
          <cell r="R1518"/>
          <cell r="S1518"/>
          <cell r="T1518">
            <v>0.5</v>
          </cell>
          <cell r="U1518">
            <v>0.5</v>
          </cell>
          <cell r="V1518">
            <v>0</v>
          </cell>
          <cell r="W1518">
            <v>0</v>
          </cell>
          <cell r="X1518" t="str">
            <v>EST ALMOFADA ONDAS (TERRACOTA COD 4006) - 0,5x0,5x0H</v>
          </cell>
          <cell r="Y1518">
            <v>1059.6099999999999</v>
          </cell>
          <cell r="Z1518">
            <v>0.5</v>
          </cell>
          <cell r="AA1518">
            <v>529.80499999999995</v>
          </cell>
          <cell r="AB1518"/>
        </row>
        <row r="1519">
          <cell r="C1519">
            <v>0</v>
          </cell>
          <cell r="D1519">
            <v>1</v>
          </cell>
          <cell r="E1519">
            <v>0</v>
          </cell>
          <cell r="F1519">
            <v>0</v>
          </cell>
          <cell r="H1519">
            <v>0</v>
          </cell>
          <cell r="O1519">
            <v>253848</v>
          </cell>
          <cell r="P1519" t="str">
            <v>2019/337-0032-01</v>
          </cell>
          <cell r="Q1519" t="str">
            <v>EST BANDEJA RITMO Ø55 (MARMORE 2 ROSA PARANA FOSCO)</v>
          </cell>
          <cell r="R1519"/>
          <cell r="S1519"/>
          <cell r="T1519">
            <v>0.55000000000000004</v>
          </cell>
          <cell r="U1519">
            <v>0</v>
          </cell>
          <cell r="V1519">
            <v>0.02</v>
          </cell>
          <cell r="W1519">
            <v>0.55000000000000004</v>
          </cell>
          <cell r="X1519" t="str">
            <v>EST BANDEJA RITMO Ø55 (MARMORE 2 ROSA PARANA FOSCO) - Ø0,55x0,02H</v>
          </cell>
          <cell r="Y1519">
            <v>9892.7800000000007</v>
          </cell>
          <cell r="Z1519">
            <v>0.5</v>
          </cell>
          <cell r="AA1519">
            <v>4946.3900000000003</v>
          </cell>
          <cell r="AB1519"/>
        </row>
        <row r="1520">
          <cell r="C1520">
            <v>0</v>
          </cell>
          <cell r="D1520">
            <v>1</v>
          </cell>
          <cell r="E1520">
            <v>0</v>
          </cell>
          <cell r="F1520">
            <v>0</v>
          </cell>
          <cell r="H1520">
            <v>0</v>
          </cell>
          <cell r="O1520">
            <v>351054</v>
          </cell>
          <cell r="P1520" t="str">
            <v>2022/263-0003-01</v>
          </cell>
          <cell r="Q1520" t="str">
            <v>EST BANDEJA MATISSE (CIRCULAR) (DUETTO RUST PINT CHAMPAGNE)</v>
          </cell>
          <cell r="R1520"/>
          <cell r="S1520"/>
          <cell r="T1520">
            <v>0.4</v>
          </cell>
          <cell r="U1520">
            <v>0</v>
          </cell>
          <cell r="V1520">
            <v>0.06</v>
          </cell>
          <cell r="W1520">
            <v>0.4</v>
          </cell>
          <cell r="X1520" t="str">
            <v>EST BANDEJA MATISSE (CIRCULAR) (DUETTO RUST PINT CHAMPAGNE) - Ø0,4x0,06H</v>
          </cell>
          <cell r="Y1520">
            <v>3518.32</v>
          </cell>
          <cell r="Z1520">
            <v>0.4</v>
          </cell>
          <cell r="AA1520">
            <v>2110.9920000000002</v>
          </cell>
          <cell r="AB1520"/>
        </row>
        <row r="1521">
          <cell r="C1521">
            <v>0</v>
          </cell>
          <cell r="D1521">
            <v>1</v>
          </cell>
          <cell r="E1521">
            <v>0</v>
          </cell>
          <cell r="F1521">
            <v>0</v>
          </cell>
          <cell r="H1521">
            <v>0</v>
          </cell>
          <cell r="O1521">
            <v>351056</v>
          </cell>
          <cell r="P1521" t="str">
            <v>2022/263-0005-01</v>
          </cell>
          <cell r="Q1521" t="str">
            <v>EST BANDEJA MATISSE (CIRCULAR) (GRIS ARMANI INOX COOPER)</v>
          </cell>
          <cell r="R1521"/>
          <cell r="S1521"/>
          <cell r="T1521">
            <v>0.3</v>
          </cell>
          <cell r="U1521">
            <v>0</v>
          </cell>
          <cell r="V1521">
            <v>0.06</v>
          </cell>
          <cell r="W1521">
            <v>0.3</v>
          </cell>
          <cell r="X1521" t="str">
            <v>EST BANDEJA MATISSE (CIRCULAR) (GRIS ARMANI INOX COOPER) - Ø0,3x0,06H</v>
          </cell>
          <cell r="Y1521">
            <v>2995.15</v>
          </cell>
          <cell r="Z1521">
            <v>0.4</v>
          </cell>
          <cell r="AA1521">
            <v>1797.09</v>
          </cell>
          <cell r="AB1521"/>
        </row>
        <row r="1522">
          <cell r="C1522">
            <v>0</v>
          </cell>
          <cell r="D1522">
            <v>1</v>
          </cell>
          <cell r="E1522">
            <v>0</v>
          </cell>
          <cell r="F1522">
            <v>0</v>
          </cell>
          <cell r="H1522">
            <v>0</v>
          </cell>
          <cell r="O1522">
            <v>351058</v>
          </cell>
          <cell r="P1522" t="str">
            <v>2022/263-0007-01</v>
          </cell>
          <cell r="Q1522" t="str">
            <v>EST BANDEJA MATISSE(CIRCULAR) (GRIS ARMANI INOX COOPER)</v>
          </cell>
          <cell r="R1522"/>
          <cell r="S1522"/>
          <cell r="T1522">
            <v>0.6</v>
          </cell>
          <cell r="U1522">
            <v>0</v>
          </cell>
          <cell r="V1522">
            <v>0.06</v>
          </cell>
          <cell r="W1522">
            <v>0.6</v>
          </cell>
          <cell r="X1522" t="str">
            <v>EST BANDEJA MATISSE(CIRCULAR) (GRIS ARMANI INOX COOPER) - Ø0,6x0,06H</v>
          </cell>
          <cell r="Y1522">
            <v>7513.54</v>
          </cell>
          <cell r="Z1522">
            <v>0.4</v>
          </cell>
          <cell r="AA1522">
            <v>4508.1239999999998</v>
          </cell>
          <cell r="AB1522"/>
        </row>
        <row r="1523">
          <cell r="C1523">
            <v>0</v>
          </cell>
          <cell r="D1523">
            <v>1</v>
          </cell>
          <cell r="E1523">
            <v>0</v>
          </cell>
          <cell r="F1523">
            <v>0</v>
          </cell>
          <cell r="H1523">
            <v>0</v>
          </cell>
          <cell r="O1523">
            <v>351068</v>
          </cell>
          <cell r="P1523" t="str">
            <v>2022/263-0017-01</v>
          </cell>
          <cell r="Q1523" t="str">
            <v>EST BANDEJA MATISSE (DUETTO RUST) (PINT CHAMPAGNE)</v>
          </cell>
          <cell r="R1523"/>
          <cell r="S1523"/>
          <cell r="T1523">
            <v>0.3</v>
          </cell>
          <cell r="U1523">
            <v>0.3</v>
          </cell>
          <cell r="V1523">
            <v>0.06</v>
          </cell>
          <cell r="W1523">
            <v>0</v>
          </cell>
          <cell r="X1523" t="str">
            <v>EST BANDEJA MATISSE (DUETTO RUST) (PINT CHAMPAGNE) - 0,3x0,3x0,06H</v>
          </cell>
          <cell r="Y1523">
            <v>2307.96</v>
          </cell>
          <cell r="Z1523">
            <v>0.4</v>
          </cell>
          <cell r="AA1523">
            <v>1384.7759999999998</v>
          </cell>
          <cell r="AB1523"/>
        </row>
        <row r="1524">
          <cell r="C1524">
            <v>0</v>
          </cell>
          <cell r="D1524">
            <v>1</v>
          </cell>
          <cell r="E1524">
            <v>0</v>
          </cell>
          <cell r="F1524">
            <v>0</v>
          </cell>
          <cell r="H1524">
            <v>0</v>
          </cell>
          <cell r="O1524">
            <v>351070</v>
          </cell>
          <cell r="P1524" t="str">
            <v>2022/263-0019-01</v>
          </cell>
          <cell r="Q1524" t="str">
            <v>EST BANDEJA MATISSE (GRIS ARMANI) (INOX COOPER)</v>
          </cell>
          <cell r="R1524"/>
          <cell r="S1524"/>
          <cell r="T1524">
            <v>0.3</v>
          </cell>
          <cell r="U1524">
            <v>0.3</v>
          </cell>
          <cell r="V1524">
            <v>0.06</v>
          </cell>
          <cell r="W1524">
            <v>0</v>
          </cell>
          <cell r="X1524" t="str">
            <v>EST BANDEJA MATISSE (GRIS ARMANI) (INOX COOPER) - 0,3x0,3x0,06H</v>
          </cell>
          <cell r="Y1524">
            <v>2995.15</v>
          </cell>
          <cell r="Z1524">
            <v>0.4</v>
          </cell>
          <cell r="AA1524">
            <v>1797.09</v>
          </cell>
          <cell r="AB1524"/>
        </row>
        <row r="1525">
          <cell r="C1525">
            <v>0</v>
          </cell>
          <cell r="D1525">
            <v>1</v>
          </cell>
          <cell r="E1525">
            <v>0</v>
          </cell>
          <cell r="F1525">
            <v>0</v>
          </cell>
          <cell r="H1525">
            <v>0</v>
          </cell>
          <cell r="O1525">
            <v>351073</v>
          </cell>
          <cell r="P1525" t="str">
            <v>2022/263-0022-01</v>
          </cell>
          <cell r="Q1525" t="str">
            <v>EST BANDEJA MATISSE (CARRARA G) (PINT CINZA CHUMBO)</v>
          </cell>
          <cell r="R1525"/>
          <cell r="S1525"/>
          <cell r="T1525">
            <v>0.6</v>
          </cell>
          <cell r="U1525">
            <v>0.3</v>
          </cell>
          <cell r="V1525">
            <v>0.06</v>
          </cell>
          <cell r="W1525">
            <v>0</v>
          </cell>
          <cell r="X1525" t="str">
            <v>EST BANDEJA MATISSE (CARRARA G) (PINT CINZA CHUMBO) - 0,6x0,3x0,06H</v>
          </cell>
          <cell r="Y1525">
            <v>3779.87</v>
          </cell>
          <cell r="Z1525">
            <v>0.4</v>
          </cell>
          <cell r="AA1525">
            <v>2267.9219999999996</v>
          </cell>
          <cell r="AB1525"/>
        </row>
        <row r="1526">
          <cell r="C1526">
            <v>0</v>
          </cell>
          <cell r="D1526">
            <v>1</v>
          </cell>
          <cell r="E1526">
            <v>0</v>
          </cell>
          <cell r="F1526">
            <v>0</v>
          </cell>
          <cell r="H1526">
            <v>0</v>
          </cell>
          <cell r="O1526">
            <v>351077</v>
          </cell>
          <cell r="P1526" t="str">
            <v>2022/263-0026-01</v>
          </cell>
          <cell r="Q1526" t="str">
            <v>EST BANDEJA MATISSE (NOGUEIRA) (INOX COOPER)</v>
          </cell>
          <cell r="R1526"/>
          <cell r="S1526"/>
          <cell r="T1526">
            <v>0.6</v>
          </cell>
          <cell r="U1526">
            <v>0.3</v>
          </cell>
          <cell r="V1526">
            <v>0.06</v>
          </cell>
          <cell r="W1526">
            <v>0</v>
          </cell>
          <cell r="X1526" t="str">
            <v>EST BANDEJA MATISSE (NOGUEIRA) (INOX COOPER) - 0,6x0,3x0,06H</v>
          </cell>
          <cell r="Y1526">
            <v>2236.1</v>
          </cell>
          <cell r="Z1526">
            <v>0.4</v>
          </cell>
          <cell r="AA1526">
            <v>1341.6599999999999</v>
          </cell>
          <cell r="AB1526"/>
        </row>
        <row r="1527">
          <cell r="C1527">
            <v>0</v>
          </cell>
          <cell r="D1527">
            <v>1</v>
          </cell>
          <cell r="E1527">
            <v>0</v>
          </cell>
          <cell r="F1527">
            <v>0</v>
          </cell>
          <cell r="H1527">
            <v>0</v>
          </cell>
          <cell r="O1527">
            <v>351081</v>
          </cell>
          <cell r="P1527" t="str">
            <v>2022/263-0030-01</v>
          </cell>
          <cell r="Q1527" t="str">
            <v>EST BANDEJA MATISSE ORGANICA (CARVALHO CRIS B) (INOX COOPER)</v>
          </cell>
          <cell r="R1527"/>
          <cell r="S1527"/>
          <cell r="T1527">
            <v>0.6</v>
          </cell>
          <cell r="U1527">
            <v>0.6</v>
          </cell>
          <cell r="V1527">
            <v>0.06</v>
          </cell>
          <cell r="W1527">
            <v>0</v>
          </cell>
          <cell r="X1527" t="str">
            <v>EST BANDEJA MATISSE ORGANICA (CARVALHO CRIS B) (INOX COOPER) - 0,6x0,6x0,06H</v>
          </cell>
          <cell r="Y1527">
            <v>4251.7</v>
          </cell>
          <cell r="Z1527">
            <v>0.4</v>
          </cell>
          <cell r="AA1527">
            <v>2551.0199999999995</v>
          </cell>
          <cell r="AB1527"/>
        </row>
        <row r="1528"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H1528">
            <v>1</v>
          </cell>
          <cell r="O1528">
            <v>221178</v>
          </cell>
          <cell r="P1528" t="str">
            <v>2020/031-0041-01</v>
          </cell>
          <cell r="Q1528" t="str">
            <v>EST POLTRONA KAZZ FX E5007/REC 2562/ESTRUTURA PRETA</v>
          </cell>
          <cell r="R1528"/>
          <cell r="S1528"/>
          <cell r="T1528">
            <v>0.85</v>
          </cell>
          <cell r="U1528">
            <v>0.85</v>
          </cell>
          <cell r="V1528">
            <v>0.75</v>
          </cell>
          <cell r="W1528">
            <v>0</v>
          </cell>
          <cell r="X1528" t="str">
            <v>EST POLTRONA KAZZ FX E5007/REC 2562/ESTRUTURA PRETA - 0,85x0,85x0,75H</v>
          </cell>
          <cell r="Y1528">
            <v>18609.61</v>
          </cell>
          <cell r="Z1528">
            <v>0.5</v>
          </cell>
          <cell r="AA1528">
            <v>9304.8050000000003</v>
          </cell>
          <cell r="AB1528"/>
        </row>
        <row r="1529">
          <cell r="C1529">
            <v>5</v>
          </cell>
          <cell r="D1529">
            <v>0</v>
          </cell>
          <cell r="E1529">
            <v>0</v>
          </cell>
          <cell r="F1529">
            <v>0</v>
          </cell>
          <cell r="H1529">
            <v>0</v>
          </cell>
          <cell r="O1529">
            <v>234034</v>
          </cell>
          <cell r="P1529" t="str">
            <v>2019/164-0050-01</v>
          </cell>
          <cell r="Q1529" t="str">
            <v>EST ALMOFADA (SKYSCRAPER) (COD 120550081)</v>
          </cell>
          <cell r="R1529"/>
          <cell r="S1529"/>
          <cell r="T1529">
            <v>0.5</v>
          </cell>
          <cell r="U1529">
            <v>0.5</v>
          </cell>
          <cell r="V1529">
            <v>0.15</v>
          </cell>
          <cell r="W1529">
            <v>0</v>
          </cell>
          <cell r="X1529" t="str">
            <v>EST ALMOFADA (SKYSCRAPER) (COD 120550081) - 0,5x0,5x0,15H</v>
          </cell>
          <cell r="Y1529">
            <v>500</v>
          </cell>
          <cell r="Z1529">
            <v>0.5</v>
          </cell>
          <cell r="AA1529">
            <v>250</v>
          </cell>
          <cell r="AB1529"/>
        </row>
        <row r="1530">
          <cell r="C1530">
            <v>5</v>
          </cell>
          <cell r="D1530">
            <v>0</v>
          </cell>
          <cell r="E1530">
            <v>0</v>
          </cell>
          <cell r="F1530">
            <v>0</v>
          </cell>
          <cell r="H1530">
            <v>0</v>
          </cell>
          <cell r="O1530">
            <v>234034</v>
          </cell>
          <cell r="P1530" t="str">
            <v>2019/164-0051-01</v>
          </cell>
          <cell r="Q1530" t="str">
            <v>EST ALMOFADA (SKYSCRAPER) (COD 120550081)</v>
          </cell>
          <cell r="R1530"/>
          <cell r="S1530"/>
          <cell r="T1530">
            <v>0.5</v>
          </cell>
          <cell r="U1530">
            <v>0.5</v>
          </cell>
          <cell r="V1530">
            <v>0.15</v>
          </cell>
          <cell r="W1530">
            <v>0</v>
          </cell>
          <cell r="X1530" t="str">
            <v>EST ALMOFADA (SKYSCRAPER) (COD 120550081) - 0,5x0,5x0,15H</v>
          </cell>
          <cell r="Y1530">
            <v>500</v>
          </cell>
          <cell r="Z1530">
            <v>0.5</v>
          </cell>
          <cell r="AA1530">
            <v>250</v>
          </cell>
          <cell r="AB1530"/>
        </row>
        <row r="1531">
          <cell r="C1531">
            <v>5</v>
          </cell>
          <cell r="D1531">
            <v>0</v>
          </cell>
          <cell r="E1531">
            <v>0</v>
          </cell>
          <cell r="F1531">
            <v>0</v>
          </cell>
          <cell r="H1531">
            <v>0</v>
          </cell>
          <cell r="O1531">
            <v>234034</v>
          </cell>
          <cell r="P1531" t="str">
            <v>2019/164-0052-01</v>
          </cell>
          <cell r="Q1531" t="str">
            <v>EST ALMOFADA (SKYSCRAPER) (COD 120550081)</v>
          </cell>
          <cell r="R1531"/>
          <cell r="S1531"/>
          <cell r="T1531">
            <v>0.5</v>
          </cell>
          <cell r="U1531">
            <v>0.5</v>
          </cell>
          <cell r="V1531">
            <v>0.15</v>
          </cell>
          <cell r="W1531">
            <v>0</v>
          </cell>
          <cell r="X1531" t="str">
            <v>EST ALMOFADA (SKYSCRAPER) (COD 120550081) - 0,5x0,5x0,15H</v>
          </cell>
          <cell r="Y1531">
            <v>500</v>
          </cell>
          <cell r="Z1531">
            <v>0.5</v>
          </cell>
          <cell r="AA1531">
            <v>250</v>
          </cell>
          <cell r="AB1531"/>
        </row>
        <row r="1532">
          <cell r="C1532">
            <v>5</v>
          </cell>
          <cell r="D1532">
            <v>0</v>
          </cell>
          <cell r="E1532">
            <v>0</v>
          </cell>
          <cell r="F1532">
            <v>0</v>
          </cell>
          <cell r="H1532">
            <v>0</v>
          </cell>
          <cell r="O1532">
            <v>234034</v>
          </cell>
          <cell r="P1532" t="str">
            <v>2019/164-0054-01</v>
          </cell>
          <cell r="Q1532" t="str">
            <v>EST ALMOFADA (SKYSCRAPER) (COD 120550081)</v>
          </cell>
          <cell r="R1532"/>
          <cell r="S1532"/>
          <cell r="T1532">
            <v>0.5</v>
          </cell>
          <cell r="U1532">
            <v>0.5</v>
          </cell>
          <cell r="V1532">
            <v>0.15</v>
          </cell>
          <cell r="W1532">
            <v>0</v>
          </cell>
          <cell r="X1532" t="str">
            <v>EST ALMOFADA (SKYSCRAPER) (COD 120550081) - 0,5x0,5x0,15H</v>
          </cell>
          <cell r="Y1532">
            <v>500</v>
          </cell>
          <cell r="Z1532">
            <v>0.5</v>
          </cell>
          <cell r="AA1532">
            <v>250</v>
          </cell>
          <cell r="AB1532"/>
        </row>
        <row r="1533">
          <cell r="C1533">
            <v>5</v>
          </cell>
          <cell r="D1533">
            <v>0</v>
          </cell>
          <cell r="E1533">
            <v>0</v>
          </cell>
          <cell r="F1533">
            <v>0</v>
          </cell>
          <cell r="H1533">
            <v>0</v>
          </cell>
          <cell r="O1533">
            <v>234034</v>
          </cell>
          <cell r="P1533" t="str">
            <v>2019/164-0055-01</v>
          </cell>
          <cell r="Q1533" t="str">
            <v>EST ALMOFADA (SKYSCRAPER) (COD 120550081)</v>
          </cell>
          <cell r="R1533"/>
          <cell r="S1533"/>
          <cell r="T1533">
            <v>0.5</v>
          </cell>
          <cell r="U1533">
            <v>0.5</v>
          </cell>
          <cell r="V1533">
            <v>0.15</v>
          </cell>
          <cell r="W1533">
            <v>0</v>
          </cell>
          <cell r="X1533" t="str">
            <v>EST ALMOFADA (SKYSCRAPER) (COD 120550081) - 0,5x0,5x0,15H</v>
          </cell>
          <cell r="Y1533">
            <v>500</v>
          </cell>
          <cell r="Z1533">
            <v>0.5</v>
          </cell>
          <cell r="AA1533">
            <v>250</v>
          </cell>
          <cell r="AB1533"/>
        </row>
        <row r="1534">
          <cell r="C1534">
            <v>2</v>
          </cell>
          <cell r="D1534">
            <v>2</v>
          </cell>
          <cell r="E1534">
            <v>0</v>
          </cell>
          <cell r="F1534">
            <v>0</v>
          </cell>
          <cell r="H1534">
            <v>0</v>
          </cell>
          <cell r="O1534">
            <v>234040</v>
          </cell>
          <cell r="P1534" t="str">
            <v>2019/164-0084-01</v>
          </cell>
          <cell r="Q1534" t="str">
            <v>EST ALMOFADA (ADELE ROSSO ED) (COD 120550037)</v>
          </cell>
          <cell r="R1534"/>
          <cell r="S1534"/>
          <cell r="T1534">
            <v>0.5</v>
          </cell>
          <cell r="U1534">
            <v>0.5</v>
          </cell>
          <cell r="V1534">
            <v>0.15</v>
          </cell>
          <cell r="W1534">
            <v>0</v>
          </cell>
          <cell r="X1534" t="str">
            <v>EST ALMOFADA (ADELE ROSSO ED) (COD 120550037) - 0,5x0,5x0,15H</v>
          </cell>
          <cell r="Y1534">
            <v>500</v>
          </cell>
          <cell r="Z1534">
            <v>0.5</v>
          </cell>
          <cell r="AA1534">
            <v>250</v>
          </cell>
          <cell r="AB1534"/>
        </row>
        <row r="1535">
          <cell r="C1535">
            <v>2</v>
          </cell>
          <cell r="D1535">
            <v>2</v>
          </cell>
          <cell r="E1535">
            <v>0</v>
          </cell>
          <cell r="F1535">
            <v>0</v>
          </cell>
          <cell r="H1535">
            <v>0</v>
          </cell>
          <cell r="O1535">
            <v>234040</v>
          </cell>
          <cell r="P1535" t="str">
            <v>2019/164-0085-01</v>
          </cell>
          <cell r="Q1535" t="str">
            <v>EST ALMOFADA (ADELE ROSSO ED) (COD 120550037)</v>
          </cell>
          <cell r="R1535"/>
          <cell r="S1535"/>
          <cell r="T1535">
            <v>0.5</v>
          </cell>
          <cell r="U1535">
            <v>0.5</v>
          </cell>
          <cell r="V1535">
            <v>0.15</v>
          </cell>
          <cell r="W1535">
            <v>0</v>
          </cell>
          <cell r="X1535" t="str">
            <v>EST ALMOFADA (ADELE ROSSO ED) (COD 120550037) - 0,5x0,5x0,15H</v>
          </cell>
          <cell r="Y1535">
            <v>500</v>
          </cell>
          <cell r="Z1535">
            <v>0.5</v>
          </cell>
          <cell r="AA1535">
            <v>250</v>
          </cell>
          <cell r="AB1535"/>
        </row>
        <row r="1536">
          <cell r="C1536">
            <v>2</v>
          </cell>
          <cell r="D1536">
            <v>2</v>
          </cell>
          <cell r="E1536">
            <v>0</v>
          </cell>
          <cell r="F1536">
            <v>0</v>
          </cell>
          <cell r="H1536">
            <v>0</v>
          </cell>
          <cell r="O1536">
            <v>234040</v>
          </cell>
          <cell r="P1536" t="str">
            <v>2019/164-0086-01</v>
          </cell>
          <cell r="Q1536" t="str">
            <v>EST ALMOFADA (ADELE ROSSO ED) (COD 120550037)</v>
          </cell>
          <cell r="R1536"/>
          <cell r="S1536"/>
          <cell r="T1536">
            <v>0.5</v>
          </cell>
          <cell r="U1536">
            <v>0.5</v>
          </cell>
          <cell r="V1536">
            <v>0.15</v>
          </cell>
          <cell r="W1536">
            <v>0</v>
          </cell>
          <cell r="X1536" t="str">
            <v>EST ALMOFADA (ADELE ROSSO ED) (COD 120550037) - 0,5x0,5x0,15H</v>
          </cell>
          <cell r="Y1536">
            <v>500</v>
          </cell>
          <cell r="Z1536">
            <v>0.5</v>
          </cell>
          <cell r="AA1536">
            <v>250</v>
          </cell>
          <cell r="AB1536"/>
        </row>
        <row r="1537">
          <cell r="C1537">
            <v>2</v>
          </cell>
          <cell r="D1537">
            <v>2</v>
          </cell>
          <cell r="E1537">
            <v>0</v>
          </cell>
          <cell r="F1537">
            <v>0</v>
          </cell>
          <cell r="H1537">
            <v>0</v>
          </cell>
          <cell r="O1537">
            <v>234040</v>
          </cell>
          <cell r="P1537" t="str">
            <v>2019/164-0087-01</v>
          </cell>
          <cell r="Q1537" t="str">
            <v>EST ALMOFADA (ADELE ROSSO ED) (COD 120550037)</v>
          </cell>
          <cell r="R1537"/>
          <cell r="S1537"/>
          <cell r="T1537">
            <v>0.5</v>
          </cell>
          <cell r="U1537">
            <v>0.5</v>
          </cell>
          <cell r="V1537">
            <v>0.15</v>
          </cell>
          <cell r="W1537">
            <v>0</v>
          </cell>
          <cell r="X1537" t="str">
            <v>EST ALMOFADA (ADELE ROSSO ED) (COD 120550037) - 0,5x0,5x0,15H</v>
          </cell>
          <cell r="Y1537">
            <v>500</v>
          </cell>
          <cell r="Z1537">
            <v>0.5</v>
          </cell>
          <cell r="AA1537">
            <v>250</v>
          </cell>
          <cell r="AB1537"/>
        </row>
        <row r="1538">
          <cell r="C1538">
            <v>1</v>
          </cell>
          <cell r="D1538">
            <v>0</v>
          </cell>
          <cell r="E1538">
            <v>0</v>
          </cell>
          <cell r="F1538">
            <v>0</v>
          </cell>
          <cell r="H1538">
            <v>0</v>
          </cell>
          <cell r="O1538">
            <v>234044</v>
          </cell>
          <cell r="P1538" t="str">
            <v>2019/164-0100-01</v>
          </cell>
          <cell r="Q1538" t="str">
            <v>EST ALMOFADA (TIGERLILY) (COD 120250011)</v>
          </cell>
          <cell r="R1538"/>
          <cell r="S1538"/>
          <cell r="T1538">
            <v>0.5</v>
          </cell>
          <cell r="U1538">
            <v>0.5</v>
          </cell>
          <cell r="V1538">
            <v>0.15</v>
          </cell>
          <cell r="W1538">
            <v>0</v>
          </cell>
          <cell r="X1538" t="str">
            <v>EST ALMOFADA (TIGERLILY) (COD 120250011) - 0,5x0,5x0,15H</v>
          </cell>
          <cell r="Y1538">
            <v>500</v>
          </cell>
          <cell r="Z1538">
            <v>0.5</v>
          </cell>
          <cell r="AA1538">
            <v>250</v>
          </cell>
          <cell r="AB1538"/>
        </row>
        <row r="1539">
          <cell r="C1539">
            <v>2</v>
          </cell>
          <cell r="D1539">
            <v>0</v>
          </cell>
          <cell r="E1539">
            <v>0</v>
          </cell>
          <cell r="F1539">
            <v>0</v>
          </cell>
          <cell r="H1539">
            <v>0</v>
          </cell>
          <cell r="O1539">
            <v>234046</v>
          </cell>
          <cell r="P1539" t="str">
            <v>2019/164-0105-01</v>
          </cell>
          <cell r="Q1539" t="str">
            <v>EST ALMOFADA (VERDE ESCURO) (COD 120550018)</v>
          </cell>
          <cell r="R1539"/>
          <cell r="S1539"/>
          <cell r="T1539">
            <v>0.5</v>
          </cell>
          <cell r="U1539">
            <v>0.5</v>
          </cell>
          <cell r="V1539">
            <v>0.15</v>
          </cell>
          <cell r="W1539">
            <v>0</v>
          </cell>
          <cell r="X1539" t="str">
            <v>EST ALMOFADA (VERDE ESCURO) (COD 120550018) - 0,5x0,5x0,15H</v>
          </cell>
          <cell r="Y1539">
            <v>500</v>
          </cell>
          <cell r="Z1539">
            <v>0.5</v>
          </cell>
          <cell r="AA1539">
            <v>250</v>
          </cell>
          <cell r="AB1539"/>
        </row>
        <row r="1540">
          <cell r="C1540">
            <v>2</v>
          </cell>
          <cell r="D1540">
            <v>0</v>
          </cell>
          <cell r="E1540">
            <v>0</v>
          </cell>
          <cell r="F1540">
            <v>0</v>
          </cell>
          <cell r="H1540">
            <v>0</v>
          </cell>
          <cell r="O1540">
            <v>234046</v>
          </cell>
          <cell r="P1540" t="str">
            <v>2019/164-0108-01</v>
          </cell>
          <cell r="Q1540" t="str">
            <v>EST ALMOFADA (VERDE ESCURO) (COD 120550018)</v>
          </cell>
          <cell r="R1540"/>
          <cell r="S1540"/>
          <cell r="T1540">
            <v>0.5</v>
          </cell>
          <cell r="U1540">
            <v>0.5</v>
          </cell>
          <cell r="V1540">
            <v>0.15</v>
          </cell>
          <cell r="W1540">
            <v>0</v>
          </cell>
          <cell r="X1540" t="str">
            <v>EST ALMOFADA (VERDE ESCURO) (COD 120550018) - 0,5x0,5x0,15H</v>
          </cell>
          <cell r="Y1540">
            <v>500</v>
          </cell>
          <cell r="Z1540">
            <v>0.5</v>
          </cell>
          <cell r="AA1540">
            <v>250</v>
          </cell>
          <cell r="AB1540"/>
        </row>
        <row r="1541">
          <cell r="C1541">
            <v>1</v>
          </cell>
          <cell r="D1541">
            <v>0</v>
          </cell>
          <cell r="E1541">
            <v>0</v>
          </cell>
          <cell r="F1541">
            <v>0</v>
          </cell>
          <cell r="H1541">
            <v>0</v>
          </cell>
          <cell r="O1541">
            <v>351055</v>
          </cell>
          <cell r="P1541" t="str">
            <v>2022/263-0004-01</v>
          </cell>
          <cell r="Q1541" t="str">
            <v>EST BANDEJA MATISSE (CIRCULAR) (DUETTO RUST PINT CHAMPAGNE)</v>
          </cell>
          <cell r="R1541"/>
          <cell r="S1541"/>
          <cell r="T1541">
            <v>0.6</v>
          </cell>
          <cell r="U1541">
            <v>0</v>
          </cell>
          <cell r="V1541">
            <v>0.06</v>
          </cell>
          <cell r="W1541">
            <v>0.6</v>
          </cell>
          <cell r="X1541" t="str">
            <v>EST BANDEJA MATISSE (CIRCULAR) (DUETTO RUST PINT CHAMPAGNE) - Ø0,6x0,06H</v>
          </cell>
          <cell r="Y1541">
            <v>6657.1</v>
          </cell>
          <cell r="Z1541">
            <v>0.5</v>
          </cell>
          <cell r="AA1541">
            <v>3328.55</v>
          </cell>
          <cell r="AB1541"/>
        </row>
        <row r="1542">
          <cell r="C1542">
            <v>1</v>
          </cell>
          <cell r="D1542">
            <v>0</v>
          </cell>
          <cell r="E1542">
            <v>0</v>
          </cell>
          <cell r="F1542">
            <v>0</v>
          </cell>
          <cell r="H1542">
            <v>0</v>
          </cell>
          <cell r="O1542">
            <v>351061</v>
          </cell>
          <cell r="P1542" t="str">
            <v>2022/263-0010-01</v>
          </cell>
          <cell r="Q1542" t="str">
            <v>EST BANDEJA MATISSE (CIRCULAR) (CARRARA G PINT CINZA CHUMBO)</v>
          </cell>
          <cell r="R1542"/>
          <cell r="S1542"/>
          <cell r="T1542">
            <v>0.6</v>
          </cell>
          <cell r="U1542">
            <v>0</v>
          </cell>
          <cell r="V1542">
            <v>0.06</v>
          </cell>
          <cell r="W1542">
            <v>0.6</v>
          </cell>
          <cell r="X1542" t="str">
            <v>EST BANDEJA MATISSE (CIRCULAR) (CARRARA G PINT CINZA CHUMBO) - Ø0,6x0,06H</v>
          </cell>
          <cell r="Y1542">
            <v>6657.1</v>
          </cell>
          <cell r="Z1542">
            <v>0.5</v>
          </cell>
          <cell r="AA1542">
            <v>3328.55</v>
          </cell>
          <cell r="AB1542"/>
        </row>
        <row r="1543">
          <cell r="C1543">
            <v>1</v>
          </cell>
          <cell r="D1543">
            <v>0</v>
          </cell>
          <cell r="E1543">
            <v>0</v>
          </cell>
          <cell r="F1543">
            <v>0</v>
          </cell>
          <cell r="H1543">
            <v>0</v>
          </cell>
          <cell r="O1543">
            <v>351066</v>
          </cell>
          <cell r="P1543" t="str">
            <v>2022/263-0015-01</v>
          </cell>
          <cell r="Q1543" t="str">
            <v>EST BANDEJA MATISSE (CIRCULAR) (NOGUEIRA) (INOX COOPER)</v>
          </cell>
          <cell r="R1543"/>
          <cell r="S1543"/>
          <cell r="T1543">
            <v>0.4</v>
          </cell>
          <cell r="U1543">
            <v>0</v>
          </cell>
          <cell r="V1543">
            <v>0.06</v>
          </cell>
          <cell r="W1543">
            <v>0.4</v>
          </cell>
          <cell r="X1543" t="str">
            <v>EST BANDEJA MATISSE (CIRCULAR) (NOGUEIRA) (INOX COOPER) - Ø0,4x0,06H</v>
          </cell>
          <cell r="Y1543">
            <v>2307.96</v>
          </cell>
          <cell r="Z1543">
            <v>0.5</v>
          </cell>
          <cell r="AA1543">
            <v>1153.98</v>
          </cell>
          <cell r="AB1543"/>
        </row>
        <row r="1544">
          <cell r="C1544">
            <v>1</v>
          </cell>
          <cell r="D1544">
            <v>0</v>
          </cell>
          <cell r="E1544">
            <v>0</v>
          </cell>
          <cell r="F1544">
            <v>0</v>
          </cell>
          <cell r="H1544">
            <v>0</v>
          </cell>
          <cell r="O1544">
            <v>351067</v>
          </cell>
          <cell r="P1544" t="str">
            <v>2022/263-0016-01</v>
          </cell>
          <cell r="Q1544" t="str">
            <v>EST BANDEJA MATISSE (CIRCULAR) (NOGUEIRA) (INOX COOPER)</v>
          </cell>
          <cell r="R1544"/>
          <cell r="S1544"/>
          <cell r="T1544">
            <v>0.6</v>
          </cell>
          <cell r="U1544">
            <v>0</v>
          </cell>
          <cell r="V1544">
            <v>0.06</v>
          </cell>
          <cell r="W1544">
            <v>0.6</v>
          </cell>
          <cell r="X1544" t="str">
            <v>EST BANDEJA MATISSE (CIRCULAR) (NOGUEIRA) (INOX COOPER) - Ø0,6x0,06H</v>
          </cell>
          <cell r="Y1544">
            <v>3359.33</v>
          </cell>
          <cell r="Z1544">
            <v>0.5</v>
          </cell>
          <cell r="AA1544">
            <v>1679.665</v>
          </cell>
          <cell r="AB1544"/>
        </row>
        <row r="1545">
          <cell r="C1545">
            <v>1</v>
          </cell>
          <cell r="D1545">
            <v>0</v>
          </cell>
          <cell r="E1545">
            <v>0</v>
          </cell>
          <cell r="F1545">
            <v>0</v>
          </cell>
          <cell r="H1545">
            <v>0</v>
          </cell>
          <cell r="O1545">
            <v>351080</v>
          </cell>
          <cell r="P1545" t="str">
            <v>2022/263-0029-01</v>
          </cell>
          <cell r="Q1545" t="str">
            <v>EST BANDEJA MATISSE ORGANICA (CARVALHO CAFE) (BRONZE CAFE)</v>
          </cell>
          <cell r="R1545"/>
          <cell r="S1545"/>
          <cell r="T1545">
            <v>0.6</v>
          </cell>
          <cell r="U1545">
            <v>0.6</v>
          </cell>
          <cell r="V1545">
            <v>0.06</v>
          </cell>
          <cell r="W1545">
            <v>0</v>
          </cell>
          <cell r="X1545" t="str">
            <v>EST BANDEJA MATISSE ORGANICA (CARVALHO CAFE) (BRONZE CAFE) - 0,6x0,6x0,06H</v>
          </cell>
          <cell r="Y1545">
            <v>2841.31</v>
          </cell>
          <cell r="Z1545">
            <v>0.5</v>
          </cell>
          <cell r="AA1545">
            <v>1420.655</v>
          </cell>
          <cell r="AB1545"/>
        </row>
        <row r="1546">
          <cell r="C1546">
            <v>1</v>
          </cell>
          <cell r="D1546">
            <v>0</v>
          </cell>
          <cell r="E1546">
            <v>0</v>
          </cell>
          <cell r="F1546">
            <v>0</v>
          </cell>
          <cell r="H1546">
            <v>0</v>
          </cell>
          <cell r="O1546">
            <v>351082</v>
          </cell>
          <cell r="P1546" t="str">
            <v>2022/263-0031-01</v>
          </cell>
          <cell r="Q1546" t="str">
            <v>EST BANDEJA MATISSE ORGANICA (PED PLATINUN) (PINT CHAMPAGNE)</v>
          </cell>
          <cell r="R1546"/>
          <cell r="S1546"/>
          <cell r="T1546">
            <v>0.6</v>
          </cell>
          <cell r="U1546">
            <v>0.6</v>
          </cell>
          <cell r="V1546">
            <v>0.06</v>
          </cell>
          <cell r="W1546">
            <v>0</v>
          </cell>
          <cell r="X1546" t="str">
            <v>EST BANDEJA MATISSE ORGANICA (PED PLATINUN) (PINT CHAMPAGNE) - 0,6x0,6x0,06H</v>
          </cell>
          <cell r="Y1546">
            <v>6036.49</v>
          </cell>
          <cell r="Z1546">
            <v>0.35</v>
          </cell>
          <cell r="AA1546">
            <v>3923.7184999999999</v>
          </cell>
          <cell r="AB1546"/>
        </row>
        <row r="1547">
          <cell r="C1547">
            <v>1</v>
          </cell>
          <cell r="D1547">
            <v>0</v>
          </cell>
          <cell r="E1547">
            <v>0</v>
          </cell>
          <cell r="F1547">
            <v>0</v>
          </cell>
          <cell r="H1547">
            <v>0</v>
          </cell>
          <cell r="O1547">
            <v>365949</v>
          </cell>
          <cell r="P1547" t="str">
            <v>2023/118-0094-01</v>
          </cell>
          <cell r="Q1547" t="str">
            <v>EST MESA JANTAR MATISSE (TP MARM IMP TRAVERT) (BS NOG PURE)</v>
          </cell>
          <cell r="R1547"/>
          <cell r="S1547"/>
          <cell r="T1547">
            <v>2.7</v>
          </cell>
          <cell r="U1547">
            <v>1.25</v>
          </cell>
          <cell r="V1547">
            <v>0.75</v>
          </cell>
          <cell r="W1547">
            <v>0</v>
          </cell>
          <cell r="X1547" t="str">
            <v>EST MESA JANTAR MATISSE (TP MARM IMP TRAVERT) (BS NOG PURE) - 2,7x1,25x0,75H</v>
          </cell>
          <cell r="Y1547">
            <v>102661.26</v>
          </cell>
          <cell r="Z1547">
            <v>0.35</v>
          </cell>
          <cell r="AA1547">
            <v>66729.818999999989</v>
          </cell>
          <cell r="AB1547"/>
        </row>
        <row r="1548">
          <cell r="C1548">
            <v>1</v>
          </cell>
          <cell r="D1548">
            <v>0</v>
          </cell>
          <cell r="E1548">
            <v>0</v>
          </cell>
          <cell r="F1548">
            <v>0</v>
          </cell>
          <cell r="H1548">
            <v>0</v>
          </cell>
          <cell r="O1548">
            <v>373052</v>
          </cell>
          <cell r="P1548" t="str">
            <v>2023/270-0023-01</v>
          </cell>
          <cell r="Q1548" t="str">
            <v>EST MESA CENTRO MATISSE ORGANICA (TP CARRARA G) (BS NOG P)</v>
          </cell>
          <cell r="R1548"/>
          <cell r="S1548"/>
          <cell r="T1548">
            <v>1.9</v>
          </cell>
          <cell r="U1548">
            <v>1.8</v>
          </cell>
          <cell r="V1548">
            <v>0.3</v>
          </cell>
          <cell r="W1548">
            <v>0</v>
          </cell>
          <cell r="X1548" t="str">
            <v>EST MESA CENTRO MATISSE ORGANICA (TP CARRARA G) (BS NOG P) - 1,9x1,8x0,3H</v>
          </cell>
          <cell r="Y1548">
            <v>68816.97</v>
          </cell>
          <cell r="Z1548">
            <v>0.35</v>
          </cell>
          <cell r="AA1548">
            <v>44731.030500000001</v>
          </cell>
          <cell r="AB1548"/>
        </row>
        <row r="1549">
          <cell r="C1549">
            <v>1</v>
          </cell>
          <cell r="D1549">
            <v>0</v>
          </cell>
          <cell r="E1549">
            <v>0</v>
          </cell>
          <cell r="F1549">
            <v>0</v>
          </cell>
          <cell r="H1549">
            <v>0</v>
          </cell>
          <cell r="O1549">
            <v>373147</v>
          </cell>
          <cell r="P1549" t="str">
            <v>2023/270-0025-01</v>
          </cell>
          <cell r="Q1549" t="str">
            <v>EST MESA JANTAR MATISSE (TP GRIS ARMANI TRIP) (BS NOG PURE)</v>
          </cell>
          <cell r="R1549"/>
          <cell r="S1549"/>
          <cell r="T1549">
            <v>1.83</v>
          </cell>
          <cell r="U1549">
            <v>0</v>
          </cell>
          <cell r="V1549">
            <v>0.75</v>
          </cell>
          <cell r="W1549">
            <v>1.83</v>
          </cell>
          <cell r="X1549" t="str">
            <v>EST MESA JANTAR MATISSE (TP GRIS ARMANI TRIP) (BS NOG PURE) - Ø1,83x0,75H</v>
          </cell>
          <cell r="Y1549">
            <v>87818.8</v>
          </cell>
          <cell r="Z1549">
            <v>0.35</v>
          </cell>
          <cell r="AA1549">
            <v>57082.22</v>
          </cell>
          <cell r="AB1549"/>
        </row>
        <row r="1550">
          <cell r="C1550">
            <v>1</v>
          </cell>
          <cell r="D1550">
            <v>0</v>
          </cell>
          <cell r="E1550">
            <v>0</v>
          </cell>
          <cell r="F1550">
            <v>0</v>
          </cell>
          <cell r="H1550">
            <v>0</v>
          </cell>
          <cell r="O1550">
            <v>390204</v>
          </cell>
          <cell r="P1550" t="str">
            <v>2024/264-0043-01</v>
          </cell>
          <cell r="Q1550" t="str">
            <v>EST MESA JANTAR AURORA (TPO CHANF LAM FREIJO TNZ) BS LAMINDA</v>
          </cell>
          <cell r="R1550"/>
          <cell r="S1550"/>
          <cell r="T1550">
            <v>3</v>
          </cell>
          <cell r="U1550">
            <v>1.2</v>
          </cell>
          <cell r="V1550">
            <v>0.75</v>
          </cell>
          <cell r="W1550">
            <v>0</v>
          </cell>
          <cell r="X1550" t="str">
            <v>EST MESA JANTAR AURORA (TPO CHANF LAM FREIJO TNZ) BS LAMINDA - 3x1,2x0,75H</v>
          </cell>
          <cell r="Y1550">
            <v>55277.519</v>
          </cell>
          <cell r="Z1550">
            <v>0.35</v>
          </cell>
          <cell r="AA1550">
            <v>35930.387350000005</v>
          </cell>
          <cell r="AB1550"/>
        </row>
        <row r="1551">
          <cell r="C1551">
            <v>1</v>
          </cell>
          <cell r="D1551">
            <v>0</v>
          </cell>
          <cell r="E1551">
            <v>0</v>
          </cell>
          <cell r="F1551">
            <v>0</v>
          </cell>
          <cell r="H1551">
            <v>0</v>
          </cell>
          <cell r="O1551">
            <v>404829</v>
          </cell>
          <cell r="P1551" t="str">
            <v>2025/129-0033-01</v>
          </cell>
          <cell r="Q1551" t="str">
            <v>EST TAPETE SISAL CY (BARRA VIRADA)</v>
          </cell>
          <cell r="R1551"/>
          <cell r="S1551"/>
          <cell r="T1551">
            <v>5</v>
          </cell>
          <cell r="U1551">
            <v>4</v>
          </cell>
          <cell r="V1551">
            <v>0</v>
          </cell>
          <cell r="W1551">
            <v>0</v>
          </cell>
          <cell r="X1551" t="str">
            <v>EST TAPETE SISAL CY (BARRA VIRADA) - 5x4x0H</v>
          </cell>
          <cell r="Y1551">
            <v>11192.92</v>
          </cell>
          <cell r="Z1551">
            <v>0.35</v>
          </cell>
          <cell r="AA1551">
            <v>7275.3980000000001</v>
          </cell>
          <cell r="AB1551"/>
        </row>
        <row r="1552">
          <cell r="C1552">
            <v>1</v>
          </cell>
          <cell r="D1552">
            <v>0</v>
          </cell>
          <cell r="E1552">
            <v>0</v>
          </cell>
          <cell r="F1552">
            <v>0</v>
          </cell>
          <cell r="H1552">
            <v>0</v>
          </cell>
          <cell r="O1552">
            <v>404830</v>
          </cell>
          <cell r="P1552" t="str">
            <v>2025/129-0034-01</v>
          </cell>
          <cell r="Q1552" t="str">
            <v>EST TAPETE SISAL CD (BARRA VIRADA)</v>
          </cell>
          <cell r="R1552"/>
          <cell r="S1552"/>
          <cell r="T1552">
            <v>6</v>
          </cell>
          <cell r="U1552">
            <v>5</v>
          </cell>
          <cell r="V1552">
            <v>0</v>
          </cell>
          <cell r="W1552">
            <v>0</v>
          </cell>
          <cell r="X1552" t="str">
            <v>EST TAPETE SISAL CD (BARRA VIRADA) - 6x5x0H</v>
          </cell>
          <cell r="Y1552">
            <v>17086.18</v>
          </cell>
          <cell r="Z1552">
            <v>0.35</v>
          </cell>
          <cell r="AA1552">
            <v>11106.017</v>
          </cell>
          <cell r="AB1552"/>
        </row>
        <row r="1553">
          <cell r="C1553">
            <v>1</v>
          </cell>
          <cell r="D1553">
            <v>0</v>
          </cell>
          <cell r="E1553">
            <v>0</v>
          </cell>
          <cell r="F1553">
            <v>0</v>
          </cell>
          <cell r="H1553">
            <v>0</v>
          </cell>
          <cell r="O1553">
            <v>404831</v>
          </cell>
          <cell r="P1553" t="str">
            <v>2025/129-0035-01</v>
          </cell>
          <cell r="Q1553" t="str">
            <v>EST TAPETE SISAL CH (BARRA VIRADA)</v>
          </cell>
          <cell r="R1553"/>
          <cell r="S1553"/>
          <cell r="T1553">
            <v>4</v>
          </cell>
          <cell r="U1553">
            <v>0</v>
          </cell>
          <cell r="V1553">
            <v>0</v>
          </cell>
          <cell r="W1553">
            <v>4</v>
          </cell>
          <cell r="X1553" t="str">
            <v>EST TAPETE SISAL CH (BARRA VIRADA) - Ø4x0H</v>
          </cell>
          <cell r="Y1553">
            <v>8951.49</v>
          </cell>
          <cell r="Z1553">
            <v>0.35</v>
          </cell>
          <cell r="AA1553">
            <v>5818.4684999999999</v>
          </cell>
          <cell r="AB1553"/>
        </row>
        <row r="1554">
          <cell r="C1554">
            <v>0</v>
          </cell>
          <cell r="D1554">
            <v>0</v>
          </cell>
          <cell r="E1554">
            <v>0</v>
          </cell>
          <cell r="F1554">
            <v>2</v>
          </cell>
          <cell r="H1554">
            <v>0</v>
          </cell>
          <cell r="O1554">
            <v>404588</v>
          </cell>
          <cell r="P1554" t="str">
            <v>2025/154-0028-01</v>
          </cell>
          <cell r="Q1554" t="str">
            <v>EST CHAISE BELLAGIO (ALU C29 | CORD V01)</v>
          </cell>
          <cell r="R1554"/>
          <cell r="S1554"/>
          <cell r="T1554">
            <v>1.7</v>
          </cell>
          <cell r="U1554">
            <v>0.7</v>
          </cell>
          <cell r="V1554">
            <v>0.66</v>
          </cell>
          <cell r="W1554">
            <v>0</v>
          </cell>
          <cell r="X1554" t="str">
            <v>EST CHAISE BELLAGIO (ALU C29 | CORD V01) - 1,7x0,7x0,66H</v>
          </cell>
          <cell r="Y1554">
            <v>14625.32</v>
          </cell>
          <cell r="Z1554">
            <v>0.35</v>
          </cell>
          <cell r="AA1554">
            <v>9506.4580000000005</v>
          </cell>
          <cell r="AB1554"/>
        </row>
        <row r="1555">
          <cell r="C1555">
            <v>0</v>
          </cell>
          <cell r="D1555">
            <v>0</v>
          </cell>
          <cell r="E1555">
            <v>0</v>
          </cell>
          <cell r="F1555">
            <v>2</v>
          </cell>
          <cell r="H1555">
            <v>0</v>
          </cell>
          <cell r="O1555">
            <v>404588</v>
          </cell>
          <cell r="P1555" t="str">
            <v>2025/154-0029-01</v>
          </cell>
          <cell r="Q1555" t="str">
            <v>EST CHAISE BELLAGIO (ALU C29 | CORD V01)</v>
          </cell>
          <cell r="R1555"/>
          <cell r="S1555"/>
          <cell r="T1555">
            <v>1.7</v>
          </cell>
          <cell r="U1555">
            <v>0.7</v>
          </cell>
          <cell r="V1555">
            <v>0.66</v>
          </cell>
          <cell r="W1555">
            <v>0</v>
          </cell>
          <cell r="X1555" t="str">
            <v>EST CHAISE BELLAGIO (ALU C29 | CORD V01) - 1,7x0,7x0,66H</v>
          </cell>
          <cell r="Y1555">
            <v>14625.32</v>
          </cell>
          <cell r="Z1555">
            <v>0.35</v>
          </cell>
          <cell r="AA1555">
            <v>9506.4580000000005</v>
          </cell>
          <cell r="AB1555"/>
        </row>
        <row r="1556">
          <cell r="C1556">
            <v>0</v>
          </cell>
          <cell r="D1556">
            <v>0</v>
          </cell>
          <cell r="E1556">
            <v>0</v>
          </cell>
          <cell r="F1556">
            <v>2</v>
          </cell>
          <cell r="H1556">
            <v>0</v>
          </cell>
          <cell r="O1556">
            <v>404590</v>
          </cell>
          <cell r="P1556" t="str">
            <v>2025/154-0033-01</v>
          </cell>
          <cell r="Q1556" t="str">
            <v>EST COMPONENTE ALMOFADA CHAISE BELLAGIO TC KEEPSAKE TAUPE</v>
          </cell>
          <cell r="R1556"/>
          <cell r="S1556"/>
          <cell r="T1556">
            <v>1.7</v>
          </cell>
          <cell r="U1556">
            <v>0.7</v>
          </cell>
          <cell r="V1556">
            <v>0.05</v>
          </cell>
          <cell r="W1556">
            <v>0</v>
          </cell>
          <cell r="X1556" t="str">
            <v>EST COMPONENTE ALMOFADA CHAISE BELLAGIO TC KEEPSAKE TAUPE - 1,7x0,7x0,05H</v>
          </cell>
          <cell r="Y1556">
            <v>8865.7227999999996</v>
          </cell>
          <cell r="Z1556">
            <v>0.35</v>
          </cell>
          <cell r="AA1556">
            <v>5762.7198200000003</v>
          </cell>
          <cell r="AB1556"/>
        </row>
        <row r="1557">
          <cell r="C1557">
            <v>0</v>
          </cell>
          <cell r="D1557">
            <v>0</v>
          </cell>
          <cell r="E1557">
            <v>0</v>
          </cell>
          <cell r="F1557">
            <v>2</v>
          </cell>
          <cell r="H1557">
            <v>0</v>
          </cell>
          <cell r="O1557">
            <v>404590</v>
          </cell>
          <cell r="P1557" t="str">
            <v>2025/154-0034-01</v>
          </cell>
          <cell r="Q1557" t="str">
            <v>EST COMPONENTE ALMOFADA CHAISE BELLAGIO TC KEEPSAKE TAUPE</v>
          </cell>
          <cell r="R1557"/>
          <cell r="S1557"/>
          <cell r="T1557">
            <v>1.7</v>
          </cell>
          <cell r="U1557">
            <v>0.7</v>
          </cell>
          <cell r="V1557">
            <v>0.05</v>
          </cell>
          <cell r="W1557">
            <v>0</v>
          </cell>
          <cell r="X1557" t="str">
            <v>EST COMPONENTE ALMOFADA CHAISE BELLAGIO TC KEEPSAKE TAUPE - 1,7x0,7x0,05H</v>
          </cell>
          <cell r="Y1557">
            <v>8865.7227999999996</v>
          </cell>
          <cell r="Z1557">
            <v>0.35</v>
          </cell>
          <cell r="AA1557">
            <v>5762.7198200000003</v>
          </cell>
          <cell r="AB1557"/>
        </row>
        <row r="1558">
          <cell r="C1558">
            <v>0</v>
          </cell>
          <cell r="D1558">
            <v>0</v>
          </cell>
          <cell r="E1558">
            <v>0</v>
          </cell>
          <cell r="F1558">
            <v>2</v>
          </cell>
          <cell r="H1558">
            <v>0</v>
          </cell>
          <cell r="O1558">
            <v>404593</v>
          </cell>
          <cell r="P1558" t="str">
            <v>2025/154-0041-01</v>
          </cell>
          <cell r="Q1558" t="str">
            <v>EST POLTRONA BELLAGIO (ALU C32 | CORD V07)</v>
          </cell>
          <cell r="R1558"/>
          <cell r="S1558"/>
          <cell r="T1558">
            <v>0.8</v>
          </cell>
          <cell r="U1558">
            <v>0.85</v>
          </cell>
          <cell r="V1558">
            <v>0.72</v>
          </cell>
          <cell r="W1558">
            <v>0</v>
          </cell>
          <cell r="X1558" t="str">
            <v>EST POLTRONA BELLAGIO (ALU C32 | CORD V07) - 0,8x0,85x0,72H</v>
          </cell>
          <cell r="Y1558">
            <v>10458.69</v>
          </cell>
          <cell r="Z1558">
            <v>0.35</v>
          </cell>
          <cell r="AA1558">
            <v>6798.1485000000011</v>
          </cell>
          <cell r="AB1558"/>
        </row>
        <row r="1559">
          <cell r="C1559">
            <v>0</v>
          </cell>
          <cell r="D1559">
            <v>0</v>
          </cell>
          <cell r="E1559">
            <v>0</v>
          </cell>
          <cell r="F1559">
            <v>2</v>
          </cell>
          <cell r="H1559">
            <v>0</v>
          </cell>
          <cell r="O1559">
            <v>404593</v>
          </cell>
          <cell r="P1559" t="str">
            <v>2025/154-0042-01</v>
          </cell>
          <cell r="Q1559" t="str">
            <v>EST POLTRONA BELLAGIO (ALU C32 | CORD V07)</v>
          </cell>
          <cell r="R1559"/>
          <cell r="S1559"/>
          <cell r="T1559">
            <v>0.8</v>
          </cell>
          <cell r="U1559">
            <v>0.85</v>
          </cell>
          <cell r="V1559">
            <v>0.72</v>
          </cell>
          <cell r="W1559">
            <v>0</v>
          </cell>
          <cell r="X1559" t="str">
            <v>EST POLTRONA BELLAGIO (ALU C32 | CORD V07) - 0,8x0,85x0,72H</v>
          </cell>
          <cell r="Y1559">
            <v>10458.69</v>
          </cell>
          <cell r="Z1559">
            <v>0.35</v>
          </cell>
          <cell r="AA1559">
            <v>6798.1485000000011</v>
          </cell>
          <cell r="AB1559"/>
        </row>
        <row r="1560">
          <cell r="C1560">
            <v>0</v>
          </cell>
          <cell r="D1560">
            <v>1</v>
          </cell>
          <cell r="E1560">
            <v>0</v>
          </cell>
          <cell r="F1560">
            <v>4</v>
          </cell>
          <cell r="H1560">
            <v>0</v>
          </cell>
          <cell r="O1560">
            <v>404597</v>
          </cell>
          <cell r="P1560" t="str">
            <v>2025/154-0061-01</v>
          </cell>
          <cell r="Q1560" t="str">
            <v>EST CADEIRA BELLAGIO (ALU C24 | CORD V01) TC KEEPSAKE SILVER</v>
          </cell>
          <cell r="R1560"/>
          <cell r="S1560"/>
          <cell r="T1560">
            <v>0.61</v>
          </cell>
          <cell r="U1560">
            <v>0.6</v>
          </cell>
          <cell r="V1560">
            <v>0.76</v>
          </cell>
          <cell r="W1560">
            <v>0</v>
          </cell>
          <cell r="X1560" t="str">
            <v>EST CADEIRA BELLAGIO (ALU C24 | CORD V01) TC KEEPSAKE SILVER - 0,61x0,6x0,76H</v>
          </cell>
          <cell r="Y1560">
            <v>9386.0164000000004</v>
          </cell>
          <cell r="Z1560">
            <v>0.35</v>
          </cell>
          <cell r="AA1560">
            <v>6100.9106600000005</v>
          </cell>
          <cell r="AB1560"/>
        </row>
        <row r="1561">
          <cell r="C1561">
            <v>0</v>
          </cell>
          <cell r="D1561">
            <v>1</v>
          </cell>
          <cell r="E1561">
            <v>0</v>
          </cell>
          <cell r="F1561">
            <v>4</v>
          </cell>
          <cell r="H1561">
            <v>0</v>
          </cell>
          <cell r="O1561">
            <v>404597</v>
          </cell>
          <cell r="P1561" t="str">
            <v>2025/154-0062-01</v>
          </cell>
          <cell r="Q1561" t="str">
            <v>EST CADEIRA BELLAGIO (ALU C24 | CORD V01) TC KEEPSAKE SILVER</v>
          </cell>
          <cell r="R1561"/>
          <cell r="S1561"/>
          <cell r="T1561">
            <v>0.61</v>
          </cell>
          <cell r="U1561">
            <v>0.6</v>
          </cell>
          <cell r="V1561">
            <v>0.76</v>
          </cell>
          <cell r="W1561">
            <v>0</v>
          </cell>
          <cell r="X1561" t="str">
            <v>EST CADEIRA BELLAGIO (ALU C24 | CORD V01) TC KEEPSAKE SILVER - 0,61x0,6x0,76H</v>
          </cell>
          <cell r="Y1561">
            <v>9386.0164000000004</v>
          </cell>
          <cell r="Z1561">
            <v>0.35</v>
          </cell>
          <cell r="AA1561">
            <v>6100.9106600000005</v>
          </cell>
          <cell r="AB1561"/>
        </row>
        <row r="1562">
          <cell r="C1562">
            <v>0</v>
          </cell>
          <cell r="D1562">
            <v>1</v>
          </cell>
          <cell r="E1562">
            <v>0</v>
          </cell>
          <cell r="F1562">
            <v>4</v>
          </cell>
          <cell r="H1562">
            <v>0</v>
          </cell>
          <cell r="O1562">
            <v>404597</v>
          </cell>
          <cell r="P1562" t="str">
            <v>2025/154-0063-01</v>
          </cell>
          <cell r="Q1562" t="str">
            <v>EST CADEIRA BELLAGIO (ALU C24 | CORD V01) TC KEEPSAKE SILVER</v>
          </cell>
          <cell r="R1562"/>
          <cell r="S1562"/>
          <cell r="T1562">
            <v>0.61</v>
          </cell>
          <cell r="U1562">
            <v>0.6</v>
          </cell>
          <cell r="V1562">
            <v>0.76</v>
          </cell>
          <cell r="W1562">
            <v>0</v>
          </cell>
          <cell r="X1562" t="str">
            <v>EST CADEIRA BELLAGIO (ALU C24 | CORD V01) TC KEEPSAKE SILVER - 0,61x0,6x0,76H</v>
          </cell>
          <cell r="Y1562">
            <v>9386.0164000000004</v>
          </cell>
          <cell r="Z1562">
            <v>0.35</v>
          </cell>
          <cell r="AA1562">
            <v>6100.9106600000005</v>
          </cell>
          <cell r="AB1562"/>
        </row>
        <row r="1563">
          <cell r="C1563">
            <v>0</v>
          </cell>
          <cell r="D1563">
            <v>1</v>
          </cell>
          <cell r="E1563">
            <v>0</v>
          </cell>
          <cell r="F1563">
            <v>4</v>
          </cell>
          <cell r="H1563">
            <v>0</v>
          </cell>
          <cell r="O1563">
            <v>404597</v>
          </cell>
          <cell r="P1563" t="str">
            <v>2025/154-0064-01</v>
          </cell>
          <cell r="Q1563" t="str">
            <v>EST CADEIRA BELLAGIO (ALU C24 | CORD V01) TC KEEPSAKE SILVER</v>
          </cell>
          <cell r="R1563"/>
          <cell r="S1563"/>
          <cell r="T1563">
            <v>0.61</v>
          </cell>
          <cell r="U1563">
            <v>0.6</v>
          </cell>
          <cell r="V1563">
            <v>0.76</v>
          </cell>
          <cell r="W1563">
            <v>0</v>
          </cell>
          <cell r="X1563" t="str">
            <v>EST CADEIRA BELLAGIO (ALU C24 | CORD V01) TC KEEPSAKE SILVER - 0,61x0,6x0,76H</v>
          </cell>
          <cell r="Y1563">
            <v>9386.0164000000004</v>
          </cell>
          <cell r="Z1563">
            <v>0.35</v>
          </cell>
          <cell r="AA1563">
            <v>6100.9106600000005</v>
          </cell>
          <cell r="AB1563"/>
        </row>
        <row r="1564">
          <cell r="C1564">
            <v>0</v>
          </cell>
          <cell r="D1564">
            <v>1</v>
          </cell>
          <cell r="E1564">
            <v>0</v>
          </cell>
          <cell r="F1564">
            <v>4</v>
          </cell>
          <cell r="H1564">
            <v>0</v>
          </cell>
          <cell r="O1564">
            <v>404597</v>
          </cell>
          <cell r="P1564" t="str">
            <v>2025/154-0059-01</v>
          </cell>
          <cell r="Q1564" t="str">
            <v>EST CADEIRA BELLAGIO (ALU C24 | CORD V01) TC KEEPSAKE SILVER</v>
          </cell>
          <cell r="R1564"/>
          <cell r="S1564"/>
          <cell r="T1564">
            <v>0.61</v>
          </cell>
          <cell r="U1564">
            <v>0.6</v>
          </cell>
          <cell r="V1564">
            <v>0.76</v>
          </cell>
          <cell r="W1564">
            <v>0</v>
          </cell>
          <cell r="X1564" t="str">
            <v>EST CADEIRA BELLAGIO (ALU C24 | CORD V01) TC KEEPSAKE SILVER - 0,61x0,6x0,76H</v>
          </cell>
          <cell r="Y1564">
            <v>9386.0164000000004</v>
          </cell>
          <cell r="Z1564">
            <v>0.35</v>
          </cell>
          <cell r="AA1564">
            <v>6100.9106600000005</v>
          </cell>
          <cell r="AB1564"/>
        </row>
        <row r="1565">
          <cell r="C1565">
            <v>0</v>
          </cell>
          <cell r="D1565">
            <v>1</v>
          </cell>
          <cell r="E1565">
            <v>0</v>
          </cell>
          <cell r="F1565">
            <v>4</v>
          </cell>
          <cell r="H1565">
            <v>0</v>
          </cell>
          <cell r="O1565">
            <v>404597</v>
          </cell>
          <cell r="P1565" t="str">
            <v>2025/154-0060-01</v>
          </cell>
          <cell r="Q1565" t="str">
            <v>EST CADEIRA BELLAGIO (ALU C24 | CORD V01) TC KEEPSAKE SILVER</v>
          </cell>
          <cell r="R1565"/>
          <cell r="S1565"/>
          <cell r="T1565">
            <v>0.61</v>
          </cell>
          <cell r="U1565">
            <v>0.6</v>
          </cell>
          <cell r="V1565">
            <v>0.76</v>
          </cell>
          <cell r="W1565">
            <v>0</v>
          </cell>
          <cell r="X1565" t="str">
            <v>EST CADEIRA BELLAGIO (ALU C24 | CORD V01) TC KEEPSAKE SILVER - 0,61x0,6x0,76H</v>
          </cell>
          <cell r="Y1565">
            <v>9386.0164000000004</v>
          </cell>
          <cell r="Z1565">
            <v>0.35</v>
          </cell>
          <cell r="AA1565">
            <v>6100.9106600000005</v>
          </cell>
          <cell r="AB1565"/>
        </row>
        <row r="1566">
          <cell r="C1566">
            <v>0</v>
          </cell>
          <cell r="D1566">
            <v>0</v>
          </cell>
          <cell r="E1566">
            <v>0</v>
          </cell>
          <cell r="F1566">
            <v>1</v>
          </cell>
          <cell r="H1566">
            <v>0</v>
          </cell>
          <cell r="O1566">
            <v>404600</v>
          </cell>
          <cell r="P1566" t="str">
            <v>2025/154-0011-01</v>
          </cell>
          <cell r="Q1566" t="str">
            <v>EST MESA JANTAR BELLAGIO (ALU C24 | CORD V01) C/FURO</v>
          </cell>
          <cell r="R1566"/>
          <cell r="S1566"/>
          <cell r="T1566">
            <v>1.8</v>
          </cell>
          <cell r="U1566">
            <v>0</v>
          </cell>
          <cell r="V1566">
            <v>0.75</v>
          </cell>
          <cell r="W1566">
            <v>1.8</v>
          </cell>
          <cell r="X1566" t="str">
            <v>EST MESA JANTAR BELLAGIO (ALU C24 | CORD V01) C/FURO - Ø1,8x0,75H</v>
          </cell>
          <cell r="Y1566">
            <v>41155.39</v>
          </cell>
          <cell r="Z1566">
            <v>0.35</v>
          </cell>
          <cell r="AA1566">
            <v>26751.003499999999</v>
          </cell>
          <cell r="AB1566"/>
        </row>
        <row r="1567">
          <cell r="C1567">
            <v>0</v>
          </cell>
          <cell r="D1567">
            <v>0</v>
          </cell>
          <cell r="E1567">
            <v>0</v>
          </cell>
          <cell r="F1567">
            <v>1</v>
          </cell>
          <cell r="H1567">
            <v>0</v>
          </cell>
          <cell r="O1567">
            <v>404603</v>
          </cell>
          <cell r="P1567" t="str">
            <v>2025/154-0014-01</v>
          </cell>
          <cell r="Q1567" t="str">
            <v>EST MESA LATERAL BELLAGIO (FORMICA TS CORDA) (ALU C29)</v>
          </cell>
          <cell r="R1567"/>
          <cell r="S1567"/>
          <cell r="T1567">
            <v>0.7</v>
          </cell>
          <cell r="U1567">
            <v>0</v>
          </cell>
          <cell r="V1567">
            <v>0.55000000000000004</v>
          </cell>
          <cell r="W1567">
            <v>0.7</v>
          </cell>
          <cell r="X1567" t="str">
            <v>EST MESA LATERAL BELLAGIO (FORMICA TS CORDA) (ALU C29) - Ø0,7x0,55H</v>
          </cell>
          <cell r="Y1567">
            <v>13365.45</v>
          </cell>
          <cell r="Z1567">
            <v>0.35</v>
          </cell>
          <cell r="AA1567">
            <v>8687.5424999999996</v>
          </cell>
          <cell r="AB1567"/>
        </row>
        <row r="1568">
          <cell r="C1568">
            <v>0</v>
          </cell>
          <cell r="D1568">
            <v>0</v>
          </cell>
          <cell r="E1568">
            <v>0</v>
          </cell>
          <cell r="F1568">
            <v>1</v>
          </cell>
          <cell r="H1568">
            <v>0</v>
          </cell>
          <cell r="O1568">
            <v>404608</v>
          </cell>
          <cell r="P1568" t="str">
            <v>2025/154-0016-01</v>
          </cell>
          <cell r="Q1568" t="str">
            <v>EST MESA LATERAL BELLAGIO (ALU C32)</v>
          </cell>
          <cell r="R1568"/>
          <cell r="S1568"/>
          <cell r="T1568">
            <v>0.7</v>
          </cell>
          <cell r="U1568">
            <v>0</v>
          </cell>
          <cell r="V1568">
            <v>0.55000000000000004</v>
          </cell>
          <cell r="W1568">
            <v>0.7</v>
          </cell>
          <cell r="X1568" t="str">
            <v>EST MESA LATERAL BELLAGIO (ALU C32) - Ø0,7x0,55H</v>
          </cell>
          <cell r="Y1568">
            <v>10168.44</v>
          </cell>
          <cell r="Z1568">
            <v>0.35</v>
          </cell>
          <cell r="AA1568">
            <v>6609.4860000000008</v>
          </cell>
          <cell r="AB1568"/>
        </row>
        <row r="1569">
          <cell r="C1569">
            <v>0</v>
          </cell>
          <cell r="D1569">
            <v>0</v>
          </cell>
          <cell r="E1569">
            <v>0</v>
          </cell>
          <cell r="F1569">
            <v>2</v>
          </cell>
          <cell r="H1569">
            <v>0</v>
          </cell>
          <cell r="O1569">
            <v>405887</v>
          </cell>
          <cell r="P1569" t="str">
            <v>2025/189-0004-01</v>
          </cell>
          <cell r="Q1569" t="str">
            <v>EST MESA CENTRO SOLEIL (MARMORE NUVOLATO) (LAMINA NOGUEIRA)</v>
          </cell>
          <cell r="R1569"/>
          <cell r="S1569"/>
          <cell r="T1569">
            <v>1</v>
          </cell>
          <cell r="U1569">
            <v>1</v>
          </cell>
          <cell r="V1569">
            <v>0.3</v>
          </cell>
          <cell r="W1569">
            <v>0</v>
          </cell>
          <cell r="X1569" t="str">
            <v>EST MESA CENTRO SOLEIL (MARMORE NUVOLATO) (LAMINA NOGUEIRA) - 1x1x0,3H</v>
          </cell>
          <cell r="Y1569">
            <v>39425.660000000003</v>
          </cell>
          <cell r="Z1569">
            <v>0.35</v>
          </cell>
          <cell r="AA1569">
            <v>25626.679000000004</v>
          </cell>
          <cell r="AB1569"/>
        </row>
        <row r="1570">
          <cell r="C1570">
            <v>0</v>
          </cell>
          <cell r="D1570">
            <v>0</v>
          </cell>
          <cell r="E1570">
            <v>0</v>
          </cell>
          <cell r="F1570">
            <v>2</v>
          </cell>
          <cell r="H1570">
            <v>0</v>
          </cell>
          <cell r="O1570">
            <v>405887</v>
          </cell>
          <cell r="P1570" t="str">
            <v>2025/189-0005-01</v>
          </cell>
          <cell r="Q1570" t="str">
            <v>EST MESA CENTRO SOLEIL (MARMORE NUVOLATO) (LAMINA NOGUEIRA)</v>
          </cell>
          <cell r="R1570"/>
          <cell r="S1570"/>
          <cell r="T1570">
            <v>1</v>
          </cell>
          <cell r="U1570">
            <v>1</v>
          </cell>
          <cell r="V1570">
            <v>0.3</v>
          </cell>
          <cell r="W1570">
            <v>0</v>
          </cell>
          <cell r="X1570" t="str">
            <v>EST MESA CENTRO SOLEIL (MARMORE NUVOLATO) (LAMINA NOGUEIRA) - 1x1x0,3H</v>
          </cell>
          <cell r="Y1570">
            <v>39425.660000000003</v>
          </cell>
          <cell r="Z1570">
            <v>0.35</v>
          </cell>
          <cell r="AA1570">
            <v>25626.679000000004</v>
          </cell>
          <cell r="AB1570"/>
        </row>
        <row r="1571">
          <cell r="C1571">
            <v>0</v>
          </cell>
          <cell r="D1571">
            <v>0</v>
          </cell>
          <cell r="E1571">
            <v>0</v>
          </cell>
          <cell r="F1571">
            <v>1</v>
          </cell>
          <cell r="H1571">
            <v>0</v>
          </cell>
          <cell r="O1571">
            <v>407191</v>
          </cell>
          <cell r="P1571" t="str">
            <v>2025/255-0027-01</v>
          </cell>
          <cell r="Q1571" t="str">
            <v>EST SOFA MAURO C/BC ESTOF C/MESA (TING NOG) TC CRAFTED GLAZE</v>
          </cell>
          <cell r="R1571"/>
          <cell r="S1571"/>
          <cell r="T1571">
            <v>2.8</v>
          </cell>
          <cell r="U1571">
            <v>1.02</v>
          </cell>
          <cell r="V1571">
            <v>0.78</v>
          </cell>
          <cell r="W1571">
            <v>0</v>
          </cell>
          <cell r="X1571" t="str">
            <v>EST SOFA MAURO C/BC ESTOF C/MESA (TING NOG) TC CRAFTED GLAZE - 2,8x1,02x0,78H</v>
          </cell>
          <cell r="Y1571">
            <v>93433.27</v>
          </cell>
          <cell r="Z1571">
            <v>0.35</v>
          </cell>
          <cell r="AA1571">
            <v>60731.625500000009</v>
          </cell>
          <cell r="AB1571"/>
        </row>
        <row r="1572">
          <cell r="C1572">
            <v>0</v>
          </cell>
          <cell r="D1572">
            <v>0</v>
          </cell>
          <cell r="E1572">
            <v>0</v>
          </cell>
          <cell r="F1572">
            <v>4</v>
          </cell>
          <cell r="H1572">
            <v>0</v>
          </cell>
          <cell r="O1572">
            <v>410043</v>
          </cell>
          <cell r="P1572" t="str">
            <v>2025/258-0101-01</v>
          </cell>
          <cell r="Q1572" t="str">
            <v>EST CAPA POLTRONA BELLAGIO</v>
          </cell>
          <cell r="R1572"/>
          <cell r="S1572"/>
          <cell r="T1572">
            <v>0.8</v>
          </cell>
          <cell r="U1572">
            <v>0.85</v>
          </cell>
          <cell r="V1572">
            <v>0.72</v>
          </cell>
          <cell r="W1572">
            <v>0</v>
          </cell>
          <cell r="X1572" t="str">
            <v>EST CAPA POLTRONA BELLAGIO - 0,8x0,85x0,72H</v>
          </cell>
          <cell r="Y1572">
            <v>1903.78</v>
          </cell>
          <cell r="Z1572">
            <v>0.35</v>
          </cell>
          <cell r="AA1572">
            <v>1237.4569999999999</v>
          </cell>
          <cell r="AB1572"/>
        </row>
        <row r="1573">
          <cell r="C1573">
            <v>0</v>
          </cell>
          <cell r="D1573">
            <v>0</v>
          </cell>
          <cell r="E1573">
            <v>0</v>
          </cell>
          <cell r="F1573">
            <v>4</v>
          </cell>
          <cell r="H1573">
            <v>0</v>
          </cell>
          <cell r="O1573">
            <v>410043</v>
          </cell>
          <cell r="P1573" t="str">
            <v>2025/258-0102-01</v>
          </cell>
          <cell r="Q1573" t="str">
            <v>EST CAPA POLTRONA BELLAGIO</v>
          </cell>
          <cell r="R1573"/>
          <cell r="S1573"/>
          <cell r="T1573">
            <v>0.8</v>
          </cell>
          <cell r="U1573">
            <v>0.85</v>
          </cell>
          <cell r="V1573">
            <v>0.72</v>
          </cell>
          <cell r="W1573">
            <v>0</v>
          </cell>
          <cell r="X1573" t="str">
            <v>EST CAPA POLTRONA BELLAGIO - 0,8x0,85x0,72H</v>
          </cell>
          <cell r="Y1573">
            <v>1903.78</v>
          </cell>
          <cell r="Z1573">
            <v>0.35</v>
          </cell>
          <cell r="AA1573">
            <v>1237.4569999999999</v>
          </cell>
          <cell r="AB1573"/>
        </row>
        <row r="1574">
          <cell r="C1574">
            <v>0</v>
          </cell>
          <cell r="D1574">
            <v>0</v>
          </cell>
          <cell r="E1574">
            <v>0</v>
          </cell>
          <cell r="F1574">
            <v>4</v>
          </cell>
          <cell r="H1574">
            <v>0</v>
          </cell>
          <cell r="O1574">
            <v>410043</v>
          </cell>
          <cell r="P1574" t="str">
            <v>2025/258-0103-01</v>
          </cell>
          <cell r="Q1574" t="str">
            <v>EST CAPA POLTRONA BELLAGIO</v>
          </cell>
          <cell r="R1574"/>
          <cell r="S1574"/>
          <cell r="T1574">
            <v>0.8</v>
          </cell>
          <cell r="U1574">
            <v>0.85</v>
          </cell>
          <cell r="V1574">
            <v>0.72</v>
          </cell>
          <cell r="W1574">
            <v>0</v>
          </cell>
          <cell r="X1574" t="str">
            <v>EST CAPA POLTRONA BELLAGIO - 0,8x0,85x0,72H</v>
          </cell>
          <cell r="Y1574">
            <v>1903.78</v>
          </cell>
          <cell r="Z1574">
            <v>0.35</v>
          </cell>
          <cell r="AA1574">
            <v>1237.4569999999999</v>
          </cell>
          <cell r="AB1574"/>
        </row>
        <row r="1575">
          <cell r="C1575">
            <v>0</v>
          </cell>
          <cell r="D1575">
            <v>0</v>
          </cell>
          <cell r="E1575">
            <v>0</v>
          </cell>
          <cell r="F1575">
            <v>4</v>
          </cell>
          <cell r="H1575">
            <v>0</v>
          </cell>
          <cell r="O1575">
            <v>410043</v>
          </cell>
          <cell r="P1575" t="str">
            <v>2025/258-0104-01</v>
          </cell>
          <cell r="Q1575" t="str">
            <v>EST CAPA POLTRONA BELLAGIO</v>
          </cell>
          <cell r="R1575"/>
          <cell r="S1575"/>
          <cell r="T1575">
            <v>0.8</v>
          </cell>
          <cell r="U1575">
            <v>0.85</v>
          </cell>
          <cell r="V1575">
            <v>0.72</v>
          </cell>
          <cell r="W1575">
            <v>0</v>
          </cell>
          <cell r="X1575" t="str">
            <v>EST CAPA POLTRONA BELLAGIO - 0,8x0,85x0,72H</v>
          </cell>
          <cell r="Y1575">
            <v>1903.78</v>
          </cell>
          <cell r="Z1575">
            <v>0.35</v>
          </cell>
          <cell r="AA1575">
            <v>1237.4569999999999</v>
          </cell>
          <cell r="AB1575"/>
        </row>
        <row r="1576">
          <cell r="C1576">
            <v>0</v>
          </cell>
          <cell r="D1576">
            <v>0</v>
          </cell>
          <cell r="E1576">
            <v>0</v>
          </cell>
          <cell r="F1576">
            <v>6</v>
          </cell>
          <cell r="H1576">
            <v>0</v>
          </cell>
          <cell r="O1576">
            <v>410046</v>
          </cell>
          <cell r="P1576" t="str">
            <v>2025/258-0105-01</v>
          </cell>
          <cell r="Q1576" t="str">
            <v>EST CAPA CADEIRA BELLAGIO</v>
          </cell>
          <cell r="R1576"/>
          <cell r="S1576"/>
          <cell r="T1576">
            <v>0.61</v>
          </cell>
          <cell r="U1576">
            <v>0.6</v>
          </cell>
          <cell r="V1576">
            <v>0.76</v>
          </cell>
          <cell r="W1576">
            <v>0</v>
          </cell>
          <cell r="X1576" t="str">
            <v>EST CAPA CADEIRA BELLAGIO - 0,61x0,6x0,76H</v>
          </cell>
          <cell r="Y1576">
            <v>1966</v>
          </cell>
          <cell r="Z1576">
            <v>0.35</v>
          </cell>
          <cell r="AA1576">
            <v>1277.9000000000001</v>
          </cell>
          <cell r="AB1576"/>
        </row>
        <row r="1577">
          <cell r="C1577">
            <v>0</v>
          </cell>
          <cell r="D1577">
            <v>0</v>
          </cell>
          <cell r="E1577">
            <v>0</v>
          </cell>
          <cell r="F1577">
            <v>6</v>
          </cell>
          <cell r="H1577">
            <v>0</v>
          </cell>
          <cell r="O1577">
            <v>410046</v>
          </cell>
          <cell r="P1577" t="str">
            <v>2025/258-0106-01</v>
          </cell>
          <cell r="Q1577" t="str">
            <v>EST CAPA CADEIRA BELLAGIO</v>
          </cell>
          <cell r="R1577"/>
          <cell r="S1577"/>
          <cell r="T1577">
            <v>0.61</v>
          </cell>
          <cell r="U1577">
            <v>0.6</v>
          </cell>
          <cell r="V1577">
            <v>0.76</v>
          </cell>
          <cell r="W1577">
            <v>0</v>
          </cell>
          <cell r="X1577" t="str">
            <v>EST CAPA CADEIRA BELLAGIO - 0,61x0,6x0,76H</v>
          </cell>
          <cell r="Y1577">
            <v>1966</v>
          </cell>
          <cell r="Z1577">
            <v>0.35</v>
          </cell>
          <cell r="AA1577">
            <v>1277.9000000000001</v>
          </cell>
          <cell r="AB1577"/>
        </row>
        <row r="1578">
          <cell r="C1578">
            <v>0</v>
          </cell>
          <cell r="D1578">
            <v>0</v>
          </cell>
          <cell r="E1578">
            <v>0</v>
          </cell>
          <cell r="F1578">
            <v>6</v>
          </cell>
          <cell r="H1578">
            <v>0</v>
          </cell>
          <cell r="O1578">
            <v>410046</v>
          </cell>
          <cell r="P1578" t="str">
            <v>2025/258-0107-01</v>
          </cell>
          <cell r="Q1578" t="str">
            <v>EST CAPA CADEIRA BELLAGIO</v>
          </cell>
          <cell r="R1578"/>
          <cell r="S1578"/>
          <cell r="T1578">
            <v>0.61</v>
          </cell>
          <cell r="U1578">
            <v>0.6</v>
          </cell>
          <cell r="V1578">
            <v>0.76</v>
          </cell>
          <cell r="W1578">
            <v>0</v>
          </cell>
          <cell r="X1578" t="str">
            <v>EST CAPA CADEIRA BELLAGIO - 0,61x0,6x0,76H</v>
          </cell>
          <cell r="Y1578">
            <v>1966</v>
          </cell>
          <cell r="Z1578">
            <v>0.35</v>
          </cell>
          <cell r="AA1578">
            <v>1277.9000000000001</v>
          </cell>
          <cell r="AB1578"/>
        </row>
        <row r="1579">
          <cell r="C1579">
            <v>0</v>
          </cell>
          <cell r="D1579">
            <v>0</v>
          </cell>
          <cell r="E1579">
            <v>0</v>
          </cell>
          <cell r="F1579">
            <v>6</v>
          </cell>
          <cell r="H1579">
            <v>0</v>
          </cell>
          <cell r="O1579">
            <v>410046</v>
          </cell>
          <cell r="P1579" t="str">
            <v>2025/258-0108-01</v>
          </cell>
          <cell r="Q1579" t="str">
            <v>EST CAPA CADEIRA BELLAGIO</v>
          </cell>
          <cell r="R1579"/>
          <cell r="S1579"/>
          <cell r="T1579">
            <v>0.61</v>
          </cell>
          <cell r="U1579">
            <v>0.6</v>
          </cell>
          <cell r="V1579">
            <v>0.76</v>
          </cell>
          <cell r="W1579">
            <v>0</v>
          </cell>
          <cell r="X1579" t="str">
            <v>EST CAPA CADEIRA BELLAGIO - 0,61x0,6x0,76H</v>
          </cell>
          <cell r="Y1579">
            <v>1966</v>
          </cell>
          <cell r="Z1579">
            <v>0.35</v>
          </cell>
          <cell r="AA1579">
            <v>1277.9000000000001</v>
          </cell>
          <cell r="AB1579"/>
        </row>
        <row r="1580">
          <cell r="C1580">
            <v>0</v>
          </cell>
          <cell r="D1580">
            <v>0</v>
          </cell>
          <cell r="E1580">
            <v>0</v>
          </cell>
          <cell r="F1580">
            <v>6</v>
          </cell>
          <cell r="H1580">
            <v>0</v>
          </cell>
          <cell r="O1580">
            <v>410046</v>
          </cell>
          <cell r="P1580" t="str">
            <v>2025/258-0109-01</v>
          </cell>
          <cell r="Q1580" t="str">
            <v>EST CAPA CADEIRA BELLAGIO</v>
          </cell>
          <cell r="R1580"/>
          <cell r="S1580"/>
          <cell r="T1580">
            <v>0.61</v>
          </cell>
          <cell r="U1580">
            <v>0.6</v>
          </cell>
          <cell r="V1580">
            <v>0.76</v>
          </cell>
          <cell r="W1580">
            <v>0</v>
          </cell>
          <cell r="X1580" t="str">
            <v>EST CAPA CADEIRA BELLAGIO - 0,61x0,6x0,76H</v>
          </cell>
          <cell r="Y1580">
            <v>1966</v>
          </cell>
          <cell r="Z1580">
            <v>0.35</v>
          </cell>
          <cell r="AA1580">
            <v>1277.9000000000001</v>
          </cell>
          <cell r="AB1580"/>
        </row>
        <row r="1581">
          <cell r="C1581">
            <v>0</v>
          </cell>
          <cell r="D1581">
            <v>0</v>
          </cell>
          <cell r="E1581">
            <v>0</v>
          </cell>
          <cell r="F1581">
            <v>6</v>
          </cell>
          <cell r="H1581">
            <v>0</v>
          </cell>
          <cell r="O1581">
            <v>410046</v>
          </cell>
          <cell r="P1581" t="str">
            <v>2025/258-0110-01</v>
          </cell>
          <cell r="Q1581" t="str">
            <v>EST CAPA CADEIRA BELLAGIO</v>
          </cell>
          <cell r="R1581"/>
          <cell r="S1581"/>
          <cell r="T1581">
            <v>0.61</v>
          </cell>
          <cell r="U1581">
            <v>0.6</v>
          </cell>
          <cell r="V1581">
            <v>0.76</v>
          </cell>
          <cell r="W1581">
            <v>0</v>
          </cell>
          <cell r="X1581" t="str">
            <v>EST CAPA CADEIRA BELLAGIO - 0,61x0,6x0,76H</v>
          </cell>
          <cell r="Y1581">
            <v>1966</v>
          </cell>
          <cell r="Z1581">
            <v>0.35</v>
          </cell>
          <cell r="AA1581">
            <v>1277.9000000000001</v>
          </cell>
          <cell r="AB1581"/>
        </row>
        <row r="1582">
          <cell r="C1582">
            <v>0</v>
          </cell>
          <cell r="D1582">
            <v>0</v>
          </cell>
          <cell r="E1582">
            <v>0</v>
          </cell>
          <cell r="F1582">
            <v>1</v>
          </cell>
          <cell r="H1582">
            <v>0</v>
          </cell>
          <cell r="O1582">
            <v>410047</v>
          </cell>
          <cell r="P1582" t="str">
            <v>2025/258-0111-01</v>
          </cell>
          <cell r="Q1582" t="str">
            <v>EST CAPA MESA CENTRO BELLAGIO</v>
          </cell>
          <cell r="R1582"/>
          <cell r="S1582"/>
          <cell r="T1582">
            <v>1.2</v>
          </cell>
          <cell r="U1582">
            <v>0</v>
          </cell>
          <cell r="V1582">
            <v>0.35</v>
          </cell>
          <cell r="W1582">
            <v>1.2</v>
          </cell>
          <cell r="X1582" t="str">
            <v>EST CAPA MESA CENTRO BELLAGIO - Ø1,2x0,35H</v>
          </cell>
          <cell r="Y1582">
            <v>1574.45</v>
          </cell>
          <cell r="Z1582">
            <v>0.35</v>
          </cell>
          <cell r="AA1582">
            <v>1023.3925</v>
          </cell>
          <cell r="AB1582"/>
        </row>
        <row r="1583">
          <cell r="C1583">
            <v>0</v>
          </cell>
          <cell r="D1583">
            <v>0</v>
          </cell>
          <cell r="E1583">
            <v>0</v>
          </cell>
          <cell r="F1583">
            <v>1</v>
          </cell>
          <cell r="H1583">
            <v>0</v>
          </cell>
          <cell r="O1583">
            <v>410049</v>
          </cell>
          <cell r="P1583" t="str">
            <v>2025/258-0112-01</v>
          </cell>
          <cell r="Q1583" t="str">
            <v>EST CAPA MESA LATERAL BELLAGIO</v>
          </cell>
          <cell r="R1583"/>
          <cell r="S1583"/>
          <cell r="T1583">
            <v>0.5</v>
          </cell>
          <cell r="U1583">
            <v>0</v>
          </cell>
          <cell r="V1583">
            <v>0.35</v>
          </cell>
          <cell r="W1583">
            <v>0.5</v>
          </cell>
          <cell r="X1583" t="str">
            <v>EST CAPA MESA LATERAL BELLAGIO - Ø0,5x0,35H</v>
          </cell>
          <cell r="Y1583">
            <v>757.93</v>
          </cell>
          <cell r="Z1583">
            <v>0.35</v>
          </cell>
          <cell r="AA1583">
            <v>492.65449999999998</v>
          </cell>
          <cell r="AB1583"/>
        </row>
        <row r="1584">
          <cell r="C1584">
            <v>0</v>
          </cell>
          <cell r="D1584">
            <v>0</v>
          </cell>
          <cell r="E1584">
            <v>0</v>
          </cell>
          <cell r="F1584">
            <v>2</v>
          </cell>
          <cell r="H1584">
            <v>0</v>
          </cell>
          <cell r="O1584">
            <v>410050</v>
          </cell>
          <cell r="P1584" t="str">
            <v>2025/258-0113-01</v>
          </cell>
          <cell r="Q1584" t="str">
            <v>EST CAPA MESA LATERAL BELLAGIO</v>
          </cell>
          <cell r="R1584"/>
          <cell r="S1584"/>
          <cell r="T1584">
            <v>0.7</v>
          </cell>
          <cell r="U1584">
            <v>0</v>
          </cell>
          <cell r="V1584">
            <v>0.55000000000000004</v>
          </cell>
          <cell r="W1584">
            <v>0.7</v>
          </cell>
          <cell r="X1584" t="str">
            <v>EST CAPA MESA LATERAL BELLAGIO - Ø0,7x0,55H</v>
          </cell>
          <cell r="Y1584">
            <v>1301.17</v>
          </cell>
          <cell r="Z1584">
            <v>0.35</v>
          </cell>
          <cell r="AA1584">
            <v>845.76050000000009</v>
          </cell>
          <cell r="AB1584"/>
        </row>
        <row r="1585">
          <cell r="C1585">
            <v>0</v>
          </cell>
          <cell r="D1585">
            <v>0</v>
          </cell>
          <cell r="E1585">
            <v>0</v>
          </cell>
          <cell r="F1585">
            <v>2</v>
          </cell>
          <cell r="H1585">
            <v>0</v>
          </cell>
          <cell r="O1585">
            <v>410050</v>
          </cell>
          <cell r="P1585" t="str">
            <v>2025/258-0114-01</v>
          </cell>
          <cell r="Q1585" t="str">
            <v>EST CAPA MESA LATERAL BELLAGIO</v>
          </cell>
          <cell r="R1585"/>
          <cell r="S1585"/>
          <cell r="T1585">
            <v>0.7</v>
          </cell>
          <cell r="U1585">
            <v>0</v>
          </cell>
          <cell r="V1585">
            <v>0.55000000000000004</v>
          </cell>
          <cell r="W1585">
            <v>0.7</v>
          </cell>
          <cell r="X1585" t="str">
            <v>EST CAPA MESA LATERAL BELLAGIO - Ø0,7x0,55H</v>
          </cell>
          <cell r="Y1585">
            <v>1301.17</v>
          </cell>
          <cell r="Z1585">
            <v>0.35</v>
          </cell>
          <cell r="AA1585">
            <v>845.76050000000009</v>
          </cell>
          <cell r="AB1585"/>
        </row>
        <row r="1586">
          <cell r="C1586">
            <v>0</v>
          </cell>
          <cell r="D1586">
            <v>0</v>
          </cell>
          <cell r="E1586">
            <v>0</v>
          </cell>
          <cell r="F1586">
            <v>1</v>
          </cell>
          <cell r="H1586">
            <v>0</v>
          </cell>
          <cell r="O1586">
            <v>405107</v>
          </cell>
          <cell r="P1586" t="str">
            <v>2025/213-0053-01</v>
          </cell>
          <cell r="Q1586" t="str">
            <v>EST POLTRONA FLORIPA (MTX CAFE) COURO FIRENZE ENGLISH PUB</v>
          </cell>
          <cell r="R1586"/>
          <cell r="S1586"/>
          <cell r="T1586">
            <v>0.71</v>
          </cell>
          <cell r="U1586">
            <v>0.84</v>
          </cell>
          <cell r="V1586">
            <v>0.89</v>
          </cell>
          <cell r="W1586">
            <v>0</v>
          </cell>
          <cell r="X1586" t="str">
            <v>EST POLTRONA FLORIPA (MTX CAFE) COURO FIRENZE ENGLISH PUB - 0,71x0,84x0,89H</v>
          </cell>
          <cell r="Y1586">
            <v>19442.66</v>
          </cell>
          <cell r="Z1586">
            <v>0.35</v>
          </cell>
          <cell r="AA1586">
            <v>12637.728999999999</v>
          </cell>
          <cell r="AB1586"/>
        </row>
        <row r="1587">
          <cell r="C1587">
            <v>0</v>
          </cell>
          <cell r="D1587">
            <v>0</v>
          </cell>
          <cell r="E1587">
            <v>0</v>
          </cell>
          <cell r="F1587">
            <v>1</v>
          </cell>
          <cell r="H1587">
            <v>0</v>
          </cell>
          <cell r="O1587">
            <v>405108</v>
          </cell>
          <cell r="P1587" t="str">
            <v>2025/213-0054-01</v>
          </cell>
          <cell r="Q1587" t="str">
            <v>EST BANQUETA FLORIPA (MTX CAFE) COURO FIRENZE ENGLISH PUB</v>
          </cell>
          <cell r="R1587"/>
          <cell r="S1587"/>
          <cell r="T1587">
            <v>0.6</v>
          </cell>
          <cell r="U1587">
            <v>0.6</v>
          </cell>
          <cell r="V1587">
            <v>0.4</v>
          </cell>
          <cell r="W1587">
            <v>0</v>
          </cell>
          <cell r="X1587" t="str">
            <v>EST BANQUETA FLORIPA (MTX CAFE) COURO FIRENZE ENGLISH PUB - 0,6x0,6x0,4H</v>
          </cell>
          <cell r="Y1587">
            <v>12491.54</v>
          </cell>
          <cell r="Z1587">
            <v>0.35</v>
          </cell>
          <cell r="AA1587">
            <v>8119.5010000000011</v>
          </cell>
          <cell r="AB1587"/>
        </row>
        <row r="1588">
          <cell r="C1588">
            <v>0</v>
          </cell>
          <cell r="D1588">
            <v>0</v>
          </cell>
          <cell r="E1588">
            <v>1</v>
          </cell>
          <cell r="F1588">
            <v>2</v>
          </cell>
          <cell r="H1588">
            <v>1</v>
          </cell>
          <cell r="O1588">
            <v>404594</v>
          </cell>
          <cell r="P1588" t="str">
            <v>2025/154-0045-01</v>
          </cell>
          <cell r="Q1588" t="str">
            <v>EST COMPONENTE ALMOFADA POLTRONA BELLAGIO TC KEEPSAKE TAUPE</v>
          </cell>
          <cell r="R1588"/>
          <cell r="S1588"/>
          <cell r="T1588">
            <v>0.8</v>
          </cell>
          <cell r="U1588">
            <v>0.85</v>
          </cell>
          <cell r="V1588">
            <v>0.05</v>
          </cell>
          <cell r="W1588">
            <v>0</v>
          </cell>
          <cell r="X1588" t="str">
            <v>EST COMPONENTE ALMOFADA POLTRONA BELLAGIO TC KEEPSAKE TAUPE - 0,8x0,85x0,05H</v>
          </cell>
          <cell r="Y1588">
            <v>6064.2404999999999</v>
          </cell>
          <cell r="Z1588">
            <v>0.35</v>
          </cell>
          <cell r="AA1588">
            <v>3941.7563249999998</v>
          </cell>
          <cell r="AB1588"/>
        </row>
        <row r="1589">
          <cell r="C1589">
            <v>0</v>
          </cell>
          <cell r="D1589">
            <v>0</v>
          </cell>
          <cell r="E1589">
            <v>1</v>
          </cell>
          <cell r="F1589">
            <v>2</v>
          </cell>
          <cell r="H1589">
            <v>1</v>
          </cell>
          <cell r="O1589">
            <v>404594</v>
          </cell>
          <cell r="P1589" t="str">
            <v>2025/154-0046-01</v>
          </cell>
          <cell r="Q1589" t="str">
            <v>EST COMPONENTE ALMOFADA POLTRONA BELLAGIO TC KEEPSAKE TAUPE</v>
          </cell>
          <cell r="R1589"/>
          <cell r="S1589"/>
          <cell r="T1589">
            <v>0.8</v>
          </cell>
          <cell r="U1589">
            <v>0.85</v>
          </cell>
          <cell r="V1589">
            <v>0.05</v>
          </cell>
          <cell r="W1589">
            <v>0</v>
          </cell>
          <cell r="X1589" t="str">
            <v>EST COMPONENTE ALMOFADA POLTRONA BELLAGIO TC KEEPSAKE TAUPE - 0,8x0,85x0,05H</v>
          </cell>
          <cell r="Y1589">
            <v>6064.2404999999999</v>
          </cell>
          <cell r="Z1589">
            <v>0.35</v>
          </cell>
          <cell r="AA1589">
            <v>3941.7563249999998</v>
          </cell>
          <cell r="AB1589"/>
        </row>
        <row r="1590">
          <cell r="C1590">
            <v>0</v>
          </cell>
          <cell r="D1590">
            <v>0</v>
          </cell>
          <cell r="E1590">
            <v>0</v>
          </cell>
          <cell r="F1590">
            <v>1</v>
          </cell>
          <cell r="H1590">
            <v>0</v>
          </cell>
          <cell r="O1590">
            <v>404610</v>
          </cell>
          <cell r="P1590" t="str">
            <v>2025/154-0019-01</v>
          </cell>
          <cell r="Q1590" t="str">
            <v>EST MESA LATERAL BELLAGIO (FORMICA TS CORDA) (ALU C29)</v>
          </cell>
          <cell r="R1590"/>
          <cell r="S1590"/>
          <cell r="T1590">
            <v>0.5</v>
          </cell>
          <cell r="U1590">
            <v>0</v>
          </cell>
          <cell r="V1590">
            <v>0.45</v>
          </cell>
          <cell r="W1590">
            <v>0.5</v>
          </cell>
          <cell r="X1590" t="str">
            <v>EST MESA LATERAL BELLAGIO (FORMICA TS CORDA) (ALU C29) - Ø0,5x0,45H</v>
          </cell>
          <cell r="Y1590">
            <v>8226.94</v>
          </cell>
          <cell r="Z1590">
            <v>0.35</v>
          </cell>
          <cell r="AA1590">
            <v>5347.5110000000004</v>
          </cell>
          <cell r="AB1590"/>
        </row>
        <row r="1591">
          <cell r="C1591">
            <v>0</v>
          </cell>
          <cell r="D1591">
            <v>0</v>
          </cell>
          <cell r="E1591">
            <v>0</v>
          </cell>
          <cell r="F1591">
            <v>0</v>
          </cell>
          <cell r="H1591">
            <v>1</v>
          </cell>
          <cell r="O1591">
            <v>278070</v>
          </cell>
          <cell r="P1591" t="str">
            <v>2021/182-0042-01</v>
          </cell>
          <cell r="Q1591" t="str">
            <v>EST MESA LATERAL PIN (NATURE MATT) (DET PINT CORTEN)</v>
          </cell>
          <cell r="R1591"/>
          <cell r="S1591"/>
          <cell r="T1591">
            <v>0.35</v>
          </cell>
          <cell r="U1591">
            <v>0</v>
          </cell>
          <cell r="V1591">
            <v>0.52</v>
          </cell>
          <cell r="W1591">
            <v>0.35</v>
          </cell>
          <cell r="X1591" t="str">
            <v>EST MESA LATERAL PIN (NATURE MATT) (DET PINT CORTEN) - Ø0,35x0,52H</v>
          </cell>
          <cell r="Y1591">
            <v>5384.51</v>
          </cell>
          <cell r="Z1591">
            <v>0.35</v>
          </cell>
          <cell r="AA1591">
            <v>3499.9315000000006</v>
          </cell>
          <cell r="AB1591"/>
        </row>
        <row r="1592">
          <cell r="C1592">
            <v>0</v>
          </cell>
          <cell r="D1592">
            <v>0</v>
          </cell>
          <cell r="E1592">
            <v>1</v>
          </cell>
          <cell r="F1592">
            <v>0</v>
          </cell>
          <cell r="H1592">
            <v>0</v>
          </cell>
          <cell r="O1592">
            <v>330689</v>
          </cell>
          <cell r="P1592" t="str">
            <v>2022/221-0065-01</v>
          </cell>
          <cell r="Q1592" t="str">
            <v>EST POLTRONA MAY (BRACO MAD) (BOU STELLA 225) (TING AMENDOA)</v>
          </cell>
          <cell r="R1592"/>
          <cell r="S1592"/>
          <cell r="T1592">
            <v>0.71</v>
          </cell>
          <cell r="U1592">
            <v>0.78</v>
          </cell>
          <cell r="V1592">
            <v>0.77</v>
          </cell>
          <cell r="W1592">
            <v>0</v>
          </cell>
          <cell r="X1592" t="str">
            <v>EST POLTRONA MAY (BRACO MAD) (BOU STELLA 225) (TING AMENDOA) - 0,71x0,78x0,77H</v>
          </cell>
          <cell r="Y1592">
            <v>14492.99</v>
          </cell>
          <cell r="Z1592">
            <v>0.35</v>
          </cell>
          <cell r="AA1592">
            <v>9420.4435000000012</v>
          </cell>
          <cell r="AB1592"/>
        </row>
        <row r="1593">
          <cell r="C1593">
            <v>0</v>
          </cell>
          <cell r="D1593">
            <v>0</v>
          </cell>
          <cell r="E1593">
            <v>1</v>
          </cell>
          <cell r="F1593">
            <v>0</v>
          </cell>
          <cell r="H1593">
            <v>0</v>
          </cell>
          <cell r="O1593">
            <v>330689</v>
          </cell>
          <cell r="P1593" t="str">
            <v>2022/221-0066-01</v>
          </cell>
          <cell r="Q1593" t="str">
            <v>EST POLTRONA MAY (BRACO MAD) (BOU STELLA 225) (TING AMENDOA)</v>
          </cell>
          <cell r="R1593"/>
          <cell r="S1593"/>
          <cell r="T1593">
            <v>0.71</v>
          </cell>
          <cell r="U1593">
            <v>0.78</v>
          </cell>
          <cell r="V1593">
            <v>0.77</v>
          </cell>
          <cell r="W1593">
            <v>0</v>
          </cell>
          <cell r="X1593" t="str">
            <v>EST POLTRONA MAY (BRACO MAD) (BOU STELLA 225) (TING AMENDOA) - 0,71x0,78x0,77H</v>
          </cell>
          <cell r="Y1593">
            <v>14492.99</v>
          </cell>
          <cell r="Z1593">
            <v>0.35</v>
          </cell>
          <cell r="AA1593">
            <v>9420.4435000000012</v>
          </cell>
          <cell r="AB1593"/>
        </row>
        <row r="1594">
          <cell r="C1594">
            <v>0</v>
          </cell>
          <cell r="D1594">
            <v>0</v>
          </cell>
          <cell r="E1594">
            <v>1</v>
          </cell>
          <cell r="F1594">
            <v>0</v>
          </cell>
          <cell r="H1594">
            <v>0</v>
          </cell>
          <cell r="O1594">
            <v>371342</v>
          </cell>
          <cell r="P1594" t="str">
            <v>2023/234-0094-01</v>
          </cell>
          <cell r="Q1594" t="str">
            <v>EST CADEIRA QUERO QUERO (COURO 2 2013) (WALNUT MATT)</v>
          </cell>
          <cell r="R1594"/>
          <cell r="S1594"/>
          <cell r="T1594">
            <v>0.49</v>
          </cell>
          <cell r="U1594">
            <v>0.54</v>
          </cell>
          <cell r="V1594">
            <v>0.8</v>
          </cell>
          <cell r="W1594">
            <v>0</v>
          </cell>
          <cell r="X1594" t="str">
            <v>EST CADEIRA QUERO QUERO (COURO 2 2013) (WALNUT MATT) - 0,49x0,54x0,8H</v>
          </cell>
          <cell r="Y1594">
            <v>7735.8</v>
          </cell>
          <cell r="Z1594">
            <v>0.35</v>
          </cell>
          <cell r="AA1594">
            <v>5028.2700000000004</v>
          </cell>
          <cell r="AB1594"/>
        </row>
        <row r="1595">
          <cell r="C1595">
            <v>0</v>
          </cell>
          <cell r="D1595">
            <v>0</v>
          </cell>
          <cell r="E1595">
            <v>1</v>
          </cell>
          <cell r="F1595">
            <v>0</v>
          </cell>
          <cell r="H1595">
            <v>0</v>
          </cell>
          <cell r="O1595">
            <v>371342</v>
          </cell>
          <cell r="P1595" t="str">
            <v>2023/234-0095-01</v>
          </cell>
          <cell r="Q1595" t="str">
            <v>EST CADEIRA QUERO QUERO (COURO 2 2013) (WALNUT MATT)</v>
          </cell>
          <cell r="R1595"/>
          <cell r="S1595"/>
          <cell r="T1595">
            <v>0.49</v>
          </cell>
          <cell r="U1595">
            <v>0.54</v>
          </cell>
          <cell r="V1595">
            <v>0.8</v>
          </cell>
          <cell r="W1595">
            <v>0</v>
          </cell>
          <cell r="X1595" t="str">
            <v>EST CADEIRA QUERO QUERO (COURO 2 2013) (WALNUT MATT) - 0,49x0,54x0,8H</v>
          </cell>
          <cell r="Y1595">
            <v>7735.8</v>
          </cell>
          <cell r="Z1595">
            <v>0.35</v>
          </cell>
          <cell r="AA1595">
            <v>5028.2700000000004</v>
          </cell>
          <cell r="AB1595"/>
        </row>
        <row r="1596">
          <cell r="C1596">
            <v>0</v>
          </cell>
          <cell r="D1596">
            <v>0</v>
          </cell>
          <cell r="E1596">
            <v>1</v>
          </cell>
          <cell r="F1596">
            <v>0</v>
          </cell>
          <cell r="H1596">
            <v>0</v>
          </cell>
          <cell r="O1596">
            <v>371342</v>
          </cell>
          <cell r="P1596" t="str">
            <v>2023/234-0096-01</v>
          </cell>
          <cell r="Q1596" t="str">
            <v>EST CADEIRA QUERO QUERO (COURO 2 2013) (WALNUT MATT)</v>
          </cell>
          <cell r="R1596"/>
          <cell r="S1596"/>
          <cell r="T1596">
            <v>0.49</v>
          </cell>
          <cell r="U1596">
            <v>0.54</v>
          </cell>
          <cell r="V1596">
            <v>0.8</v>
          </cell>
          <cell r="W1596">
            <v>0</v>
          </cell>
          <cell r="X1596" t="str">
            <v>EST CADEIRA QUERO QUERO (COURO 2 2013) (WALNUT MATT) - 0,49x0,54x0,8H</v>
          </cell>
          <cell r="Y1596">
            <v>7735.8</v>
          </cell>
          <cell r="Z1596">
            <v>0.35</v>
          </cell>
          <cell r="AA1596">
            <v>5028.2700000000004</v>
          </cell>
          <cell r="AB1596"/>
        </row>
        <row r="1597">
          <cell r="C1597">
            <v>0</v>
          </cell>
          <cell r="D1597">
            <v>0</v>
          </cell>
          <cell r="E1597">
            <v>1</v>
          </cell>
          <cell r="F1597">
            <v>0</v>
          </cell>
          <cell r="H1597">
            <v>0</v>
          </cell>
          <cell r="O1597">
            <v>371342</v>
          </cell>
          <cell r="P1597" t="str">
            <v>2023/234-0097-01</v>
          </cell>
          <cell r="Q1597" t="str">
            <v>EST CADEIRA QUERO QUERO (COURO 2 2013) (WALNUT MATT)</v>
          </cell>
          <cell r="R1597"/>
          <cell r="S1597"/>
          <cell r="T1597">
            <v>0.49</v>
          </cell>
          <cell r="U1597">
            <v>0.54</v>
          </cell>
          <cell r="V1597">
            <v>0.8</v>
          </cell>
          <cell r="W1597">
            <v>0</v>
          </cell>
          <cell r="X1597" t="str">
            <v>EST CADEIRA QUERO QUERO (COURO 2 2013) (WALNUT MATT) - 0,49x0,54x0,8H</v>
          </cell>
          <cell r="Y1597">
            <v>7735.8</v>
          </cell>
          <cell r="Z1597">
            <v>0.35</v>
          </cell>
          <cell r="AA1597">
            <v>5028.2700000000004</v>
          </cell>
          <cell r="AB1597"/>
        </row>
        <row r="1598">
          <cell r="C1598">
            <v>0</v>
          </cell>
          <cell r="D1598">
            <v>0</v>
          </cell>
          <cell r="E1598">
            <v>1</v>
          </cell>
          <cell r="F1598">
            <v>0</v>
          </cell>
          <cell r="H1598">
            <v>0</v>
          </cell>
          <cell r="O1598">
            <v>371342</v>
          </cell>
          <cell r="P1598" t="str">
            <v>2023/234-0098-01</v>
          </cell>
          <cell r="Q1598" t="str">
            <v>EST CADEIRA QUERO QUERO (COURO 2 2013) (WALNUT MATT)</v>
          </cell>
          <cell r="R1598"/>
          <cell r="S1598"/>
          <cell r="T1598">
            <v>0.49</v>
          </cell>
          <cell r="U1598">
            <v>0.54</v>
          </cell>
          <cell r="V1598">
            <v>0.8</v>
          </cell>
          <cell r="W1598">
            <v>0</v>
          </cell>
          <cell r="X1598" t="str">
            <v>EST CADEIRA QUERO QUERO (COURO 2 2013) (WALNUT MATT) - 0,49x0,54x0,8H</v>
          </cell>
          <cell r="Y1598">
            <v>7735.8</v>
          </cell>
          <cell r="Z1598">
            <v>0.35</v>
          </cell>
          <cell r="AA1598">
            <v>5028.2700000000004</v>
          </cell>
          <cell r="AB1598"/>
        </row>
        <row r="1599">
          <cell r="C1599">
            <v>0</v>
          </cell>
          <cell r="D1599">
            <v>0</v>
          </cell>
          <cell r="E1599">
            <v>1</v>
          </cell>
          <cell r="F1599">
            <v>0</v>
          </cell>
          <cell r="H1599">
            <v>0</v>
          </cell>
          <cell r="O1599">
            <v>371342</v>
          </cell>
          <cell r="P1599" t="str">
            <v>2023/234-0099-01</v>
          </cell>
          <cell r="Q1599" t="str">
            <v>EST CADEIRA QUERO QUERO (COURO 2 2013) (WALNUT MATT)</v>
          </cell>
          <cell r="R1599"/>
          <cell r="S1599"/>
          <cell r="T1599">
            <v>0.49</v>
          </cell>
          <cell r="U1599">
            <v>0.54</v>
          </cell>
          <cell r="V1599">
            <v>0.8</v>
          </cell>
          <cell r="W1599">
            <v>0</v>
          </cell>
          <cell r="X1599" t="str">
            <v>EST CADEIRA QUERO QUERO (COURO 2 2013) (WALNUT MATT) - 0,49x0,54x0,8H</v>
          </cell>
          <cell r="Y1599">
            <v>7735.8</v>
          </cell>
          <cell r="Z1599">
            <v>0.35</v>
          </cell>
          <cell r="AA1599">
            <v>5028.2700000000004</v>
          </cell>
          <cell r="AB1599"/>
        </row>
        <row r="1600">
          <cell r="C1600">
            <v>0</v>
          </cell>
          <cell r="D1600">
            <v>0</v>
          </cell>
          <cell r="E1600">
            <v>1</v>
          </cell>
          <cell r="F1600">
            <v>0</v>
          </cell>
          <cell r="H1600">
            <v>0</v>
          </cell>
          <cell r="O1600">
            <v>371342</v>
          </cell>
          <cell r="P1600" t="str">
            <v>2023/234-0100-01</v>
          </cell>
          <cell r="Q1600" t="str">
            <v>EST CADEIRA QUERO QUERO (COURO 2 2013) (WALNUT MATT)</v>
          </cell>
          <cell r="R1600"/>
          <cell r="S1600"/>
          <cell r="T1600">
            <v>0.49</v>
          </cell>
          <cell r="U1600">
            <v>0.54</v>
          </cell>
          <cell r="V1600">
            <v>0.8</v>
          </cell>
          <cell r="W1600">
            <v>0</v>
          </cell>
          <cell r="X1600" t="str">
            <v>EST CADEIRA QUERO QUERO (COURO 2 2013) (WALNUT MATT) - 0,49x0,54x0,8H</v>
          </cell>
          <cell r="Y1600">
            <v>7735.8</v>
          </cell>
          <cell r="Z1600">
            <v>0.35</v>
          </cell>
          <cell r="AA1600">
            <v>5028.2700000000004</v>
          </cell>
          <cell r="AB1600"/>
        </row>
        <row r="1601">
          <cell r="C1601">
            <v>0</v>
          </cell>
          <cell r="D1601">
            <v>0</v>
          </cell>
          <cell r="E1601">
            <v>1</v>
          </cell>
          <cell r="F1601">
            <v>0</v>
          </cell>
          <cell r="H1601">
            <v>0</v>
          </cell>
          <cell r="O1601">
            <v>371342</v>
          </cell>
          <cell r="P1601" t="str">
            <v>2023/234-0101-01</v>
          </cell>
          <cell r="Q1601" t="str">
            <v>EST CADEIRA QUERO QUERO (COURO 2 2013) (WALNUT MATT)</v>
          </cell>
          <cell r="R1601"/>
          <cell r="S1601"/>
          <cell r="T1601">
            <v>0.49</v>
          </cell>
          <cell r="U1601">
            <v>0.54</v>
          </cell>
          <cell r="V1601">
            <v>0.8</v>
          </cell>
          <cell r="W1601">
            <v>0</v>
          </cell>
          <cell r="X1601" t="str">
            <v>EST CADEIRA QUERO QUERO (COURO 2 2013) (WALNUT MATT) - 0,49x0,54x0,8H</v>
          </cell>
          <cell r="Y1601">
            <v>7735.8</v>
          </cell>
          <cell r="Z1601">
            <v>0.35</v>
          </cell>
          <cell r="AA1601">
            <v>5028.2700000000004</v>
          </cell>
          <cell r="AB1601"/>
        </row>
        <row r="1602">
          <cell r="C1602">
            <v>1</v>
          </cell>
          <cell r="D1602">
            <v>1</v>
          </cell>
          <cell r="E1602">
            <v>1</v>
          </cell>
          <cell r="F1602">
            <v>1</v>
          </cell>
          <cell r="H1602">
            <v>0</v>
          </cell>
          <cell r="O1602">
            <v>373426</v>
          </cell>
          <cell r="P1602" t="str">
            <v>2023/280-0025-01</v>
          </cell>
          <cell r="Q1602" t="str">
            <v>EST BANQUETA BAR QUERO QUERO H65 (COURO2 2014) (NATURE MATT)</v>
          </cell>
          <cell r="R1602"/>
          <cell r="S1602"/>
          <cell r="T1602">
            <v>0.46</v>
          </cell>
          <cell r="U1602">
            <v>0.56000000000000005</v>
          </cell>
          <cell r="V1602">
            <v>0.92</v>
          </cell>
          <cell r="W1602">
            <v>0</v>
          </cell>
          <cell r="X1602" t="str">
            <v>EST BANQUETA BAR QUERO QUERO H65 (COURO2 2014) (NATURE MATT) - 0,46x0,56x0,92H</v>
          </cell>
          <cell r="Y1602">
            <v>9028.2800000000007</v>
          </cell>
          <cell r="Z1602">
            <v>0.35</v>
          </cell>
          <cell r="AA1602">
            <v>5868.3820000000005</v>
          </cell>
          <cell r="AB1602"/>
        </row>
        <row r="1603">
          <cell r="C1603">
            <v>0</v>
          </cell>
          <cell r="D1603">
            <v>0</v>
          </cell>
          <cell r="E1603">
            <v>2</v>
          </cell>
          <cell r="F1603">
            <v>0</v>
          </cell>
          <cell r="H1603">
            <v>0</v>
          </cell>
          <cell r="O1603">
            <v>374374</v>
          </cell>
          <cell r="P1603" t="str">
            <v>2024/026-0057-01</v>
          </cell>
          <cell r="Q1603" t="str">
            <v>EST ALMOFADA DECORATIVA HIMALAYA (G) (SOFT) (COURO 3001)</v>
          </cell>
          <cell r="R1603"/>
          <cell r="S1603"/>
          <cell r="T1603">
            <v>0.9</v>
          </cell>
          <cell r="U1603">
            <v>0.7</v>
          </cell>
          <cell r="V1603">
            <v>0</v>
          </cell>
          <cell r="W1603">
            <v>0</v>
          </cell>
          <cell r="X1603" t="str">
            <v>EST ALMOFADA DECORATIVA HIMALAYA (G) (SOFT) (COURO 3001) - 0,9x0,7x0H</v>
          </cell>
          <cell r="Y1603">
            <v>5536.61</v>
          </cell>
          <cell r="Z1603">
            <v>0.35</v>
          </cell>
          <cell r="AA1603">
            <v>3598.7964999999999</v>
          </cell>
          <cell r="AB1603"/>
        </row>
        <row r="1604">
          <cell r="C1604">
            <v>0</v>
          </cell>
          <cell r="D1604">
            <v>0</v>
          </cell>
          <cell r="E1604">
            <v>2</v>
          </cell>
          <cell r="F1604">
            <v>0</v>
          </cell>
          <cell r="H1604">
            <v>0</v>
          </cell>
          <cell r="O1604">
            <v>374374</v>
          </cell>
          <cell r="P1604" t="str">
            <v>2024/026-0058-01</v>
          </cell>
          <cell r="Q1604" t="str">
            <v>EST ALMOFADA DECORATIVA HIMALAYA (G) (SOFT) (COURO 3001)</v>
          </cell>
          <cell r="R1604"/>
          <cell r="S1604"/>
          <cell r="T1604">
            <v>0.9</v>
          </cell>
          <cell r="U1604">
            <v>0.7</v>
          </cell>
          <cell r="V1604">
            <v>0</v>
          </cell>
          <cell r="W1604">
            <v>0</v>
          </cell>
          <cell r="X1604" t="str">
            <v>EST ALMOFADA DECORATIVA HIMALAYA (G) (SOFT) (COURO 3001) - 0,9x0,7x0H</v>
          </cell>
          <cell r="Y1604">
            <v>5536.61</v>
          </cell>
          <cell r="Z1604">
            <v>0.35</v>
          </cell>
          <cell r="AA1604">
            <v>3598.7964999999999</v>
          </cell>
          <cell r="AB1604"/>
        </row>
        <row r="1605">
          <cell r="C1605">
            <v>0</v>
          </cell>
          <cell r="D1605">
            <v>0</v>
          </cell>
          <cell r="E1605">
            <v>1</v>
          </cell>
          <cell r="F1605">
            <v>0</v>
          </cell>
          <cell r="H1605">
            <v>0</v>
          </cell>
          <cell r="O1605">
            <v>374384</v>
          </cell>
          <cell r="P1605" t="str">
            <v>2024/026-0071-01</v>
          </cell>
          <cell r="Q1605" t="str">
            <v>EST CHAISE HIMALAYA (RED) (CON) (TC PET01) BASE NOG</v>
          </cell>
          <cell r="R1605"/>
          <cell r="S1605"/>
          <cell r="T1605">
            <v>1.6</v>
          </cell>
          <cell r="U1605">
            <v>0</v>
          </cell>
          <cell r="V1605">
            <v>0.74</v>
          </cell>
          <cell r="W1605">
            <v>1.6</v>
          </cell>
          <cell r="X1605" t="str">
            <v>EST CHAISE HIMALAYA (RED) (CON) (TC PET01) BASE NOG - Ø1,6x0,74H</v>
          </cell>
          <cell r="Y1605">
            <v>42896.4</v>
          </cell>
          <cell r="Z1605">
            <v>0.35</v>
          </cell>
          <cell r="AA1605">
            <v>27882.660000000003</v>
          </cell>
          <cell r="AB1605"/>
        </row>
        <row r="1606">
          <cell r="C1606">
            <v>0</v>
          </cell>
          <cell r="D1606">
            <v>0</v>
          </cell>
          <cell r="E1606">
            <v>6</v>
          </cell>
          <cell r="F1606">
            <v>0</v>
          </cell>
          <cell r="H1606">
            <v>0</v>
          </cell>
          <cell r="O1606">
            <v>374385</v>
          </cell>
          <cell r="P1606" t="str">
            <v>2024/026-0072-01</v>
          </cell>
          <cell r="Q1606" t="str">
            <v>EST CADEIRA HIMALAYA C/B (CON) (C3008) NOG</v>
          </cell>
          <cell r="R1606"/>
          <cell r="S1606"/>
          <cell r="T1606">
            <v>0.6</v>
          </cell>
          <cell r="U1606">
            <v>0.52</v>
          </cell>
          <cell r="V1606">
            <v>0.76</v>
          </cell>
          <cell r="W1606">
            <v>0</v>
          </cell>
          <cell r="X1606" t="str">
            <v>EST CADEIRA HIMALAYA C/B (CON) (C3008) NOG - 0,6x0,52x0,76H</v>
          </cell>
          <cell r="Y1606">
            <v>8922.32</v>
          </cell>
          <cell r="Z1606">
            <v>0.35</v>
          </cell>
          <cell r="AA1606">
            <v>5799.5079999999998</v>
          </cell>
          <cell r="AB1606"/>
        </row>
        <row r="1607">
          <cell r="C1607">
            <v>0</v>
          </cell>
          <cell r="D1607">
            <v>0</v>
          </cell>
          <cell r="E1607">
            <v>6</v>
          </cell>
          <cell r="F1607">
            <v>0</v>
          </cell>
          <cell r="H1607">
            <v>0</v>
          </cell>
          <cell r="O1607">
            <v>374385</v>
          </cell>
          <cell r="P1607" t="str">
            <v>2024/026-0073-01</v>
          </cell>
          <cell r="Q1607" t="str">
            <v>EST CADEIRA HIMALAYA C/B (CON) (C3008) NOG</v>
          </cell>
          <cell r="R1607"/>
          <cell r="S1607"/>
          <cell r="T1607">
            <v>0.6</v>
          </cell>
          <cell r="U1607">
            <v>0.52</v>
          </cell>
          <cell r="V1607">
            <v>0.76</v>
          </cell>
          <cell r="W1607">
            <v>0</v>
          </cell>
          <cell r="X1607" t="str">
            <v>EST CADEIRA HIMALAYA C/B (CON) (C3008) NOG - 0,6x0,52x0,76H</v>
          </cell>
          <cell r="Y1607">
            <v>8922.32</v>
          </cell>
          <cell r="Z1607">
            <v>0.35</v>
          </cell>
          <cell r="AA1607">
            <v>5799.5079999999998</v>
          </cell>
          <cell r="AB1607"/>
        </row>
        <row r="1608">
          <cell r="C1608">
            <v>0</v>
          </cell>
          <cell r="D1608">
            <v>0</v>
          </cell>
          <cell r="E1608">
            <v>6</v>
          </cell>
          <cell r="F1608">
            <v>0</v>
          </cell>
          <cell r="H1608">
            <v>0</v>
          </cell>
          <cell r="O1608">
            <v>374385</v>
          </cell>
          <cell r="P1608" t="str">
            <v>2024/026-0074-01</v>
          </cell>
          <cell r="Q1608" t="str">
            <v>EST CADEIRA HIMALAYA C/B (CON) (C3008) NOG</v>
          </cell>
          <cell r="R1608"/>
          <cell r="S1608"/>
          <cell r="T1608">
            <v>0.6</v>
          </cell>
          <cell r="U1608">
            <v>0.52</v>
          </cell>
          <cell r="V1608">
            <v>0.76</v>
          </cell>
          <cell r="W1608">
            <v>0</v>
          </cell>
          <cell r="X1608" t="str">
            <v>EST CADEIRA HIMALAYA C/B (CON) (C3008) NOG - 0,6x0,52x0,76H</v>
          </cell>
          <cell r="Y1608">
            <v>8922.32</v>
          </cell>
          <cell r="Z1608">
            <v>0.35</v>
          </cell>
          <cell r="AA1608">
            <v>5799.5079999999998</v>
          </cell>
          <cell r="AB1608"/>
        </row>
        <row r="1609">
          <cell r="C1609">
            <v>0</v>
          </cell>
          <cell r="D1609">
            <v>0</v>
          </cell>
          <cell r="E1609">
            <v>6</v>
          </cell>
          <cell r="F1609">
            <v>0</v>
          </cell>
          <cell r="H1609">
            <v>0</v>
          </cell>
          <cell r="O1609">
            <v>374385</v>
          </cell>
          <cell r="P1609" t="str">
            <v>2024/026-0075-01</v>
          </cell>
          <cell r="Q1609" t="str">
            <v>EST CADEIRA HIMALAYA C/B (CON) (C3008) NOG</v>
          </cell>
          <cell r="R1609"/>
          <cell r="S1609"/>
          <cell r="T1609">
            <v>0.6</v>
          </cell>
          <cell r="U1609">
            <v>0.52</v>
          </cell>
          <cell r="V1609">
            <v>0.76</v>
          </cell>
          <cell r="W1609">
            <v>0</v>
          </cell>
          <cell r="X1609" t="str">
            <v>EST CADEIRA HIMALAYA C/B (CON) (C3008) NOG - 0,6x0,52x0,76H</v>
          </cell>
          <cell r="Y1609">
            <v>8922.32</v>
          </cell>
          <cell r="Z1609">
            <v>0.35</v>
          </cell>
          <cell r="AA1609">
            <v>5799.5079999999998</v>
          </cell>
          <cell r="AB1609"/>
        </row>
        <row r="1610">
          <cell r="C1610">
            <v>0</v>
          </cell>
          <cell r="D1610">
            <v>0</v>
          </cell>
          <cell r="E1610">
            <v>6</v>
          </cell>
          <cell r="F1610">
            <v>0</v>
          </cell>
          <cell r="H1610">
            <v>0</v>
          </cell>
          <cell r="O1610">
            <v>374385</v>
          </cell>
          <cell r="P1610" t="str">
            <v>2024/026-0076-01</v>
          </cell>
          <cell r="Q1610" t="str">
            <v>EST CADEIRA HIMALAYA C/B (CON) (C3008) NOG</v>
          </cell>
          <cell r="R1610"/>
          <cell r="S1610"/>
          <cell r="T1610">
            <v>0.6</v>
          </cell>
          <cell r="U1610">
            <v>0.52</v>
          </cell>
          <cell r="V1610">
            <v>0.76</v>
          </cell>
          <cell r="W1610">
            <v>0</v>
          </cell>
          <cell r="X1610" t="str">
            <v>EST CADEIRA HIMALAYA C/B (CON) (C3008) NOG - 0,6x0,52x0,76H</v>
          </cell>
          <cell r="Y1610">
            <v>8922.32</v>
          </cell>
          <cell r="Z1610">
            <v>0.35</v>
          </cell>
          <cell r="AA1610">
            <v>5799.5079999999998</v>
          </cell>
          <cell r="AB1610"/>
        </row>
        <row r="1611">
          <cell r="C1611">
            <v>0</v>
          </cell>
          <cell r="D1611">
            <v>0</v>
          </cell>
          <cell r="E1611">
            <v>6</v>
          </cell>
          <cell r="F1611">
            <v>0</v>
          </cell>
          <cell r="H1611">
            <v>0</v>
          </cell>
          <cell r="O1611">
            <v>374385</v>
          </cell>
          <cell r="P1611" t="str">
            <v>2024/026-0077-01</v>
          </cell>
          <cell r="Q1611" t="str">
            <v>EST CADEIRA HIMALAYA C/B (CON) (C3008) NOG</v>
          </cell>
          <cell r="R1611"/>
          <cell r="S1611"/>
          <cell r="T1611">
            <v>0.6</v>
          </cell>
          <cell r="U1611">
            <v>0.52</v>
          </cell>
          <cell r="V1611">
            <v>0.76</v>
          </cell>
          <cell r="W1611">
            <v>0</v>
          </cell>
          <cell r="X1611" t="str">
            <v>EST CADEIRA HIMALAYA C/B (CON) (C3008) NOG - 0,6x0,52x0,76H</v>
          </cell>
          <cell r="Y1611">
            <v>8922.32</v>
          </cell>
          <cell r="Z1611">
            <v>0.35</v>
          </cell>
          <cell r="AA1611">
            <v>5799.5079999999998</v>
          </cell>
          <cell r="AB1611"/>
        </row>
        <row r="1612">
          <cell r="C1612">
            <v>0</v>
          </cell>
          <cell r="D1612">
            <v>0</v>
          </cell>
          <cell r="E1612">
            <v>2</v>
          </cell>
          <cell r="F1612">
            <v>0</v>
          </cell>
          <cell r="H1612">
            <v>1</v>
          </cell>
          <cell r="O1612">
            <v>374386</v>
          </cell>
          <cell r="P1612" t="str">
            <v>2024/026-0078-01</v>
          </cell>
          <cell r="Q1612" t="str">
            <v>EST ALMOFADA DECORATIVA HIMALAYA (PP) (SOFT) (C3008/DB3001)</v>
          </cell>
          <cell r="R1612"/>
          <cell r="S1612"/>
          <cell r="T1612">
            <v>0.4</v>
          </cell>
          <cell r="U1612">
            <v>0.33</v>
          </cell>
          <cell r="V1612">
            <v>7.0000000000000007E-2</v>
          </cell>
          <cell r="W1612">
            <v>0</v>
          </cell>
          <cell r="X1612" t="str">
            <v>EST ALMOFADA DECORATIVA HIMALAYA (PP) (SOFT) (C3008/DB3001) - 0,4x0,33x0,07H</v>
          </cell>
          <cell r="Y1612">
            <v>2107.5284999999999</v>
          </cell>
          <cell r="Z1612">
            <v>0.35</v>
          </cell>
          <cell r="AA1612">
            <v>1369.893525</v>
          </cell>
          <cell r="AB1612"/>
        </row>
        <row r="1613">
          <cell r="C1613">
            <v>0</v>
          </cell>
          <cell r="D1613">
            <v>0</v>
          </cell>
          <cell r="E1613">
            <v>2</v>
          </cell>
          <cell r="F1613">
            <v>0</v>
          </cell>
          <cell r="H1613">
            <v>1</v>
          </cell>
          <cell r="O1613">
            <v>374386</v>
          </cell>
          <cell r="P1613" t="str">
            <v>2024/026-0079-01</v>
          </cell>
          <cell r="Q1613" t="str">
            <v>EST ALMOFADA DECORATIVA HIMALAYA (PP) (SOFT) (C3008/DB3001)</v>
          </cell>
          <cell r="R1613"/>
          <cell r="S1613"/>
          <cell r="T1613">
            <v>0.4</v>
          </cell>
          <cell r="U1613">
            <v>0.33</v>
          </cell>
          <cell r="V1613">
            <v>7.0000000000000007E-2</v>
          </cell>
          <cell r="W1613">
            <v>0</v>
          </cell>
          <cell r="X1613" t="str">
            <v>EST ALMOFADA DECORATIVA HIMALAYA (PP) (SOFT) (C3008/DB3001) - 0,4x0,33x0,07H</v>
          </cell>
          <cell r="Y1613">
            <v>2107.5284999999999</v>
          </cell>
          <cell r="Z1613">
            <v>0.35</v>
          </cell>
          <cell r="AA1613">
            <v>1369.893525</v>
          </cell>
          <cell r="AB1613"/>
        </row>
        <row r="1614">
          <cell r="C1614">
            <v>0</v>
          </cell>
          <cell r="D1614">
            <v>0</v>
          </cell>
          <cell r="E1614">
            <v>2</v>
          </cell>
          <cell r="F1614">
            <v>0</v>
          </cell>
          <cell r="H1614">
            <v>1</v>
          </cell>
          <cell r="O1614">
            <v>374386</v>
          </cell>
          <cell r="P1614" t="str">
            <v>2024/026-0080-01</v>
          </cell>
          <cell r="Q1614" t="str">
            <v>EST ALMOFADA DECORATIVA HIMALAYA (PP) (SOFT) (C3008/DB3001)</v>
          </cell>
          <cell r="R1614"/>
          <cell r="S1614"/>
          <cell r="T1614">
            <v>0.4</v>
          </cell>
          <cell r="U1614">
            <v>0.33</v>
          </cell>
          <cell r="V1614">
            <v>7.0000000000000007E-2</v>
          </cell>
          <cell r="W1614">
            <v>0</v>
          </cell>
          <cell r="X1614" t="str">
            <v>EST ALMOFADA DECORATIVA HIMALAYA (PP) (SOFT) (C3008/DB3001) - 0,4x0,33x0,07H</v>
          </cell>
          <cell r="Y1614">
            <v>2107.5284999999999</v>
          </cell>
          <cell r="Z1614">
            <v>0.35</v>
          </cell>
          <cell r="AA1614">
            <v>1369.893525</v>
          </cell>
          <cell r="AB1614"/>
        </row>
        <row r="1615">
          <cell r="C1615">
            <v>0</v>
          </cell>
          <cell r="D1615">
            <v>0</v>
          </cell>
          <cell r="E1615">
            <v>2</v>
          </cell>
          <cell r="F1615">
            <v>0</v>
          </cell>
          <cell r="H1615">
            <v>2</v>
          </cell>
          <cell r="O1615">
            <v>383215</v>
          </cell>
          <cell r="P1615" t="str">
            <v>2024/093-0065-01</v>
          </cell>
          <cell r="Q1615" t="str">
            <v>EST ALMOFADA DECORATIVA HIMALAYA (G) (SOFT) (FX PET 01)</v>
          </cell>
          <cell r="R1615"/>
          <cell r="S1615"/>
          <cell r="T1615">
            <v>0.9</v>
          </cell>
          <cell r="U1615">
            <v>0.7</v>
          </cell>
          <cell r="V1615">
            <v>0</v>
          </cell>
          <cell r="W1615">
            <v>0</v>
          </cell>
          <cell r="X1615" t="str">
            <v>EST ALMOFADA DECORATIVA HIMALAYA (G) (SOFT) (FX PET 01) - 0,9x0,7x0H</v>
          </cell>
          <cell r="Y1615">
            <v>4907.53</v>
          </cell>
          <cell r="Z1615">
            <v>0.35</v>
          </cell>
          <cell r="AA1615">
            <v>3189.8944999999999</v>
          </cell>
          <cell r="AB1615"/>
        </row>
        <row r="1616">
          <cell r="C1616">
            <v>0</v>
          </cell>
          <cell r="D1616">
            <v>0</v>
          </cell>
          <cell r="E1616">
            <v>2</v>
          </cell>
          <cell r="F1616">
            <v>0</v>
          </cell>
          <cell r="H1616">
            <v>2</v>
          </cell>
          <cell r="O1616">
            <v>383215</v>
          </cell>
          <cell r="P1616" t="str">
            <v>2024/093-0066-01</v>
          </cell>
          <cell r="Q1616" t="str">
            <v>EST ALMOFADA DECORATIVA HIMALAYA (G) (SOFT) (FX PET 01)</v>
          </cell>
          <cell r="R1616"/>
          <cell r="S1616"/>
          <cell r="T1616">
            <v>0.9</v>
          </cell>
          <cell r="U1616">
            <v>0.7</v>
          </cell>
          <cell r="V1616">
            <v>0</v>
          </cell>
          <cell r="W1616">
            <v>0</v>
          </cell>
          <cell r="X1616" t="str">
            <v>EST ALMOFADA DECORATIVA HIMALAYA (G) (SOFT) (FX PET 01) - 0,9x0,7x0H</v>
          </cell>
          <cell r="Y1616">
            <v>4907.53</v>
          </cell>
          <cell r="Z1616">
            <v>0.35</v>
          </cell>
          <cell r="AA1616">
            <v>3189.8944999999999</v>
          </cell>
          <cell r="AB1616"/>
        </row>
        <row r="1617">
          <cell r="C1617">
            <v>0</v>
          </cell>
          <cell r="D1617">
            <v>0</v>
          </cell>
          <cell r="E1617">
            <v>2</v>
          </cell>
          <cell r="F1617">
            <v>0</v>
          </cell>
          <cell r="H1617">
            <v>0</v>
          </cell>
          <cell r="O1617">
            <v>402452</v>
          </cell>
          <cell r="P1617" t="str">
            <v>2025/105-0011-01</v>
          </cell>
          <cell r="Q1617" t="str">
            <v>EST POLTRONA ARRAIA (SEXT NT) (NAT MATT) TC BELLAGIO 548</v>
          </cell>
          <cell r="R1617"/>
          <cell r="S1617"/>
          <cell r="T1617">
            <v>0.73</v>
          </cell>
          <cell r="U1617">
            <v>0.75</v>
          </cell>
          <cell r="V1617">
            <v>0.8</v>
          </cell>
          <cell r="W1617">
            <v>0</v>
          </cell>
          <cell r="X1617" t="str">
            <v>EST POLTRONA ARRAIA (SEXT NT) (NAT MATT) TC BELLAGIO 548 - 0,73x0,75x0,8H</v>
          </cell>
          <cell r="Y1617">
            <v>13554.24</v>
          </cell>
          <cell r="Z1617">
            <v>0.35</v>
          </cell>
          <cell r="AA1617">
            <v>8810.2560000000012</v>
          </cell>
          <cell r="AB1617"/>
        </row>
        <row r="1618">
          <cell r="C1618">
            <v>0</v>
          </cell>
          <cell r="D1618">
            <v>0</v>
          </cell>
          <cell r="E1618">
            <v>2</v>
          </cell>
          <cell r="F1618">
            <v>0</v>
          </cell>
          <cell r="H1618">
            <v>0</v>
          </cell>
          <cell r="O1618">
            <v>402452</v>
          </cell>
          <cell r="P1618" t="str">
            <v>2025/105-0012-01</v>
          </cell>
          <cell r="Q1618" t="str">
            <v>EST POLTRONA ARRAIA (SEXT NT) (NAT MATT) TC BELLAGIO 548</v>
          </cell>
          <cell r="R1618"/>
          <cell r="S1618"/>
          <cell r="T1618">
            <v>0.73</v>
          </cell>
          <cell r="U1618">
            <v>0.75</v>
          </cell>
          <cell r="V1618">
            <v>0.8</v>
          </cell>
          <cell r="W1618">
            <v>0</v>
          </cell>
          <cell r="X1618" t="str">
            <v>EST POLTRONA ARRAIA (SEXT NT) (NAT MATT) TC BELLAGIO 548 - 0,73x0,75x0,8H</v>
          </cell>
          <cell r="Y1618">
            <v>13554.24</v>
          </cell>
          <cell r="Z1618">
            <v>0.35</v>
          </cell>
          <cell r="AA1618">
            <v>8810.2560000000012</v>
          </cell>
          <cell r="AB1618"/>
        </row>
        <row r="1619">
          <cell r="C1619">
            <v>0</v>
          </cell>
          <cell r="D1619">
            <v>0</v>
          </cell>
          <cell r="E1619">
            <v>1</v>
          </cell>
          <cell r="F1619">
            <v>1</v>
          </cell>
          <cell r="H1619">
            <v>0</v>
          </cell>
          <cell r="O1619">
            <v>405717</v>
          </cell>
          <cell r="P1619" t="str">
            <v>2025/154-0088-01</v>
          </cell>
          <cell r="Q1619" t="str">
            <v>EST MESA LATERAL COLOMBINA (MARCHETARIA) WALNUT MATT</v>
          </cell>
          <cell r="R1619"/>
          <cell r="S1619"/>
          <cell r="T1619">
            <v>0.51</v>
          </cell>
          <cell r="U1619">
            <v>0.51</v>
          </cell>
          <cell r="V1619">
            <v>0.43</v>
          </cell>
          <cell r="W1619">
            <v>0</v>
          </cell>
          <cell r="X1619" t="str">
            <v>EST MESA LATERAL COLOMBINA (MARCHETARIA) WALNUT MATT - 0,51x0,51x0,43H</v>
          </cell>
          <cell r="Y1619">
            <v>5270.09</v>
          </cell>
          <cell r="Z1619">
            <v>0.35</v>
          </cell>
          <cell r="AA1619">
            <v>3425.5585000000001</v>
          </cell>
          <cell r="AB1619"/>
        </row>
        <row r="1620">
          <cell r="C1620">
            <v>0</v>
          </cell>
          <cell r="D1620">
            <v>0</v>
          </cell>
          <cell r="E1620">
            <v>1</v>
          </cell>
          <cell r="F1620">
            <v>1</v>
          </cell>
          <cell r="H1620">
            <v>0</v>
          </cell>
          <cell r="O1620">
            <v>405719</v>
          </cell>
          <cell r="P1620" t="str">
            <v>2025/154-0092-01</v>
          </cell>
          <cell r="Q1620" t="str">
            <v>EST MESA LATERAL COLOMBINA (MARCHETARIA) WALNUT MATT</v>
          </cell>
          <cell r="R1620"/>
          <cell r="S1620"/>
          <cell r="T1620">
            <v>0.61</v>
          </cell>
          <cell r="U1620">
            <v>0.61</v>
          </cell>
          <cell r="V1620">
            <v>0.5</v>
          </cell>
          <cell r="W1620">
            <v>0</v>
          </cell>
          <cell r="X1620" t="str">
            <v>EST MESA LATERAL COLOMBINA (MARCHETARIA) WALNUT MATT - 0,61x0,61x0,5H</v>
          </cell>
          <cell r="Y1620">
            <v>5651.61</v>
          </cell>
          <cell r="Z1620">
            <v>0.35</v>
          </cell>
          <cell r="AA1620">
            <v>3673.5464999999999</v>
          </cell>
          <cell r="AB1620"/>
        </row>
        <row r="1621">
          <cell r="C1621">
            <v>0</v>
          </cell>
          <cell r="D1621">
            <v>0</v>
          </cell>
          <cell r="E1621">
            <v>1</v>
          </cell>
          <cell r="F1621">
            <v>1</v>
          </cell>
          <cell r="H1621">
            <v>0</v>
          </cell>
          <cell r="O1621">
            <v>405725</v>
          </cell>
          <cell r="P1621" t="str">
            <v>2025/154-0101-01</v>
          </cell>
          <cell r="Q1621" t="str">
            <v>EST MESA LATERAL SATELITE (NATURE MATT) PINT CORTEN</v>
          </cell>
          <cell r="R1621"/>
          <cell r="S1621"/>
          <cell r="T1621">
            <v>0.41</v>
          </cell>
          <cell r="U1621">
            <v>0.27</v>
          </cell>
          <cell r="V1621">
            <v>0.35</v>
          </cell>
          <cell r="W1621">
            <v>0</v>
          </cell>
          <cell r="X1621" t="str">
            <v>EST MESA LATERAL SATELITE (NATURE MATT) PINT CORTEN - 0,41x0,27x0,35H</v>
          </cell>
          <cell r="Y1621">
            <v>4597.6000000000004</v>
          </cell>
          <cell r="Z1621">
            <v>0.35</v>
          </cell>
          <cell r="AA1621">
            <v>2988.4400000000005</v>
          </cell>
          <cell r="AB1621"/>
        </row>
        <row r="1622">
          <cell r="C1622">
            <v>0</v>
          </cell>
          <cell r="D1622">
            <v>0</v>
          </cell>
          <cell r="E1622">
            <v>1</v>
          </cell>
          <cell r="F1622">
            <v>1</v>
          </cell>
          <cell r="H1622">
            <v>0</v>
          </cell>
          <cell r="O1622">
            <v>405727</v>
          </cell>
          <cell r="P1622" t="str">
            <v>2025/154-0106-01</v>
          </cell>
          <cell r="Q1622" t="str">
            <v>EST MESA LATERAL SATELITE (NATURE MATT) PINT CORTEN</v>
          </cell>
          <cell r="R1622"/>
          <cell r="S1622"/>
          <cell r="T1622">
            <v>0.41</v>
          </cell>
          <cell r="U1622">
            <v>0.27</v>
          </cell>
          <cell r="V1622">
            <v>0.5</v>
          </cell>
          <cell r="W1622">
            <v>0</v>
          </cell>
          <cell r="X1622" t="str">
            <v>EST MESA LATERAL SATELITE (NATURE MATT) PINT CORTEN - 0,41x0,27x0,5H</v>
          </cell>
          <cell r="Y1622">
            <v>4831.28</v>
          </cell>
          <cell r="Z1622">
            <v>0.35</v>
          </cell>
          <cell r="AA1622">
            <v>3140.3319999999999</v>
          </cell>
          <cell r="AB1622"/>
        </row>
        <row r="1623">
          <cell r="C1623">
            <v>0</v>
          </cell>
          <cell r="D1623">
            <v>0</v>
          </cell>
          <cell r="E1623">
            <v>0</v>
          </cell>
          <cell r="F1623">
            <v>2</v>
          </cell>
          <cell r="H1623">
            <v>1</v>
          </cell>
          <cell r="O1623">
            <v>309862</v>
          </cell>
          <cell r="P1623" t="str">
            <v>2022/210-0113-01</v>
          </cell>
          <cell r="Q1623" t="str">
            <v>EST ESPELHO DESLIZE (WALNUT MATTE) (ESPELHO PRATA)</v>
          </cell>
          <cell r="R1623"/>
          <cell r="S1623"/>
          <cell r="T1623">
            <v>0.43</v>
          </cell>
          <cell r="U1623">
            <v>0.89</v>
          </cell>
          <cell r="V1623">
            <v>0.03</v>
          </cell>
          <cell r="W1623">
            <v>0</v>
          </cell>
          <cell r="X1623" t="str">
            <v>EST ESPELHO DESLIZE (WALNUT MATTE) (ESPELHO PRATA) - 0,43x0,89x0,03H</v>
          </cell>
          <cell r="Y1623">
            <v>6265.82</v>
          </cell>
          <cell r="Z1623">
            <v>0.35</v>
          </cell>
          <cell r="AA1623">
            <v>4072.7829999999999</v>
          </cell>
          <cell r="AB1623"/>
        </row>
        <row r="1624">
          <cell r="C1624">
            <v>0</v>
          </cell>
          <cell r="D1624">
            <v>0</v>
          </cell>
          <cell r="E1624">
            <v>0</v>
          </cell>
          <cell r="F1624">
            <v>2</v>
          </cell>
          <cell r="H1624">
            <v>1</v>
          </cell>
          <cell r="O1624">
            <v>309862</v>
          </cell>
          <cell r="P1624" t="str">
            <v>2022/210-0114-01</v>
          </cell>
          <cell r="Q1624" t="str">
            <v>EST ESPELHO DESLIZE (WALNUT MATTE) (ESPELHO PRATA)</v>
          </cell>
          <cell r="R1624"/>
          <cell r="S1624"/>
          <cell r="T1624">
            <v>0.43</v>
          </cell>
          <cell r="U1624">
            <v>0.89</v>
          </cell>
          <cell r="V1624">
            <v>0.03</v>
          </cell>
          <cell r="W1624">
            <v>0</v>
          </cell>
          <cell r="X1624" t="str">
            <v>EST ESPELHO DESLIZE (WALNUT MATTE) (ESPELHO PRATA) - 0,43x0,89x0,03H</v>
          </cell>
          <cell r="Y1624">
            <v>6265.82</v>
          </cell>
          <cell r="Z1624">
            <v>0.35</v>
          </cell>
          <cell r="AA1624">
            <v>4072.7829999999999</v>
          </cell>
          <cell r="AB1624"/>
        </row>
        <row r="1625">
          <cell r="C1625">
            <v>0</v>
          </cell>
          <cell r="D1625">
            <v>0</v>
          </cell>
          <cell r="E1625">
            <v>0</v>
          </cell>
          <cell r="F1625">
            <v>2</v>
          </cell>
          <cell r="H1625">
            <v>0</v>
          </cell>
          <cell r="O1625">
            <v>334439</v>
          </cell>
          <cell r="P1625" t="str">
            <v>2022/228-0028-01</v>
          </cell>
          <cell r="Q1625" t="str">
            <v>EST POLTRONA ARRAIA (SEXT NT) (FX 30003) (WALNUT MATTE)</v>
          </cell>
          <cell r="R1625"/>
          <cell r="S1625"/>
          <cell r="T1625">
            <v>0.73</v>
          </cell>
          <cell r="U1625">
            <v>0.75</v>
          </cell>
          <cell r="V1625">
            <v>0.8</v>
          </cell>
          <cell r="W1625">
            <v>0</v>
          </cell>
          <cell r="X1625" t="str">
            <v>EST POLTRONA ARRAIA (SEXT NT) (FX 30003) (WALNUT MATTE) - 0,73x0,75x0,8H</v>
          </cell>
          <cell r="Y1625">
            <v>13010.64</v>
          </cell>
          <cell r="Z1625">
            <v>0.35</v>
          </cell>
          <cell r="AA1625">
            <v>8456.9160000000011</v>
          </cell>
          <cell r="AB1625"/>
        </row>
        <row r="1626">
          <cell r="C1626">
            <v>0</v>
          </cell>
          <cell r="D1626">
            <v>0</v>
          </cell>
          <cell r="E1626">
            <v>0</v>
          </cell>
          <cell r="F1626">
            <v>2</v>
          </cell>
          <cell r="H1626">
            <v>0</v>
          </cell>
          <cell r="O1626">
            <v>334439</v>
          </cell>
          <cell r="P1626" t="str">
            <v>2022/228-0029-01</v>
          </cell>
          <cell r="Q1626" t="str">
            <v>EST POLTRONA ARRAIA (SEXT NT) (FX 30003) (WALNUT MATTE)</v>
          </cell>
          <cell r="R1626"/>
          <cell r="S1626"/>
          <cell r="T1626">
            <v>0.73</v>
          </cell>
          <cell r="U1626">
            <v>0.75</v>
          </cell>
          <cell r="V1626">
            <v>0.8</v>
          </cell>
          <cell r="W1626">
            <v>0</v>
          </cell>
          <cell r="X1626" t="str">
            <v>EST POLTRONA ARRAIA (SEXT NT) (FX 30003) (WALNUT MATTE) - 0,73x0,75x0,8H</v>
          </cell>
          <cell r="Y1626">
            <v>13010.64</v>
          </cell>
          <cell r="Z1626">
            <v>0.35</v>
          </cell>
          <cell r="AA1626">
            <v>8456.9160000000011</v>
          </cell>
          <cell r="AB1626"/>
        </row>
        <row r="1627">
          <cell r="C1627">
            <v>0</v>
          </cell>
          <cell r="D1627">
            <v>0</v>
          </cell>
          <cell r="E1627">
            <v>0</v>
          </cell>
          <cell r="F1627">
            <v>2</v>
          </cell>
          <cell r="H1627">
            <v>0</v>
          </cell>
          <cell r="O1627">
            <v>362674</v>
          </cell>
          <cell r="P1627" t="str">
            <v>2023/087-0065-01</v>
          </cell>
          <cell r="Q1627" t="str">
            <v>EST POLTRONA MAY (BRACO MAD) (FX F50010) (TING AMENDOA)</v>
          </cell>
          <cell r="R1627"/>
          <cell r="S1627"/>
          <cell r="T1627">
            <v>0.71</v>
          </cell>
          <cell r="U1627">
            <v>0.78</v>
          </cell>
          <cell r="V1627">
            <v>0.77</v>
          </cell>
          <cell r="W1627">
            <v>0</v>
          </cell>
          <cell r="X1627" t="str">
            <v>EST POLTRONA MAY (BRACO MAD) (FX F50010) (TING AMENDOA) - 0,71x0,78x0,77H</v>
          </cell>
          <cell r="Y1627">
            <v>13349.28</v>
          </cell>
          <cell r="Z1627">
            <v>0.35</v>
          </cell>
          <cell r="AA1627">
            <v>8677.0320000000011</v>
          </cell>
          <cell r="AB1627"/>
        </row>
        <row r="1628">
          <cell r="C1628">
            <v>0</v>
          </cell>
          <cell r="D1628">
            <v>0</v>
          </cell>
          <cell r="E1628">
            <v>0</v>
          </cell>
          <cell r="F1628">
            <v>2</v>
          </cell>
          <cell r="H1628">
            <v>0</v>
          </cell>
          <cell r="O1628">
            <v>362674</v>
          </cell>
          <cell r="P1628" t="str">
            <v>2023/087-0066-01</v>
          </cell>
          <cell r="Q1628" t="str">
            <v>EST POLTRONA MAY (BRACO MAD) (FX F50010) (TING AMENDOA)</v>
          </cell>
          <cell r="R1628"/>
          <cell r="S1628"/>
          <cell r="T1628">
            <v>0.71</v>
          </cell>
          <cell r="U1628">
            <v>0.78</v>
          </cell>
          <cell r="V1628">
            <v>0.77</v>
          </cell>
          <cell r="W1628">
            <v>0</v>
          </cell>
          <cell r="X1628" t="str">
            <v>EST POLTRONA MAY (BRACO MAD) (FX F50010) (TING AMENDOA) - 0,71x0,78x0,77H</v>
          </cell>
          <cell r="Y1628">
            <v>13349.28</v>
          </cell>
          <cell r="Z1628">
            <v>0.35</v>
          </cell>
          <cell r="AA1628">
            <v>8677.0320000000011</v>
          </cell>
          <cell r="AB1628"/>
        </row>
        <row r="1629">
          <cell r="C1629">
            <v>0</v>
          </cell>
          <cell r="D1629">
            <v>0</v>
          </cell>
          <cell r="E1629">
            <v>0</v>
          </cell>
          <cell r="F1629">
            <v>6</v>
          </cell>
          <cell r="H1629">
            <v>0</v>
          </cell>
          <cell r="O1629">
            <v>373424</v>
          </cell>
          <cell r="P1629" t="str">
            <v>2023/280-0014-01</v>
          </cell>
          <cell r="Q1629" t="str">
            <v>EST CADEIRA QUERO QUERO (FX 50010) (WALNUT MATT)</v>
          </cell>
          <cell r="R1629"/>
          <cell r="S1629"/>
          <cell r="T1629">
            <v>0.49</v>
          </cell>
          <cell r="U1629">
            <v>0.54</v>
          </cell>
          <cell r="V1629">
            <v>0.8</v>
          </cell>
          <cell r="W1629">
            <v>0</v>
          </cell>
          <cell r="X1629" t="str">
            <v>EST CADEIRA QUERO QUERO (FX 50010) (WALNUT MATT) - 0,49x0,54x0,8H</v>
          </cell>
          <cell r="Y1629">
            <v>6223.93</v>
          </cell>
          <cell r="Z1629">
            <v>0.35</v>
          </cell>
          <cell r="AA1629">
            <v>4045.5545000000002</v>
          </cell>
          <cell r="AB1629"/>
        </row>
        <row r="1630">
          <cell r="C1630">
            <v>0</v>
          </cell>
          <cell r="D1630">
            <v>0</v>
          </cell>
          <cell r="E1630">
            <v>0</v>
          </cell>
          <cell r="F1630">
            <v>6</v>
          </cell>
          <cell r="H1630">
            <v>0</v>
          </cell>
          <cell r="O1630">
            <v>373424</v>
          </cell>
          <cell r="P1630" t="str">
            <v>2023/280-0016-01</v>
          </cell>
          <cell r="Q1630" t="str">
            <v>EST CADEIRA QUERO QUERO (FX 50010) (WALNUT MATT)</v>
          </cell>
          <cell r="R1630"/>
          <cell r="S1630"/>
          <cell r="T1630">
            <v>0.49</v>
          </cell>
          <cell r="U1630">
            <v>0.54</v>
          </cell>
          <cell r="V1630">
            <v>0.8</v>
          </cell>
          <cell r="W1630">
            <v>0</v>
          </cell>
          <cell r="X1630" t="str">
            <v>EST CADEIRA QUERO QUERO (FX 50010) (WALNUT MATT) - 0,49x0,54x0,8H</v>
          </cell>
          <cell r="Y1630">
            <v>6223.93</v>
          </cell>
          <cell r="Z1630">
            <v>0.35</v>
          </cell>
          <cell r="AA1630">
            <v>4045.5545000000002</v>
          </cell>
          <cell r="AB1630"/>
        </row>
        <row r="1631">
          <cell r="C1631">
            <v>0</v>
          </cell>
          <cell r="D1631">
            <v>0</v>
          </cell>
          <cell r="E1631">
            <v>0</v>
          </cell>
          <cell r="F1631">
            <v>6</v>
          </cell>
          <cell r="H1631">
            <v>0</v>
          </cell>
          <cell r="O1631">
            <v>373424</v>
          </cell>
          <cell r="P1631" t="str">
            <v>2023/280-0017-01</v>
          </cell>
          <cell r="Q1631" t="str">
            <v>EST CADEIRA QUERO QUERO (FX 50010) (WALNUT MATT)</v>
          </cell>
          <cell r="R1631"/>
          <cell r="S1631"/>
          <cell r="T1631">
            <v>0.49</v>
          </cell>
          <cell r="U1631">
            <v>0.54</v>
          </cell>
          <cell r="V1631">
            <v>0.8</v>
          </cell>
          <cell r="W1631">
            <v>0</v>
          </cell>
          <cell r="X1631" t="str">
            <v>EST CADEIRA QUERO QUERO (FX 50010) (WALNUT MATT) - 0,49x0,54x0,8H</v>
          </cell>
          <cell r="Y1631">
            <v>6223.93</v>
          </cell>
          <cell r="Z1631">
            <v>0.35</v>
          </cell>
          <cell r="AA1631">
            <v>4045.5545000000002</v>
          </cell>
          <cell r="AB1631"/>
        </row>
        <row r="1632">
          <cell r="C1632">
            <v>0</v>
          </cell>
          <cell r="D1632">
            <v>0</v>
          </cell>
          <cell r="E1632">
            <v>0</v>
          </cell>
          <cell r="F1632">
            <v>6</v>
          </cell>
          <cell r="H1632">
            <v>0</v>
          </cell>
          <cell r="O1632">
            <v>373424</v>
          </cell>
          <cell r="P1632" t="str">
            <v>2023/280-0018-01</v>
          </cell>
          <cell r="Q1632" t="str">
            <v>EST CADEIRA QUERO QUERO (FX 50010) (WALNUT MATT)</v>
          </cell>
          <cell r="R1632"/>
          <cell r="S1632"/>
          <cell r="T1632">
            <v>0.49</v>
          </cell>
          <cell r="U1632">
            <v>0.54</v>
          </cell>
          <cell r="V1632">
            <v>0.8</v>
          </cell>
          <cell r="W1632">
            <v>0</v>
          </cell>
          <cell r="X1632" t="str">
            <v>EST CADEIRA QUERO QUERO (FX 50010) (WALNUT MATT) - 0,49x0,54x0,8H</v>
          </cell>
          <cell r="Y1632">
            <v>6223.93</v>
          </cell>
          <cell r="Z1632">
            <v>0.35</v>
          </cell>
          <cell r="AA1632">
            <v>4045.5545000000002</v>
          </cell>
          <cell r="AB1632"/>
        </row>
        <row r="1633">
          <cell r="C1633">
            <v>0</v>
          </cell>
          <cell r="D1633">
            <v>0</v>
          </cell>
          <cell r="E1633">
            <v>0</v>
          </cell>
          <cell r="F1633">
            <v>6</v>
          </cell>
          <cell r="H1633">
            <v>0</v>
          </cell>
          <cell r="O1633">
            <v>373424</v>
          </cell>
          <cell r="P1633" t="str">
            <v>2023/280-0020-01</v>
          </cell>
          <cell r="Q1633" t="str">
            <v>EST CADEIRA QUERO QUERO (FX 50010) (WALNUT MATT)</v>
          </cell>
          <cell r="R1633"/>
          <cell r="S1633"/>
          <cell r="T1633">
            <v>0.49</v>
          </cell>
          <cell r="U1633">
            <v>0.54</v>
          </cell>
          <cell r="V1633">
            <v>0.8</v>
          </cell>
          <cell r="W1633">
            <v>0</v>
          </cell>
          <cell r="X1633" t="str">
            <v>EST CADEIRA QUERO QUERO (FX 50010) (WALNUT MATT) - 0,49x0,54x0,8H</v>
          </cell>
          <cell r="Y1633">
            <v>6223.93</v>
          </cell>
          <cell r="Z1633">
            <v>0.35</v>
          </cell>
          <cell r="AA1633">
            <v>4045.5545000000002</v>
          </cell>
          <cell r="AB1633"/>
        </row>
        <row r="1634">
          <cell r="C1634">
            <v>0</v>
          </cell>
          <cell r="D1634">
            <v>0</v>
          </cell>
          <cell r="E1634">
            <v>0</v>
          </cell>
          <cell r="F1634">
            <v>6</v>
          </cell>
          <cell r="H1634">
            <v>0</v>
          </cell>
          <cell r="O1634">
            <v>373424</v>
          </cell>
          <cell r="P1634" t="str">
            <v>2023/280-0021-01</v>
          </cell>
          <cell r="Q1634" t="str">
            <v>EST CADEIRA QUERO QUERO (FX 50010) (WALNUT MATT)</v>
          </cell>
          <cell r="R1634"/>
          <cell r="S1634"/>
          <cell r="T1634">
            <v>0.49</v>
          </cell>
          <cell r="U1634">
            <v>0.54</v>
          </cell>
          <cell r="V1634">
            <v>0.8</v>
          </cell>
          <cell r="W1634">
            <v>0</v>
          </cell>
          <cell r="X1634" t="str">
            <v>EST CADEIRA QUERO QUERO (FX 50010) (WALNUT MATT) - 0,49x0,54x0,8H</v>
          </cell>
          <cell r="Y1634">
            <v>6223.93</v>
          </cell>
          <cell r="Z1634">
            <v>0.35</v>
          </cell>
          <cell r="AA1634">
            <v>4045.5545000000002</v>
          </cell>
          <cell r="AB1634"/>
        </row>
        <row r="1635">
          <cell r="C1635">
            <v>1</v>
          </cell>
          <cell r="D1635">
            <v>1</v>
          </cell>
          <cell r="E1635">
            <v>1</v>
          </cell>
          <cell r="F1635">
            <v>1</v>
          </cell>
          <cell r="H1635">
            <v>0</v>
          </cell>
          <cell r="O1635">
            <v>373426</v>
          </cell>
          <cell r="P1635" t="str">
            <v>2023/280-0024-01</v>
          </cell>
          <cell r="Q1635" t="str">
            <v>EST BANQUETA BAR QUERO QUERO H65 (COURO2 2014) (NATURE MATT)</v>
          </cell>
          <cell r="R1635"/>
          <cell r="S1635"/>
          <cell r="T1635">
            <v>0.46</v>
          </cell>
          <cell r="U1635">
            <v>0.56000000000000005</v>
          </cell>
          <cell r="V1635">
            <v>0.92</v>
          </cell>
          <cell r="W1635">
            <v>0</v>
          </cell>
          <cell r="X1635" t="str">
            <v>EST BANQUETA BAR QUERO QUERO H65 (COURO2 2014) (NATURE MATT) - 0,46x0,56x0,92H</v>
          </cell>
          <cell r="Y1635">
            <v>9028.2800000000007</v>
          </cell>
          <cell r="Z1635">
            <v>0.35</v>
          </cell>
          <cell r="AA1635">
            <v>5868.3820000000005</v>
          </cell>
          <cell r="AB1635"/>
        </row>
        <row r="1636">
          <cell r="C1636">
            <v>0</v>
          </cell>
          <cell r="D1636">
            <v>0</v>
          </cell>
          <cell r="E1636">
            <v>0</v>
          </cell>
          <cell r="F1636">
            <v>1</v>
          </cell>
          <cell r="H1636">
            <v>0</v>
          </cell>
          <cell r="O1636">
            <v>374351</v>
          </cell>
          <cell r="P1636" t="str">
            <v>2024/026-0014-01</v>
          </cell>
          <cell r="Q1636" t="str">
            <v>EST ALMOFADA DECORATIVA HIMALAYA (G) (SOFT) (COURO 3001)</v>
          </cell>
          <cell r="R1636"/>
          <cell r="S1636"/>
          <cell r="T1636">
            <v>0.9</v>
          </cell>
          <cell r="U1636">
            <v>0.7</v>
          </cell>
          <cell r="V1636">
            <v>0</v>
          </cell>
          <cell r="W1636">
            <v>0</v>
          </cell>
          <cell r="X1636" t="str">
            <v>EST ALMOFADA DECORATIVA HIMALAYA (G) (SOFT) (COURO 3001) - 0,9x0,7x0H</v>
          </cell>
          <cell r="Y1636">
            <v>5536.61</v>
          </cell>
          <cell r="Z1636">
            <v>0.35</v>
          </cell>
          <cell r="AA1636">
            <v>3598.7964999999999</v>
          </cell>
          <cell r="AB1636"/>
        </row>
        <row r="1637">
          <cell r="C1637">
            <v>0</v>
          </cell>
          <cell r="D1637">
            <v>0</v>
          </cell>
          <cell r="E1637">
            <v>0</v>
          </cell>
          <cell r="F1637">
            <v>1</v>
          </cell>
          <cell r="H1637">
            <v>0</v>
          </cell>
          <cell r="O1637">
            <v>374355</v>
          </cell>
          <cell r="P1637" t="str">
            <v>2024/026-0018-01</v>
          </cell>
          <cell r="Q1637" t="str">
            <v>EST ALMOFADA DECORATIVA HIMALAYA (M) (SOFT) (COURO 3001)</v>
          </cell>
          <cell r="R1637"/>
          <cell r="S1637"/>
          <cell r="T1637">
            <v>0.7</v>
          </cell>
          <cell r="U1637">
            <v>0.7</v>
          </cell>
          <cell r="V1637">
            <v>0</v>
          </cell>
          <cell r="W1637">
            <v>0</v>
          </cell>
          <cell r="X1637" t="str">
            <v>EST ALMOFADA DECORATIVA HIMALAYA (M) (SOFT) (COURO 3001) - 0,7x0,7x0H</v>
          </cell>
          <cell r="Y1637">
            <v>4460.96</v>
          </cell>
          <cell r="Z1637">
            <v>0.35</v>
          </cell>
          <cell r="AA1637">
            <v>2899.6239999999998</v>
          </cell>
          <cell r="AB1637"/>
        </row>
        <row r="1638">
          <cell r="C1638">
            <v>1</v>
          </cell>
          <cell r="D1638">
            <v>0</v>
          </cell>
          <cell r="E1638">
            <v>0</v>
          </cell>
          <cell r="F1638">
            <v>1</v>
          </cell>
          <cell r="H1638">
            <v>0</v>
          </cell>
          <cell r="O1638">
            <v>374361</v>
          </cell>
          <cell r="P1638" t="str">
            <v>2024/026-0026-01</v>
          </cell>
          <cell r="Q1638" t="str">
            <v>EST ALMOFADA DECORATIVA HIMALAYA (P) (SOFT) FIRENZE TALLIN</v>
          </cell>
          <cell r="R1638"/>
          <cell r="S1638"/>
          <cell r="T1638">
            <v>0.5</v>
          </cell>
          <cell r="U1638">
            <v>0.33</v>
          </cell>
          <cell r="V1638">
            <v>7.0000000000000007E-2</v>
          </cell>
          <cell r="W1638">
            <v>0</v>
          </cell>
          <cell r="X1638" t="str">
            <v>EST ALMOFADA DECORATIVA HIMALAYA (P) (SOFT) FIRENZE TALLIN - 0,5x0,33x0,07H</v>
          </cell>
          <cell r="Y1638">
            <v>1695.5190000000002</v>
          </cell>
          <cell r="Z1638">
            <v>0.35</v>
          </cell>
          <cell r="AA1638">
            <v>1102.0873500000002</v>
          </cell>
          <cell r="AB1638"/>
        </row>
        <row r="1639">
          <cell r="C1639">
            <v>0</v>
          </cell>
          <cell r="D1639">
            <v>0</v>
          </cell>
          <cell r="E1639">
            <v>0</v>
          </cell>
          <cell r="F1639">
            <v>2</v>
          </cell>
          <cell r="H1639">
            <v>0</v>
          </cell>
          <cell r="O1639">
            <v>374365</v>
          </cell>
          <cell r="P1639" t="str">
            <v>2024/026-0031-01</v>
          </cell>
          <cell r="Q1639" t="str">
            <v>EST ALMOFADA DECORATIVA HIMALAYA (P) (SOFT) (C3002/DB3001)</v>
          </cell>
          <cell r="R1639"/>
          <cell r="S1639"/>
          <cell r="T1639">
            <v>0.5</v>
          </cell>
          <cell r="U1639">
            <v>0.33</v>
          </cell>
          <cell r="V1639">
            <v>7.0000000000000007E-2</v>
          </cell>
          <cell r="W1639">
            <v>0</v>
          </cell>
          <cell r="X1639" t="str">
            <v>EST ALMOFADA DECORATIVA HIMALAYA (P) (SOFT) (C3002/DB3001) - 0,5x0,33x0,07H</v>
          </cell>
          <cell r="Y1639">
            <v>2339.4839999999999</v>
          </cell>
          <cell r="Z1639">
            <v>0.35</v>
          </cell>
          <cell r="AA1639">
            <v>1520.6646000000001</v>
          </cell>
          <cell r="AB1639"/>
        </row>
        <row r="1640">
          <cell r="C1640">
            <v>0</v>
          </cell>
          <cell r="D1640">
            <v>0</v>
          </cell>
          <cell r="E1640">
            <v>0</v>
          </cell>
          <cell r="F1640">
            <v>2</v>
          </cell>
          <cell r="H1640">
            <v>0</v>
          </cell>
          <cell r="O1640">
            <v>374365</v>
          </cell>
          <cell r="P1640" t="str">
            <v>2024/026-0032-01</v>
          </cell>
          <cell r="Q1640" t="str">
            <v>EST ALMOFADA DECORATIVA HIMALAYA (P) (SOFT) (C3002/DB3001)</v>
          </cell>
          <cell r="R1640"/>
          <cell r="S1640"/>
          <cell r="T1640">
            <v>0.5</v>
          </cell>
          <cell r="U1640">
            <v>0.33</v>
          </cell>
          <cell r="V1640">
            <v>7.0000000000000007E-2</v>
          </cell>
          <cell r="W1640">
            <v>0</v>
          </cell>
          <cell r="X1640" t="str">
            <v>EST ALMOFADA DECORATIVA HIMALAYA (P) (SOFT) (C3002/DB3001) - 0,5x0,33x0,07H</v>
          </cell>
          <cell r="Y1640">
            <v>2339.4839999999999</v>
          </cell>
          <cell r="Z1640">
            <v>0.35</v>
          </cell>
          <cell r="AA1640">
            <v>1520.6646000000001</v>
          </cell>
          <cell r="AB1640"/>
        </row>
        <row r="1641">
          <cell r="C1641">
            <v>0</v>
          </cell>
          <cell r="D1641">
            <v>0</v>
          </cell>
          <cell r="E1641">
            <v>0</v>
          </cell>
          <cell r="F1641">
            <v>6</v>
          </cell>
          <cell r="H1641">
            <v>0</v>
          </cell>
          <cell r="O1641">
            <v>374366</v>
          </cell>
          <cell r="P1641" t="str">
            <v>2024/026-0033-01</v>
          </cell>
          <cell r="Q1641" t="str">
            <v>EST CADEIRA HIMALAYA C/B (CLA) (C3002/DB3001) NOG</v>
          </cell>
          <cell r="R1641"/>
          <cell r="S1641"/>
          <cell r="T1641">
            <v>0.6</v>
          </cell>
          <cell r="U1641">
            <v>0.52</v>
          </cell>
          <cell r="V1641">
            <v>0.76</v>
          </cell>
          <cell r="W1641">
            <v>0</v>
          </cell>
          <cell r="X1641" t="str">
            <v>EST CADEIRA HIMALAYA C/B (CLA) (C3002/DB3001) NOG - 0,6x0,52x0,76H</v>
          </cell>
          <cell r="Y1641">
            <v>10038.0105</v>
          </cell>
          <cell r="Z1641">
            <v>0.35</v>
          </cell>
          <cell r="AA1641">
            <v>6524.7068250000002</v>
          </cell>
          <cell r="AB1641"/>
        </row>
        <row r="1642">
          <cell r="C1642">
            <v>0</v>
          </cell>
          <cell r="D1642">
            <v>0</v>
          </cell>
          <cell r="E1642">
            <v>0</v>
          </cell>
          <cell r="F1642">
            <v>6</v>
          </cell>
          <cell r="H1642">
            <v>0</v>
          </cell>
          <cell r="O1642">
            <v>374366</v>
          </cell>
          <cell r="P1642" t="str">
            <v>2024/026-0034-01</v>
          </cell>
          <cell r="Q1642" t="str">
            <v>EST CADEIRA HIMALAYA C/B (CLA) (C3002/DB3001) NOG</v>
          </cell>
          <cell r="R1642"/>
          <cell r="S1642"/>
          <cell r="T1642">
            <v>0.6</v>
          </cell>
          <cell r="U1642">
            <v>0.52</v>
          </cell>
          <cell r="V1642">
            <v>0.76</v>
          </cell>
          <cell r="W1642">
            <v>0</v>
          </cell>
          <cell r="X1642" t="str">
            <v>EST CADEIRA HIMALAYA C/B (CLA) (C3002/DB3001) NOG - 0,6x0,52x0,76H</v>
          </cell>
          <cell r="Y1642">
            <v>10038.0105</v>
          </cell>
          <cell r="Z1642">
            <v>0.35</v>
          </cell>
          <cell r="AA1642">
            <v>6524.7068250000002</v>
          </cell>
          <cell r="AB1642"/>
        </row>
        <row r="1643">
          <cell r="C1643">
            <v>0</v>
          </cell>
          <cell r="D1643">
            <v>0</v>
          </cell>
          <cell r="E1643">
            <v>0</v>
          </cell>
          <cell r="F1643">
            <v>6</v>
          </cell>
          <cell r="H1643">
            <v>0</v>
          </cell>
          <cell r="O1643">
            <v>374366</v>
          </cell>
          <cell r="P1643" t="str">
            <v>2024/026-0035-01</v>
          </cell>
          <cell r="Q1643" t="str">
            <v>EST CADEIRA HIMALAYA C/B (CLA) (C3002/DB3001) NOG</v>
          </cell>
          <cell r="R1643"/>
          <cell r="S1643"/>
          <cell r="T1643">
            <v>0.6</v>
          </cell>
          <cell r="U1643">
            <v>0.52</v>
          </cell>
          <cell r="V1643">
            <v>0.76</v>
          </cell>
          <cell r="W1643">
            <v>0</v>
          </cell>
          <cell r="X1643" t="str">
            <v>EST CADEIRA HIMALAYA C/B (CLA) (C3002/DB3001) NOG - 0,6x0,52x0,76H</v>
          </cell>
          <cell r="Y1643">
            <v>10038.0105</v>
          </cell>
          <cell r="Z1643">
            <v>0.35</v>
          </cell>
          <cell r="AA1643">
            <v>6524.7068250000002</v>
          </cell>
          <cell r="AB1643"/>
        </row>
        <row r="1644">
          <cell r="C1644">
            <v>0</v>
          </cell>
          <cell r="D1644">
            <v>0</v>
          </cell>
          <cell r="E1644">
            <v>0</v>
          </cell>
          <cell r="F1644">
            <v>6</v>
          </cell>
          <cell r="H1644">
            <v>0</v>
          </cell>
          <cell r="O1644">
            <v>374366</v>
          </cell>
          <cell r="P1644" t="str">
            <v>2024/026-0036-01</v>
          </cell>
          <cell r="Q1644" t="str">
            <v>EST CADEIRA HIMALAYA C/B (CLA) (C3002/DB3001) NOG</v>
          </cell>
          <cell r="R1644"/>
          <cell r="S1644"/>
          <cell r="T1644">
            <v>0.6</v>
          </cell>
          <cell r="U1644">
            <v>0.52</v>
          </cell>
          <cell r="V1644">
            <v>0.76</v>
          </cell>
          <cell r="W1644">
            <v>0</v>
          </cell>
          <cell r="X1644" t="str">
            <v>EST CADEIRA HIMALAYA C/B (CLA) (C3002/DB3001) NOG - 0,6x0,52x0,76H</v>
          </cell>
          <cell r="Y1644">
            <v>10038.0105</v>
          </cell>
          <cell r="Z1644">
            <v>0.35</v>
          </cell>
          <cell r="AA1644">
            <v>6524.7068250000002</v>
          </cell>
          <cell r="AB1644"/>
        </row>
        <row r="1645">
          <cell r="C1645">
            <v>0</v>
          </cell>
          <cell r="D1645">
            <v>0</v>
          </cell>
          <cell r="E1645">
            <v>0</v>
          </cell>
          <cell r="F1645">
            <v>6</v>
          </cell>
          <cell r="H1645">
            <v>0</v>
          </cell>
          <cell r="O1645">
            <v>374366</v>
          </cell>
          <cell r="P1645" t="str">
            <v>2024/026-0037-01</v>
          </cell>
          <cell r="Q1645" t="str">
            <v>EST CADEIRA HIMALAYA C/B (CLA) (C3002/DB3001) NOG</v>
          </cell>
          <cell r="R1645"/>
          <cell r="S1645"/>
          <cell r="T1645">
            <v>0.6</v>
          </cell>
          <cell r="U1645">
            <v>0.52</v>
          </cell>
          <cell r="V1645">
            <v>0.76</v>
          </cell>
          <cell r="W1645">
            <v>0</v>
          </cell>
          <cell r="X1645" t="str">
            <v>EST CADEIRA HIMALAYA C/B (CLA) (C3002/DB3001) NOG - 0,6x0,52x0,76H</v>
          </cell>
          <cell r="Y1645">
            <v>10038.0105</v>
          </cell>
          <cell r="Z1645">
            <v>0.35</v>
          </cell>
          <cell r="AA1645">
            <v>6524.7068250000002</v>
          </cell>
          <cell r="AB1645"/>
        </row>
        <row r="1646">
          <cell r="C1646">
            <v>0</v>
          </cell>
          <cell r="D1646">
            <v>0</v>
          </cell>
          <cell r="E1646">
            <v>0</v>
          </cell>
          <cell r="F1646">
            <v>6</v>
          </cell>
          <cell r="H1646">
            <v>0</v>
          </cell>
          <cell r="O1646">
            <v>374366</v>
          </cell>
          <cell r="P1646" t="str">
            <v>2024/026-0038-01</v>
          </cell>
          <cell r="Q1646" t="str">
            <v>EST CADEIRA HIMALAYA C/B (CLA) (C3002/DB3001) NOG</v>
          </cell>
          <cell r="R1646"/>
          <cell r="S1646"/>
          <cell r="T1646">
            <v>0.6</v>
          </cell>
          <cell r="U1646">
            <v>0.52</v>
          </cell>
          <cell r="V1646">
            <v>0.76</v>
          </cell>
          <cell r="W1646">
            <v>0</v>
          </cell>
          <cell r="X1646" t="str">
            <v>EST CADEIRA HIMALAYA C/B (CLA) (C3002/DB3001) NOG - 0,6x0,52x0,76H</v>
          </cell>
          <cell r="Y1646">
            <v>10038.0105</v>
          </cell>
          <cell r="Z1646">
            <v>0.35</v>
          </cell>
          <cell r="AA1646">
            <v>6524.7068250000002</v>
          </cell>
          <cell r="AB1646"/>
        </row>
        <row r="1647">
          <cell r="C1647">
            <v>0</v>
          </cell>
          <cell r="D1647">
            <v>0</v>
          </cell>
          <cell r="E1647">
            <v>0</v>
          </cell>
          <cell r="F1647">
            <v>4</v>
          </cell>
          <cell r="H1647">
            <v>0</v>
          </cell>
          <cell r="O1647">
            <v>374367</v>
          </cell>
          <cell r="P1647" t="str">
            <v>2024/026-0039-01</v>
          </cell>
          <cell r="Q1647" t="str">
            <v>EST ALMOFADA DECORATIVA HIMALAYA (PP) (SOFT) (C3002/DB3001)</v>
          </cell>
          <cell r="R1647"/>
          <cell r="S1647"/>
          <cell r="T1647">
            <v>0.4</v>
          </cell>
          <cell r="U1647">
            <v>0.33</v>
          </cell>
          <cell r="V1647">
            <v>7.0000000000000007E-2</v>
          </cell>
          <cell r="W1647">
            <v>0</v>
          </cell>
          <cell r="X1647" t="str">
            <v>EST ALMOFADA DECORATIVA HIMALAYA (PP) (SOFT) (C3002/DB3001) - 0,4x0,33x0,07H</v>
          </cell>
          <cell r="Y1647">
            <v>2107.5284999999999</v>
          </cell>
          <cell r="Z1647">
            <v>0.35</v>
          </cell>
          <cell r="AA1647">
            <v>1369.893525</v>
          </cell>
          <cell r="AB1647"/>
        </row>
        <row r="1648">
          <cell r="C1648">
            <v>0</v>
          </cell>
          <cell r="D1648">
            <v>0</v>
          </cell>
          <cell r="E1648">
            <v>0</v>
          </cell>
          <cell r="F1648">
            <v>4</v>
          </cell>
          <cell r="H1648">
            <v>0</v>
          </cell>
          <cell r="O1648">
            <v>374367</v>
          </cell>
          <cell r="P1648" t="str">
            <v>2024/026-0040-01</v>
          </cell>
          <cell r="Q1648" t="str">
            <v>EST ALMOFADA DECORATIVA HIMALAYA (PP) (SOFT) (C3002/DB3001)</v>
          </cell>
          <cell r="R1648"/>
          <cell r="S1648"/>
          <cell r="T1648">
            <v>0.4</v>
          </cell>
          <cell r="U1648">
            <v>0.33</v>
          </cell>
          <cell r="V1648">
            <v>7.0000000000000007E-2</v>
          </cell>
          <cell r="W1648">
            <v>0</v>
          </cell>
          <cell r="X1648" t="str">
            <v>EST ALMOFADA DECORATIVA HIMALAYA (PP) (SOFT) (C3002/DB3001) - 0,4x0,33x0,07H</v>
          </cell>
          <cell r="Y1648">
            <v>2107.5284999999999</v>
          </cell>
          <cell r="Z1648">
            <v>0.35</v>
          </cell>
          <cell r="AA1648">
            <v>1369.893525</v>
          </cell>
          <cell r="AB1648"/>
        </row>
        <row r="1649">
          <cell r="C1649">
            <v>0</v>
          </cell>
          <cell r="D1649">
            <v>0</v>
          </cell>
          <cell r="E1649">
            <v>0</v>
          </cell>
          <cell r="F1649">
            <v>4</v>
          </cell>
          <cell r="H1649">
            <v>0</v>
          </cell>
          <cell r="O1649">
            <v>374367</v>
          </cell>
          <cell r="P1649" t="str">
            <v>2024/026-0041-01</v>
          </cell>
          <cell r="Q1649" t="str">
            <v>EST ALMOFADA DECORATIVA HIMALAYA (PP) (SOFT) (C3002/DB3001)</v>
          </cell>
          <cell r="R1649"/>
          <cell r="S1649"/>
          <cell r="T1649">
            <v>0.4</v>
          </cell>
          <cell r="U1649">
            <v>0.33</v>
          </cell>
          <cell r="V1649">
            <v>7.0000000000000007E-2</v>
          </cell>
          <cell r="W1649">
            <v>0</v>
          </cell>
          <cell r="X1649" t="str">
            <v>EST ALMOFADA DECORATIVA HIMALAYA (PP) (SOFT) (C3002/DB3001) - 0,4x0,33x0,07H</v>
          </cell>
          <cell r="Y1649">
            <v>2107.5284999999999</v>
          </cell>
          <cell r="Z1649">
            <v>0.35</v>
          </cell>
          <cell r="AA1649">
            <v>1369.893525</v>
          </cell>
          <cell r="AB1649"/>
        </row>
        <row r="1650">
          <cell r="C1650">
            <v>0</v>
          </cell>
          <cell r="D1650">
            <v>0</v>
          </cell>
          <cell r="E1650">
            <v>0</v>
          </cell>
          <cell r="F1650">
            <v>4</v>
          </cell>
          <cell r="H1650">
            <v>0</v>
          </cell>
          <cell r="O1650">
            <v>374367</v>
          </cell>
          <cell r="P1650" t="str">
            <v>2024/026-0042-01</v>
          </cell>
          <cell r="Q1650" t="str">
            <v>EST ALMOFADA DECORATIVA HIMALAYA (PP) (SOFT) (C3002/DB3001)</v>
          </cell>
          <cell r="R1650"/>
          <cell r="S1650"/>
          <cell r="T1650">
            <v>0.4</v>
          </cell>
          <cell r="U1650">
            <v>0.33</v>
          </cell>
          <cell r="V1650">
            <v>7.0000000000000007E-2</v>
          </cell>
          <cell r="W1650">
            <v>0</v>
          </cell>
          <cell r="X1650" t="str">
            <v>EST ALMOFADA DECORATIVA HIMALAYA (PP) (SOFT) (C3002/DB3001) - 0,4x0,33x0,07H</v>
          </cell>
          <cell r="Y1650">
            <v>2107.5284999999999</v>
          </cell>
          <cell r="Z1650">
            <v>0.35</v>
          </cell>
          <cell r="AA1650">
            <v>1369.893525</v>
          </cell>
          <cell r="AB1650"/>
        </row>
        <row r="1651">
          <cell r="C1651">
            <v>0</v>
          </cell>
          <cell r="D1651">
            <v>0</v>
          </cell>
          <cell r="E1651">
            <v>0</v>
          </cell>
          <cell r="F1651">
            <v>4</v>
          </cell>
          <cell r="H1651">
            <v>0</v>
          </cell>
          <cell r="O1651">
            <v>374367</v>
          </cell>
          <cell r="P1651" t="str">
            <v>2024/026-0043-01</v>
          </cell>
          <cell r="Q1651" t="str">
            <v>EST ALMOFADA DECORATIVA HIMALAYA (PP) (SOFT) (C3002/DB3001)</v>
          </cell>
          <cell r="R1651"/>
          <cell r="S1651"/>
          <cell r="T1651">
            <v>0.4</v>
          </cell>
          <cell r="U1651">
            <v>0.33</v>
          </cell>
          <cell r="V1651">
            <v>7.0000000000000007E-2</v>
          </cell>
          <cell r="W1651">
            <v>0</v>
          </cell>
          <cell r="X1651" t="str">
            <v>EST ALMOFADA DECORATIVA HIMALAYA (PP) (SOFT) (C3002/DB3001) - 0,4x0,33x0,07H</v>
          </cell>
          <cell r="Y1651">
            <v>2107.5284999999999</v>
          </cell>
          <cell r="Z1651">
            <v>0.35</v>
          </cell>
          <cell r="AA1651">
            <v>1369.893525</v>
          </cell>
          <cell r="AB1651"/>
        </row>
        <row r="1652">
          <cell r="C1652">
            <v>0</v>
          </cell>
          <cell r="D1652">
            <v>0</v>
          </cell>
          <cell r="E1652">
            <v>0</v>
          </cell>
          <cell r="F1652">
            <v>4</v>
          </cell>
          <cell r="H1652">
            <v>0</v>
          </cell>
          <cell r="O1652">
            <v>374367</v>
          </cell>
          <cell r="P1652" t="str">
            <v>2024/026-0044-01</v>
          </cell>
          <cell r="Q1652" t="str">
            <v>EST ALMOFADA DECORATIVA HIMALAYA (PP) (SOFT) (C3002/DB3001)</v>
          </cell>
          <cell r="R1652"/>
          <cell r="S1652"/>
          <cell r="T1652">
            <v>0.4</v>
          </cell>
          <cell r="U1652">
            <v>0.33</v>
          </cell>
          <cell r="V1652">
            <v>7.0000000000000007E-2</v>
          </cell>
          <cell r="W1652">
            <v>0</v>
          </cell>
          <cell r="X1652" t="str">
            <v>EST ALMOFADA DECORATIVA HIMALAYA (PP) (SOFT) (C3002/DB3001) - 0,4x0,33x0,07H</v>
          </cell>
          <cell r="Y1652">
            <v>2107.5284999999999</v>
          </cell>
          <cell r="Z1652">
            <v>0.35</v>
          </cell>
          <cell r="AA1652">
            <v>1369.893525</v>
          </cell>
          <cell r="AB1652"/>
        </row>
        <row r="1653">
          <cell r="C1653">
            <v>0</v>
          </cell>
          <cell r="D1653">
            <v>0</v>
          </cell>
          <cell r="E1653">
            <v>0</v>
          </cell>
          <cell r="F1653">
            <v>1</v>
          </cell>
          <cell r="H1653">
            <v>1</v>
          </cell>
          <cell r="O1653">
            <v>374368</v>
          </cell>
          <cell r="P1653" t="str">
            <v>2024/026-0046-01</v>
          </cell>
          <cell r="Q1653" t="str">
            <v>EST BANQUETA BAR HIMALAYA 75H C/BR (CON) (C3008) AMENDOA</v>
          </cell>
          <cell r="R1653"/>
          <cell r="S1653"/>
          <cell r="T1653">
            <v>0.56000000000000005</v>
          </cell>
          <cell r="U1653">
            <v>0.52</v>
          </cell>
          <cell r="V1653">
            <v>1.04</v>
          </cell>
          <cell r="W1653">
            <v>0</v>
          </cell>
          <cell r="X1653" t="str">
            <v>EST BANQUETA BAR HIMALAYA 75H C/BR (CON) (C3008) AMENDOA - 0,56x0,52x1,04H</v>
          </cell>
          <cell r="Y1653">
            <v>10607.92</v>
          </cell>
          <cell r="Z1653">
            <v>0.35</v>
          </cell>
          <cell r="AA1653">
            <v>6895.1480000000001</v>
          </cell>
          <cell r="AB1653"/>
        </row>
        <row r="1654">
          <cell r="C1654">
            <v>0</v>
          </cell>
          <cell r="D1654">
            <v>0</v>
          </cell>
          <cell r="E1654">
            <v>0</v>
          </cell>
          <cell r="F1654">
            <v>2</v>
          </cell>
          <cell r="H1654">
            <v>0</v>
          </cell>
          <cell r="O1654">
            <v>374375</v>
          </cell>
          <cell r="P1654" t="str">
            <v>2024/026-0059-01</v>
          </cell>
          <cell r="Q1654" t="str">
            <v>EST ALMOFADA DECORATIVA HIMALAYA (M) (SOFT) (COURO 3001)</v>
          </cell>
          <cell r="R1654"/>
          <cell r="S1654"/>
          <cell r="T1654">
            <v>0.7</v>
          </cell>
          <cell r="U1654">
            <v>0.7</v>
          </cell>
          <cell r="V1654">
            <v>0</v>
          </cell>
          <cell r="W1654">
            <v>0</v>
          </cell>
          <cell r="X1654" t="str">
            <v>EST ALMOFADA DECORATIVA HIMALAYA (M) (SOFT) (COURO 3001) - 0,7x0,7x0H</v>
          </cell>
          <cell r="Y1654">
            <v>4460.96</v>
          </cell>
          <cell r="Z1654">
            <v>0.35</v>
          </cell>
          <cell r="AA1654">
            <v>2899.6239999999998</v>
          </cell>
          <cell r="AB1654"/>
        </row>
        <row r="1655">
          <cell r="C1655">
            <v>0</v>
          </cell>
          <cell r="D1655">
            <v>0</v>
          </cell>
          <cell r="E1655">
            <v>0</v>
          </cell>
          <cell r="F1655">
            <v>2</v>
          </cell>
          <cell r="H1655">
            <v>0</v>
          </cell>
          <cell r="O1655">
            <v>374375</v>
          </cell>
          <cell r="P1655" t="str">
            <v>2024/026-0060-01</v>
          </cell>
          <cell r="Q1655" t="str">
            <v>EST ALMOFADA DECORATIVA HIMALAYA (M) (SOFT) (COURO 3001)</v>
          </cell>
          <cell r="R1655"/>
          <cell r="S1655"/>
          <cell r="T1655">
            <v>0.7</v>
          </cell>
          <cell r="U1655">
            <v>0.7</v>
          </cell>
          <cell r="V1655">
            <v>0</v>
          </cell>
          <cell r="W1655">
            <v>0</v>
          </cell>
          <cell r="X1655" t="str">
            <v>EST ALMOFADA DECORATIVA HIMALAYA (M) (SOFT) (COURO 3001) - 0,7x0,7x0H</v>
          </cell>
          <cell r="Y1655">
            <v>4460.96</v>
          </cell>
          <cell r="Z1655">
            <v>0.35</v>
          </cell>
          <cell r="AA1655">
            <v>2899.6239999999998</v>
          </cell>
          <cell r="AB1655"/>
        </row>
        <row r="1656">
          <cell r="C1656">
            <v>0</v>
          </cell>
          <cell r="D1656">
            <v>0</v>
          </cell>
          <cell r="E1656">
            <v>0</v>
          </cell>
          <cell r="F1656">
            <v>1</v>
          </cell>
          <cell r="H1656">
            <v>0</v>
          </cell>
          <cell r="O1656">
            <v>374376</v>
          </cell>
          <cell r="P1656" t="str">
            <v>2024/026-0061-01</v>
          </cell>
          <cell r="Q1656" t="str">
            <v>EST CHAISE HIMALAYA (RED) (CON) (FX 80009) BASE C3001</v>
          </cell>
          <cell r="R1656"/>
          <cell r="S1656"/>
          <cell r="T1656">
            <v>1.6</v>
          </cell>
          <cell r="U1656">
            <v>0</v>
          </cell>
          <cell r="V1656">
            <v>0.74</v>
          </cell>
          <cell r="W1656">
            <v>1.6</v>
          </cell>
          <cell r="X1656" t="str">
            <v>EST CHAISE HIMALAYA (RED) (CON) (FX 80009) BASE C3001 - Ø1,6x0,74H</v>
          </cell>
          <cell r="Y1656">
            <v>36425.356</v>
          </cell>
          <cell r="Z1656">
            <v>0.35</v>
          </cell>
          <cell r="AA1656">
            <v>23676.481400000001</v>
          </cell>
          <cell r="AB1656"/>
        </row>
        <row r="1657">
          <cell r="C1657">
            <v>0</v>
          </cell>
          <cell r="D1657">
            <v>0</v>
          </cell>
          <cell r="E1657">
            <v>0</v>
          </cell>
          <cell r="F1657">
            <v>2</v>
          </cell>
          <cell r="H1657">
            <v>0</v>
          </cell>
          <cell r="O1657">
            <v>374377</v>
          </cell>
          <cell r="P1657" t="str">
            <v>2024/026-0062-01</v>
          </cell>
          <cell r="Q1657" t="str">
            <v>EST POLTRONA HIMALAYA (ESTAR) (CON) NOG COURO OLD RUSTY</v>
          </cell>
          <cell r="R1657"/>
          <cell r="S1657"/>
          <cell r="T1657">
            <v>0.7</v>
          </cell>
          <cell r="U1657">
            <v>0.7</v>
          </cell>
          <cell r="V1657">
            <v>0.73</v>
          </cell>
          <cell r="W1657">
            <v>0</v>
          </cell>
          <cell r="X1657" t="str">
            <v>EST POLTRONA HIMALAYA (ESTAR) (CON) NOG COURO OLD RUSTY - 0,7x0,7x0,73H</v>
          </cell>
          <cell r="Y1657">
            <v>9534.8719999999994</v>
          </cell>
          <cell r="Z1657">
            <v>0.35</v>
          </cell>
          <cell r="AA1657">
            <v>6197.6668</v>
          </cell>
          <cell r="AB1657"/>
        </row>
        <row r="1658">
          <cell r="C1658">
            <v>0</v>
          </cell>
          <cell r="D1658">
            <v>0</v>
          </cell>
          <cell r="E1658">
            <v>0</v>
          </cell>
          <cell r="F1658">
            <v>2</v>
          </cell>
          <cell r="H1658">
            <v>0</v>
          </cell>
          <cell r="O1658">
            <v>374377</v>
          </cell>
          <cell r="P1658" t="str">
            <v>2024/026-0063-01</v>
          </cell>
          <cell r="Q1658" t="str">
            <v>EST POLTRONA HIMALAYA (ESTAR) (CON) NOG COURO OLD RUSTY</v>
          </cell>
          <cell r="R1658"/>
          <cell r="S1658"/>
          <cell r="T1658">
            <v>0.7</v>
          </cell>
          <cell r="U1658">
            <v>0.7</v>
          </cell>
          <cell r="V1658">
            <v>0.73</v>
          </cell>
          <cell r="W1658">
            <v>0</v>
          </cell>
          <cell r="X1658" t="str">
            <v>EST POLTRONA HIMALAYA (ESTAR) (CON) NOG COURO OLD RUSTY - 0,7x0,7x0,73H</v>
          </cell>
          <cell r="Y1658">
            <v>9534.8719999999994</v>
          </cell>
          <cell r="Z1658">
            <v>0.35</v>
          </cell>
          <cell r="AA1658">
            <v>6197.6668</v>
          </cell>
          <cell r="AB1658"/>
        </row>
        <row r="1659">
          <cell r="C1659">
            <v>0</v>
          </cell>
          <cell r="D1659">
            <v>0</v>
          </cell>
          <cell r="E1659">
            <v>0</v>
          </cell>
          <cell r="F1659">
            <v>2</v>
          </cell>
          <cell r="H1659">
            <v>0</v>
          </cell>
          <cell r="O1659">
            <v>374378</v>
          </cell>
          <cell r="P1659" t="str">
            <v>2024/026-0064-01</v>
          </cell>
          <cell r="Q1659" t="str">
            <v>EST ALMOFADA DECORATIVA HIMALAYA (P) (SOFT) (DB3001) OLD RUS</v>
          </cell>
          <cell r="R1659"/>
          <cell r="S1659"/>
          <cell r="T1659">
            <v>0.5</v>
          </cell>
          <cell r="U1659">
            <v>0.33</v>
          </cell>
          <cell r="V1659">
            <v>7.0000000000000007E-2</v>
          </cell>
          <cell r="W1659">
            <v>0</v>
          </cell>
          <cell r="X1659" t="str">
            <v>EST ALMOFADA DECORATIVA HIMALAYA (P) (SOFT) (DB3001) OLD RUS - 0,5x0,33x0,07H</v>
          </cell>
          <cell r="Y1659">
            <v>1695.5190000000002</v>
          </cell>
          <cell r="Z1659">
            <v>0.35</v>
          </cell>
          <cell r="AA1659">
            <v>1102.0873500000002</v>
          </cell>
          <cell r="AB1659"/>
        </row>
        <row r="1660">
          <cell r="C1660">
            <v>0</v>
          </cell>
          <cell r="D1660">
            <v>0</v>
          </cell>
          <cell r="E1660">
            <v>0</v>
          </cell>
          <cell r="F1660">
            <v>2</v>
          </cell>
          <cell r="H1660">
            <v>0</v>
          </cell>
          <cell r="O1660">
            <v>374378</v>
          </cell>
          <cell r="P1660" t="str">
            <v>2024/026-0065-01</v>
          </cell>
          <cell r="Q1660" t="str">
            <v>EST ALMOFADA DECORATIVA HIMALAYA (P) (SOFT) (DB3001) OLD RUS</v>
          </cell>
          <cell r="R1660"/>
          <cell r="S1660"/>
          <cell r="T1660">
            <v>0.5</v>
          </cell>
          <cell r="U1660">
            <v>0.33</v>
          </cell>
          <cell r="V1660">
            <v>7.0000000000000007E-2</v>
          </cell>
          <cell r="W1660">
            <v>0</v>
          </cell>
          <cell r="X1660" t="str">
            <v>EST ALMOFADA DECORATIVA HIMALAYA (P) (SOFT) (DB3001) OLD RUS - 0,5x0,33x0,07H</v>
          </cell>
          <cell r="Y1660">
            <v>1695.5190000000002</v>
          </cell>
          <cell r="Z1660">
            <v>0.35</v>
          </cell>
          <cell r="AA1660">
            <v>1102.0873500000002</v>
          </cell>
          <cell r="AB1660"/>
        </row>
        <row r="1661">
          <cell r="C1661">
            <v>4</v>
          </cell>
          <cell r="D1661">
            <v>0</v>
          </cell>
          <cell r="E1661">
            <v>0</v>
          </cell>
          <cell r="F1661">
            <v>7</v>
          </cell>
          <cell r="H1661">
            <v>0</v>
          </cell>
          <cell r="O1661">
            <v>383227</v>
          </cell>
          <cell r="P1661" t="str">
            <v>2024/093-0069-01</v>
          </cell>
          <cell r="Q1661" t="str">
            <v>EST ALMOFADA DECORATIVA HIMALAYA (G) (SOFT) TC CRAFTED GLAZE</v>
          </cell>
          <cell r="R1661"/>
          <cell r="S1661"/>
          <cell r="T1661">
            <v>0.9</v>
          </cell>
          <cell r="U1661">
            <v>0.7</v>
          </cell>
          <cell r="V1661">
            <v>0</v>
          </cell>
          <cell r="W1661">
            <v>0</v>
          </cell>
          <cell r="X1661" t="str">
            <v>EST ALMOFADA DECORATIVA HIMALAYA (G) (SOFT) TC CRAFTED GLAZE - 0,9x0,7x0H</v>
          </cell>
          <cell r="Y1661">
            <v>2915.6380600000002</v>
          </cell>
          <cell r="Z1661">
            <v>0.35</v>
          </cell>
          <cell r="AA1661">
            <v>1895.1647390000003</v>
          </cell>
          <cell r="AB1661"/>
        </row>
        <row r="1662">
          <cell r="C1662">
            <v>4</v>
          </cell>
          <cell r="D1662">
            <v>0</v>
          </cell>
          <cell r="E1662">
            <v>0</v>
          </cell>
          <cell r="F1662">
            <v>7</v>
          </cell>
          <cell r="H1662">
            <v>0</v>
          </cell>
          <cell r="O1662">
            <v>383227</v>
          </cell>
          <cell r="P1662" t="str">
            <v>2024/093-0070-01</v>
          </cell>
          <cell r="Q1662" t="str">
            <v>EST ALMOFADA DECORATIVA HIMALAYA (G) (SOFT) TC CRAFTED GLAZE</v>
          </cell>
          <cell r="R1662"/>
          <cell r="S1662"/>
          <cell r="T1662">
            <v>0.9</v>
          </cell>
          <cell r="U1662">
            <v>0.7</v>
          </cell>
          <cell r="V1662">
            <v>0</v>
          </cell>
          <cell r="W1662">
            <v>0</v>
          </cell>
          <cell r="X1662" t="str">
            <v>EST ALMOFADA DECORATIVA HIMALAYA (G) (SOFT) TC CRAFTED GLAZE - 0,9x0,7x0H</v>
          </cell>
          <cell r="Y1662">
            <v>2915.6380600000002</v>
          </cell>
          <cell r="Z1662">
            <v>0.35</v>
          </cell>
          <cell r="AA1662">
            <v>1895.1647390000003</v>
          </cell>
          <cell r="AB1662"/>
        </row>
        <row r="1663">
          <cell r="C1663">
            <v>4</v>
          </cell>
          <cell r="D1663">
            <v>0</v>
          </cell>
          <cell r="E1663">
            <v>0</v>
          </cell>
          <cell r="F1663">
            <v>7</v>
          </cell>
          <cell r="H1663">
            <v>0</v>
          </cell>
          <cell r="O1663">
            <v>383227</v>
          </cell>
          <cell r="P1663" t="str">
            <v>2024/093-0071-01</v>
          </cell>
          <cell r="Q1663" t="str">
            <v>EST ALMOFADA DECORATIVA HIMALAYA (G) (SOFT) TC CRAFTED GLAZE</v>
          </cell>
          <cell r="R1663"/>
          <cell r="S1663"/>
          <cell r="T1663">
            <v>0.9</v>
          </cell>
          <cell r="U1663">
            <v>0.7</v>
          </cell>
          <cell r="V1663">
            <v>0</v>
          </cell>
          <cell r="W1663">
            <v>0</v>
          </cell>
          <cell r="X1663" t="str">
            <v>EST ALMOFADA DECORATIVA HIMALAYA (G) (SOFT) TC CRAFTED GLAZE - 0,9x0,7x0H</v>
          </cell>
          <cell r="Y1663">
            <v>2915.6380600000002</v>
          </cell>
          <cell r="Z1663">
            <v>0.35</v>
          </cell>
          <cell r="AA1663">
            <v>1895.1647390000003</v>
          </cell>
          <cell r="AB1663"/>
        </row>
        <row r="1664">
          <cell r="C1664">
            <v>4</v>
          </cell>
          <cell r="D1664">
            <v>0</v>
          </cell>
          <cell r="E1664">
            <v>0</v>
          </cell>
          <cell r="F1664">
            <v>7</v>
          </cell>
          <cell r="H1664">
            <v>0</v>
          </cell>
          <cell r="O1664">
            <v>383227</v>
          </cell>
          <cell r="P1664" t="str">
            <v>2024/093-0072-01</v>
          </cell>
          <cell r="Q1664" t="str">
            <v>EST ALMOFADA DECORATIVA HIMALAYA (G) (SOFT) TC CRAFTED GLAZE</v>
          </cell>
          <cell r="R1664"/>
          <cell r="S1664"/>
          <cell r="T1664">
            <v>0.9</v>
          </cell>
          <cell r="U1664">
            <v>0.7</v>
          </cell>
          <cell r="V1664">
            <v>0</v>
          </cell>
          <cell r="W1664">
            <v>0</v>
          </cell>
          <cell r="X1664" t="str">
            <v>EST ALMOFADA DECORATIVA HIMALAYA (G) (SOFT) TC CRAFTED GLAZE - 0,9x0,7x0H</v>
          </cell>
          <cell r="Y1664">
            <v>2915.6380600000002</v>
          </cell>
          <cell r="Z1664">
            <v>0.35</v>
          </cell>
          <cell r="AA1664">
            <v>1895.1647390000003</v>
          </cell>
          <cell r="AB1664"/>
        </row>
        <row r="1665">
          <cell r="C1665">
            <v>4</v>
          </cell>
          <cell r="D1665">
            <v>0</v>
          </cell>
          <cell r="E1665">
            <v>0</v>
          </cell>
          <cell r="F1665">
            <v>7</v>
          </cell>
          <cell r="H1665">
            <v>0</v>
          </cell>
          <cell r="O1665">
            <v>383227</v>
          </cell>
          <cell r="P1665" t="str">
            <v>2024/093-0073-01</v>
          </cell>
          <cell r="Q1665" t="str">
            <v>EST ALMOFADA DECORATIVA HIMALAYA (G) (SOFT) TC CRAFTED GLAZE</v>
          </cell>
          <cell r="R1665"/>
          <cell r="S1665"/>
          <cell r="T1665">
            <v>0.9</v>
          </cell>
          <cell r="U1665">
            <v>0.7</v>
          </cell>
          <cell r="V1665">
            <v>0</v>
          </cell>
          <cell r="W1665">
            <v>0</v>
          </cell>
          <cell r="X1665" t="str">
            <v>EST ALMOFADA DECORATIVA HIMALAYA (G) (SOFT) TC CRAFTED GLAZE - 0,9x0,7x0H</v>
          </cell>
          <cell r="Y1665">
            <v>2915.6380600000002</v>
          </cell>
          <cell r="Z1665">
            <v>0.35</v>
          </cell>
          <cell r="AA1665">
            <v>1895.1647390000003</v>
          </cell>
          <cell r="AB1665"/>
        </row>
        <row r="1666">
          <cell r="C1666">
            <v>4</v>
          </cell>
          <cell r="D1666">
            <v>0</v>
          </cell>
          <cell r="E1666">
            <v>0</v>
          </cell>
          <cell r="F1666">
            <v>7</v>
          </cell>
          <cell r="H1666">
            <v>0</v>
          </cell>
          <cell r="O1666">
            <v>383227</v>
          </cell>
          <cell r="P1666" t="str">
            <v>2024/093-0074-01</v>
          </cell>
          <cell r="Q1666" t="str">
            <v>EST ALMOFADA DECORATIVA HIMALAYA (G) (SOFT) TC CRAFTED GLAZE</v>
          </cell>
          <cell r="R1666"/>
          <cell r="S1666"/>
          <cell r="T1666">
            <v>0.9</v>
          </cell>
          <cell r="U1666">
            <v>0.7</v>
          </cell>
          <cell r="V1666">
            <v>0</v>
          </cell>
          <cell r="W1666">
            <v>0</v>
          </cell>
          <cell r="X1666" t="str">
            <v>EST ALMOFADA DECORATIVA HIMALAYA (G) (SOFT) TC CRAFTED GLAZE - 0,9x0,7x0H</v>
          </cell>
          <cell r="Y1666">
            <v>2915.6380600000002</v>
          </cell>
          <cell r="Z1666">
            <v>0.35</v>
          </cell>
          <cell r="AA1666">
            <v>1895.1647390000003</v>
          </cell>
          <cell r="AB1666"/>
        </row>
        <row r="1667">
          <cell r="C1667">
            <v>4</v>
          </cell>
          <cell r="D1667">
            <v>0</v>
          </cell>
          <cell r="E1667">
            <v>0</v>
          </cell>
          <cell r="F1667">
            <v>7</v>
          </cell>
          <cell r="H1667">
            <v>0</v>
          </cell>
          <cell r="O1667">
            <v>383227</v>
          </cell>
          <cell r="P1667" t="str">
            <v>2024/093-0075-01</v>
          </cell>
          <cell r="Q1667" t="str">
            <v>EST ALMOFADA DECORATIVA HIMALAYA (G) (SOFT) TC CRAFTED GLAZE</v>
          </cell>
          <cell r="R1667"/>
          <cell r="S1667"/>
          <cell r="T1667">
            <v>0.9</v>
          </cell>
          <cell r="U1667">
            <v>0.7</v>
          </cell>
          <cell r="V1667">
            <v>0</v>
          </cell>
          <cell r="W1667">
            <v>0</v>
          </cell>
          <cell r="X1667" t="str">
            <v>EST ALMOFADA DECORATIVA HIMALAYA (G) (SOFT) TC CRAFTED GLAZE - 0,9x0,7x0H</v>
          </cell>
          <cell r="Y1667">
            <v>2915.6380600000002</v>
          </cell>
          <cell r="Z1667">
            <v>0.35</v>
          </cell>
          <cell r="AA1667">
            <v>1895.1647390000003</v>
          </cell>
          <cell r="AB1667"/>
        </row>
        <row r="1668">
          <cell r="C1668">
            <v>0</v>
          </cell>
          <cell r="D1668">
            <v>0</v>
          </cell>
          <cell r="E1668">
            <v>0</v>
          </cell>
          <cell r="F1668">
            <v>2</v>
          </cell>
          <cell r="H1668">
            <v>0</v>
          </cell>
          <cell r="O1668">
            <v>383228</v>
          </cell>
          <cell r="P1668" t="str">
            <v>2024/093-0080-01</v>
          </cell>
          <cell r="Q1668" t="str">
            <v>EST ALMOFADA DECORATIVA HIMALAYA (G) (SOFT) (TC 80009)</v>
          </cell>
          <cell r="R1668"/>
          <cell r="S1668"/>
          <cell r="T1668">
            <v>0.9</v>
          </cell>
          <cell r="U1668">
            <v>0.7</v>
          </cell>
          <cell r="V1668">
            <v>0</v>
          </cell>
          <cell r="W1668">
            <v>0</v>
          </cell>
          <cell r="X1668" t="str">
            <v>EST ALMOFADA DECORATIVA HIMALAYA (G) (SOFT) (TC 80009) - 0,9x0,7x0H</v>
          </cell>
          <cell r="Y1668">
            <v>2905.15</v>
          </cell>
          <cell r="Z1668">
            <v>0.35</v>
          </cell>
          <cell r="AA1668">
            <v>1888.3475000000001</v>
          </cell>
          <cell r="AB1668"/>
        </row>
        <row r="1669">
          <cell r="C1669">
            <v>0</v>
          </cell>
          <cell r="D1669">
            <v>0</v>
          </cell>
          <cell r="E1669">
            <v>0</v>
          </cell>
          <cell r="F1669">
            <v>2</v>
          </cell>
          <cell r="H1669">
            <v>0</v>
          </cell>
          <cell r="O1669">
            <v>383228</v>
          </cell>
          <cell r="P1669" t="str">
            <v>2024/093-0081-01</v>
          </cell>
          <cell r="Q1669" t="str">
            <v>EST ALMOFADA DECORATIVA HIMALAYA (G) (SOFT) (TC 80009)</v>
          </cell>
          <cell r="R1669"/>
          <cell r="S1669"/>
          <cell r="T1669">
            <v>0.9</v>
          </cell>
          <cell r="U1669">
            <v>0.7</v>
          </cell>
          <cell r="V1669">
            <v>0</v>
          </cell>
          <cell r="W1669">
            <v>0</v>
          </cell>
          <cell r="X1669" t="str">
            <v>EST ALMOFADA DECORATIVA HIMALAYA (G) (SOFT) (TC 80009) - 0,9x0,7x0H</v>
          </cell>
          <cell r="Y1669">
            <v>2905.15</v>
          </cell>
          <cell r="Z1669">
            <v>0.35</v>
          </cell>
          <cell r="AA1669">
            <v>1888.3475000000001</v>
          </cell>
          <cell r="AB1669"/>
        </row>
        <row r="1670">
          <cell r="C1670">
            <v>1</v>
          </cell>
          <cell r="D1670">
            <v>0</v>
          </cell>
          <cell r="E1670">
            <v>0</v>
          </cell>
          <cell r="F1670">
            <v>2</v>
          </cell>
          <cell r="H1670">
            <v>2</v>
          </cell>
          <cell r="O1670">
            <v>389957</v>
          </cell>
          <cell r="P1670" t="str">
            <v>2024/247-0111-01</v>
          </cell>
          <cell r="Q1670" t="str">
            <v>EST ALMOFADA DECORATIVA HIMALAYA (G) TC KEEPSAKE TAUPE</v>
          </cell>
          <cell r="R1670"/>
          <cell r="S1670"/>
          <cell r="T1670">
            <v>0.9</v>
          </cell>
          <cell r="U1670">
            <v>0.7</v>
          </cell>
          <cell r="V1670">
            <v>0</v>
          </cell>
          <cell r="W1670">
            <v>0</v>
          </cell>
          <cell r="X1670" t="str">
            <v>EST ALMOFADA DECORATIVA HIMALAYA (G) TC KEEPSAKE TAUPE - 0,9x0,7x0H</v>
          </cell>
          <cell r="Y1670">
            <v>2778.5439400000005</v>
          </cell>
          <cell r="Z1670">
            <v>0.35</v>
          </cell>
          <cell r="AA1670">
            <v>1806.0535610000004</v>
          </cell>
          <cell r="AB1670"/>
        </row>
        <row r="1671">
          <cell r="C1671">
            <v>1</v>
          </cell>
          <cell r="D1671">
            <v>0</v>
          </cell>
          <cell r="E1671">
            <v>0</v>
          </cell>
          <cell r="F1671">
            <v>2</v>
          </cell>
          <cell r="H1671">
            <v>2</v>
          </cell>
          <cell r="O1671">
            <v>389957</v>
          </cell>
          <cell r="P1671" t="str">
            <v>2024/247-0112-01</v>
          </cell>
          <cell r="Q1671" t="str">
            <v>EST ALMOFADA DECORATIVA HIMALAYA (G) TC KEEPSAKE TAUPE</v>
          </cell>
          <cell r="R1671"/>
          <cell r="S1671"/>
          <cell r="T1671">
            <v>0.9</v>
          </cell>
          <cell r="U1671">
            <v>0.7</v>
          </cell>
          <cell r="V1671">
            <v>0</v>
          </cell>
          <cell r="W1671">
            <v>0</v>
          </cell>
          <cell r="X1671" t="str">
            <v>EST ALMOFADA DECORATIVA HIMALAYA (G) TC KEEPSAKE TAUPE - 0,9x0,7x0H</v>
          </cell>
          <cell r="Y1671">
            <v>2778.5439400000005</v>
          </cell>
          <cell r="Z1671">
            <v>0.35</v>
          </cell>
          <cell r="AA1671">
            <v>1806.0535610000004</v>
          </cell>
          <cell r="AB1671"/>
        </row>
        <row r="1672">
          <cell r="C1672">
            <v>2</v>
          </cell>
          <cell r="D1672">
            <v>0</v>
          </cell>
          <cell r="E1672">
            <v>0</v>
          </cell>
          <cell r="F1672">
            <v>0</v>
          </cell>
          <cell r="H1672">
            <v>0</v>
          </cell>
          <cell r="O1672">
            <v>402444</v>
          </cell>
          <cell r="P1672" t="str">
            <v>2025/105-0009-01</v>
          </cell>
          <cell r="Q1672" t="str">
            <v>EST MESA LATERAL PIN (NATURE MATT) (DET PINT CORTEN)</v>
          </cell>
          <cell r="R1672"/>
          <cell r="S1672"/>
          <cell r="T1672">
            <v>0.35</v>
          </cell>
          <cell r="U1672">
            <v>0</v>
          </cell>
          <cell r="V1672">
            <v>0.52</v>
          </cell>
          <cell r="W1672">
            <v>0.35</v>
          </cell>
          <cell r="X1672" t="str">
            <v>EST MESA LATERAL PIN (NATURE MATT) (DET PINT CORTEN) - Ø0,35x0,52H</v>
          </cell>
          <cell r="Y1672">
            <v>5384.51</v>
          </cell>
          <cell r="Z1672">
            <v>0.35</v>
          </cell>
          <cell r="AA1672">
            <v>3499.9315000000006</v>
          </cell>
          <cell r="AB1672"/>
        </row>
        <row r="1673">
          <cell r="C1673">
            <v>2</v>
          </cell>
          <cell r="D1673">
            <v>0</v>
          </cell>
          <cell r="E1673">
            <v>0</v>
          </cell>
          <cell r="F1673">
            <v>0</v>
          </cell>
          <cell r="H1673">
            <v>0</v>
          </cell>
          <cell r="O1673">
            <v>402444</v>
          </cell>
          <cell r="P1673" t="str">
            <v>2025/105-0010-01</v>
          </cell>
          <cell r="Q1673" t="str">
            <v>EST MESA LATERAL PIN (NATURE MATT) (DET PINT CORTEN)</v>
          </cell>
          <cell r="R1673"/>
          <cell r="S1673"/>
          <cell r="T1673">
            <v>0.35</v>
          </cell>
          <cell r="U1673">
            <v>0</v>
          </cell>
          <cell r="V1673">
            <v>0.52</v>
          </cell>
          <cell r="W1673">
            <v>0.35</v>
          </cell>
          <cell r="X1673" t="str">
            <v>EST MESA LATERAL PIN (NATURE MATT) (DET PINT CORTEN) - Ø0,35x0,52H</v>
          </cell>
          <cell r="Y1673">
            <v>5384.51</v>
          </cell>
          <cell r="Z1673">
            <v>0.35</v>
          </cell>
          <cell r="AA1673">
            <v>3499.9315000000006</v>
          </cell>
          <cell r="AB1673"/>
        </row>
        <row r="1674">
          <cell r="C1674">
            <v>0</v>
          </cell>
          <cell r="D1674">
            <v>0</v>
          </cell>
          <cell r="E1674">
            <v>1</v>
          </cell>
          <cell r="F1674">
            <v>1</v>
          </cell>
          <cell r="H1674">
            <v>0</v>
          </cell>
          <cell r="O1674">
            <v>405717</v>
          </cell>
          <cell r="P1674" t="str">
            <v>2025/154-0087-01</v>
          </cell>
          <cell r="Q1674" t="str">
            <v>EST MESA LATERAL COLOMBINA (MARCHETARIA) WALNUT MATT</v>
          </cell>
          <cell r="R1674"/>
          <cell r="S1674"/>
          <cell r="T1674">
            <v>0.51</v>
          </cell>
          <cell r="U1674">
            <v>0.51</v>
          </cell>
          <cell r="V1674">
            <v>0.43</v>
          </cell>
          <cell r="W1674">
            <v>0</v>
          </cell>
          <cell r="X1674" t="str">
            <v>EST MESA LATERAL COLOMBINA (MARCHETARIA) WALNUT MATT - 0,51x0,51x0,43H</v>
          </cell>
          <cell r="Y1674">
            <v>5270.09</v>
          </cell>
          <cell r="Z1674">
            <v>0.35</v>
          </cell>
          <cell r="AA1674">
            <v>3425.5585000000001</v>
          </cell>
          <cell r="AB1674"/>
        </row>
        <row r="1675">
          <cell r="C1675">
            <v>0</v>
          </cell>
          <cell r="D1675">
            <v>0</v>
          </cell>
          <cell r="E1675">
            <v>1</v>
          </cell>
          <cell r="F1675">
            <v>1</v>
          </cell>
          <cell r="H1675">
            <v>0</v>
          </cell>
          <cell r="O1675">
            <v>405719</v>
          </cell>
          <cell r="P1675" t="str">
            <v>2025/154-0091-01</v>
          </cell>
          <cell r="Q1675" t="str">
            <v>EST MESA LATERAL COLOMBINA (MARCHETARIA) WALNUT MATT</v>
          </cell>
          <cell r="R1675"/>
          <cell r="S1675"/>
          <cell r="T1675">
            <v>0.61</v>
          </cell>
          <cell r="U1675">
            <v>0.61</v>
          </cell>
          <cell r="V1675">
            <v>0.5</v>
          </cell>
          <cell r="W1675">
            <v>0</v>
          </cell>
          <cell r="X1675" t="str">
            <v>EST MESA LATERAL COLOMBINA (MARCHETARIA) WALNUT MATT - 0,61x0,61x0,5H</v>
          </cell>
          <cell r="Y1675">
            <v>5651.61</v>
          </cell>
          <cell r="Z1675">
            <v>0.35</v>
          </cell>
          <cell r="AA1675">
            <v>3673.5464999999999</v>
          </cell>
          <cell r="AB1675"/>
        </row>
        <row r="1676">
          <cell r="C1676">
            <v>0</v>
          </cell>
          <cell r="D1676">
            <v>0</v>
          </cell>
          <cell r="E1676">
            <v>1</v>
          </cell>
          <cell r="F1676">
            <v>1</v>
          </cell>
          <cell r="H1676">
            <v>0</v>
          </cell>
          <cell r="O1676">
            <v>405725</v>
          </cell>
          <cell r="P1676" t="str">
            <v>2025/154-0102-01</v>
          </cell>
          <cell r="Q1676" t="str">
            <v>EST MESA LATERAL SATELITE (NATURE MATT) PINT CORTEN</v>
          </cell>
          <cell r="R1676"/>
          <cell r="S1676"/>
          <cell r="T1676">
            <v>0.41</v>
          </cell>
          <cell r="U1676">
            <v>0.27</v>
          </cell>
          <cell r="V1676">
            <v>0.35</v>
          </cell>
          <cell r="W1676">
            <v>0</v>
          </cell>
          <cell r="X1676" t="str">
            <v>EST MESA LATERAL SATELITE (NATURE MATT) PINT CORTEN - 0,41x0,27x0,35H</v>
          </cell>
          <cell r="Y1676">
            <v>4597.6000000000004</v>
          </cell>
          <cell r="Z1676">
            <v>0.35</v>
          </cell>
          <cell r="AA1676">
            <v>2988.4400000000005</v>
          </cell>
          <cell r="AB1676"/>
        </row>
        <row r="1677">
          <cell r="C1677">
            <v>0</v>
          </cell>
          <cell r="D1677">
            <v>0</v>
          </cell>
          <cell r="E1677">
            <v>1</v>
          </cell>
          <cell r="F1677">
            <v>1</v>
          </cell>
          <cell r="H1677">
            <v>0</v>
          </cell>
          <cell r="O1677">
            <v>405727</v>
          </cell>
          <cell r="P1677" t="str">
            <v>2025/154-0105-01</v>
          </cell>
          <cell r="Q1677" t="str">
            <v>EST MESA LATERAL SATELITE (NATURE MATT) PINT CORTEN</v>
          </cell>
          <cell r="R1677"/>
          <cell r="S1677"/>
          <cell r="T1677">
            <v>0.41</v>
          </cell>
          <cell r="U1677">
            <v>0.27</v>
          </cell>
          <cell r="V1677">
            <v>0.5</v>
          </cell>
          <cell r="W1677">
            <v>0</v>
          </cell>
          <cell r="X1677" t="str">
            <v>EST MESA LATERAL SATELITE (NATURE MATT) PINT CORTEN - 0,41x0,27x0,5H</v>
          </cell>
          <cell r="Y1677">
            <v>4831.28</v>
          </cell>
          <cell r="Z1677">
            <v>0.35</v>
          </cell>
          <cell r="AA1677">
            <v>3140.3319999999999</v>
          </cell>
          <cell r="AB1677"/>
        </row>
        <row r="1678">
          <cell r="C1678">
            <v>0</v>
          </cell>
          <cell r="D1678">
            <v>0</v>
          </cell>
          <cell r="E1678">
            <v>0</v>
          </cell>
          <cell r="F1678">
            <v>2</v>
          </cell>
          <cell r="H1678">
            <v>0</v>
          </cell>
          <cell r="O1678">
            <v>373423</v>
          </cell>
          <cell r="P1678" t="str">
            <v>2023/280-0012-01</v>
          </cell>
          <cell r="Q1678" t="str">
            <v>EST CADEIRA QUERO QUERO C/BR (FX 50010) (CORTEN) (WALNUT M)</v>
          </cell>
          <cell r="R1678"/>
          <cell r="S1678"/>
          <cell r="T1678">
            <v>0.61</v>
          </cell>
          <cell r="U1678">
            <v>0.54</v>
          </cell>
          <cell r="V1678">
            <v>0.8</v>
          </cell>
          <cell r="W1678">
            <v>0</v>
          </cell>
          <cell r="X1678" t="str">
            <v>EST CADEIRA QUERO QUERO C/BR (FX 50010) (CORTEN) (WALNUT M) - 0,61x0,54x0,8H</v>
          </cell>
          <cell r="Y1678">
            <v>7759.63</v>
          </cell>
          <cell r="Z1678">
            <v>0.35</v>
          </cell>
          <cell r="AA1678">
            <v>5043.7595000000001</v>
          </cell>
          <cell r="AB1678"/>
        </row>
        <row r="1679">
          <cell r="C1679">
            <v>0</v>
          </cell>
          <cell r="D1679">
            <v>0</v>
          </cell>
          <cell r="E1679">
            <v>0</v>
          </cell>
          <cell r="F1679">
            <v>2</v>
          </cell>
          <cell r="H1679">
            <v>0</v>
          </cell>
          <cell r="O1679">
            <v>373423</v>
          </cell>
          <cell r="P1679" t="str">
            <v>2023/280-0013-01</v>
          </cell>
          <cell r="Q1679" t="str">
            <v>EST CADEIRA QUERO QUERO C/BR (FX 50010) (CORTEN) (WALNUT M)</v>
          </cell>
          <cell r="R1679"/>
          <cell r="S1679"/>
          <cell r="T1679">
            <v>0.61</v>
          </cell>
          <cell r="U1679">
            <v>0.54</v>
          </cell>
          <cell r="V1679">
            <v>0.8</v>
          </cell>
          <cell r="W1679">
            <v>0</v>
          </cell>
          <cell r="X1679" t="str">
            <v>EST CADEIRA QUERO QUERO C/BR (FX 50010) (CORTEN) (WALNUT M) - 0,61x0,54x0,8H</v>
          </cell>
          <cell r="Y1679">
            <v>7759.63</v>
          </cell>
          <cell r="Z1679">
            <v>0.35</v>
          </cell>
          <cell r="AA1679">
            <v>5043.7595000000001</v>
          </cell>
          <cell r="AB1679"/>
        </row>
        <row r="1680">
          <cell r="C1680">
            <v>0</v>
          </cell>
          <cell r="D1680">
            <v>1</v>
          </cell>
          <cell r="E1680">
            <v>0</v>
          </cell>
          <cell r="F1680">
            <v>0</v>
          </cell>
          <cell r="H1680">
            <v>0</v>
          </cell>
          <cell r="O1680">
            <v>217688</v>
          </cell>
          <cell r="P1680" t="str">
            <v>2018/068-0036-01</v>
          </cell>
          <cell r="Q1680" t="str">
            <v>EST MESA CENTRO IPANEMA (LAM NOGAL NT C/CRIS SYLCK 1050)</v>
          </cell>
          <cell r="R1680"/>
          <cell r="S1680"/>
          <cell r="T1680">
            <v>0.9</v>
          </cell>
          <cell r="U1680">
            <v>0</v>
          </cell>
          <cell r="V1680">
            <v>0.35</v>
          </cell>
          <cell r="W1680">
            <v>0.9</v>
          </cell>
          <cell r="X1680" t="str">
            <v>EST MESA CENTRO IPANEMA (LAM NOGAL NT C/CRIS SYLCK 1050) - Ø0,9x0,35H</v>
          </cell>
          <cell r="Y1680">
            <v>11331.85</v>
          </cell>
          <cell r="Z1680">
            <v>0.35</v>
          </cell>
          <cell r="AA1680">
            <v>7365.7025000000003</v>
          </cell>
          <cell r="AB1680"/>
        </row>
        <row r="1681">
          <cell r="C1681">
            <v>0</v>
          </cell>
          <cell r="D1681">
            <v>1</v>
          </cell>
          <cell r="E1681">
            <v>0</v>
          </cell>
          <cell r="F1681">
            <v>0</v>
          </cell>
          <cell r="H1681">
            <v>0</v>
          </cell>
          <cell r="O1681">
            <v>271346</v>
          </cell>
          <cell r="P1681" t="str">
            <v>2021/068-0160-01</v>
          </cell>
          <cell r="Q1681" t="str">
            <v>EST BANQUETA SAN BLAS (FIXA) (FX 5377) (TING CASTANHO)</v>
          </cell>
          <cell r="R1681"/>
          <cell r="S1681"/>
          <cell r="T1681">
            <v>0.67</v>
          </cell>
          <cell r="U1681">
            <v>0.52</v>
          </cell>
          <cell r="V1681">
            <v>0.42</v>
          </cell>
          <cell r="W1681">
            <v>0</v>
          </cell>
          <cell r="X1681" t="str">
            <v>EST BANQUETA SAN BLAS (FIXA) (FX 5377) (TING CASTANHO) - 0,67x0,52x0,42H</v>
          </cell>
          <cell r="Y1681">
            <v>4187.46</v>
          </cell>
          <cell r="Z1681">
            <v>0.35</v>
          </cell>
          <cell r="AA1681">
            <v>2721.8490000000002</v>
          </cell>
          <cell r="AB1681"/>
        </row>
        <row r="1682">
          <cell r="C1682">
            <v>0</v>
          </cell>
          <cell r="D1682">
            <v>1</v>
          </cell>
          <cell r="E1682">
            <v>0</v>
          </cell>
          <cell r="F1682">
            <v>0</v>
          </cell>
          <cell r="H1682">
            <v>0</v>
          </cell>
          <cell r="O1682">
            <v>271347</v>
          </cell>
          <cell r="P1682" t="str">
            <v>2021/068-0161-01</v>
          </cell>
          <cell r="Q1682" t="str">
            <v>EST POLTRONA SAN BLAS (FIXA) (FX 5377/5352) (TING CASTANHO)</v>
          </cell>
          <cell r="R1682"/>
          <cell r="S1682"/>
          <cell r="T1682">
            <v>0.8</v>
          </cell>
          <cell r="U1682">
            <v>0.88</v>
          </cell>
          <cell r="V1682">
            <v>1</v>
          </cell>
          <cell r="W1682">
            <v>0</v>
          </cell>
          <cell r="X1682" t="str">
            <v>EST POLTRONA SAN BLAS (FIXA) (FX 5377/5352) (TING CASTANHO) - 0,8x0,88x1H</v>
          </cell>
          <cell r="Y1682">
            <v>13745.13</v>
          </cell>
          <cell r="Z1682">
            <v>0.35</v>
          </cell>
          <cell r="AA1682">
            <v>8934.3345000000008</v>
          </cell>
          <cell r="AB1682"/>
        </row>
        <row r="1683">
          <cell r="C1683">
            <v>0</v>
          </cell>
          <cell r="D1683">
            <v>1</v>
          </cell>
          <cell r="E1683">
            <v>0</v>
          </cell>
          <cell r="F1683">
            <v>0</v>
          </cell>
          <cell r="H1683">
            <v>0</v>
          </cell>
          <cell r="O1683">
            <v>273386</v>
          </cell>
          <cell r="P1683" t="str">
            <v>2021/061-0116-01</v>
          </cell>
          <cell r="Q1683" t="str">
            <v>EST MESA CENTRO IPANEMA (LAM NOGAL NT)</v>
          </cell>
          <cell r="R1683"/>
          <cell r="S1683"/>
          <cell r="T1683">
            <v>1.3</v>
          </cell>
          <cell r="U1683">
            <v>0.6</v>
          </cell>
          <cell r="V1683">
            <v>0.38</v>
          </cell>
          <cell r="W1683">
            <v>0</v>
          </cell>
          <cell r="X1683" t="str">
            <v>EST MESA CENTRO IPANEMA (LAM NOGAL NT) - 1,3x0,6x0,38H</v>
          </cell>
          <cell r="Y1683">
            <v>7850.26</v>
          </cell>
          <cell r="Z1683">
            <v>0.35</v>
          </cell>
          <cell r="AA1683">
            <v>5102.6689999999999</v>
          </cell>
          <cell r="AB1683"/>
        </row>
        <row r="1684">
          <cell r="C1684">
            <v>0</v>
          </cell>
          <cell r="D1684">
            <v>4</v>
          </cell>
          <cell r="E1684">
            <v>0</v>
          </cell>
          <cell r="F1684">
            <v>0</v>
          </cell>
          <cell r="H1684">
            <v>0</v>
          </cell>
          <cell r="O1684">
            <v>300080</v>
          </cell>
          <cell r="P1684" t="str">
            <v>2021/302-0015-01</v>
          </cell>
          <cell r="Q1684" t="str">
            <v>EST ESPELHO DESLIZE (BLACK GLOSS) (ESPELHO PRATA)</v>
          </cell>
          <cell r="R1684"/>
          <cell r="S1684"/>
          <cell r="T1684">
            <v>0.43</v>
          </cell>
          <cell r="U1684">
            <v>0.89</v>
          </cell>
          <cell r="V1684">
            <v>0.03</v>
          </cell>
          <cell r="W1684">
            <v>0</v>
          </cell>
          <cell r="X1684" t="str">
            <v>EST ESPELHO DESLIZE (BLACK GLOSS) (ESPELHO PRATA) - 0,43x0,89x0,03H</v>
          </cell>
          <cell r="Y1684">
            <v>6265.82</v>
          </cell>
          <cell r="Z1684">
            <v>0.35</v>
          </cell>
          <cell r="AA1684">
            <v>4072.7829999999999</v>
          </cell>
          <cell r="AB1684"/>
        </row>
        <row r="1685">
          <cell r="C1685">
            <v>0</v>
          </cell>
          <cell r="D1685">
            <v>4</v>
          </cell>
          <cell r="E1685">
            <v>0</v>
          </cell>
          <cell r="F1685">
            <v>0</v>
          </cell>
          <cell r="H1685">
            <v>0</v>
          </cell>
          <cell r="O1685">
            <v>300080</v>
          </cell>
          <cell r="P1685" t="str">
            <v>2021/302-0016-01</v>
          </cell>
          <cell r="Q1685" t="str">
            <v>EST ESPELHO DESLIZE (BLACK GLOSS) (ESPELHO PRATA)</v>
          </cell>
          <cell r="R1685"/>
          <cell r="S1685"/>
          <cell r="T1685">
            <v>0.43</v>
          </cell>
          <cell r="U1685">
            <v>0.89</v>
          </cell>
          <cell r="V1685">
            <v>0.03</v>
          </cell>
          <cell r="W1685">
            <v>0</v>
          </cell>
          <cell r="X1685" t="str">
            <v>EST ESPELHO DESLIZE (BLACK GLOSS) (ESPELHO PRATA) - 0,43x0,89x0,03H</v>
          </cell>
          <cell r="Y1685">
            <v>6265.82</v>
          </cell>
          <cell r="Z1685">
            <v>0.35</v>
          </cell>
          <cell r="AA1685">
            <v>4072.7829999999999</v>
          </cell>
          <cell r="AB1685"/>
        </row>
        <row r="1686">
          <cell r="C1686">
            <v>0</v>
          </cell>
          <cell r="D1686">
            <v>4</v>
          </cell>
          <cell r="E1686">
            <v>0</v>
          </cell>
          <cell r="F1686">
            <v>0</v>
          </cell>
          <cell r="H1686">
            <v>0</v>
          </cell>
          <cell r="O1686">
            <v>300080</v>
          </cell>
          <cell r="P1686" t="str">
            <v>2021/302-0017-01</v>
          </cell>
          <cell r="Q1686" t="str">
            <v>EST ESPELHO DESLIZE (BLACK GLOSS) (ESPELHO PRATA)</v>
          </cell>
          <cell r="R1686"/>
          <cell r="S1686"/>
          <cell r="T1686">
            <v>0.43</v>
          </cell>
          <cell r="U1686">
            <v>0.89</v>
          </cell>
          <cell r="V1686">
            <v>0.03</v>
          </cell>
          <cell r="W1686">
            <v>0</v>
          </cell>
          <cell r="X1686" t="str">
            <v>EST ESPELHO DESLIZE (BLACK GLOSS) (ESPELHO PRATA) - 0,43x0,89x0,03H</v>
          </cell>
          <cell r="Y1686">
            <v>6265.82</v>
          </cell>
          <cell r="Z1686">
            <v>0.35</v>
          </cell>
          <cell r="AA1686">
            <v>4072.7829999999999</v>
          </cell>
          <cell r="AB1686"/>
        </row>
        <row r="1687">
          <cell r="C1687">
            <v>0</v>
          </cell>
          <cell r="D1687">
            <v>4</v>
          </cell>
          <cell r="E1687">
            <v>0</v>
          </cell>
          <cell r="F1687">
            <v>0</v>
          </cell>
          <cell r="H1687">
            <v>0</v>
          </cell>
          <cell r="O1687">
            <v>300080</v>
          </cell>
          <cell r="P1687" t="str">
            <v>2021/302-0018-01</v>
          </cell>
          <cell r="Q1687" t="str">
            <v>EST ESPELHO DESLIZE (BLACK GLOSS) (ESPELHO PRATA)</v>
          </cell>
          <cell r="R1687"/>
          <cell r="S1687"/>
          <cell r="T1687">
            <v>0.43</v>
          </cell>
          <cell r="U1687">
            <v>0.89</v>
          </cell>
          <cell r="V1687">
            <v>0.03</v>
          </cell>
          <cell r="W1687">
            <v>0</v>
          </cell>
          <cell r="X1687" t="str">
            <v>EST ESPELHO DESLIZE (BLACK GLOSS) (ESPELHO PRATA) - 0,43x0,89x0,03H</v>
          </cell>
          <cell r="Y1687">
            <v>6265.82</v>
          </cell>
          <cell r="Z1687">
            <v>0.35</v>
          </cell>
          <cell r="AA1687">
            <v>4072.7829999999999</v>
          </cell>
          <cell r="AB1687"/>
        </row>
        <row r="1688">
          <cell r="C1688">
            <v>0</v>
          </cell>
          <cell r="D1688">
            <v>2</v>
          </cell>
          <cell r="E1688">
            <v>0</v>
          </cell>
          <cell r="F1688">
            <v>0</v>
          </cell>
          <cell r="H1688">
            <v>0</v>
          </cell>
          <cell r="O1688">
            <v>331796</v>
          </cell>
          <cell r="P1688" t="str">
            <v>2022/221-0020-01</v>
          </cell>
          <cell r="Q1688" t="str">
            <v>EST POLTRONA MAY (BRACO ESTOF) (ALTAMIRA 907) (TING AMENDOA)</v>
          </cell>
          <cell r="R1688"/>
          <cell r="S1688"/>
          <cell r="T1688">
            <v>0.71</v>
          </cell>
          <cell r="U1688">
            <v>0.78</v>
          </cell>
          <cell r="V1688">
            <v>0.77</v>
          </cell>
          <cell r="W1688">
            <v>0</v>
          </cell>
          <cell r="X1688" t="str">
            <v>EST POLTRONA MAY (BRACO ESTOF) (ALTAMIRA 907) (TING AMENDOA) - 0,71x0,78x0,77H</v>
          </cell>
          <cell r="Y1688">
            <v>14152.42</v>
          </cell>
          <cell r="Z1688">
            <v>0.35</v>
          </cell>
          <cell r="AA1688">
            <v>9199.0730000000003</v>
          </cell>
          <cell r="AB1688"/>
        </row>
        <row r="1689">
          <cell r="C1689">
            <v>0</v>
          </cell>
          <cell r="D1689">
            <v>2</v>
          </cell>
          <cell r="E1689">
            <v>0</v>
          </cell>
          <cell r="F1689">
            <v>0</v>
          </cell>
          <cell r="H1689">
            <v>0</v>
          </cell>
          <cell r="O1689">
            <v>331796</v>
          </cell>
          <cell r="P1689" t="str">
            <v>2022/263-0046-01</v>
          </cell>
          <cell r="Q1689" t="str">
            <v>EST POLTRONA MAY (BRACO ESTOF) (ALTAMIRA 907) (TING AMENDOA)</v>
          </cell>
          <cell r="R1689"/>
          <cell r="S1689"/>
          <cell r="T1689">
            <v>0.71</v>
          </cell>
          <cell r="U1689">
            <v>0.78</v>
          </cell>
          <cell r="V1689">
            <v>0.77</v>
          </cell>
          <cell r="W1689">
            <v>0</v>
          </cell>
          <cell r="X1689" t="str">
            <v>EST POLTRONA MAY (BRACO ESTOF) (ALTAMIRA 907) (TING AMENDOA) - 0,71x0,78x0,77H</v>
          </cell>
          <cell r="Y1689">
            <v>14152.42</v>
          </cell>
          <cell r="Z1689">
            <v>0.35</v>
          </cell>
          <cell r="AA1689">
            <v>9199.0730000000003</v>
          </cell>
          <cell r="AB1689"/>
        </row>
        <row r="1690">
          <cell r="C1690">
            <v>1</v>
          </cell>
          <cell r="D1690">
            <v>1</v>
          </cell>
          <cell r="E1690">
            <v>0</v>
          </cell>
          <cell r="F1690">
            <v>0</v>
          </cell>
          <cell r="H1690">
            <v>2</v>
          </cell>
          <cell r="O1690">
            <v>361520</v>
          </cell>
          <cell r="P1690" t="str">
            <v>2023/041-0018-01</v>
          </cell>
          <cell r="Q1690" t="str">
            <v>EST BANQUETA BAR MELIZA H75 (GIR) (FX 60004) (TING NOGAL)</v>
          </cell>
          <cell r="R1690"/>
          <cell r="S1690"/>
          <cell r="T1690">
            <v>0.5</v>
          </cell>
          <cell r="U1690">
            <v>0.6</v>
          </cell>
          <cell r="V1690">
            <v>0.99</v>
          </cell>
          <cell r="W1690">
            <v>0</v>
          </cell>
          <cell r="X1690" t="str">
            <v>EST BANQUETA BAR MELIZA H75 (GIR) (FX 60004) (TING NOGAL) - 0,5x0,6x0,99H</v>
          </cell>
          <cell r="Y1690">
            <v>6882.09</v>
          </cell>
          <cell r="Z1690">
            <v>0.35</v>
          </cell>
          <cell r="AA1690">
            <v>4473.3585000000003</v>
          </cell>
          <cell r="AB1690"/>
        </row>
        <row r="1691">
          <cell r="C1691">
            <v>0</v>
          </cell>
          <cell r="D1691">
            <v>1</v>
          </cell>
          <cell r="E1691">
            <v>0</v>
          </cell>
          <cell r="F1691">
            <v>0</v>
          </cell>
          <cell r="H1691">
            <v>1</v>
          </cell>
          <cell r="O1691">
            <v>371340</v>
          </cell>
          <cell r="P1691" t="str">
            <v>2023/234-0090-01</v>
          </cell>
          <cell r="Q1691" t="str">
            <v>EST CADEIRA QUERO QUERO (COURO 2 2016) (NATURE MATT)</v>
          </cell>
          <cell r="R1691"/>
          <cell r="S1691"/>
          <cell r="T1691">
            <v>0.49</v>
          </cell>
          <cell r="U1691">
            <v>0.54</v>
          </cell>
          <cell r="V1691">
            <v>0.8</v>
          </cell>
          <cell r="W1691">
            <v>0</v>
          </cell>
          <cell r="X1691" t="str">
            <v>EST CADEIRA QUERO QUERO (COURO 2 2016) (NATURE MATT) - 0,49x0,54x0,8H</v>
          </cell>
          <cell r="Y1691">
            <v>7735.8</v>
          </cell>
          <cell r="Z1691">
            <v>0.35</v>
          </cell>
          <cell r="AA1691">
            <v>5028.2700000000004</v>
          </cell>
          <cell r="AB1691"/>
        </row>
        <row r="1692">
          <cell r="C1692">
            <v>1</v>
          </cell>
          <cell r="D1692">
            <v>1</v>
          </cell>
          <cell r="E1692">
            <v>1</v>
          </cell>
          <cell r="F1692">
            <v>1</v>
          </cell>
          <cell r="H1692">
            <v>0</v>
          </cell>
          <cell r="O1692">
            <v>373426</v>
          </cell>
          <cell r="P1692" t="str">
            <v>2023/280-0023-01</v>
          </cell>
          <cell r="Q1692" t="str">
            <v>EST BANQUETA BAR QUERO QUERO H65 (COURO2 2014) (NATURE MATT)</v>
          </cell>
          <cell r="R1692"/>
          <cell r="S1692"/>
          <cell r="T1692">
            <v>0.46</v>
          </cell>
          <cell r="U1692">
            <v>0.56000000000000005</v>
          </cell>
          <cell r="V1692">
            <v>0.92</v>
          </cell>
          <cell r="W1692">
            <v>0</v>
          </cell>
          <cell r="X1692" t="str">
            <v>EST BANQUETA BAR QUERO QUERO H65 (COURO2 2014) (NATURE MATT) - 0,46x0,56x0,92H</v>
          </cell>
          <cell r="Y1692">
            <v>9028.2800000000007</v>
          </cell>
          <cell r="Z1692">
            <v>0.35</v>
          </cell>
          <cell r="AA1692">
            <v>5868.3820000000005</v>
          </cell>
          <cell r="AB1692"/>
        </row>
        <row r="1693">
          <cell r="C1693">
            <v>0</v>
          </cell>
          <cell r="D1693">
            <v>0</v>
          </cell>
          <cell r="E1693">
            <v>0</v>
          </cell>
          <cell r="F1693">
            <v>0</v>
          </cell>
          <cell r="H1693">
            <v>1</v>
          </cell>
          <cell r="O1693">
            <v>374363</v>
          </cell>
          <cell r="P1693" t="str">
            <v>2024/026-0028-01</v>
          </cell>
          <cell r="Q1693" t="str">
            <v>EST MODULO CHAISE ESQ HIMALAYA (CON) TC PET 01</v>
          </cell>
          <cell r="R1693"/>
          <cell r="S1693"/>
          <cell r="T1693">
            <v>1.1499999999999999</v>
          </cell>
          <cell r="U1693">
            <v>1.7</v>
          </cell>
          <cell r="V1693">
            <v>0.74</v>
          </cell>
          <cell r="W1693">
            <v>0</v>
          </cell>
          <cell r="X1693" t="str">
            <v>EST MODULO CHAISE ESQ HIMALAYA (CON) TC PET 01 - 1,15x1,7x0,74H</v>
          </cell>
          <cell r="Y1693">
            <v>35590.46</v>
          </cell>
          <cell r="Z1693">
            <v>0.35</v>
          </cell>
          <cell r="AA1693">
            <v>23133.798999999999</v>
          </cell>
          <cell r="AB1693"/>
        </row>
        <row r="1694">
          <cell r="C1694">
            <v>0</v>
          </cell>
          <cell r="D1694">
            <v>6</v>
          </cell>
          <cell r="E1694">
            <v>0</v>
          </cell>
          <cell r="F1694">
            <v>0</v>
          </cell>
          <cell r="H1694">
            <v>0</v>
          </cell>
          <cell r="O1694">
            <v>374387</v>
          </cell>
          <cell r="P1694" t="str">
            <v>2024/080-0001-01</v>
          </cell>
          <cell r="Q1694" t="str">
            <v>EST CADEIRA HIMALAYA C/B (CON) (TC 80006) NOG</v>
          </cell>
          <cell r="R1694"/>
          <cell r="S1694"/>
          <cell r="T1694">
            <v>0.6</v>
          </cell>
          <cell r="U1694">
            <v>0.52</v>
          </cell>
          <cell r="V1694">
            <v>0.76</v>
          </cell>
          <cell r="W1694">
            <v>0</v>
          </cell>
          <cell r="X1694" t="str">
            <v>EST CADEIRA HIMALAYA C/B (CON) (TC 80006) NOG - 0,6x0,52x0,76H</v>
          </cell>
          <cell r="Y1694">
            <v>7464.13</v>
          </cell>
          <cell r="Z1694">
            <v>0.35</v>
          </cell>
          <cell r="AA1694">
            <v>4851.6845000000003</v>
          </cell>
          <cell r="AB1694"/>
        </row>
        <row r="1695">
          <cell r="C1695">
            <v>0</v>
          </cell>
          <cell r="D1695">
            <v>6</v>
          </cell>
          <cell r="E1695">
            <v>0</v>
          </cell>
          <cell r="F1695">
            <v>0</v>
          </cell>
          <cell r="H1695">
            <v>0</v>
          </cell>
          <cell r="O1695">
            <v>374387</v>
          </cell>
          <cell r="P1695" t="str">
            <v>2024/080-0002-01</v>
          </cell>
          <cell r="Q1695" t="str">
            <v>EST CADEIRA HIMALAYA C/B (CON) (TC 80006) NOG</v>
          </cell>
          <cell r="R1695"/>
          <cell r="S1695"/>
          <cell r="T1695">
            <v>0.6</v>
          </cell>
          <cell r="U1695">
            <v>0.52</v>
          </cell>
          <cell r="V1695">
            <v>0.76</v>
          </cell>
          <cell r="W1695">
            <v>0</v>
          </cell>
          <cell r="X1695" t="str">
            <v>EST CADEIRA HIMALAYA C/B (CON) (TC 80006) NOG - 0,6x0,52x0,76H</v>
          </cell>
          <cell r="Y1695">
            <v>7464.13</v>
          </cell>
          <cell r="Z1695">
            <v>0.35</v>
          </cell>
          <cell r="AA1695">
            <v>4851.6845000000003</v>
          </cell>
          <cell r="AB1695"/>
        </row>
        <row r="1696">
          <cell r="C1696">
            <v>0</v>
          </cell>
          <cell r="D1696">
            <v>6</v>
          </cell>
          <cell r="E1696">
            <v>0</v>
          </cell>
          <cell r="F1696">
            <v>0</v>
          </cell>
          <cell r="H1696">
            <v>0</v>
          </cell>
          <cell r="O1696">
            <v>374387</v>
          </cell>
          <cell r="P1696" t="str">
            <v>2024/080-0003-01</v>
          </cell>
          <cell r="Q1696" t="str">
            <v>EST CADEIRA HIMALAYA C/B (CON) (TC 80006) NOG</v>
          </cell>
          <cell r="R1696"/>
          <cell r="S1696"/>
          <cell r="T1696">
            <v>0.6</v>
          </cell>
          <cell r="U1696">
            <v>0.52</v>
          </cell>
          <cell r="V1696">
            <v>0.76</v>
          </cell>
          <cell r="W1696">
            <v>0</v>
          </cell>
          <cell r="X1696" t="str">
            <v>EST CADEIRA HIMALAYA C/B (CON) (TC 80006) NOG - 0,6x0,52x0,76H</v>
          </cell>
          <cell r="Y1696">
            <v>7464.13</v>
          </cell>
          <cell r="Z1696">
            <v>0.35</v>
          </cell>
          <cell r="AA1696">
            <v>4851.6845000000003</v>
          </cell>
          <cell r="AB1696"/>
        </row>
        <row r="1697">
          <cell r="C1697">
            <v>0</v>
          </cell>
          <cell r="D1697">
            <v>6</v>
          </cell>
          <cell r="E1697">
            <v>0</v>
          </cell>
          <cell r="F1697">
            <v>0</v>
          </cell>
          <cell r="H1697">
            <v>0</v>
          </cell>
          <cell r="O1697">
            <v>374387</v>
          </cell>
          <cell r="P1697" t="str">
            <v>2024/080-0004-01</v>
          </cell>
          <cell r="Q1697" t="str">
            <v>EST CADEIRA HIMALAYA C/B (CON) (TC 80006) NOG</v>
          </cell>
          <cell r="R1697"/>
          <cell r="S1697"/>
          <cell r="T1697">
            <v>0.6</v>
          </cell>
          <cell r="U1697">
            <v>0.52</v>
          </cell>
          <cell r="V1697">
            <v>0.76</v>
          </cell>
          <cell r="W1697">
            <v>0</v>
          </cell>
          <cell r="X1697" t="str">
            <v>EST CADEIRA HIMALAYA C/B (CON) (TC 80006) NOG - 0,6x0,52x0,76H</v>
          </cell>
          <cell r="Y1697">
            <v>7464.13</v>
          </cell>
          <cell r="Z1697">
            <v>0.35</v>
          </cell>
          <cell r="AA1697">
            <v>4851.6845000000003</v>
          </cell>
          <cell r="AB1697"/>
        </row>
        <row r="1698">
          <cell r="C1698">
            <v>0</v>
          </cell>
          <cell r="D1698">
            <v>6</v>
          </cell>
          <cell r="E1698">
            <v>0</v>
          </cell>
          <cell r="F1698">
            <v>0</v>
          </cell>
          <cell r="H1698">
            <v>0</v>
          </cell>
          <cell r="O1698">
            <v>374387</v>
          </cell>
          <cell r="P1698" t="str">
            <v>2024/080-0005-01</v>
          </cell>
          <cell r="Q1698" t="str">
            <v>EST CADEIRA HIMALAYA C/B (CON) (TC 80006) NOG</v>
          </cell>
          <cell r="R1698"/>
          <cell r="S1698"/>
          <cell r="T1698">
            <v>0.6</v>
          </cell>
          <cell r="U1698">
            <v>0.52</v>
          </cell>
          <cell r="V1698">
            <v>0.76</v>
          </cell>
          <cell r="W1698">
            <v>0</v>
          </cell>
          <cell r="X1698" t="str">
            <v>EST CADEIRA HIMALAYA C/B (CON) (TC 80006) NOG - 0,6x0,52x0,76H</v>
          </cell>
          <cell r="Y1698">
            <v>7464.13</v>
          </cell>
          <cell r="Z1698">
            <v>0.35</v>
          </cell>
          <cell r="AA1698">
            <v>4851.6845000000003</v>
          </cell>
          <cell r="AB1698"/>
        </row>
        <row r="1699">
          <cell r="C1699">
            <v>0</v>
          </cell>
          <cell r="D1699">
            <v>6</v>
          </cell>
          <cell r="E1699">
            <v>0</v>
          </cell>
          <cell r="F1699">
            <v>0</v>
          </cell>
          <cell r="H1699">
            <v>0</v>
          </cell>
          <cell r="O1699">
            <v>374387</v>
          </cell>
          <cell r="P1699" t="str">
            <v>2024/080-0006-01</v>
          </cell>
          <cell r="Q1699" t="str">
            <v>EST CADEIRA HIMALAYA C/B (CON) (TC 80006) NOG</v>
          </cell>
          <cell r="R1699"/>
          <cell r="S1699"/>
          <cell r="T1699">
            <v>0.6</v>
          </cell>
          <cell r="U1699">
            <v>0.52</v>
          </cell>
          <cell r="V1699">
            <v>0.76</v>
          </cell>
          <cell r="W1699">
            <v>0</v>
          </cell>
          <cell r="X1699" t="str">
            <v>EST CADEIRA HIMALAYA C/B (CON) (TC 80006) NOG - 0,6x0,52x0,76H</v>
          </cell>
          <cell r="Y1699">
            <v>7464.13</v>
          </cell>
          <cell r="Z1699">
            <v>0.35</v>
          </cell>
          <cell r="AA1699">
            <v>4851.6845000000003</v>
          </cell>
          <cell r="AB1699"/>
        </row>
        <row r="1700">
          <cell r="C1700">
            <v>0</v>
          </cell>
          <cell r="D1700">
            <v>3</v>
          </cell>
          <cell r="E1700">
            <v>0</v>
          </cell>
          <cell r="F1700">
            <v>0</v>
          </cell>
          <cell r="H1700">
            <v>0</v>
          </cell>
          <cell r="O1700">
            <v>374388</v>
          </cell>
          <cell r="P1700" t="str">
            <v>2024/080-0007-01</v>
          </cell>
          <cell r="Q1700" t="str">
            <v>EST ALMOFADA DECORATIVA HIMALAYA (PP) (SOFT) (80006/DB80006)</v>
          </cell>
          <cell r="R1700"/>
          <cell r="S1700"/>
          <cell r="T1700">
            <v>0.4</v>
          </cell>
          <cell r="U1700">
            <v>0.33</v>
          </cell>
          <cell r="V1700">
            <v>7.0000000000000007E-2</v>
          </cell>
          <cell r="W1700">
            <v>0</v>
          </cell>
          <cell r="X1700" t="str">
            <v>EST ALMOFADA DECORATIVA HIMALAYA (PP) (SOFT) (80006/DB80006) - 0,4x0,33x0,07H</v>
          </cell>
          <cell r="Y1700">
            <v>1137.5423000000001</v>
          </cell>
          <cell r="Z1700">
            <v>0.35</v>
          </cell>
          <cell r="AA1700">
            <v>739.40249500000004</v>
          </cell>
          <cell r="AB1700"/>
        </row>
        <row r="1701">
          <cell r="C1701">
            <v>0</v>
          </cell>
          <cell r="D1701">
            <v>3</v>
          </cell>
          <cell r="E1701">
            <v>0</v>
          </cell>
          <cell r="F1701">
            <v>0</v>
          </cell>
          <cell r="H1701">
            <v>0</v>
          </cell>
          <cell r="O1701">
            <v>374388</v>
          </cell>
          <cell r="P1701" t="str">
            <v>2024/080-0008-01</v>
          </cell>
          <cell r="Q1701" t="str">
            <v>EST ALMOFADA DECORATIVA HIMALAYA (PP) (SOFT) (80006/DB80006)</v>
          </cell>
          <cell r="R1701"/>
          <cell r="S1701"/>
          <cell r="T1701">
            <v>0.4</v>
          </cell>
          <cell r="U1701">
            <v>0.33</v>
          </cell>
          <cell r="V1701">
            <v>7.0000000000000007E-2</v>
          </cell>
          <cell r="W1701">
            <v>0</v>
          </cell>
          <cell r="X1701" t="str">
            <v>EST ALMOFADA DECORATIVA HIMALAYA (PP) (SOFT) (80006/DB80006) - 0,4x0,33x0,07H</v>
          </cell>
          <cell r="Y1701">
            <v>1137.5423000000001</v>
          </cell>
          <cell r="Z1701">
            <v>0.35</v>
          </cell>
          <cell r="AA1701">
            <v>739.40249500000004</v>
          </cell>
          <cell r="AB1701"/>
        </row>
        <row r="1702">
          <cell r="C1702">
            <v>0</v>
          </cell>
          <cell r="D1702">
            <v>3</v>
          </cell>
          <cell r="E1702">
            <v>0</v>
          </cell>
          <cell r="F1702">
            <v>0</v>
          </cell>
          <cell r="H1702">
            <v>0</v>
          </cell>
          <cell r="O1702">
            <v>374388</v>
          </cell>
          <cell r="P1702" t="str">
            <v>2024/080-0009-01</v>
          </cell>
          <cell r="Q1702" t="str">
            <v>EST ALMOFADA DECORATIVA HIMALAYA (PP) (SOFT) (80006/DB80006)</v>
          </cell>
          <cell r="R1702"/>
          <cell r="S1702"/>
          <cell r="T1702">
            <v>0.4</v>
          </cell>
          <cell r="U1702">
            <v>0.33</v>
          </cell>
          <cell r="V1702">
            <v>7.0000000000000007E-2</v>
          </cell>
          <cell r="W1702">
            <v>0</v>
          </cell>
          <cell r="X1702" t="str">
            <v>EST ALMOFADA DECORATIVA HIMALAYA (PP) (SOFT) (80006/DB80006) - 0,4x0,33x0,07H</v>
          </cell>
          <cell r="Y1702">
            <v>1137.5423000000001</v>
          </cell>
          <cell r="Z1702">
            <v>0.35</v>
          </cell>
          <cell r="AA1702">
            <v>739.40249500000004</v>
          </cell>
          <cell r="AB1702"/>
        </row>
        <row r="1703">
          <cell r="C1703">
            <v>2</v>
          </cell>
          <cell r="D1703">
            <v>2</v>
          </cell>
          <cell r="E1703">
            <v>0</v>
          </cell>
          <cell r="F1703">
            <v>0</v>
          </cell>
          <cell r="H1703">
            <v>0</v>
          </cell>
          <cell r="O1703">
            <v>378925</v>
          </cell>
          <cell r="P1703" t="str">
            <v>2024/065-0086-01</v>
          </cell>
          <cell r="Q1703" t="str">
            <v>EST MESA CENTRO HIMALAYA VITRINE (CLEAR) (LAM2 PFERRO) NOGAL</v>
          </cell>
          <cell r="R1703"/>
          <cell r="S1703"/>
          <cell r="T1703">
            <v>0.9</v>
          </cell>
          <cell r="U1703">
            <v>0.9</v>
          </cell>
          <cell r="V1703">
            <v>0.3</v>
          </cell>
          <cell r="W1703">
            <v>0</v>
          </cell>
          <cell r="X1703" t="str">
            <v>EST MESA CENTRO HIMALAYA VITRINE (CLEAR) (LAM2 PFERRO) NOGAL - 0,9x0,9x0,3H</v>
          </cell>
          <cell r="Y1703">
            <v>31947.37</v>
          </cell>
          <cell r="Z1703">
            <v>0.35</v>
          </cell>
          <cell r="AA1703">
            <v>20765.790499999999</v>
          </cell>
          <cell r="AB1703"/>
        </row>
        <row r="1704">
          <cell r="C1704">
            <v>2</v>
          </cell>
          <cell r="D1704">
            <v>2</v>
          </cell>
          <cell r="E1704">
            <v>0</v>
          </cell>
          <cell r="F1704">
            <v>0</v>
          </cell>
          <cell r="H1704">
            <v>0</v>
          </cell>
          <cell r="O1704">
            <v>378925</v>
          </cell>
          <cell r="P1704" t="str">
            <v>2024/065-0089-01</v>
          </cell>
          <cell r="Q1704" t="str">
            <v>EST MESA CENTRO HIMALAYA VITRINE (CLEAR) (LAM2 PFERRO) NOGAL</v>
          </cell>
          <cell r="R1704"/>
          <cell r="S1704"/>
          <cell r="T1704">
            <v>0.9</v>
          </cell>
          <cell r="U1704">
            <v>0.9</v>
          </cell>
          <cell r="V1704">
            <v>0.3</v>
          </cell>
          <cell r="W1704">
            <v>0</v>
          </cell>
          <cell r="X1704" t="str">
            <v>EST MESA CENTRO HIMALAYA VITRINE (CLEAR) (LAM2 PFERRO) NOGAL - 0,9x0,9x0,3H</v>
          </cell>
          <cell r="Y1704">
            <v>31947.37</v>
          </cell>
          <cell r="Z1704">
            <v>0.35</v>
          </cell>
          <cell r="AA1704">
            <v>20765.790499999999</v>
          </cell>
          <cell r="AB1704"/>
        </row>
        <row r="1705">
          <cell r="C1705">
            <v>0</v>
          </cell>
          <cell r="D1705">
            <v>2</v>
          </cell>
          <cell r="E1705">
            <v>0</v>
          </cell>
          <cell r="F1705">
            <v>0</v>
          </cell>
          <cell r="H1705">
            <v>0</v>
          </cell>
          <cell r="O1705">
            <v>379555</v>
          </cell>
          <cell r="P1705" t="str">
            <v>2024/080-0014-01</v>
          </cell>
          <cell r="Q1705" t="str">
            <v>EST POLTRONA HIMALAYA (JANTAR) (CLA) (80006/DB80006) NOG</v>
          </cell>
          <cell r="R1705"/>
          <cell r="S1705"/>
          <cell r="T1705">
            <v>0.7</v>
          </cell>
          <cell r="U1705">
            <v>0.7</v>
          </cell>
          <cell r="V1705">
            <v>0.76</v>
          </cell>
          <cell r="W1705">
            <v>0</v>
          </cell>
          <cell r="X1705" t="str">
            <v>EST POLTRONA HIMALAYA (JANTAR) (CLA) (80006/DB80006) NOG - 0,7x0,7x0,76H</v>
          </cell>
          <cell r="Y1705">
            <v>9526.0167999999994</v>
          </cell>
          <cell r="Z1705">
            <v>0.35</v>
          </cell>
          <cell r="AA1705">
            <v>6191.9109200000003</v>
          </cell>
          <cell r="AB1705"/>
        </row>
        <row r="1706">
          <cell r="C1706">
            <v>0</v>
          </cell>
          <cell r="D1706">
            <v>2</v>
          </cell>
          <cell r="E1706">
            <v>0</v>
          </cell>
          <cell r="F1706">
            <v>0</v>
          </cell>
          <cell r="H1706">
            <v>0</v>
          </cell>
          <cell r="O1706">
            <v>379555</v>
          </cell>
          <cell r="P1706" t="str">
            <v>2024/080-0015-01</v>
          </cell>
          <cell r="Q1706" t="str">
            <v>EST POLTRONA HIMALAYA (JANTAR) (CLA) (80006/DB80006) NOG</v>
          </cell>
          <cell r="R1706"/>
          <cell r="S1706"/>
          <cell r="T1706">
            <v>0.7</v>
          </cell>
          <cell r="U1706">
            <v>0.7</v>
          </cell>
          <cell r="V1706">
            <v>0.76</v>
          </cell>
          <cell r="W1706">
            <v>0</v>
          </cell>
          <cell r="X1706" t="str">
            <v>EST POLTRONA HIMALAYA (JANTAR) (CLA) (80006/DB80006) NOG - 0,7x0,7x0,76H</v>
          </cell>
          <cell r="Y1706">
            <v>9526.0167999999994</v>
          </cell>
          <cell r="Z1706">
            <v>0.35</v>
          </cell>
          <cell r="AA1706">
            <v>6191.9109200000003</v>
          </cell>
          <cell r="AB1706"/>
        </row>
        <row r="1707">
          <cell r="C1707">
            <v>0</v>
          </cell>
          <cell r="D1707">
            <v>2</v>
          </cell>
          <cell r="E1707">
            <v>0</v>
          </cell>
          <cell r="F1707">
            <v>0</v>
          </cell>
          <cell r="H1707">
            <v>0</v>
          </cell>
          <cell r="O1707">
            <v>379556</v>
          </cell>
          <cell r="P1707" t="str">
            <v>2024/080-0016-01</v>
          </cell>
          <cell r="Q1707" t="str">
            <v>EST ALMOFADA DECORATIVA HIMALAYA (P) (TC 80006/DB80006)</v>
          </cell>
          <cell r="R1707"/>
          <cell r="S1707"/>
          <cell r="T1707">
            <v>0.5</v>
          </cell>
          <cell r="U1707">
            <v>0.33</v>
          </cell>
          <cell r="V1707">
            <v>7.0000000000000007E-2</v>
          </cell>
          <cell r="W1707">
            <v>0</v>
          </cell>
          <cell r="X1707" t="str">
            <v>EST ALMOFADA DECORATIVA HIMALAYA (P) (TC 80006/DB80006) - 0,5x0,33x0,07H</v>
          </cell>
          <cell r="Y1707">
            <v>1266.1480999999999</v>
          </cell>
          <cell r="Z1707">
            <v>0.35</v>
          </cell>
          <cell r="AA1707">
            <v>822.99626499999999</v>
          </cell>
          <cell r="AB1707"/>
        </row>
        <row r="1708">
          <cell r="C1708">
            <v>0</v>
          </cell>
          <cell r="D1708">
            <v>2</v>
          </cell>
          <cell r="E1708">
            <v>0</v>
          </cell>
          <cell r="F1708">
            <v>0</v>
          </cell>
          <cell r="H1708">
            <v>0</v>
          </cell>
          <cell r="O1708">
            <v>379556</v>
          </cell>
          <cell r="P1708" t="str">
            <v>2024/080-0017-01</v>
          </cell>
          <cell r="Q1708" t="str">
            <v>EST ALMOFADA DECORATIVA HIMALAYA (P) (TC 80006/DB80006)</v>
          </cell>
          <cell r="R1708"/>
          <cell r="S1708"/>
          <cell r="T1708">
            <v>0.5</v>
          </cell>
          <cell r="U1708">
            <v>0.33</v>
          </cell>
          <cell r="V1708">
            <v>7.0000000000000007E-2</v>
          </cell>
          <cell r="W1708">
            <v>0</v>
          </cell>
          <cell r="X1708" t="str">
            <v>EST ALMOFADA DECORATIVA HIMALAYA (P) (TC 80006/DB80006) - 0,5x0,33x0,07H</v>
          </cell>
          <cell r="Y1708">
            <v>1266.1480999999999</v>
          </cell>
          <cell r="Z1708">
            <v>0.35</v>
          </cell>
          <cell r="AA1708">
            <v>822.99626499999999</v>
          </cell>
          <cell r="AB1708"/>
        </row>
        <row r="1709">
          <cell r="C1709">
            <v>0</v>
          </cell>
          <cell r="D1709">
            <v>0</v>
          </cell>
          <cell r="E1709">
            <v>2</v>
          </cell>
          <cell r="F1709">
            <v>0</v>
          </cell>
          <cell r="H1709">
            <v>2</v>
          </cell>
          <cell r="O1709">
            <v>383215</v>
          </cell>
          <cell r="P1709" t="str">
            <v>2024/093-0068-01</v>
          </cell>
          <cell r="Q1709" t="str">
            <v>EST ALMOFADA DECORATIVA HIMALAYA (G) (SOFT) (FX PET 01)</v>
          </cell>
          <cell r="R1709"/>
          <cell r="S1709"/>
          <cell r="T1709">
            <v>0.9</v>
          </cell>
          <cell r="U1709">
            <v>0.7</v>
          </cell>
          <cell r="V1709">
            <v>0</v>
          </cell>
          <cell r="W1709">
            <v>0</v>
          </cell>
          <cell r="X1709" t="str">
            <v>EST ALMOFADA DECORATIVA HIMALAYA (G) (SOFT) (FX PET 01) - 0,9x0,7x0H</v>
          </cell>
          <cell r="Y1709">
            <v>4907.53</v>
          </cell>
          <cell r="Z1709">
            <v>0.35</v>
          </cell>
          <cell r="AA1709">
            <v>3189.8944999999999</v>
          </cell>
          <cell r="AB1709"/>
        </row>
        <row r="1710">
          <cell r="C1710">
            <v>0</v>
          </cell>
          <cell r="D1710">
            <v>2</v>
          </cell>
          <cell r="E1710">
            <v>0</v>
          </cell>
          <cell r="F1710">
            <v>0</v>
          </cell>
          <cell r="H1710">
            <v>0</v>
          </cell>
          <cell r="O1710">
            <v>388603</v>
          </cell>
          <cell r="P1710" t="str">
            <v>2024/227-0010-01</v>
          </cell>
          <cell r="Q1710" t="str">
            <v>EST POLTRONA ARRAIA (TELA SEXT NT) (FX 40033) (NAT MATT)</v>
          </cell>
          <cell r="R1710"/>
          <cell r="S1710"/>
          <cell r="T1710">
            <v>0.73</v>
          </cell>
          <cell r="U1710">
            <v>0.75</v>
          </cell>
          <cell r="V1710">
            <v>0.8</v>
          </cell>
          <cell r="W1710">
            <v>0</v>
          </cell>
          <cell r="X1710" t="str">
            <v>EST POLTRONA ARRAIA (TELA SEXT NT) (FX 40033) (NAT MATT) - 0,73x0,75x0,8H</v>
          </cell>
          <cell r="Y1710">
            <v>13172.77</v>
          </cell>
          <cell r="Z1710">
            <v>0.35</v>
          </cell>
          <cell r="AA1710">
            <v>8562.3005000000012</v>
          </cell>
          <cell r="AB1710"/>
        </row>
        <row r="1711">
          <cell r="C1711">
            <v>0</v>
          </cell>
          <cell r="D1711">
            <v>2</v>
          </cell>
          <cell r="E1711">
            <v>0</v>
          </cell>
          <cell r="F1711">
            <v>0</v>
          </cell>
          <cell r="H1711">
            <v>0</v>
          </cell>
          <cell r="O1711">
            <v>388603</v>
          </cell>
          <cell r="P1711" t="str">
            <v>2024/227-0011-01</v>
          </cell>
          <cell r="Q1711" t="str">
            <v>EST POLTRONA ARRAIA (TELA SEXT NT) (FX 40033) (NAT MATT)</v>
          </cell>
          <cell r="R1711"/>
          <cell r="S1711"/>
          <cell r="T1711">
            <v>0.73</v>
          </cell>
          <cell r="U1711">
            <v>0.75</v>
          </cell>
          <cell r="V1711">
            <v>0.8</v>
          </cell>
          <cell r="W1711">
            <v>0</v>
          </cell>
          <cell r="X1711" t="str">
            <v>EST POLTRONA ARRAIA (TELA SEXT NT) (FX 40033) (NAT MATT) - 0,73x0,75x0,8H</v>
          </cell>
          <cell r="Y1711">
            <v>13172.77</v>
          </cell>
          <cell r="Z1711">
            <v>0.35</v>
          </cell>
          <cell r="AA1711">
            <v>8562.3005000000012</v>
          </cell>
          <cell r="AB1711"/>
        </row>
        <row r="1712">
          <cell r="C1712">
            <v>1</v>
          </cell>
          <cell r="D1712">
            <v>0</v>
          </cell>
          <cell r="E1712">
            <v>0</v>
          </cell>
          <cell r="F1712">
            <v>2</v>
          </cell>
          <cell r="H1712">
            <v>2</v>
          </cell>
          <cell r="O1712">
            <v>389957</v>
          </cell>
          <cell r="P1712" t="str">
            <v>2024/247-0110-01</v>
          </cell>
          <cell r="Q1712" t="str">
            <v>EST ALMOFADA DECORATIVA HIMALAYA (G) TC KEEPSAKE TAUPE</v>
          </cell>
          <cell r="R1712"/>
          <cell r="S1712"/>
          <cell r="T1712">
            <v>0.9</v>
          </cell>
          <cell r="U1712">
            <v>0.7</v>
          </cell>
          <cell r="V1712">
            <v>0</v>
          </cell>
          <cell r="W1712">
            <v>0</v>
          </cell>
          <cell r="X1712" t="str">
            <v>EST ALMOFADA DECORATIVA HIMALAYA (G) TC KEEPSAKE TAUPE - 0,9x0,7x0H</v>
          </cell>
          <cell r="Y1712">
            <v>2778.5439400000005</v>
          </cell>
          <cell r="Z1712">
            <v>0.35</v>
          </cell>
          <cell r="AA1712">
            <v>1806.0535610000004</v>
          </cell>
          <cell r="AB1712"/>
        </row>
        <row r="1713">
          <cell r="C1713">
            <v>0</v>
          </cell>
          <cell r="D1713">
            <v>1</v>
          </cell>
          <cell r="E1713">
            <v>0</v>
          </cell>
          <cell r="F1713">
            <v>0</v>
          </cell>
          <cell r="H1713">
            <v>0</v>
          </cell>
          <cell r="O1713">
            <v>400490</v>
          </cell>
          <cell r="P1713" t="str">
            <v>2025/014-0053-01</v>
          </cell>
          <cell r="Q1713" t="str">
            <v>EST MESA LATERAL PIN (NATURE MATT) (DET PINT CORTEN)</v>
          </cell>
          <cell r="R1713"/>
          <cell r="S1713"/>
          <cell r="T1713">
            <v>0.35</v>
          </cell>
          <cell r="U1713">
            <v>0</v>
          </cell>
          <cell r="V1713">
            <v>0.52</v>
          </cell>
          <cell r="W1713">
            <v>0.35</v>
          </cell>
          <cell r="X1713" t="str">
            <v>EST MESA LATERAL PIN (NATURE MATT) (DET PINT CORTEN) - Ø0,35x0,52H</v>
          </cell>
          <cell r="Y1713">
            <v>5384.51</v>
          </cell>
          <cell r="Z1713">
            <v>0.35</v>
          </cell>
          <cell r="AA1713">
            <v>3499.9315000000006</v>
          </cell>
          <cell r="AB1713"/>
        </row>
        <row r="1714">
          <cell r="C1714">
            <v>1</v>
          </cell>
          <cell r="D1714">
            <v>1</v>
          </cell>
          <cell r="E1714">
            <v>0</v>
          </cell>
          <cell r="F1714">
            <v>0</v>
          </cell>
          <cell r="H1714">
            <v>0</v>
          </cell>
          <cell r="O1714">
            <v>405718</v>
          </cell>
          <cell r="P1714" t="str">
            <v>2025/154-0089-01</v>
          </cell>
          <cell r="Q1714" t="str">
            <v>EST MESA LATERAL COLOMBINA (TAMPO MARCHETARIA) NATURE MATT</v>
          </cell>
          <cell r="R1714"/>
          <cell r="S1714"/>
          <cell r="T1714">
            <v>0.51</v>
          </cell>
          <cell r="U1714">
            <v>0.51</v>
          </cell>
          <cell r="V1714">
            <v>0.43</v>
          </cell>
          <cell r="W1714">
            <v>0</v>
          </cell>
          <cell r="X1714" t="str">
            <v>EST MESA LATERAL COLOMBINA (TAMPO MARCHETARIA) NATURE MATT - 0,51x0,51x0,43H</v>
          </cell>
          <cell r="Y1714">
            <v>5270.09</v>
          </cell>
          <cell r="Z1714">
            <v>0.35</v>
          </cell>
          <cell r="AA1714">
            <v>3425.5585000000001</v>
          </cell>
          <cell r="AB1714"/>
        </row>
        <row r="1715">
          <cell r="C1715">
            <v>1</v>
          </cell>
          <cell r="D1715">
            <v>1</v>
          </cell>
          <cell r="E1715">
            <v>0</v>
          </cell>
          <cell r="F1715">
            <v>0</v>
          </cell>
          <cell r="H1715">
            <v>0</v>
          </cell>
          <cell r="O1715">
            <v>405720</v>
          </cell>
          <cell r="P1715" t="str">
            <v>2025/154-0094-01</v>
          </cell>
          <cell r="Q1715" t="str">
            <v>EST MESA LATERAL COLOMBINA (TAMPO MARCHETARIA) NATURE MATT</v>
          </cell>
          <cell r="R1715"/>
          <cell r="S1715"/>
          <cell r="T1715">
            <v>0.61</v>
          </cell>
          <cell r="U1715">
            <v>0.61</v>
          </cell>
          <cell r="V1715">
            <v>0.5</v>
          </cell>
          <cell r="W1715">
            <v>0</v>
          </cell>
          <cell r="X1715" t="str">
            <v>EST MESA LATERAL COLOMBINA (TAMPO MARCHETARIA) NATURE MATT - 0,61x0,61x0,5H</v>
          </cell>
          <cell r="Y1715">
            <v>5651.61</v>
          </cell>
          <cell r="Z1715">
            <v>0.35</v>
          </cell>
          <cell r="AA1715">
            <v>3673.5464999999999</v>
          </cell>
          <cell r="AB1715"/>
        </row>
        <row r="1716">
          <cell r="C1716">
            <v>0</v>
          </cell>
          <cell r="D1716">
            <v>1</v>
          </cell>
          <cell r="E1716">
            <v>1</v>
          </cell>
          <cell r="F1716">
            <v>0</v>
          </cell>
          <cell r="H1716">
            <v>0</v>
          </cell>
          <cell r="O1716">
            <v>405724</v>
          </cell>
          <cell r="P1716" t="str">
            <v>2025/154-0099-01</v>
          </cell>
          <cell r="Q1716" t="str">
            <v>EST MESA CENTRO GROTA (TAMPO MARCHETARIA) NATURE MATT</v>
          </cell>
          <cell r="R1716"/>
          <cell r="S1716"/>
          <cell r="T1716">
            <v>1.82</v>
          </cell>
          <cell r="U1716">
            <v>0.72</v>
          </cell>
          <cell r="V1716">
            <v>0.25</v>
          </cell>
          <cell r="W1716">
            <v>0</v>
          </cell>
          <cell r="X1716" t="str">
            <v>EST MESA CENTRO GROTA (TAMPO MARCHETARIA) NATURE MATT - 1,82x0,72x0,25H</v>
          </cell>
          <cell r="Y1716">
            <v>17884.88</v>
          </cell>
          <cell r="Z1716">
            <v>0.35</v>
          </cell>
          <cell r="AA1716">
            <v>11625.172000000002</v>
          </cell>
          <cell r="AB1716"/>
        </row>
        <row r="1717">
          <cell r="C1717">
            <v>1</v>
          </cell>
          <cell r="D1717">
            <v>1</v>
          </cell>
          <cell r="E1717">
            <v>0</v>
          </cell>
          <cell r="F1717">
            <v>0</v>
          </cell>
          <cell r="H1717">
            <v>0</v>
          </cell>
          <cell r="O1717">
            <v>405726</v>
          </cell>
          <cell r="P1717" t="str">
            <v>2025/154-0104-01</v>
          </cell>
          <cell r="Q1717" t="str">
            <v>EST MESA LATERAL SATELITE (WALNUT MATT) PINT CORTEN</v>
          </cell>
          <cell r="R1717"/>
          <cell r="S1717"/>
          <cell r="T1717">
            <v>0.41</v>
          </cell>
          <cell r="U1717">
            <v>0.27</v>
          </cell>
          <cell r="V1717">
            <v>0.35</v>
          </cell>
          <cell r="W1717">
            <v>0</v>
          </cell>
          <cell r="X1717" t="str">
            <v>EST MESA LATERAL SATELITE (WALNUT MATT) PINT CORTEN - 0,41x0,27x0,35H</v>
          </cell>
          <cell r="Y1717">
            <v>4597.6000000000004</v>
          </cell>
          <cell r="Z1717">
            <v>0.35</v>
          </cell>
          <cell r="AA1717">
            <v>2988.4400000000005</v>
          </cell>
          <cell r="AB1717"/>
        </row>
        <row r="1718">
          <cell r="C1718">
            <v>1</v>
          </cell>
          <cell r="D1718">
            <v>1</v>
          </cell>
          <cell r="E1718">
            <v>0</v>
          </cell>
          <cell r="F1718">
            <v>0</v>
          </cell>
          <cell r="H1718">
            <v>0</v>
          </cell>
          <cell r="O1718">
            <v>405728</v>
          </cell>
          <cell r="P1718" t="str">
            <v>2025/154-0108-01</v>
          </cell>
          <cell r="Q1718" t="str">
            <v>EST MESA LATERAL SATELITE (WALNUT MATT) PINT CORTEN</v>
          </cell>
          <cell r="R1718"/>
          <cell r="S1718"/>
          <cell r="T1718">
            <v>0.41</v>
          </cell>
          <cell r="U1718">
            <v>0.27</v>
          </cell>
          <cell r="V1718">
            <v>0.5</v>
          </cell>
          <cell r="W1718">
            <v>0</v>
          </cell>
          <cell r="X1718" t="str">
            <v>EST MESA LATERAL SATELITE (WALNUT MATT) PINT CORTEN - 0,41x0,27x0,5H</v>
          </cell>
          <cell r="Y1718">
            <v>4831.28</v>
          </cell>
          <cell r="Z1718">
            <v>0.35</v>
          </cell>
          <cell r="AA1718">
            <v>3140.3319999999999</v>
          </cell>
          <cell r="AB1718"/>
        </row>
        <row r="1719">
          <cell r="C1719">
            <v>0</v>
          </cell>
          <cell r="D1719">
            <v>1</v>
          </cell>
          <cell r="E1719">
            <v>0</v>
          </cell>
          <cell r="F1719">
            <v>0</v>
          </cell>
          <cell r="H1719">
            <v>0</v>
          </cell>
          <cell r="O1719">
            <v>232035</v>
          </cell>
          <cell r="P1719" t="str">
            <v>2019/065-0021-01</v>
          </cell>
          <cell r="Q1719" t="str">
            <v>EST PUFF SOHO (COURO 2 - 2007 WHISKY ENV) (TING IMBUIA)</v>
          </cell>
          <cell r="R1719"/>
          <cell r="S1719"/>
          <cell r="T1719">
            <v>1</v>
          </cell>
          <cell r="U1719">
            <v>0</v>
          </cell>
          <cell r="V1719">
            <v>0.3</v>
          </cell>
          <cell r="W1719">
            <v>1</v>
          </cell>
          <cell r="X1719" t="str">
            <v>EST PUFF SOHO (COURO 2 - 2007 WHISKY ENV) (TING IMBUIA) - Ø1x0,3H</v>
          </cell>
          <cell r="Y1719">
            <v>11131.55</v>
          </cell>
          <cell r="Z1719">
            <v>0.5</v>
          </cell>
          <cell r="AA1719">
            <v>5565.7749999999996</v>
          </cell>
          <cell r="AB1719"/>
        </row>
        <row r="1720">
          <cell r="C1720">
            <v>0</v>
          </cell>
          <cell r="D1720">
            <v>1</v>
          </cell>
          <cell r="E1720">
            <v>0</v>
          </cell>
          <cell r="F1720">
            <v>0</v>
          </cell>
          <cell r="H1720">
            <v>0</v>
          </cell>
          <cell r="O1720">
            <v>232035</v>
          </cell>
          <cell r="P1720" t="str">
            <v>2019/065-0027-01</v>
          </cell>
          <cell r="Q1720" t="str">
            <v>EST PUFF SOHO (COURO 2 - 2007 WHISKY ENV) (TING IMBUIA)</v>
          </cell>
          <cell r="R1720"/>
          <cell r="S1720"/>
          <cell r="T1720">
            <v>1</v>
          </cell>
          <cell r="U1720">
            <v>0</v>
          </cell>
          <cell r="V1720">
            <v>0.3</v>
          </cell>
          <cell r="W1720">
            <v>1</v>
          </cell>
          <cell r="X1720" t="str">
            <v>EST PUFF SOHO (COURO 2 - 2007 WHISKY ENV) (TING IMBUIA) - Ø1x0,3H</v>
          </cell>
          <cell r="Y1720">
            <v>11131.55</v>
          </cell>
          <cell r="Z1720">
            <v>0.5</v>
          </cell>
          <cell r="AA1720">
            <v>5565.7749999999996</v>
          </cell>
          <cell r="AB1720"/>
        </row>
        <row r="1721">
          <cell r="C1721">
            <v>1</v>
          </cell>
          <cell r="D1721">
            <v>6</v>
          </cell>
          <cell r="E1721">
            <v>0</v>
          </cell>
          <cell r="F1721">
            <v>0</v>
          </cell>
          <cell r="H1721">
            <v>1</v>
          </cell>
          <cell r="O1721">
            <v>328721</v>
          </cell>
          <cell r="P1721" t="str">
            <v>2022/172-0040-01</v>
          </cell>
          <cell r="Q1721" t="str">
            <v>EST CADEIRA MELIZA (GIR) (FX 60004) (TING NOGAL)</v>
          </cell>
          <cell r="R1721"/>
          <cell r="S1721"/>
          <cell r="T1721">
            <v>0.6</v>
          </cell>
          <cell r="U1721">
            <v>0.49</v>
          </cell>
          <cell r="V1721">
            <v>0.79</v>
          </cell>
          <cell r="W1721">
            <v>0</v>
          </cell>
          <cell r="X1721" t="str">
            <v>EST CADEIRA MELIZA (GIR) (FX 60004) (TING NOGAL) - 0,6x0,49x0,79H</v>
          </cell>
          <cell r="Y1721">
            <v>5980.67</v>
          </cell>
          <cell r="Z1721">
            <v>0.5</v>
          </cell>
          <cell r="AA1721">
            <v>2990.335</v>
          </cell>
          <cell r="AB1721"/>
        </row>
        <row r="1722">
          <cell r="C1722">
            <v>1</v>
          </cell>
          <cell r="D1722">
            <v>6</v>
          </cell>
          <cell r="E1722">
            <v>0</v>
          </cell>
          <cell r="F1722">
            <v>0</v>
          </cell>
          <cell r="H1722">
            <v>1</v>
          </cell>
          <cell r="O1722">
            <v>328721</v>
          </cell>
          <cell r="P1722" t="str">
            <v>2022/172-0043-01</v>
          </cell>
          <cell r="Q1722" t="str">
            <v>EST CADEIRA MELIZA (GIR) (FX 60004) (TING NOGAL)</v>
          </cell>
          <cell r="R1722"/>
          <cell r="S1722"/>
          <cell r="T1722">
            <v>0.6</v>
          </cell>
          <cell r="U1722">
            <v>0.49</v>
          </cell>
          <cell r="V1722">
            <v>0.79</v>
          </cell>
          <cell r="W1722">
            <v>0</v>
          </cell>
          <cell r="X1722" t="str">
            <v>EST CADEIRA MELIZA (GIR) (FX 60004) (TING NOGAL) - 0,6x0,49x0,79H</v>
          </cell>
          <cell r="Y1722">
            <v>5980.67</v>
          </cell>
          <cell r="Z1722">
            <v>0.5</v>
          </cell>
          <cell r="AA1722">
            <v>2990.335</v>
          </cell>
          <cell r="AB1722"/>
        </row>
        <row r="1723">
          <cell r="C1723">
            <v>1</v>
          </cell>
          <cell r="D1723">
            <v>6</v>
          </cell>
          <cell r="E1723">
            <v>0</v>
          </cell>
          <cell r="F1723">
            <v>0</v>
          </cell>
          <cell r="H1723">
            <v>1</v>
          </cell>
          <cell r="O1723">
            <v>328721</v>
          </cell>
          <cell r="P1723" t="str">
            <v>2022/172-0044-01</v>
          </cell>
          <cell r="Q1723" t="str">
            <v>EST CADEIRA MELIZA (GIR) (FX 60004) (TING NOGAL)</v>
          </cell>
          <cell r="R1723"/>
          <cell r="S1723"/>
          <cell r="T1723">
            <v>0.6</v>
          </cell>
          <cell r="U1723">
            <v>0.49</v>
          </cell>
          <cell r="V1723">
            <v>0.79</v>
          </cell>
          <cell r="W1723">
            <v>0</v>
          </cell>
          <cell r="X1723" t="str">
            <v>EST CADEIRA MELIZA (GIR) (FX 60004) (TING NOGAL) - 0,6x0,49x0,79H</v>
          </cell>
          <cell r="Y1723">
            <v>5980.67</v>
          </cell>
          <cell r="Z1723">
            <v>0.5</v>
          </cell>
          <cell r="AA1723">
            <v>2990.335</v>
          </cell>
          <cell r="AB1723"/>
        </row>
        <row r="1724">
          <cell r="C1724">
            <v>1</v>
          </cell>
          <cell r="D1724">
            <v>6</v>
          </cell>
          <cell r="E1724">
            <v>0</v>
          </cell>
          <cell r="F1724">
            <v>0</v>
          </cell>
          <cell r="H1724">
            <v>1</v>
          </cell>
          <cell r="O1724">
            <v>328721</v>
          </cell>
          <cell r="P1724" t="str">
            <v>2022/172-0045-01</v>
          </cell>
          <cell r="Q1724" t="str">
            <v>EST CADEIRA MELIZA (GIR) (FX 60004) (TING NOGAL)</v>
          </cell>
          <cell r="R1724"/>
          <cell r="S1724"/>
          <cell r="T1724">
            <v>0.6</v>
          </cell>
          <cell r="U1724">
            <v>0.49</v>
          </cell>
          <cell r="V1724">
            <v>0.79</v>
          </cell>
          <cell r="W1724">
            <v>0</v>
          </cell>
          <cell r="X1724" t="str">
            <v>EST CADEIRA MELIZA (GIR) (FX 60004) (TING NOGAL) - 0,6x0,49x0,79H</v>
          </cell>
          <cell r="Y1724">
            <v>5980.67</v>
          </cell>
          <cell r="Z1724">
            <v>0.5</v>
          </cell>
          <cell r="AA1724">
            <v>2990.335</v>
          </cell>
          <cell r="AB1724"/>
        </row>
        <row r="1725">
          <cell r="C1725">
            <v>1</v>
          </cell>
          <cell r="D1725">
            <v>6</v>
          </cell>
          <cell r="E1725">
            <v>0</v>
          </cell>
          <cell r="F1725">
            <v>0</v>
          </cell>
          <cell r="H1725">
            <v>1</v>
          </cell>
          <cell r="O1725">
            <v>328721</v>
          </cell>
          <cell r="P1725" t="str">
            <v>2022/172-0046-01</v>
          </cell>
          <cell r="Q1725" t="str">
            <v>EST CADEIRA MELIZA (GIR) (FX 60004) (TING NOGAL)</v>
          </cell>
          <cell r="R1725"/>
          <cell r="S1725"/>
          <cell r="T1725">
            <v>0.6</v>
          </cell>
          <cell r="U1725">
            <v>0.49</v>
          </cell>
          <cell r="V1725">
            <v>0.79</v>
          </cell>
          <cell r="W1725">
            <v>0</v>
          </cell>
          <cell r="X1725" t="str">
            <v>EST CADEIRA MELIZA (GIR) (FX 60004) (TING NOGAL) - 0,6x0,49x0,79H</v>
          </cell>
          <cell r="Y1725">
            <v>5980.67</v>
          </cell>
          <cell r="Z1725">
            <v>0.5</v>
          </cell>
          <cell r="AA1725">
            <v>2990.335</v>
          </cell>
          <cell r="AB1725"/>
        </row>
        <row r="1726">
          <cell r="C1726">
            <v>1</v>
          </cell>
          <cell r="D1726">
            <v>6</v>
          </cell>
          <cell r="E1726">
            <v>0</v>
          </cell>
          <cell r="F1726">
            <v>0</v>
          </cell>
          <cell r="H1726">
            <v>1</v>
          </cell>
          <cell r="O1726">
            <v>328721</v>
          </cell>
          <cell r="P1726" t="str">
            <v>2022/172-0047-01</v>
          </cell>
          <cell r="Q1726" t="str">
            <v>EST CADEIRA MELIZA (GIR) (FX 60004) (TING NOGAL)</v>
          </cell>
          <cell r="R1726"/>
          <cell r="S1726"/>
          <cell r="T1726">
            <v>0.6</v>
          </cell>
          <cell r="U1726">
            <v>0.49</v>
          </cell>
          <cell r="V1726">
            <v>0.79</v>
          </cell>
          <cell r="W1726">
            <v>0</v>
          </cell>
          <cell r="X1726" t="str">
            <v>EST CADEIRA MELIZA (GIR) (FX 60004) (TING NOGAL) - 0,6x0,49x0,79H</v>
          </cell>
          <cell r="Y1726">
            <v>5980.67</v>
          </cell>
          <cell r="Z1726">
            <v>0.5</v>
          </cell>
          <cell r="AA1726">
            <v>2990.335</v>
          </cell>
          <cell r="AB1726"/>
        </row>
        <row r="1727">
          <cell r="C1727">
            <v>1</v>
          </cell>
          <cell r="D1727">
            <v>0</v>
          </cell>
          <cell r="E1727">
            <v>0</v>
          </cell>
          <cell r="F1727">
            <v>0</v>
          </cell>
          <cell r="H1727">
            <v>0</v>
          </cell>
          <cell r="O1727">
            <v>156587</v>
          </cell>
          <cell r="P1727" t="str">
            <v>2014/233-0019-01</v>
          </cell>
          <cell r="Q1727" t="str">
            <v>EST MESA LATERAL IPANEMA (CINAMOMO NATURAL) (CRISTAL BRANCO)</v>
          </cell>
          <cell r="R1727"/>
          <cell r="S1727"/>
          <cell r="T1727">
            <v>0.77</v>
          </cell>
          <cell r="U1727">
            <v>0</v>
          </cell>
          <cell r="V1727">
            <v>0.7</v>
          </cell>
          <cell r="W1727">
            <v>0.77</v>
          </cell>
          <cell r="X1727" t="str">
            <v>EST MESA LATERAL IPANEMA (CINAMOMO NATURAL) (CRISTAL BRANCO) - Ø0,77x0,7H</v>
          </cell>
          <cell r="Y1727">
            <v>7235.02</v>
          </cell>
          <cell r="Z1727">
            <v>0.5</v>
          </cell>
          <cell r="AA1727">
            <v>3617.51</v>
          </cell>
          <cell r="AB1727"/>
        </row>
        <row r="1728">
          <cell r="C1728">
            <v>6</v>
          </cell>
          <cell r="D1728">
            <v>0</v>
          </cell>
          <cell r="E1728">
            <v>0</v>
          </cell>
          <cell r="F1728">
            <v>0</v>
          </cell>
          <cell r="H1728">
            <v>0</v>
          </cell>
          <cell r="O1728">
            <v>278063</v>
          </cell>
          <cell r="P1728" t="str">
            <v>2021/182-0043-01</v>
          </cell>
          <cell r="Q1728" t="str">
            <v>EST CADEIRA RENDEIRA (FX 5408/TELA LEVE NAT) (WALNUT MATT)</v>
          </cell>
          <cell r="R1728"/>
          <cell r="S1728"/>
          <cell r="T1728">
            <v>0.48</v>
          </cell>
          <cell r="U1728">
            <v>0.59</v>
          </cell>
          <cell r="V1728">
            <v>0.8</v>
          </cell>
          <cell r="W1728">
            <v>0</v>
          </cell>
          <cell r="X1728" t="str">
            <v>EST CADEIRA RENDEIRA (FX 5408/TELA LEVE NAT) (WALNUT MATT) - 0,48x0,59x0,8H</v>
          </cell>
          <cell r="Y1728">
            <v>6796.25</v>
          </cell>
          <cell r="Z1728">
            <v>0.5</v>
          </cell>
          <cell r="AA1728">
            <v>3398.125</v>
          </cell>
          <cell r="AB1728"/>
        </row>
        <row r="1729">
          <cell r="C1729">
            <v>6</v>
          </cell>
          <cell r="D1729">
            <v>0</v>
          </cell>
          <cell r="E1729">
            <v>0</v>
          </cell>
          <cell r="F1729">
            <v>0</v>
          </cell>
          <cell r="H1729">
            <v>0</v>
          </cell>
          <cell r="O1729">
            <v>278063</v>
          </cell>
          <cell r="P1729" t="str">
            <v>2021/182-0044-01</v>
          </cell>
          <cell r="Q1729" t="str">
            <v>EST CADEIRA RENDEIRA (FX 5408/TELA LEVE NAT) (WALNUT MATT)</v>
          </cell>
          <cell r="R1729"/>
          <cell r="S1729"/>
          <cell r="T1729">
            <v>0.48</v>
          </cell>
          <cell r="U1729">
            <v>0.59</v>
          </cell>
          <cell r="V1729">
            <v>0.8</v>
          </cell>
          <cell r="W1729">
            <v>0</v>
          </cell>
          <cell r="X1729" t="str">
            <v>EST CADEIRA RENDEIRA (FX 5408/TELA LEVE NAT) (WALNUT MATT) - 0,48x0,59x0,8H</v>
          </cell>
          <cell r="Y1729">
            <v>6796.25</v>
          </cell>
          <cell r="Z1729">
            <v>0.5</v>
          </cell>
          <cell r="AA1729">
            <v>3398.125</v>
          </cell>
          <cell r="AB1729"/>
        </row>
        <row r="1730">
          <cell r="C1730">
            <v>6</v>
          </cell>
          <cell r="D1730">
            <v>0</v>
          </cell>
          <cell r="E1730">
            <v>0</v>
          </cell>
          <cell r="F1730">
            <v>0</v>
          </cell>
          <cell r="H1730">
            <v>0</v>
          </cell>
          <cell r="O1730">
            <v>278063</v>
          </cell>
          <cell r="P1730" t="str">
            <v>2021/182-0045-01</v>
          </cell>
          <cell r="Q1730" t="str">
            <v>EST CADEIRA RENDEIRA (FX 5408/TELA LEVE NAT) (WALNUT MATT)</v>
          </cell>
          <cell r="R1730"/>
          <cell r="S1730"/>
          <cell r="T1730">
            <v>0.48</v>
          </cell>
          <cell r="U1730">
            <v>0.59</v>
          </cell>
          <cell r="V1730">
            <v>0.8</v>
          </cell>
          <cell r="W1730">
            <v>0</v>
          </cell>
          <cell r="X1730" t="str">
            <v>EST CADEIRA RENDEIRA (FX 5408/TELA LEVE NAT) (WALNUT MATT) - 0,48x0,59x0,8H</v>
          </cell>
          <cell r="Y1730">
            <v>6796.25</v>
          </cell>
          <cell r="Z1730">
            <v>0.5</v>
          </cell>
          <cell r="AA1730">
            <v>3398.125</v>
          </cell>
          <cell r="AB1730"/>
        </row>
        <row r="1731">
          <cell r="C1731">
            <v>6</v>
          </cell>
          <cell r="D1731">
            <v>0</v>
          </cell>
          <cell r="E1731">
            <v>0</v>
          </cell>
          <cell r="F1731">
            <v>0</v>
          </cell>
          <cell r="H1731">
            <v>0</v>
          </cell>
          <cell r="O1731">
            <v>278063</v>
          </cell>
          <cell r="P1731" t="str">
            <v>2021/182-0046-01</v>
          </cell>
          <cell r="Q1731" t="str">
            <v>EST CADEIRA RENDEIRA (FX 5408/TELA LEVE NAT) (WALNUT MATT)</v>
          </cell>
          <cell r="R1731"/>
          <cell r="S1731"/>
          <cell r="T1731">
            <v>0.48</v>
          </cell>
          <cell r="U1731">
            <v>0.59</v>
          </cell>
          <cell r="V1731">
            <v>0.8</v>
          </cell>
          <cell r="W1731">
            <v>0</v>
          </cell>
          <cell r="X1731" t="str">
            <v>EST CADEIRA RENDEIRA (FX 5408/TELA LEVE NAT) (WALNUT MATT) - 0,48x0,59x0,8H</v>
          </cell>
          <cell r="Y1731">
            <v>6796.25</v>
          </cell>
          <cell r="Z1731">
            <v>0.5</v>
          </cell>
          <cell r="AA1731">
            <v>3398.125</v>
          </cell>
          <cell r="AB1731"/>
        </row>
        <row r="1732">
          <cell r="C1732">
            <v>6</v>
          </cell>
          <cell r="D1732">
            <v>0</v>
          </cell>
          <cell r="E1732">
            <v>0</v>
          </cell>
          <cell r="F1732">
            <v>0</v>
          </cell>
          <cell r="H1732">
            <v>0</v>
          </cell>
          <cell r="O1732">
            <v>278063</v>
          </cell>
          <cell r="P1732" t="str">
            <v>2021/182-0047-01</v>
          </cell>
          <cell r="Q1732" t="str">
            <v>EST CADEIRA RENDEIRA (FX 5408/TELA LEVE NAT) (WALNUT MATT)</v>
          </cell>
          <cell r="R1732"/>
          <cell r="S1732"/>
          <cell r="T1732">
            <v>0.48</v>
          </cell>
          <cell r="U1732">
            <v>0.59</v>
          </cell>
          <cell r="V1732">
            <v>0.8</v>
          </cell>
          <cell r="W1732">
            <v>0</v>
          </cell>
          <cell r="X1732" t="str">
            <v>EST CADEIRA RENDEIRA (FX 5408/TELA LEVE NAT) (WALNUT MATT) - 0,48x0,59x0,8H</v>
          </cell>
          <cell r="Y1732">
            <v>6796.25</v>
          </cell>
          <cell r="Z1732">
            <v>0.5</v>
          </cell>
          <cell r="AA1732">
            <v>3398.125</v>
          </cell>
          <cell r="AB1732"/>
        </row>
        <row r="1733">
          <cell r="C1733">
            <v>6</v>
          </cell>
          <cell r="D1733">
            <v>0</v>
          </cell>
          <cell r="E1733">
            <v>0</v>
          </cell>
          <cell r="F1733">
            <v>0</v>
          </cell>
          <cell r="H1733">
            <v>0</v>
          </cell>
          <cell r="O1733">
            <v>278063</v>
          </cell>
          <cell r="P1733" t="str">
            <v>2021/182-0048-01</v>
          </cell>
          <cell r="Q1733" t="str">
            <v>EST CADEIRA RENDEIRA (FX 5408/TELA LEVE NAT) (WALNUT MATT)</v>
          </cell>
          <cell r="R1733"/>
          <cell r="S1733"/>
          <cell r="T1733">
            <v>0.48</v>
          </cell>
          <cell r="U1733">
            <v>0.59</v>
          </cell>
          <cell r="V1733">
            <v>0.8</v>
          </cell>
          <cell r="W1733">
            <v>0</v>
          </cell>
          <cell r="X1733" t="str">
            <v>EST CADEIRA RENDEIRA (FX 5408/TELA LEVE NAT) (WALNUT MATT) - 0,48x0,59x0,8H</v>
          </cell>
          <cell r="Y1733">
            <v>6796.25</v>
          </cell>
          <cell r="Z1733">
            <v>0.5</v>
          </cell>
          <cell r="AA1733">
            <v>3398.125</v>
          </cell>
          <cell r="AB1733"/>
        </row>
        <row r="1734">
          <cell r="C1734">
            <v>1</v>
          </cell>
          <cell r="D1734">
            <v>0</v>
          </cell>
          <cell r="E1734">
            <v>0</v>
          </cell>
          <cell r="F1734">
            <v>0</v>
          </cell>
          <cell r="H1734">
            <v>0</v>
          </cell>
          <cell r="O1734">
            <v>334244</v>
          </cell>
          <cell r="P1734" t="str">
            <v>2022/210-0116-01</v>
          </cell>
          <cell r="Q1734" t="str">
            <v>EST MESA CENTRO IPANEMA (LAM EBANIZADO C/CRIS PINT PT)</v>
          </cell>
          <cell r="R1734"/>
          <cell r="S1734"/>
          <cell r="T1734">
            <v>0.9</v>
          </cell>
          <cell r="U1734">
            <v>0</v>
          </cell>
          <cell r="V1734">
            <v>0.35</v>
          </cell>
          <cell r="W1734">
            <v>0.9</v>
          </cell>
          <cell r="X1734" t="str">
            <v>EST MESA CENTRO IPANEMA (LAM EBANIZADO C/CRIS PINT PT) - Ø0,9x0,35H</v>
          </cell>
          <cell r="Y1734">
            <v>9114.11</v>
          </cell>
          <cell r="Z1734">
            <v>0.5</v>
          </cell>
          <cell r="AA1734">
            <v>4557.0550000000003</v>
          </cell>
          <cell r="AB1734"/>
        </row>
        <row r="1735">
          <cell r="C1735">
            <v>1</v>
          </cell>
          <cell r="D1735">
            <v>0</v>
          </cell>
          <cell r="E1735">
            <v>0</v>
          </cell>
          <cell r="F1735">
            <v>0</v>
          </cell>
          <cell r="H1735">
            <v>0</v>
          </cell>
          <cell r="O1735">
            <v>179300</v>
          </cell>
          <cell r="P1735" t="str">
            <v>2015/335-0019-01</v>
          </cell>
          <cell r="Q1735" t="str">
            <v>EST MESA CENTRO IPANEMA (LAM CINAMONO IMBUIA C/CRIS PRETO)</v>
          </cell>
          <cell r="R1735"/>
          <cell r="S1735"/>
          <cell r="T1735">
            <v>1.1000000000000001</v>
          </cell>
          <cell r="U1735">
            <v>0</v>
          </cell>
          <cell r="V1735">
            <v>0.3</v>
          </cell>
          <cell r="W1735">
            <v>1.1000000000000001</v>
          </cell>
          <cell r="X1735" t="str">
            <v>EST MESA CENTRO IPANEMA (LAM CINAMONO IMBUIA C/CRIS PRETO) - Ø1,1x0,3H</v>
          </cell>
          <cell r="Y1735">
            <v>13649.71</v>
          </cell>
          <cell r="Z1735">
            <v>0.35</v>
          </cell>
          <cell r="AA1735">
            <v>8872.3114999999998</v>
          </cell>
          <cell r="AB1735"/>
        </row>
        <row r="1736">
          <cell r="C1736">
            <v>2</v>
          </cell>
          <cell r="D1736">
            <v>0</v>
          </cell>
          <cell r="E1736">
            <v>0</v>
          </cell>
          <cell r="F1736">
            <v>0</v>
          </cell>
          <cell r="H1736">
            <v>0</v>
          </cell>
          <cell r="O1736">
            <v>309867</v>
          </cell>
          <cell r="P1736" t="str">
            <v>2021/350-0105-01</v>
          </cell>
          <cell r="Q1736" t="str">
            <v>EST POLTRONA ARRAIA (SEXT NT) (FX 50033) (NATURE GLOSS)</v>
          </cell>
          <cell r="R1736"/>
          <cell r="S1736"/>
          <cell r="T1736">
            <v>0.73</v>
          </cell>
          <cell r="U1736">
            <v>0.75</v>
          </cell>
          <cell r="V1736">
            <v>0.8</v>
          </cell>
          <cell r="W1736">
            <v>0</v>
          </cell>
          <cell r="X1736" t="str">
            <v>EST POLTRONA ARRAIA (SEXT NT) (FX 50033) (NATURE GLOSS) - 0,73x0,75x0,8H</v>
          </cell>
          <cell r="Y1736">
            <v>13334.94</v>
          </cell>
          <cell r="Z1736">
            <v>0.35</v>
          </cell>
          <cell r="AA1736">
            <v>8667.7109999999993</v>
          </cell>
          <cell r="AB1736"/>
        </row>
        <row r="1737">
          <cell r="C1737">
            <v>2</v>
          </cell>
          <cell r="D1737">
            <v>0</v>
          </cell>
          <cell r="E1737">
            <v>0</v>
          </cell>
          <cell r="F1737">
            <v>0</v>
          </cell>
          <cell r="H1737">
            <v>0</v>
          </cell>
          <cell r="O1737">
            <v>309867</v>
          </cell>
          <cell r="P1737" t="str">
            <v>2021/350-0106-01</v>
          </cell>
          <cell r="Q1737" t="str">
            <v>EST POLTRONA ARRAIA (SEXT NT) (FX 50033) (NATURE GLOSS)</v>
          </cell>
          <cell r="R1737"/>
          <cell r="S1737"/>
          <cell r="T1737">
            <v>0.73</v>
          </cell>
          <cell r="U1737">
            <v>0.75</v>
          </cell>
          <cell r="V1737">
            <v>0.8</v>
          </cell>
          <cell r="W1737">
            <v>0</v>
          </cell>
          <cell r="X1737" t="str">
            <v>EST POLTRONA ARRAIA (SEXT NT) (FX 50033) (NATURE GLOSS) - 0,73x0,75x0,8H</v>
          </cell>
          <cell r="Y1737">
            <v>13334.94</v>
          </cell>
          <cell r="Z1737">
            <v>0.35</v>
          </cell>
          <cell r="AA1737">
            <v>8667.7109999999993</v>
          </cell>
          <cell r="AB1737"/>
        </row>
        <row r="1738">
          <cell r="C1738">
            <v>1</v>
          </cell>
          <cell r="D1738">
            <v>6</v>
          </cell>
          <cell r="E1738">
            <v>0</v>
          </cell>
          <cell r="F1738">
            <v>0</v>
          </cell>
          <cell r="H1738">
            <v>1</v>
          </cell>
          <cell r="O1738">
            <v>328721</v>
          </cell>
          <cell r="P1738" t="str">
            <v>2022/172-0042-01</v>
          </cell>
          <cell r="Q1738" t="str">
            <v>EST CADEIRA MELIZA (GIR) (FX 60004) (TING NOGAL)</v>
          </cell>
          <cell r="R1738"/>
          <cell r="S1738"/>
          <cell r="T1738">
            <v>0.6</v>
          </cell>
          <cell r="U1738">
            <v>0.49</v>
          </cell>
          <cell r="V1738">
            <v>0.79</v>
          </cell>
          <cell r="W1738">
            <v>0</v>
          </cell>
          <cell r="X1738" t="str">
            <v>EST CADEIRA MELIZA (GIR) (FX 60004) (TING NOGAL) - 0,6x0,49x0,79H</v>
          </cell>
          <cell r="Y1738">
            <v>5980.67</v>
          </cell>
          <cell r="Z1738">
            <v>0.35</v>
          </cell>
          <cell r="AA1738">
            <v>3887.4355</v>
          </cell>
          <cell r="AB1738"/>
        </row>
        <row r="1739">
          <cell r="C1739">
            <v>2</v>
          </cell>
          <cell r="D1739">
            <v>0</v>
          </cell>
          <cell r="E1739">
            <v>0</v>
          </cell>
          <cell r="F1739">
            <v>0</v>
          </cell>
          <cell r="H1739">
            <v>0</v>
          </cell>
          <cell r="O1739">
            <v>330690</v>
          </cell>
          <cell r="P1739" t="str">
            <v>2022/221-0021-01</v>
          </cell>
          <cell r="Q1739" t="str">
            <v>EST POLTRONA MAY (BRACO MAD) (RUST ASTI 162) (TING AMENDOA)</v>
          </cell>
          <cell r="R1739"/>
          <cell r="S1739"/>
          <cell r="T1739">
            <v>0.71</v>
          </cell>
          <cell r="U1739">
            <v>0.78</v>
          </cell>
          <cell r="V1739">
            <v>0.77</v>
          </cell>
          <cell r="W1739">
            <v>0</v>
          </cell>
          <cell r="X1739" t="str">
            <v>EST POLTRONA MAY (BRACO MAD) (RUST ASTI 162) (TING AMENDOA) - 0,71x0,78x0,77H</v>
          </cell>
          <cell r="Y1739">
            <v>13742.23</v>
          </cell>
          <cell r="Z1739">
            <v>0.35</v>
          </cell>
          <cell r="AA1739">
            <v>8932.4494999999988</v>
          </cell>
          <cell r="AB1739"/>
        </row>
        <row r="1740">
          <cell r="C1740">
            <v>2</v>
          </cell>
          <cell r="D1740">
            <v>0</v>
          </cell>
          <cell r="E1740">
            <v>0</v>
          </cell>
          <cell r="F1740">
            <v>0</v>
          </cell>
          <cell r="H1740">
            <v>0</v>
          </cell>
          <cell r="O1740">
            <v>330690</v>
          </cell>
          <cell r="P1740" t="str">
            <v>2022/221-0022-01</v>
          </cell>
          <cell r="Q1740" t="str">
            <v>EST POLTRONA MAY (BRACO MAD) (RUST ASTI 162) (TING AMENDOA)</v>
          </cell>
          <cell r="R1740"/>
          <cell r="S1740"/>
          <cell r="T1740">
            <v>0.71</v>
          </cell>
          <cell r="U1740">
            <v>0.78</v>
          </cell>
          <cell r="V1740">
            <v>0.77</v>
          </cell>
          <cell r="W1740">
            <v>0</v>
          </cell>
          <cell r="X1740" t="str">
            <v>EST POLTRONA MAY (BRACO MAD) (RUST ASTI 162) (TING AMENDOA) - 0,71x0,78x0,77H</v>
          </cell>
          <cell r="Y1740">
            <v>13742.23</v>
          </cell>
          <cell r="Z1740">
            <v>0.35</v>
          </cell>
          <cell r="AA1740">
            <v>8932.4494999999988</v>
          </cell>
          <cell r="AB1740"/>
        </row>
        <row r="1741">
          <cell r="C1741">
            <v>1</v>
          </cell>
          <cell r="D1741">
            <v>0</v>
          </cell>
          <cell r="E1741">
            <v>0</v>
          </cell>
          <cell r="F1741">
            <v>0</v>
          </cell>
          <cell r="H1741">
            <v>0</v>
          </cell>
          <cell r="O1741">
            <v>334245</v>
          </cell>
          <cell r="P1741" t="str">
            <v>2022/210-0117-01</v>
          </cell>
          <cell r="Q1741" t="str">
            <v>EST MESA LATERAL PIN (COFFEE GLOSS) (DET PINT CORTEN)</v>
          </cell>
          <cell r="R1741"/>
          <cell r="S1741"/>
          <cell r="T1741">
            <v>0.35</v>
          </cell>
          <cell r="U1741">
            <v>0</v>
          </cell>
          <cell r="V1741">
            <v>0.52</v>
          </cell>
          <cell r="W1741">
            <v>0.35</v>
          </cell>
          <cell r="X1741" t="str">
            <v>EST MESA LATERAL PIN (COFFEE GLOSS) (DET PINT CORTEN) - Ø0,35x0,52H</v>
          </cell>
          <cell r="Y1741">
            <v>5384.51</v>
          </cell>
          <cell r="Z1741">
            <v>0.35</v>
          </cell>
          <cell r="AA1741">
            <v>3499.9315000000006</v>
          </cell>
          <cell r="AB1741"/>
        </row>
        <row r="1742">
          <cell r="C1742">
            <v>1</v>
          </cell>
          <cell r="D1742">
            <v>0</v>
          </cell>
          <cell r="E1742">
            <v>0</v>
          </cell>
          <cell r="F1742">
            <v>0</v>
          </cell>
          <cell r="H1742">
            <v>0</v>
          </cell>
          <cell r="O1742">
            <v>334245</v>
          </cell>
          <cell r="P1742" t="str">
            <v>2022/210-0118-01</v>
          </cell>
          <cell r="Q1742" t="str">
            <v>EST MESA LATERAL PIN (COFFEE GLOSS) (DET PINT CORTEN)</v>
          </cell>
          <cell r="R1742"/>
          <cell r="S1742"/>
          <cell r="T1742">
            <v>0.35</v>
          </cell>
          <cell r="U1742">
            <v>0</v>
          </cell>
          <cell r="V1742">
            <v>0.52</v>
          </cell>
          <cell r="W1742">
            <v>0.35</v>
          </cell>
          <cell r="X1742" t="str">
            <v>EST MESA LATERAL PIN (COFFEE GLOSS) (DET PINT CORTEN) - Ø0,35x0,52H</v>
          </cell>
          <cell r="Y1742">
            <v>5384.51</v>
          </cell>
          <cell r="Z1742">
            <v>0.35</v>
          </cell>
          <cell r="AA1742">
            <v>3499.9315000000006</v>
          </cell>
          <cell r="AB1742"/>
        </row>
        <row r="1743">
          <cell r="C1743">
            <v>1</v>
          </cell>
          <cell r="D1743">
            <v>1</v>
          </cell>
          <cell r="E1743">
            <v>0</v>
          </cell>
          <cell r="F1743">
            <v>0</v>
          </cell>
          <cell r="H1743">
            <v>2</v>
          </cell>
          <cell r="O1743">
            <v>361520</v>
          </cell>
          <cell r="P1743" t="str">
            <v>2023/041-0019-01</v>
          </cell>
          <cell r="Q1743" t="str">
            <v>EST BANQUETA BAR MELIZA H75 (GIR) (FX 60004) (TING NOGAL)</v>
          </cell>
          <cell r="R1743"/>
          <cell r="S1743"/>
          <cell r="T1743">
            <v>0.5</v>
          </cell>
          <cell r="U1743">
            <v>0.6</v>
          </cell>
          <cell r="V1743">
            <v>0.99</v>
          </cell>
          <cell r="W1743">
            <v>0</v>
          </cell>
          <cell r="X1743" t="str">
            <v>EST BANQUETA BAR MELIZA H75 (GIR) (FX 60004) (TING NOGAL) - 0,5x0,6x0,99H</v>
          </cell>
          <cell r="Y1743">
            <v>6882.09</v>
          </cell>
          <cell r="Z1743">
            <v>0.35</v>
          </cell>
          <cell r="AA1743">
            <v>4473.3585000000003</v>
          </cell>
          <cell r="AB1743"/>
        </row>
        <row r="1744">
          <cell r="C1744">
            <v>1</v>
          </cell>
          <cell r="D1744">
            <v>1</v>
          </cell>
          <cell r="E1744">
            <v>1</v>
          </cell>
          <cell r="F1744">
            <v>1</v>
          </cell>
          <cell r="H1744">
            <v>0</v>
          </cell>
          <cell r="O1744">
            <v>373426</v>
          </cell>
          <cell r="P1744" t="str">
            <v>2023/280-0022-01</v>
          </cell>
          <cell r="Q1744" t="str">
            <v>EST BANQUETA BAR QUERO QUERO H65 (COURO2 2014) (NATURE MATT)</v>
          </cell>
          <cell r="R1744"/>
          <cell r="S1744"/>
          <cell r="T1744">
            <v>0.46</v>
          </cell>
          <cell r="U1744">
            <v>0.56000000000000005</v>
          </cell>
          <cell r="V1744">
            <v>0.92</v>
          </cell>
          <cell r="W1744">
            <v>0</v>
          </cell>
          <cell r="X1744" t="str">
            <v>EST BANQUETA BAR QUERO QUERO H65 (COURO2 2014) (NATURE MATT) - 0,46x0,56x0,92H</v>
          </cell>
          <cell r="Y1744">
            <v>9028.2800000000007</v>
          </cell>
          <cell r="Z1744">
            <v>0.35</v>
          </cell>
          <cell r="AA1744">
            <v>5868.3820000000005</v>
          </cell>
          <cell r="AB1744"/>
        </row>
        <row r="1745">
          <cell r="C1745">
            <v>2</v>
          </cell>
          <cell r="D1745">
            <v>0</v>
          </cell>
          <cell r="E1745">
            <v>0</v>
          </cell>
          <cell r="F1745">
            <v>0</v>
          </cell>
          <cell r="H1745">
            <v>0</v>
          </cell>
          <cell r="O1745">
            <v>373832</v>
          </cell>
          <cell r="P1745" t="str">
            <v>2023/318-0062-01</v>
          </cell>
          <cell r="Q1745" t="str">
            <v>EST CADEIRA QUERO QUERO C/BRACO (C FORN OLD RUSTY) WALNUT M</v>
          </cell>
          <cell r="R1745"/>
          <cell r="S1745"/>
          <cell r="T1745">
            <v>0.56999999999999995</v>
          </cell>
          <cell r="U1745">
            <v>0.54</v>
          </cell>
          <cell r="V1745">
            <v>0.78</v>
          </cell>
          <cell r="W1745">
            <v>0</v>
          </cell>
          <cell r="X1745" t="str">
            <v>EST CADEIRA QUERO QUERO C/BRACO (C FORN OLD RUSTY) WALNUT M - 0,57x0,54x0,78H</v>
          </cell>
          <cell r="Y1745">
            <v>8745.7639999999992</v>
          </cell>
          <cell r="Z1745">
            <v>0.35</v>
          </cell>
          <cell r="AA1745">
            <v>5684.7465999999995</v>
          </cell>
          <cell r="AB1745"/>
        </row>
        <row r="1746">
          <cell r="C1746">
            <v>2</v>
          </cell>
          <cell r="D1746">
            <v>0</v>
          </cell>
          <cell r="E1746">
            <v>0</v>
          </cell>
          <cell r="F1746">
            <v>0</v>
          </cell>
          <cell r="H1746">
            <v>0</v>
          </cell>
          <cell r="O1746">
            <v>373832</v>
          </cell>
          <cell r="P1746" t="str">
            <v>2023/318-0063-01</v>
          </cell>
          <cell r="Q1746" t="str">
            <v>EST CADEIRA QUERO QUERO C/BRACO (C FORN OLD RUSTY) WALNUT M</v>
          </cell>
          <cell r="R1746"/>
          <cell r="S1746"/>
          <cell r="T1746">
            <v>0.56999999999999995</v>
          </cell>
          <cell r="U1746">
            <v>0.54</v>
          </cell>
          <cell r="V1746">
            <v>0.78</v>
          </cell>
          <cell r="W1746">
            <v>0</v>
          </cell>
          <cell r="X1746" t="str">
            <v>EST CADEIRA QUERO QUERO C/BRACO (C FORN OLD RUSTY) WALNUT M - 0,57x0,54x0,78H</v>
          </cell>
          <cell r="Y1746">
            <v>8745.7639999999992</v>
          </cell>
          <cell r="Z1746">
            <v>0.35</v>
          </cell>
          <cell r="AA1746">
            <v>5684.7465999999995</v>
          </cell>
          <cell r="AB1746"/>
        </row>
        <row r="1747">
          <cell r="C1747">
            <v>6</v>
          </cell>
          <cell r="D1747">
            <v>0</v>
          </cell>
          <cell r="E1747">
            <v>0</v>
          </cell>
          <cell r="F1747">
            <v>0</v>
          </cell>
          <cell r="H1747">
            <v>0</v>
          </cell>
          <cell r="O1747">
            <v>373833</v>
          </cell>
          <cell r="P1747" t="str">
            <v>2023/318-0064-01</v>
          </cell>
          <cell r="Q1747" t="str">
            <v>EST CADEIRA QUERO QUERO (C FORN OLD RUSTY) WALNUT MATT</v>
          </cell>
          <cell r="R1747"/>
          <cell r="S1747"/>
          <cell r="T1747">
            <v>0.49</v>
          </cell>
          <cell r="U1747">
            <v>0.54</v>
          </cell>
          <cell r="V1747">
            <v>0.8</v>
          </cell>
          <cell r="W1747">
            <v>0</v>
          </cell>
          <cell r="X1747" t="str">
            <v>EST CADEIRA QUERO QUERO (C FORN OLD RUSTY) WALNUT MATT - 0,49x0,54x0,8H</v>
          </cell>
          <cell r="Y1747">
            <v>7210.0640000000003</v>
          </cell>
          <cell r="Z1747">
            <v>0.35</v>
          </cell>
          <cell r="AA1747">
            <v>4686.5416000000005</v>
          </cell>
          <cell r="AB1747"/>
        </row>
        <row r="1748">
          <cell r="C1748">
            <v>6</v>
          </cell>
          <cell r="D1748">
            <v>0</v>
          </cell>
          <cell r="E1748">
            <v>0</v>
          </cell>
          <cell r="F1748">
            <v>0</v>
          </cell>
          <cell r="H1748">
            <v>0</v>
          </cell>
          <cell r="O1748">
            <v>373833</v>
          </cell>
          <cell r="P1748" t="str">
            <v>2023/318-0065-01</v>
          </cell>
          <cell r="Q1748" t="str">
            <v>EST CADEIRA QUERO QUERO (C FORN OLD RUSTY) WALNUT MATT</v>
          </cell>
          <cell r="R1748"/>
          <cell r="S1748"/>
          <cell r="T1748">
            <v>0.49</v>
          </cell>
          <cell r="U1748">
            <v>0.54</v>
          </cell>
          <cell r="V1748">
            <v>0.8</v>
          </cell>
          <cell r="W1748">
            <v>0</v>
          </cell>
          <cell r="X1748" t="str">
            <v>EST CADEIRA QUERO QUERO (C FORN OLD RUSTY) WALNUT MATT - 0,49x0,54x0,8H</v>
          </cell>
          <cell r="Y1748">
            <v>7210.0640000000003</v>
          </cell>
          <cell r="Z1748">
            <v>0.35</v>
          </cell>
          <cell r="AA1748">
            <v>4686.5416000000005</v>
          </cell>
          <cell r="AB1748"/>
        </row>
        <row r="1749">
          <cell r="C1749">
            <v>6</v>
          </cell>
          <cell r="D1749">
            <v>0</v>
          </cell>
          <cell r="E1749">
            <v>0</v>
          </cell>
          <cell r="F1749">
            <v>0</v>
          </cell>
          <cell r="H1749">
            <v>0</v>
          </cell>
          <cell r="O1749">
            <v>373833</v>
          </cell>
          <cell r="P1749" t="str">
            <v>2023/318-0066-01</v>
          </cell>
          <cell r="Q1749" t="str">
            <v>EST CADEIRA QUERO QUERO (C FORN OLD RUSTY) WALNUT MATT</v>
          </cell>
          <cell r="R1749"/>
          <cell r="S1749"/>
          <cell r="T1749">
            <v>0.49</v>
          </cell>
          <cell r="U1749">
            <v>0.54</v>
          </cell>
          <cell r="V1749">
            <v>0.8</v>
          </cell>
          <cell r="W1749">
            <v>0</v>
          </cell>
          <cell r="X1749" t="str">
            <v>EST CADEIRA QUERO QUERO (C FORN OLD RUSTY) WALNUT MATT - 0,49x0,54x0,8H</v>
          </cell>
          <cell r="Y1749">
            <v>7210.0640000000003</v>
          </cell>
          <cell r="Z1749">
            <v>0.35</v>
          </cell>
          <cell r="AA1749">
            <v>4686.5416000000005</v>
          </cell>
          <cell r="AB1749"/>
        </row>
        <row r="1750">
          <cell r="C1750">
            <v>6</v>
          </cell>
          <cell r="D1750">
            <v>0</v>
          </cell>
          <cell r="E1750">
            <v>0</v>
          </cell>
          <cell r="F1750">
            <v>0</v>
          </cell>
          <cell r="H1750">
            <v>0</v>
          </cell>
          <cell r="O1750">
            <v>373833</v>
          </cell>
          <cell r="P1750" t="str">
            <v>2023/318-0067-01</v>
          </cell>
          <cell r="Q1750" t="str">
            <v>EST CADEIRA QUERO QUERO (C FORN OLD RUSTY) WALNUT MATT</v>
          </cell>
          <cell r="R1750"/>
          <cell r="S1750"/>
          <cell r="T1750">
            <v>0.49</v>
          </cell>
          <cell r="U1750">
            <v>0.54</v>
          </cell>
          <cell r="V1750">
            <v>0.8</v>
          </cell>
          <cell r="W1750">
            <v>0</v>
          </cell>
          <cell r="X1750" t="str">
            <v>EST CADEIRA QUERO QUERO (C FORN OLD RUSTY) WALNUT MATT - 0,49x0,54x0,8H</v>
          </cell>
          <cell r="Y1750">
            <v>7210.0640000000003</v>
          </cell>
          <cell r="Z1750">
            <v>0.35</v>
          </cell>
          <cell r="AA1750">
            <v>4686.5416000000005</v>
          </cell>
          <cell r="AB1750"/>
        </row>
        <row r="1751">
          <cell r="C1751">
            <v>6</v>
          </cell>
          <cell r="D1751">
            <v>0</v>
          </cell>
          <cell r="E1751">
            <v>0</v>
          </cell>
          <cell r="F1751">
            <v>0</v>
          </cell>
          <cell r="H1751">
            <v>0</v>
          </cell>
          <cell r="O1751">
            <v>373833</v>
          </cell>
          <cell r="P1751" t="str">
            <v>2023/318-0068-01</v>
          </cell>
          <cell r="Q1751" t="str">
            <v>EST CADEIRA QUERO QUERO (C FORN OLD RUSTY) WALNUT MATT</v>
          </cell>
          <cell r="R1751"/>
          <cell r="S1751"/>
          <cell r="T1751">
            <v>0.49</v>
          </cell>
          <cell r="U1751">
            <v>0.54</v>
          </cell>
          <cell r="V1751">
            <v>0.8</v>
          </cell>
          <cell r="W1751">
            <v>0</v>
          </cell>
          <cell r="X1751" t="str">
            <v>EST CADEIRA QUERO QUERO (C FORN OLD RUSTY) WALNUT MATT - 0,49x0,54x0,8H</v>
          </cell>
          <cell r="Y1751">
            <v>7210.0640000000003</v>
          </cell>
          <cell r="Z1751">
            <v>0.35</v>
          </cell>
          <cell r="AA1751">
            <v>4686.5416000000005</v>
          </cell>
          <cell r="AB1751"/>
        </row>
        <row r="1752">
          <cell r="C1752">
            <v>6</v>
          </cell>
          <cell r="D1752">
            <v>0</v>
          </cell>
          <cell r="E1752">
            <v>0</v>
          </cell>
          <cell r="F1752">
            <v>0</v>
          </cell>
          <cell r="H1752">
            <v>0</v>
          </cell>
          <cell r="O1752">
            <v>373833</v>
          </cell>
          <cell r="P1752" t="str">
            <v>2023/318-0069-01</v>
          </cell>
          <cell r="Q1752" t="str">
            <v>EST CADEIRA QUERO QUERO (C FORN OLD RUSTY) WALNUT MATT</v>
          </cell>
          <cell r="R1752"/>
          <cell r="S1752"/>
          <cell r="T1752">
            <v>0.49</v>
          </cell>
          <cell r="U1752">
            <v>0.54</v>
          </cell>
          <cell r="V1752">
            <v>0.8</v>
          </cell>
          <cell r="W1752">
            <v>0</v>
          </cell>
          <cell r="X1752" t="str">
            <v>EST CADEIRA QUERO QUERO (C FORN OLD RUSTY) WALNUT MATT - 0,49x0,54x0,8H</v>
          </cell>
          <cell r="Y1752">
            <v>7210.0640000000003</v>
          </cell>
          <cell r="Z1752">
            <v>0.35</v>
          </cell>
          <cell r="AA1752">
            <v>4686.5416000000005</v>
          </cell>
          <cell r="AB1752"/>
        </row>
        <row r="1753">
          <cell r="C1753">
            <v>1</v>
          </cell>
          <cell r="D1753">
            <v>0</v>
          </cell>
          <cell r="E1753">
            <v>0</v>
          </cell>
          <cell r="F1753">
            <v>0</v>
          </cell>
          <cell r="H1753">
            <v>0</v>
          </cell>
          <cell r="O1753">
            <v>374354</v>
          </cell>
          <cell r="P1753" t="str">
            <v xml:space="preserve">2024/026-0017-01 </v>
          </cell>
          <cell r="Q1753" t="str">
            <v>EST CHAISE HIMALAYA (RED) (CLA) (DB3001) NOG TC FAVOLA 052</v>
          </cell>
          <cell r="R1753"/>
          <cell r="S1753"/>
          <cell r="T1753">
            <v>1.6</v>
          </cell>
          <cell r="U1753">
            <v>0</v>
          </cell>
          <cell r="V1753">
            <v>0.74</v>
          </cell>
          <cell r="W1753">
            <v>1.6</v>
          </cell>
          <cell r="X1753" t="str">
            <v>EST CHAISE HIMALAYA (RED) (CLA) (DB3001) NOG TC FAVOLA 052 - Ø1,6x0,74H</v>
          </cell>
          <cell r="Y1753">
            <v>37459.807499999995</v>
          </cell>
          <cell r="Z1753">
            <v>0.35</v>
          </cell>
          <cell r="AA1753">
            <v>24348.874874999998</v>
          </cell>
          <cell r="AB1753"/>
        </row>
        <row r="1754">
          <cell r="C1754">
            <v>2</v>
          </cell>
          <cell r="D1754">
            <v>0</v>
          </cell>
          <cell r="E1754">
            <v>0</v>
          </cell>
          <cell r="F1754">
            <v>0</v>
          </cell>
          <cell r="H1754">
            <v>0</v>
          </cell>
          <cell r="O1754">
            <v>374360</v>
          </cell>
          <cell r="P1754" t="str">
            <v>2024/026-0023-01</v>
          </cell>
          <cell r="Q1754" t="str">
            <v>EST POLTRONA HIMALAYA (ESTAR) (CLA) (DB3001/NOG) FZE TALLIN</v>
          </cell>
          <cell r="R1754"/>
          <cell r="S1754"/>
          <cell r="T1754">
            <v>0.7</v>
          </cell>
          <cell r="U1754">
            <v>0.7</v>
          </cell>
          <cell r="V1754">
            <v>0.73</v>
          </cell>
          <cell r="W1754">
            <v>0</v>
          </cell>
          <cell r="X1754" t="str">
            <v>EST POLTRONA HIMALAYA (ESTAR) (CLA) (DB3001/NOG) FZE TALLIN - 0,7x0,7x0,73H</v>
          </cell>
          <cell r="Y1754">
            <v>10754.835000000001</v>
          </cell>
          <cell r="Z1754">
            <v>0.35</v>
          </cell>
          <cell r="AA1754">
            <v>6990.6427500000009</v>
          </cell>
          <cell r="AB1754"/>
        </row>
        <row r="1755">
          <cell r="C1755">
            <v>2</v>
          </cell>
          <cell r="D1755">
            <v>0</v>
          </cell>
          <cell r="E1755">
            <v>0</v>
          </cell>
          <cell r="F1755">
            <v>0</v>
          </cell>
          <cell r="H1755">
            <v>0</v>
          </cell>
          <cell r="O1755">
            <v>374360</v>
          </cell>
          <cell r="P1755" t="str">
            <v>2024/026-0024-01</v>
          </cell>
          <cell r="Q1755" t="str">
            <v>EST POLTRONA HIMALAYA (ESTAR) (CLA) (DB3001/NOG) FZE TALLIN</v>
          </cell>
          <cell r="R1755"/>
          <cell r="S1755"/>
          <cell r="T1755">
            <v>0.7</v>
          </cell>
          <cell r="U1755">
            <v>0.7</v>
          </cell>
          <cell r="V1755">
            <v>0.73</v>
          </cell>
          <cell r="W1755">
            <v>0</v>
          </cell>
          <cell r="X1755" t="str">
            <v>EST POLTRONA HIMALAYA (ESTAR) (CLA) (DB3001/NOG) FZE TALLIN - 0,7x0,7x0,73H</v>
          </cell>
          <cell r="Y1755">
            <v>10754.835000000001</v>
          </cell>
          <cell r="Z1755">
            <v>0.35</v>
          </cell>
          <cell r="AA1755">
            <v>6990.6427500000009</v>
          </cell>
          <cell r="AB1755"/>
        </row>
        <row r="1756">
          <cell r="C1756">
            <v>1</v>
          </cell>
          <cell r="D1756">
            <v>0</v>
          </cell>
          <cell r="E1756">
            <v>0</v>
          </cell>
          <cell r="F1756">
            <v>1</v>
          </cell>
          <cell r="H1756">
            <v>0</v>
          </cell>
          <cell r="O1756">
            <v>374361</v>
          </cell>
          <cell r="P1756" t="str">
            <v>2024/026-0025-01</v>
          </cell>
          <cell r="Q1756" t="str">
            <v>EST ALMOFADA DECORATIVA HIMALAYA (P) (SOFT) FIRENZE TALLIN</v>
          </cell>
          <cell r="R1756"/>
          <cell r="S1756"/>
          <cell r="T1756">
            <v>0.5</v>
          </cell>
          <cell r="U1756">
            <v>0.33</v>
          </cell>
          <cell r="V1756">
            <v>7.0000000000000007E-2</v>
          </cell>
          <cell r="W1756">
            <v>0</v>
          </cell>
          <cell r="X1756" t="str">
            <v>EST ALMOFADA DECORATIVA HIMALAYA (P) (SOFT) FIRENZE TALLIN - 0,5x0,33x0,07H</v>
          </cell>
          <cell r="Y1756">
            <v>1695.5190000000002</v>
          </cell>
          <cell r="Z1756">
            <v>0.35</v>
          </cell>
          <cell r="AA1756">
            <v>1102.0873500000002</v>
          </cell>
          <cell r="AB1756"/>
        </row>
        <row r="1757">
          <cell r="C1757">
            <v>6</v>
          </cell>
          <cell r="D1757">
            <v>0</v>
          </cell>
          <cell r="E1757">
            <v>0</v>
          </cell>
          <cell r="F1757">
            <v>0</v>
          </cell>
          <cell r="H1757">
            <v>0</v>
          </cell>
          <cell r="O1757">
            <v>374369</v>
          </cell>
          <cell r="P1757" t="str">
            <v>2024/026-0047-01</v>
          </cell>
          <cell r="Q1757" t="str">
            <v>EST CADEIRA HIMALAYA C/B (CLA) (C3006/DB) AMEND/NOG</v>
          </cell>
          <cell r="R1757"/>
          <cell r="S1757"/>
          <cell r="T1757">
            <v>0.6</v>
          </cell>
          <cell r="U1757">
            <v>0.52</v>
          </cell>
          <cell r="V1757">
            <v>0.76</v>
          </cell>
          <cell r="W1757">
            <v>0</v>
          </cell>
          <cell r="X1757" t="str">
            <v>EST CADEIRA HIMALAYA C/B (CLA) (C3006/DB) AMEND/NOG - 0,6x0,52x0,76H</v>
          </cell>
          <cell r="Y1757">
            <v>9846.810300000001</v>
          </cell>
          <cell r="Z1757">
            <v>0.35</v>
          </cell>
          <cell r="AA1757">
            <v>6400.426695000001</v>
          </cell>
          <cell r="AB1757"/>
        </row>
        <row r="1758">
          <cell r="C1758">
            <v>6</v>
          </cell>
          <cell r="D1758">
            <v>0</v>
          </cell>
          <cell r="E1758">
            <v>0</v>
          </cell>
          <cell r="F1758">
            <v>0</v>
          </cell>
          <cell r="H1758">
            <v>0</v>
          </cell>
          <cell r="O1758">
            <v>374369</v>
          </cell>
          <cell r="P1758" t="str">
            <v>2024/026-0048-01</v>
          </cell>
          <cell r="Q1758" t="str">
            <v>EST CADEIRA HIMALAYA C/B (CLA) (C3006/DB) AMEND/NOG</v>
          </cell>
          <cell r="R1758"/>
          <cell r="S1758"/>
          <cell r="T1758">
            <v>0.6</v>
          </cell>
          <cell r="U1758">
            <v>0.52</v>
          </cell>
          <cell r="V1758">
            <v>0.76</v>
          </cell>
          <cell r="W1758">
            <v>0</v>
          </cell>
          <cell r="X1758" t="str">
            <v>EST CADEIRA HIMALAYA C/B (CLA) (C3006/DB) AMEND/NOG - 0,6x0,52x0,76H</v>
          </cell>
          <cell r="Y1758">
            <v>9846.810300000001</v>
          </cell>
          <cell r="Z1758">
            <v>0.35</v>
          </cell>
          <cell r="AA1758">
            <v>6400.426695000001</v>
          </cell>
          <cell r="AB1758"/>
        </row>
        <row r="1759">
          <cell r="C1759">
            <v>6</v>
          </cell>
          <cell r="D1759">
            <v>0</v>
          </cell>
          <cell r="E1759">
            <v>0</v>
          </cell>
          <cell r="F1759">
            <v>0</v>
          </cell>
          <cell r="H1759">
            <v>0</v>
          </cell>
          <cell r="O1759">
            <v>374369</v>
          </cell>
          <cell r="P1759" t="str">
            <v>2024/026-0049-01</v>
          </cell>
          <cell r="Q1759" t="str">
            <v>EST CADEIRA HIMALAYA C/B (CLA) (C3006/DB) AMEND/NOG</v>
          </cell>
          <cell r="R1759"/>
          <cell r="S1759"/>
          <cell r="T1759">
            <v>0.6</v>
          </cell>
          <cell r="U1759">
            <v>0.52</v>
          </cell>
          <cell r="V1759">
            <v>0.76</v>
          </cell>
          <cell r="W1759">
            <v>0</v>
          </cell>
          <cell r="X1759" t="str">
            <v>EST CADEIRA HIMALAYA C/B (CLA) (C3006/DB) AMEND/NOG - 0,6x0,52x0,76H</v>
          </cell>
          <cell r="Y1759">
            <v>9846.810300000001</v>
          </cell>
          <cell r="Z1759">
            <v>0.35</v>
          </cell>
          <cell r="AA1759">
            <v>6400.426695000001</v>
          </cell>
          <cell r="AB1759"/>
        </row>
        <row r="1760">
          <cell r="C1760">
            <v>6</v>
          </cell>
          <cell r="D1760">
            <v>0</v>
          </cell>
          <cell r="E1760">
            <v>0</v>
          </cell>
          <cell r="F1760">
            <v>0</v>
          </cell>
          <cell r="H1760">
            <v>0</v>
          </cell>
          <cell r="O1760">
            <v>374369</v>
          </cell>
          <cell r="P1760" t="str">
            <v>2024/026-0050-01</v>
          </cell>
          <cell r="Q1760" t="str">
            <v>EST CADEIRA HIMALAYA C/B (CLA) (C3006/DB) AMEND/NOG</v>
          </cell>
          <cell r="R1760"/>
          <cell r="S1760"/>
          <cell r="T1760">
            <v>0.6</v>
          </cell>
          <cell r="U1760">
            <v>0.52</v>
          </cell>
          <cell r="V1760">
            <v>0.76</v>
          </cell>
          <cell r="W1760">
            <v>0</v>
          </cell>
          <cell r="X1760" t="str">
            <v>EST CADEIRA HIMALAYA C/B (CLA) (C3006/DB) AMEND/NOG - 0,6x0,52x0,76H</v>
          </cell>
          <cell r="Y1760">
            <v>9846.810300000001</v>
          </cell>
          <cell r="Z1760">
            <v>0.35</v>
          </cell>
          <cell r="AA1760">
            <v>6400.426695000001</v>
          </cell>
          <cell r="AB1760"/>
        </row>
        <row r="1761">
          <cell r="C1761">
            <v>6</v>
          </cell>
          <cell r="D1761">
            <v>0</v>
          </cell>
          <cell r="E1761">
            <v>0</v>
          </cell>
          <cell r="F1761">
            <v>0</v>
          </cell>
          <cell r="H1761">
            <v>0</v>
          </cell>
          <cell r="O1761">
            <v>374369</v>
          </cell>
          <cell r="P1761" t="str">
            <v>2024/026-0051-01</v>
          </cell>
          <cell r="Q1761" t="str">
            <v>EST CADEIRA HIMALAYA C/B (CLA) (C3006/DB) AMEND/NOG</v>
          </cell>
          <cell r="R1761"/>
          <cell r="S1761"/>
          <cell r="T1761">
            <v>0.6</v>
          </cell>
          <cell r="U1761">
            <v>0.52</v>
          </cell>
          <cell r="V1761">
            <v>0.76</v>
          </cell>
          <cell r="W1761">
            <v>0</v>
          </cell>
          <cell r="X1761" t="str">
            <v>EST CADEIRA HIMALAYA C/B (CLA) (C3006/DB) AMEND/NOG - 0,6x0,52x0,76H</v>
          </cell>
          <cell r="Y1761">
            <v>9846.810300000001</v>
          </cell>
          <cell r="Z1761">
            <v>0.35</v>
          </cell>
          <cell r="AA1761">
            <v>6400.426695000001</v>
          </cell>
          <cell r="AB1761"/>
        </row>
        <row r="1762">
          <cell r="C1762">
            <v>6</v>
          </cell>
          <cell r="D1762">
            <v>0</v>
          </cell>
          <cell r="E1762">
            <v>0</v>
          </cell>
          <cell r="F1762">
            <v>0</v>
          </cell>
          <cell r="H1762">
            <v>0</v>
          </cell>
          <cell r="O1762">
            <v>374369</v>
          </cell>
          <cell r="P1762" t="str">
            <v>2024/026-0052-01</v>
          </cell>
          <cell r="Q1762" t="str">
            <v>EST CADEIRA HIMALAYA C/B (CLA) (C3006/DB) AMEND/NOG</v>
          </cell>
          <cell r="R1762"/>
          <cell r="S1762"/>
          <cell r="T1762">
            <v>0.6</v>
          </cell>
          <cell r="U1762">
            <v>0.52</v>
          </cell>
          <cell r="V1762">
            <v>0.76</v>
          </cell>
          <cell r="W1762">
            <v>0</v>
          </cell>
          <cell r="X1762" t="str">
            <v>EST CADEIRA HIMALAYA C/B (CLA) (C3006/DB) AMEND/NOG - 0,6x0,52x0,76H</v>
          </cell>
          <cell r="Y1762">
            <v>9846.810300000001</v>
          </cell>
          <cell r="Z1762">
            <v>0.35</v>
          </cell>
          <cell r="AA1762">
            <v>6400.426695000001</v>
          </cell>
          <cell r="AB1762"/>
        </row>
        <row r="1763">
          <cell r="C1763">
            <v>0</v>
          </cell>
          <cell r="D1763">
            <v>0</v>
          </cell>
          <cell r="E1763">
            <v>0</v>
          </cell>
          <cell r="F1763">
            <v>0</v>
          </cell>
          <cell r="H1763">
            <v>1</v>
          </cell>
          <cell r="O1763">
            <v>378924</v>
          </cell>
          <cell r="P1763" t="str">
            <v>2024/065-0085-01</v>
          </cell>
          <cell r="Q1763" t="str">
            <v>EST MESA CENTRO HIMALAYA VITRINE (CLEAR) (LAM2 PFERRO) NOGAL</v>
          </cell>
          <cell r="R1763"/>
          <cell r="S1763"/>
          <cell r="T1763">
            <v>1.05</v>
          </cell>
          <cell r="U1763">
            <v>1.05</v>
          </cell>
          <cell r="V1763">
            <v>0.31</v>
          </cell>
          <cell r="W1763">
            <v>0</v>
          </cell>
          <cell r="X1763" t="str">
            <v>EST MESA CENTRO HIMALAYA VITRINE (CLEAR) (LAM2 PFERRO) NOGAL - 1,05x1,05x0,31H</v>
          </cell>
          <cell r="Y1763">
            <v>39278.04</v>
          </cell>
          <cell r="Z1763">
            <v>0.35</v>
          </cell>
          <cell r="AA1763">
            <v>25530.726000000002</v>
          </cell>
          <cell r="AB1763"/>
        </row>
        <row r="1764">
          <cell r="C1764">
            <v>2</v>
          </cell>
          <cell r="D1764">
            <v>0</v>
          </cell>
          <cell r="E1764">
            <v>0</v>
          </cell>
          <cell r="F1764">
            <v>0</v>
          </cell>
          <cell r="H1764">
            <v>0</v>
          </cell>
          <cell r="O1764">
            <v>402444</v>
          </cell>
          <cell r="P1764" t="str">
            <v>2025/105-0007-01</v>
          </cell>
          <cell r="Q1764" t="str">
            <v>EST MESA LATERAL PIN (NATURE MATT) (DET PINT CORTEN)</v>
          </cell>
          <cell r="R1764"/>
          <cell r="S1764"/>
          <cell r="T1764">
            <v>0.35</v>
          </cell>
          <cell r="U1764">
            <v>0</v>
          </cell>
          <cell r="V1764">
            <v>0.52</v>
          </cell>
          <cell r="W1764">
            <v>0.35</v>
          </cell>
          <cell r="X1764" t="str">
            <v>EST MESA LATERAL PIN (NATURE MATT) (DET PINT CORTEN) - Ø0,35x0,52H</v>
          </cell>
          <cell r="Y1764">
            <v>5384.51</v>
          </cell>
          <cell r="Z1764">
            <v>0.35</v>
          </cell>
          <cell r="AA1764">
            <v>3499.9315000000006</v>
          </cell>
          <cell r="AB1764"/>
        </row>
        <row r="1765">
          <cell r="C1765">
            <v>2</v>
          </cell>
          <cell r="D1765">
            <v>0</v>
          </cell>
          <cell r="E1765">
            <v>0</v>
          </cell>
          <cell r="F1765">
            <v>0</v>
          </cell>
          <cell r="H1765">
            <v>0</v>
          </cell>
          <cell r="O1765">
            <v>402444</v>
          </cell>
          <cell r="P1765" t="str">
            <v>2025/105-0008-01</v>
          </cell>
          <cell r="Q1765" t="str">
            <v>EST MESA LATERAL PIN (NATURE MATT) (DET PINT CORTEN)</v>
          </cell>
          <cell r="R1765"/>
          <cell r="S1765"/>
          <cell r="T1765">
            <v>0.35</v>
          </cell>
          <cell r="U1765">
            <v>0</v>
          </cell>
          <cell r="V1765">
            <v>0.52</v>
          </cell>
          <cell r="W1765">
            <v>0.35</v>
          </cell>
          <cell r="X1765" t="str">
            <v>EST MESA LATERAL PIN (NATURE MATT) (DET PINT CORTEN) - Ø0,35x0,52H</v>
          </cell>
          <cell r="Y1765">
            <v>5384.51</v>
          </cell>
          <cell r="Z1765">
            <v>0.35</v>
          </cell>
          <cell r="AA1765">
            <v>3499.9315000000006</v>
          </cell>
          <cell r="AB1765"/>
        </row>
        <row r="1766">
          <cell r="C1766">
            <v>1</v>
          </cell>
          <cell r="D1766">
            <v>1</v>
          </cell>
          <cell r="E1766">
            <v>0</v>
          </cell>
          <cell r="F1766">
            <v>0</v>
          </cell>
          <cell r="H1766">
            <v>0</v>
          </cell>
          <cell r="O1766">
            <v>405718</v>
          </cell>
          <cell r="P1766" t="str">
            <v>2025/154-0090-01</v>
          </cell>
          <cell r="Q1766" t="str">
            <v>EST MESA LATERAL COLOMBINA (TAMPO MARCHETARIA) NATURE MATT</v>
          </cell>
          <cell r="R1766"/>
          <cell r="S1766"/>
          <cell r="T1766">
            <v>0.51</v>
          </cell>
          <cell r="U1766">
            <v>0.51</v>
          </cell>
          <cell r="V1766">
            <v>0.43</v>
          </cell>
          <cell r="W1766">
            <v>0</v>
          </cell>
          <cell r="X1766" t="str">
            <v>EST MESA LATERAL COLOMBINA (TAMPO MARCHETARIA) NATURE MATT - 0,51x0,51x0,43H</v>
          </cell>
          <cell r="Y1766">
            <v>5270.09</v>
          </cell>
          <cell r="Z1766">
            <v>0.35</v>
          </cell>
          <cell r="AA1766">
            <v>3425.5585000000001</v>
          </cell>
          <cell r="AB1766"/>
        </row>
        <row r="1767">
          <cell r="C1767">
            <v>1</v>
          </cell>
          <cell r="D1767">
            <v>1</v>
          </cell>
          <cell r="E1767">
            <v>0</v>
          </cell>
          <cell r="F1767">
            <v>0</v>
          </cell>
          <cell r="H1767">
            <v>0</v>
          </cell>
          <cell r="O1767">
            <v>405720</v>
          </cell>
          <cell r="P1767" t="str">
            <v>2025/154-0093-01</v>
          </cell>
          <cell r="Q1767" t="str">
            <v>EST MESA LATERAL COLOMBINA (TAMPO MARCHETARIA) NATURE MATT</v>
          </cell>
          <cell r="R1767"/>
          <cell r="S1767"/>
          <cell r="T1767">
            <v>0.61</v>
          </cell>
          <cell r="U1767">
            <v>0.61</v>
          </cell>
          <cell r="V1767">
            <v>0.5</v>
          </cell>
          <cell r="W1767">
            <v>0</v>
          </cell>
          <cell r="X1767" t="str">
            <v>EST MESA LATERAL COLOMBINA (TAMPO MARCHETARIA) NATURE MATT - 0,61x0,61x0,5H</v>
          </cell>
          <cell r="Y1767">
            <v>5651.61</v>
          </cell>
          <cell r="Z1767">
            <v>0.35</v>
          </cell>
          <cell r="AA1767">
            <v>3673.5464999999999</v>
          </cell>
          <cell r="AB1767"/>
        </row>
        <row r="1768">
          <cell r="C1768">
            <v>1</v>
          </cell>
          <cell r="D1768">
            <v>0</v>
          </cell>
          <cell r="E1768">
            <v>0</v>
          </cell>
          <cell r="F1768">
            <v>1</v>
          </cell>
          <cell r="H1768">
            <v>0</v>
          </cell>
          <cell r="O1768">
            <v>405723</v>
          </cell>
          <cell r="P1768" t="str">
            <v>2025/154-0097-01</v>
          </cell>
          <cell r="Q1768" t="str">
            <v>EST MESA CENTRO GROTA (TAMPO LISO) WALNUT MATT</v>
          </cell>
          <cell r="R1768"/>
          <cell r="S1768"/>
          <cell r="T1768">
            <v>1.82</v>
          </cell>
          <cell r="U1768">
            <v>0.72</v>
          </cell>
          <cell r="V1768">
            <v>0.18</v>
          </cell>
          <cell r="W1768">
            <v>0</v>
          </cell>
          <cell r="X1768" t="str">
            <v>EST MESA CENTRO GROTA (TAMPO LISO) WALNUT MATT - 1,82x0,72x0,18H</v>
          </cell>
          <cell r="Y1768">
            <v>13625.88</v>
          </cell>
          <cell r="Z1768">
            <v>0.35</v>
          </cell>
          <cell r="AA1768">
            <v>8856.8220000000001</v>
          </cell>
          <cell r="AB1768"/>
        </row>
        <row r="1769">
          <cell r="C1769">
            <v>1</v>
          </cell>
          <cell r="D1769">
            <v>1</v>
          </cell>
          <cell r="E1769">
            <v>0</v>
          </cell>
          <cell r="F1769">
            <v>0</v>
          </cell>
          <cell r="H1769">
            <v>0</v>
          </cell>
          <cell r="O1769">
            <v>405726</v>
          </cell>
          <cell r="P1769" t="str">
            <v>2025/154-0103-01</v>
          </cell>
          <cell r="Q1769" t="str">
            <v>EST MESA LATERAL SATELITE (WALNUT MATT) PINT CORTEN</v>
          </cell>
          <cell r="R1769"/>
          <cell r="S1769"/>
          <cell r="T1769">
            <v>0.41</v>
          </cell>
          <cell r="U1769">
            <v>0.27</v>
          </cell>
          <cell r="V1769">
            <v>0.35</v>
          </cell>
          <cell r="W1769">
            <v>0</v>
          </cell>
          <cell r="X1769" t="str">
            <v>EST MESA LATERAL SATELITE (WALNUT MATT) PINT CORTEN - 0,41x0,27x0,35H</v>
          </cell>
          <cell r="Y1769">
            <v>4597.6000000000004</v>
          </cell>
          <cell r="Z1769">
            <v>0.35</v>
          </cell>
          <cell r="AA1769">
            <v>2988.4400000000005</v>
          </cell>
          <cell r="AB1769"/>
        </row>
        <row r="1770">
          <cell r="C1770">
            <v>1</v>
          </cell>
          <cell r="D1770">
            <v>1</v>
          </cell>
          <cell r="E1770">
            <v>0</v>
          </cell>
          <cell r="F1770">
            <v>0</v>
          </cell>
          <cell r="H1770">
            <v>0</v>
          </cell>
          <cell r="O1770">
            <v>405728</v>
          </cell>
          <cell r="P1770" t="str">
            <v>2025/154-0107-01</v>
          </cell>
          <cell r="Q1770" t="str">
            <v>EST MESA LATERAL SATELITE (WALNUT MATT) PINT CORTEN</v>
          </cell>
          <cell r="R1770"/>
          <cell r="S1770"/>
          <cell r="T1770">
            <v>0.41</v>
          </cell>
          <cell r="U1770">
            <v>0.27</v>
          </cell>
          <cell r="V1770">
            <v>0.5</v>
          </cell>
          <cell r="W1770">
            <v>0</v>
          </cell>
          <cell r="X1770" t="str">
            <v>EST MESA LATERAL SATELITE (WALNUT MATT) PINT CORTEN - 0,41x0,27x0,5H</v>
          </cell>
          <cell r="Y1770">
            <v>4831.28</v>
          </cell>
          <cell r="Z1770">
            <v>0.35</v>
          </cell>
          <cell r="AA1770">
            <v>3140.3319999999999</v>
          </cell>
          <cell r="AB1770"/>
        </row>
        <row r="1771">
          <cell r="C1771">
            <v>1</v>
          </cell>
          <cell r="D1771">
            <v>1</v>
          </cell>
          <cell r="E1771">
            <v>2</v>
          </cell>
          <cell r="F1771">
            <v>0</v>
          </cell>
          <cell r="H1771">
            <v>0</v>
          </cell>
          <cell r="O1771">
            <v>270433</v>
          </cell>
          <cell r="P1771" t="str">
            <v>2020/353-0127-01</v>
          </cell>
          <cell r="Q1771" t="str">
            <v>EST CADEIRA MEDALHINHA C/B (FREIJO) (RATTAN ABERTA ENV)</v>
          </cell>
          <cell r="R1771"/>
          <cell r="S1771"/>
          <cell r="T1771">
            <v>0.6</v>
          </cell>
          <cell r="U1771">
            <v>0.61</v>
          </cell>
          <cell r="V1771">
            <v>0.82</v>
          </cell>
          <cell r="W1771">
            <v>0</v>
          </cell>
          <cell r="X1771" t="str">
            <v>EST CADEIRA MEDALHINHA C/B (FREIJO) (RATTAN ABERTA ENV) - 0,6x0,61x0,82H</v>
          </cell>
          <cell r="Y1771">
            <v>10528.09</v>
          </cell>
          <cell r="Z1771">
            <v>0.35</v>
          </cell>
          <cell r="AA1771">
            <v>6843.2584999999999</v>
          </cell>
          <cell r="AB1771"/>
        </row>
        <row r="1772">
          <cell r="C1772">
            <v>1</v>
          </cell>
          <cell r="D1772">
            <v>1</v>
          </cell>
          <cell r="E1772">
            <v>2</v>
          </cell>
          <cell r="F1772">
            <v>0</v>
          </cell>
          <cell r="H1772">
            <v>0</v>
          </cell>
          <cell r="O1772">
            <v>270433</v>
          </cell>
          <cell r="P1772" t="str">
            <v>2020/353-0129-01</v>
          </cell>
          <cell r="Q1772" t="str">
            <v>EST CADEIRA MEDALHINHA C/B (FREIJO) (RATTAN ABERTA ENV)</v>
          </cell>
          <cell r="R1772"/>
          <cell r="S1772"/>
          <cell r="T1772">
            <v>0.6</v>
          </cell>
          <cell r="U1772">
            <v>0.61</v>
          </cell>
          <cell r="V1772">
            <v>0.82</v>
          </cell>
          <cell r="W1772">
            <v>0</v>
          </cell>
          <cell r="X1772" t="str">
            <v>EST CADEIRA MEDALHINHA C/B (FREIJO) (RATTAN ABERTA ENV) - 0,6x0,61x0,82H</v>
          </cell>
          <cell r="Y1772">
            <v>10528.09</v>
          </cell>
          <cell r="Z1772">
            <v>0.35</v>
          </cell>
          <cell r="AA1772">
            <v>6843.2584999999999</v>
          </cell>
          <cell r="AB1772"/>
        </row>
        <row r="1773">
          <cell r="C1773">
            <v>0</v>
          </cell>
          <cell r="D1773">
            <v>0</v>
          </cell>
          <cell r="E1773">
            <v>1</v>
          </cell>
          <cell r="F1773">
            <v>0</v>
          </cell>
          <cell r="H1773">
            <v>0</v>
          </cell>
          <cell r="O1773">
            <v>336718</v>
          </cell>
          <cell r="P1773" t="str">
            <v>2022/237-0040-01</v>
          </cell>
          <cell r="Q1773" t="str">
            <v>EST MOVEL BAR HOLLIE (JEQ FENDI) (TP REC PRETO) (PRETO TXT)</v>
          </cell>
          <cell r="R1773"/>
          <cell r="S1773"/>
          <cell r="T1773">
            <v>1</v>
          </cell>
          <cell r="U1773">
            <v>0.55000000000000004</v>
          </cell>
          <cell r="V1773">
            <v>0.8</v>
          </cell>
          <cell r="W1773">
            <v>0</v>
          </cell>
          <cell r="X1773" t="str">
            <v>EST MOVEL BAR HOLLIE (JEQ FENDI) (TP REC PRETO) (PRETO TXT) - 1x0,55x0,8H</v>
          </cell>
          <cell r="Y1773">
            <v>22688.51</v>
          </cell>
          <cell r="Z1773">
            <v>0.35</v>
          </cell>
          <cell r="AA1773">
            <v>14747.531499999999</v>
          </cell>
          <cell r="AB1773"/>
        </row>
        <row r="1774">
          <cell r="C1774">
            <v>0</v>
          </cell>
          <cell r="D1774">
            <v>0</v>
          </cell>
          <cell r="E1774">
            <v>1</v>
          </cell>
          <cell r="F1774">
            <v>1</v>
          </cell>
          <cell r="H1774">
            <v>0</v>
          </cell>
          <cell r="O1774">
            <v>364309</v>
          </cell>
          <cell r="P1774" t="str">
            <v>2023/152-0044-01</v>
          </cell>
          <cell r="Q1774" t="str">
            <v>EST CADEIRA CACAU C/BRACO (NOGAL) (LATAO) TC 1000 - 1316</v>
          </cell>
          <cell r="R1774"/>
          <cell r="S1774"/>
          <cell r="T1774">
            <v>0.61</v>
          </cell>
          <cell r="U1774">
            <v>0.61</v>
          </cell>
          <cell r="V1774">
            <v>0.84</v>
          </cell>
          <cell r="W1774">
            <v>0</v>
          </cell>
          <cell r="X1774" t="str">
            <v>EST CADEIRA CACAU C/BRACO (NOGAL) (LATAO) TC 1000 - 1316 - 0,61x0,61x0,84H</v>
          </cell>
          <cell r="Y1774">
            <v>6616.15</v>
          </cell>
          <cell r="Z1774">
            <v>0.35</v>
          </cell>
          <cell r="AA1774">
            <v>4300.4974999999995</v>
          </cell>
          <cell r="AB1774"/>
        </row>
        <row r="1775">
          <cell r="C1775">
            <v>0</v>
          </cell>
          <cell r="D1775">
            <v>0</v>
          </cell>
          <cell r="E1775">
            <v>1</v>
          </cell>
          <cell r="F1775">
            <v>0</v>
          </cell>
          <cell r="H1775">
            <v>0</v>
          </cell>
          <cell r="O1775">
            <v>371702</v>
          </cell>
          <cell r="P1775" t="str">
            <v>2023/234-0039-01</v>
          </cell>
          <cell r="Q1775" t="str">
            <v>EST POLTRONA YUMI (JEQ IMBUIA CLARO) COURO FIRENZE ENG PUB</v>
          </cell>
          <cell r="R1775"/>
          <cell r="S1775"/>
          <cell r="T1775">
            <v>1.1599999999999999</v>
          </cell>
          <cell r="U1775">
            <v>0.86</v>
          </cell>
          <cell r="V1775">
            <v>0.84</v>
          </cell>
          <cell r="W1775">
            <v>0</v>
          </cell>
          <cell r="X1775" t="str">
            <v>EST POLTRONA YUMI (JEQ IMBUIA CLARO) COURO FIRENZE ENG PUB - 1,16x0,86x0,84H</v>
          </cell>
          <cell r="Y1775">
            <v>23532.5</v>
          </cell>
          <cell r="Z1775">
            <v>0.35</v>
          </cell>
          <cell r="AA1775">
            <v>15296.125</v>
          </cell>
          <cell r="AB1775"/>
        </row>
        <row r="1776">
          <cell r="C1776">
            <v>0</v>
          </cell>
          <cell r="D1776">
            <v>0</v>
          </cell>
          <cell r="E1776">
            <v>1</v>
          </cell>
          <cell r="F1776">
            <v>0</v>
          </cell>
          <cell r="H1776">
            <v>0</v>
          </cell>
          <cell r="O1776">
            <v>371704</v>
          </cell>
          <cell r="P1776" t="str">
            <v>2023/234-0040-01</v>
          </cell>
          <cell r="Q1776" t="str">
            <v>EST BANQUETA YUMI (JEQ IMBUIA CLARO) COURO FIRENZE ENG PUB</v>
          </cell>
          <cell r="R1776"/>
          <cell r="S1776"/>
          <cell r="T1776">
            <v>0.69</v>
          </cell>
          <cell r="U1776">
            <v>0.53</v>
          </cell>
          <cell r="V1776">
            <v>0.4</v>
          </cell>
          <cell r="W1776">
            <v>0</v>
          </cell>
          <cell r="X1776" t="str">
            <v>EST BANQUETA YUMI (JEQ IMBUIA CLARO) COURO FIRENZE ENG PUB - 0,69x0,53x0,4H</v>
          </cell>
          <cell r="Y1776">
            <v>7613.9859999999999</v>
          </cell>
          <cell r="Z1776">
            <v>0.35</v>
          </cell>
          <cell r="AA1776">
            <v>4949.0909000000001</v>
          </cell>
          <cell r="AB1776"/>
        </row>
        <row r="1777">
          <cell r="C1777">
            <v>0</v>
          </cell>
          <cell r="D1777">
            <v>0</v>
          </cell>
          <cell r="E1777">
            <v>1</v>
          </cell>
          <cell r="F1777">
            <v>0</v>
          </cell>
          <cell r="H1777">
            <v>0</v>
          </cell>
          <cell r="O1777">
            <v>404445</v>
          </cell>
          <cell r="P1777" t="str">
            <v>2025/132-0137-01</v>
          </cell>
          <cell r="Q1777" t="str">
            <v>EST MESA JANTAR AURORA (TPO CHANF LAM FREIJO TNZ) BS LAMINDA</v>
          </cell>
          <cell r="R1777"/>
          <cell r="S1777"/>
          <cell r="T1777">
            <v>2.8</v>
          </cell>
          <cell r="U1777">
            <v>1.2</v>
          </cell>
          <cell r="V1777">
            <v>0.75</v>
          </cell>
          <cell r="W1777">
            <v>0</v>
          </cell>
          <cell r="X1777" t="str">
            <v>EST MESA JANTAR AURORA (TPO CHANF LAM FREIJO TNZ) BS LAMINDA - 2,8x1,2x0,75H</v>
          </cell>
          <cell r="Y1777">
            <v>51591.628000000004</v>
          </cell>
          <cell r="Z1777">
            <v>0.35</v>
          </cell>
          <cell r="AA1777">
            <v>33534.558199999999</v>
          </cell>
          <cell r="AB1777"/>
        </row>
        <row r="1778">
          <cell r="C1778">
            <v>1</v>
          </cell>
          <cell r="D1778">
            <v>0</v>
          </cell>
          <cell r="E1778">
            <v>1</v>
          </cell>
          <cell r="F1778">
            <v>0</v>
          </cell>
          <cell r="H1778">
            <v>1</v>
          </cell>
          <cell r="O1778">
            <v>404587</v>
          </cell>
          <cell r="P1778" t="str">
            <v>2025/154-0025-01</v>
          </cell>
          <cell r="Q1778" t="str">
            <v>EST CHAISE BELLAGIO (ALU C24 | CORD V01)</v>
          </cell>
          <cell r="R1778"/>
          <cell r="S1778"/>
          <cell r="T1778">
            <v>1.7</v>
          </cell>
          <cell r="U1778">
            <v>0.7</v>
          </cell>
          <cell r="V1778">
            <v>0.66</v>
          </cell>
          <cell r="W1778">
            <v>0</v>
          </cell>
          <cell r="X1778" t="str">
            <v>EST CHAISE BELLAGIO (ALU C24 | CORD V01) - 1,7x0,7x0,66H</v>
          </cell>
          <cell r="Y1778">
            <v>14625.32</v>
          </cell>
          <cell r="Z1778">
            <v>0.35</v>
          </cell>
          <cell r="AA1778">
            <v>9506.4580000000005</v>
          </cell>
          <cell r="AB1778"/>
        </row>
        <row r="1779">
          <cell r="C1779">
            <v>1</v>
          </cell>
          <cell r="D1779">
            <v>0</v>
          </cell>
          <cell r="E1779">
            <v>1</v>
          </cell>
          <cell r="F1779">
            <v>0</v>
          </cell>
          <cell r="H1779">
            <v>1</v>
          </cell>
          <cell r="O1779">
            <v>404587</v>
          </cell>
          <cell r="P1779" t="str">
            <v>2025/154-0026-01</v>
          </cell>
          <cell r="Q1779" t="str">
            <v>EST CHAISE BELLAGIO (ALU C24 | CORD V01)</v>
          </cell>
          <cell r="R1779"/>
          <cell r="S1779"/>
          <cell r="T1779">
            <v>1.7</v>
          </cell>
          <cell r="U1779">
            <v>0.7</v>
          </cell>
          <cell r="V1779">
            <v>0.66</v>
          </cell>
          <cell r="W1779">
            <v>0</v>
          </cell>
          <cell r="X1779" t="str">
            <v>EST CHAISE BELLAGIO (ALU C24 | CORD V01) - 1,7x0,7x0,66H</v>
          </cell>
          <cell r="Y1779">
            <v>14625.32</v>
          </cell>
          <cell r="Z1779">
            <v>0.35</v>
          </cell>
          <cell r="AA1779">
            <v>9506.4580000000005</v>
          </cell>
          <cell r="AB1779"/>
        </row>
        <row r="1780">
          <cell r="C1780">
            <v>0</v>
          </cell>
          <cell r="D1780">
            <v>0</v>
          </cell>
          <cell r="E1780">
            <v>1</v>
          </cell>
          <cell r="F1780">
            <v>0</v>
          </cell>
          <cell r="H1780">
            <v>1</v>
          </cell>
          <cell r="O1780">
            <v>404591</v>
          </cell>
          <cell r="P1780" t="str">
            <v>2025/154-0035-01</v>
          </cell>
          <cell r="Q1780" t="str">
            <v>EST POLTRONA BELLAGIO (ALU C29 | CORD V01)</v>
          </cell>
          <cell r="R1780"/>
          <cell r="S1780"/>
          <cell r="T1780">
            <v>0.8</v>
          </cell>
          <cell r="U1780">
            <v>0.85</v>
          </cell>
          <cell r="V1780">
            <v>0.72</v>
          </cell>
          <cell r="W1780">
            <v>0</v>
          </cell>
          <cell r="X1780" t="str">
            <v>EST POLTRONA BELLAGIO (ALU C29 | CORD V01) - 0,8x0,85x0,72H</v>
          </cell>
          <cell r="Y1780">
            <v>10458.69</v>
          </cell>
          <cell r="Z1780">
            <v>0.35</v>
          </cell>
          <cell r="AA1780">
            <v>6798.1485000000011</v>
          </cell>
          <cell r="AB1780"/>
        </row>
        <row r="1781">
          <cell r="C1781">
            <v>0</v>
          </cell>
          <cell r="D1781">
            <v>0</v>
          </cell>
          <cell r="E1781">
            <v>1</v>
          </cell>
          <cell r="F1781">
            <v>0</v>
          </cell>
          <cell r="H1781">
            <v>1</v>
          </cell>
          <cell r="O1781">
            <v>404591</v>
          </cell>
          <cell r="P1781" t="str">
            <v>2025/154-0036-01</v>
          </cell>
          <cell r="Q1781" t="str">
            <v>EST POLTRONA BELLAGIO (ALU C29 | CORD V01)</v>
          </cell>
          <cell r="R1781"/>
          <cell r="S1781"/>
          <cell r="T1781">
            <v>0.8</v>
          </cell>
          <cell r="U1781">
            <v>0.85</v>
          </cell>
          <cell r="V1781">
            <v>0.72</v>
          </cell>
          <cell r="W1781">
            <v>0</v>
          </cell>
          <cell r="X1781" t="str">
            <v>EST POLTRONA BELLAGIO (ALU C29 | CORD V01) - 0,8x0,85x0,72H</v>
          </cell>
          <cell r="Y1781">
            <v>10458.69</v>
          </cell>
          <cell r="Z1781">
            <v>0.35</v>
          </cell>
          <cell r="AA1781">
            <v>6798.1485000000011</v>
          </cell>
          <cell r="AB1781"/>
        </row>
        <row r="1782">
          <cell r="C1782">
            <v>0</v>
          </cell>
          <cell r="D1782">
            <v>0</v>
          </cell>
          <cell r="E1782">
            <v>1</v>
          </cell>
          <cell r="F1782">
            <v>2</v>
          </cell>
          <cell r="H1782">
            <v>1</v>
          </cell>
          <cell r="O1782">
            <v>404594</v>
          </cell>
          <cell r="P1782" t="str">
            <v>2025/154-0043-01</v>
          </cell>
          <cell r="Q1782" t="str">
            <v>EST COMPONENTE ALMOFADA POLTRONA BELLAGIO TC KEEPSAKE TAUPE</v>
          </cell>
          <cell r="R1782"/>
          <cell r="S1782"/>
          <cell r="T1782">
            <v>0.8</v>
          </cell>
          <cell r="U1782">
            <v>0.85</v>
          </cell>
          <cell r="V1782">
            <v>0.05</v>
          </cell>
          <cell r="W1782">
            <v>0</v>
          </cell>
          <cell r="X1782" t="str">
            <v>EST COMPONENTE ALMOFADA POLTRONA BELLAGIO TC KEEPSAKE TAUPE - 0,8x0,85x0,05H</v>
          </cell>
          <cell r="Y1782">
            <v>6064.2404999999999</v>
          </cell>
          <cell r="Z1782">
            <v>0.35</v>
          </cell>
          <cell r="AA1782">
            <v>3941.7563249999998</v>
          </cell>
          <cell r="AB1782"/>
        </row>
        <row r="1783">
          <cell r="C1783">
            <v>0</v>
          </cell>
          <cell r="D1783">
            <v>0</v>
          </cell>
          <cell r="E1783">
            <v>1</v>
          </cell>
          <cell r="F1783">
            <v>2</v>
          </cell>
          <cell r="H1783">
            <v>1</v>
          </cell>
          <cell r="O1783">
            <v>404594</v>
          </cell>
          <cell r="P1783" t="str">
            <v>2025/154-0044-01</v>
          </cell>
          <cell r="Q1783" t="str">
            <v>EST COMPONENTE ALMOFADA POLTRONA BELLAGIO TC KEEPSAKE TAUPE</v>
          </cell>
          <cell r="R1783"/>
          <cell r="S1783"/>
          <cell r="T1783">
            <v>0.8</v>
          </cell>
          <cell r="U1783">
            <v>0.85</v>
          </cell>
          <cell r="V1783">
            <v>0.05</v>
          </cell>
          <cell r="W1783">
            <v>0</v>
          </cell>
          <cell r="X1783" t="str">
            <v>EST COMPONENTE ALMOFADA POLTRONA BELLAGIO TC KEEPSAKE TAUPE - 0,8x0,85x0,05H</v>
          </cell>
          <cell r="Y1783">
            <v>6064.2404999999999</v>
          </cell>
          <cell r="Z1783">
            <v>0.35</v>
          </cell>
          <cell r="AA1783">
            <v>3941.7563249999998</v>
          </cell>
          <cell r="AB1783"/>
        </row>
        <row r="1784">
          <cell r="C1784">
            <v>0</v>
          </cell>
          <cell r="D1784">
            <v>0</v>
          </cell>
          <cell r="E1784">
            <v>8</v>
          </cell>
          <cell r="F1784">
            <v>0</v>
          </cell>
          <cell r="H1784">
            <v>0</v>
          </cell>
          <cell r="O1784">
            <v>404596</v>
          </cell>
          <cell r="P1784" t="str">
            <v>2025/154-0051-01</v>
          </cell>
          <cell r="Q1784" t="str">
            <v>EST CADEIRA BELLAGIO (ALU C29 | CORD V01) TC KEEPSAKE TAUPE</v>
          </cell>
          <cell r="R1784"/>
          <cell r="S1784"/>
          <cell r="T1784">
            <v>0.61</v>
          </cell>
          <cell r="U1784">
            <v>0.6</v>
          </cell>
          <cell r="V1784">
            <v>0.76</v>
          </cell>
          <cell r="W1784">
            <v>0</v>
          </cell>
          <cell r="X1784" t="str">
            <v>EST CADEIRA BELLAGIO (ALU C29 | CORD V01) TC KEEPSAKE TAUPE - 0,61x0,6x0,76H</v>
          </cell>
          <cell r="Y1784">
            <v>9386.0164000000004</v>
          </cell>
          <cell r="Z1784">
            <v>0.35</v>
          </cell>
          <cell r="AA1784">
            <v>6100.9106600000005</v>
          </cell>
          <cell r="AB1784"/>
        </row>
        <row r="1785">
          <cell r="C1785">
            <v>0</v>
          </cell>
          <cell r="D1785">
            <v>0</v>
          </cell>
          <cell r="E1785">
            <v>8</v>
          </cell>
          <cell r="F1785">
            <v>0</v>
          </cell>
          <cell r="H1785">
            <v>0</v>
          </cell>
          <cell r="O1785">
            <v>404596</v>
          </cell>
          <cell r="P1785" t="str">
            <v>2025/154-0052-01</v>
          </cell>
          <cell r="Q1785" t="str">
            <v>EST CADEIRA BELLAGIO (ALU C29 | CORD V01) TC KEEPSAKE TAUPE</v>
          </cell>
          <cell r="R1785"/>
          <cell r="S1785"/>
          <cell r="T1785">
            <v>0.61</v>
          </cell>
          <cell r="U1785">
            <v>0.6</v>
          </cell>
          <cell r="V1785">
            <v>0.76</v>
          </cell>
          <cell r="W1785">
            <v>0</v>
          </cell>
          <cell r="X1785" t="str">
            <v>EST CADEIRA BELLAGIO (ALU C29 | CORD V01) TC KEEPSAKE TAUPE - 0,61x0,6x0,76H</v>
          </cell>
          <cell r="Y1785">
            <v>9386.0164000000004</v>
          </cell>
          <cell r="Z1785">
            <v>0.35</v>
          </cell>
          <cell r="AA1785">
            <v>6100.9106600000005</v>
          </cell>
          <cell r="AB1785"/>
        </row>
        <row r="1786">
          <cell r="C1786">
            <v>0</v>
          </cell>
          <cell r="D1786">
            <v>0</v>
          </cell>
          <cell r="E1786">
            <v>8</v>
          </cell>
          <cell r="F1786">
            <v>0</v>
          </cell>
          <cell r="H1786">
            <v>0</v>
          </cell>
          <cell r="O1786">
            <v>404596</v>
          </cell>
          <cell r="P1786" t="str">
            <v>2025/154-0053-01</v>
          </cell>
          <cell r="Q1786" t="str">
            <v>EST CADEIRA BELLAGIO (ALU C29 | CORD V01) TC KEEPSAKE TAUPE</v>
          </cell>
          <cell r="R1786"/>
          <cell r="S1786"/>
          <cell r="T1786">
            <v>0.61</v>
          </cell>
          <cell r="U1786">
            <v>0.6</v>
          </cell>
          <cell r="V1786">
            <v>0.76</v>
          </cell>
          <cell r="W1786">
            <v>0</v>
          </cell>
          <cell r="X1786" t="str">
            <v>EST CADEIRA BELLAGIO (ALU C29 | CORD V01) TC KEEPSAKE TAUPE - 0,61x0,6x0,76H</v>
          </cell>
          <cell r="Y1786">
            <v>9386.0164000000004</v>
          </cell>
          <cell r="Z1786">
            <v>0.35</v>
          </cell>
          <cell r="AA1786">
            <v>6100.9106600000005</v>
          </cell>
          <cell r="AB1786"/>
        </row>
        <row r="1787">
          <cell r="C1787">
            <v>0</v>
          </cell>
          <cell r="D1787">
            <v>0</v>
          </cell>
          <cell r="E1787">
            <v>8</v>
          </cell>
          <cell r="F1787">
            <v>0</v>
          </cell>
          <cell r="H1787">
            <v>0</v>
          </cell>
          <cell r="O1787">
            <v>404596</v>
          </cell>
          <cell r="P1787" t="str">
            <v>2025/154-0054-01</v>
          </cell>
          <cell r="Q1787" t="str">
            <v>EST CADEIRA BELLAGIO (ALU C29 | CORD V01) TC KEEPSAKE TAUPE</v>
          </cell>
          <cell r="R1787"/>
          <cell r="S1787"/>
          <cell r="T1787">
            <v>0.61</v>
          </cell>
          <cell r="U1787">
            <v>0.6</v>
          </cell>
          <cell r="V1787">
            <v>0.76</v>
          </cell>
          <cell r="W1787">
            <v>0</v>
          </cell>
          <cell r="X1787" t="str">
            <v>EST CADEIRA BELLAGIO (ALU C29 | CORD V01) TC KEEPSAKE TAUPE - 0,61x0,6x0,76H</v>
          </cell>
          <cell r="Y1787">
            <v>9386.0164000000004</v>
          </cell>
          <cell r="Z1787">
            <v>0.35</v>
          </cell>
          <cell r="AA1787">
            <v>6100.9106600000005</v>
          </cell>
          <cell r="AB1787"/>
        </row>
        <row r="1788">
          <cell r="C1788">
            <v>0</v>
          </cell>
          <cell r="D1788">
            <v>0</v>
          </cell>
          <cell r="E1788">
            <v>8</v>
          </cell>
          <cell r="F1788">
            <v>0</v>
          </cell>
          <cell r="H1788">
            <v>0</v>
          </cell>
          <cell r="O1788">
            <v>404596</v>
          </cell>
          <cell r="P1788" t="str">
            <v>2025/154-0055-01</v>
          </cell>
          <cell r="Q1788" t="str">
            <v>EST CADEIRA BELLAGIO (ALU C29 | CORD V01) TC KEEPSAKE TAUPE</v>
          </cell>
          <cell r="R1788"/>
          <cell r="S1788"/>
          <cell r="T1788">
            <v>0.61</v>
          </cell>
          <cell r="U1788">
            <v>0.6</v>
          </cell>
          <cell r="V1788">
            <v>0.76</v>
          </cell>
          <cell r="W1788">
            <v>0</v>
          </cell>
          <cell r="X1788" t="str">
            <v>EST CADEIRA BELLAGIO (ALU C29 | CORD V01) TC KEEPSAKE TAUPE - 0,61x0,6x0,76H</v>
          </cell>
          <cell r="Y1788">
            <v>9386.0164000000004</v>
          </cell>
          <cell r="Z1788">
            <v>0.35</v>
          </cell>
          <cell r="AA1788">
            <v>6100.9106600000005</v>
          </cell>
          <cell r="AB1788"/>
        </row>
        <row r="1789">
          <cell r="C1789">
            <v>0</v>
          </cell>
          <cell r="D1789">
            <v>0</v>
          </cell>
          <cell r="E1789">
            <v>8</v>
          </cell>
          <cell r="F1789">
            <v>0</v>
          </cell>
          <cell r="H1789">
            <v>0</v>
          </cell>
          <cell r="O1789">
            <v>404596</v>
          </cell>
          <cell r="P1789" t="str">
            <v>2025/154-0056-01</v>
          </cell>
          <cell r="Q1789" t="str">
            <v>EST CADEIRA BELLAGIO (ALU C29 | CORD V01) TC KEEPSAKE TAUPE</v>
          </cell>
          <cell r="R1789"/>
          <cell r="S1789"/>
          <cell r="T1789">
            <v>0.61</v>
          </cell>
          <cell r="U1789">
            <v>0.6</v>
          </cell>
          <cell r="V1789">
            <v>0.76</v>
          </cell>
          <cell r="W1789">
            <v>0</v>
          </cell>
          <cell r="X1789" t="str">
            <v>EST CADEIRA BELLAGIO (ALU C29 | CORD V01) TC KEEPSAKE TAUPE - 0,61x0,6x0,76H</v>
          </cell>
          <cell r="Y1789">
            <v>9386.0164000000004</v>
          </cell>
          <cell r="Z1789">
            <v>0.35</v>
          </cell>
          <cell r="AA1789">
            <v>6100.9106600000005</v>
          </cell>
          <cell r="AB1789"/>
        </row>
        <row r="1790">
          <cell r="C1790">
            <v>0</v>
          </cell>
          <cell r="D1790">
            <v>0</v>
          </cell>
          <cell r="E1790">
            <v>8</v>
          </cell>
          <cell r="F1790">
            <v>0</v>
          </cell>
          <cell r="H1790">
            <v>0</v>
          </cell>
          <cell r="O1790">
            <v>404596</v>
          </cell>
          <cell r="P1790" t="str">
            <v>2025/154-0057-01</v>
          </cell>
          <cell r="Q1790" t="str">
            <v>EST CADEIRA BELLAGIO (ALU C29 | CORD V01) TC KEEPSAKE TAUPE</v>
          </cell>
          <cell r="R1790"/>
          <cell r="S1790"/>
          <cell r="T1790">
            <v>0.61</v>
          </cell>
          <cell r="U1790">
            <v>0.6</v>
          </cell>
          <cell r="V1790">
            <v>0.76</v>
          </cell>
          <cell r="W1790">
            <v>0</v>
          </cell>
          <cell r="X1790" t="str">
            <v>EST CADEIRA BELLAGIO (ALU C29 | CORD V01) TC KEEPSAKE TAUPE - 0,61x0,6x0,76H</v>
          </cell>
          <cell r="Y1790">
            <v>9386.0164000000004</v>
          </cell>
          <cell r="Z1790">
            <v>0.35</v>
          </cell>
          <cell r="AA1790">
            <v>6100.9106600000005</v>
          </cell>
          <cell r="AB1790"/>
        </row>
        <row r="1791">
          <cell r="C1791">
            <v>0</v>
          </cell>
          <cell r="D1791">
            <v>0</v>
          </cell>
          <cell r="E1791">
            <v>8</v>
          </cell>
          <cell r="F1791">
            <v>0</v>
          </cell>
          <cell r="H1791">
            <v>0</v>
          </cell>
          <cell r="O1791">
            <v>404596</v>
          </cell>
          <cell r="P1791" t="str">
            <v>2025/154-0058-01</v>
          </cell>
          <cell r="Q1791" t="str">
            <v>EST CADEIRA BELLAGIO (ALU C29 | CORD V01) TC KEEPSAKE TAUPE</v>
          </cell>
          <cell r="R1791"/>
          <cell r="S1791"/>
          <cell r="T1791">
            <v>0.61</v>
          </cell>
          <cell r="U1791">
            <v>0.6</v>
          </cell>
          <cell r="V1791">
            <v>0.76</v>
          </cell>
          <cell r="W1791">
            <v>0</v>
          </cell>
          <cell r="X1791" t="str">
            <v>EST CADEIRA BELLAGIO (ALU C29 | CORD V01) TC KEEPSAKE TAUPE - 0,61x0,6x0,76H</v>
          </cell>
          <cell r="Y1791">
            <v>9386.0164000000004</v>
          </cell>
          <cell r="Z1791">
            <v>0.35</v>
          </cell>
          <cell r="AA1791">
            <v>6100.9106600000005</v>
          </cell>
          <cell r="AB1791"/>
        </row>
        <row r="1792">
          <cell r="C1792">
            <v>0</v>
          </cell>
          <cell r="D1792">
            <v>0</v>
          </cell>
          <cell r="E1792">
            <v>1</v>
          </cell>
          <cell r="F1792">
            <v>0</v>
          </cell>
          <cell r="H1792">
            <v>0</v>
          </cell>
          <cell r="O1792">
            <v>404598</v>
          </cell>
          <cell r="P1792" t="str">
            <v>2025/154-0009-01</v>
          </cell>
          <cell r="Q1792" t="str">
            <v>EST MESA JANTAR BELLAGIO (OVAL) (ALU C29 | CORD V01)</v>
          </cell>
          <cell r="R1792"/>
          <cell r="S1792"/>
          <cell r="T1792">
            <v>3</v>
          </cell>
          <cell r="U1792">
            <v>1.25</v>
          </cell>
          <cell r="V1792">
            <v>0.75</v>
          </cell>
          <cell r="W1792">
            <v>0</v>
          </cell>
          <cell r="X1792" t="str">
            <v>EST MESA JANTAR BELLAGIO (OVAL) (ALU C29 | CORD V01) - 3x1,25x0,75H</v>
          </cell>
          <cell r="Y1792">
            <v>68023.649999999994</v>
          </cell>
          <cell r="Z1792">
            <v>0.35</v>
          </cell>
          <cell r="AA1792">
            <v>44215.372499999998</v>
          </cell>
          <cell r="AB1792"/>
        </row>
        <row r="1793">
          <cell r="C1793">
            <v>0</v>
          </cell>
          <cell r="D1793">
            <v>0</v>
          </cell>
          <cell r="E1793">
            <v>1</v>
          </cell>
          <cell r="F1793">
            <v>0</v>
          </cell>
          <cell r="H1793">
            <v>0</v>
          </cell>
          <cell r="O1793">
            <v>404601</v>
          </cell>
          <cell r="P1793" t="str">
            <v>2025/154-0012-01</v>
          </cell>
          <cell r="Q1793" t="str">
            <v>EST MESA LATERAL BELLAGIO (ALU C24)</v>
          </cell>
          <cell r="R1793"/>
          <cell r="S1793"/>
          <cell r="T1793">
            <v>0.5</v>
          </cell>
          <cell r="U1793">
            <v>0</v>
          </cell>
          <cell r="V1793">
            <v>0.45</v>
          </cell>
          <cell r="W1793">
            <v>0.5</v>
          </cell>
          <cell r="X1793" t="str">
            <v>EST MESA LATERAL BELLAGIO (ALU C24) - Ø0,5x0,45H</v>
          </cell>
          <cell r="Y1793">
            <v>6968.46</v>
          </cell>
          <cell r="Z1793">
            <v>0.35</v>
          </cell>
          <cell r="AA1793">
            <v>4529.4989999999998</v>
          </cell>
          <cell r="AB1793"/>
        </row>
        <row r="1794">
          <cell r="C1794">
            <v>0</v>
          </cell>
          <cell r="D1794">
            <v>0</v>
          </cell>
          <cell r="E1794">
            <v>1</v>
          </cell>
          <cell r="F1794">
            <v>0</v>
          </cell>
          <cell r="H1794">
            <v>0</v>
          </cell>
          <cell r="O1794">
            <v>404605</v>
          </cell>
          <cell r="P1794" t="str">
            <v>2025/154-0015-01</v>
          </cell>
          <cell r="Q1794" t="str">
            <v>EST MESA LATERAL BELLAGIO (ALU C29)</v>
          </cell>
          <cell r="R1794"/>
          <cell r="S1794"/>
          <cell r="T1794">
            <v>0.5</v>
          </cell>
          <cell r="U1794">
            <v>0</v>
          </cell>
          <cell r="V1794">
            <v>0.45</v>
          </cell>
          <cell r="W1794">
            <v>0.5</v>
          </cell>
          <cell r="X1794" t="str">
            <v>EST MESA LATERAL BELLAGIO (ALU C29) - Ø0,5x0,45H</v>
          </cell>
          <cell r="Y1794">
            <v>6968.46</v>
          </cell>
          <cell r="Z1794">
            <v>0.35</v>
          </cell>
          <cell r="AA1794">
            <v>4529.4989999999998</v>
          </cell>
          <cell r="AB1794"/>
        </row>
        <row r="1795">
          <cell r="C1795">
            <v>0</v>
          </cell>
          <cell r="D1795">
            <v>0</v>
          </cell>
          <cell r="E1795">
            <v>1</v>
          </cell>
          <cell r="F1795">
            <v>0</v>
          </cell>
          <cell r="H1795">
            <v>0</v>
          </cell>
          <cell r="O1795">
            <v>404606</v>
          </cell>
          <cell r="P1795" t="str">
            <v>2025/154-0066-01</v>
          </cell>
          <cell r="Q1795" t="str">
            <v>EST MESA CENTRO BELLAGIO (ALU C29)</v>
          </cell>
          <cell r="R1795"/>
          <cell r="S1795"/>
          <cell r="T1795">
            <v>1.2</v>
          </cell>
          <cell r="U1795">
            <v>0</v>
          </cell>
          <cell r="V1795">
            <v>0.35</v>
          </cell>
          <cell r="W1795">
            <v>1.2</v>
          </cell>
          <cell r="X1795" t="str">
            <v>EST MESA CENTRO BELLAGIO (ALU C29) - Ø1,2x0,35H</v>
          </cell>
          <cell r="Y1795">
            <v>22279.71</v>
          </cell>
          <cell r="Z1795">
            <v>0.35</v>
          </cell>
          <cell r="AA1795">
            <v>14481.8115</v>
          </cell>
          <cell r="AB1795"/>
        </row>
        <row r="1796">
          <cell r="C1796">
            <v>0</v>
          </cell>
          <cell r="D1796">
            <v>0</v>
          </cell>
          <cell r="E1796">
            <v>1</v>
          </cell>
          <cell r="F1796">
            <v>0</v>
          </cell>
          <cell r="H1796">
            <v>0</v>
          </cell>
          <cell r="O1796">
            <v>404614</v>
          </cell>
          <cell r="P1796" t="str">
            <v>2025/154-0022-01</v>
          </cell>
          <cell r="Q1796" t="str">
            <v>EST BANCO BELLAGIO (FORMICA TS CORDA) (ALU C29)</v>
          </cell>
          <cell r="R1796"/>
          <cell r="S1796"/>
          <cell r="T1796">
            <v>1.6</v>
          </cell>
          <cell r="U1796">
            <v>0.45</v>
          </cell>
          <cell r="V1796">
            <v>0.45</v>
          </cell>
          <cell r="W1796">
            <v>0</v>
          </cell>
          <cell r="X1796" t="str">
            <v>EST BANCO BELLAGIO (FORMICA TS CORDA) (ALU C29) - 1,6x0,45x0,45H</v>
          </cell>
          <cell r="Y1796">
            <v>14256.79</v>
          </cell>
          <cell r="Z1796">
            <v>0.35</v>
          </cell>
          <cell r="AA1796">
            <v>9266.9135000000006</v>
          </cell>
          <cell r="AB1796"/>
        </row>
        <row r="1797">
          <cell r="C1797">
            <v>0</v>
          </cell>
          <cell r="D1797">
            <v>0</v>
          </cell>
          <cell r="E1797">
            <v>1</v>
          </cell>
          <cell r="F1797">
            <v>0</v>
          </cell>
          <cell r="H1797">
            <v>0</v>
          </cell>
          <cell r="O1797">
            <v>404743</v>
          </cell>
          <cell r="P1797" t="str">
            <v>2025/083-0007-01</v>
          </cell>
          <cell r="Q1797" t="str">
            <v>EST TAPETE DUNAS (DES) (10MM) D:1399 /6005/87/89</v>
          </cell>
          <cell r="R1797"/>
          <cell r="S1797"/>
          <cell r="T1797">
            <v>4.8</v>
          </cell>
          <cell r="U1797">
            <v>2.7</v>
          </cell>
          <cell r="V1797">
            <v>0.01</v>
          </cell>
          <cell r="W1797">
            <v>0</v>
          </cell>
          <cell r="X1797" t="str">
            <v>EST TAPETE DUNAS (DES) (10MM) D:1399 /6005/87/89 - 4,8x2,7x0,01H</v>
          </cell>
          <cell r="Y1797">
            <v>32978.534400000004</v>
          </cell>
          <cell r="Z1797">
            <v>0.35</v>
          </cell>
          <cell r="AA1797">
            <v>21436.047360000004</v>
          </cell>
          <cell r="AB1797"/>
        </row>
        <row r="1798">
          <cell r="C1798">
            <v>0</v>
          </cell>
          <cell r="D1798">
            <v>0</v>
          </cell>
          <cell r="E1798">
            <v>1</v>
          </cell>
          <cell r="F1798">
            <v>0</v>
          </cell>
          <cell r="H1798">
            <v>0</v>
          </cell>
          <cell r="O1798">
            <v>405109</v>
          </cell>
          <cell r="P1798" t="str">
            <v>2025/213-0055-01</v>
          </cell>
          <cell r="Q1798" t="str">
            <v>EST POLTRONA FLORIPA (MTX CAFE) COURO CH OLIVA</v>
          </cell>
          <cell r="R1798"/>
          <cell r="S1798"/>
          <cell r="T1798">
            <v>0.71</v>
          </cell>
          <cell r="U1798">
            <v>0.84</v>
          </cell>
          <cell r="V1798">
            <v>0.89</v>
          </cell>
          <cell r="W1798">
            <v>0</v>
          </cell>
          <cell r="X1798" t="str">
            <v>EST POLTRONA FLORIPA (MTX CAFE) COURO CH OLIVA - 0,71x0,84x0,89H</v>
          </cell>
          <cell r="Y1798">
            <v>19442.66</v>
          </cell>
          <cell r="Z1798">
            <v>0.35</v>
          </cell>
          <cell r="AA1798">
            <v>12637.728999999999</v>
          </cell>
          <cell r="AB1798"/>
        </row>
        <row r="1799">
          <cell r="C1799">
            <v>0</v>
          </cell>
          <cell r="D1799">
            <v>0</v>
          </cell>
          <cell r="E1799">
            <v>1</v>
          </cell>
          <cell r="F1799">
            <v>0</v>
          </cell>
          <cell r="H1799">
            <v>0</v>
          </cell>
          <cell r="O1799">
            <v>405110</v>
          </cell>
          <cell r="P1799" t="str">
            <v>2025/213-0056-01</v>
          </cell>
          <cell r="Q1799" t="str">
            <v>EST BANQUETA FLORIPA (MTX CAFE) COURO CH OLIVA</v>
          </cell>
          <cell r="R1799"/>
          <cell r="S1799"/>
          <cell r="T1799">
            <v>0.6</v>
          </cell>
          <cell r="U1799">
            <v>0.6</v>
          </cell>
          <cell r="V1799">
            <v>0.4</v>
          </cell>
          <cell r="W1799">
            <v>0</v>
          </cell>
          <cell r="X1799" t="str">
            <v>EST BANQUETA FLORIPA (MTX CAFE) COURO CH OLIVA - 0,6x0,6x0,4H</v>
          </cell>
          <cell r="Y1799">
            <v>12491.54</v>
          </cell>
          <cell r="Z1799">
            <v>0.35</v>
          </cell>
          <cell r="AA1799">
            <v>8119.5010000000011</v>
          </cell>
          <cell r="AB1799"/>
        </row>
        <row r="1800">
          <cell r="C1800">
            <v>0</v>
          </cell>
          <cell r="D1800">
            <v>1</v>
          </cell>
          <cell r="E1800">
            <v>1</v>
          </cell>
          <cell r="F1800">
            <v>0</v>
          </cell>
          <cell r="H1800">
            <v>0</v>
          </cell>
          <cell r="O1800">
            <v>405724</v>
          </cell>
          <cell r="P1800" t="str">
            <v>2025/154-0100-01</v>
          </cell>
          <cell r="Q1800" t="str">
            <v>EST MESA CENTRO GROTA (TAMPO MARCHETARIA) NATURE MATT</v>
          </cell>
          <cell r="R1800"/>
          <cell r="S1800"/>
          <cell r="T1800">
            <v>1.82</v>
          </cell>
          <cell r="U1800">
            <v>0.72</v>
          </cell>
          <cell r="V1800">
            <v>0.25</v>
          </cell>
          <cell r="W1800">
            <v>0</v>
          </cell>
          <cell r="X1800" t="str">
            <v>EST MESA CENTRO GROTA (TAMPO MARCHETARIA) NATURE MATT - 1,82x0,72x0,25H</v>
          </cell>
          <cell r="Y1800">
            <v>17884.88</v>
          </cell>
          <cell r="Z1800">
            <v>0.35</v>
          </cell>
          <cell r="AA1800">
            <v>11625.172000000002</v>
          </cell>
          <cell r="AB1800"/>
        </row>
        <row r="1801">
          <cell r="C1801">
            <v>0</v>
          </cell>
          <cell r="D1801">
            <v>0</v>
          </cell>
          <cell r="E1801">
            <v>1</v>
          </cell>
          <cell r="F1801">
            <v>0</v>
          </cell>
          <cell r="H1801">
            <v>0</v>
          </cell>
          <cell r="O1801">
            <v>405888</v>
          </cell>
          <cell r="P1801" t="str">
            <v>2025/189-0002-01</v>
          </cell>
          <cell r="Q1801" t="str">
            <v>EST MESA CENTRO SOLEIL (MARMORE TRAVERTINO) (LAMINA WALNUT)</v>
          </cell>
          <cell r="R1801"/>
          <cell r="S1801"/>
          <cell r="T1801">
            <v>1.2</v>
          </cell>
          <cell r="U1801">
            <v>1</v>
          </cell>
          <cell r="V1801">
            <v>0.3</v>
          </cell>
          <cell r="W1801">
            <v>0</v>
          </cell>
          <cell r="X1801" t="str">
            <v>EST MESA CENTRO SOLEIL (MARMORE TRAVERTINO) (LAMINA WALNUT) - 1,2x1x0,3H</v>
          </cell>
          <cell r="Y1801">
            <v>41758.300000000003</v>
          </cell>
          <cell r="Z1801">
            <v>0.35</v>
          </cell>
          <cell r="AA1801">
            <v>27142.895000000004</v>
          </cell>
          <cell r="AB1801"/>
        </row>
        <row r="1802">
          <cell r="C1802">
            <v>0</v>
          </cell>
          <cell r="D1802">
            <v>0</v>
          </cell>
          <cell r="E1802">
            <v>1</v>
          </cell>
          <cell r="F1802">
            <v>0</v>
          </cell>
          <cell r="H1802">
            <v>0</v>
          </cell>
          <cell r="O1802">
            <v>409029</v>
          </cell>
          <cell r="P1802" t="str">
            <v>2025/255-0005-01</v>
          </cell>
          <cell r="Q1802" t="str">
            <v>EST ESCRIVANINHA DIX (FREIJO NATURAL) (INOX PRETO)</v>
          </cell>
          <cell r="R1802"/>
          <cell r="S1802"/>
          <cell r="T1802">
            <v>1.8</v>
          </cell>
          <cell r="U1802">
            <v>0.7</v>
          </cell>
          <cell r="V1802">
            <v>0.75</v>
          </cell>
          <cell r="W1802">
            <v>0</v>
          </cell>
          <cell r="X1802" t="str">
            <v>EST ESCRIVANINHA DIX (FREIJO NATURAL) (INOX PRETO) - 1,8x0,7x0,75H</v>
          </cell>
          <cell r="Y1802">
            <v>30757.98</v>
          </cell>
          <cell r="Z1802">
            <v>0.35</v>
          </cell>
          <cell r="AA1802">
            <v>19992.686999999998</v>
          </cell>
          <cell r="AB1802"/>
        </row>
        <row r="1803">
          <cell r="C1803">
            <v>0</v>
          </cell>
          <cell r="D1803">
            <v>0</v>
          </cell>
          <cell r="E1803">
            <v>2</v>
          </cell>
          <cell r="F1803">
            <v>0</v>
          </cell>
          <cell r="H1803">
            <v>0</v>
          </cell>
          <cell r="O1803">
            <v>409786</v>
          </cell>
          <cell r="P1803" t="str">
            <v>2025/260-0009-01</v>
          </cell>
          <cell r="Q1803" t="str">
            <v>EST POLTRONA NEW HARRY (GIRATORIA) FX C3183</v>
          </cell>
          <cell r="R1803"/>
          <cell r="S1803"/>
          <cell r="T1803">
            <v>0.89</v>
          </cell>
          <cell r="U1803">
            <v>0.83</v>
          </cell>
          <cell r="V1803">
            <v>0.72</v>
          </cell>
          <cell r="W1803">
            <v>0</v>
          </cell>
          <cell r="X1803" t="str">
            <v>EST POLTRONA NEW HARRY (GIRATORIA) FX C3183 - 0,89x0,83x0,72H</v>
          </cell>
          <cell r="Y1803">
            <v>9054.89</v>
          </cell>
          <cell r="Z1803">
            <v>0.35</v>
          </cell>
          <cell r="AA1803">
            <v>5885.6785</v>
          </cell>
          <cell r="AB1803"/>
        </row>
        <row r="1804">
          <cell r="C1804">
            <v>0</v>
          </cell>
          <cell r="D1804">
            <v>0</v>
          </cell>
          <cell r="E1804">
            <v>2</v>
          </cell>
          <cell r="F1804">
            <v>0</v>
          </cell>
          <cell r="H1804">
            <v>0</v>
          </cell>
          <cell r="O1804">
            <v>409786</v>
          </cell>
          <cell r="P1804" t="str">
            <v>2025/260-0008-01</v>
          </cell>
          <cell r="Q1804" t="str">
            <v>EST POLTRONA NEW HARRY (GIRATORIA) FX C3183</v>
          </cell>
          <cell r="R1804"/>
          <cell r="S1804"/>
          <cell r="T1804">
            <v>0.89</v>
          </cell>
          <cell r="U1804">
            <v>0.83</v>
          </cell>
          <cell r="V1804">
            <v>0.72</v>
          </cell>
          <cell r="W1804">
            <v>0</v>
          </cell>
          <cell r="X1804" t="str">
            <v>EST POLTRONA NEW HARRY (GIRATORIA) FX C3183 - 0,89x0,83x0,72H</v>
          </cell>
          <cell r="Y1804">
            <v>9054.89</v>
          </cell>
          <cell r="Z1804">
            <v>0.35</v>
          </cell>
          <cell r="AA1804">
            <v>5885.6785</v>
          </cell>
          <cell r="AB1804"/>
        </row>
        <row r="1805">
          <cell r="C1805">
            <v>2</v>
          </cell>
          <cell r="D1805">
            <v>0</v>
          </cell>
          <cell r="E1805">
            <v>2</v>
          </cell>
          <cell r="F1805">
            <v>0</v>
          </cell>
          <cell r="H1805">
            <v>0</v>
          </cell>
          <cell r="O1805">
            <v>409983</v>
          </cell>
          <cell r="P1805" t="str">
            <v>2025/261-0025-01</v>
          </cell>
          <cell r="Q1805" t="str">
            <v>EST MESA LATERAL PIN (NATURE MATT) (DET PINT CORTEN)</v>
          </cell>
          <cell r="R1805"/>
          <cell r="S1805"/>
          <cell r="T1805">
            <v>0.35</v>
          </cell>
          <cell r="U1805">
            <v>0</v>
          </cell>
          <cell r="V1805">
            <v>0.52</v>
          </cell>
          <cell r="W1805">
            <v>0.35</v>
          </cell>
          <cell r="X1805" t="str">
            <v>EST MESA LATERAL PIN (NATURE MATT) (DET PINT CORTEN) - Ø0,35x0,52H</v>
          </cell>
          <cell r="Y1805">
            <v>5384.51</v>
          </cell>
          <cell r="Z1805">
            <v>0.35</v>
          </cell>
          <cell r="AA1805">
            <v>3499.9315000000006</v>
          </cell>
          <cell r="AB1805"/>
        </row>
        <row r="1806">
          <cell r="C1806">
            <v>2</v>
          </cell>
          <cell r="D1806">
            <v>0</v>
          </cell>
          <cell r="E1806">
            <v>2</v>
          </cell>
          <cell r="F1806">
            <v>0</v>
          </cell>
          <cell r="H1806">
            <v>0</v>
          </cell>
          <cell r="O1806">
            <v>409983</v>
          </cell>
          <cell r="P1806" t="str">
            <v>2025/261-0027-01</v>
          </cell>
          <cell r="Q1806" t="str">
            <v>EST MESA LATERAL PIN (NATURE MATT) (DET PINT CORTEN)</v>
          </cell>
          <cell r="R1806"/>
          <cell r="S1806"/>
          <cell r="T1806">
            <v>0.35</v>
          </cell>
          <cell r="U1806">
            <v>0</v>
          </cell>
          <cell r="V1806">
            <v>0.52</v>
          </cell>
          <cell r="W1806">
            <v>0.35</v>
          </cell>
          <cell r="X1806" t="str">
            <v>EST MESA LATERAL PIN (NATURE MATT) (DET PINT CORTEN) - Ø0,35x0,52H</v>
          </cell>
          <cell r="Y1806">
            <v>5384.51</v>
          </cell>
          <cell r="Z1806">
            <v>0.35</v>
          </cell>
          <cell r="AA1806">
            <v>3499.9315000000006</v>
          </cell>
          <cell r="AB1806"/>
        </row>
        <row r="1807">
          <cell r="C1807">
            <v>0</v>
          </cell>
          <cell r="D1807">
            <v>2</v>
          </cell>
          <cell r="E1807">
            <v>4</v>
          </cell>
          <cell r="F1807">
            <v>0</v>
          </cell>
          <cell r="H1807">
            <v>0</v>
          </cell>
          <cell r="O1807">
            <v>314841</v>
          </cell>
          <cell r="P1807" t="str">
            <v>2021/344-0149-01</v>
          </cell>
          <cell r="Q1807" t="str">
            <v>EST ALMOFADA TRESSE AZUL</v>
          </cell>
          <cell r="R1807"/>
          <cell r="S1807"/>
          <cell r="T1807">
            <v>0.5</v>
          </cell>
          <cell r="U1807">
            <v>0.5</v>
          </cell>
          <cell r="V1807">
            <v>0</v>
          </cell>
          <cell r="W1807">
            <v>0</v>
          </cell>
          <cell r="X1807" t="str">
            <v>EST ALMOFADA TRESSE AZUL - 0,5x0,5x0H</v>
          </cell>
          <cell r="Y1807">
            <v>1320.7</v>
          </cell>
          <cell r="Z1807">
            <v>0.5</v>
          </cell>
          <cell r="AA1807">
            <v>660.35</v>
          </cell>
          <cell r="AB1807"/>
        </row>
        <row r="1808">
          <cell r="C1808">
            <v>0</v>
          </cell>
          <cell r="D1808">
            <v>2</v>
          </cell>
          <cell r="E1808">
            <v>4</v>
          </cell>
          <cell r="F1808">
            <v>0</v>
          </cell>
          <cell r="H1808">
            <v>0</v>
          </cell>
          <cell r="O1808">
            <v>314841</v>
          </cell>
          <cell r="P1808" t="str">
            <v>2021/344-0150-01</v>
          </cell>
          <cell r="Q1808" t="str">
            <v>EST ALMOFADA TRESSE AZUL</v>
          </cell>
          <cell r="R1808"/>
          <cell r="S1808"/>
          <cell r="T1808">
            <v>0.5</v>
          </cell>
          <cell r="U1808">
            <v>0.5</v>
          </cell>
          <cell r="V1808">
            <v>0</v>
          </cell>
          <cell r="W1808">
            <v>0</v>
          </cell>
          <cell r="X1808" t="str">
            <v>EST ALMOFADA TRESSE AZUL - 0,5x0,5x0H</v>
          </cell>
          <cell r="Y1808">
            <v>1320.7</v>
          </cell>
          <cell r="Z1808">
            <v>0.5</v>
          </cell>
          <cell r="AA1808">
            <v>660.35</v>
          </cell>
          <cell r="AB1808"/>
        </row>
        <row r="1809">
          <cell r="C1809">
            <v>0</v>
          </cell>
          <cell r="D1809">
            <v>2</v>
          </cell>
          <cell r="E1809">
            <v>4</v>
          </cell>
          <cell r="F1809">
            <v>0</v>
          </cell>
          <cell r="H1809">
            <v>0</v>
          </cell>
          <cell r="O1809">
            <v>314841</v>
          </cell>
          <cell r="P1809" t="str">
            <v>2021/344-0151-01</v>
          </cell>
          <cell r="Q1809" t="str">
            <v>EST ALMOFADA TRESSE AZUL</v>
          </cell>
          <cell r="R1809"/>
          <cell r="S1809"/>
          <cell r="T1809">
            <v>0.5</v>
          </cell>
          <cell r="U1809">
            <v>0.5</v>
          </cell>
          <cell r="V1809">
            <v>0</v>
          </cell>
          <cell r="W1809">
            <v>0</v>
          </cell>
          <cell r="X1809" t="str">
            <v>EST ALMOFADA TRESSE AZUL - 0,5x0,5x0H</v>
          </cell>
          <cell r="Y1809">
            <v>1320.7</v>
          </cell>
          <cell r="Z1809">
            <v>0.5</v>
          </cell>
          <cell r="AA1809">
            <v>660.35</v>
          </cell>
          <cell r="AB1809"/>
        </row>
        <row r="1810">
          <cell r="C1810">
            <v>0</v>
          </cell>
          <cell r="D1810">
            <v>2</v>
          </cell>
          <cell r="E1810">
            <v>4</v>
          </cell>
          <cell r="F1810">
            <v>0</v>
          </cell>
          <cell r="H1810">
            <v>0</v>
          </cell>
          <cell r="O1810">
            <v>314841</v>
          </cell>
          <cell r="P1810" t="str">
            <v>2021/344-0152-01</v>
          </cell>
          <cell r="Q1810" t="str">
            <v>EST ALMOFADA TRESSE AZUL</v>
          </cell>
          <cell r="R1810"/>
          <cell r="S1810"/>
          <cell r="T1810">
            <v>0.5</v>
          </cell>
          <cell r="U1810">
            <v>0.5</v>
          </cell>
          <cell r="V1810">
            <v>0</v>
          </cell>
          <cell r="W1810">
            <v>0</v>
          </cell>
          <cell r="X1810" t="str">
            <v>EST ALMOFADA TRESSE AZUL - 0,5x0,5x0H</v>
          </cell>
          <cell r="Y1810">
            <v>1320.7</v>
          </cell>
          <cell r="Z1810">
            <v>0.5</v>
          </cell>
          <cell r="AA1810">
            <v>660.35</v>
          </cell>
          <cell r="AB1810"/>
        </row>
        <row r="1811">
          <cell r="C1811">
            <v>0</v>
          </cell>
          <cell r="D1811">
            <v>0</v>
          </cell>
          <cell r="E1811">
            <v>0</v>
          </cell>
          <cell r="F1811">
            <v>1</v>
          </cell>
          <cell r="H1811">
            <v>0</v>
          </cell>
          <cell r="O1811">
            <v>327123</v>
          </cell>
          <cell r="P1811" t="str">
            <v>2022/145-0053-01</v>
          </cell>
          <cell r="Q1811" t="str">
            <v>EST MESA CENTRO SANTIAGO (TRI) (MTZ CHUMBO) (MARM CARRARA)</v>
          </cell>
          <cell r="R1811"/>
          <cell r="S1811"/>
          <cell r="T1811">
            <v>1.4</v>
          </cell>
          <cell r="U1811">
            <v>1.5</v>
          </cell>
          <cell r="V1811">
            <v>0.32</v>
          </cell>
          <cell r="W1811">
            <v>0</v>
          </cell>
          <cell r="X1811" t="str">
            <v>EST MESA CENTRO SANTIAGO (TRI) (MTZ CHUMBO) (MARM CARRARA) - 1,4x1,5x0,32H</v>
          </cell>
          <cell r="Y1811">
            <v>33249.08</v>
          </cell>
          <cell r="Z1811">
            <v>0.35</v>
          </cell>
          <cell r="AA1811">
            <v>21611.902000000002</v>
          </cell>
          <cell r="AB1811"/>
        </row>
        <row r="1812">
          <cell r="C1812">
            <v>0</v>
          </cell>
          <cell r="D1812">
            <v>0</v>
          </cell>
          <cell r="E1812">
            <v>0</v>
          </cell>
          <cell r="F1812">
            <v>1</v>
          </cell>
          <cell r="H1812">
            <v>0</v>
          </cell>
          <cell r="O1812">
            <v>335235</v>
          </cell>
          <cell r="P1812" t="str">
            <v>2022/220-0009-01</v>
          </cell>
          <cell r="Q1812" t="str">
            <v>EST POLTRONA SOFT (BS ELET CORTEM) RUST A5229/124/SOL FENDY</v>
          </cell>
          <cell r="R1812"/>
          <cell r="S1812"/>
          <cell r="T1812">
            <v>0.87</v>
          </cell>
          <cell r="U1812">
            <v>1.02</v>
          </cell>
          <cell r="V1812">
            <v>0.8</v>
          </cell>
          <cell r="W1812">
            <v>0</v>
          </cell>
          <cell r="X1812" t="str">
            <v>EST POLTRONA SOFT (BS ELET CORTEM) RUST A5229/124/SOL FENDY - 0,87x1,02x0,8H</v>
          </cell>
          <cell r="Y1812">
            <v>29398.94</v>
          </cell>
          <cell r="Z1812">
            <v>0.35</v>
          </cell>
          <cell r="AA1812">
            <v>19109.311000000002</v>
          </cell>
          <cell r="AB1812"/>
        </row>
        <row r="1813">
          <cell r="C1813">
            <v>0</v>
          </cell>
          <cell r="D1813">
            <v>0</v>
          </cell>
          <cell r="E1813">
            <v>0</v>
          </cell>
          <cell r="F1813">
            <v>1</v>
          </cell>
          <cell r="H1813">
            <v>0</v>
          </cell>
          <cell r="O1813">
            <v>335236</v>
          </cell>
          <cell r="P1813" t="str">
            <v>2022/220-0010-01</v>
          </cell>
          <cell r="Q1813" t="str">
            <v>EST BANQUETA SOFT (BS ELET CORTEM) RUST A5229/124/SOL FENDY</v>
          </cell>
          <cell r="R1813"/>
          <cell r="S1813"/>
          <cell r="T1813">
            <v>0.57999999999999996</v>
          </cell>
          <cell r="U1813">
            <v>0.75</v>
          </cell>
          <cell r="V1813">
            <v>0.4</v>
          </cell>
          <cell r="W1813">
            <v>0</v>
          </cell>
          <cell r="X1813" t="str">
            <v>EST BANQUETA SOFT (BS ELET CORTEM) RUST A5229/124/SOL FENDY - 0,58x0,75x0,4H</v>
          </cell>
          <cell r="Y1813">
            <v>13504.74</v>
          </cell>
          <cell r="Z1813">
            <v>0.35</v>
          </cell>
          <cell r="AA1813">
            <v>8778.0810000000001</v>
          </cell>
          <cell r="AB1813"/>
        </row>
        <row r="1814">
          <cell r="C1814">
            <v>0</v>
          </cell>
          <cell r="D1814">
            <v>0</v>
          </cell>
          <cell r="E1814">
            <v>0</v>
          </cell>
          <cell r="F1814">
            <v>1</v>
          </cell>
          <cell r="H1814">
            <v>0</v>
          </cell>
          <cell r="O1814">
            <v>342293</v>
          </cell>
          <cell r="P1814" t="str">
            <v>2022/217-0001-01</v>
          </cell>
          <cell r="Q1814" t="str">
            <v>EST TAPETE MATISSE STRIPES FLAME (10MM) F:918/D:1057</v>
          </cell>
          <cell r="R1814"/>
          <cell r="S1814"/>
          <cell r="T1814">
            <v>5.5</v>
          </cell>
          <cell r="U1814">
            <v>3</v>
          </cell>
          <cell r="V1814">
            <v>0.01</v>
          </cell>
          <cell r="W1814">
            <v>0</v>
          </cell>
          <cell r="X1814" t="str">
            <v>EST TAPETE MATISSE STRIPES FLAME (10MM) F:918/D:1057 - 5,5x3x0,01H</v>
          </cell>
          <cell r="Y1814">
            <v>60318.719999999994</v>
          </cell>
          <cell r="Z1814">
            <v>0.5</v>
          </cell>
          <cell r="AA1814">
            <v>30159.359999999997</v>
          </cell>
          <cell r="AB1814"/>
        </row>
        <row r="1815">
          <cell r="C1815">
            <v>2</v>
          </cell>
          <cell r="D1815">
            <v>0</v>
          </cell>
          <cell r="E1815">
            <v>0</v>
          </cell>
          <cell r="F1815">
            <v>2</v>
          </cell>
          <cell r="H1815">
            <v>0</v>
          </cell>
          <cell r="O1815">
            <v>362424</v>
          </cell>
          <cell r="P1815" t="str">
            <v>2023/082-0009-01</v>
          </cell>
          <cell r="Q1815" t="str">
            <v>EST POLTRONA BUBA (TC CURATOR 112125 COR 884)</v>
          </cell>
          <cell r="R1815"/>
          <cell r="S1815"/>
          <cell r="T1815">
            <v>1.05</v>
          </cell>
          <cell r="U1815">
            <v>1</v>
          </cell>
          <cell r="V1815">
            <v>0.74</v>
          </cell>
          <cell r="W1815">
            <v>0</v>
          </cell>
          <cell r="X1815" t="str">
            <v>EST POLTRONA BUBA (TC CURATOR 112125 COR 884) - 1,05x1x0,74H</v>
          </cell>
          <cell r="Y1815">
            <v>29586.37</v>
          </cell>
          <cell r="Z1815">
            <v>0.35</v>
          </cell>
          <cell r="AA1815">
            <v>19231.140500000001</v>
          </cell>
          <cell r="AB1815"/>
        </row>
        <row r="1816">
          <cell r="C1816">
            <v>2</v>
          </cell>
          <cell r="D1816">
            <v>0</v>
          </cell>
          <cell r="E1816">
            <v>0</v>
          </cell>
          <cell r="F1816">
            <v>2</v>
          </cell>
          <cell r="H1816">
            <v>0</v>
          </cell>
          <cell r="O1816">
            <v>362424</v>
          </cell>
          <cell r="P1816" t="str">
            <v>2023/082-0010-01</v>
          </cell>
          <cell r="Q1816" t="str">
            <v>EST POLTRONA BUBA (TC CURATOR 112125 COR 884)</v>
          </cell>
          <cell r="R1816"/>
          <cell r="S1816"/>
          <cell r="T1816">
            <v>1.05</v>
          </cell>
          <cell r="U1816">
            <v>1</v>
          </cell>
          <cell r="V1816">
            <v>0.74</v>
          </cell>
          <cell r="W1816">
            <v>0</v>
          </cell>
          <cell r="X1816" t="str">
            <v>EST POLTRONA BUBA (TC CURATOR 112125 COR 884) - 1,05x1x0,74H</v>
          </cell>
          <cell r="Y1816">
            <v>29586.37</v>
          </cell>
          <cell r="Z1816">
            <v>0.35</v>
          </cell>
          <cell r="AA1816">
            <v>19231.140500000001</v>
          </cell>
          <cell r="AB1816"/>
        </row>
        <row r="1817">
          <cell r="C1817">
            <v>0</v>
          </cell>
          <cell r="D1817">
            <v>0</v>
          </cell>
          <cell r="E1817">
            <v>1</v>
          </cell>
          <cell r="F1817">
            <v>1</v>
          </cell>
          <cell r="H1817">
            <v>0</v>
          </cell>
          <cell r="O1817">
            <v>364309</v>
          </cell>
          <cell r="P1817" t="str">
            <v>2023/152-0043-01</v>
          </cell>
          <cell r="Q1817" t="str">
            <v>EST CADEIRA CACAU C/BRACO (NOGAL) (LATAO) TC 1000 - 1316</v>
          </cell>
          <cell r="R1817"/>
          <cell r="S1817"/>
          <cell r="T1817">
            <v>0.61</v>
          </cell>
          <cell r="U1817">
            <v>0.61</v>
          </cell>
          <cell r="V1817">
            <v>0.84</v>
          </cell>
          <cell r="W1817">
            <v>0</v>
          </cell>
          <cell r="X1817" t="str">
            <v>EST CADEIRA CACAU C/BRACO (NOGAL) (LATAO) TC 1000 - 1316 - 0,61x0,61x0,84H</v>
          </cell>
          <cell r="Y1817">
            <v>6616.15</v>
          </cell>
          <cell r="Z1817">
            <v>0.35</v>
          </cell>
          <cell r="AA1817">
            <v>4300.4974999999995</v>
          </cell>
          <cell r="AB1817"/>
        </row>
        <row r="1818">
          <cell r="C1818">
            <v>0</v>
          </cell>
          <cell r="D1818">
            <v>0</v>
          </cell>
          <cell r="E1818">
            <v>0</v>
          </cell>
          <cell r="F1818">
            <v>2</v>
          </cell>
          <cell r="H1818">
            <v>0</v>
          </cell>
          <cell r="O1818">
            <v>379850</v>
          </cell>
          <cell r="P1818" t="str">
            <v>2024/099-0045-01</v>
          </cell>
          <cell r="Q1818" t="str">
            <v>EST POLTRONA AGHATA PLUS (GIRATORIA) (MTX PRETO) FX B2312</v>
          </cell>
          <cell r="R1818"/>
          <cell r="S1818"/>
          <cell r="T1818">
            <v>0.68</v>
          </cell>
          <cell r="U1818">
            <v>0.8</v>
          </cell>
          <cell r="V1818">
            <v>0.76</v>
          </cell>
          <cell r="W1818">
            <v>0</v>
          </cell>
          <cell r="X1818" t="str">
            <v>EST POLTRONA AGHATA PLUS (GIRATORIA) (MTX PRETO) FX B2312 - 0,68x0,8x0,76H</v>
          </cell>
          <cell r="Y1818">
            <v>9627.9699999999993</v>
          </cell>
          <cell r="Z1818">
            <v>0.35</v>
          </cell>
          <cell r="AA1818">
            <v>6258.1805000000004</v>
          </cell>
          <cell r="AB1818"/>
        </row>
        <row r="1819">
          <cell r="C1819">
            <v>0</v>
          </cell>
          <cell r="D1819">
            <v>0</v>
          </cell>
          <cell r="E1819">
            <v>0</v>
          </cell>
          <cell r="F1819">
            <v>2</v>
          </cell>
          <cell r="H1819">
            <v>0</v>
          </cell>
          <cell r="O1819">
            <v>379850</v>
          </cell>
          <cell r="P1819" t="str">
            <v>2024/099-0046-01</v>
          </cell>
          <cell r="Q1819" t="str">
            <v>EST POLTRONA AGHATA PLUS (GIRATORIA) (MTX PRETO) FX B2312</v>
          </cell>
          <cell r="R1819"/>
          <cell r="S1819"/>
          <cell r="T1819">
            <v>0.68</v>
          </cell>
          <cell r="U1819">
            <v>0.8</v>
          </cell>
          <cell r="V1819">
            <v>0.76</v>
          </cell>
          <cell r="W1819">
            <v>0</v>
          </cell>
          <cell r="X1819" t="str">
            <v>EST POLTRONA AGHATA PLUS (GIRATORIA) (MTX PRETO) FX B2312 - 0,68x0,8x0,76H</v>
          </cell>
          <cell r="Y1819">
            <v>9627.9699999999993</v>
          </cell>
          <cell r="Z1819">
            <v>0.35</v>
          </cell>
          <cell r="AA1819">
            <v>6258.1805000000004</v>
          </cell>
          <cell r="AB1819"/>
        </row>
        <row r="1820">
          <cell r="C1820">
            <v>1</v>
          </cell>
          <cell r="D1820">
            <v>1</v>
          </cell>
          <cell r="E1820">
            <v>1</v>
          </cell>
          <cell r="F1820">
            <v>1</v>
          </cell>
          <cell r="H1820">
            <v>0</v>
          </cell>
          <cell r="O1820">
            <v>379914</v>
          </cell>
          <cell r="P1820" t="str">
            <v>2024/081-0052-01</v>
          </cell>
          <cell r="Q1820" t="str">
            <v>EST BANQUETA BAR YASMIM (TELA NOG) (AMENDOA) TC 2000 - 2335</v>
          </cell>
          <cell r="R1820"/>
          <cell r="S1820"/>
          <cell r="T1820">
            <v>0.45</v>
          </cell>
          <cell r="U1820">
            <v>0.52</v>
          </cell>
          <cell r="V1820">
            <v>0.95</v>
          </cell>
          <cell r="W1820">
            <v>0</v>
          </cell>
          <cell r="X1820" t="str">
            <v>EST BANQUETA BAR YASMIM (TELA NOG) (AMENDOA) TC 2000 - 2335 - 0,45x0,52x0,95H</v>
          </cell>
          <cell r="Y1820">
            <v>4738.72</v>
          </cell>
          <cell r="Z1820">
            <v>0.35</v>
          </cell>
          <cell r="AA1820">
            <v>3080.1680000000006</v>
          </cell>
          <cell r="AB1820"/>
        </row>
        <row r="1821">
          <cell r="C1821">
            <v>0</v>
          </cell>
          <cell r="D1821">
            <v>0</v>
          </cell>
          <cell r="E1821">
            <v>0</v>
          </cell>
          <cell r="F1821">
            <v>2</v>
          </cell>
          <cell r="H1821">
            <v>0</v>
          </cell>
          <cell r="O1821">
            <v>387676</v>
          </cell>
          <cell r="P1821" t="str">
            <v>2024/206-0089-01</v>
          </cell>
          <cell r="Q1821" t="str">
            <v>EST POLTRONA ANGELINA (DAMASCO) TC 1000- 1381</v>
          </cell>
          <cell r="R1821"/>
          <cell r="S1821"/>
          <cell r="T1821">
            <v>0.79</v>
          </cell>
          <cell r="U1821">
            <v>0.57999999999999996</v>
          </cell>
          <cell r="V1821">
            <v>0.79</v>
          </cell>
          <cell r="W1821">
            <v>0</v>
          </cell>
          <cell r="X1821" t="str">
            <v>EST POLTRONA ANGELINA (DAMASCO) TC 1000- 1381 - 0,79x0,58x0,79H</v>
          </cell>
          <cell r="Y1821">
            <v>14842.02</v>
          </cell>
          <cell r="Z1821">
            <v>0.35</v>
          </cell>
          <cell r="AA1821">
            <v>9647.3130000000019</v>
          </cell>
          <cell r="AB1821"/>
        </row>
        <row r="1822">
          <cell r="C1822">
            <v>0</v>
          </cell>
          <cell r="D1822">
            <v>0</v>
          </cell>
          <cell r="E1822">
            <v>0</v>
          </cell>
          <cell r="F1822">
            <v>2</v>
          </cell>
          <cell r="H1822">
            <v>0</v>
          </cell>
          <cell r="O1822">
            <v>387676</v>
          </cell>
          <cell r="P1822" t="str">
            <v>2024/206-0090-01</v>
          </cell>
          <cell r="Q1822" t="str">
            <v>EST POLTRONA ANGELINA (DAMASCO) TC 1000- 1381</v>
          </cell>
          <cell r="R1822"/>
          <cell r="S1822"/>
          <cell r="T1822">
            <v>0.79</v>
          </cell>
          <cell r="U1822">
            <v>0.57999999999999996</v>
          </cell>
          <cell r="V1822">
            <v>0.79</v>
          </cell>
          <cell r="W1822">
            <v>0</v>
          </cell>
          <cell r="X1822" t="str">
            <v>EST POLTRONA ANGELINA (DAMASCO) TC 1000- 1381 - 0,79x0,58x0,79H</v>
          </cell>
          <cell r="Y1822">
            <v>14842.02</v>
          </cell>
          <cell r="Z1822">
            <v>0.35</v>
          </cell>
          <cell r="AA1822">
            <v>9647.3130000000019</v>
          </cell>
          <cell r="AB1822"/>
        </row>
        <row r="1823">
          <cell r="C1823">
            <v>0</v>
          </cell>
          <cell r="D1823">
            <v>0</v>
          </cell>
          <cell r="E1823">
            <v>0</v>
          </cell>
          <cell r="F1823">
            <v>1</v>
          </cell>
          <cell r="H1823">
            <v>0</v>
          </cell>
          <cell r="O1823">
            <v>390012</v>
          </cell>
          <cell r="P1823" t="str">
            <v>2024/267-0062-01</v>
          </cell>
          <cell r="Q1823" t="str">
            <v>EST SOFA DUNAS BAX (FIBRA) (ENC DIR)TC VELUDO LUSSO 731</v>
          </cell>
          <cell r="R1823"/>
          <cell r="S1823"/>
          <cell r="T1823">
            <v>2.9</v>
          </cell>
          <cell r="U1823">
            <v>1.57</v>
          </cell>
          <cell r="V1823">
            <v>0.64</v>
          </cell>
          <cell r="W1823">
            <v>0</v>
          </cell>
          <cell r="X1823" t="str">
            <v>EST SOFA DUNAS BAX (FIBRA) (ENC DIR)TC VELUDO LUSSO 731 - 2,9x1,57x0,64H</v>
          </cell>
          <cell r="Y1823">
            <v>69547.98</v>
          </cell>
          <cell r="Z1823">
            <v>0.35</v>
          </cell>
          <cell r="AA1823">
            <v>45206.186999999998</v>
          </cell>
          <cell r="AB1823"/>
        </row>
        <row r="1824">
          <cell r="C1824">
            <v>0</v>
          </cell>
          <cell r="D1824">
            <v>0</v>
          </cell>
          <cell r="E1824">
            <v>0</v>
          </cell>
          <cell r="F1824">
            <v>1</v>
          </cell>
          <cell r="H1824">
            <v>0</v>
          </cell>
          <cell r="O1824">
            <v>394988</v>
          </cell>
          <cell r="P1824" t="str">
            <v>2024/352-0064-01</v>
          </cell>
          <cell r="Q1824" t="str">
            <v>EST BUFFET ROUND (TP MARM 1 ARMANI) (WALNUT)</v>
          </cell>
          <cell r="R1824"/>
          <cell r="S1824"/>
          <cell r="T1824">
            <v>2.4</v>
          </cell>
          <cell r="U1824">
            <v>0.5</v>
          </cell>
          <cell r="V1824">
            <v>0.83</v>
          </cell>
          <cell r="W1824">
            <v>0</v>
          </cell>
          <cell r="X1824" t="str">
            <v>EST BUFFET ROUND (TP MARM 1 ARMANI) (WALNUT) - 2,4x0,5x0,83H</v>
          </cell>
          <cell r="Y1824">
            <v>56708.47</v>
          </cell>
          <cell r="Z1824">
            <v>0.35</v>
          </cell>
          <cell r="AA1824">
            <v>36860.505499999999</v>
          </cell>
          <cell r="AB1824"/>
        </row>
        <row r="1825">
          <cell r="C1825">
            <v>0</v>
          </cell>
          <cell r="D1825">
            <v>0</v>
          </cell>
          <cell r="E1825">
            <v>0</v>
          </cell>
          <cell r="F1825">
            <v>1</v>
          </cell>
          <cell r="H1825">
            <v>0</v>
          </cell>
          <cell r="O1825">
            <v>402600</v>
          </cell>
          <cell r="P1825" t="str">
            <v>2025/177-0012-01</v>
          </cell>
          <cell r="Q1825" t="str">
            <v>EST BUFFET HIMALAYA (CLAS) (MAR 2 NEW ROME) (WALNUT) C/GAV</v>
          </cell>
          <cell r="R1825"/>
          <cell r="S1825"/>
          <cell r="T1825">
            <v>2</v>
          </cell>
          <cell r="U1825">
            <v>0.45</v>
          </cell>
          <cell r="V1825">
            <v>0.75</v>
          </cell>
          <cell r="W1825">
            <v>0</v>
          </cell>
          <cell r="X1825" t="str">
            <v>EST BUFFET HIMALAYA (CLAS) (MAR 2 NEW ROME) (WALNUT) C/GAV - 2x0,45x0,75H</v>
          </cell>
          <cell r="Y1825">
            <v>45131.65</v>
          </cell>
          <cell r="Z1825">
            <v>0.35</v>
          </cell>
          <cell r="AA1825">
            <v>29335.572500000002</v>
          </cell>
          <cell r="AB1825"/>
        </row>
        <row r="1826">
          <cell r="C1826">
            <v>0</v>
          </cell>
          <cell r="D1826">
            <v>0</v>
          </cell>
          <cell r="E1826">
            <v>0</v>
          </cell>
          <cell r="F1826">
            <v>1</v>
          </cell>
          <cell r="H1826">
            <v>0</v>
          </cell>
          <cell r="O1826">
            <v>402764</v>
          </cell>
          <cell r="P1826" t="str">
            <v>2025/112-0026-01</v>
          </cell>
          <cell r="Q1826" t="str">
            <v>EST MESA JANTAR AURORA (TPO TAJ MAHAL) BS LAMINA NOG</v>
          </cell>
          <cell r="R1826"/>
          <cell r="S1826"/>
          <cell r="T1826">
            <v>3</v>
          </cell>
          <cell r="U1826">
            <v>1.2</v>
          </cell>
          <cell r="V1826">
            <v>0.75</v>
          </cell>
          <cell r="W1826">
            <v>0</v>
          </cell>
          <cell r="X1826" t="str">
            <v>EST MESA JANTAR AURORA (TPO TAJ MAHAL) BS LAMINA NOG - 3x1,2x0,75H</v>
          </cell>
          <cell r="Y1826">
            <v>84960.689000000013</v>
          </cell>
          <cell r="Z1826">
            <v>0.35</v>
          </cell>
          <cell r="AA1826">
            <v>55224.447850000011</v>
          </cell>
          <cell r="AB1826"/>
        </row>
        <row r="1827">
          <cell r="C1827">
            <v>1</v>
          </cell>
          <cell r="D1827">
            <v>0</v>
          </cell>
          <cell r="E1827">
            <v>0</v>
          </cell>
          <cell r="F1827">
            <v>1</v>
          </cell>
          <cell r="H1827">
            <v>0</v>
          </cell>
          <cell r="O1827">
            <v>405723</v>
          </cell>
          <cell r="P1827" t="str">
            <v>2025/154-0098-01</v>
          </cell>
          <cell r="Q1827" t="str">
            <v>EST MESA CENTRO GROTA (TAMPO LISO) WALNUT MATT</v>
          </cell>
          <cell r="R1827"/>
          <cell r="S1827"/>
          <cell r="T1827">
            <v>1.82</v>
          </cell>
          <cell r="U1827">
            <v>0.72</v>
          </cell>
          <cell r="V1827">
            <v>0.18</v>
          </cell>
          <cell r="W1827">
            <v>0</v>
          </cell>
          <cell r="X1827" t="str">
            <v>EST MESA CENTRO GROTA (TAMPO LISO) WALNUT MATT - 1,82x0,72x0,18H</v>
          </cell>
          <cell r="Y1827">
            <v>13625.88</v>
          </cell>
          <cell r="Z1827">
            <v>0.35</v>
          </cell>
          <cell r="AA1827">
            <v>8856.8220000000001</v>
          </cell>
          <cell r="AB1827"/>
        </row>
        <row r="1828">
          <cell r="C1828">
            <v>0</v>
          </cell>
          <cell r="D1828">
            <v>0</v>
          </cell>
          <cell r="E1828">
            <v>1</v>
          </cell>
          <cell r="F1828">
            <v>2</v>
          </cell>
          <cell r="H1828">
            <v>0</v>
          </cell>
          <cell r="O1828">
            <v>409982</v>
          </cell>
          <cell r="P1828" t="str">
            <v>2025/261-0021-01</v>
          </cell>
          <cell r="Q1828" t="str">
            <v>EST MESA LATERAL PIN (WALNUT MATT) (DET PINT CORTEN)</v>
          </cell>
          <cell r="R1828"/>
          <cell r="S1828"/>
          <cell r="T1828">
            <v>0.35</v>
          </cell>
          <cell r="U1828">
            <v>0</v>
          </cell>
          <cell r="V1828">
            <v>0.52</v>
          </cell>
          <cell r="W1828">
            <v>0.35</v>
          </cell>
          <cell r="X1828" t="str">
            <v>EST MESA LATERAL PIN (WALNUT MATT) (DET PINT CORTEN) - Ø0,35x0,52H</v>
          </cell>
          <cell r="Y1828">
            <v>5384.51</v>
          </cell>
          <cell r="Z1828">
            <v>0.35</v>
          </cell>
          <cell r="AA1828">
            <v>3499.9315000000006</v>
          </cell>
          <cell r="AB1828"/>
        </row>
        <row r="1829">
          <cell r="C1829">
            <v>0</v>
          </cell>
          <cell r="D1829">
            <v>0</v>
          </cell>
          <cell r="E1829">
            <v>1</v>
          </cell>
          <cell r="F1829">
            <v>2</v>
          </cell>
          <cell r="H1829">
            <v>0</v>
          </cell>
          <cell r="O1829">
            <v>409982</v>
          </cell>
          <cell r="P1829" t="str">
            <v>2025/261-0023-01</v>
          </cell>
          <cell r="Q1829" t="str">
            <v>EST MESA LATERAL PIN (WALNUT MATT) (DET PINT CORTEN)</v>
          </cell>
          <cell r="R1829"/>
          <cell r="S1829"/>
          <cell r="T1829">
            <v>0.35</v>
          </cell>
          <cell r="U1829">
            <v>0</v>
          </cell>
          <cell r="V1829">
            <v>0.52</v>
          </cell>
          <cell r="W1829">
            <v>0.35</v>
          </cell>
          <cell r="X1829" t="str">
            <v>EST MESA LATERAL PIN (WALNUT MATT) (DET PINT CORTEN) - Ø0,35x0,52H</v>
          </cell>
          <cell r="Y1829">
            <v>5384.51</v>
          </cell>
          <cell r="Z1829">
            <v>0.35</v>
          </cell>
          <cell r="AA1829">
            <v>3499.9315000000006</v>
          </cell>
          <cell r="AB1829"/>
        </row>
        <row r="1830">
          <cell r="C1830">
            <v>0</v>
          </cell>
          <cell r="D1830">
            <v>1</v>
          </cell>
          <cell r="E1830">
            <v>1</v>
          </cell>
          <cell r="F1830">
            <v>0</v>
          </cell>
          <cell r="H1830">
            <v>0</v>
          </cell>
          <cell r="O1830">
            <v>253724</v>
          </cell>
          <cell r="P1830" t="str">
            <v>2019/333-0031-01</v>
          </cell>
          <cell r="Q1830" t="str">
            <v>EST ESPELHO NEO (ESP BRONZE) (BORDA LC FOSCA ONIX)</v>
          </cell>
          <cell r="R1830"/>
          <cell r="S1830"/>
          <cell r="T1830">
            <v>2</v>
          </cell>
          <cell r="U1830">
            <v>1.2</v>
          </cell>
          <cell r="V1830">
            <v>0.05</v>
          </cell>
          <cell r="W1830">
            <v>0</v>
          </cell>
          <cell r="X1830" t="str">
            <v>EST ESPELHO NEO (ESP BRONZE) (BORDA LC FOSCA ONIX) - 2x1,2x0,05H</v>
          </cell>
          <cell r="Y1830">
            <v>19772.48</v>
          </cell>
          <cell r="Z1830">
            <v>0.35</v>
          </cell>
          <cell r="AA1830">
            <v>12852.112000000001</v>
          </cell>
          <cell r="AB1830"/>
        </row>
        <row r="1831">
          <cell r="C1831">
            <v>0</v>
          </cell>
          <cell r="D1831">
            <v>1</v>
          </cell>
          <cell r="E1831">
            <v>1</v>
          </cell>
          <cell r="F1831">
            <v>0</v>
          </cell>
          <cell r="H1831">
            <v>0</v>
          </cell>
          <cell r="O1831">
            <v>253724</v>
          </cell>
          <cell r="P1831" t="str">
            <v>2019/323-0009-01</v>
          </cell>
          <cell r="Q1831" t="str">
            <v>EST ESPELHO NEO (ESP BRONZE) (BORDA LC FOSCA ONIX)</v>
          </cell>
          <cell r="R1831"/>
          <cell r="S1831"/>
          <cell r="T1831">
            <v>2</v>
          </cell>
          <cell r="U1831">
            <v>1.2</v>
          </cell>
          <cell r="V1831">
            <v>0.05</v>
          </cell>
          <cell r="W1831">
            <v>0</v>
          </cell>
          <cell r="X1831" t="str">
            <v>EST ESPELHO NEO (ESP BRONZE) (BORDA LC FOSCA ONIX) - 2x1,2x0,05H</v>
          </cell>
          <cell r="Y1831">
            <v>19772.48</v>
          </cell>
          <cell r="Z1831">
            <v>0.35</v>
          </cell>
          <cell r="AA1831">
            <v>12852.112000000001</v>
          </cell>
          <cell r="AB1831"/>
        </row>
        <row r="1832">
          <cell r="C1832">
            <v>0</v>
          </cell>
          <cell r="D1832">
            <v>1</v>
          </cell>
          <cell r="E1832">
            <v>0</v>
          </cell>
          <cell r="F1832">
            <v>0</v>
          </cell>
          <cell r="H1832">
            <v>0</v>
          </cell>
          <cell r="O1832">
            <v>353805</v>
          </cell>
          <cell r="P1832" t="str">
            <v>2022/272-0003-01</v>
          </cell>
          <cell r="Q1832" t="str">
            <v>EST ESPELHO NEO (ESP PRATA) (BORDA LC FOSCA ONIX)</v>
          </cell>
          <cell r="R1832"/>
          <cell r="S1832"/>
          <cell r="T1832">
            <v>2.2000000000000002</v>
          </cell>
          <cell r="U1832">
            <v>1.2</v>
          </cell>
          <cell r="V1832">
            <v>0.05</v>
          </cell>
          <cell r="W1832">
            <v>0</v>
          </cell>
          <cell r="X1832" t="str">
            <v>EST ESPELHO NEO (ESP PRATA) (BORDA LC FOSCA ONIX) - 2,2x1,2x0,05H</v>
          </cell>
          <cell r="Y1832">
            <v>17078.21</v>
          </cell>
          <cell r="Z1832">
            <v>0.35</v>
          </cell>
          <cell r="AA1832">
            <v>11100.836499999999</v>
          </cell>
          <cell r="AB1832"/>
        </row>
        <row r="1833">
          <cell r="C1833">
            <v>1</v>
          </cell>
          <cell r="D1833">
            <v>1</v>
          </cell>
          <cell r="E1833">
            <v>0</v>
          </cell>
          <cell r="F1833">
            <v>0</v>
          </cell>
          <cell r="H1833">
            <v>0</v>
          </cell>
          <cell r="O1833">
            <v>361513</v>
          </cell>
          <cell r="P1833" t="str">
            <v>2025/042-0004-01</v>
          </cell>
          <cell r="Q1833" t="str">
            <v>EST ESPELHO STONE (COM MOLDURA CINZA) (MOD 02) ESP FUME</v>
          </cell>
          <cell r="R1833"/>
          <cell r="S1833"/>
          <cell r="T1833">
            <v>1.35</v>
          </cell>
          <cell r="U1833">
            <v>1.1599999999999999</v>
          </cell>
          <cell r="V1833">
            <v>0.05</v>
          </cell>
          <cell r="W1833">
            <v>0</v>
          </cell>
          <cell r="X1833" t="str">
            <v>EST ESPELHO STONE (COM MOLDURA CINZA) (MOD 02) ESP FUME - 1,35x1,16x0,05H</v>
          </cell>
          <cell r="Y1833">
            <v>15600.7</v>
          </cell>
          <cell r="Z1833">
            <v>0.35</v>
          </cell>
          <cell r="AA1833">
            <v>10140.455000000002</v>
          </cell>
          <cell r="AB1833"/>
        </row>
        <row r="1834">
          <cell r="C1834">
            <v>1</v>
          </cell>
          <cell r="D1834">
            <v>1</v>
          </cell>
          <cell r="E1834">
            <v>0</v>
          </cell>
          <cell r="F1834">
            <v>0</v>
          </cell>
          <cell r="H1834">
            <v>0</v>
          </cell>
          <cell r="O1834">
            <v>361515</v>
          </cell>
          <cell r="P1834" t="str">
            <v>2025/042-0006-01</v>
          </cell>
          <cell r="Q1834" t="str">
            <v>EST ESPELHO STONE (COM MOLDURA CINZA) (MOD 04) ESP FUME</v>
          </cell>
          <cell r="R1834"/>
          <cell r="S1834"/>
          <cell r="T1834">
            <v>1.1399999999999999</v>
          </cell>
          <cell r="U1834">
            <v>0.84</v>
          </cell>
          <cell r="V1834">
            <v>0.05</v>
          </cell>
          <cell r="W1834">
            <v>0</v>
          </cell>
          <cell r="X1834" t="str">
            <v>EST ESPELHO STONE (COM MOLDURA CINZA) (MOD 04) ESP FUME - 1,14x0,84x0,05H</v>
          </cell>
          <cell r="Y1834">
            <v>10516.35</v>
          </cell>
          <cell r="Z1834">
            <v>0.35</v>
          </cell>
          <cell r="AA1834">
            <v>6835.6275000000005</v>
          </cell>
          <cell r="AB1834"/>
        </row>
        <row r="1835">
          <cell r="C1835">
            <v>0</v>
          </cell>
          <cell r="D1835">
            <v>1</v>
          </cell>
          <cell r="E1835">
            <v>0</v>
          </cell>
          <cell r="F1835">
            <v>0</v>
          </cell>
          <cell r="H1835">
            <v>0</v>
          </cell>
          <cell r="O1835">
            <v>390158</v>
          </cell>
          <cell r="P1835" t="str">
            <v>2024/243-0029-01</v>
          </cell>
          <cell r="Q1835" t="str">
            <v>EST ESPELHO STONE (MOLDURA CINZA) (MOD 01) (ESPELHO FUME)</v>
          </cell>
          <cell r="R1835"/>
          <cell r="S1835"/>
          <cell r="T1835">
            <v>1.58</v>
          </cell>
          <cell r="U1835">
            <v>0.48</v>
          </cell>
          <cell r="V1835">
            <v>0.05</v>
          </cell>
          <cell r="W1835">
            <v>0</v>
          </cell>
          <cell r="X1835" t="str">
            <v>EST ESPELHO STONE (MOLDURA CINZA) (MOD 01) (ESPELHO FUME) - 1,58x0,48x0,05H</v>
          </cell>
          <cell r="Y1835">
            <v>8560.83</v>
          </cell>
          <cell r="Z1835">
            <v>0.35</v>
          </cell>
          <cell r="AA1835">
            <v>5564.5395000000008</v>
          </cell>
          <cell r="AB1835"/>
        </row>
        <row r="1836">
          <cell r="C1836">
            <v>0</v>
          </cell>
          <cell r="D1836">
            <v>1</v>
          </cell>
          <cell r="E1836">
            <v>0</v>
          </cell>
          <cell r="F1836">
            <v>0</v>
          </cell>
          <cell r="H1836">
            <v>0</v>
          </cell>
          <cell r="O1836">
            <v>390159</v>
          </cell>
          <cell r="P1836" t="str">
            <v>2024/243-0030-01</v>
          </cell>
          <cell r="Q1836" t="str">
            <v>EST ESPELHO STONE (MOLDURA CINZA) (MOD 02) (ESPELHO FUME)</v>
          </cell>
          <cell r="R1836"/>
          <cell r="S1836"/>
          <cell r="T1836">
            <v>1.35</v>
          </cell>
          <cell r="U1836">
            <v>1.1599999999999999</v>
          </cell>
          <cell r="V1836">
            <v>0.05</v>
          </cell>
          <cell r="W1836">
            <v>0</v>
          </cell>
          <cell r="X1836" t="str">
            <v>EST ESPELHO STONE (MOLDURA CINZA) (MOD 02) (ESPELHO FUME) - 1,35x1,16x0,05H</v>
          </cell>
          <cell r="Y1836">
            <v>15600.7</v>
          </cell>
          <cell r="Z1836">
            <v>0.35</v>
          </cell>
          <cell r="AA1836">
            <v>10140.455000000002</v>
          </cell>
          <cell r="AB1836"/>
        </row>
        <row r="1837">
          <cell r="C1837">
            <v>0</v>
          </cell>
          <cell r="D1837">
            <v>1</v>
          </cell>
          <cell r="E1837">
            <v>0</v>
          </cell>
          <cell r="F1837">
            <v>0</v>
          </cell>
          <cell r="H1837">
            <v>0</v>
          </cell>
          <cell r="O1837">
            <v>390160</v>
          </cell>
          <cell r="P1837" t="str">
            <v>2024/243-0031-01</v>
          </cell>
          <cell r="Q1837" t="str">
            <v>EST ESPELHO STONE (MOLDURA CINZA) (MOD 03) (ESPELHO FUME)</v>
          </cell>
          <cell r="R1837"/>
          <cell r="S1837"/>
          <cell r="T1837">
            <v>0.41</v>
          </cell>
          <cell r="U1837">
            <v>0.24</v>
          </cell>
          <cell r="V1837">
            <v>0.05</v>
          </cell>
          <cell r="W1837">
            <v>0</v>
          </cell>
          <cell r="X1837" t="str">
            <v>EST ESPELHO STONE (MOLDURA CINZA) (MOD 03) (ESPELHO FUME) - 0,41x0,24x0,05H</v>
          </cell>
          <cell r="Y1837">
            <v>2815.95</v>
          </cell>
          <cell r="Z1837">
            <v>0.35</v>
          </cell>
          <cell r="AA1837">
            <v>1830.3674999999998</v>
          </cell>
          <cell r="AB1837"/>
        </row>
        <row r="1838">
          <cell r="C1838">
            <v>0</v>
          </cell>
          <cell r="D1838">
            <v>1</v>
          </cell>
          <cell r="E1838">
            <v>0</v>
          </cell>
          <cell r="F1838">
            <v>0</v>
          </cell>
          <cell r="H1838">
            <v>0</v>
          </cell>
          <cell r="O1838">
            <v>390161</v>
          </cell>
          <cell r="P1838" t="str">
            <v>2024/243-0032-01</v>
          </cell>
          <cell r="Q1838" t="str">
            <v>EST ESPELHO STONE (MOLDURA CINZA) (MOD 04) (ESPELHO FUME)</v>
          </cell>
          <cell r="R1838"/>
          <cell r="S1838"/>
          <cell r="T1838">
            <v>1.1399999999999999</v>
          </cell>
          <cell r="U1838">
            <v>0.84</v>
          </cell>
          <cell r="V1838">
            <v>0.05</v>
          </cell>
          <cell r="W1838">
            <v>0</v>
          </cell>
          <cell r="X1838" t="str">
            <v>EST ESPELHO STONE (MOLDURA CINZA) (MOD 04) (ESPELHO FUME) - 1,14x0,84x0,05H</v>
          </cell>
          <cell r="Y1838">
            <v>10516.35</v>
          </cell>
          <cell r="Z1838">
            <v>0.35</v>
          </cell>
          <cell r="AA1838">
            <v>6835.6275000000005</v>
          </cell>
          <cell r="AB1838"/>
        </row>
        <row r="1839">
          <cell r="C1839">
            <v>0</v>
          </cell>
          <cell r="D1839">
            <v>1</v>
          </cell>
          <cell r="E1839">
            <v>0</v>
          </cell>
          <cell r="F1839">
            <v>0</v>
          </cell>
          <cell r="H1839">
            <v>0</v>
          </cell>
          <cell r="O1839">
            <v>390162</v>
          </cell>
          <cell r="P1839" t="str">
            <v>2024/243-0033-01</v>
          </cell>
          <cell r="Q1839" t="str">
            <v>EST ESPELHO STONE (MOLDURA CINZA) (MOD 05) (ESPELHO FUME)</v>
          </cell>
          <cell r="R1839"/>
          <cell r="S1839"/>
          <cell r="T1839">
            <v>0.72</v>
          </cell>
          <cell r="U1839">
            <v>0.5</v>
          </cell>
          <cell r="V1839">
            <v>0.05</v>
          </cell>
          <cell r="W1839">
            <v>0</v>
          </cell>
          <cell r="X1839" t="str">
            <v>EST ESPELHO STONE (MOLDURA CINZA) (MOD 05) (ESPELHO FUME) - 0,72x0,5x0,05H</v>
          </cell>
          <cell r="Y1839">
            <v>5475.46</v>
          </cell>
          <cell r="Z1839">
            <v>0.35</v>
          </cell>
          <cell r="AA1839">
            <v>3559.049</v>
          </cell>
          <cell r="AB1839"/>
        </row>
        <row r="1840">
          <cell r="C1840">
            <v>0</v>
          </cell>
          <cell r="D1840">
            <v>2</v>
          </cell>
          <cell r="E1840">
            <v>0</v>
          </cell>
          <cell r="F1840">
            <v>0</v>
          </cell>
          <cell r="H1840">
            <v>0</v>
          </cell>
          <cell r="O1840">
            <v>394994</v>
          </cell>
          <cell r="P1840" t="str">
            <v>2025/014-0027-01</v>
          </cell>
          <cell r="Q1840" t="str">
            <v>EST CADEIRA DESIREE (GIR) (ENC FX F6232) (FX F6232)</v>
          </cell>
          <cell r="R1840"/>
          <cell r="S1840"/>
          <cell r="T1840">
            <v>0.66</v>
          </cell>
          <cell r="U1840">
            <v>0.62</v>
          </cell>
          <cell r="V1840">
            <v>0.81</v>
          </cell>
          <cell r="W1840">
            <v>0</v>
          </cell>
          <cell r="X1840" t="str">
            <v>EST CADEIRA DESIREE (GIR) (ENC FX F6232) (FX F6232) - 0,66x0,62x0,81H</v>
          </cell>
          <cell r="Y1840">
            <v>8594.48</v>
          </cell>
          <cell r="Z1840">
            <v>0.35</v>
          </cell>
          <cell r="AA1840">
            <v>5586.4120000000003</v>
          </cell>
          <cell r="AB1840"/>
        </row>
        <row r="1841">
          <cell r="C1841">
            <v>0</v>
          </cell>
          <cell r="D1841">
            <v>2</v>
          </cell>
          <cell r="E1841">
            <v>0</v>
          </cell>
          <cell r="F1841">
            <v>0</v>
          </cell>
          <cell r="H1841">
            <v>0</v>
          </cell>
          <cell r="O1841">
            <v>394994</v>
          </cell>
          <cell r="P1841" t="str">
            <v>2025/014-0028-01</v>
          </cell>
          <cell r="Q1841" t="str">
            <v>EST CADEIRA DESIREE (GIR) (ENC FX F6232) (FX F6232)</v>
          </cell>
          <cell r="R1841"/>
          <cell r="S1841"/>
          <cell r="T1841">
            <v>0.66</v>
          </cell>
          <cell r="U1841">
            <v>0.62</v>
          </cell>
          <cell r="V1841">
            <v>0.81</v>
          </cell>
          <cell r="W1841">
            <v>0</v>
          </cell>
          <cell r="X1841" t="str">
            <v>EST CADEIRA DESIREE (GIR) (ENC FX F6232) (FX F6232) - 0,66x0,62x0,81H</v>
          </cell>
          <cell r="Y1841">
            <v>8594.48</v>
          </cell>
          <cell r="Z1841">
            <v>0.35</v>
          </cell>
          <cell r="AA1841">
            <v>5586.4120000000003</v>
          </cell>
          <cell r="AB1841"/>
        </row>
        <row r="1842">
          <cell r="C1842">
            <v>1</v>
          </cell>
          <cell r="D1842">
            <v>0</v>
          </cell>
          <cell r="E1842">
            <v>0</v>
          </cell>
          <cell r="F1842">
            <v>0</v>
          </cell>
          <cell r="H1842">
            <v>0</v>
          </cell>
          <cell r="O1842">
            <v>353806</v>
          </cell>
          <cell r="P1842" t="str">
            <v>2022/287-0044-01</v>
          </cell>
          <cell r="Q1842" t="str">
            <v>EST ESPELHO NEO (ESP FUME) (BORDA LC FOSCA ONIX)</v>
          </cell>
          <cell r="R1842"/>
          <cell r="S1842"/>
          <cell r="T1842">
            <v>2.2000000000000002</v>
          </cell>
          <cell r="U1842">
            <v>1.2</v>
          </cell>
          <cell r="V1842">
            <v>0.05</v>
          </cell>
          <cell r="W1842">
            <v>0</v>
          </cell>
          <cell r="X1842" t="str">
            <v>EST ESPELHO NEO (ESP FUME) (BORDA LC FOSCA ONIX) - 2,2x1,2x0,05H</v>
          </cell>
          <cell r="Y1842">
            <v>24161.54</v>
          </cell>
          <cell r="Z1842">
            <v>0.5</v>
          </cell>
          <cell r="AA1842">
            <v>12080.77</v>
          </cell>
          <cell r="AB1842"/>
        </row>
        <row r="1843">
          <cell r="C1843">
            <v>1</v>
          </cell>
          <cell r="D1843">
            <v>0</v>
          </cell>
          <cell r="E1843">
            <v>0</v>
          </cell>
          <cell r="F1843">
            <v>0</v>
          </cell>
          <cell r="H1843">
            <v>0</v>
          </cell>
          <cell r="O1843">
            <v>353804</v>
          </cell>
          <cell r="P1843" t="str">
            <v>2022/272-0002-01</v>
          </cell>
          <cell r="Q1843" t="str">
            <v>EST ESPELHO NEO (ESP BRONZE) (BORDA LC FOSCA ONIX)</v>
          </cell>
          <cell r="R1843"/>
          <cell r="S1843"/>
          <cell r="T1843">
            <v>2.2000000000000002</v>
          </cell>
          <cell r="U1843">
            <v>1.2</v>
          </cell>
          <cell r="V1843">
            <v>0.05</v>
          </cell>
          <cell r="W1843">
            <v>0</v>
          </cell>
          <cell r="X1843" t="str">
            <v>EST ESPELHO NEO (ESP BRONZE) (BORDA LC FOSCA ONIX) - 2,2x1,2x0,05H</v>
          </cell>
          <cell r="Y1843">
            <v>24161.54</v>
          </cell>
          <cell r="Z1843">
            <v>0.35</v>
          </cell>
          <cell r="AA1843">
            <v>15705.001</v>
          </cell>
          <cell r="AB1843"/>
        </row>
        <row r="1844">
          <cell r="C1844">
            <v>1</v>
          </cell>
          <cell r="D1844">
            <v>0</v>
          </cell>
          <cell r="E1844">
            <v>0</v>
          </cell>
          <cell r="F1844">
            <v>0</v>
          </cell>
          <cell r="H1844">
            <v>0</v>
          </cell>
          <cell r="O1844">
            <v>361512</v>
          </cell>
          <cell r="P1844" t="str">
            <v>2025/041-0001-01</v>
          </cell>
          <cell r="Q1844" t="str">
            <v>EST ESPELHO STONE (COM MOLDURA CINZA) (MOD 01) ESP FUME</v>
          </cell>
          <cell r="R1844"/>
          <cell r="S1844"/>
          <cell r="T1844">
            <v>1.58</v>
          </cell>
          <cell r="U1844">
            <v>0.48</v>
          </cell>
          <cell r="V1844">
            <v>0.05</v>
          </cell>
          <cell r="W1844">
            <v>0</v>
          </cell>
          <cell r="X1844" t="str">
            <v>EST ESPELHO STONE (COM MOLDURA CINZA) (MOD 01) ESP FUME - 1,58x0,48x0,05H</v>
          </cell>
          <cell r="Y1844">
            <v>8560.83</v>
          </cell>
          <cell r="Z1844">
            <v>0.35</v>
          </cell>
          <cell r="AA1844">
            <v>5564.5395000000008</v>
          </cell>
          <cell r="AB1844"/>
        </row>
        <row r="1845">
          <cell r="C1845">
            <v>1</v>
          </cell>
          <cell r="D1845">
            <v>1</v>
          </cell>
          <cell r="E1845">
            <v>0</v>
          </cell>
          <cell r="F1845">
            <v>0</v>
          </cell>
          <cell r="H1845">
            <v>0</v>
          </cell>
          <cell r="O1845">
            <v>361513</v>
          </cell>
          <cell r="P1845" t="str">
            <v>2025/041-0002-01</v>
          </cell>
          <cell r="Q1845" t="str">
            <v>EST ESPELHO STONE (COM MOLDURA CINZA) (MOD 02) ESP FUME</v>
          </cell>
          <cell r="R1845"/>
          <cell r="S1845"/>
          <cell r="T1845">
            <v>1.35</v>
          </cell>
          <cell r="U1845">
            <v>1.1599999999999999</v>
          </cell>
          <cell r="V1845">
            <v>0.05</v>
          </cell>
          <cell r="W1845">
            <v>0</v>
          </cell>
          <cell r="X1845" t="str">
            <v>EST ESPELHO STONE (COM MOLDURA CINZA) (MOD 02) ESP FUME - 1,35x1,16x0,05H</v>
          </cell>
          <cell r="Y1845">
            <v>15600.7</v>
          </cell>
          <cell r="Z1845">
            <v>0.35</v>
          </cell>
          <cell r="AA1845">
            <v>10140.455000000002</v>
          </cell>
          <cell r="AB1845"/>
        </row>
        <row r="1846">
          <cell r="C1846">
            <v>1</v>
          </cell>
          <cell r="D1846">
            <v>0</v>
          </cell>
          <cell r="E1846">
            <v>0</v>
          </cell>
          <cell r="F1846">
            <v>0</v>
          </cell>
          <cell r="H1846">
            <v>0</v>
          </cell>
          <cell r="O1846">
            <v>361514</v>
          </cell>
          <cell r="P1846" t="str">
            <v>2025/041-0003-01</v>
          </cell>
          <cell r="Q1846" t="str">
            <v>EST ESPELHO STONE (COM MOLDURA CINZA) (MOD 03) ESP FUME</v>
          </cell>
          <cell r="R1846"/>
          <cell r="S1846"/>
          <cell r="T1846">
            <v>0.41</v>
          </cell>
          <cell r="U1846">
            <v>0.24</v>
          </cell>
          <cell r="V1846">
            <v>0.05</v>
          </cell>
          <cell r="W1846">
            <v>0</v>
          </cell>
          <cell r="X1846" t="str">
            <v>EST ESPELHO STONE (COM MOLDURA CINZA) (MOD 03) ESP FUME - 0,41x0,24x0,05H</v>
          </cell>
          <cell r="Y1846">
            <v>2815.95</v>
          </cell>
          <cell r="Z1846">
            <v>0.35</v>
          </cell>
          <cell r="AA1846">
            <v>1830.3674999999998</v>
          </cell>
          <cell r="AB1846"/>
        </row>
        <row r="1847">
          <cell r="C1847">
            <v>1</v>
          </cell>
          <cell r="D1847">
            <v>1</v>
          </cell>
          <cell r="E1847">
            <v>0</v>
          </cell>
          <cell r="F1847">
            <v>0</v>
          </cell>
          <cell r="H1847">
            <v>0</v>
          </cell>
          <cell r="O1847">
            <v>361515</v>
          </cell>
          <cell r="P1847" t="str">
            <v>2025/041-0004-01</v>
          </cell>
          <cell r="Q1847" t="str">
            <v>EST ESPELHO STONE (COM MOLDURA CINZA) (MOD 04) ESP FUME</v>
          </cell>
          <cell r="R1847"/>
          <cell r="S1847"/>
          <cell r="T1847">
            <v>1.1399999999999999</v>
          </cell>
          <cell r="U1847">
            <v>0.84</v>
          </cell>
          <cell r="V1847">
            <v>0.05</v>
          </cell>
          <cell r="W1847">
            <v>0</v>
          </cell>
          <cell r="X1847" t="str">
            <v>EST ESPELHO STONE (COM MOLDURA CINZA) (MOD 04) ESP FUME - 1,14x0,84x0,05H</v>
          </cell>
          <cell r="Y1847">
            <v>10516.35</v>
          </cell>
          <cell r="Z1847">
            <v>0.35</v>
          </cell>
          <cell r="AA1847">
            <v>6835.6275000000005</v>
          </cell>
          <cell r="AB1847"/>
        </row>
        <row r="1848">
          <cell r="C1848">
            <v>1</v>
          </cell>
          <cell r="D1848">
            <v>0</v>
          </cell>
          <cell r="E1848">
            <v>0</v>
          </cell>
          <cell r="F1848">
            <v>0</v>
          </cell>
          <cell r="H1848">
            <v>0</v>
          </cell>
          <cell r="O1848">
            <v>361516</v>
          </cell>
          <cell r="P1848" t="str">
            <v>2025/041-0005-01</v>
          </cell>
          <cell r="Q1848" t="str">
            <v>EST ESPELHO STONE (COM MOLDURA CINZA) (MOD 05) ESP FUME</v>
          </cell>
          <cell r="R1848"/>
          <cell r="S1848"/>
          <cell r="T1848">
            <v>0.72</v>
          </cell>
          <cell r="U1848">
            <v>0.5</v>
          </cell>
          <cell r="V1848">
            <v>0.05</v>
          </cell>
          <cell r="W1848">
            <v>0</v>
          </cell>
          <cell r="X1848" t="str">
            <v>EST ESPELHO STONE (COM MOLDURA CINZA) (MOD 05) ESP FUME - 0,72x0,5x0,05H</v>
          </cell>
          <cell r="Y1848">
            <v>5475.46</v>
          </cell>
          <cell r="Z1848">
            <v>0.35</v>
          </cell>
          <cell r="AA1848">
            <v>3559.049</v>
          </cell>
          <cell r="AB1848"/>
        </row>
        <row r="1849">
          <cell r="C1849">
            <v>0</v>
          </cell>
          <cell r="D1849">
            <v>0</v>
          </cell>
          <cell r="E1849">
            <v>1</v>
          </cell>
          <cell r="F1849">
            <v>0</v>
          </cell>
          <cell r="H1849">
            <v>0</v>
          </cell>
          <cell r="O1849">
            <v>275028</v>
          </cell>
          <cell r="P1849" t="str">
            <v>2021/165-0096-01</v>
          </cell>
          <cell r="Q1849" t="str">
            <v>EST MESA LATERAL KEW (TP LAMINADO NOGUEIRA/PES MTX CORTEN)</v>
          </cell>
          <cell r="R1849"/>
          <cell r="S1849"/>
          <cell r="T1849">
            <v>0.57999999999999996</v>
          </cell>
          <cell r="U1849">
            <v>0.6</v>
          </cell>
          <cell r="V1849">
            <v>0.49</v>
          </cell>
          <cell r="W1849">
            <v>0</v>
          </cell>
          <cell r="X1849" t="str">
            <v>EST MESA LATERAL KEW (TP LAMINADO NOGUEIRA/PES MTX CORTEN) - 0,58x0,6x0,49H</v>
          </cell>
          <cell r="Y1849">
            <v>14392.63</v>
          </cell>
          <cell r="Z1849">
            <v>0.35</v>
          </cell>
          <cell r="AA1849">
            <v>9355.2095000000008</v>
          </cell>
          <cell r="AB1849"/>
        </row>
        <row r="1850">
          <cell r="C1850">
            <v>0</v>
          </cell>
          <cell r="D1850">
            <v>2</v>
          </cell>
          <cell r="E1850">
            <v>2</v>
          </cell>
          <cell r="F1850">
            <v>0</v>
          </cell>
          <cell r="H1850">
            <v>0</v>
          </cell>
          <cell r="O1850">
            <v>223310</v>
          </cell>
          <cell r="P1850" t="str">
            <v>2018/268-0054-01</v>
          </cell>
          <cell r="Q1850" t="str">
            <v>EST BANDEJA JARDIM (MOD 4) Ø30 CONCAVO ROSA PARANA BRILHO</v>
          </cell>
          <cell r="R1850"/>
          <cell r="S1850"/>
          <cell r="T1850">
            <v>0.4</v>
          </cell>
          <cell r="U1850">
            <v>0</v>
          </cell>
          <cell r="V1850">
            <v>0</v>
          </cell>
          <cell r="W1850">
            <v>0.4</v>
          </cell>
          <cell r="X1850" t="str">
            <v>EST BANDEJA JARDIM (MOD 4) Ø30 CONCAVO ROSA PARANA BRILHO - Ø0,4x0H</v>
          </cell>
          <cell r="Y1850">
            <v>5397.55</v>
          </cell>
          <cell r="Z1850">
            <v>0.5</v>
          </cell>
          <cell r="AA1850">
            <v>2698.7750000000001</v>
          </cell>
          <cell r="AB1850"/>
        </row>
        <row r="1851">
          <cell r="C1851">
            <v>0</v>
          </cell>
          <cell r="D1851">
            <v>2</v>
          </cell>
          <cell r="E1851">
            <v>2</v>
          </cell>
          <cell r="F1851">
            <v>0</v>
          </cell>
          <cell r="H1851">
            <v>0</v>
          </cell>
          <cell r="O1851">
            <v>223310</v>
          </cell>
          <cell r="P1851" t="str">
            <v>2018/268-0053-01</v>
          </cell>
          <cell r="Q1851" t="str">
            <v>EST BANDEJA JARDIM (MOD 4) Ø30 CONCAVO ROSA PARANA BRILHO</v>
          </cell>
          <cell r="R1851"/>
          <cell r="S1851"/>
          <cell r="T1851">
            <v>0.4</v>
          </cell>
          <cell r="U1851">
            <v>0</v>
          </cell>
          <cell r="V1851">
            <v>0</v>
          </cell>
          <cell r="W1851">
            <v>0.4</v>
          </cell>
          <cell r="X1851" t="str">
            <v>EST BANDEJA JARDIM (MOD 4) Ø30 CONCAVO ROSA PARANA BRILHO - Ø0,4x0H</v>
          </cell>
          <cell r="Y1851">
            <v>5397.55</v>
          </cell>
          <cell r="Z1851">
            <v>0.5</v>
          </cell>
          <cell r="AA1851">
            <v>2698.7750000000001</v>
          </cell>
          <cell r="AB1851"/>
        </row>
        <row r="1852">
          <cell r="C1852">
            <v>2</v>
          </cell>
          <cell r="D1852">
            <v>2</v>
          </cell>
          <cell r="E1852">
            <v>2</v>
          </cell>
          <cell r="F1852">
            <v>0</v>
          </cell>
          <cell r="H1852">
            <v>0</v>
          </cell>
          <cell r="O1852">
            <v>223311</v>
          </cell>
          <cell r="P1852" t="str">
            <v>2018/268-0057-01</v>
          </cell>
          <cell r="Q1852" t="str">
            <v>EST BANDEJA JARDIM (MOD 3) QUAD MARMORE CARRARA FOSCO</v>
          </cell>
          <cell r="R1852"/>
          <cell r="S1852"/>
          <cell r="T1852">
            <v>0.25</v>
          </cell>
          <cell r="U1852">
            <v>0.25</v>
          </cell>
          <cell r="V1852">
            <v>0</v>
          </cell>
          <cell r="W1852">
            <v>0</v>
          </cell>
          <cell r="X1852" t="str">
            <v>EST BANDEJA JARDIM (MOD 3) QUAD MARMORE CARRARA FOSCO - 0,25x0,25x0H</v>
          </cell>
          <cell r="Y1852">
            <v>5729.47</v>
          </cell>
          <cell r="Z1852">
            <v>0.5</v>
          </cell>
          <cell r="AA1852">
            <v>2864.7350000000001</v>
          </cell>
          <cell r="AB1852"/>
        </row>
        <row r="1853">
          <cell r="C1853">
            <v>2</v>
          </cell>
          <cell r="D1853">
            <v>2</v>
          </cell>
          <cell r="E1853">
            <v>2</v>
          </cell>
          <cell r="F1853">
            <v>0</v>
          </cell>
          <cell r="H1853">
            <v>0</v>
          </cell>
          <cell r="O1853">
            <v>223311</v>
          </cell>
          <cell r="P1853" t="str">
            <v>2018/268-0058-01</v>
          </cell>
          <cell r="Q1853" t="str">
            <v>EST BANDEJA JARDIM (MOD 3) QUAD MARMORE CARRARA FOSCO</v>
          </cell>
          <cell r="R1853"/>
          <cell r="S1853"/>
          <cell r="T1853">
            <v>0.25</v>
          </cell>
          <cell r="U1853">
            <v>0.25</v>
          </cell>
          <cell r="V1853">
            <v>0</v>
          </cell>
          <cell r="W1853">
            <v>0</v>
          </cell>
          <cell r="X1853" t="str">
            <v>EST BANDEJA JARDIM (MOD 3) QUAD MARMORE CARRARA FOSCO - 0,25x0,25x0H</v>
          </cell>
          <cell r="Y1853">
            <v>5729.47</v>
          </cell>
          <cell r="Z1853">
            <v>0.5</v>
          </cell>
          <cell r="AA1853">
            <v>2864.7350000000001</v>
          </cell>
          <cell r="AB1853"/>
        </row>
        <row r="1854">
          <cell r="C1854">
            <v>0</v>
          </cell>
          <cell r="D1854">
            <v>0</v>
          </cell>
          <cell r="E1854">
            <v>1</v>
          </cell>
          <cell r="F1854">
            <v>0</v>
          </cell>
          <cell r="H1854">
            <v>1</v>
          </cell>
          <cell r="O1854">
            <v>223318</v>
          </cell>
          <cell r="P1854" t="str">
            <v>2018/185-0157-01</v>
          </cell>
          <cell r="Q1854" t="str">
            <v>EST CADEIRA DIOR (TC 3321 MADEIRA MEL 110)</v>
          </cell>
          <cell r="R1854"/>
          <cell r="S1854"/>
          <cell r="T1854">
            <v>0.49</v>
          </cell>
          <cell r="U1854">
            <v>0.51</v>
          </cell>
          <cell r="V1854">
            <v>0.83</v>
          </cell>
          <cell r="W1854">
            <v>0</v>
          </cell>
          <cell r="X1854" t="str">
            <v>EST CADEIRA DIOR (TC 3321 MADEIRA MEL 110) - 0,49x0,51x0,83H</v>
          </cell>
          <cell r="Y1854">
            <v>2122.04</v>
          </cell>
          <cell r="Z1854">
            <v>0.5</v>
          </cell>
          <cell r="AA1854">
            <v>1061.02</v>
          </cell>
          <cell r="AB1854"/>
        </row>
        <row r="1855">
          <cell r="C1855">
            <v>0</v>
          </cell>
          <cell r="D1855">
            <v>0</v>
          </cell>
          <cell r="E1855">
            <v>0</v>
          </cell>
          <cell r="F1855">
            <v>1</v>
          </cell>
          <cell r="H1855">
            <v>0</v>
          </cell>
          <cell r="O1855">
            <v>335070</v>
          </cell>
          <cell r="P1855" t="str">
            <v>2022/256-0030-01</v>
          </cell>
          <cell r="Q1855" t="str">
            <v>EST MESA LATERAL BUZIOS 300 (TP LAM NOGUEIRA/BS HST OXI)</v>
          </cell>
          <cell r="R1855"/>
          <cell r="S1855"/>
          <cell r="T1855">
            <v>0.3</v>
          </cell>
          <cell r="U1855">
            <v>0</v>
          </cell>
          <cell r="V1855">
            <v>0.55000000000000004</v>
          </cell>
          <cell r="W1855">
            <v>0.3</v>
          </cell>
          <cell r="X1855" t="str">
            <v>EST MESA LATERAL BUZIOS 300 (TP LAM NOGUEIRA/BS HST OXI) - Ø0,3x0,55H</v>
          </cell>
          <cell r="Y1855">
            <v>5146.18</v>
          </cell>
          <cell r="Z1855">
            <v>0.35</v>
          </cell>
          <cell r="AA1855">
            <v>3345.0170000000003</v>
          </cell>
          <cell r="AB1855"/>
        </row>
        <row r="1856">
          <cell r="C1856">
            <v>0</v>
          </cell>
          <cell r="D1856">
            <v>0</v>
          </cell>
          <cell r="E1856">
            <v>0</v>
          </cell>
          <cell r="F1856">
            <v>1</v>
          </cell>
          <cell r="H1856">
            <v>0</v>
          </cell>
          <cell r="O1856">
            <v>335071</v>
          </cell>
          <cell r="P1856" t="str">
            <v>2022/263-0042-01</v>
          </cell>
          <cell r="Q1856" t="str">
            <v>EST MESA LATERAL BUZIOS 300 (TP CALAC/BS CONC/HTS MTX PT)</v>
          </cell>
          <cell r="R1856"/>
          <cell r="S1856"/>
          <cell r="T1856">
            <v>0.3</v>
          </cell>
          <cell r="U1856">
            <v>0</v>
          </cell>
          <cell r="V1856">
            <v>0.55000000000000004</v>
          </cell>
          <cell r="W1856">
            <v>0.3</v>
          </cell>
          <cell r="X1856" t="str">
            <v>EST MESA LATERAL BUZIOS 300 (TP CALAC/BS CONC/HTS MTX PT) - Ø0,3x0,55H</v>
          </cell>
          <cell r="Y1856">
            <v>8864.08</v>
          </cell>
          <cell r="Z1856">
            <v>0.35</v>
          </cell>
          <cell r="AA1856">
            <v>5761.652</v>
          </cell>
          <cell r="AB1856"/>
        </row>
        <row r="1857">
          <cell r="C1857">
            <v>0</v>
          </cell>
          <cell r="D1857">
            <v>0</v>
          </cell>
          <cell r="E1857">
            <v>0</v>
          </cell>
          <cell r="F1857">
            <v>1</v>
          </cell>
          <cell r="H1857">
            <v>0</v>
          </cell>
          <cell r="O1857">
            <v>335075</v>
          </cell>
          <cell r="P1857" t="str">
            <v>2022/256-0034-01</v>
          </cell>
          <cell r="Q1857" t="str">
            <v>EST MESA LATERAL BUZIOS 600 (TP NERO USI/BS CONC CRB/HST PT)</v>
          </cell>
          <cell r="R1857"/>
          <cell r="S1857"/>
          <cell r="T1857">
            <v>0.6</v>
          </cell>
          <cell r="U1857">
            <v>0</v>
          </cell>
          <cell r="V1857">
            <v>0.41</v>
          </cell>
          <cell r="W1857">
            <v>0.6</v>
          </cell>
          <cell r="X1857" t="str">
            <v>EST MESA LATERAL BUZIOS 600 (TP NERO USI/BS CONC CRB/HST PT) - Ø0,6x0,41H</v>
          </cell>
          <cell r="Y1857">
            <v>12665</v>
          </cell>
          <cell r="Z1857">
            <v>0.35</v>
          </cell>
          <cell r="AA1857">
            <v>8232.25</v>
          </cell>
          <cell r="AB1857"/>
        </row>
        <row r="1858">
          <cell r="C1858">
            <v>0</v>
          </cell>
          <cell r="D1858">
            <v>0</v>
          </cell>
          <cell r="E1858">
            <v>0</v>
          </cell>
          <cell r="F1858">
            <v>1</v>
          </cell>
          <cell r="H1858">
            <v>0</v>
          </cell>
          <cell r="O1858">
            <v>335076</v>
          </cell>
          <cell r="P1858" t="str">
            <v>2022/263-0043-01</v>
          </cell>
          <cell r="Q1858" t="str">
            <v>EST MESA LATERAL BUZIOS 600 (TP CALACATA USINADA/CONC CARB)</v>
          </cell>
          <cell r="R1858"/>
          <cell r="S1858"/>
          <cell r="T1858">
            <v>0.6</v>
          </cell>
          <cell r="U1858">
            <v>0</v>
          </cell>
          <cell r="V1858">
            <v>0.41</v>
          </cell>
          <cell r="W1858">
            <v>0.6</v>
          </cell>
          <cell r="X1858" t="str">
            <v>EST MESA LATERAL BUZIOS 600 (TP CALACATA USINADA/CONC CARB) - Ø0,6x0,41H</v>
          </cell>
          <cell r="Y1858">
            <v>12665</v>
          </cell>
          <cell r="Z1858">
            <v>0.35</v>
          </cell>
          <cell r="AA1858">
            <v>8232.25</v>
          </cell>
          <cell r="AB1858"/>
        </row>
        <row r="1859">
          <cell r="C1859">
            <v>0</v>
          </cell>
          <cell r="D1859">
            <v>0</v>
          </cell>
          <cell r="E1859">
            <v>0</v>
          </cell>
          <cell r="F1859">
            <v>1</v>
          </cell>
          <cell r="H1859">
            <v>0</v>
          </cell>
          <cell r="O1859">
            <v>394993</v>
          </cell>
          <cell r="P1859" t="str">
            <v>2025/014-0052-01</v>
          </cell>
          <cell r="Q1859" t="str">
            <v>EST BANCO VITALITE I (MTZ CHUMBO) (EBONY) (NERO) FX C3186</v>
          </cell>
          <cell r="R1859"/>
          <cell r="S1859"/>
          <cell r="T1859">
            <v>1.78</v>
          </cell>
          <cell r="U1859">
            <v>0.45</v>
          </cell>
          <cell r="V1859">
            <v>0.42</v>
          </cell>
          <cell r="W1859">
            <v>0</v>
          </cell>
          <cell r="X1859" t="str">
            <v>EST BANCO VITALITE I (MTZ CHUMBO) (EBONY) (NERO) FX C3186 - 1,78x0,45x0,42H</v>
          </cell>
          <cell r="Y1859">
            <v>19293.7</v>
          </cell>
          <cell r="Z1859">
            <v>0.35</v>
          </cell>
          <cell r="AA1859">
            <v>12540.905000000001</v>
          </cell>
          <cell r="AB1859"/>
        </row>
        <row r="1860">
          <cell r="C1860">
            <v>0</v>
          </cell>
          <cell r="D1860">
            <v>1</v>
          </cell>
          <cell r="E1860">
            <v>0</v>
          </cell>
          <cell r="F1860">
            <v>0</v>
          </cell>
          <cell r="H1860">
            <v>0</v>
          </cell>
          <cell r="O1860">
            <v>275010</v>
          </cell>
          <cell r="P1860" t="str">
            <v>2021/165-0086-01</v>
          </cell>
          <cell r="Q1860" t="str">
            <v>EST MESA CENTRO ARAL (TP CALACATA/SUB FREIJO/BS MTX M BLANC)</v>
          </cell>
          <cell r="R1860"/>
          <cell r="S1860"/>
          <cell r="T1860">
            <v>1.1000000000000001</v>
          </cell>
          <cell r="U1860">
            <v>1.1000000000000001</v>
          </cell>
          <cell r="V1860">
            <v>0.27</v>
          </cell>
          <cell r="W1860">
            <v>0</v>
          </cell>
          <cell r="X1860" t="str">
            <v>EST MESA CENTRO ARAL (TP CALACATA/SUB FREIJO/BS MTX M BLANC) - 1,1x1,1x0,27H</v>
          </cell>
          <cell r="Y1860">
            <v>35774.28</v>
          </cell>
          <cell r="Z1860">
            <v>0.35</v>
          </cell>
          <cell r="AA1860">
            <v>23253.281999999999</v>
          </cell>
          <cell r="AB1860"/>
        </row>
        <row r="1861">
          <cell r="C1861">
            <v>0</v>
          </cell>
          <cell r="D1861">
            <v>1</v>
          </cell>
          <cell r="E1861">
            <v>0</v>
          </cell>
          <cell r="F1861">
            <v>0</v>
          </cell>
          <cell r="H1861">
            <v>0</v>
          </cell>
          <cell r="O1861">
            <v>308718</v>
          </cell>
          <cell r="P1861" t="str">
            <v>2021/287-0005-01</v>
          </cell>
          <cell r="Q1861" t="str">
            <v>EST MESA CENTRO ARAL (TP CALACAT/SUB TP NOG/BASE MTX CORTEN)</v>
          </cell>
          <cell r="R1861"/>
          <cell r="S1861"/>
          <cell r="T1861">
            <v>0.9</v>
          </cell>
          <cell r="U1861">
            <v>0.9</v>
          </cell>
          <cell r="V1861">
            <v>0.27</v>
          </cell>
          <cell r="W1861">
            <v>0</v>
          </cell>
          <cell r="X1861" t="str">
            <v>EST MESA CENTRO ARAL (TP CALACAT/SUB TP NOG/BASE MTX CORTEN) - 0,9x0,9x0,27H</v>
          </cell>
          <cell r="Y1861">
            <v>33687.269999999997</v>
          </cell>
          <cell r="Z1861">
            <v>0.35</v>
          </cell>
          <cell r="AA1861">
            <v>21896.7255</v>
          </cell>
          <cell r="AB1861"/>
        </row>
        <row r="1862">
          <cell r="C1862">
            <v>0</v>
          </cell>
          <cell r="D1862">
            <v>1</v>
          </cell>
          <cell r="E1862">
            <v>0</v>
          </cell>
          <cell r="F1862">
            <v>0</v>
          </cell>
          <cell r="H1862">
            <v>0</v>
          </cell>
          <cell r="O1862">
            <v>308721</v>
          </cell>
          <cell r="P1862" t="str">
            <v>2021/287-0006-01</v>
          </cell>
          <cell r="Q1862" t="str">
            <v>EST MESA CENTRO ARAL (TP LAMIANDO NOGUEIRA/BASE MTX CORTEN)</v>
          </cell>
          <cell r="R1862"/>
          <cell r="S1862"/>
          <cell r="T1862">
            <v>1.1000000000000001</v>
          </cell>
          <cell r="U1862">
            <v>1.1000000000000001</v>
          </cell>
          <cell r="V1862">
            <v>0.27</v>
          </cell>
          <cell r="W1862">
            <v>0</v>
          </cell>
          <cell r="X1862" t="str">
            <v>EST MESA CENTRO ARAL (TP LAMIANDO NOGUEIRA/BASE MTX CORTEN) - 1,1x1,1x0,27H</v>
          </cell>
          <cell r="Y1862">
            <v>18677.3</v>
          </cell>
          <cell r="Z1862">
            <v>0.35</v>
          </cell>
          <cell r="AA1862">
            <v>12140.244999999999</v>
          </cell>
          <cell r="AB1862"/>
        </row>
        <row r="1863">
          <cell r="C1863">
            <v>0</v>
          </cell>
          <cell r="D1863">
            <v>1</v>
          </cell>
          <cell r="E1863">
            <v>0</v>
          </cell>
          <cell r="F1863">
            <v>0</v>
          </cell>
          <cell r="H1863">
            <v>0</v>
          </cell>
          <cell r="O1863">
            <v>378051</v>
          </cell>
          <cell r="P1863" t="str">
            <v>2023/348-0023-01</v>
          </cell>
          <cell r="Q1863" t="str">
            <v>EST BANCO ZOE (LAMINADO/INTERNO LAMINADO NOGUEIRA)</v>
          </cell>
          <cell r="R1863"/>
          <cell r="S1863"/>
          <cell r="T1863">
            <v>2.4</v>
          </cell>
          <cell r="U1863">
            <v>0.48</v>
          </cell>
          <cell r="V1863">
            <v>0.43</v>
          </cell>
          <cell r="W1863">
            <v>0</v>
          </cell>
          <cell r="X1863" t="str">
            <v>EST BANCO ZOE (LAMINADO/INTERNO LAMINADO NOGUEIRA) - 2,4x0,48x0,43H</v>
          </cell>
          <cell r="Y1863">
            <v>33295.629999999997</v>
          </cell>
          <cell r="Z1863">
            <v>0.35</v>
          </cell>
          <cell r="AA1863">
            <v>21642.159500000002</v>
          </cell>
          <cell r="AB1863"/>
        </row>
        <row r="1864">
          <cell r="C1864">
            <v>0</v>
          </cell>
          <cell r="D1864">
            <v>1</v>
          </cell>
          <cell r="E1864">
            <v>0</v>
          </cell>
          <cell r="F1864">
            <v>0</v>
          </cell>
          <cell r="H1864">
            <v>0</v>
          </cell>
          <cell r="O1864">
            <v>390205</v>
          </cell>
          <cell r="P1864" t="str">
            <v>2024/269-0058-01</v>
          </cell>
          <cell r="Q1864" t="str">
            <v>EST MESA JANTAR AURORA (TPO CHANF LAM NOGUEIRA) BS LAMINADA</v>
          </cell>
          <cell r="R1864"/>
          <cell r="S1864"/>
          <cell r="T1864">
            <v>2.8</v>
          </cell>
          <cell r="U1864">
            <v>1.2</v>
          </cell>
          <cell r="V1864">
            <v>0.75</v>
          </cell>
          <cell r="W1864">
            <v>0</v>
          </cell>
          <cell r="X1864" t="str">
            <v>EST MESA JANTAR AURORA (TPO CHANF LAM NOGUEIRA) BS LAMINADA - 2,8x1,2x0,75H</v>
          </cell>
          <cell r="Y1864">
            <v>51591.628000000004</v>
          </cell>
          <cell r="Z1864">
            <v>0.35</v>
          </cell>
          <cell r="AA1864">
            <v>33534.558199999999</v>
          </cell>
          <cell r="AB1864"/>
        </row>
        <row r="1865">
          <cell r="C1865">
            <v>0</v>
          </cell>
          <cell r="D1865">
            <v>1</v>
          </cell>
          <cell r="E1865">
            <v>0</v>
          </cell>
          <cell r="F1865">
            <v>0</v>
          </cell>
          <cell r="H1865">
            <v>0</v>
          </cell>
          <cell r="O1865">
            <v>394992</v>
          </cell>
          <cell r="P1865" t="str">
            <v>2025/014-0051-01</v>
          </cell>
          <cell r="Q1865" t="str">
            <v>EST BANCO VITALITE II (MTZ CAPUCCINO) (ESP NOG) FX B2312</v>
          </cell>
          <cell r="R1865"/>
          <cell r="S1865"/>
          <cell r="T1865">
            <v>1.78</v>
          </cell>
          <cell r="U1865">
            <v>0.45</v>
          </cell>
          <cell r="V1865">
            <v>1.65</v>
          </cell>
          <cell r="W1865">
            <v>0</v>
          </cell>
          <cell r="X1865" t="str">
            <v>EST BANCO VITALITE II (MTZ CAPUCCINO) (ESP NOG) FX B2312 - 1,78x0,45x1,65H</v>
          </cell>
          <cell r="Y1865">
            <v>20147.099999999999</v>
          </cell>
          <cell r="Z1865">
            <v>0.35</v>
          </cell>
          <cell r="AA1865">
            <v>13095.615</v>
          </cell>
          <cell r="AB1865"/>
        </row>
        <row r="1866">
          <cell r="C1866">
            <v>0</v>
          </cell>
          <cell r="D1866">
            <v>1</v>
          </cell>
          <cell r="E1866">
            <v>0</v>
          </cell>
          <cell r="F1866">
            <v>0</v>
          </cell>
          <cell r="H1866">
            <v>0</v>
          </cell>
          <cell r="O1866">
            <v>206605</v>
          </cell>
          <cell r="P1866" t="str">
            <v>2018/015-0025-01</v>
          </cell>
          <cell r="Q1866" t="str">
            <v>EST MESA CENTRO LEED H26 (LAMINA CARV ESTONADO) (S/VIDRO)</v>
          </cell>
          <cell r="R1866"/>
          <cell r="S1866"/>
          <cell r="T1866">
            <v>2</v>
          </cell>
          <cell r="U1866">
            <v>0.7</v>
          </cell>
          <cell r="V1866">
            <v>0.26</v>
          </cell>
          <cell r="W1866">
            <v>0</v>
          </cell>
          <cell r="X1866" t="str">
            <v>EST MESA CENTRO LEED H26 (LAMINA CARV ESTONADO) (S/VIDRO) - 2x0,7x0,26H</v>
          </cell>
          <cell r="Y1866">
            <v>24933.75</v>
          </cell>
          <cell r="Z1866">
            <v>0.5</v>
          </cell>
          <cell r="AA1866">
            <v>12466.875</v>
          </cell>
          <cell r="AB1866"/>
        </row>
        <row r="1867">
          <cell r="C1867">
            <v>0</v>
          </cell>
          <cell r="D1867">
            <v>2</v>
          </cell>
          <cell r="E1867">
            <v>2</v>
          </cell>
          <cell r="F1867">
            <v>0</v>
          </cell>
          <cell r="H1867">
            <v>0</v>
          </cell>
          <cell r="O1867">
            <v>223310</v>
          </cell>
          <cell r="P1867" t="str">
            <v>2018/213-0052-01</v>
          </cell>
          <cell r="Q1867" t="str">
            <v>EST BANDEJA JARDIM (MOD 4) Ø30 CONCAVO ROSA PARANA BRILHO</v>
          </cell>
          <cell r="R1867"/>
          <cell r="S1867"/>
          <cell r="T1867">
            <v>0.4</v>
          </cell>
          <cell r="U1867">
            <v>0</v>
          </cell>
          <cell r="V1867">
            <v>0</v>
          </cell>
          <cell r="W1867">
            <v>0.4</v>
          </cell>
          <cell r="X1867" t="str">
            <v>EST BANDEJA JARDIM (MOD 4) Ø30 CONCAVO ROSA PARANA BRILHO - Ø0,4x0H</v>
          </cell>
          <cell r="Y1867">
            <v>5397.55</v>
          </cell>
          <cell r="Z1867">
            <v>0.5</v>
          </cell>
          <cell r="AA1867">
            <v>2698.7750000000001</v>
          </cell>
          <cell r="AB1867"/>
        </row>
        <row r="1868">
          <cell r="C1868">
            <v>0</v>
          </cell>
          <cell r="D1868">
            <v>2</v>
          </cell>
          <cell r="E1868">
            <v>2</v>
          </cell>
          <cell r="F1868">
            <v>0</v>
          </cell>
          <cell r="H1868">
            <v>0</v>
          </cell>
          <cell r="O1868">
            <v>223310</v>
          </cell>
          <cell r="P1868" t="str">
            <v>2018/213-0051-01</v>
          </cell>
          <cell r="Q1868" t="str">
            <v>EST BANDEJA JARDIM (MOD 4) Ø30 CONCAVO ROSA PARANA BRILHO</v>
          </cell>
          <cell r="R1868"/>
          <cell r="S1868"/>
          <cell r="T1868">
            <v>0.4</v>
          </cell>
          <cell r="U1868">
            <v>0</v>
          </cell>
          <cell r="V1868">
            <v>0</v>
          </cell>
          <cell r="W1868">
            <v>0.4</v>
          </cell>
          <cell r="X1868" t="str">
            <v>EST BANDEJA JARDIM (MOD 4) Ø30 CONCAVO ROSA PARANA BRILHO - Ø0,4x0H</v>
          </cell>
          <cell r="Y1868">
            <v>5397.55</v>
          </cell>
          <cell r="Z1868">
            <v>0.5</v>
          </cell>
          <cell r="AA1868">
            <v>2698.7750000000001</v>
          </cell>
          <cell r="AB1868"/>
        </row>
        <row r="1869">
          <cell r="C1869">
            <v>2</v>
          </cell>
          <cell r="D1869">
            <v>2</v>
          </cell>
          <cell r="E1869">
            <v>2</v>
          </cell>
          <cell r="F1869">
            <v>0</v>
          </cell>
          <cell r="H1869">
            <v>0</v>
          </cell>
          <cell r="O1869">
            <v>223311</v>
          </cell>
          <cell r="P1869" t="str">
            <v>2018/268-0059-01</v>
          </cell>
          <cell r="Q1869" t="str">
            <v>EST BANDEJA JARDIM (MOD 3) QUAD MARMORE CARRARA FOSCO</v>
          </cell>
          <cell r="R1869"/>
          <cell r="S1869"/>
          <cell r="T1869">
            <v>0.25</v>
          </cell>
          <cell r="U1869">
            <v>0.25</v>
          </cell>
          <cell r="V1869">
            <v>0</v>
          </cell>
          <cell r="W1869">
            <v>0</v>
          </cell>
          <cell r="X1869" t="str">
            <v>EST BANDEJA JARDIM (MOD 3) QUAD MARMORE CARRARA FOSCO - 0,25x0,25x0H</v>
          </cell>
          <cell r="Y1869">
            <v>5729.47</v>
          </cell>
          <cell r="Z1869">
            <v>0.5</v>
          </cell>
          <cell r="AA1869">
            <v>2864.7350000000001</v>
          </cell>
          <cell r="AB1869"/>
        </row>
        <row r="1870">
          <cell r="C1870">
            <v>2</v>
          </cell>
          <cell r="D1870">
            <v>2</v>
          </cell>
          <cell r="E1870">
            <v>2</v>
          </cell>
          <cell r="F1870">
            <v>0</v>
          </cell>
          <cell r="H1870">
            <v>0</v>
          </cell>
          <cell r="O1870">
            <v>223311</v>
          </cell>
          <cell r="P1870" t="str">
            <v>2018/268-0060-01</v>
          </cell>
          <cell r="Q1870" t="str">
            <v>EST BANDEJA JARDIM (MOD 3) QUAD MARMORE CARRARA FOSCO</v>
          </cell>
          <cell r="R1870"/>
          <cell r="S1870"/>
          <cell r="T1870">
            <v>0.25</v>
          </cell>
          <cell r="U1870">
            <v>0.25</v>
          </cell>
          <cell r="V1870">
            <v>0</v>
          </cell>
          <cell r="W1870">
            <v>0</v>
          </cell>
          <cell r="X1870" t="str">
            <v>EST BANDEJA JARDIM (MOD 3) QUAD MARMORE CARRARA FOSCO - 0,25x0,25x0H</v>
          </cell>
          <cell r="Y1870">
            <v>5729.47</v>
          </cell>
          <cell r="Z1870">
            <v>0.5</v>
          </cell>
          <cell r="AA1870">
            <v>2864.7350000000001</v>
          </cell>
          <cell r="AB1870"/>
        </row>
        <row r="1871">
          <cell r="C1871">
            <v>0</v>
          </cell>
          <cell r="D1871">
            <v>1</v>
          </cell>
          <cell r="E1871">
            <v>0</v>
          </cell>
          <cell r="F1871">
            <v>0</v>
          </cell>
          <cell r="H1871">
            <v>0</v>
          </cell>
          <cell r="O1871">
            <v>275018</v>
          </cell>
          <cell r="P1871" t="str">
            <v>2021/165-0090-01</v>
          </cell>
          <cell r="Q1871" t="str">
            <v>EST MESA LATERAL LEED (LAMINADA CARV ESTONADO) (C/VIDRO)</v>
          </cell>
          <cell r="R1871"/>
          <cell r="S1871"/>
          <cell r="T1871">
            <v>0.9</v>
          </cell>
          <cell r="U1871">
            <v>0.9</v>
          </cell>
          <cell r="V1871">
            <v>0.5</v>
          </cell>
          <cell r="W1871">
            <v>0</v>
          </cell>
          <cell r="X1871" t="str">
            <v>EST MESA LATERAL LEED (LAMINADA CARV ESTONADO) (C/VIDRO) - 0,9x0,9x0,5H</v>
          </cell>
          <cell r="Y1871">
            <v>17156.919999999998</v>
          </cell>
          <cell r="Z1871">
            <v>0.5</v>
          </cell>
          <cell r="AA1871">
            <v>8578.4599999999991</v>
          </cell>
          <cell r="AB1871"/>
        </row>
        <row r="1872">
          <cell r="C1872">
            <v>0</v>
          </cell>
          <cell r="D1872">
            <v>1</v>
          </cell>
          <cell r="E1872">
            <v>0</v>
          </cell>
          <cell r="F1872">
            <v>0</v>
          </cell>
          <cell r="H1872">
            <v>0</v>
          </cell>
          <cell r="O1872">
            <v>275018</v>
          </cell>
          <cell r="P1872" t="str">
            <v>2021/165-0116-01</v>
          </cell>
          <cell r="Q1872" t="str">
            <v>EST MESA LATERAL LEED (LAMINADA CARV ESTONADO) (C/VIDRO)</v>
          </cell>
          <cell r="R1872"/>
          <cell r="S1872"/>
          <cell r="T1872">
            <v>0.9</v>
          </cell>
          <cell r="U1872">
            <v>0.9</v>
          </cell>
          <cell r="V1872">
            <v>0.5</v>
          </cell>
          <cell r="W1872">
            <v>0</v>
          </cell>
          <cell r="X1872" t="str">
            <v>EST MESA LATERAL LEED (LAMINADA CARV ESTONADO) (C/VIDRO) - 0,9x0,9x0,5H</v>
          </cell>
          <cell r="Y1872">
            <v>17156.919999999998</v>
          </cell>
          <cell r="Z1872">
            <v>0.5</v>
          </cell>
          <cell r="AA1872">
            <v>8578.4599999999991</v>
          </cell>
          <cell r="AB1872"/>
        </row>
        <row r="1873">
          <cell r="C1873">
            <v>1</v>
          </cell>
          <cell r="D1873">
            <v>1</v>
          </cell>
          <cell r="E1873">
            <v>0</v>
          </cell>
          <cell r="F1873">
            <v>0</v>
          </cell>
          <cell r="H1873">
            <v>0</v>
          </cell>
          <cell r="O1873">
            <v>398672</v>
          </cell>
          <cell r="P1873" t="str">
            <v>2024/305-0058-01</v>
          </cell>
          <cell r="Q1873" t="str">
            <v>EST MESA LATERAL BUZIOS 300 (TP CALACATA RETO/CONC CARB)</v>
          </cell>
          <cell r="R1873"/>
          <cell r="S1873"/>
          <cell r="T1873">
            <v>0.3</v>
          </cell>
          <cell r="U1873">
            <v>0</v>
          </cell>
          <cell r="V1873">
            <v>0.55000000000000004</v>
          </cell>
          <cell r="W1873">
            <v>0.3</v>
          </cell>
          <cell r="X1873" t="str">
            <v>EST MESA LATERAL BUZIOS 300 (TP CALACATA RETO/CONC CARB) - Ø0,3x0,55H</v>
          </cell>
          <cell r="Y1873">
            <v>5745.06</v>
          </cell>
          <cell r="Z1873">
            <v>0.5</v>
          </cell>
          <cell r="AA1873">
            <v>2872.53</v>
          </cell>
          <cell r="AB1873"/>
        </row>
        <row r="1874">
          <cell r="C1874">
            <v>2</v>
          </cell>
          <cell r="D1874">
            <v>0</v>
          </cell>
          <cell r="E1874">
            <v>0</v>
          </cell>
          <cell r="F1874">
            <v>0</v>
          </cell>
          <cell r="H1874">
            <v>0</v>
          </cell>
          <cell r="O1874">
            <v>208359</v>
          </cell>
          <cell r="P1874" t="str">
            <v>2017/061-0052-01</v>
          </cell>
          <cell r="Q1874" t="str">
            <v>EST ALMOFADA (VELVET BAMBU DARK) (ENCHIMENTO PENA)</v>
          </cell>
          <cell r="R1874"/>
          <cell r="S1874"/>
          <cell r="T1874">
            <v>0.6</v>
          </cell>
          <cell r="U1874">
            <v>0.6</v>
          </cell>
          <cell r="V1874">
            <v>0.15</v>
          </cell>
          <cell r="W1874">
            <v>0</v>
          </cell>
          <cell r="X1874" t="str">
            <v>EST ALMOFADA (VELVET BAMBU DARK) (ENCHIMENTO PENA) - 0,6x0,6x0,15H</v>
          </cell>
          <cell r="Y1874">
            <v>500</v>
          </cell>
          <cell r="Z1874">
            <v>0.35</v>
          </cell>
          <cell r="AA1874">
            <v>325</v>
          </cell>
          <cell r="AB1874"/>
        </row>
        <row r="1875">
          <cell r="C1875">
            <v>2</v>
          </cell>
          <cell r="D1875">
            <v>0</v>
          </cell>
          <cell r="E1875">
            <v>0</v>
          </cell>
          <cell r="F1875">
            <v>0</v>
          </cell>
          <cell r="H1875">
            <v>0</v>
          </cell>
          <cell r="O1875">
            <v>208359</v>
          </cell>
          <cell r="P1875" t="str">
            <v>2017/061-0055-01</v>
          </cell>
          <cell r="Q1875" t="str">
            <v>EST ALMOFADA (VELVET BAMBU DARK) (ENCHIMENTO PENA)</v>
          </cell>
          <cell r="R1875"/>
          <cell r="S1875"/>
          <cell r="T1875">
            <v>0.6</v>
          </cell>
          <cell r="U1875">
            <v>0.6</v>
          </cell>
          <cell r="V1875">
            <v>0.15</v>
          </cell>
          <cell r="W1875">
            <v>0</v>
          </cell>
          <cell r="X1875" t="str">
            <v>EST ALMOFADA (VELVET BAMBU DARK) (ENCHIMENTO PENA) - 0,6x0,6x0,15H</v>
          </cell>
          <cell r="Y1875">
            <v>500</v>
          </cell>
          <cell r="Z1875">
            <v>0.35</v>
          </cell>
          <cell r="AA1875">
            <v>325</v>
          </cell>
          <cell r="AB1875"/>
        </row>
        <row r="1876">
          <cell r="C1876">
            <v>2</v>
          </cell>
          <cell r="D1876">
            <v>2</v>
          </cell>
          <cell r="E1876">
            <v>2</v>
          </cell>
          <cell r="F1876">
            <v>0</v>
          </cell>
          <cell r="H1876">
            <v>0</v>
          </cell>
          <cell r="O1876">
            <v>223311</v>
          </cell>
          <cell r="P1876" t="str">
            <v>2018/268-0088-01</v>
          </cell>
          <cell r="Q1876" t="str">
            <v>EST BANDEJA JARDIM (MOD 3) QUAD MARMORE CARRARA FOSCO</v>
          </cell>
          <cell r="R1876"/>
          <cell r="S1876"/>
          <cell r="T1876">
            <v>0.25</v>
          </cell>
          <cell r="U1876">
            <v>0.25</v>
          </cell>
          <cell r="V1876">
            <v>0</v>
          </cell>
          <cell r="W1876">
            <v>0</v>
          </cell>
          <cell r="X1876" t="str">
            <v>EST BANDEJA JARDIM (MOD 3) QUAD MARMORE CARRARA FOSCO - 0,25x0,25x0H</v>
          </cell>
          <cell r="Y1876">
            <v>5729.47</v>
          </cell>
          <cell r="Z1876">
            <v>0.5</v>
          </cell>
          <cell r="AA1876">
            <v>2864.7350000000001</v>
          </cell>
          <cell r="AB1876"/>
        </row>
        <row r="1877">
          <cell r="C1877">
            <v>2</v>
          </cell>
          <cell r="D1877">
            <v>2</v>
          </cell>
          <cell r="E1877">
            <v>2</v>
          </cell>
          <cell r="F1877">
            <v>0</v>
          </cell>
          <cell r="H1877">
            <v>0</v>
          </cell>
          <cell r="O1877">
            <v>223311</v>
          </cell>
          <cell r="P1877" t="str">
            <v>2018/268-0089-01</v>
          </cell>
          <cell r="Q1877" t="str">
            <v>EST BANDEJA JARDIM (MOD 3) QUAD MARMORE CARRARA FOSCO</v>
          </cell>
          <cell r="R1877"/>
          <cell r="S1877"/>
          <cell r="T1877">
            <v>0.25</v>
          </cell>
          <cell r="U1877">
            <v>0.25</v>
          </cell>
          <cell r="V1877">
            <v>0</v>
          </cell>
          <cell r="W1877">
            <v>0</v>
          </cell>
          <cell r="X1877" t="str">
            <v>EST BANDEJA JARDIM (MOD 3) QUAD MARMORE CARRARA FOSCO - 0,25x0,25x0H</v>
          </cell>
          <cell r="Y1877">
            <v>5729.47</v>
          </cell>
          <cell r="Z1877">
            <v>0.5</v>
          </cell>
          <cell r="AA1877">
            <v>2864.7350000000001</v>
          </cell>
          <cell r="AB1877"/>
        </row>
        <row r="1878">
          <cell r="C1878">
            <v>2</v>
          </cell>
          <cell r="D1878">
            <v>0</v>
          </cell>
          <cell r="E1878">
            <v>0</v>
          </cell>
          <cell r="F1878">
            <v>0</v>
          </cell>
          <cell r="H1878">
            <v>2</v>
          </cell>
          <cell r="O1878">
            <v>270480</v>
          </cell>
          <cell r="P1878" t="str">
            <v>2020/335-0122-01</v>
          </cell>
          <cell r="Q1878" t="str">
            <v>EST POLTRONA APOLLO PELE (ELETROST PRETA) C700/8/COURO PT</v>
          </cell>
          <cell r="R1878"/>
          <cell r="S1878"/>
          <cell r="T1878">
            <v>0.75</v>
          </cell>
          <cell r="U1878">
            <v>0.62</v>
          </cell>
          <cell r="V1878">
            <v>0.7</v>
          </cell>
          <cell r="W1878">
            <v>0</v>
          </cell>
          <cell r="X1878" t="str">
            <v>EST POLTRONA APOLLO PELE (ELETROST PRETA) C700/8/COURO PT - 0,75x0,62x0,7H</v>
          </cell>
          <cell r="Y1878">
            <v>23439.67</v>
          </cell>
          <cell r="Z1878">
            <v>0.5</v>
          </cell>
          <cell r="AA1878">
            <v>11719.834999999999</v>
          </cell>
          <cell r="AB1878"/>
        </row>
        <row r="1879">
          <cell r="C1879">
            <v>2</v>
          </cell>
          <cell r="D1879">
            <v>0</v>
          </cell>
          <cell r="E1879">
            <v>0</v>
          </cell>
          <cell r="F1879">
            <v>0</v>
          </cell>
          <cell r="H1879">
            <v>2</v>
          </cell>
          <cell r="O1879">
            <v>270480</v>
          </cell>
          <cell r="P1879" t="str">
            <v>2020/335-0123-01</v>
          </cell>
          <cell r="Q1879" t="str">
            <v>EST POLTRONA APOLLO PELE (ELETROST PRETA) C700/8/COURO PT</v>
          </cell>
          <cell r="R1879"/>
          <cell r="S1879"/>
          <cell r="T1879">
            <v>0.75</v>
          </cell>
          <cell r="U1879">
            <v>0.62</v>
          </cell>
          <cell r="V1879">
            <v>0.7</v>
          </cell>
          <cell r="W1879">
            <v>0</v>
          </cell>
          <cell r="X1879" t="str">
            <v>EST POLTRONA APOLLO PELE (ELETROST PRETA) C700/8/COURO PT - 0,75x0,62x0,7H</v>
          </cell>
          <cell r="Y1879">
            <v>23439.67</v>
          </cell>
          <cell r="Z1879">
            <v>0.5</v>
          </cell>
          <cell r="AA1879">
            <v>11719.834999999999</v>
          </cell>
          <cell r="AB1879"/>
        </row>
        <row r="1880">
          <cell r="C1880">
            <v>1</v>
          </cell>
          <cell r="D1880">
            <v>0</v>
          </cell>
          <cell r="E1880">
            <v>0</v>
          </cell>
          <cell r="F1880">
            <v>0</v>
          </cell>
          <cell r="H1880">
            <v>0</v>
          </cell>
          <cell r="O1880">
            <v>274937</v>
          </cell>
          <cell r="P1880" t="str">
            <v>2021/091-0018-01</v>
          </cell>
          <cell r="Q1880" t="str">
            <v>EST APARADOR AYLA (SUP1 TING NOG) (TP WALNUT NT) LATAO</v>
          </cell>
          <cell r="R1880"/>
          <cell r="S1880"/>
          <cell r="T1880">
            <v>2.2000000000000002</v>
          </cell>
          <cell r="U1880">
            <v>0.5</v>
          </cell>
          <cell r="V1880">
            <v>0.78</v>
          </cell>
          <cell r="W1880">
            <v>0</v>
          </cell>
          <cell r="X1880" t="str">
            <v>EST APARADOR AYLA (SUP1 TING NOG) (TP WALNUT NT) LATAO - 2,2x0,5x0,78H</v>
          </cell>
          <cell r="Y1880">
            <v>8562.58</v>
          </cell>
          <cell r="Z1880">
            <v>0.5</v>
          </cell>
          <cell r="AA1880">
            <v>4281.29</v>
          </cell>
          <cell r="AB1880"/>
        </row>
        <row r="1881">
          <cell r="C1881">
            <v>1</v>
          </cell>
          <cell r="D1881">
            <v>0</v>
          </cell>
          <cell r="E1881">
            <v>0</v>
          </cell>
          <cell r="F1881">
            <v>0</v>
          </cell>
          <cell r="H1881">
            <v>0</v>
          </cell>
          <cell r="O1881">
            <v>300087</v>
          </cell>
          <cell r="P1881" t="str">
            <v>2022/034-0023-01</v>
          </cell>
          <cell r="Q1881" t="str">
            <v>EST ESCRIVANINHA REGIA (LAMINA 2 FREIJO)</v>
          </cell>
          <cell r="R1881"/>
          <cell r="S1881"/>
          <cell r="T1881">
            <v>1.8</v>
          </cell>
          <cell r="U1881">
            <v>0.7</v>
          </cell>
          <cell r="V1881">
            <v>0.75</v>
          </cell>
          <cell r="W1881">
            <v>0</v>
          </cell>
          <cell r="X1881" t="str">
            <v>EST ESCRIVANINHA REGIA (LAMINA 2 FREIJO) - 1,8x0,7x0,75H</v>
          </cell>
          <cell r="Y1881">
            <v>32360.52</v>
          </cell>
          <cell r="Z1881">
            <v>0.5</v>
          </cell>
          <cell r="AA1881">
            <v>16180.26</v>
          </cell>
          <cell r="AB1881"/>
        </row>
        <row r="1882">
          <cell r="C1882">
            <v>7</v>
          </cell>
          <cell r="D1882">
            <v>0</v>
          </cell>
          <cell r="E1882">
            <v>0</v>
          </cell>
          <cell r="F1882">
            <v>0</v>
          </cell>
          <cell r="H1882">
            <v>0</v>
          </cell>
          <cell r="O1882">
            <v>314832</v>
          </cell>
          <cell r="P1882" t="str">
            <v>2021/344-0083-01</v>
          </cell>
          <cell r="Q1882" t="str">
            <v>EST ALMOFADA LOLITA GRAFITE</v>
          </cell>
          <cell r="R1882"/>
          <cell r="S1882"/>
          <cell r="T1882">
            <v>0.5</v>
          </cell>
          <cell r="U1882">
            <v>0.5</v>
          </cell>
          <cell r="V1882">
            <v>0</v>
          </cell>
          <cell r="W1882">
            <v>0</v>
          </cell>
          <cell r="X1882" t="str">
            <v>EST ALMOFADA LOLITA GRAFITE - 0,5x0,5x0H</v>
          </cell>
          <cell r="Y1882">
            <v>413.95</v>
          </cell>
          <cell r="Z1882">
            <v>0.5</v>
          </cell>
          <cell r="AA1882">
            <v>206.97499999999999</v>
          </cell>
          <cell r="AB1882"/>
        </row>
        <row r="1883">
          <cell r="C1883">
            <v>7</v>
          </cell>
          <cell r="D1883">
            <v>0</v>
          </cell>
          <cell r="E1883">
            <v>0</v>
          </cell>
          <cell r="F1883">
            <v>0</v>
          </cell>
          <cell r="H1883">
            <v>0</v>
          </cell>
          <cell r="O1883">
            <v>314832</v>
          </cell>
          <cell r="P1883" t="str">
            <v>2021/344-0084-01</v>
          </cell>
          <cell r="Q1883" t="str">
            <v>EST ALMOFADA LOLITA GRAFITE</v>
          </cell>
          <cell r="R1883"/>
          <cell r="S1883"/>
          <cell r="T1883">
            <v>0.5</v>
          </cell>
          <cell r="U1883">
            <v>0.5</v>
          </cell>
          <cell r="V1883">
            <v>0</v>
          </cell>
          <cell r="W1883">
            <v>0</v>
          </cell>
          <cell r="X1883" t="str">
            <v>EST ALMOFADA LOLITA GRAFITE - 0,5x0,5x0H</v>
          </cell>
          <cell r="Y1883">
            <v>413.95</v>
          </cell>
          <cell r="Z1883">
            <v>0.5</v>
          </cell>
          <cell r="AA1883">
            <v>206.97499999999999</v>
          </cell>
          <cell r="AB1883"/>
        </row>
        <row r="1884">
          <cell r="C1884">
            <v>7</v>
          </cell>
          <cell r="D1884">
            <v>0</v>
          </cell>
          <cell r="E1884">
            <v>0</v>
          </cell>
          <cell r="F1884">
            <v>0</v>
          </cell>
          <cell r="H1884">
            <v>0</v>
          </cell>
          <cell r="O1884">
            <v>314832</v>
          </cell>
          <cell r="P1884" t="str">
            <v>2021/344-0087-01</v>
          </cell>
          <cell r="Q1884" t="str">
            <v>EST ALMOFADA LOLITA GRAFITE</v>
          </cell>
          <cell r="R1884"/>
          <cell r="S1884"/>
          <cell r="T1884">
            <v>0.5</v>
          </cell>
          <cell r="U1884">
            <v>0.5</v>
          </cell>
          <cell r="V1884">
            <v>0</v>
          </cell>
          <cell r="W1884">
            <v>0</v>
          </cell>
          <cell r="X1884" t="str">
            <v>EST ALMOFADA LOLITA GRAFITE - 0,5x0,5x0H</v>
          </cell>
          <cell r="Y1884">
            <v>413.95</v>
          </cell>
          <cell r="Z1884">
            <v>0.5</v>
          </cell>
          <cell r="AA1884">
            <v>206.97499999999999</v>
          </cell>
          <cell r="AB1884"/>
        </row>
        <row r="1885">
          <cell r="C1885">
            <v>7</v>
          </cell>
          <cell r="D1885">
            <v>0</v>
          </cell>
          <cell r="E1885">
            <v>0</v>
          </cell>
          <cell r="F1885">
            <v>0</v>
          </cell>
          <cell r="H1885">
            <v>0</v>
          </cell>
          <cell r="O1885">
            <v>314832</v>
          </cell>
          <cell r="P1885" t="str">
            <v>2021/344-0081-01</v>
          </cell>
          <cell r="Q1885" t="str">
            <v>EST ALMOFADA LOLITA GRAFITE</v>
          </cell>
          <cell r="R1885"/>
          <cell r="S1885"/>
          <cell r="T1885">
            <v>0.5</v>
          </cell>
          <cell r="U1885">
            <v>0.5</v>
          </cell>
          <cell r="V1885">
            <v>0</v>
          </cell>
          <cell r="W1885">
            <v>0</v>
          </cell>
          <cell r="X1885" t="str">
            <v>EST ALMOFADA LOLITA GRAFITE - 0,5x0,5x0H</v>
          </cell>
          <cell r="Y1885">
            <v>413.95</v>
          </cell>
          <cell r="Z1885">
            <v>0.5</v>
          </cell>
          <cell r="AA1885">
            <v>206.97499999999999</v>
          </cell>
          <cell r="AB1885"/>
        </row>
        <row r="1886">
          <cell r="C1886">
            <v>7</v>
          </cell>
          <cell r="D1886">
            <v>0</v>
          </cell>
          <cell r="E1886">
            <v>0</v>
          </cell>
          <cell r="F1886">
            <v>0</v>
          </cell>
          <cell r="H1886">
            <v>0</v>
          </cell>
          <cell r="O1886">
            <v>314832</v>
          </cell>
          <cell r="P1886" t="str">
            <v>2021/344-0082-01</v>
          </cell>
          <cell r="Q1886" t="str">
            <v>EST ALMOFADA LOLITA GRAFITE</v>
          </cell>
          <cell r="R1886"/>
          <cell r="S1886"/>
          <cell r="T1886">
            <v>0.5</v>
          </cell>
          <cell r="U1886">
            <v>0.5</v>
          </cell>
          <cell r="V1886">
            <v>0</v>
          </cell>
          <cell r="W1886">
            <v>0</v>
          </cell>
          <cell r="X1886" t="str">
            <v>EST ALMOFADA LOLITA GRAFITE - 0,5x0,5x0H</v>
          </cell>
          <cell r="Y1886">
            <v>413.95</v>
          </cell>
          <cell r="Z1886">
            <v>0.5</v>
          </cell>
          <cell r="AA1886">
            <v>206.97499999999999</v>
          </cell>
          <cell r="AB1886"/>
        </row>
        <row r="1887">
          <cell r="C1887">
            <v>7</v>
          </cell>
          <cell r="D1887">
            <v>0</v>
          </cell>
          <cell r="E1887">
            <v>0</v>
          </cell>
          <cell r="F1887">
            <v>0</v>
          </cell>
          <cell r="H1887">
            <v>0</v>
          </cell>
          <cell r="O1887">
            <v>314832</v>
          </cell>
          <cell r="P1887" t="str">
            <v>2021/344-0085-01</v>
          </cell>
          <cell r="Q1887" t="str">
            <v>EST ALMOFADA LOLITA GRAFITE</v>
          </cell>
          <cell r="R1887"/>
          <cell r="S1887"/>
          <cell r="T1887">
            <v>0.5</v>
          </cell>
          <cell r="U1887">
            <v>0.5</v>
          </cell>
          <cell r="V1887">
            <v>0</v>
          </cell>
          <cell r="W1887">
            <v>0</v>
          </cell>
          <cell r="X1887" t="str">
            <v>EST ALMOFADA LOLITA GRAFITE - 0,5x0,5x0H</v>
          </cell>
          <cell r="Y1887">
            <v>413.95</v>
          </cell>
          <cell r="Z1887">
            <v>0.5</v>
          </cell>
          <cell r="AA1887">
            <v>206.97499999999999</v>
          </cell>
          <cell r="AB1887"/>
        </row>
        <row r="1888">
          <cell r="C1888">
            <v>7</v>
          </cell>
          <cell r="D1888">
            <v>0</v>
          </cell>
          <cell r="E1888">
            <v>0</v>
          </cell>
          <cell r="F1888">
            <v>0</v>
          </cell>
          <cell r="H1888">
            <v>0</v>
          </cell>
          <cell r="O1888">
            <v>314832</v>
          </cell>
          <cell r="P1888" t="str">
            <v>2021/344-0086-01</v>
          </cell>
          <cell r="Q1888" t="str">
            <v>EST ALMOFADA LOLITA GRAFITE</v>
          </cell>
          <cell r="R1888"/>
          <cell r="S1888"/>
          <cell r="T1888">
            <v>0.5</v>
          </cell>
          <cell r="U1888">
            <v>0.5</v>
          </cell>
          <cell r="V1888">
            <v>0</v>
          </cell>
          <cell r="W1888">
            <v>0</v>
          </cell>
          <cell r="X1888" t="str">
            <v>EST ALMOFADA LOLITA GRAFITE - 0,5x0,5x0H</v>
          </cell>
          <cell r="Y1888">
            <v>413.95</v>
          </cell>
          <cell r="Z1888">
            <v>0.5</v>
          </cell>
          <cell r="AA1888">
            <v>206.97499999999999</v>
          </cell>
          <cell r="AB1888"/>
        </row>
        <row r="1889">
          <cell r="C1889">
            <v>4</v>
          </cell>
          <cell r="D1889">
            <v>0</v>
          </cell>
          <cell r="E1889">
            <v>0</v>
          </cell>
          <cell r="F1889">
            <v>0</v>
          </cell>
          <cell r="H1889">
            <v>0</v>
          </cell>
          <cell r="O1889">
            <v>314833</v>
          </cell>
          <cell r="P1889" t="str">
            <v>2021/344-0089-01</v>
          </cell>
          <cell r="Q1889" t="str">
            <v>EST ALMOFADA LOLITA MARINHO</v>
          </cell>
          <cell r="R1889"/>
          <cell r="S1889"/>
          <cell r="T1889">
            <v>0.5</v>
          </cell>
          <cell r="U1889">
            <v>0.5</v>
          </cell>
          <cell r="V1889">
            <v>0</v>
          </cell>
          <cell r="W1889">
            <v>0</v>
          </cell>
          <cell r="X1889" t="str">
            <v>EST ALMOFADA LOLITA MARINHO - 0,5x0,5x0H</v>
          </cell>
          <cell r="Y1889">
            <v>413.95</v>
          </cell>
          <cell r="Z1889">
            <v>0.5</v>
          </cell>
          <cell r="AA1889">
            <v>206.97499999999999</v>
          </cell>
          <cell r="AB1889"/>
        </row>
        <row r="1890">
          <cell r="C1890">
            <v>4</v>
          </cell>
          <cell r="D1890">
            <v>0</v>
          </cell>
          <cell r="E1890">
            <v>0</v>
          </cell>
          <cell r="F1890">
            <v>0</v>
          </cell>
          <cell r="H1890">
            <v>0</v>
          </cell>
          <cell r="O1890">
            <v>314833</v>
          </cell>
          <cell r="P1890" t="str">
            <v>2021/344-0090-01</v>
          </cell>
          <cell r="Q1890" t="str">
            <v>EST ALMOFADA LOLITA MARINHO</v>
          </cell>
          <cell r="R1890"/>
          <cell r="S1890"/>
          <cell r="T1890">
            <v>0.5</v>
          </cell>
          <cell r="U1890">
            <v>0.5</v>
          </cell>
          <cell r="V1890">
            <v>0</v>
          </cell>
          <cell r="W1890">
            <v>0</v>
          </cell>
          <cell r="X1890" t="str">
            <v>EST ALMOFADA LOLITA MARINHO - 0,5x0,5x0H</v>
          </cell>
          <cell r="Y1890">
            <v>413.95</v>
          </cell>
          <cell r="Z1890">
            <v>0.5</v>
          </cell>
          <cell r="AA1890">
            <v>206.97499999999999</v>
          </cell>
          <cell r="AB1890"/>
        </row>
        <row r="1891">
          <cell r="C1891">
            <v>4</v>
          </cell>
          <cell r="D1891">
            <v>0</v>
          </cell>
          <cell r="E1891">
            <v>0</v>
          </cell>
          <cell r="F1891">
            <v>0</v>
          </cell>
          <cell r="H1891">
            <v>0</v>
          </cell>
          <cell r="O1891">
            <v>314833</v>
          </cell>
          <cell r="P1891" t="str">
            <v>2021/344-0091-01</v>
          </cell>
          <cell r="Q1891" t="str">
            <v>EST ALMOFADA LOLITA MARINHO</v>
          </cell>
          <cell r="R1891"/>
          <cell r="S1891"/>
          <cell r="T1891">
            <v>0.5</v>
          </cell>
          <cell r="U1891">
            <v>0.5</v>
          </cell>
          <cell r="V1891">
            <v>0</v>
          </cell>
          <cell r="W1891">
            <v>0</v>
          </cell>
          <cell r="X1891" t="str">
            <v>EST ALMOFADA LOLITA MARINHO - 0,5x0,5x0H</v>
          </cell>
          <cell r="Y1891">
            <v>413.95</v>
          </cell>
          <cell r="Z1891">
            <v>0.5</v>
          </cell>
          <cell r="AA1891">
            <v>206.97499999999999</v>
          </cell>
          <cell r="AB1891"/>
        </row>
        <row r="1892">
          <cell r="C1892">
            <v>4</v>
          </cell>
          <cell r="D1892">
            <v>0</v>
          </cell>
          <cell r="E1892">
            <v>0</v>
          </cell>
          <cell r="F1892">
            <v>0</v>
          </cell>
          <cell r="H1892">
            <v>0</v>
          </cell>
          <cell r="O1892">
            <v>314833</v>
          </cell>
          <cell r="P1892" t="str">
            <v>2021/344-0096-01</v>
          </cell>
          <cell r="Q1892" t="str">
            <v>EST ALMOFADA LOLITA MARINHO</v>
          </cell>
          <cell r="R1892"/>
          <cell r="S1892"/>
          <cell r="T1892">
            <v>0.5</v>
          </cell>
          <cell r="U1892">
            <v>0.5</v>
          </cell>
          <cell r="V1892">
            <v>0</v>
          </cell>
          <cell r="W1892">
            <v>0</v>
          </cell>
          <cell r="X1892" t="str">
            <v>EST ALMOFADA LOLITA MARINHO - 0,5x0,5x0H</v>
          </cell>
          <cell r="Y1892">
            <v>413.95</v>
          </cell>
          <cell r="Z1892">
            <v>0.5</v>
          </cell>
          <cell r="AA1892">
            <v>206.97499999999999</v>
          </cell>
          <cell r="AB1892"/>
        </row>
        <row r="1893">
          <cell r="C1893">
            <v>2</v>
          </cell>
          <cell r="D1893">
            <v>0</v>
          </cell>
          <cell r="E1893">
            <v>0</v>
          </cell>
          <cell r="F1893">
            <v>0</v>
          </cell>
          <cell r="H1893">
            <v>0</v>
          </cell>
          <cell r="O1893">
            <v>363865</v>
          </cell>
          <cell r="P1893" t="str">
            <v>2023/132-0001-01</v>
          </cell>
          <cell r="Q1893" t="str">
            <v>EST POLTRONA POMME FX G7125</v>
          </cell>
          <cell r="R1893"/>
          <cell r="S1893"/>
          <cell r="T1893">
            <v>1.3</v>
          </cell>
          <cell r="U1893">
            <v>0.9</v>
          </cell>
          <cell r="V1893">
            <v>0.7</v>
          </cell>
          <cell r="W1893">
            <v>0</v>
          </cell>
          <cell r="X1893" t="str">
            <v>EST POLTRONA POMME FX G7125 - 1,3x0,9x0,7H</v>
          </cell>
          <cell r="Y1893">
            <v>27827.79</v>
          </cell>
          <cell r="Z1893">
            <v>0.5</v>
          </cell>
          <cell r="AA1893">
            <v>13913.895</v>
          </cell>
          <cell r="AB1893"/>
        </row>
        <row r="1894">
          <cell r="C1894">
            <v>2</v>
          </cell>
          <cell r="D1894">
            <v>0</v>
          </cell>
          <cell r="E1894">
            <v>0</v>
          </cell>
          <cell r="F1894">
            <v>0</v>
          </cell>
          <cell r="H1894">
            <v>0</v>
          </cell>
          <cell r="O1894">
            <v>363865</v>
          </cell>
          <cell r="P1894" t="str">
            <v>2023/132-0002-01</v>
          </cell>
          <cell r="Q1894" t="str">
            <v>EST POLTRONA POMME FX G7125</v>
          </cell>
          <cell r="R1894"/>
          <cell r="S1894"/>
          <cell r="T1894">
            <v>1.3</v>
          </cell>
          <cell r="U1894">
            <v>0.9</v>
          </cell>
          <cell r="V1894">
            <v>0.7</v>
          </cell>
          <cell r="W1894">
            <v>0</v>
          </cell>
          <cell r="X1894" t="str">
            <v>EST POLTRONA POMME FX G7125 - 1,3x0,9x0,7H</v>
          </cell>
          <cell r="Y1894">
            <v>27827.79</v>
          </cell>
          <cell r="Z1894">
            <v>0.5</v>
          </cell>
          <cell r="AA1894">
            <v>13913.895</v>
          </cell>
          <cell r="AB1894"/>
        </row>
        <row r="1895">
          <cell r="C1895">
            <v>1</v>
          </cell>
          <cell r="D1895">
            <v>0</v>
          </cell>
          <cell r="E1895">
            <v>0</v>
          </cell>
          <cell r="F1895">
            <v>0</v>
          </cell>
          <cell r="H1895">
            <v>0</v>
          </cell>
          <cell r="O1895">
            <v>274996</v>
          </cell>
          <cell r="P1895" t="str">
            <v>2021/165-0078-01</v>
          </cell>
          <cell r="Q1895" t="str">
            <v>EST MESA LATERAL BUZIOS 600 (TP GRIGIO USINADO/MTX PT)</v>
          </cell>
          <cell r="R1895"/>
          <cell r="S1895"/>
          <cell r="T1895">
            <v>0.6</v>
          </cell>
          <cell r="U1895">
            <v>0</v>
          </cell>
          <cell r="V1895">
            <v>0.41</v>
          </cell>
          <cell r="W1895">
            <v>0.6</v>
          </cell>
          <cell r="X1895" t="str">
            <v>EST MESA LATERAL BUZIOS 600 (TP GRIGIO USINADO/MTX PT) - Ø0,6x0,41H</v>
          </cell>
          <cell r="Y1895">
            <v>12665</v>
          </cell>
          <cell r="Z1895">
            <v>0.35</v>
          </cell>
          <cell r="AA1895">
            <v>8232.25</v>
          </cell>
          <cell r="AB1895"/>
        </row>
        <row r="1896">
          <cell r="C1896">
            <v>1</v>
          </cell>
          <cell r="D1896">
            <v>0</v>
          </cell>
          <cell r="E1896">
            <v>0</v>
          </cell>
          <cell r="F1896">
            <v>0</v>
          </cell>
          <cell r="H1896">
            <v>0</v>
          </cell>
          <cell r="O1896">
            <v>275007</v>
          </cell>
          <cell r="P1896" t="str">
            <v>2021/165-0110-01</v>
          </cell>
          <cell r="Q1896" t="str">
            <v>EST BANCO ZOE (LAMINADO/INTERNO LAMINADO FREIJO)</v>
          </cell>
          <cell r="R1896"/>
          <cell r="S1896"/>
          <cell r="T1896">
            <v>2.4</v>
          </cell>
          <cell r="U1896">
            <v>0.48</v>
          </cell>
          <cell r="V1896">
            <v>0.43</v>
          </cell>
          <cell r="W1896">
            <v>0</v>
          </cell>
          <cell r="X1896" t="str">
            <v>EST BANCO ZOE (LAMINADO/INTERNO LAMINADO FREIJO) - 2,4x0,48x0,43H</v>
          </cell>
          <cell r="Y1896">
            <v>33295.629999999997</v>
          </cell>
          <cell r="Z1896">
            <v>0.35</v>
          </cell>
          <cell r="AA1896">
            <v>21642.159500000002</v>
          </cell>
          <cell r="AB1896"/>
        </row>
        <row r="1897">
          <cell r="C1897">
            <v>1</v>
          </cell>
          <cell r="D1897">
            <v>0</v>
          </cell>
          <cell r="E1897">
            <v>0</v>
          </cell>
          <cell r="F1897">
            <v>0</v>
          </cell>
          <cell r="H1897">
            <v>0</v>
          </cell>
          <cell r="O1897">
            <v>275009</v>
          </cell>
          <cell r="P1897" t="str">
            <v>2021/162-0035-01</v>
          </cell>
          <cell r="Q1897" t="str">
            <v>EST MESA CENTRO ARAL (TP NOGUEIRA/BS MTX CORTEN)</v>
          </cell>
          <cell r="R1897"/>
          <cell r="S1897"/>
          <cell r="T1897">
            <v>1.25</v>
          </cell>
          <cell r="U1897">
            <v>1.25</v>
          </cell>
          <cell r="V1897">
            <v>0.27</v>
          </cell>
          <cell r="W1897">
            <v>0</v>
          </cell>
          <cell r="X1897" t="str">
            <v>EST MESA CENTRO ARAL (TP NOGUEIRA/BS MTX CORTEN) - 1,25x1,25x0,27H</v>
          </cell>
          <cell r="Y1897">
            <v>19842.86</v>
          </cell>
          <cell r="Z1897">
            <v>0.35</v>
          </cell>
          <cell r="AA1897">
            <v>12897.859</v>
          </cell>
          <cell r="AB1897"/>
        </row>
        <row r="1898">
          <cell r="C1898">
            <v>1</v>
          </cell>
          <cell r="D1898">
            <v>0</v>
          </cell>
          <cell r="E1898">
            <v>0</v>
          </cell>
          <cell r="F1898">
            <v>0</v>
          </cell>
          <cell r="H1898">
            <v>0</v>
          </cell>
          <cell r="O1898">
            <v>275011</v>
          </cell>
          <cell r="P1898" t="str">
            <v>2021/162-0036-01</v>
          </cell>
          <cell r="Q1898" t="str">
            <v>EST MESA CENTRO ARAL (TP CALACATA/SUB NOG/BS MTX CORTEN)</v>
          </cell>
          <cell r="R1898"/>
          <cell r="S1898"/>
          <cell r="T1898">
            <v>1.1000000000000001</v>
          </cell>
          <cell r="U1898">
            <v>1.1000000000000001</v>
          </cell>
          <cell r="V1898">
            <v>0.27</v>
          </cell>
          <cell r="W1898">
            <v>0</v>
          </cell>
          <cell r="X1898" t="str">
            <v>EST MESA CENTRO ARAL (TP CALACATA/SUB NOG/BS MTX CORTEN) - 1,1x1,1x0,27H</v>
          </cell>
          <cell r="Y1898">
            <v>35774.28</v>
          </cell>
          <cell r="Z1898">
            <v>0.35</v>
          </cell>
          <cell r="AA1898">
            <v>23253.281999999999</v>
          </cell>
          <cell r="AB1898"/>
        </row>
        <row r="1899">
          <cell r="C1899">
            <v>1</v>
          </cell>
          <cell r="D1899">
            <v>0</v>
          </cell>
          <cell r="E1899">
            <v>0</v>
          </cell>
          <cell r="F1899">
            <v>0</v>
          </cell>
          <cell r="H1899">
            <v>0</v>
          </cell>
          <cell r="O1899">
            <v>363864</v>
          </cell>
          <cell r="P1899" t="str">
            <v>2023/128-0010-01</v>
          </cell>
          <cell r="Q1899" t="str">
            <v>EST SOFA POMME TC TARENTO 12</v>
          </cell>
          <cell r="R1899"/>
          <cell r="S1899"/>
          <cell r="T1899">
            <v>2.8</v>
          </cell>
          <cell r="U1899">
            <v>0.9</v>
          </cell>
          <cell r="V1899">
            <v>0.7</v>
          </cell>
          <cell r="W1899">
            <v>0</v>
          </cell>
          <cell r="X1899" t="str">
            <v>EST SOFA POMME TC TARENTO 12 - 2,8x0,9x0,7H</v>
          </cell>
          <cell r="Y1899">
            <v>50109.65</v>
          </cell>
          <cell r="Z1899">
            <v>0.35</v>
          </cell>
          <cell r="AA1899">
            <v>32571.272500000003</v>
          </cell>
          <cell r="AB1899"/>
        </row>
        <row r="1900">
          <cell r="C1900">
            <v>1</v>
          </cell>
          <cell r="D1900">
            <v>0</v>
          </cell>
          <cell r="E1900">
            <v>0</v>
          </cell>
          <cell r="F1900">
            <v>0</v>
          </cell>
          <cell r="H1900">
            <v>0</v>
          </cell>
          <cell r="O1900">
            <v>391398</v>
          </cell>
          <cell r="P1900" t="str">
            <v>2024/248-0013-01</v>
          </cell>
          <cell r="Q1900" t="str">
            <v>EST SOFA NEW CHATEAU (BI PARTIDO) (PES MTX PRETO) TC D4236</v>
          </cell>
          <cell r="R1900"/>
          <cell r="S1900"/>
          <cell r="T1900">
            <v>2.36</v>
          </cell>
          <cell r="U1900">
            <v>0.96</v>
          </cell>
          <cell r="V1900">
            <v>0.8</v>
          </cell>
          <cell r="W1900">
            <v>0</v>
          </cell>
          <cell r="X1900" t="str">
            <v>EST SOFA NEW CHATEAU (BI PARTIDO) (PES MTX PRETO) TC D4236 - 2,36x0,96x0,8H</v>
          </cell>
          <cell r="Y1900">
            <v>27285.57</v>
          </cell>
          <cell r="Z1900">
            <v>0.35</v>
          </cell>
          <cell r="AA1900">
            <v>17735.620500000001</v>
          </cell>
          <cell r="AB1900"/>
        </row>
        <row r="1901">
          <cell r="C1901">
            <v>1</v>
          </cell>
          <cell r="D1901">
            <v>0</v>
          </cell>
          <cell r="E1901">
            <v>0</v>
          </cell>
          <cell r="F1901">
            <v>0</v>
          </cell>
          <cell r="H1901">
            <v>0</v>
          </cell>
          <cell r="O1901">
            <v>394990</v>
          </cell>
          <cell r="P1901" t="str">
            <v>2025/014-0049-01</v>
          </cell>
          <cell r="Q1901" t="str">
            <v>EST BANCO VITALITE II (MTZ GOLD) (ESP CARV) (TRAV) FX C3180</v>
          </cell>
          <cell r="R1901"/>
          <cell r="S1901"/>
          <cell r="T1901">
            <v>1.98</v>
          </cell>
          <cell r="U1901">
            <v>0.45</v>
          </cell>
          <cell r="V1901">
            <v>1.65</v>
          </cell>
          <cell r="W1901">
            <v>0</v>
          </cell>
          <cell r="X1901" t="str">
            <v>EST BANCO VITALITE II (MTZ GOLD) (ESP CARV) (TRAV) FX C3180 - 1,98x0,45x1,65H</v>
          </cell>
          <cell r="Y1901">
            <v>22877.08</v>
          </cell>
          <cell r="Z1901">
            <v>0.35</v>
          </cell>
          <cell r="AA1901">
            <v>14870.102000000003</v>
          </cell>
          <cell r="AB1901"/>
        </row>
        <row r="1902">
          <cell r="C1902">
            <v>1</v>
          </cell>
          <cell r="D1902">
            <v>1</v>
          </cell>
          <cell r="E1902">
            <v>0</v>
          </cell>
          <cell r="F1902">
            <v>0</v>
          </cell>
          <cell r="H1902">
            <v>0</v>
          </cell>
          <cell r="O1902">
            <v>398672</v>
          </cell>
          <cell r="P1902" t="str">
            <v>2024/305-0059-01</v>
          </cell>
          <cell r="Q1902" t="str">
            <v>EST MESA LATERAL BUZIOS 300 (TP CALACATA RETO/CONC CARB)</v>
          </cell>
          <cell r="R1902"/>
          <cell r="S1902"/>
          <cell r="T1902">
            <v>0.3</v>
          </cell>
          <cell r="U1902">
            <v>0</v>
          </cell>
          <cell r="V1902">
            <v>0.55000000000000004</v>
          </cell>
          <cell r="W1902">
            <v>0.3</v>
          </cell>
          <cell r="X1902" t="str">
            <v>EST MESA LATERAL BUZIOS 300 (TP CALACATA RETO/CONC CARB) - Ø0,3x0,55H</v>
          </cell>
          <cell r="Y1902">
            <v>5745.06</v>
          </cell>
          <cell r="Z1902">
            <v>0.35</v>
          </cell>
          <cell r="AA1902">
            <v>3734.2890000000007</v>
          </cell>
          <cell r="AB1902"/>
        </row>
        <row r="1903">
          <cell r="C1903">
            <v>0</v>
          </cell>
          <cell r="D1903">
            <v>2</v>
          </cell>
          <cell r="E1903">
            <v>0</v>
          </cell>
          <cell r="F1903">
            <v>0</v>
          </cell>
          <cell r="H1903">
            <v>0</v>
          </cell>
          <cell r="O1903">
            <v>299549</v>
          </cell>
          <cell r="P1903" t="str">
            <v>2022/042-0025-01</v>
          </cell>
          <cell r="Q1903" t="str">
            <v>EST POLTRONA ETTRO (BC LAMIN NOG) FX C3008/REC 7440/M CLARO</v>
          </cell>
          <cell r="R1903"/>
          <cell r="S1903"/>
          <cell r="T1903">
            <v>0.87</v>
          </cell>
          <cell r="U1903">
            <v>0.9</v>
          </cell>
          <cell r="V1903">
            <v>0.74</v>
          </cell>
          <cell r="W1903">
            <v>0</v>
          </cell>
          <cell r="X1903" t="str">
            <v>EST POLTRONA ETTRO (BC LAMIN NOG) FX C3008/REC 7440/M CLARO - 0,87x0,9x0,74H</v>
          </cell>
          <cell r="Y1903">
            <v>18143.189999999999</v>
          </cell>
          <cell r="Z1903">
            <v>0.35</v>
          </cell>
          <cell r="AA1903">
            <v>11793.073499999999</v>
          </cell>
          <cell r="AB1903"/>
        </row>
        <row r="1904">
          <cell r="C1904">
            <v>0</v>
          </cell>
          <cell r="D1904">
            <v>2</v>
          </cell>
          <cell r="E1904">
            <v>0</v>
          </cell>
          <cell r="F1904">
            <v>0</v>
          </cell>
          <cell r="H1904">
            <v>0</v>
          </cell>
          <cell r="O1904">
            <v>299549</v>
          </cell>
          <cell r="P1904" t="str">
            <v>2022/042-0026-01</v>
          </cell>
          <cell r="Q1904" t="str">
            <v>EST POLTRONA ETTRO (BC LAMIN NOG) FX C3008/REC 7440/M CLARO</v>
          </cell>
          <cell r="R1904"/>
          <cell r="S1904"/>
          <cell r="T1904">
            <v>0.87</v>
          </cell>
          <cell r="U1904">
            <v>0.9</v>
          </cell>
          <cell r="V1904">
            <v>0.74</v>
          </cell>
          <cell r="W1904">
            <v>0</v>
          </cell>
          <cell r="X1904" t="str">
            <v>EST POLTRONA ETTRO (BC LAMIN NOG) FX C3008/REC 7440/M CLARO - 0,87x0,9x0,74H</v>
          </cell>
          <cell r="Y1904">
            <v>18143.189999999999</v>
          </cell>
          <cell r="Z1904">
            <v>0.35</v>
          </cell>
          <cell r="AA1904">
            <v>11793.073499999999</v>
          </cell>
          <cell r="AB1904"/>
        </row>
        <row r="1905">
          <cell r="C1905">
            <v>0</v>
          </cell>
          <cell r="D1905">
            <v>1</v>
          </cell>
          <cell r="E1905">
            <v>0</v>
          </cell>
          <cell r="F1905">
            <v>0</v>
          </cell>
          <cell r="H1905">
            <v>1</v>
          </cell>
          <cell r="O1905">
            <v>328005</v>
          </cell>
          <cell r="P1905" t="str">
            <v>2022/160-0025-01</v>
          </cell>
          <cell r="Q1905" t="str">
            <v>EST POLTRONA KAZZ TC C3016/REC 2562/ESTRUTURA MARROM CLARO</v>
          </cell>
          <cell r="R1905"/>
          <cell r="S1905"/>
          <cell r="T1905">
            <v>0.85</v>
          </cell>
          <cell r="U1905">
            <v>0.85</v>
          </cell>
          <cell r="V1905">
            <v>0.75</v>
          </cell>
          <cell r="W1905">
            <v>0</v>
          </cell>
          <cell r="X1905" t="str">
            <v>EST POLTRONA KAZZ TC C3016/REC 2562/ESTRUTURA MARROM CLARO - 0,85x0,85x0,75H</v>
          </cell>
          <cell r="Y1905">
            <v>18360.2</v>
          </cell>
          <cell r="Z1905">
            <v>0.35</v>
          </cell>
          <cell r="AA1905">
            <v>11934.130000000001</v>
          </cell>
          <cell r="AB1905"/>
        </row>
        <row r="1906">
          <cell r="C1906">
            <v>0</v>
          </cell>
          <cell r="D1906">
            <v>1</v>
          </cell>
          <cell r="E1906">
            <v>0</v>
          </cell>
          <cell r="F1906">
            <v>0</v>
          </cell>
          <cell r="H1906">
            <v>0</v>
          </cell>
          <cell r="O1906">
            <v>372725</v>
          </cell>
          <cell r="P1906" t="str">
            <v>2023/269-0058-01</v>
          </cell>
          <cell r="Q1906" t="str">
            <v>EST POLTRONA SUMA HIGH (COURO TP2 GARBO SILVESTRE) DET ONIX</v>
          </cell>
          <cell r="R1906"/>
          <cell r="S1906"/>
          <cell r="T1906">
            <v>0.68</v>
          </cell>
          <cell r="U1906">
            <v>0.93</v>
          </cell>
          <cell r="V1906">
            <v>0.87</v>
          </cell>
          <cell r="W1906">
            <v>0</v>
          </cell>
          <cell r="X1906" t="str">
            <v>EST POLTRONA SUMA HIGH (COURO TP2 GARBO SILVESTRE) DET ONIX - 0,68x0,93x0,87H</v>
          </cell>
          <cell r="Y1906">
            <v>21831.22</v>
          </cell>
          <cell r="Z1906">
            <v>0.35</v>
          </cell>
          <cell r="AA1906">
            <v>14190.293000000001</v>
          </cell>
          <cell r="AB1906"/>
        </row>
        <row r="1907">
          <cell r="C1907">
            <v>0</v>
          </cell>
          <cell r="D1907">
            <v>1</v>
          </cell>
          <cell r="E1907">
            <v>0</v>
          </cell>
          <cell r="F1907">
            <v>0</v>
          </cell>
          <cell r="H1907">
            <v>0</v>
          </cell>
          <cell r="O1907">
            <v>372727</v>
          </cell>
          <cell r="P1907" t="str">
            <v>2023/269-0059-01</v>
          </cell>
          <cell r="Q1907" t="str">
            <v>EST BANQUETA SUMA COURO TP2 GARBO SILVESTRE/BASE ONIX</v>
          </cell>
          <cell r="R1907"/>
          <cell r="S1907"/>
          <cell r="T1907">
            <v>0.54</v>
          </cell>
          <cell r="U1907">
            <v>0.43</v>
          </cell>
          <cell r="V1907">
            <v>0.37</v>
          </cell>
          <cell r="W1907">
            <v>0</v>
          </cell>
          <cell r="X1907" t="str">
            <v>EST BANQUETA SUMA COURO TP2 GARBO SILVESTRE/BASE ONIX - 0,54x0,43x0,37H</v>
          </cell>
          <cell r="Y1907">
            <v>4211.16</v>
          </cell>
          <cell r="Z1907">
            <v>0.35</v>
          </cell>
          <cell r="AA1907">
            <v>2737.2539999999999</v>
          </cell>
          <cell r="AB1907"/>
        </row>
        <row r="1908">
          <cell r="C1908">
            <v>0</v>
          </cell>
          <cell r="D1908">
            <v>0</v>
          </cell>
          <cell r="E1908">
            <v>0</v>
          </cell>
          <cell r="F1908">
            <v>0</v>
          </cell>
          <cell r="H1908">
            <v>1</v>
          </cell>
          <cell r="O1908">
            <v>379020</v>
          </cell>
          <cell r="P1908" t="str">
            <v>2024/073-0006-01</v>
          </cell>
          <cell r="Q1908" t="str">
            <v>EST POLTRONA GALAPAGOS (COURO TP2 PROMO GRANO SANDSTORM)</v>
          </cell>
          <cell r="R1908"/>
          <cell r="S1908"/>
          <cell r="T1908">
            <v>0.85</v>
          </cell>
          <cell r="U1908">
            <v>0.92</v>
          </cell>
          <cell r="V1908">
            <v>0.8</v>
          </cell>
          <cell r="W1908">
            <v>0</v>
          </cell>
          <cell r="X1908" t="str">
            <v>EST POLTRONA GALAPAGOS (COURO TP2 PROMO GRANO SANDSTORM) - 0,85x0,92x0,8H</v>
          </cell>
          <cell r="Y1908">
            <v>21164.1</v>
          </cell>
          <cell r="Z1908">
            <v>0.35</v>
          </cell>
          <cell r="AA1908">
            <v>13756.665000000001</v>
          </cell>
          <cell r="AB1908"/>
        </row>
        <row r="1909">
          <cell r="C1909">
            <v>0</v>
          </cell>
          <cell r="D1909">
            <v>2</v>
          </cell>
          <cell r="E1909">
            <v>0</v>
          </cell>
          <cell r="F1909">
            <v>0</v>
          </cell>
          <cell r="H1909">
            <v>0</v>
          </cell>
          <cell r="O1909">
            <v>379928</v>
          </cell>
          <cell r="P1909" t="str">
            <v>2024/219-0042-01</v>
          </cell>
          <cell r="Q1909" t="str">
            <v>EST POLTRONA BARISTA (COURO TP3 NOZES) COCOA/TAUPE</v>
          </cell>
          <cell r="R1909"/>
          <cell r="S1909"/>
          <cell r="T1909">
            <v>1</v>
          </cell>
          <cell r="U1909">
            <v>0.81</v>
          </cell>
          <cell r="V1909">
            <v>0.69</v>
          </cell>
          <cell r="W1909">
            <v>0</v>
          </cell>
          <cell r="X1909" t="str">
            <v>EST POLTRONA BARISTA (COURO TP3 NOZES) COCOA/TAUPE - 1x0,81x0,69H</v>
          </cell>
          <cell r="Y1909">
            <v>20192.61</v>
          </cell>
          <cell r="Z1909">
            <v>0.35</v>
          </cell>
          <cell r="AA1909">
            <v>13125.196500000002</v>
          </cell>
          <cell r="AB1909"/>
        </row>
        <row r="1910">
          <cell r="C1910">
            <v>0</v>
          </cell>
          <cell r="D1910">
            <v>2</v>
          </cell>
          <cell r="E1910">
            <v>0</v>
          </cell>
          <cell r="F1910">
            <v>0</v>
          </cell>
          <cell r="H1910">
            <v>0</v>
          </cell>
          <cell r="O1910">
            <v>379928</v>
          </cell>
          <cell r="P1910" t="str">
            <v>2024/219-0043-01</v>
          </cell>
          <cell r="Q1910" t="str">
            <v>EST POLTRONA BARISTA (COURO TP3 NOZES) COCOA/TAUPE</v>
          </cell>
          <cell r="R1910"/>
          <cell r="S1910"/>
          <cell r="T1910">
            <v>1</v>
          </cell>
          <cell r="U1910">
            <v>0.81</v>
          </cell>
          <cell r="V1910">
            <v>0.69</v>
          </cell>
          <cell r="W1910">
            <v>0</v>
          </cell>
          <cell r="X1910" t="str">
            <v>EST POLTRONA BARISTA (COURO TP3 NOZES) COCOA/TAUPE - 1x0,81x0,69H</v>
          </cell>
          <cell r="Y1910">
            <v>20192.61</v>
          </cell>
          <cell r="Z1910">
            <v>0.35</v>
          </cell>
          <cell r="AA1910">
            <v>13125.196500000002</v>
          </cell>
          <cell r="AB1910"/>
        </row>
        <row r="1911">
          <cell r="C1911">
            <v>0</v>
          </cell>
          <cell r="D1911">
            <v>2</v>
          </cell>
          <cell r="E1911">
            <v>0</v>
          </cell>
          <cell r="F1911">
            <v>0</v>
          </cell>
          <cell r="H1911">
            <v>0</v>
          </cell>
          <cell r="O1911">
            <v>406796</v>
          </cell>
          <cell r="P1911" t="str">
            <v>2025/149-0051-01</v>
          </cell>
          <cell r="Q1911" t="str">
            <v>EST ALMOFADA DECORATIVA (F 670) (FX J0500)</v>
          </cell>
          <cell r="R1911"/>
          <cell r="S1911"/>
          <cell r="T1911">
            <v>0.92</v>
          </cell>
          <cell r="U1911">
            <v>0.57999999999999996</v>
          </cell>
          <cell r="V1911">
            <v>0.4</v>
          </cell>
          <cell r="W1911">
            <v>0</v>
          </cell>
          <cell r="X1911" t="str">
            <v>EST ALMOFADA DECORATIVA (F 670) (FX J0500) - 0,92x0,58x0,4H</v>
          </cell>
          <cell r="Y1911">
            <v>1002.04</v>
          </cell>
          <cell r="Z1911">
            <v>0.35</v>
          </cell>
          <cell r="AA1911">
            <v>651.32600000000002</v>
          </cell>
          <cell r="AB1911"/>
        </row>
        <row r="1912">
          <cell r="C1912">
            <v>0</v>
          </cell>
          <cell r="D1912">
            <v>2</v>
          </cell>
          <cell r="E1912">
            <v>0</v>
          </cell>
          <cell r="F1912">
            <v>0</v>
          </cell>
          <cell r="H1912">
            <v>0</v>
          </cell>
          <cell r="O1912">
            <v>406796</v>
          </cell>
          <cell r="P1912" t="str">
            <v>2025/149-0052-01</v>
          </cell>
          <cell r="Q1912" t="str">
            <v>EST ALMOFADA DECORATIVA (F 670) (FX J0500)</v>
          </cell>
          <cell r="R1912"/>
          <cell r="S1912"/>
          <cell r="T1912">
            <v>2.2000000000000002</v>
          </cell>
          <cell r="U1912">
            <v>0.5</v>
          </cell>
          <cell r="V1912">
            <v>0.8</v>
          </cell>
          <cell r="W1912">
            <v>0</v>
          </cell>
          <cell r="X1912" t="str">
            <v>EST ALMOFADA DECORATIVA (F 670) (FX J0500) - 2,2x0,5x0,8H</v>
          </cell>
          <cell r="Y1912">
            <v>1002.04</v>
          </cell>
          <cell r="Z1912">
            <v>0.35</v>
          </cell>
          <cell r="AA1912">
            <v>651.32600000000002</v>
          </cell>
          <cell r="AB1912"/>
        </row>
        <row r="1913">
          <cell r="C1913">
            <v>0</v>
          </cell>
          <cell r="D1913">
            <v>0</v>
          </cell>
          <cell r="E1913">
            <v>0</v>
          </cell>
          <cell r="F1913">
            <v>0</v>
          </cell>
          <cell r="H1913">
            <v>2</v>
          </cell>
          <cell r="O1913">
            <v>406797</v>
          </cell>
          <cell r="P1913" t="str">
            <v>2025/149-0019-01</v>
          </cell>
          <cell r="Q1913" t="str">
            <v>EST ALMOFADA DECORATIVA (F 670) (FX B2080)</v>
          </cell>
          <cell r="R1913"/>
          <cell r="S1913"/>
          <cell r="T1913">
            <v>0.4</v>
          </cell>
          <cell r="U1913">
            <v>0.4</v>
          </cell>
          <cell r="V1913">
            <v>0</v>
          </cell>
          <cell r="W1913">
            <v>0</v>
          </cell>
          <cell r="X1913" t="str">
            <v>EST ALMOFADA DECORATIVA (F 670) (FX B2080) - 0,4x0,4x0H</v>
          </cell>
          <cell r="Y1913">
            <v>669.58</v>
          </cell>
          <cell r="Z1913">
            <v>0.5</v>
          </cell>
          <cell r="AA1913">
            <v>334.79</v>
          </cell>
          <cell r="AB1913"/>
        </row>
        <row r="1914">
          <cell r="C1914">
            <v>0</v>
          </cell>
          <cell r="D1914">
            <v>0</v>
          </cell>
          <cell r="E1914">
            <v>0</v>
          </cell>
          <cell r="F1914">
            <v>0</v>
          </cell>
          <cell r="H1914">
            <v>2</v>
          </cell>
          <cell r="O1914">
            <v>406797</v>
          </cell>
          <cell r="P1914" t="str">
            <v>2025/149-0020-01</v>
          </cell>
          <cell r="Q1914" t="str">
            <v>EST ALMOFADA DECORATIVA (F 670) (FX B2080)</v>
          </cell>
          <cell r="R1914"/>
          <cell r="S1914"/>
          <cell r="T1914">
            <v>0.4</v>
          </cell>
          <cell r="U1914">
            <v>0.4</v>
          </cell>
          <cell r="V1914">
            <v>0</v>
          </cell>
          <cell r="W1914">
            <v>0</v>
          </cell>
          <cell r="X1914" t="str">
            <v>EST ALMOFADA DECORATIVA (F 670) (FX B2080) - 0,4x0,4x0H</v>
          </cell>
          <cell r="Y1914">
            <v>669.58</v>
          </cell>
          <cell r="Z1914">
            <v>0.5</v>
          </cell>
          <cell r="AA1914">
            <v>334.79</v>
          </cell>
          <cell r="AB1914"/>
        </row>
        <row r="1915">
          <cell r="C1915">
            <v>0</v>
          </cell>
          <cell r="D1915">
            <v>0</v>
          </cell>
          <cell r="E1915">
            <v>0</v>
          </cell>
          <cell r="F1915">
            <v>0</v>
          </cell>
          <cell r="H1915">
            <v>2</v>
          </cell>
          <cell r="O1915">
            <v>406798</v>
          </cell>
          <cell r="P1915" t="str">
            <v>2025/149-0021-01</v>
          </cell>
          <cell r="Q1915" t="str">
            <v>EST ALMOFADA DECORATIVA (F 670) (FX B2080)</v>
          </cell>
          <cell r="R1915"/>
          <cell r="S1915"/>
          <cell r="T1915">
            <v>0.5</v>
          </cell>
          <cell r="U1915">
            <v>0.5</v>
          </cell>
          <cell r="V1915">
            <v>0</v>
          </cell>
          <cell r="W1915">
            <v>0</v>
          </cell>
          <cell r="X1915" t="str">
            <v>EST ALMOFADA DECORATIVA (F 670) (FX B2080) - 0,5x0,5x0H</v>
          </cell>
          <cell r="Y1915">
            <v>738.84</v>
          </cell>
          <cell r="Z1915">
            <v>0.5</v>
          </cell>
          <cell r="AA1915">
            <v>369.42</v>
          </cell>
          <cell r="AB1915"/>
        </row>
        <row r="1916">
          <cell r="C1916">
            <v>0</v>
          </cell>
          <cell r="D1916">
            <v>0</v>
          </cell>
          <cell r="E1916">
            <v>0</v>
          </cell>
          <cell r="F1916">
            <v>0</v>
          </cell>
          <cell r="H1916">
            <v>2</v>
          </cell>
          <cell r="O1916">
            <v>406798</v>
          </cell>
          <cell r="P1916" t="str">
            <v>2025/149-0022-01</v>
          </cell>
          <cell r="Q1916" t="str">
            <v>EST ALMOFADA DECORATIVA (F 670) (FX B2080)</v>
          </cell>
          <cell r="R1916"/>
          <cell r="S1916"/>
          <cell r="T1916">
            <v>0.5</v>
          </cell>
          <cell r="U1916">
            <v>0.5</v>
          </cell>
          <cell r="V1916">
            <v>0</v>
          </cell>
          <cell r="W1916">
            <v>0</v>
          </cell>
          <cell r="X1916" t="str">
            <v>EST ALMOFADA DECORATIVA (F 670) (FX B2080) - 0,5x0,5x0H</v>
          </cell>
          <cell r="Y1916">
            <v>738.84</v>
          </cell>
          <cell r="Z1916">
            <v>0.5</v>
          </cell>
          <cell r="AA1916">
            <v>369.42</v>
          </cell>
          <cell r="AB1916"/>
        </row>
        <row r="1917">
          <cell r="C1917">
            <v>2</v>
          </cell>
          <cell r="D1917">
            <v>0</v>
          </cell>
          <cell r="E1917">
            <v>0</v>
          </cell>
          <cell r="F1917">
            <v>0</v>
          </cell>
          <cell r="H1917">
            <v>0</v>
          </cell>
          <cell r="O1917">
            <v>379021</v>
          </cell>
          <cell r="P1917" t="str">
            <v>2024/065-0102-01</v>
          </cell>
          <cell r="Q1917" t="str">
            <v>EST POLTRONA GALAPAGOS (COURO TP3 PROMO LA PAZ PINHAO FSC)</v>
          </cell>
          <cell r="R1917"/>
          <cell r="S1917"/>
          <cell r="T1917">
            <v>0.85</v>
          </cell>
          <cell r="U1917">
            <v>0.92</v>
          </cell>
          <cell r="V1917">
            <v>0.8</v>
          </cell>
          <cell r="W1917">
            <v>0</v>
          </cell>
          <cell r="X1917" t="str">
            <v>EST POLTRONA GALAPAGOS (COURO TP3 PROMO LA PAZ PINHAO FSC) - 0,85x0,92x0,8H</v>
          </cell>
          <cell r="Y1917">
            <v>22160.59</v>
          </cell>
          <cell r="Z1917">
            <v>0.35</v>
          </cell>
          <cell r="AA1917">
            <v>14404.3835</v>
          </cell>
          <cell r="AB1917"/>
        </row>
        <row r="1918">
          <cell r="C1918">
            <v>2</v>
          </cell>
          <cell r="D1918">
            <v>0</v>
          </cell>
          <cell r="E1918">
            <v>0</v>
          </cell>
          <cell r="F1918">
            <v>0</v>
          </cell>
          <cell r="H1918">
            <v>0</v>
          </cell>
          <cell r="O1918">
            <v>379021</v>
          </cell>
          <cell r="P1918" t="str">
            <v>2024/065-0103-01</v>
          </cell>
          <cell r="Q1918" t="str">
            <v>EST POLTRONA GALAPAGOS (COURO TP3 PROMO LA PAZ PINHAO FSC)</v>
          </cell>
          <cell r="R1918"/>
          <cell r="S1918"/>
          <cell r="T1918">
            <v>0.85</v>
          </cell>
          <cell r="U1918">
            <v>0.92</v>
          </cell>
          <cell r="V1918">
            <v>0.8</v>
          </cell>
          <cell r="W1918">
            <v>0</v>
          </cell>
          <cell r="X1918" t="str">
            <v>EST POLTRONA GALAPAGOS (COURO TP3 PROMO LA PAZ PINHAO FSC) - 0,85x0,92x0,8H</v>
          </cell>
          <cell r="Y1918">
            <v>22160.59</v>
          </cell>
          <cell r="Z1918">
            <v>0.35</v>
          </cell>
          <cell r="AA1918">
            <v>14404.3835</v>
          </cell>
          <cell r="AB1918"/>
        </row>
        <row r="1919"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H1919">
            <v>2</v>
          </cell>
          <cell r="O1919">
            <v>379909</v>
          </cell>
          <cell r="P1919" t="str">
            <v>2024/219-0040-01</v>
          </cell>
          <cell r="Q1919" t="str">
            <v>EST POLTRONA BARISTA (COURO TP3 SAFARI) COCOA/NOZES</v>
          </cell>
          <cell r="R1919"/>
          <cell r="S1919"/>
          <cell r="T1919">
            <v>1</v>
          </cell>
          <cell r="U1919">
            <v>0.81</v>
          </cell>
          <cell r="V1919">
            <v>0.69</v>
          </cell>
          <cell r="W1919">
            <v>0</v>
          </cell>
          <cell r="X1919" t="str">
            <v>EST POLTRONA BARISTA (COURO TP3 SAFARI) COCOA/NOZES - 1x0,81x0,69H</v>
          </cell>
          <cell r="Y1919">
            <v>20192.61</v>
          </cell>
          <cell r="Z1919">
            <v>0.35</v>
          </cell>
          <cell r="AA1919">
            <v>13125.196500000002</v>
          </cell>
          <cell r="AB1919"/>
        </row>
        <row r="1920">
          <cell r="C1920">
            <v>0</v>
          </cell>
          <cell r="D1920">
            <v>0</v>
          </cell>
          <cell r="E1920">
            <v>0</v>
          </cell>
          <cell r="F1920">
            <v>0</v>
          </cell>
          <cell r="H1920">
            <v>2</v>
          </cell>
          <cell r="O1920">
            <v>379909</v>
          </cell>
          <cell r="P1920" t="str">
            <v>2024/219-0041-01</v>
          </cell>
          <cell r="Q1920" t="str">
            <v>EST POLTRONA BARISTA (COURO TP3 SAFARI) COCOA/NOZES</v>
          </cell>
          <cell r="R1920"/>
          <cell r="S1920"/>
          <cell r="T1920">
            <v>1</v>
          </cell>
          <cell r="U1920">
            <v>0.81</v>
          </cell>
          <cell r="V1920">
            <v>0.69</v>
          </cell>
          <cell r="W1920">
            <v>0</v>
          </cell>
          <cell r="X1920" t="str">
            <v>EST POLTRONA BARISTA (COURO TP3 SAFARI) COCOA/NOZES - 1x0,81x0,69H</v>
          </cell>
          <cell r="Y1920">
            <v>20192.61</v>
          </cell>
          <cell r="Z1920">
            <v>0.35</v>
          </cell>
          <cell r="AA1920">
            <v>13125.196500000002</v>
          </cell>
          <cell r="AB1920"/>
        </row>
        <row r="1921"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H1921">
            <v>1</v>
          </cell>
          <cell r="O1921">
            <v>365801</v>
          </cell>
          <cell r="P1921" t="str">
            <v>2023/094-0080-01</v>
          </cell>
          <cell r="Q1921" t="str">
            <v>EST POLTRONA CACAU TC V8001 (BRACO LADO DIREITO)</v>
          </cell>
          <cell r="R1921"/>
          <cell r="S1921"/>
          <cell r="T1921">
            <v>1.27</v>
          </cell>
          <cell r="U1921">
            <v>0.93</v>
          </cell>
          <cell r="V1921">
            <v>0.74</v>
          </cell>
          <cell r="W1921">
            <v>0</v>
          </cell>
          <cell r="X1921" t="str">
            <v>EST POLTRONA CACAU TC V8001 (BRACO LADO DIREITO) - 1,27x0,93x0,74H</v>
          </cell>
          <cell r="Y1921">
            <v>23254.07</v>
          </cell>
          <cell r="Z1921">
            <v>0.35</v>
          </cell>
          <cell r="AA1921">
            <v>15115.145500000001</v>
          </cell>
          <cell r="AB1921"/>
        </row>
        <row r="1922">
          <cell r="C1922">
            <v>1</v>
          </cell>
          <cell r="D1922">
            <v>0</v>
          </cell>
          <cell r="E1922">
            <v>0</v>
          </cell>
          <cell r="F1922">
            <v>0</v>
          </cell>
          <cell r="H1922">
            <v>1</v>
          </cell>
          <cell r="O1922">
            <v>365935</v>
          </cell>
          <cell r="P1922" t="str">
            <v>2023/094-0083-01</v>
          </cell>
          <cell r="Q1922" t="str">
            <v>EST BANQUETA CACAU TC V8001</v>
          </cell>
          <cell r="R1922"/>
          <cell r="S1922"/>
          <cell r="T1922">
            <v>0.92</v>
          </cell>
          <cell r="U1922">
            <v>0.57999999999999996</v>
          </cell>
          <cell r="V1922">
            <v>0.4</v>
          </cell>
          <cell r="W1922">
            <v>0</v>
          </cell>
          <cell r="X1922" t="str">
            <v>EST BANQUETA CACAU TC V8001 - 0,92x0,58x0,4H</v>
          </cell>
          <cell r="Y1922">
            <v>11952.73</v>
          </cell>
          <cell r="Z1922">
            <v>0.35</v>
          </cell>
          <cell r="AA1922">
            <v>7769.2744999999995</v>
          </cell>
          <cell r="AB1922"/>
        </row>
        <row r="1923">
          <cell r="C1923">
            <v>0</v>
          </cell>
          <cell r="D1923">
            <v>0</v>
          </cell>
          <cell r="E1923">
            <v>0</v>
          </cell>
          <cell r="F1923">
            <v>0</v>
          </cell>
          <cell r="H1923">
            <v>1</v>
          </cell>
          <cell r="O1923">
            <v>180739</v>
          </cell>
          <cell r="P1923" t="str">
            <v>2015/342-0051-01</v>
          </cell>
          <cell r="Q1923" t="str">
            <v>EST APARADOR REDENTOR (NOGUEIRA) (LACA BRILHO FENDI)</v>
          </cell>
          <cell r="R1923"/>
          <cell r="S1923"/>
          <cell r="T1923">
            <v>2.2000000000000002</v>
          </cell>
          <cell r="U1923">
            <v>0.5</v>
          </cell>
          <cell r="V1923">
            <v>0.8</v>
          </cell>
          <cell r="W1923">
            <v>0</v>
          </cell>
          <cell r="X1923" t="str">
            <v>EST APARADOR REDENTOR (NOGUEIRA) (LACA BRILHO FENDI) - 2,2x0,5x0,8H</v>
          </cell>
          <cell r="Y1923">
            <v>15680</v>
          </cell>
          <cell r="Z1923">
            <v>0.5</v>
          </cell>
          <cell r="AA1923">
            <v>7840</v>
          </cell>
          <cell r="AB1923"/>
        </row>
        <row r="1924">
          <cell r="C1924">
            <v>1</v>
          </cell>
          <cell r="D1924">
            <v>0</v>
          </cell>
          <cell r="E1924">
            <v>0</v>
          </cell>
          <cell r="F1924">
            <v>0</v>
          </cell>
          <cell r="H1924">
            <v>2</v>
          </cell>
          <cell r="O1924">
            <v>182715</v>
          </cell>
          <cell r="P1924" t="str">
            <v>2016/019-0147-01</v>
          </cell>
          <cell r="Q1924" t="str">
            <v>EST SOFA TABLE POSITANO (EXTERNO ROVERE) (INTERNO BRANCO)</v>
          </cell>
          <cell r="R1924"/>
          <cell r="S1924"/>
          <cell r="T1924">
            <v>2.6</v>
          </cell>
          <cell r="U1924">
            <v>1</v>
          </cell>
          <cell r="V1924">
            <v>0.45</v>
          </cell>
          <cell r="W1924">
            <v>0</v>
          </cell>
          <cell r="X1924" t="str">
            <v>EST SOFA TABLE POSITANO (EXTERNO ROVERE) (INTERNO BRANCO) - 2,6x1x0,45H</v>
          </cell>
          <cell r="Y1924">
            <v>14135.7</v>
          </cell>
          <cell r="Z1924">
            <v>0.5</v>
          </cell>
          <cell r="AA1924">
            <v>7067.85</v>
          </cell>
          <cell r="AB1924"/>
        </row>
        <row r="1925">
          <cell r="C1925">
            <v>1</v>
          </cell>
          <cell r="D1925">
            <v>0</v>
          </cell>
          <cell r="E1925">
            <v>0</v>
          </cell>
          <cell r="F1925">
            <v>0</v>
          </cell>
          <cell r="H1925">
            <v>1</v>
          </cell>
          <cell r="O1925">
            <v>275021</v>
          </cell>
          <cell r="P1925" t="str">
            <v>2022/241-0002-01</v>
          </cell>
          <cell r="Q1925" t="str">
            <v>EST MESA JANTAR TRIBECA (TP/BS NOGUEIRA) DETALHE MTZ OXI</v>
          </cell>
          <cell r="R1925"/>
          <cell r="S1925"/>
          <cell r="T1925">
            <v>2.7</v>
          </cell>
          <cell r="U1925">
            <v>1.2</v>
          </cell>
          <cell r="V1925">
            <v>0.75</v>
          </cell>
          <cell r="W1925">
            <v>0</v>
          </cell>
          <cell r="X1925" t="str">
            <v>EST MESA JANTAR TRIBECA (TP/BS NOGUEIRA) DETALHE MTZ OXI - 2,7x1,2x0,75H</v>
          </cell>
          <cell r="Y1925">
            <v>53412.44</v>
          </cell>
          <cell r="Z1925">
            <v>0.5</v>
          </cell>
          <cell r="AA1925">
            <v>26706.22</v>
          </cell>
          <cell r="AB1925"/>
        </row>
        <row r="1926">
          <cell r="C1926">
            <v>1</v>
          </cell>
          <cell r="D1926">
            <v>0</v>
          </cell>
          <cell r="E1926">
            <v>0</v>
          </cell>
          <cell r="F1926">
            <v>0</v>
          </cell>
          <cell r="H1926">
            <v>0</v>
          </cell>
          <cell r="O1926">
            <v>379887</v>
          </cell>
          <cell r="P1926" t="str">
            <v>2024/068-0050-01</v>
          </cell>
          <cell r="Q1926" t="str">
            <v>EST CHAISE B/ESQ MONDRIAN (ESTOF) (C2 MAMMUT/NOG) (TC 7637)</v>
          </cell>
          <cell r="R1926"/>
          <cell r="S1926"/>
          <cell r="T1926">
            <v>1.04</v>
          </cell>
          <cell r="U1926">
            <v>1.7</v>
          </cell>
          <cell r="V1926">
            <v>0.71</v>
          </cell>
          <cell r="W1926">
            <v>0</v>
          </cell>
          <cell r="X1926" t="str">
            <v>EST CHAISE B/ESQ MONDRIAN (ESTOF) (C2 MAMMUT/NOG) (TC 7637) - 1,04x1,7x0,71H</v>
          </cell>
          <cell r="Y1926">
            <v>46650.6</v>
          </cell>
          <cell r="Z1926">
            <v>0.5</v>
          </cell>
          <cell r="AA1926">
            <v>23325.3</v>
          </cell>
          <cell r="AB1926"/>
        </row>
        <row r="1927">
          <cell r="C1927">
            <v>1</v>
          </cell>
          <cell r="D1927">
            <v>0</v>
          </cell>
          <cell r="E1927">
            <v>0</v>
          </cell>
          <cell r="F1927">
            <v>0</v>
          </cell>
          <cell r="H1927">
            <v>0</v>
          </cell>
          <cell r="O1927">
            <v>380081</v>
          </cell>
          <cell r="P1927" t="str">
            <v>2024/068-0064-01</v>
          </cell>
          <cell r="Q1927" t="str">
            <v>EST COLCHAO COLUMBAE (TC 694) (QUEEN)</v>
          </cell>
          <cell r="R1927"/>
          <cell r="S1927"/>
          <cell r="T1927">
            <v>1.58</v>
          </cell>
          <cell r="U1927">
            <v>1.98</v>
          </cell>
          <cell r="V1927">
            <v>0.36</v>
          </cell>
          <cell r="W1927">
            <v>0</v>
          </cell>
          <cell r="X1927" t="str">
            <v>EST COLCHAO COLUMBAE (TC 694) (QUEEN) - 1,58x1,98x0,36H</v>
          </cell>
          <cell r="Y1927">
            <v>20078.060000000001</v>
          </cell>
          <cell r="Z1927">
            <v>0.5</v>
          </cell>
          <cell r="AA1927">
            <v>10039.030000000001</v>
          </cell>
          <cell r="AB1927"/>
        </row>
        <row r="1928">
          <cell r="C1928">
            <v>1</v>
          </cell>
          <cell r="D1928">
            <v>0</v>
          </cell>
          <cell r="E1928">
            <v>0</v>
          </cell>
          <cell r="F1928">
            <v>0</v>
          </cell>
          <cell r="H1928">
            <v>0</v>
          </cell>
          <cell r="O1928">
            <v>380177</v>
          </cell>
          <cell r="P1928" t="str">
            <v>2024/068-0065-01</v>
          </cell>
          <cell r="Q1928" t="str">
            <v>EST CAMA MONDRIAN (LAM NOG/C2 MAMMUT) (FX 10027)</v>
          </cell>
          <cell r="R1928"/>
          <cell r="S1928"/>
          <cell r="T1928">
            <v>1.86</v>
          </cell>
          <cell r="U1928">
            <v>2.27</v>
          </cell>
          <cell r="V1928">
            <v>1.1000000000000001</v>
          </cell>
          <cell r="W1928">
            <v>0</v>
          </cell>
          <cell r="X1928" t="str">
            <v>EST CAMA MONDRIAN (LAM NOG/C2 MAMMUT) (FX 10027) - 1,86x2,27x1,1H</v>
          </cell>
          <cell r="Y1928">
            <v>55675.42</v>
          </cell>
          <cell r="Z1928">
            <v>0.5</v>
          </cell>
          <cell r="AA1928">
            <v>27837.71</v>
          </cell>
          <cell r="AB1928"/>
        </row>
        <row r="1929">
          <cell r="C1929">
            <v>1</v>
          </cell>
          <cell r="D1929">
            <v>0</v>
          </cell>
          <cell r="E1929">
            <v>0</v>
          </cell>
          <cell r="F1929">
            <v>0</v>
          </cell>
          <cell r="H1929">
            <v>0</v>
          </cell>
          <cell r="O1929">
            <v>380178</v>
          </cell>
          <cell r="P1929" t="str">
            <v>2024/068-0066-01</v>
          </cell>
          <cell r="Q1929" t="str">
            <v>EST MOVEL AUXILIAR MONDRIAN (NOGUEIRA) (PEDRA 2 Q BRONZITE)</v>
          </cell>
          <cell r="R1929"/>
          <cell r="S1929"/>
          <cell r="T1929">
            <v>0.9</v>
          </cell>
          <cell r="U1929">
            <v>0.45</v>
          </cell>
          <cell r="V1929">
            <v>0.45</v>
          </cell>
          <cell r="W1929">
            <v>0</v>
          </cell>
          <cell r="X1929" t="str">
            <v>EST MOVEL AUXILIAR MONDRIAN (NOGUEIRA) (PEDRA 2 Q BRONZITE) - 0,9x0,45x0,45H</v>
          </cell>
          <cell r="Y1929">
            <v>35372.11</v>
          </cell>
          <cell r="Z1929">
            <v>0.5</v>
          </cell>
          <cell r="AA1929">
            <v>17686.055</v>
          </cell>
          <cell r="AB1929"/>
        </row>
        <row r="1930">
          <cell r="C1930">
            <v>3</v>
          </cell>
          <cell r="D1930">
            <v>0</v>
          </cell>
          <cell r="E1930">
            <v>0</v>
          </cell>
          <cell r="F1930">
            <v>0</v>
          </cell>
          <cell r="H1930">
            <v>0</v>
          </cell>
          <cell r="O1930">
            <v>299555</v>
          </cell>
          <cell r="P1930" t="str">
            <v>2022/034-0002-01</v>
          </cell>
          <cell r="Q1930" t="str">
            <v>EST ESTANTE BURLE (MTX MARROM FSC) (LAM 2 PRAT FREIJO NAT)</v>
          </cell>
          <cell r="R1930"/>
          <cell r="S1930"/>
          <cell r="T1930">
            <v>1.3</v>
          </cell>
          <cell r="U1930">
            <v>0.45</v>
          </cell>
          <cell r="V1930">
            <v>1.83</v>
          </cell>
          <cell r="W1930">
            <v>0</v>
          </cell>
          <cell r="X1930" t="str">
            <v>EST ESTANTE BURLE (MTX MARROM FSC) (LAM 2 PRAT FREIJO NAT) - 1,3x0,45x1,83H</v>
          </cell>
          <cell r="Y1930">
            <v>44856.36</v>
          </cell>
          <cell r="Z1930">
            <v>0.35</v>
          </cell>
          <cell r="AA1930">
            <v>29156.634000000002</v>
          </cell>
          <cell r="AB1930"/>
        </row>
        <row r="1931">
          <cell r="C1931">
            <v>0</v>
          </cell>
          <cell r="D1931">
            <v>0</v>
          </cell>
          <cell r="E1931">
            <v>0</v>
          </cell>
          <cell r="F1931">
            <v>0</v>
          </cell>
          <cell r="H1931">
            <v>1</v>
          </cell>
          <cell r="O1931">
            <v>324014</v>
          </cell>
          <cell r="P1931" t="str">
            <v>2022/101-0064-01</v>
          </cell>
          <cell r="Q1931" t="str">
            <v>EST TAPETE AREIA (LIST IRR) (10MM) F:1471/D:103/1057/1237/95</v>
          </cell>
          <cell r="R1931"/>
          <cell r="S1931"/>
          <cell r="T1931">
            <v>4</v>
          </cell>
          <cell r="U1931">
            <v>4</v>
          </cell>
          <cell r="V1931">
            <v>0.01</v>
          </cell>
          <cell r="W1931">
            <v>0</v>
          </cell>
          <cell r="X1931" t="str">
            <v>EST TAPETE AREIA (LIST IRR) (10MM) F:1471/D:103/1057/1237/95 - 4x4x0,01H</v>
          </cell>
          <cell r="Y1931">
            <v>40714.239999999998</v>
          </cell>
          <cell r="Z1931">
            <v>0.35</v>
          </cell>
          <cell r="AA1931">
            <v>26464.256000000001</v>
          </cell>
          <cell r="AB1931"/>
        </row>
        <row r="1932">
          <cell r="C1932">
            <v>1</v>
          </cell>
          <cell r="D1932">
            <v>0</v>
          </cell>
          <cell r="E1932">
            <v>0</v>
          </cell>
          <cell r="F1932">
            <v>0</v>
          </cell>
          <cell r="H1932">
            <v>0</v>
          </cell>
          <cell r="O1932">
            <v>342294</v>
          </cell>
          <cell r="P1932" t="str">
            <v>2022/217-0002-01</v>
          </cell>
          <cell r="Q1932" t="str">
            <v>EST TAPETE MATISSE WAVES ROUND 1 (CENT LAP) (10MM) F:1280</v>
          </cell>
          <cell r="R1932"/>
          <cell r="S1932"/>
          <cell r="T1932">
            <v>5.5</v>
          </cell>
          <cell r="U1932">
            <v>4</v>
          </cell>
          <cell r="V1932">
            <v>0.01</v>
          </cell>
          <cell r="W1932">
            <v>0</v>
          </cell>
          <cell r="X1932" t="str">
            <v>EST TAPETE MATISSE WAVES ROUND 1 (CENT LAP) (10MM) F:1280 - 5,5x4x0,01H</v>
          </cell>
          <cell r="Y1932">
            <v>80424.960000000006</v>
          </cell>
          <cell r="Z1932">
            <v>0.35</v>
          </cell>
          <cell r="AA1932">
            <v>52276.224000000002</v>
          </cell>
          <cell r="AB1932"/>
        </row>
        <row r="1933">
          <cell r="C1933">
            <v>1</v>
          </cell>
          <cell r="D1933">
            <v>0</v>
          </cell>
          <cell r="E1933">
            <v>0</v>
          </cell>
          <cell r="F1933">
            <v>0</v>
          </cell>
          <cell r="H1933">
            <v>0</v>
          </cell>
          <cell r="O1933">
            <v>342303</v>
          </cell>
          <cell r="P1933" t="str">
            <v>2022/217-0012-01</v>
          </cell>
          <cell r="Q1933" t="str">
            <v>EST TAPETE CURTIAN (10MM) F:1469/D:6 CORES</v>
          </cell>
          <cell r="R1933"/>
          <cell r="S1933"/>
          <cell r="T1933">
            <v>5</v>
          </cell>
          <cell r="U1933">
            <v>3.5</v>
          </cell>
          <cell r="V1933">
            <v>0.01</v>
          </cell>
          <cell r="W1933">
            <v>0</v>
          </cell>
          <cell r="X1933" t="str">
            <v>EST TAPETE CURTIAN (10MM) F:1469/D:6 CORES - 5x3,5x0,01H</v>
          </cell>
          <cell r="Y1933">
            <v>54488</v>
          </cell>
          <cell r="Z1933">
            <v>0.35</v>
          </cell>
          <cell r="AA1933">
            <v>35417.199999999997</v>
          </cell>
          <cell r="AB1933"/>
        </row>
        <row r="1934">
          <cell r="C1934">
            <v>1</v>
          </cell>
          <cell r="D1934">
            <v>0</v>
          </cell>
          <cell r="E1934">
            <v>0</v>
          </cell>
          <cell r="F1934">
            <v>0</v>
          </cell>
          <cell r="H1934">
            <v>0</v>
          </cell>
          <cell r="O1934">
            <v>365802</v>
          </cell>
          <cell r="P1934" t="str">
            <v>2023/094-0081-01</v>
          </cell>
          <cell r="Q1934" t="str">
            <v>EST POLTRONA CACAU TC V8001 (BRACO LADO ESQUERDO)</v>
          </cell>
          <cell r="R1934"/>
          <cell r="S1934"/>
          <cell r="T1934">
            <v>1.27</v>
          </cell>
          <cell r="U1934">
            <v>0.93</v>
          </cell>
          <cell r="V1934">
            <v>0.74</v>
          </cell>
          <cell r="W1934">
            <v>0</v>
          </cell>
          <cell r="X1934" t="str">
            <v>EST POLTRONA CACAU TC V8001 (BRACO LADO ESQUERDO) - 1,27x0,93x0,74H</v>
          </cell>
          <cell r="Y1934">
            <v>23254.07</v>
          </cell>
          <cell r="Z1934">
            <v>0.35</v>
          </cell>
          <cell r="AA1934">
            <v>15115.145500000001</v>
          </cell>
          <cell r="AB1934"/>
        </row>
        <row r="1935">
          <cell r="C1935">
            <v>1</v>
          </cell>
          <cell r="D1935">
            <v>0</v>
          </cell>
          <cell r="E1935">
            <v>0</v>
          </cell>
          <cell r="F1935">
            <v>0</v>
          </cell>
          <cell r="H1935">
            <v>1</v>
          </cell>
          <cell r="O1935">
            <v>365935</v>
          </cell>
          <cell r="P1935" t="str">
            <v>2023/094-0082-01</v>
          </cell>
          <cell r="Q1935" t="str">
            <v>EST BANQUETA CACAU TC V8001</v>
          </cell>
          <cell r="R1935"/>
          <cell r="S1935"/>
          <cell r="T1935">
            <v>0.92</v>
          </cell>
          <cell r="U1935">
            <v>0.57999999999999996</v>
          </cell>
          <cell r="V1935">
            <v>0.4</v>
          </cell>
          <cell r="W1935">
            <v>0</v>
          </cell>
          <cell r="X1935" t="str">
            <v>EST BANQUETA CACAU TC V8001 - 0,92x0,58x0,4H</v>
          </cell>
          <cell r="Y1935">
            <v>11952.73</v>
          </cell>
          <cell r="Z1935">
            <v>0.35</v>
          </cell>
          <cell r="AA1935">
            <v>7769.2744999999995</v>
          </cell>
          <cell r="AB1935"/>
        </row>
        <row r="1936">
          <cell r="C1936">
            <v>0</v>
          </cell>
          <cell r="D1936">
            <v>1</v>
          </cell>
          <cell r="E1936">
            <v>0</v>
          </cell>
          <cell r="F1936">
            <v>0</v>
          </cell>
          <cell r="H1936">
            <v>1</v>
          </cell>
          <cell r="O1936">
            <v>378173</v>
          </cell>
          <cell r="P1936" t="str">
            <v>2024/023-0010-01</v>
          </cell>
          <cell r="Q1936" t="str">
            <v>EST TAPETE SISAL C44 (BARRA VIRADA)</v>
          </cell>
          <cell r="R1936"/>
          <cell r="S1936"/>
          <cell r="T1936">
            <v>5</v>
          </cell>
          <cell r="U1936">
            <v>4</v>
          </cell>
          <cell r="V1936">
            <v>0</v>
          </cell>
          <cell r="W1936">
            <v>0</v>
          </cell>
          <cell r="X1936" t="str">
            <v>EST TAPETE SISAL C44 (BARRA VIRADA) - 5x4x0H</v>
          </cell>
          <cell r="Y1936">
            <v>8892.7999999999993</v>
          </cell>
          <cell r="Z1936">
            <v>0.35</v>
          </cell>
          <cell r="AA1936">
            <v>5780.32</v>
          </cell>
          <cell r="AB1936"/>
        </row>
        <row r="1937">
          <cell r="C1937">
            <v>2</v>
          </cell>
          <cell r="D1937">
            <v>2</v>
          </cell>
          <cell r="E1937">
            <v>0</v>
          </cell>
          <cell r="F1937">
            <v>0</v>
          </cell>
          <cell r="H1937">
            <v>0</v>
          </cell>
          <cell r="O1937">
            <v>378925</v>
          </cell>
          <cell r="P1937" t="str">
            <v>2024/065-0088-01</v>
          </cell>
          <cell r="Q1937" t="str">
            <v>EST MESA CENTRO HIMALAYA VITRINE (CLEAR) (LAM2 PFERRO) NOGAL</v>
          </cell>
          <cell r="R1937"/>
          <cell r="S1937"/>
          <cell r="T1937">
            <v>0.9</v>
          </cell>
          <cell r="U1937">
            <v>0.9</v>
          </cell>
          <cell r="V1937">
            <v>0.3</v>
          </cell>
          <cell r="W1937">
            <v>0</v>
          </cell>
          <cell r="X1937" t="str">
            <v>EST MESA CENTRO HIMALAYA VITRINE (CLEAR) (LAM2 PFERRO) NOGAL - 0,9x0,9x0,3H</v>
          </cell>
          <cell r="Y1937">
            <v>31947.37</v>
          </cell>
          <cell r="Z1937">
            <v>0.35</v>
          </cell>
          <cell r="AA1937">
            <v>20765.790499999999</v>
          </cell>
          <cell r="AB1937"/>
        </row>
        <row r="1938">
          <cell r="C1938">
            <v>2</v>
          </cell>
          <cell r="D1938">
            <v>2</v>
          </cell>
          <cell r="E1938">
            <v>0</v>
          </cell>
          <cell r="F1938">
            <v>0</v>
          </cell>
          <cell r="H1938">
            <v>0</v>
          </cell>
          <cell r="O1938">
            <v>378925</v>
          </cell>
          <cell r="P1938" t="str">
            <v>2024/065-0087-01</v>
          </cell>
          <cell r="Q1938" t="str">
            <v>EST MESA CENTRO HIMALAYA VITRINE (CLEAR) (LAM2 PFERRO) NOGAL</v>
          </cell>
          <cell r="R1938"/>
          <cell r="S1938"/>
          <cell r="T1938">
            <v>0.9</v>
          </cell>
          <cell r="U1938">
            <v>0.9</v>
          </cell>
          <cell r="V1938">
            <v>0.3</v>
          </cell>
          <cell r="W1938">
            <v>0</v>
          </cell>
          <cell r="X1938" t="str">
            <v>EST MESA CENTRO HIMALAYA VITRINE (CLEAR) (LAM2 PFERRO) NOGAL - 0,9x0,9x0,3H</v>
          </cell>
          <cell r="Y1938">
            <v>31947.37</v>
          </cell>
          <cell r="Z1938">
            <v>0.35</v>
          </cell>
          <cell r="AA1938">
            <v>20765.790499999999</v>
          </cell>
          <cell r="AB1938"/>
        </row>
        <row r="1939">
          <cell r="C1939">
            <v>1</v>
          </cell>
          <cell r="D1939">
            <v>0</v>
          </cell>
          <cell r="E1939">
            <v>0</v>
          </cell>
          <cell r="F1939">
            <v>2</v>
          </cell>
          <cell r="H1939">
            <v>2</v>
          </cell>
          <cell r="O1939">
            <v>389953</v>
          </cell>
          <cell r="P1939" t="str">
            <v>2024/267-0073-01</v>
          </cell>
          <cell r="Q1939" t="str">
            <v>EST MODULO PUFF LENCOIS M OUTDOOR TC KEEPSAKE TAUPE</v>
          </cell>
          <cell r="R1939"/>
          <cell r="S1939"/>
          <cell r="T1939">
            <v>1.7</v>
          </cell>
          <cell r="U1939">
            <v>1</v>
          </cell>
          <cell r="V1939">
            <v>0.38</v>
          </cell>
          <cell r="W1939">
            <v>0</v>
          </cell>
          <cell r="X1939" t="str">
            <v>EST MODULO PUFF LENCOIS M OUTDOOR TC KEEPSAKE TAUPE - 1,7x1x0,38H</v>
          </cell>
          <cell r="Y1939">
            <v>26097.426900000002</v>
          </cell>
          <cell r="Z1939">
            <v>0.35</v>
          </cell>
          <cell r="AA1939">
            <v>16963.327485000002</v>
          </cell>
          <cell r="AB1939"/>
        </row>
        <row r="1940">
          <cell r="C1940">
            <v>1</v>
          </cell>
          <cell r="D1940">
            <v>0</v>
          </cell>
          <cell r="E1940">
            <v>0</v>
          </cell>
          <cell r="F1940">
            <v>2</v>
          </cell>
          <cell r="H1940">
            <v>2</v>
          </cell>
          <cell r="O1940">
            <v>389953</v>
          </cell>
          <cell r="P1940" t="str">
            <v>2024/267-0071-01</v>
          </cell>
          <cell r="Q1940" t="str">
            <v>EST MODULO PUFF LENCOIS M OUTDOOR TC KEEPSAKE TAUPE</v>
          </cell>
          <cell r="R1940"/>
          <cell r="S1940"/>
          <cell r="T1940">
            <v>1.7</v>
          </cell>
          <cell r="U1940">
            <v>1</v>
          </cell>
          <cell r="V1940">
            <v>0.38</v>
          </cell>
          <cell r="W1940">
            <v>0</v>
          </cell>
          <cell r="X1940" t="str">
            <v>EST MODULO PUFF LENCOIS M OUTDOOR TC KEEPSAKE TAUPE - 1,7x1x0,38H</v>
          </cell>
          <cell r="Y1940">
            <v>26097.426900000002</v>
          </cell>
          <cell r="Z1940">
            <v>0.35</v>
          </cell>
          <cell r="AA1940">
            <v>16963.327485000002</v>
          </cell>
          <cell r="AB1940"/>
        </row>
        <row r="1941">
          <cell r="C1941">
            <v>0</v>
          </cell>
          <cell r="D1941">
            <v>0</v>
          </cell>
          <cell r="E1941">
            <v>0</v>
          </cell>
          <cell r="F1941">
            <v>0</v>
          </cell>
          <cell r="H1941">
            <v>2</v>
          </cell>
          <cell r="O1941">
            <v>389954</v>
          </cell>
          <cell r="P1941" t="str">
            <v>2024/267-0076-01</v>
          </cell>
          <cell r="Q1941" t="str">
            <v>EST MODULO ENCOSTO (L) LENCOIS M OUTDOOR TC KEEPSAKE TAUPE</v>
          </cell>
          <cell r="R1941"/>
          <cell r="S1941"/>
          <cell r="T1941">
            <v>0.8</v>
          </cell>
          <cell r="U1941">
            <v>0.8</v>
          </cell>
          <cell r="V1941">
            <v>0.26</v>
          </cell>
          <cell r="W1941">
            <v>0</v>
          </cell>
          <cell r="X1941" t="str">
            <v>EST MODULO ENCOSTO (L) LENCOIS M OUTDOOR TC KEEPSAKE TAUPE - 0,8x0,8x0,26H</v>
          </cell>
          <cell r="Y1941">
            <v>6989.4105</v>
          </cell>
          <cell r="Z1941">
            <v>0.35</v>
          </cell>
          <cell r="AA1941">
            <v>4543.1168250000001</v>
          </cell>
          <cell r="AB1941"/>
        </row>
        <row r="1942">
          <cell r="C1942">
            <v>1</v>
          </cell>
          <cell r="D1942">
            <v>1</v>
          </cell>
          <cell r="E1942">
            <v>0</v>
          </cell>
          <cell r="F1942">
            <v>1</v>
          </cell>
          <cell r="H1942">
            <v>0</v>
          </cell>
          <cell r="O1942">
            <v>402542</v>
          </cell>
          <cell r="P1942" t="str">
            <v>2025/104-0025-01</v>
          </cell>
          <cell r="Q1942" t="str">
            <v>EST LLUMINARIA PISO NOVENTA (3W - 300LM) (PRETA)</v>
          </cell>
          <cell r="R1942"/>
          <cell r="S1942"/>
          <cell r="T1942">
            <v>0.26</v>
          </cell>
          <cell r="U1942">
            <v>0.12</v>
          </cell>
          <cell r="V1942">
            <v>1.62</v>
          </cell>
          <cell r="W1942">
            <v>0</v>
          </cell>
          <cell r="X1942" t="str">
            <v>EST LLUMINARIA PISO NOVENTA (3W - 300LM) (PRETA) - 0,26x0,12x1,62H</v>
          </cell>
          <cell r="Y1942">
            <v>9044.4500000000007</v>
          </cell>
          <cell r="Z1942">
            <v>0.35</v>
          </cell>
          <cell r="AA1942">
            <v>5878.8925000000008</v>
          </cell>
          <cell r="AB1942"/>
        </row>
        <row r="1943">
          <cell r="C1943">
            <v>1</v>
          </cell>
          <cell r="D1943">
            <v>0</v>
          </cell>
          <cell r="E1943">
            <v>1</v>
          </cell>
          <cell r="F1943">
            <v>0</v>
          </cell>
          <cell r="H1943">
            <v>1</v>
          </cell>
          <cell r="O1943">
            <v>404587</v>
          </cell>
          <cell r="P1943" t="str">
            <v>2025/154-0027-01</v>
          </cell>
          <cell r="Q1943" t="str">
            <v>EST CHAISE BELLAGIO (ALU C24 | CORD V01)</v>
          </cell>
          <cell r="R1943"/>
          <cell r="S1943"/>
          <cell r="T1943">
            <v>1.7</v>
          </cell>
          <cell r="U1943">
            <v>0.7</v>
          </cell>
          <cell r="V1943">
            <v>0.66</v>
          </cell>
          <cell r="W1943">
            <v>0</v>
          </cell>
          <cell r="X1943" t="str">
            <v>EST CHAISE BELLAGIO (ALU C24 | CORD V01) - 1,7x0,7x0,66H</v>
          </cell>
          <cell r="Y1943">
            <v>14625.32</v>
          </cell>
          <cell r="Z1943">
            <v>0.35</v>
          </cell>
          <cell r="AA1943">
            <v>9506.4580000000005</v>
          </cell>
          <cell r="AB1943"/>
        </row>
        <row r="1944">
          <cell r="C1944">
            <v>1</v>
          </cell>
          <cell r="D1944">
            <v>0</v>
          </cell>
          <cell r="E1944">
            <v>1</v>
          </cell>
          <cell r="F1944">
            <v>0</v>
          </cell>
          <cell r="H1944">
            <v>1</v>
          </cell>
          <cell r="O1944">
            <v>404589</v>
          </cell>
          <cell r="P1944" t="str">
            <v>2025/154-0030-01</v>
          </cell>
          <cell r="Q1944" t="str">
            <v>EST COMPONENTE ALMOFADA CHAISE BELLAGIO TC KEEPSAKE SILVER</v>
          </cell>
          <cell r="R1944"/>
          <cell r="S1944"/>
          <cell r="T1944">
            <v>1.7</v>
          </cell>
          <cell r="U1944">
            <v>0.7</v>
          </cell>
          <cell r="V1944">
            <v>0.05</v>
          </cell>
          <cell r="W1944">
            <v>0</v>
          </cell>
          <cell r="X1944" t="str">
            <v>EST COMPONENTE ALMOFADA CHAISE BELLAGIO TC KEEPSAKE SILVER - 1,7x0,7x0,05H</v>
          </cell>
          <cell r="Y1944">
            <v>8865.7227999999996</v>
          </cell>
          <cell r="Z1944">
            <v>0.35</v>
          </cell>
          <cell r="AA1944">
            <v>5762.7198200000003</v>
          </cell>
          <cell r="AB1944"/>
        </row>
        <row r="1945">
          <cell r="C1945">
            <v>2</v>
          </cell>
          <cell r="D1945">
            <v>2</v>
          </cell>
          <cell r="E1945">
            <v>0</v>
          </cell>
          <cell r="F1945">
            <v>0</v>
          </cell>
          <cell r="H1945">
            <v>0</v>
          </cell>
          <cell r="O1945">
            <v>404592</v>
          </cell>
          <cell r="P1945" t="str">
            <v>2025/154-0039-01</v>
          </cell>
          <cell r="Q1945" t="str">
            <v>EST POLTRONA BELLAGIO (ALU C24 | CORD V01)</v>
          </cell>
          <cell r="R1945"/>
          <cell r="S1945"/>
          <cell r="T1945">
            <v>0.8</v>
          </cell>
          <cell r="U1945">
            <v>0.85</v>
          </cell>
          <cell r="V1945">
            <v>0.72</v>
          </cell>
          <cell r="W1945">
            <v>0</v>
          </cell>
          <cell r="X1945" t="str">
            <v>EST POLTRONA BELLAGIO (ALU C24 | CORD V01) - 0,8x0,85x0,72H</v>
          </cell>
          <cell r="Y1945">
            <v>10458.69</v>
          </cell>
          <cell r="Z1945">
            <v>0.35</v>
          </cell>
          <cell r="AA1945">
            <v>6798.1485000000011</v>
          </cell>
          <cell r="AB1945"/>
        </row>
        <row r="1946">
          <cell r="C1946">
            <v>2</v>
          </cell>
          <cell r="D1946">
            <v>2</v>
          </cell>
          <cell r="E1946">
            <v>0</v>
          </cell>
          <cell r="F1946">
            <v>0</v>
          </cell>
          <cell r="H1946">
            <v>0</v>
          </cell>
          <cell r="O1946">
            <v>404592</v>
          </cell>
          <cell r="P1946" t="str">
            <v>2025/154-0040-01</v>
          </cell>
          <cell r="Q1946" t="str">
            <v>EST POLTRONA BELLAGIO (ALU C24 | CORD V01)</v>
          </cell>
          <cell r="R1946"/>
          <cell r="S1946"/>
          <cell r="T1946">
            <v>0.8</v>
          </cell>
          <cell r="U1946">
            <v>0.85</v>
          </cell>
          <cell r="V1946">
            <v>0.72</v>
          </cell>
          <cell r="W1946">
            <v>0</v>
          </cell>
          <cell r="X1946" t="str">
            <v>EST POLTRONA BELLAGIO (ALU C24 | CORD V01) - 0,8x0,85x0,72H</v>
          </cell>
          <cell r="Y1946">
            <v>10458.69</v>
          </cell>
          <cell r="Z1946">
            <v>0.35</v>
          </cell>
          <cell r="AA1946">
            <v>6798.1485000000011</v>
          </cell>
          <cell r="AB1946"/>
        </row>
        <row r="1947">
          <cell r="C1947">
            <v>2</v>
          </cell>
          <cell r="D1947">
            <v>2</v>
          </cell>
          <cell r="E1947">
            <v>0</v>
          </cell>
          <cell r="F1947">
            <v>0</v>
          </cell>
          <cell r="H1947">
            <v>0</v>
          </cell>
          <cell r="O1947">
            <v>404595</v>
          </cell>
          <cell r="P1947" t="str">
            <v>2025/154-0049-01</v>
          </cell>
          <cell r="Q1947" t="str">
            <v>EST COMPONENTE ALMOFADA POLTRONA BELLAGIO TC KEEPSAKE SILVER</v>
          </cell>
          <cell r="R1947"/>
          <cell r="S1947"/>
          <cell r="T1947">
            <v>0.8</v>
          </cell>
          <cell r="U1947">
            <v>0.85</v>
          </cell>
          <cell r="V1947">
            <v>0.05</v>
          </cell>
          <cell r="W1947">
            <v>0</v>
          </cell>
          <cell r="X1947" t="str">
            <v>EST COMPONENTE ALMOFADA POLTRONA BELLAGIO TC KEEPSAKE SILVER - 0,8x0,85x0,05H</v>
          </cell>
          <cell r="Y1947">
            <v>6064.2404999999999</v>
          </cell>
          <cell r="Z1947">
            <v>0.35</v>
          </cell>
          <cell r="AA1947">
            <v>3941.7563249999998</v>
          </cell>
          <cell r="AB1947"/>
        </row>
        <row r="1948">
          <cell r="C1948">
            <v>2</v>
          </cell>
          <cell r="D1948">
            <v>2</v>
          </cell>
          <cell r="E1948">
            <v>0</v>
          </cell>
          <cell r="F1948">
            <v>0</v>
          </cell>
          <cell r="H1948">
            <v>0</v>
          </cell>
          <cell r="O1948">
            <v>404595</v>
          </cell>
          <cell r="P1948" t="str">
            <v>2025/154-0050-01</v>
          </cell>
          <cell r="Q1948" t="str">
            <v>EST COMPONENTE ALMOFADA POLTRONA BELLAGIO TC KEEPSAKE SILVER</v>
          </cell>
          <cell r="R1948"/>
          <cell r="S1948"/>
          <cell r="T1948">
            <v>0.8</v>
          </cell>
          <cell r="U1948">
            <v>0.85</v>
          </cell>
          <cell r="V1948">
            <v>0.05</v>
          </cell>
          <cell r="W1948">
            <v>0</v>
          </cell>
          <cell r="X1948" t="str">
            <v>EST COMPONENTE ALMOFADA POLTRONA BELLAGIO TC KEEPSAKE SILVER - 0,8x0,85x0,05H</v>
          </cell>
          <cell r="Y1948">
            <v>6064.2404999999999</v>
          </cell>
          <cell r="Z1948">
            <v>0.35</v>
          </cell>
          <cell r="AA1948">
            <v>3941.7563249999998</v>
          </cell>
          <cell r="AB1948"/>
        </row>
        <row r="1949">
          <cell r="C1949">
            <v>1</v>
          </cell>
          <cell r="D1949">
            <v>0</v>
          </cell>
          <cell r="E1949">
            <v>0</v>
          </cell>
          <cell r="F1949">
            <v>0</v>
          </cell>
          <cell r="H1949">
            <v>0</v>
          </cell>
          <cell r="O1949">
            <v>404599</v>
          </cell>
          <cell r="P1949" t="str">
            <v>2025/154-0010-01</v>
          </cell>
          <cell r="Q1949" t="str">
            <v>EST MESA JANTAR BELLAGIO (ALU C29 | CORD V01) C/FURO</v>
          </cell>
          <cell r="R1949"/>
          <cell r="S1949"/>
          <cell r="T1949">
            <v>1.8</v>
          </cell>
          <cell r="U1949">
            <v>0</v>
          </cell>
          <cell r="V1949">
            <v>0.75</v>
          </cell>
          <cell r="W1949">
            <v>1.8</v>
          </cell>
          <cell r="X1949" t="str">
            <v>EST MESA JANTAR BELLAGIO (ALU C29 | CORD V01) C/FURO - Ø1,8x0,75H</v>
          </cell>
          <cell r="Y1949">
            <v>41155.39</v>
          </cell>
          <cell r="Z1949">
            <v>0.35</v>
          </cell>
          <cell r="AA1949">
            <v>26751.003499999999</v>
          </cell>
          <cell r="AB1949"/>
        </row>
        <row r="1950">
          <cell r="C1950">
            <v>1</v>
          </cell>
          <cell r="D1950">
            <v>0</v>
          </cell>
          <cell r="E1950">
            <v>0</v>
          </cell>
          <cell r="F1950">
            <v>0</v>
          </cell>
          <cell r="H1950">
            <v>0</v>
          </cell>
          <cell r="O1950">
            <v>404612</v>
          </cell>
          <cell r="P1950" t="str">
            <v>2025/154-0020-01</v>
          </cell>
          <cell r="Q1950" t="str">
            <v>EST MESA LATERAL BELLAGIO (ALU C29)</v>
          </cell>
          <cell r="R1950"/>
          <cell r="S1950"/>
          <cell r="T1950">
            <v>0.5</v>
          </cell>
          <cell r="U1950">
            <v>0</v>
          </cell>
          <cell r="V1950">
            <v>0.45</v>
          </cell>
          <cell r="W1950">
            <v>0.5</v>
          </cell>
          <cell r="X1950" t="str">
            <v>EST MESA LATERAL BELLAGIO (ALU C29) - Ø0,5x0,45H</v>
          </cell>
          <cell r="Y1950">
            <v>6968.46</v>
          </cell>
          <cell r="Z1950">
            <v>0.35</v>
          </cell>
          <cell r="AA1950">
            <v>4529.4989999999998</v>
          </cell>
          <cell r="AB1950"/>
        </row>
        <row r="1951">
          <cell r="C1951">
            <v>1</v>
          </cell>
          <cell r="D1951">
            <v>0</v>
          </cell>
          <cell r="E1951">
            <v>0</v>
          </cell>
          <cell r="F1951">
            <v>0</v>
          </cell>
          <cell r="H1951">
            <v>0</v>
          </cell>
          <cell r="O1951">
            <v>404613</v>
          </cell>
          <cell r="P1951" t="str">
            <v>2025/154-0021-01</v>
          </cell>
          <cell r="Q1951" t="str">
            <v>EST MESA LATERAL BELLAGIO (FORMICA TS CORDA) (ALU C29)</v>
          </cell>
          <cell r="R1951"/>
          <cell r="S1951"/>
          <cell r="T1951">
            <v>0.5</v>
          </cell>
          <cell r="U1951">
            <v>0</v>
          </cell>
          <cell r="V1951">
            <v>0.45</v>
          </cell>
          <cell r="W1951">
            <v>0.5</v>
          </cell>
          <cell r="X1951" t="str">
            <v>EST MESA LATERAL BELLAGIO (FORMICA TS CORDA) (ALU C29) - Ø0,5x0,45H</v>
          </cell>
          <cell r="Y1951">
            <v>13365.45</v>
          </cell>
          <cell r="Z1951">
            <v>0.35</v>
          </cell>
          <cell r="AA1951">
            <v>8687.5424999999996</v>
          </cell>
          <cell r="AB1951"/>
        </row>
        <row r="1952">
          <cell r="C1952">
            <v>1</v>
          </cell>
          <cell r="D1952">
            <v>0</v>
          </cell>
          <cell r="E1952">
            <v>0</v>
          </cell>
          <cell r="F1952">
            <v>0</v>
          </cell>
          <cell r="H1952">
            <v>0</v>
          </cell>
          <cell r="O1952">
            <v>404615</v>
          </cell>
          <cell r="P1952" t="str">
            <v>2025/154-0023-01</v>
          </cell>
          <cell r="Q1952" t="str">
            <v>EST APARADOR BELLAGIO (FORMICA TS CORDA) (ALU C29)</v>
          </cell>
          <cell r="R1952"/>
          <cell r="S1952"/>
          <cell r="T1952">
            <v>1.6</v>
          </cell>
          <cell r="U1952">
            <v>0.45</v>
          </cell>
          <cell r="V1952">
            <v>0.75</v>
          </cell>
          <cell r="W1952">
            <v>0</v>
          </cell>
          <cell r="X1952" t="str">
            <v>EST APARADOR BELLAGIO (FORMICA TS CORDA) (ALU C29) - 1,6x0,45x0,75H</v>
          </cell>
          <cell r="Y1952">
            <v>25372.79</v>
          </cell>
          <cell r="Z1952">
            <v>0.35</v>
          </cell>
          <cell r="AA1952">
            <v>16492.313500000004</v>
          </cell>
          <cell r="AB1952"/>
        </row>
        <row r="1953">
          <cell r="C1953">
            <v>6</v>
          </cell>
          <cell r="D1953">
            <v>0</v>
          </cell>
          <cell r="E1953">
            <v>0</v>
          </cell>
          <cell r="F1953">
            <v>0</v>
          </cell>
          <cell r="H1953">
            <v>0</v>
          </cell>
          <cell r="O1953">
            <v>404889</v>
          </cell>
          <cell r="P1953" t="str">
            <v>2025/154-0070-01</v>
          </cell>
          <cell r="Q1953" t="str">
            <v>EST CADEIRA BELLAGIO (ALU C29 | CORD V01) TC KEEPSAKE SILVER</v>
          </cell>
          <cell r="R1953"/>
          <cell r="S1953"/>
          <cell r="T1953">
            <v>0.61</v>
          </cell>
          <cell r="U1953">
            <v>0.6</v>
          </cell>
          <cell r="V1953">
            <v>0.76</v>
          </cell>
          <cell r="W1953">
            <v>0</v>
          </cell>
          <cell r="X1953" t="str">
            <v>EST CADEIRA BELLAGIO (ALU C29 | CORD V01) TC KEEPSAKE SILVER - 0,61x0,6x0,76H</v>
          </cell>
          <cell r="Y1953">
            <v>9386.0164000000004</v>
          </cell>
          <cell r="Z1953">
            <v>0.35</v>
          </cell>
          <cell r="AA1953">
            <v>6100.9106600000005</v>
          </cell>
          <cell r="AB1953"/>
        </row>
        <row r="1954">
          <cell r="C1954">
            <v>6</v>
          </cell>
          <cell r="D1954">
            <v>0</v>
          </cell>
          <cell r="E1954">
            <v>0</v>
          </cell>
          <cell r="F1954">
            <v>0</v>
          </cell>
          <cell r="H1954">
            <v>0</v>
          </cell>
          <cell r="O1954">
            <v>404889</v>
          </cell>
          <cell r="P1954" t="str">
            <v>2025/154-0071-01</v>
          </cell>
          <cell r="Q1954" t="str">
            <v>EST CADEIRA BELLAGIO (ALU C29 | CORD V01) TC KEEPSAKE SILVER</v>
          </cell>
          <cell r="R1954"/>
          <cell r="S1954"/>
          <cell r="T1954">
            <v>0.61</v>
          </cell>
          <cell r="U1954">
            <v>0.6</v>
          </cell>
          <cell r="V1954">
            <v>0.76</v>
          </cell>
          <cell r="W1954">
            <v>0</v>
          </cell>
          <cell r="X1954" t="str">
            <v>EST CADEIRA BELLAGIO (ALU C29 | CORD V01) TC KEEPSAKE SILVER - 0,61x0,6x0,76H</v>
          </cell>
          <cell r="Y1954">
            <v>9386.0164000000004</v>
          </cell>
          <cell r="Z1954">
            <v>0.35</v>
          </cell>
          <cell r="AA1954">
            <v>6100.9106600000005</v>
          </cell>
          <cell r="AB1954"/>
        </row>
        <row r="1955">
          <cell r="C1955">
            <v>6</v>
          </cell>
          <cell r="D1955">
            <v>0</v>
          </cell>
          <cell r="E1955">
            <v>0</v>
          </cell>
          <cell r="F1955">
            <v>0</v>
          </cell>
          <cell r="H1955">
            <v>0</v>
          </cell>
          <cell r="O1955">
            <v>404889</v>
          </cell>
          <cell r="P1955" t="str">
            <v>2025/154-0072-01</v>
          </cell>
          <cell r="Q1955" t="str">
            <v>EST CADEIRA BELLAGIO (ALU C29 | CORD V01) TC KEEPSAKE SILVER</v>
          </cell>
          <cell r="R1955"/>
          <cell r="S1955"/>
          <cell r="T1955">
            <v>0.61</v>
          </cell>
          <cell r="U1955">
            <v>0.6</v>
          </cell>
          <cell r="V1955">
            <v>0.76</v>
          </cell>
          <cell r="W1955">
            <v>0</v>
          </cell>
          <cell r="X1955" t="str">
            <v>EST CADEIRA BELLAGIO (ALU C29 | CORD V01) TC KEEPSAKE SILVER - 0,61x0,6x0,76H</v>
          </cell>
          <cell r="Y1955">
            <v>9386.0164000000004</v>
          </cell>
          <cell r="Z1955">
            <v>0.35</v>
          </cell>
          <cell r="AA1955">
            <v>6100.9106600000005</v>
          </cell>
          <cell r="AB1955"/>
        </row>
        <row r="1956">
          <cell r="C1956">
            <v>6</v>
          </cell>
          <cell r="D1956">
            <v>0</v>
          </cell>
          <cell r="E1956">
            <v>0</v>
          </cell>
          <cell r="F1956">
            <v>0</v>
          </cell>
          <cell r="H1956">
            <v>0</v>
          </cell>
          <cell r="O1956">
            <v>404889</v>
          </cell>
          <cell r="P1956" t="str">
            <v>2025/154-0073-01</v>
          </cell>
          <cell r="Q1956" t="str">
            <v>EST CADEIRA BELLAGIO (ALU C29 | CORD V01) TC KEEPSAKE SILVER</v>
          </cell>
          <cell r="R1956"/>
          <cell r="S1956"/>
          <cell r="T1956">
            <v>0.61</v>
          </cell>
          <cell r="U1956">
            <v>0.6</v>
          </cell>
          <cell r="V1956">
            <v>0.76</v>
          </cell>
          <cell r="W1956">
            <v>0</v>
          </cell>
          <cell r="X1956" t="str">
            <v>EST CADEIRA BELLAGIO (ALU C29 | CORD V01) TC KEEPSAKE SILVER - 0,61x0,6x0,76H</v>
          </cell>
          <cell r="Y1956">
            <v>9386.0164000000004</v>
          </cell>
          <cell r="Z1956">
            <v>0.35</v>
          </cell>
          <cell r="AA1956">
            <v>6100.9106600000005</v>
          </cell>
          <cell r="AB1956"/>
        </row>
        <row r="1957">
          <cell r="C1957">
            <v>6</v>
          </cell>
          <cell r="D1957">
            <v>0</v>
          </cell>
          <cell r="E1957">
            <v>0</v>
          </cell>
          <cell r="F1957">
            <v>0</v>
          </cell>
          <cell r="H1957">
            <v>0</v>
          </cell>
          <cell r="O1957">
            <v>404889</v>
          </cell>
          <cell r="P1957" t="str">
            <v>2025/154-0074-01</v>
          </cell>
          <cell r="Q1957" t="str">
            <v>EST CADEIRA BELLAGIO (ALU C29 | CORD V01) TC KEEPSAKE SILVER</v>
          </cell>
          <cell r="R1957"/>
          <cell r="S1957"/>
          <cell r="T1957">
            <v>0.61</v>
          </cell>
          <cell r="U1957">
            <v>0.6</v>
          </cell>
          <cell r="V1957">
            <v>0.76</v>
          </cell>
          <cell r="W1957">
            <v>0</v>
          </cell>
          <cell r="X1957" t="str">
            <v>EST CADEIRA BELLAGIO (ALU C29 | CORD V01) TC KEEPSAKE SILVER - 0,61x0,6x0,76H</v>
          </cell>
          <cell r="Y1957">
            <v>9386.0164000000004</v>
          </cell>
          <cell r="Z1957">
            <v>0.35</v>
          </cell>
          <cell r="AA1957">
            <v>6100.9106600000005</v>
          </cell>
          <cell r="AB1957"/>
        </row>
        <row r="1958">
          <cell r="C1958">
            <v>6</v>
          </cell>
          <cell r="D1958">
            <v>0</v>
          </cell>
          <cell r="E1958">
            <v>0</v>
          </cell>
          <cell r="F1958">
            <v>0</v>
          </cell>
          <cell r="H1958">
            <v>0</v>
          </cell>
          <cell r="O1958">
            <v>404889</v>
          </cell>
          <cell r="P1958" t="str">
            <v>2025/154-0075-01</v>
          </cell>
          <cell r="Q1958" t="str">
            <v>EST CADEIRA BELLAGIO (ALU C29 | CORD V01) TC KEEPSAKE SILVER</v>
          </cell>
          <cell r="R1958"/>
          <cell r="S1958"/>
          <cell r="T1958">
            <v>0.61</v>
          </cell>
          <cell r="U1958">
            <v>0.6</v>
          </cell>
          <cell r="V1958">
            <v>0.76</v>
          </cell>
          <cell r="W1958">
            <v>0</v>
          </cell>
          <cell r="X1958" t="str">
            <v>EST CADEIRA BELLAGIO (ALU C29 | CORD V01) TC KEEPSAKE SILVER - 0,61x0,6x0,76H</v>
          </cell>
          <cell r="Y1958">
            <v>9386.0164000000004</v>
          </cell>
          <cell r="Z1958">
            <v>0.35</v>
          </cell>
          <cell r="AA1958">
            <v>6100.9106600000005</v>
          </cell>
          <cell r="AB1958"/>
        </row>
        <row r="1959">
          <cell r="C1959">
            <v>1</v>
          </cell>
          <cell r="D1959">
            <v>1</v>
          </cell>
          <cell r="E1959">
            <v>0</v>
          </cell>
          <cell r="F1959">
            <v>0</v>
          </cell>
          <cell r="H1959">
            <v>0</v>
          </cell>
          <cell r="O1959">
            <v>405105</v>
          </cell>
          <cell r="P1959" t="str">
            <v>2025/213-0049-01</v>
          </cell>
          <cell r="Q1959" t="str">
            <v>EST POLTRONA FLORIPA (MTX BROWN) COURO CH05</v>
          </cell>
          <cell r="R1959"/>
          <cell r="S1959"/>
          <cell r="T1959">
            <v>0.71</v>
          </cell>
          <cell r="U1959">
            <v>0.84</v>
          </cell>
          <cell r="V1959">
            <v>0.89</v>
          </cell>
          <cell r="W1959">
            <v>0</v>
          </cell>
          <cell r="X1959" t="str">
            <v>EST POLTRONA FLORIPA (MTX BROWN) COURO CH05 - 0,71x0,84x0,89H</v>
          </cell>
          <cell r="Y1959">
            <v>19442.66</v>
          </cell>
          <cell r="Z1959">
            <v>0.35</v>
          </cell>
          <cell r="AA1959">
            <v>12637.728999999999</v>
          </cell>
          <cell r="AB1959"/>
        </row>
        <row r="1960">
          <cell r="C1960">
            <v>1</v>
          </cell>
          <cell r="D1960">
            <v>1</v>
          </cell>
          <cell r="E1960">
            <v>0</v>
          </cell>
          <cell r="F1960">
            <v>0</v>
          </cell>
          <cell r="H1960">
            <v>0</v>
          </cell>
          <cell r="O1960">
            <v>405106</v>
          </cell>
          <cell r="P1960" t="str">
            <v>2025/213-0051-01</v>
          </cell>
          <cell r="Q1960" t="str">
            <v>EST BANQUETA FLORIPA (MTX BROWN) COURO CH05</v>
          </cell>
          <cell r="R1960"/>
          <cell r="S1960"/>
          <cell r="T1960">
            <v>0.6</v>
          </cell>
          <cell r="U1960">
            <v>0.6</v>
          </cell>
          <cell r="V1960">
            <v>0.4</v>
          </cell>
          <cell r="W1960">
            <v>0</v>
          </cell>
          <cell r="X1960" t="str">
            <v>EST BANQUETA FLORIPA (MTX BROWN) COURO CH05 - 0,6x0,6x0,4H</v>
          </cell>
          <cell r="Y1960">
            <v>12491.54</v>
          </cell>
          <cell r="Z1960">
            <v>0.35</v>
          </cell>
          <cell r="AA1960">
            <v>8119.5010000000011</v>
          </cell>
          <cell r="AB1960"/>
        </row>
        <row r="1961">
          <cell r="C1961">
            <v>1</v>
          </cell>
          <cell r="D1961">
            <v>0</v>
          </cell>
          <cell r="E1961">
            <v>0</v>
          </cell>
          <cell r="F1961">
            <v>0</v>
          </cell>
          <cell r="H1961">
            <v>0</v>
          </cell>
          <cell r="O1961">
            <v>405889</v>
          </cell>
          <cell r="P1961" t="str">
            <v>2025/189-0003-01</v>
          </cell>
          <cell r="Q1961" t="str">
            <v>EST MESA CENTRO SOLEIL (MARMORE TRAVERTINO) (LAMINA ITALIAN)</v>
          </cell>
          <cell r="R1961"/>
          <cell r="S1961"/>
          <cell r="T1961">
            <v>1.5</v>
          </cell>
          <cell r="U1961">
            <v>1.2</v>
          </cell>
          <cell r="V1961">
            <v>0.3</v>
          </cell>
          <cell r="W1961">
            <v>0</v>
          </cell>
          <cell r="X1961" t="str">
            <v>EST MESA CENTRO SOLEIL (MARMORE TRAVERTINO) (LAMINA ITALIAN) - 1,5x1,2x0,3H</v>
          </cell>
          <cell r="Y1961">
            <v>55095.31</v>
          </cell>
          <cell r="Z1961">
            <v>0.35</v>
          </cell>
          <cell r="AA1961">
            <v>35811.951499999996</v>
          </cell>
          <cell r="AB1961"/>
        </row>
        <row r="1962">
          <cell r="C1962">
            <v>1</v>
          </cell>
          <cell r="D1962">
            <v>0</v>
          </cell>
          <cell r="E1962">
            <v>0</v>
          </cell>
          <cell r="F1962">
            <v>0</v>
          </cell>
          <cell r="H1962">
            <v>0</v>
          </cell>
          <cell r="O1962">
            <v>409779</v>
          </cell>
          <cell r="P1962" t="str">
            <v>2025/237-0017-01</v>
          </cell>
          <cell r="Q1962" t="str">
            <v>EST SOFA ELLUS (CARVALHO) FX E5001</v>
          </cell>
          <cell r="R1962"/>
          <cell r="S1962"/>
          <cell r="T1962">
            <v>2.8</v>
          </cell>
          <cell r="U1962">
            <v>1</v>
          </cell>
          <cell r="V1962">
            <v>0.82</v>
          </cell>
          <cell r="W1962">
            <v>0</v>
          </cell>
          <cell r="X1962" t="str">
            <v>EST SOFA ELLUS (CARVALHO) FX E5001 - 2,8x1x0,82H</v>
          </cell>
          <cell r="Y1962">
            <v>25148.35</v>
          </cell>
          <cell r="Z1962">
            <v>0.35</v>
          </cell>
          <cell r="AA1962">
            <v>16346.4275</v>
          </cell>
          <cell r="AB1962"/>
        </row>
        <row r="1963">
          <cell r="C1963">
            <v>2</v>
          </cell>
          <cell r="D1963">
            <v>0</v>
          </cell>
          <cell r="E1963">
            <v>2</v>
          </cell>
          <cell r="F1963">
            <v>0</v>
          </cell>
          <cell r="H1963">
            <v>0</v>
          </cell>
          <cell r="O1963">
            <v>409983</v>
          </cell>
          <cell r="P1963" t="str">
            <v>2025/261-0026-01</v>
          </cell>
          <cell r="Q1963" t="str">
            <v>EST MESA LATERAL PIN (NATURE MATT) (DET PINT CORTEN)</v>
          </cell>
          <cell r="R1963"/>
          <cell r="S1963"/>
          <cell r="T1963">
            <v>0.35</v>
          </cell>
          <cell r="U1963">
            <v>0</v>
          </cell>
          <cell r="V1963">
            <v>0.52</v>
          </cell>
          <cell r="W1963">
            <v>0.35</v>
          </cell>
          <cell r="X1963" t="str">
            <v>EST MESA LATERAL PIN (NATURE MATT) (DET PINT CORTEN) - Ø0,35x0,52H</v>
          </cell>
          <cell r="Y1963">
            <v>5384.51</v>
          </cell>
          <cell r="Z1963">
            <v>0.35</v>
          </cell>
          <cell r="AA1963">
            <v>3499.9315000000006</v>
          </cell>
          <cell r="AB1963"/>
        </row>
        <row r="1964">
          <cell r="C1964">
            <v>2</v>
          </cell>
          <cell r="D1964">
            <v>0</v>
          </cell>
          <cell r="E1964">
            <v>2</v>
          </cell>
          <cell r="F1964">
            <v>0</v>
          </cell>
          <cell r="H1964">
            <v>0</v>
          </cell>
          <cell r="O1964">
            <v>409983</v>
          </cell>
          <cell r="P1964" t="str">
            <v>2025/261-0028-01</v>
          </cell>
          <cell r="Q1964" t="str">
            <v>EST MESA LATERAL PIN (NATURE MATT) (DET PINT CORTEN)</v>
          </cell>
          <cell r="R1964"/>
          <cell r="S1964"/>
          <cell r="T1964">
            <v>0.35</v>
          </cell>
          <cell r="U1964">
            <v>0</v>
          </cell>
          <cell r="V1964">
            <v>0.52</v>
          </cell>
          <cell r="W1964">
            <v>0.35</v>
          </cell>
          <cell r="X1964" t="str">
            <v>EST MESA LATERAL PIN (NATURE MATT) (DET PINT CORTEN) - Ø0,35x0,52H</v>
          </cell>
          <cell r="Y1964">
            <v>5384.51</v>
          </cell>
          <cell r="Z1964">
            <v>0.35</v>
          </cell>
          <cell r="AA1964">
            <v>3499.9315000000006</v>
          </cell>
          <cell r="AB1964"/>
        </row>
        <row r="1965">
          <cell r="C1965">
            <v>0</v>
          </cell>
          <cell r="D1965">
            <v>0</v>
          </cell>
          <cell r="E1965">
            <v>1</v>
          </cell>
          <cell r="F1965">
            <v>1</v>
          </cell>
          <cell r="H1965">
            <v>0</v>
          </cell>
          <cell r="O1965">
            <v>270545</v>
          </cell>
          <cell r="P1965" t="str">
            <v>2021/007-0073-01</v>
          </cell>
          <cell r="Q1965" t="str">
            <v>EST CADEIRA MEG C/BRACO (MARFIM NOCCE) (FX A1018)</v>
          </cell>
          <cell r="R1965"/>
          <cell r="S1965"/>
          <cell r="T1965">
            <v>0.63</v>
          </cell>
          <cell r="U1965">
            <v>0.63</v>
          </cell>
          <cell r="V1965">
            <v>0.81</v>
          </cell>
          <cell r="W1965">
            <v>0</v>
          </cell>
          <cell r="X1965" t="str">
            <v>EST CADEIRA MEG C/BRACO (MARFIM NOCCE) (FX A1018) - 0,63x0,63x0,81H</v>
          </cell>
          <cell r="Y1965">
            <v>3848.28</v>
          </cell>
          <cell r="Z1965">
            <v>0.5</v>
          </cell>
          <cell r="AA1965">
            <v>1924.14</v>
          </cell>
          <cell r="AB1965"/>
        </row>
        <row r="1966">
          <cell r="C1966">
            <v>6</v>
          </cell>
          <cell r="D1966">
            <v>0</v>
          </cell>
          <cell r="E1966">
            <v>1</v>
          </cell>
          <cell r="F1966">
            <v>1</v>
          </cell>
          <cell r="H1966">
            <v>0</v>
          </cell>
          <cell r="O1966">
            <v>378829</v>
          </cell>
          <cell r="P1966" t="str">
            <v>2024/065-0029-01</v>
          </cell>
          <cell r="Q1966" t="str">
            <v>EST CADEIRA DYLAN III (CINAMOMO AMENDOA NOCE) COURO CH 32</v>
          </cell>
          <cell r="R1966"/>
          <cell r="S1966"/>
          <cell r="T1966">
            <v>0.5</v>
          </cell>
          <cell r="U1966">
            <v>0.57999999999999996</v>
          </cell>
          <cell r="V1966">
            <v>0.8</v>
          </cell>
          <cell r="W1966">
            <v>0</v>
          </cell>
          <cell r="X1966" t="str">
            <v>EST CADEIRA DYLAN III (CINAMOMO AMENDOA NOCE) COURO CH 32 - 0,5x0,58x0,8H</v>
          </cell>
          <cell r="Y1966">
            <v>4387.8899999999994</v>
          </cell>
          <cell r="Z1966">
            <v>0.35</v>
          </cell>
          <cell r="AA1966">
            <v>2852.1284999999998</v>
          </cell>
          <cell r="AB1966"/>
        </row>
        <row r="1967">
          <cell r="C1967">
            <v>0</v>
          </cell>
          <cell r="D1967">
            <v>0</v>
          </cell>
          <cell r="E1967">
            <v>1</v>
          </cell>
          <cell r="F1967">
            <v>1</v>
          </cell>
          <cell r="H1967">
            <v>0</v>
          </cell>
          <cell r="O1967">
            <v>270545</v>
          </cell>
          <cell r="P1967" t="str">
            <v>2021/007-0072-01</v>
          </cell>
          <cell r="Q1967" t="str">
            <v>EST CADEIRA MEG C/BRACO (MARFIM NOCCE) (FX A1018)</v>
          </cell>
          <cell r="R1967"/>
          <cell r="S1967"/>
          <cell r="T1967">
            <v>0.63</v>
          </cell>
          <cell r="U1967">
            <v>0.63</v>
          </cell>
          <cell r="V1967">
            <v>0.81</v>
          </cell>
          <cell r="W1967">
            <v>0</v>
          </cell>
          <cell r="X1967" t="str">
            <v>EST CADEIRA MEG C/BRACO (MARFIM NOCCE) (FX A1018) - 0,63x0,63x0,81H</v>
          </cell>
          <cell r="Y1967">
            <v>3848.28</v>
          </cell>
          <cell r="Z1967">
            <v>0.5</v>
          </cell>
          <cell r="AA1967">
            <v>1924.14</v>
          </cell>
          <cell r="AB1967"/>
        </row>
        <row r="1968">
          <cell r="C1968">
            <v>0</v>
          </cell>
          <cell r="D1968">
            <v>8</v>
          </cell>
          <cell r="E1968">
            <v>0</v>
          </cell>
          <cell r="F1968">
            <v>0</v>
          </cell>
          <cell r="H1968">
            <v>0</v>
          </cell>
          <cell r="O1968">
            <v>378831</v>
          </cell>
          <cell r="P1968" t="str">
            <v>2024/065-0030-01</v>
          </cell>
          <cell r="Q1968" t="str">
            <v>EST CADEIRA MEG (CINAMOMO AMENDOA CLARO) COURO CH 05</v>
          </cell>
          <cell r="R1968"/>
          <cell r="S1968"/>
          <cell r="T1968">
            <v>0.59</v>
          </cell>
          <cell r="U1968">
            <v>0.59</v>
          </cell>
          <cell r="V1968">
            <v>0.81</v>
          </cell>
          <cell r="W1968">
            <v>0</v>
          </cell>
          <cell r="X1968" t="str">
            <v>EST CADEIRA MEG (CINAMOMO AMENDOA CLARO) COURO CH 05 - 0,59x0,59x0,81H</v>
          </cell>
          <cell r="Y1968">
            <v>5562.6399999999994</v>
          </cell>
          <cell r="Z1968">
            <v>0.35</v>
          </cell>
          <cell r="AA1968">
            <v>3615.7159999999994</v>
          </cell>
          <cell r="AB1968"/>
        </row>
        <row r="1969">
          <cell r="C1969">
            <v>0</v>
          </cell>
          <cell r="D1969">
            <v>8</v>
          </cell>
          <cell r="E1969">
            <v>0</v>
          </cell>
          <cell r="F1969">
            <v>0</v>
          </cell>
          <cell r="H1969">
            <v>0</v>
          </cell>
          <cell r="O1969">
            <v>378831</v>
          </cell>
          <cell r="P1969" t="str">
            <v>2024/065-0031-01</v>
          </cell>
          <cell r="Q1969" t="str">
            <v>EST CADEIRA MEG (CINAMOMO AMENDOA CLARO) COURO CH 05</v>
          </cell>
          <cell r="R1969"/>
          <cell r="S1969"/>
          <cell r="T1969">
            <v>0.59</v>
          </cell>
          <cell r="U1969">
            <v>0.59</v>
          </cell>
          <cell r="V1969">
            <v>0.81</v>
          </cell>
          <cell r="W1969">
            <v>0</v>
          </cell>
          <cell r="X1969" t="str">
            <v>EST CADEIRA MEG (CINAMOMO AMENDOA CLARO) COURO CH 05 - 0,59x0,59x0,81H</v>
          </cell>
          <cell r="Y1969">
            <v>5562.6399999999994</v>
          </cell>
          <cell r="Z1969">
            <v>0.35</v>
          </cell>
          <cell r="AA1969">
            <v>3615.7159999999994</v>
          </cell>
          <cell r="AB1969"/>
        </row>
        <row r="1970">
          <cell r="C1970">
            <v>0</v>
          </cell>
          <cell r="D1970">
            <v>8</v>
          </cell>
          <cell r="E1970">
            <v>0</v>
          </cell>
          <cell r="F1970">
            <v>0</v>
          </cell>
          <cell r="H1970">
            <v>0</v>
          </cell>
          <cell r="O1970">
            <v>378831</v>
          </cell>
          <cell r="P1970" t="str">
            <v>2024/065-0032-01</v>
          </cell>
          <cell r="Q1970" t="str">
            <v>EST CADEIRA MEG (CINAMOMO AMENDOA CLARO) COURO CH 05</v>
          </cell>
          <cell r="R1970"/>
          <cell r="S1970"/>
          <cell r="T1970">
            <v>0.59</v>
          </cell>
          <cell r="U1970">
            <v>0.59</v>
          </cell>
          <cell r="V1970">
            <v>0.81</v>
          </cell>
          <cell r="W1970">
            <v>0</v>
          </cell>
          <cell r="X1970" t="str">
            <v>EST CADEIRA MEG (CINAMOMO AMENDOA CLARO) COURO CH 05 - 0,59x0,59x0,81H</v>
          </cell>
          <cell r="Y1970">
            <v>5562.6399999999994</v>
          </cell>
          <cell r="Z1970">
            <v>0.35</v>
          </cell>
          <cell r="AA1970">
            <v>3615.7159999999994</v>
          </cell>
          <cell r="AB1970"/>
        </row>
        <row r="1971">
          <cell r="C1971">
            <v>0</v>
          </cell>
          <cell r="D1971">
            <v>8</v>
          </cell>
          <cell r="E1971">
            <v>0</v>
          </cell>
          <cell r="F1971">
            <v>0</v>
          </cell>
          <cell r="H1971">
            <v>0</v>
          </cell>
          <cell r="O1971">
            <v>378831</v>
          </cell>
          <cell r="P1971" t="str">
            <v>2024/065-0033-01</v>
          </cell>
          <cell r="Q1971" t="str">
            <v>EST CADEIRA MEG (CINAMOMO AMENDOA CLARO) COURO CH 05</v>
          </cell>
          <cell r="R1971"/>
          <cell r="S1971"/>
          <cell r="T1971">
            <v>0.59</v>
          </cell>
          <cell r="U1971">
            <v>0.59</v>
          </cell>
          <cell r="V1971">
            <v>0.81</v>
          </cell>
          <cell r="W1971">
            <v>0</v>
          </cell>
          <cell r="X1971" t="str">
            <v>EST CADEIRA MEG (CINAMOMO AMENDOA CLARO) COURO CH 05 - 0,59x0,59x0,81H</v>
          </cell>
          <cell r="Y1971">
            <v>5562.6399999999994</v>
          </cell>
          <cell r="Z1971">
            <v>0.35</v>
          </cell>
          <cell r="AA1971">
            <v>3615.7159999999994</v>
          </cell>
          <cell r="AB1971"/>
        </row>
        <row r="1972">
          <cell r="C1972">
            <v>0</v>
          </cell>
          <cell r="D1972">
            <v>8</v>
          </cell>
          <cell r="E1972">
            <v>0</v>
          </cell>
          <cell r="F1972">
            <v>0</v>
          </cell>
          <cell r="H1972">
            <v>0</v>
          </cell>
          <cell r="O1972">
            <v>378831</v>
          </cell>
          <cell r="P1972" t="str">
            <v>2024/065-0034-01</v>
          </cell>
          <cell r="Q1972" t="str">
            <v>EST CADEIRA MEG (CINAMOMO AMENDOA CLARO) COURO CH 05</v>
          </cell>
          <cell r="R1972"/>
          <cell r="S1972"/>
          <cell r="T1972">
            <v>0.59</v>
          </cell>
          <cell r="U1972">
            <v>0.59</v>
          </cell>
          <cell r="V1972">
            <v>0.81</v>
          </cell>
          <cell r="W1972">
            <v>0</v>
          </cell>
          <cell r="X1972" t="str">
            <v>EST CADEIRA MEG (CINAMOMO AMENDOA CLARO) COURO CH 05 - 0,59x0,59x0,81H</v>
          </cell>
          <cell r="Y1972">
            <v>5562.6399999999994</v>
          </cell>
          <cell r="Z1972">
            <v>0.35</v>
          </cell>
          <cell r="AA1972">
            <v>3615.7159999999994</v>
          </cell>
          <cell r="AB1972"/>
        </row>
        <row r="1973">
          <cell r="C1973">
            <v>0</v>
          </cell>
          <cell r="D1973">
            <v>8</v>
          </cell>
          <cell r="E1973">
            <v>0</v>
          </cell>
          <cell r="F1973">
            <v>0</v>
          </cell>
          <cell r="H1973">
            <v>0</v>
          </cell>
          <cell r="O1973">
            <v>378831</v>
          </cell>
          <cell r="P1973" t="str">
            <v>2024/065-0035-01</v>
          </cell>
          <cell r="Q1973" t="str">
            <v>EST CADEIRA MEG (CINAMOMO AMENDOA CLARO) COURO CH 05</v>
          </cell>
          <cell r="R1973"/>
          <cell r="S1973"/>
          <cell r="T1973">
            <v>0.59</v>
          </cell>
          <cell r="U1973">
            <v>0.59</v>
          </cell>
          <cell r="V1973">
            <v>0.81</v>
          </cell>
          <cell r="W1973">
            <v>0</v>
          </cell>
          <cell r="X1973" t="str">
            <v>EST CADEIRA MEG (CINAMOMO AMENDOA CLARO) COURO CH 05 - 0,59x0,59x0,81H</v>
          </cell>
          <cell r="Y1973">
            <v>5562.6399999999994</v>
          </cell>
          <cell r="Z1973">
            <v>0.35</v>
          </cell>
          <cell r="AA1973">
            <v>3615.7159999999994</v>
          </cell>
          <cell r="AB1973"/>
        </row>
        <row r="1974">
          <cell r="C1974">
            <v>0</v>
          </cell>
          <cell r="D1974">
            <v>8</v>
          </cell>
          <cell r="E1974">
            <v>0</v>
          </cell>
          <cell r="F1974">
            <v>0</v>
          </cell>
          <cell r="H1974">
            <v>0</v>
          </cell>
          <cell r="O1974">
            <v>378831</v>
          </cell>
          <cell r="P1974" t="str">
            <v>2024/065-0036-01</v>
          </cell>
          <cell r="Q1974" t="str">
            <v>EST CADEIRA MEG (CINAMOMO AMENDOA CLARO) COURO CH 05</v>
          </cell>
          <cell r="R1974"/>
          <cell r="S1974"/>
          <cell r="T1974">
            <v>0.59</v>
          </cell>
          <cell r="U1974">
            <v>0.59</v>
          </cell>
          <cell r="V1974">
            <v>0.81</v>
          </cell>
          <cell r="W1974">
            <v>0</v>
          </cell>
          <cell r="X1974" t="str">
            <v>EST CADEIRA MEG (CINAMOMO AMENDOA CLARO) COURO CH 05 - 0,59x0,59x0,81H</v>
          </cell>
          <cell r="Y1974">
            <v>5562.6399999999994</v>
          </cell>
          <cell r="Z1974">
            <v>0.35</v>
          </cell>
          <cell r="AA1974">
            <v>3615.7159999999994</v>
          </cell>
          <cell r="AB1974"/>
        </row>
        <row r="1975">
          <cell r="C1975">
            <v>0</v>
          </cell>
          <cell r="D1975">
            <v>8</v>
          </cell>
          <cell r="E1975">
            <v>0</v>
          </cell>
          <cell r="F1975">
            <v>0</v>
          </cell>
          <cell r="H1975">
            <v>0</v>
          </cell>
          <cell r="O1975">
            <v>378831</v>
          </cell>
          <cell r="P1975" t="str">
            <v>2024/065-0037-01</v>
          </cell>
          <cell r="Q1975" t="str">
            <v>EST CADEIRA MEG (CINAMOMO AMENDOA CLARO) COURO CH 05</v>
          </cell>
          <cell r="R1975"/>
          <cell r="S1975"/>
          <cell r="T1975">
            <v>0.59</v>
          </cell>
          <cell r="U1975">
            <v>0.59</v>
          </cell>
          <cell r="V1975">
            <v>0.81</v>
          </cell>
          <cell r="W1975">
            <v>0</v>
          </cell>
          <cell r="X1975" t="str">
            <v>EST CADEIRA MEG (CINAMOMO AMENDOA CLARO) COURO CH 05 - 0,59x0,59x0,81H</v>
          </cell>
          <cell r="Y1975">
            <v>5562.6399999999994</v>
          </cell>
          <cell r="Z1975">
            <v>0.35</v>
          </cell>
          <cell r="AA1975">
            <v>3615.7159999999994</v>
          </cell>
          <cell r="AB1975"/>
        </row>
        <row r="1976">
          <cell r="C1976">
            <v>0</v>
          </cell>
          <cell r="D1976">
            <v>8</v>
          </cell>
          <cell r="E1976">
            <v>0</v>
          </cell>
          <cell r="F1976">
            <v>0</v>
          </cell>
          <cell r="H1976">
            <v>0</v>
          </cell>
          <cell r="O1976">
            <v>378832</v>
          </cell>
          <cell r="P1976" t="str">
            <v>2024/065-0038-01</v>
          </cell>
          <cell r="Q1976" t="str">
            <v>EST CADEIRA DYLAN III (CINAMOMO AMENDOA ESCURO) (FX B2002)</v>
          </cell>
          <cell r="R1976"/>
          <cell r="S1976"/>
          <cell r="T1976">
            <v>0.5</v>
          </cell>
          <cell r="U1976">
            <v>0.57999999999999996</v>
          </cell>
          <cell r="V1976">
            <v>0.8</v>
          </cell>
          <cell r="W1976">
            <v>0</v>
          </cell>
          <cell r="X1976" t="str">
            <v>EST CADEIRA DYLAN III (CINAMOMO AMENDOA ESCURO) (FX B2002) - 0,5x0,58x0,8H</v>
          </cell>
          <cell r="Y1976">
            <v>3185.37</v>
          </cell>
          <cell r="Z1976">
            <v>0.35</v>
          </cell>
          <cell r="AA1976">
            <v>2070.4904999999999</v>
          </cell>
          <cell r="AB1976"/>
        </row>
        <row r="1977">
          <cell r="C1977">
            <v>0</v>
          </cell>
          <cell r="D1977">
            <v>8</v>
          </cell>
          <cell r="E1977">
            <v>0</v>
          </cell>
          <cell r="F1977">
            <v>0</v>
          </cell>
          <cell r="H1977">
            <v>0</v>
          </cell>
          <cell r="O1977">
            <v>378832</v>
          </cell>
          <cell r="P1977" t="str">
            <v>2024/065-0039-01</v>
          </cell>
          <cell r="Q1977" t="str">
            <v>EST CADEIRA DYLAN III (CINAMOMO AMENDOA ESCURO) (FX B2002)</v>
          </cell>
          <cell r="R1977"/>
          <cell r="S1977"/>
          <cell r="T1977">
            <v>0.5</v>
          </cell>
          <cell r="U1977">
            <v>0.57999999999999996</v>
          </cell>
          <cell r="V1977">
            <v>0.8</v>
          </cell>
          <cell r="W1977">
            <v>0</v>
          </cell>
          <cell r="X1977" t="str">
            <v>EST CADEIRA DYLAN III (CINAMOMO AMENDOA ESCURO) (FX B2002) - 0,5x0,58x0,8H</v>
          </cell>
          <cell r="Y1977">
            <v>3185.37</v>
          </cell>
          <cell r="Z1977">
            <v>0.35</v>
          </cell>
          <cell r="AA1977">
            <v>2070.4904999999999</v>
          </cell>
          <cell r="AB1977"/>
        </row>
        <row r="1978">
          <cell r="C1978">
            <v>0</v>
          </cell>
          <cell r="D1978">
            <v>8</v>
          </cell>
          <cell r="E1978">
            <v>0</v>
          </cell>
          <cell r="F1978">
            <v>0</v>
          </cell>
          <cell r="H1978">
            <v>0</v>
          </cell>
          <cell r="O1978">
            <v>378832</v>
          </cell>
          <cell r="P1978" t="str">
            <v>2024/065-0041-01</v>
          </cell>
          <cell r="Q1978" t="str">
            <v>EST CADEIRA DYLAN III (CINAMOMO AMENDOA ESCURO) (FX B2002)</v>
          </cell>
          <cell r="R1978"/>
          <cell r="S1978"/>
          <cell r="T1978">
            <v>0.5</v>
          </cell>
          <cell r="U1978">
            <v>0.57999999999999996</v>
          </cell>
          <cell r="V1978">
            <v>0.8</v>
          </cell>
          <cell r="W1978">
            <v>0</v>
          </cell>
          <cell r="X1978" t="str">
            <v>EST CADEIRA DYLAN III (CINAMOMO AMENDOA ESCURO) (FX B2002) - 0,5x0,58x0,8H</v>
          </cell>
          <cell r="Y1978">
            <v>3185.37</v>
          </cell>
          <cell r="Z1978">
            <v>0.35</v>
          </cell>
          <cell r="AA1978">
            <v>2070.4904999999999</v>
          </cell>
          <cell r="AB1978"/>
        </row>
        <row r="1979">
          <cell r="C1979">
            <v>0</v>
          </cell>
          <cell r="D1979">
            <v>8</v>
          </cell>
          <cell r="E1979">
            <v>0</v>
          </cell>
          <cell r="F1979">
            <v>0</v>
          </cell>
          <cell r="H1979">
            <v>0</v>
          </cell>
          <cell r="O1979">
            <v>378832</v>
          </cell>
          <cell r="P1979" t="str">
            <v>2024/065-0042-01</v>
          </cell>
          <cell r="Q1979" t="str">
            <v>EST CADEIRA DYLAN III (CINAMOMO AMENDOA ESCURO) (FX B2002)</v>
          </cell>
          <cell r="R1979"/>
          <cell r="S1979"/>
          <cell r="T1979">
            <v>0.5</v>
          </cell>
          <cell r="U1979">
            <v>0.57999999999999996</v>
          </cell>
          <cell r="V1979">
            <v>0.8</v>
          </cell>
          <cell r="W1979">
            <v>0</v>
          </cell>
          <cell r="X1979" t="str">
            <v>EST CADEIRA DYLAN III (CINAMOMO AMENDOA ESCURO) (FX B2002) - 0,5x0,58x0,8H</v>
          </cell>
          <cell r="Y1979">
            <v>3185.37</v>
          </cell>
          <cell r="Z1979">
            <v>0.35</v>
          </cell>
          <cell r="AA1979">
            <v>2070.4904999999999</v>
          </cell>
          <cell r="AB1979"/>
        </row>
        <row r="1980">
          <cell r="C1980">
            <v>0</v>
          </cell>
          <cell r="D1980">
            <v>8</v>
          </cell>
          <cell r="E1980">
            <v>0</v>
          </cell>
          <cell r="F1980">
            <v>0</v>
          </cell>
          <cell r="H1980">
            <v>0</v>
          </cell>
          <cell r="O1980">
            <v>378832</v>
          </cell>
          <cell r="P1980" t="str">
            <v>2024/065-0043-01</v>
          </cell>
          <cell r="Q1980" t="str">
            <v>EST CADEIRA DYLAN III (CINAMOMO AMENDOA ESCURO) (FX B2002)</v>
          </cell>
          <cell r="R1980"/>
          <cell r="S1980"/>
          <cell r="T1980">
            <v>0.5</v>
          </cell>
          <cell r="U1980">
            <v>0.57999999999999996</v>
          </cell>
          <cell r="V1980">
            <v>0.8</v>
          </cell>
          <cell r="W1980">
            <v>0</v>
          </cell>
          <cell r="X1980" t="str">
            <v>EST CADEIRA DYLAN III (CINAMOMO AMENDOA ESCURO) (FX B2002) - 0,5x0,58x0,8H</v>
          </cell>
          <cell r="Y1980">
            <v>3185.37</v>
          </cell>
          <cell r="Z1980">
            <v>0.35</v>
          </cell>
          <cell r="AA1980">
            <v>2070.4904999999999</v>
          </cell>
          <cell r="AB1980"/>
        </row>
        <row r="1981">
          <cell r="C1981">
            <v>0</v>
          </cell>
          <cell r="D1981">
            <v>8</v>
          </cell>
          <cell r="E1981">
            <v>0</v>
          </cell>
          <cell r="F1981">
            <v>0</v>
          </cell>
          <cell r="H1981">
            <v>0</v>
          </cell>
          <cell r="O1981">
            <v>378832</v>
          </cell>
          <cell r="P1981" t="str">
            <v>2024/065-0044-01</v>
          </cell>
          <cell r="Q1981" t="str">
            <v>EST CADEIRA DYLAN III (CINAMOMO AMENDOA ESCURO) (FX B2002)</v>
          </cell>
          <cell r="R1981"/>
          <cell r="S1981"/>
          <cell r="T1981">
            <v>0.5</v>
          </cell>
          <cell r="U1981">
            <v>0.57999999999999996</v>
          </cell>
          <cell r="V1981">
            <v>0.8</v>
          </cell>
          <cell r="W1981">
            <v>0</v>
          </cell>
          <cell r="X1981" t="str">
            <v>EST CADEIRA DYLAN III (CINAMOMO AMENDOA ESCURO) (FX B2002) - 0,5x0,58x0,8H</v>
          </cell>
          <cell r="Y1981">
            <v>3185.37</v>
          </cell>
          <cell r="Z1981">
            <v>0.35</v>
          </cell>
          <cell r="AA1981">
            <v>2070.4904999999999</v>
          </cell>
          <cell r="AB1981"/>
        </row>
        <row r="1982">
          <cell r="C1982">
            <v>0</v>
          </cell>
          <cell r="D1982">
            <v>8</v>
          </cell>
          <cell r="E1982">
            <v>0</v>
          </cell>
          <cell r="F1982">
            <v>0</v>
          </cell>
          <cell r="H1982">
            <v>0</v>
          </cell>
          <cell r="O1982">
            <v>378832</v>
          </cell>
          <cell r="P1982" t="str">
            <v>2024/065-0045-01</v>
          </cell>
          <cell r="Q1982" t="str">
            <v>EST CADEIRA DYLAN III (CINAMOMO AMENDOA ESCURO) (FX B2002)</v>
          </cell>
          <cell r="R1982"/>
          <cell r="S1982"/>
          <cell r="T1982">
            <v>0.5</v>
          </cell>
          <cell r="U1982">
            <v>0.57999999999999996</v>
          </cell>
          <cell r="V1982">
            <v>0.8</v>
          </cell>
          <cell r="W1982">
            <v>0</v>
          </cell>
          <cell r="X1982" t="str">
            <v>EST CADEIRA DYLAN III (CINAMOMO AMENDOA ESCURO) (FX B2002) - 0,5x0,58x0,8H</v>
          </cell>
          <cell r="Y1982">
            <v>3185.37</v>
          </cell>
          <cell r="Z1982">
            <v>0.35</v>
          </cell>
          <cell r="AA1982">
            <v>2070.4904999999999</v>
          </cell>
          <cell r="AB1982"/>
        </row>
        <row r="1983">
          <cell r="C1983">
            <v>0</v>
          </cell>
          <cell r="D1983">
            <v>8</v>
          </cell>
          <cell r="E1983">
            <v>0</v>
          </cell>
          <cell r="F1983">
            <v>0</v>
          </cell>
          <cell r="H1983">
            <v>0</v>
          </cell>
          <cell r="O1983">
            <v>378832</v>
          </cell>
          <cell r="P1983" t="str">
            <v>2024/065-0040-01</v>
          </cell>
          <cell r="Q1983" t="str">
            <v>EST CADEIRA DYLAN III (CINAMOMO AMENDOA ESCURO) (FX B2002)</v>
          </cell>
          <cell r="R1983"/>
          <cell r="S1983"/>
          <cell r="T1983">
            <v>0.5</v>
          </cell>
          <cell r="U1983">
            <v>0.57999999999999996</v>
          </cell>
          <cell r="V1983">
            <v>0.8</v>
          </cell>
          <cell r="W1983">
            <v>0</v>
          </cell>
          <cell r="X1983" t="str">
            <v>EST CADEIRA DYLAN III (CINAMOMO AMENDOA ESCURO) (FX B2002) - 0,5x0,58x0,8H</v>
          </cell>
          <cell r="Y1983">
            <v>3185.37</v>
          </cell>
          <cell r="Z1983">
            <v>0.35</v>
          </cell>
          <cell r="AA1983">
            <v>2070.4904999999999</v>
          </cell>
          <cell r="AB1983"/>
        </row>
        <row r="1984">
          <cell r="C1984">
            <v>0</v>
          </cell>
          <cell r="D1984">
            <v>1</v>
          </cell>
          <cell r="E1984">
            <v>0</v>
          </cell>
          <cell r="F1984">
            <v>0</v>
          </cell>
          <cell r="H1984">
            <v>1</v>
          </cell>
          <cell r="O1984">
            <v>270548</v>
          </cell>
          <cell r="P1984" t="str">
            <v>2020/332-0002-01</v>
          </cell>
          <cell r="Q1984" t="str">
            <v>EST CADEIRA MEG C/BRACO (MARFIM CASTANHO) (COURO CARAMELO)</v>
          </cell>
          <cell r="R1984"/>
          <cell r="S1984"/>
          <cell r="T1984">
            <v>0.63</v>
          </cell>
          <cell r="U1984">
            <v>0.63</v>
          </cell>
          <cell r="V1984">
            <v>0.81</v>
          </cell>
          <cell r="W1984">
            <v>0</v>
          </cell>
          <cell r="X1984" t="str">
            <v>EST CADEIRA MEG C/BRACO (MARFIM CASTANHO) (COURO CARAMELO) - 0,63x0,63x0,81H</v>
          </cell>
          <cell r="Y1984">
            <v>7312.66</v>
          </cell>
          <cell r="Z1984">
            <v>0.5</v>
          </cell>
          <cell r="AA1984">
            <v>3656.33</v>
          </cell>
          <cell r="AB1984"/>
        </row>
        <row r="1985">
          <cell r="C1985">
            <v>1</v>
          </cell>
          <cell r="D1985">
            <v>1</v>
          </cell>
          <cell r="E1985">
            <v>0</v>
          </cell>
          <cell r="F1985">
            <v>0</v>
          </cell>
          <cell r="H1985">
            <v>1</v>
          </cell>
          <cell r="O1985">
            <v>270551</v>
          </cell>
          <cell r="P1985" t="str">
            <v>2020/332-0015-01</v>
          </cell>
          <cell r="Q1985" t="str">
            <v>EST BANQUETA BAR LISBOA (MARFIM NOCCE) (FX A1094/DET CAMEL)</v>
          </cell>
          <cell r="R1985"/>
          <cell r="S1985"/>
          <cell r="T1985">
            <v>0.45</v>
          </cell>
          <cell r="U1985">
            <v>0.54</v>
          </cell>
          <cell r="V1985">
            <v>1.01</v>
          </cell>
          <cell r="W1985">
            <v>0</v>
          </cell>
          <cell r="X1985" t="str">
            <v>EST BANQUETA BAR LISBOA (MARFIM NOCCE) (FX A1094/DET CAMEL) - 0,45x0,54x1,01H</v>
          </cell>
          <cell r="Y1985">
            <v>4139.5200000000004</v>
          </cell>
          <cell r="Z1985">
            <v>0.5</v>
          </cell>
          <cell r="AA1985">
            <v>2069.7600000000002</v>
          </cell>
          <cell r="AB1985"/>
        </row>
        <row r="1986">
          <cell r="C1986">
            <v>1</v>
          </cell>
          <cell r="D1986">
            <v>1</v>
          </cell>
          <cell r="E1986">
            <v>0</v>
          </cell>
          <cell r="F1986">
            <v>0</v>
          </cell>
          <cell r="H1986">
            <v>1</v>
          </cell>
          <cell r="O1986">
            <v>270551</v>
          </cell>
          <cell r="P1986" t="str">
            <v>2020/332-0014-01</v>
          </cell>
          <cell r="Q1986" t="str">
            <v>EST BANQUETA BAR LISBOA (MARFIM NOCCE) (FX A1094/DET CAMEL)</v>
          </cell>
          <cell r="R1986"/>
          <cell r="S1986"/>
          <cell r="T1986">
            <v>0.45</v>
          </cell>
          <cell r="U1986">
            <v>0.54</v>
          </cell>
          <cell r="V1986">
            <v>1.01</v>
          </cell>
          <cell r="W1986">
            <v>0</v>
          </cell>
          <cell r="X1986" t="str">
            <v>EST BANQUETA BAR LISBOA (MARFIM NOCCE) (FX A1094/DET CAMEL) - 0,45x0,54x1,01H</v>
          </cell>
          <cell r="Y1986">
            <v>4139.5200000000004</v>
          </cell>
          <cell r="Z1986">
            <v>0.5</v>
          </cell>
          <cell r="AA1986">
            <v>2069.7600000000002</v>
          </cell>
          <cell r="AB1986"/>
        </row>
        <row r="1987">
          <cell r="C1987">
            <v>1</v>
          </cell>
          <cell r="D1987">
            <v>0</v>
          </cell>
          <cell r="E1987">
            <v>0</v>
          </cell>
          <cell r="F1987">
            <v>0</v>
          </cell>
          <cell r="H1987">
            <v>2</v>
          </cell>
          <cell r="O1987">
            <v>270552</v>
          </cell>
          <cell r="P1987" t="str">
            <v>2020/332-0017-01</v>
          </cell>
          <cell r="Q1987" t="str">
            <v>EST BANQUETA BAR APOLLO (MARFIM NOCCE) (FX A1094)</v>
          </cell>
          <cell r="R1987"/>
          <cell r="S1987"/>
          <cell r="T1987">
            <v>0.49</v>
          </cell>
          <cell r="U1987">
            <v>0.51</v>
          </cell>
          <cell r="V1987">
            <v>1.01</v>
          </cell>
          <cell r="W1987">
            <v>0</v>
          </cell>
          <cell r="X1987" t="str">
            <v>EST BANQUETA BAR APOLLO (MARFIM NOCCE) (FX A1094) - 0,49x0,51x1,01H</v>
          </cell>
          <cell r="Y1987">
            <v>3628.26</v>
          </cell>
          <cell r="Z1987">
            <v>0.5</v>
          </cell>
          <cell r="AA1987">
            <v>1814.13</v>
          </cell>
          <cell r="AB1987"/>
        </row>
        <row r="1988">
          <cell r="C1988">
            <v>6</v>
          </cell>
          <cell r="D1988">
            <v>0</v>
          </cell>
          <cell r="E1988">
            <v>1</v>
          </cell>
          <cell r="F1988">
            <v>1</v>
          </cell>
          <cell r="H1988">
            <v>0</v>
          </cell>
          <cell r="O1988">
            <v>378829</v>
          </cell>
          <cell r="P1988" t="str">
            <v>2024/065-0022-01</v>
          </cell>
          <cell r="Q1988" t="str">
            <v>EST CADEIRA DYLAN III (CINAMOMO AMENDOA NOCE) COURO CH 32</v>
          </cell>
          <cell r="R1988"/>
          <cell r="S1988"/>
          <cell r="T1988">
            <v>0.5</v>
          </cell>
          <cell r="U1988">
            <v>0.57999999999999996</v>
          </cell>
          <cell r="V1988">
            <v>0.8</v>
          </cell>
          <cell r="W1988">
            <v>0</v>
          </cell>
          <cell r="X1988" t="str">
            <v>EST CADEIRA DYLAN III (CINAMOMO AMENDOA NOCE) COURO CH 32 - 0,5x0,58x0,8H</v>
          </cell>
          <cell r="Y1988">
            <v>4387.8899999999994</v>
          </cell>
          <cell r="Z1988">
            <v>0.35</v>
          </cell>
          <cell r="AA1988">
            <v>2852.1284999999998</v>
          </cell>
          <cell r="AB1988"/>
        </row>
        <row r="1989">
          <cell r="C1989">
            <v>6</v>
          </cell>
          <cell r="D1989">
            <v>0</v>
          </cell>
          <cell r="E1989">
            <v>1</v>
          </cell>
          <cell r="F1989">
            <v>1</v>
          </cell>
          <cell r="H1989">
            <v>0</v>
          </cell>
          <cell r="O1989">
            <v>378829</v>
          </cell>
          <cell r="P1989" t="str">
            <v>2024/065-0024-01</v>
          </cell>
          <cell r="Q1989" t="str">
            <v>EST CADEIRA DYLAN III (CINAMOMO AMENDOA NOCE) COURO CH 32</v>
          </cell>
          <cell r="R1989"/>
          <cell r="S1989"/>
          <cell r="T1989">
            <v>0.5</v>
          </cell>
          <cell r="U1989">
            <v>0.57999999999999996</v>
          </cell>
          <cell r="V1989">
            <v>0.8</v>
          </cell>
          <cell r="W1989">
            <v>0</v>
          </cell>
          <cell r="X1989" t="str">
            <v>EST CADEIRA DYLAN III (CINAMOMO AMENDOA NOCE) COURO CH 32 - 0,5x0,58x0,8H</v>
          </cell>
          <cell r="Y1989">
            <v>4387.8899999999994</v>
          </cell>
          <cell r="Z1989">
            <v>0.35</v>
          </cell>
          <cell r="AA1989">
            <v>2852.1284999999998</v>
          </cell>
          <cell r="AB1989"/>
        </row>
        <row r="1990">
          <cell r="C1990">
            <v>6</v>
          </cell>
          <cell r="D1990">
            <v>0</v>
          </cell>
          <cell r="E1990">
            <v>1</v>
          </cell>
          <cell r="F1990">
            <v>1</v>
          </cell>
          <cell r="H1990">
            <v>0</v>
          </cell>
          <cell r="O1990">
            <v>378829</v>
          </cell>
          <cell r="P1990" t="str">
            <v>2024/065-0025-01</v>
          </cell>
          <cell r="Q1990" t="str">
            <v>EST CADEIRA DYLAN III (CINAMOMO AMENDOA NOCE) COURO CH 32</v>
          </cell>
          <cell r="R1990"/>
          <cell r="S1990"/>
          <cell r="T1990">
            <v>0.5</v>
          </cell>
          <cell r="U1990">
            <v>0.57999999999999996</v>
          </cell>
          <cell r="V1990">
            <v>0.8</v>
          </cell>
          <cell r="W1990">
            <v>0</v>
          </cell>
          <cell r="X1990" t="str">
            <v>EST CADEIRA DYLAN III (CINAMOMO AMENDOA NOCE) COURO CH 32 - 0,5x0,58x0,8H</v>
          </cell>
          <cell r="Y1990">
            <v>4387.8899999999994</v>
          </cell>
          <cell r="Z1990">
            <v>0.35</v>
          </cell>
          <cell r="AA1990">
            <v>2852.1284999999998</v>
          </cell>
          <cell r="AB1990"/>
        </row>
        <row r="1991">
          <cell r="C1991">
            <v>6</v>
          </cell>
          <cell r="D1991">
            <v>0</v>
          </cell>
          <cell r="E1991">
            <v>1</v>
          </cell>
          <cell r="F1991">
            <v>1</v>
          </cell>
          <cell r="H1991">
            <v>0</v>
          </cell>
          <cell r="O1991">
            <v>378829</v>
          </cell>
          <cell r="P1991" t="str">
            <v>2024/065-0026-01</v>
          </cell>
          <cell r="Q1991" t="str">
            <v>EST CADEIRA DYLAN III (CINAMOMO AMENDOA NOCE) COURO CH 32</v>
          </cell>
          <cell r="R1991"/>
          <cell r="S1991"/>
          <cell r="T1991">
            <v>0.5</v>
          </cell>
          <cell r="U1991">
            <v>0.57999999999999996</v>
          </cell>
          <cell r="V1991">
            <v>0.8</v>
          </cell>
          <cell r="W1991">
            <v>0</v>
          </cell>
          <cell r="X1991" t="str">
            <v>EST CADEIRA DYLAN III (CINAMOMO AMENDOA NOCE) COURO CH 32 - 0,5x0,58x0,8H</v>
          </cell>
          <cell r="Y1991">
            <v>4387.8899999999994</v>
          </cell>
          <cell r="Z1991">
            <v>0.35</v>
          </cell>
          <cell r="AA1991">
            <v>2852.1284999999998</v>
          </cell>
          <cell r="AB1991"/>
        </row>
        <row r="1992">
          <cell r="C1992">
            <v>6</v>
          </cell>
          <cell r="D1992">
            <v>0</v>
          </cell>
          <cell r="E1992">
            <v>1</v>
          </cell>
          <cell r="F1992">
            <v>1</v>
          </cell>
          <cell r="H1992">
            <v>0</v>
          </cell>
          <cell r="O1992">
            <v>378829</v>
          </cell>
          <cell r="P1992" t="str">
            <v>2024/065-0027-01</v>
          </cell>
          <cell r="Q1992" t="str">
            <v>EST CADEIRA DYLAN III (CINAMOMO AMENDOA NOCE) COURO CH 32</v>
          </cell>
          <cell r="R1992"/>
          <cell r="S1992"/>
          <cell r="T1992">
            <v>0.5</v>
          </cell>
          <cell r="U1992">
            <v>0.57999999999999996</v>
          </cell>
          <cell r="V1992">
            <v>0.8</v>
          </cell>
          <cell r="W1992">
            <v>0</v>
          </cell>
          <cell r="X1992" t="str">
            <v>EST CADEIRA DYLAN III (CINAMOMO AMENDOA NOCE) COURO CH 32 - 0,5x0,58x0,8H</v>
          </cell>
          <cell r="Y1992">
            <v>4387.8899999999994</v>
          </cell>
          <cell r="Z1992">
            <v>0.35</v>
          </cell>
          <cell r="AA1992">
            <v>2852.1284999999998</v>
          </cell>
          <cell r="AB1992"/>
        </row>
        <row r="1993">
          <cell r="C1993">
            <v>6</v>
          </cell>
          <cell r="D1993">
            <v>0</v>
          </cell>
          <cell r="E1993">
            <v>1</v>
          </cell>
          <cell r="F1993">
            <v>1</v>
          </cell>
          <cell r="H1993">
            <v>0</v>
          </cell>
          <cell r="O1993">
            <v>378829</v>
          </cell>
          <cell r="P1993" t="str">
            <v>2024/065-0028-01</v>
          </cell>
          <cell r="Q1993" t="str">
            <v>EST CADEIRA DYLAN III (CINAMOMO AMENDOA NOCE) COURO CH 32</v>
          </cell>
          <cell r="R1993"/>
          <cell r="S1993"/>
          <cell r="T1993">
            <v>0.5</v>
          </cell>
          <cell r="U1993">
            <v>0.57999999999999996</v>
          </cell>
          <cell r="V1993">
            <v>0.8</v>
          </cell>
          <cell r="W1993">
            <v>0</v>
          </cell>
          <cell r="X1993" t="str">
            <v>EST CADEIRA DYLAN III (CINAMOMO AMENDOA NOCE) COURO CH 32 - 0,5x0,58x0,8H</v>
          </cell>
          <cell r="Y1993">
            <v>4387.8899999999994</v>
          </cell>
          <cell r="Z1993">
            <v>0.35</v>
          </cell>
          <cell r="AA1993">
            <v>2852.1284999999998</v>
          </cell>
          <cell r="AB1993"/>
        </row>
        <row r="1994">
          <cell r="C1994">
            <v>1</v>
          </cell>
          <cell r="D1994">
            <v>0</v>
          </cell>
          <cell r="E1994">
            <v>0</v>
          </cell>
          <cell r="F1994">
            <v>0</v>
          </cell>
          <cell r="H1994">
            <v>0</v>
          </cell>
          <cell r="O1994">
            <v>405722</v>
          </cell>
          <cell r="P1994" t="str">
            <v>2025/154-0095-01</v>
          </cell>
          <cell r="Q1994" t="str">
            <v>EST MESA CENTRO GROTA (TAMPO MARCHETARIA) WALNUT MATT</v>
          </cell>
          <cell r="R1994"/>
          <cell r="S1994"/>
          <cell r="T1994">
            <v>1.02</v>
          </cell>
          <cell r="U1994">
            <v>1.02</v>
          </cell>
          <cell r="V1994">
            <v>0.25</v>
          </cell>
          <cell r="W1994">
            <v>0</v>
          </cell>
          <cell r="X1994" t="str">
            <v>EST MESA CENTRO GROTA (TAMPO MARCHETARIA) WALNUT MATT - 1,02x1,02x0,25H</v>
          </cell>
          <cell r="Y1994">
            <v>14193.45</v>
          </cell>
          <cell r="Z1994">
            <v>0.35</v>
          </cell>
          <cell r="AA1994">
            <v>9225.7425000000003</v>
          </cell>
          <cell r="AB1994"/>
        </row>
        <row r="1995">
          <cell r="C1995">
            <v>2</v>
          </cell>
          <cell r="D1995">
            <v>0</v>
          </cell>
          <cell r="E1995">
            <v>0</v>
          </cell>
          <cell r="F1995">
            <v>0</v>
          </cell>
          <cell r="H1995">
            <v>0</v>
          </cell>
          <cell r="O1995">
            <v>407200</v>
          </cell>
          <cell r="P1995" t="str">
            <v>2025/276-0013-01</v>
          </cell>
          <cell r="Q1995" t="str">
            <v>EST POLTRONA MARIA (TAUARI NAT) TC TAURUS FOG</v>
          </cell>
          <cell r="R1995"/>
          <cell r="S1995"/>
          <cell r="T1995">
            <v>0.66</v>
          </cell>
          <cell r="U1995">
            <v>0.66</v>
          </cell>
          <cell r="V1995">
            <v>0.81</v>
          </cell>
          <cell r="W1995">
            <v>0</v>
          </cell>
          <cell r="X1995" t="str">
            <v>EST POLTRONA MARIA (TAUARI NAT) TC TAURUS FOG - 0,66x0,66x0,81H</v>
          </cell>
          <cell r="Y1995">
            <v>22999.857199999999</v>
          </cell>
          <cell r="Z1995">
            <v>0.35</v>
          </cell>
          <cell r="AA1995">
            <v>14949.907179999998</v>
          </cell>
          <cell r="AB1995"/>
        </row>
        <row r="1996">
          <cell r="C1996">
            <v>2</v>
          </cell>
          <cell r="D1996">
            <v>0</v>
          </cell>
          <cell r="E1996">
            <v>0</v>
          </cell>
          <cell r="F1996">
            <v>0</v>
          </cell>
          <cell r="H1996">
            <v>0</v>
          </cell>
          <cell r="O1996">
            <v>407200</v>
          </cell>
          <cell r="P1996" t="str">
            <v>2025/276-0014-01</v>
          </cell>
          <cell r="Q1996" t="str">
            <v>EST POLTRONA MARIA (TAUARI NAT) TC TAURUS FOG</v>
          </cell>
          <cell r="R1996"/>
          <cell r="S1996"/>
          <cell r="T1996">
            <v>0.66</v>
          </cell>
          <cell r="U1996">
            <v>0.66</v>
          </cell>
          <cell r="V1996">
            <v>0.81</v>
          </cell>
          <cell r="W1996">
            <v>0</v>
          </cell>
          <cell r="X1996" t="str">
            <v>EST POLTRONA MARIA (TAUARI NAT) TC TAURUS FOG - 0,66x0,66x0,81H</v>
          </cell>
          <cell r="Y1996">
            <v>22999.857199999999</v>
          </cell>
          <cell r="Z1996">
            <v>0.35</v>
          </cell>
          <cell r="AA1996">
            <v>14949.907179999998</v>
          </cell>
          <cell r="AB1996"/>
        </row>
        <row r="1997">
          <cell r="C1997">
            <v>1</v>
          </cell>
          <cell r="D1997">
            <v>0</v>
          </cell>
          <cell r="E1997">
            <v>0</v>
          </cell>
          <cell r="F1997">
            <v>0</v>
          </cell>
          <cell r="H1997">
            <v>0</v>
          </cell>
          <cell r="O1997">
            <v>409033</v>
          </cell>
          <cell r="P1997" t="str">
            <v>2025/268-0067-01</v>
          </cell>
          <cell r="Q1997" t="str">
            <v>EST BUFFET HIMALAYA (CONT) (LAMINA WALNUT) C/GAV</v>
          </cell>
          <cell r="R1997"/>
          <cell r="S1997"/>
          <cell r="T1997">
            <v>2.4</v>
          </cell>
          <cell r="U1997">
            <v>0.45</v>
          </cell>
          <cell r="V1997">
            <v>0.75</v>
          </cell>
          <cell r="W1997">
            <v>0</v>
          </cell>
          <cell r="X1997" t="str">
            <v>EST BUFFET HIMALAYA (CONT) (LAMINA WALNUT) C/GAV - 2,4x0,45x0,75H</v>
          </cell>
          <cell r="Y1997">
            <v>26893.8</v>
          </cell>
          <cell r="Z1997">
            <v>0.35</v>
          </cell>
          <cell r="AA1997">
            <v>17480.97</v>
          </cell>
          <cell r="AB1997"/>
        </row>
        <row r="1998">
          <cell r="C1998">
            <v>0</v>
          </cell>
          <cell r="D1998">
            <v>1</v>
          </cell>
          <cell r="E1998">
            <v>0</v>
          </cell>
          <cell r="F1998">
            <v>1</v>
          </cell>
          <cell r="H1998">
            <v>0</v>
          </cell>
          <cell r="O1998">
            <v>342301</v>
          </cell>
          <cell r="P1998" t="str">
            <v>2022/217-0010-01</v>
          </cell>
          <cell r="Q1998" t="str">
            <v>EST TAPETE MATISSE STRIPES LINHAS 1 (10MM) F:1280/D:73</v>
          </cell>
          <cell r="R1998"/>
          <cell r="S1998"/>
          <cell r="T1998">
            <v>4</v>
          </cell>
          <cell r="U1998">
            <v>3</v>
          </cell>
          <cell r="V1998">
            <v>0.01</v>
          </cell>
          <cell r="W1998">
            <v>0</v>
          </cell>
          <cell r="X1998" t="str">
            <v>EST TAPETE MATISSE STRIPES LINHAS 1 (10MM) F:1280/D:73 - 4x3x0,01H</v>
          </cell>
          <cell r="Y1998">
            <v>30535.68</v>
          </cell>
          <cell r="Z1998">
            <v>0.35</v>
          </cell>
          <cell r="AA1998">
            <v>19848.192000000003</v>
          </cell>
          <cell r="AB1998"/>
        </row>
        <row r="1999">
          <cell r="C1999">
            <v>0</v>
          </cell>
          <cell r="D1999">
            <v>1</v>
          </cell>
          <cell r="E1999">
            <v>0</v>
          </cell>
          <cell r="F1999">
            <v>0</v>
          </cell>
          <cell r="H1999">
            <v>0</v>
          </cell>
          <cell r="O1999">
            <v>223329</v>
          </cell>
          <cell r="P1999" t="str">
            <v>2024/094-0001-01</v>
          </cell>
          <cell r="Q1999" t="str">
            <v>EST MESA JANTAR PREMIUM (LAMINA A3 P FERRO COMP) BS PRET FSC</v>
          </cell>
          <cell r="R1999"/>
          <cell r="S1999"/>
          <cell r="T1999">
            <v>3</v>
          </cell>
          <cell r="U1999">
            <v>1.2</v>
          </cell>
          <cell r="V1999">
            <v>0.76</v>
          </cell>
          <cell r="W1999">
            <v>0</v>
          </cell>
          <cell r="X1999" t="str">
            <v>EST MESA JANTAR PREMIUM (LAMINA A3 P FERRO COMP) BS PRET FSC - 3x1,2x0,76H</v>
          </cell>
          <cell r="Y1999">
            <v>59702.18</v>
          </cell>
          <cell r="Z1999">
            <v>0.35</v>
          </cell>
          <cell r="AA1999">
            <v>38806.417000000001</v>
          </cell>
          <cell r="AB1999"/>
        </row>
        <row r="2000">
          <cell r="C2000">
            <v>0</v>
          </cell>
          <cell r="D2000">
            <v>1</v>
          </cell>
          <cell r="E2000">
            <v>0</v>
          </cell>
          <cell r="F2000">
            <v>0</v>
          </cell>
          <cell r="H2000">
            <v>0</v>
          </cell>
          <cell r="O2000">
            <v>281020</v>
          </cell>
          <cell r="P2000" t="str">
            <v>2021/288-0030-01</v>
          </cell>
          <cell r="Q2000" t="str">
            <v>EST SOFA NEW ANDROS (1B ESQ) FX D4107 (BASE LAMINA EBONY)</v>
          </cell>
          <cell r="R2000"/>
          <cell r="S2000"/>
          <cell r="T2000">
            <v>3</v>
          </cell>
          <cell r="U2000">
            <v>1.5</v>
          </cell>
          <cell r="V2000">
            <v>0.76</v>
          </cell>
          <cell r="W2000">
            <v>0</v>
          </cell>
          <cell r="X2000" t="str">
            <v>EST SOFA NEW ANDROS (1B ESQ) FX D4107 (BASE LAMINA EBONY) - 3x1,5x0,76H</v>
          </cell>
          <cell r="Y2000">
            <v>47848.73</v>
          </cell>
          <cell r="Z2000">
            <v>0.35</v>
          </cell>
          <cell r="AA2000">
            <v>31101.674500000005</v>
          </cell>
          <cell r="AB2000"/>
        </row>
        <row r="2001">
          <cell r="C2001">
            <v>0</v>
          </cell>
          <cell r="D2001">
            <v>1</v>
          </cell>
          <cell r="E2001">
            <v>0</v>
          </cell>
          <cell r="F2001">
            <v>0</v>
          </cell>
          <cell r="H2001">
            <v>0</v>
          </cell>
          <cell r="O2001">
            <v>308173</v>
          </cell>
          <cell r="P2001" t="str">
            <v>2022/011-0003-01</v>
          </cell>
          <cell r="Q2001" t="str">
            <v>EST CHAISE REGIA TC N2018/PES MTZ RB02</v>
          </cell>
          <cell r="R2001"/>
          <cell r="S2001"/>
          <cell r="T2001">
            <v>1.68</v>
          </cell>
          <cell r="U2001">
            <v>1.65</v>
          </cell>
          <cell r="V2001">
            <v>0.85</v>
          </cell>
          <cell r="W2001">
            <v>0</v>
          </cell>
          <cell r="X2001" t="str">
            <v>EST CHAISE REGIA TC N2018/PES MTZ RB02 - 1,68x1,65x0,85H</v>
          </cell>
          <cell r="Y2001">
            <v>48992.03</v>
          </cell>
          <cell r="Z2001">
            <v>0.35</v>
          </cell>
          <cell r="AA2001">
            <v>31844.819500000001</v>
          </cell>
          <cell r="AB2001"/>
        </row>
        <row r="2002">
          <cell r="C2002">
            <v>0</v>
          </cell>
          <cell r="D2002">
            <v>1</v>
          </cell>
          <cell r="E2002">
            <v>0</v>
          </cell>
          <cell r="F2002">
            <v>0</v>
          </cell>
          <cell r="H2002">
            <v>0</v>
          </cell>
          <cell r="O2002">
            <v>312449</v>
          </cell>
          <cell r="P2002" t="str">
            <v>2023/156-0043-01</v>
          </cell>
          <cell r="Q2002" t="str">
            <v>EST LUMINARIA DE TETO OYSTER 38 (3133)</v>
          </cell>
          <cell r="R2002"/>
          <cell r="S2002"/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 t="str">
            <v>EST LUMINARIA DE TETO OYSTER 38 (3133) - Ø0x0H</v>
          </cell>
          <cell r="Y2002">
            <v>3360</v>
          </cell>
          <cell r="Z2002">
            <v>0.35</v>
          </cell>
          <cell r="AA2002">
            <v>2184</v>
          </cell>
          <cell r="AB2002"/>
        </row>
        <row r="2003">
          <cell r="C2003">
            <v>0</v>
          </cell>
          <cell r="D2003">
            <v>8</v>
          </cell>
          <cell r="E2003">
            <v>0</v>
          </cell>
          <cell r="F2003">
            <v>0</v>
          </cell>
          <cell r="H2003">
            <v>0</v>
          </cell>
          <cell r="O2003">
            <v>320669</v>
          </cell>
          <cell r="P2003" t="str">
            <v>2022/083-0008-01</v>
          </cell>
          <cell r="Q2003" t="str">
            <v>EST CADEIRA JULIA C/BRACO (COURO PIG 101 BEGE) (PRETO FSC)</v>
          </cell>
          <cell r="R2003"/>
          <cell r="S2003"/>
          <cell r="T2003">
            <v>0.61</v>
          </cell>
          <cell r="U2003">
            <v>0.54</v>
          </cell>
          <cell r="V2003">
            <v>0.76</v>
          </cell>
          <cell r="W2003">
            <v>0</v>
          </cell>
          <cell r="X2003" t="str">
            <v>EST CADEIRA JULIA C/BRACO (COURO PIG 101 BEGE) (PRETO FSC) - 0,61x0,54x0,76H</v>
          </cell>
          <cell r="Y2003">
            <v>8798.630000000001</v>
          </cell>
          <cell r="Z2003">
            <v>0.35</v>
          </cell>
          <cell r="AA2003">
            <v>5719.1095000000005</v>
          </cell>
          <cell r="AB2003"/>
        </row>
        <row r="2004">
          <cell r="C2004">
            <v>0</v>
          </cell>
          <cell r="D2004">
            <v>8</v>
          </cell>
          <cell r="E2004">
            <v>0</v>
          </cell>
          <cell r="F2004">
            <v>0</v>
          </cell>
          <cell r="H2004">
            <v>0</v>
          </cell>
          <cell r="O2004">
            <v>320669</v>
          </cell>
          <cell r="P2004" t="str">
            <v>2022/083-0001-01</v>
          </cell>
          <cell r="Q2004" t="str">
            <v>EST CADEIRA JULIA C/BRACO (COURO PIG 101 BEGE) (PRETO FSC)</v>
          </cell>
          <cell r="R2004"/>
          <cell r="S2004"/>
          <cell r="T2004">
            <v>0.61</v>
          </cell>
          <cell r="U2004">
            <v>0.54</v>
          </cell>
          <cell r="V2004">
            <v>0.76</v>
          </cell>
          <cell r="W2004">
            <v>0</v>
          </cell>
          <cell r="X2004" t="str">
            <v>EST CADEIRA JULIA C/BRACO (COURO PIG 101 BEGE) (PRETO FSC) - 0,61x0,54x0,76H</v>
          </cell>
          <cell r="Y2004">
            <v>8798.630000000001</v>
          </cell>
          <cell r="Z2004">
            <v>0.35</v>
          </cell>
          <cell r="AA2004">
            <v>5719.1095000000005</v>
          </cell>
          <cell r="AB2004"/>
        </row>
        <row r="2005">
          <cell r="C2005">
            <v>0</v>
          </cell>
          <cell r="D2005">
            <v>8</v>
          </cell>
          <cell r="E2005">
            <v>0</v>
          </cell>
          <cell r="F2005">
            <v>0</v>
          </cell>
          <cell r="H2005">
            <v>0</v>
          </cell>
          <cell r="O2005">
            <v>320669</v>
          </cell>
          <cell r="P2005" t="str">
            <v>2022/083-0002-01</v>
          </cell>
          <cell r="Q2005" t="str">
            <v>EST CADEIRA JULIA C/BRACO (COURO PIG 101 BEGE) (PRETO FSC)</v>
          </cell>
          <cell r="R2005"/>
          <cell r="S2005"/>
          <cell r="T2005">
            <v>0.61</v>
          </cell>
          <cell r="U2005">
            <v>0.54</v>
          </cell>
          <cell r="V2005">
            <v>0.76</v>
          </cell>
          <cell r="W2005">
            <v>0</v>
          </cell>
          <cell r="X2005" t="str">
            <v>EST CADEIRA JULIA C/BRACO (COURO PIG 101 BEGE) (PRETO FSC) - 0,61x0,54x0,76H</v>
          </cell>
          <cell r="Y2005">
            <v>8798.630000000001</v>
          </cell>
          <cell r="Z2005">
            <v>0.35</v>
          </cell>
          <cell r="AA2005">
            <v>5719.1095000000005</v>
          </cell>
          <cell r="AB2005"/>
        </row>
        <row r="2006">
          <cell r="C2006">
            <v>0</v>
          </cell>
          <cell r="D2006">
            <v>8</v>
          </cell>
          <cell r="E2006">
            <v>0</v>
          </cell>
          <cell r="F2006">
            <v>0</v>
          </cell>
          <cell r="H2006">
            <v>0</v>
          </cell>
          <cell r="O2006">
            <v>320669</v>
          </cell>
          <cell r="P2006" t="str">
            <v>2022/083-0003-01</v>
          </cell>
          <cell r="Q2006" t="str">
            <v>EST CADEIRA JULIA C/BRACO (COURO PIG 101 BEGE) (PRETO FSC)</v>
          </cell>
          <cell r="R2006"/>
          <cell r="S2006"/>
          <cell r="T2006">
            <v>0.61</v>
          </cell>
          <cell r="U2006">
            <v>0.54</v>
          </cell>
          <cell r="V2006">
            <v>0.76</v>
          </cell>
          <cell r="W2006">
            <v>0</v>
          </cell>
          <cell r="X2006" t="str">
            <v>EST CADEIRA JULIA C/BRACO (COURO PIG 101 BEGE) (PRETO FSC) - 0,61x0,54x0,76H</v>
          </cell>
          <cell r="Y2006">
            <v>8798.630000000001</v>
          </cell>
          <cell r="Z2006">
            <v>0.35</v>
          </cell>
          <cell r="AA2006">
            <v>5719.1095000000005</v>
          </cell>
          <cell r="AB2006"/>
        </row>
        <row r="2007">
          <cell r="C2007">
            <v>0</v>
          </cell>
          <cell r="D2007">
            <v>8</v>
          </cell>
          <cell r="E2007">
            <v>0</v>
          </cell>
          <cell r="F2007">
            <v>0</v>
          </cell>
          <cell r="H2007">
            <v>0</v>
          </cell>
          <cell r="O2007">
            <v>320669</v>
          </cell>
          <cell r="P2007" t="str">
            <v>2022/083-0004-01</v>
          </cell>
          <cell r="Q2007" t="str">
            <v>EST CADEIRA JULIA C/BRACO (COURO PIG 101 BEGE) (PRETO FSC)</v>
          </cell>
          <cell r="R2007"/>
          <cell r="S2007"/>
          <cell r="T2007">
            <v>0.61</v>
          </cell>
          <cell r="U2007">
            <v>0.54</v>
          </cell>
          <cell r="V2007">
            <v>0.76</v>
          </cell>
          <cell r="W2007">
            <v>0</v>
          </cell>
          <cell r="X2007" t="str">
            <v>EST CADEIRA JULIA C/BRACO (COURO PIG 101 BEGE) (PRETO FSC) - 0,61x0,54x0,76H</v>
          </cell>
          <cell r="Y2007">
            <v>8798.630000000001</v>
          </cell>
          <cell r="Z2007">
            <v>0.35</v>
          </cell>
          <cell r="AA2007">
            <v>5719.1095000000005</v>
          </cell>
          <cell r="AB2007"/>
        </row>
        <row r="2008">
          <cell r="C2008">
            <v>0</v>
          </cell>
          <cell r="D2008">
            <v>8</v>
          </cell>
          <cell r="E2008">
            <v>0</v>
          </cell>
          <cell r="F2008">
            <v>0</v>
          </cell>
          <cell r="H2008">
            <v>0</v>
          </cell>
          <cell r="O2008">
            <v>320669</v>
          </cell>
          <cell r="P2008" t="str">
            <v>2022/083-0005-01</v>
          </cell>
          <cell r="Q2008" t="str">
            <v>EST CADEIRA JULIA C/BRACO (COURO PIG 101 BEGE) (PRETO FSC)</v>
          </cell>
          <cell r="R2008"/>
          <cell r="S2008"/>
          <cell r="T2008">
            <v>0.61</v>
          </cell>
          <cell r="U2008">
            <v>0.54</v>
          </cell>
          <cell r="V2008">
            <v>0.76</v>
          </cell>
          <cell r="W2008">
            <v>0</v>
          </cell>
          <cell r="X2008" t="str">
            <v>EST CADEIRA JULIA C/BRACO (COURO PIG 101 BEGE) (PRETO FSC) - 0,61x0,54x0,76H</v>
          </cell>
          <cell r="Y2008">
            <v>8798.630000000001</v>
          </cell>
          <cell r="Z2008">
            <v>0.35</v>
          </cell>
          <cell r="AA2008">
            <v>5719.1095000000005</v>
          </cell>
          <cell r="AB2008"/>
        </row>
        <row r="2009">
          <cell r="C2009">
            <v>0</v>
          </cell>
          <cell r="D2009">
            <v>8</v>
          </cell>
          <cell r="E2009">
            <v>0</v>
          </cell>
          <cell r="F2009">
            <v>0</v>
          </cell>
          <cell r="H2009">
            <v>0</v>
          </cell>
          <cell r="O2009">
            <v>320669</v>
          </cell>
          <cell r="P2009" t="str">
            <v>2022/083-0006-01</v>
          </cell>
          <cell r="Q2009" t="str">
            <v>EST CADEIRA JULIA C/BRACO (COURO PIG 101 BEGE) (PRETO FSC)</v>
          </cell>
          <cell r="R2009"/>
          <cell r="S2009"/>
          <cell r="T2009">
            <v>0.61</v>
          </cell>
          <cell r="U2009">
            <v>0.54</v>
          </cell>
          <cell r="V2009">
            <v>0.76</v>
          </cell>
          <cell r="W2009">
            <v>0</v>
          </cell>
          <cell r="X2009" t="str">
            <v>EST CADEIRA JULIA C/BRACO (COURO PIG 101 BEGE) (PRETO FSC) - 0,61x0,54x0,76H</v>
          </cell>
          <cell r="Y2009">
            <v>8798.630000000001</v>
          </cell>
          <cell r="Z2009">
            <v>0.35</v>
          </cell>
          <cell r="AA2009">
            <v>5719.1095000000005</v>
          </cell>
          <cell r="AB2009"/>
        </row>
        <row r="2010">
          <cell r="C2010">
            <v>0</v>
          </cell>
          <cell r="D2010">
            <v>8</v>
          </cell>
          <cell r="E2010">
            <v>0</v>
          </cell>
          <cell r="F2010">
            <v>0</v>
          </cell>
          <cell r="H2010">
            <v>0</v>
          </cell>
          <cell r="O2010">
            <v>320669</v>
          </cell>
          <cell r="P2010" t="str">
            <v>2022/083-0007-01</v>
          </cell>
          <cell r="Q2010" t="str">
            <v>EST CADEIRA JULIA C/BRACO (COURO PIG 101 BEGE) (PRETO FSC)</v>
          </cell>
          <cell r="R2010"/>
          <cell r="S2010"/>
          <cell r="T2010">
            <v>0.61</v>
          </cell>
          <cell r="U2010">
            <v>0.54</v>
          </cell>
          <cell r="V2010">
            <v>0.76</v>
          </cell>
          <cell r="W2010">
            <v>0</v>
          </cell>
          <cell r="X2010" t="str">
            <v>EST CADEIRA JULIA C/BRACO (COURO PIG 101 BEGE) (PRETO FSC) - 0,61x0,54x0,76H</v>
          </cell>
          <cell r="Y2010">
            <v>8798.630000000001</v>
          </cell>
          <cell r="Z2010">
            <v>0.35</v>
          </cell>
          <cell r="AA2010">
            <v>5719.1095000000005</v>
          </cell>
          <cell r="AB2010"/>
        </row>
        <row r="2011">
          <cell r="C2011">
            <v>0</v>
          </cell>
          <cell r="D2011">
            <v>2</v>
          </cell>
          <cell r="E2011">
            <v>0</v>
          </cell>
          <cell r="F2011">
            <v>0</v>
          </cell>
          <cell r="H2011">
            <v>0</v>
          </cell>
          <cell r="O2011">
            <v>324023</v>
          </cell>
          <cell r="P2011" t="str">
            <v>2022/090-0040-01</v>
          </cell>
          <cell r="Q2011" t="str">
            <v>EST TAPETE CORAL (HEXAGONO) (2 CORES) (10MM) F:1303/L:73</v>
          </cell>
          <cell r="R2011"/>
          <cell r="S2011"/>
          <cell r="T2011">
            <v>3.5</v>
          </cell>
          <cell r="U2011">
            <v>4.5</v>
          </cell>
          <cell r="V2011">
            <v>0.01</v>
          </cell>
          <cell r="W2011">
            <v>0</v>
          </cell>
          <cell r="X2011" t="str">
            <v>EST TAPETE CORAL (HEXAGONO) (2 CORES) (10MM) F:1303/L:73 - 3,5x4,5x0,01H</v>
          </cell>
          <cell r="Y2011">
            <v>45581.760000000002</v>
          </cell>
          <cell r="Z2011">
            <v>0.35</v>
          </cell>
          <cell r="AA2011">
            <v>29628.144</v>
          </cell>
          <cell r="AB2011"/>
        </row>
        <row r="2012">
          <cell r="C2012">
            <v>0</v>
          </cell>
          <cell r="D2012">
            <v>2</v>
          </cell>
          <cell r="E2012">
            <v>0</v>
          </cell>
          <cell r="F2012">
            <v>0</v>
          </cell>
          <cell r="H2012">
            <v>0</v>
          </cell>
          <cell r="O2012">
            <v>324023</v>
          </cell>
          <cell r="P2012" t="str">
            <v>2022/090-0039-01</v>
          </cell>
          <cell r="Q2012" t="str">
            <v>EST TAPETE CORAL (HEXAGONO) (2 CORES) (10MM) F:1303/L:73</v>
          </cell>
          <cell r="R2012"/>
          <cell r="S2012"/>
          <cell r="T2012">
            <v>3.5</v>
          </cell>
          <cell r="U2012">
            <v>4.5</v>
          </cell>
          <cell r="V2012">
            <v>0.01</v>
          </cell>
          <cell r="W2012">
            <v>0</v>
          </cell>
          <cell r="X2012" t="str">
            <v>EST TAPETE CORAL (HEXAGONO) (2 CORES) (10MM) F:1303/L:73 - 3,5x4,5x0,01H</v>
          </cell>
          <cell r="Y2012">
            <v>45581.760000000002</v>
          </cell>
          <cell r="Z2012">
            <v>0.35</v>
          </cell>
          <cell r="AA2012">
            <v>29628.144</v>
          </cell>
          <cell r="AB2012"/>
        </row>
        <row r="2013">
          <cell r="C2013">
            <v>0</v>
          </cell>
          <cell r="D2013">
            <v>2</v>
          </cell>
          <cell r="E2013">
            <v>0</v>
          </cell>
          <cell r="F2013">
            <v>0</v>
          </cell>
          <cell r="H2013">
            <v>0</v>
          </cell>
          <cell r="O2013">
            <v>324025</v>
          </cell>
          <cell r="P2013" t="str">
            <v>2022/101-0070-01</v>
          </cell>
          <cell r="Q2013" t="str">
            <v>EST TAPETE DUNAS (DES) (10MM) F:1303/D:1580/5013/89</v>
          </cell>
          <cell r="R2013"/>
          <cell r="S2013"/>
          <cell r="T2013">
            <v>3</v>
          </cell>
          <cell r="U2013">
            <v>4</v>
          </cell>
          <cell r="V2013">
            <v>0.01</v>
          </cell>
          <cell r="W2013">
            <v>0</v>
          </cell>
          <cell r="X2013" t="str">
            <v>EST TAPETE DUNAS (DES) (10MM) F:1303/D:1580/5013/89 - 3x4x0,01H</v>
          </cell>
          <cell r="Y2013">
            <v>30535.68</v>
          </cell>
          <cell r="Z2013">
            <v>0.35</v>
          </cell>
          <cell r="AA2013">
            <v>19848.192000000003</v>
          </cell>
          <cell r="AB2013"/>
        </row>
        <row r="2014">
          <cell r="C2014">
            <v>0</v>
          </cell>
          <cell r="D2014">
            <v>2</v>
          </cell>
          <cell r="E2014">
            <v>0</v>
          </cell>
          <cell r="F2014">
            <v>0</v>
          </cell>
          <cell r="H2014">
            <v>0</v>
          </cell>
          <cell r="O2014">
            <v>324025</v>
          </cell>
          <cell r="P2014" t="str">
            <v>2022/101-0071-01</v>
          </cell>
          <cell r="Q2014" t="str">
            <v>EST TAPETE DUNAS (DES) (10MM) F:1303/D:1580/5013/89</v>
          </cell>
          <cell r="R2014"/>
          <cell r="S2014"/>
          <cell r="T2014">
            <v>3</v>
          </cell>
          <cell r="U2014">
            <v>4</v>
          </cell>
          <cell r="V2014">
            <v>0.01</v>
          </cell>
          <cell r="W2014">
            <v>0</v>
          </cell>
          <cell r="X2014" t="str">
            <v>EST TAPETE DUNAS (DES) (10MM) F:1303/D:1580/5013/89 - 3x4x0,01H</v>
          </cell>
          <cell r="Y2014">
            <v>30535.68</v>
          </cell>
          <cell r="Z2014">
            <v>0.35</v>
          </cell>
          <cell r="AA2014">
            <v>19848.192000000003</v>
          </cell>
          <cell r="AB2014"/>
        </row>
        <row r="2015">
          <cell r="C2015">
            <v>0</v>
          </cell>
          <cell r="D2015">
            <v>0</v>
          </cell>
          <cell r="E2015">
            <v>0</v>
          </cell>
          <cell r="F2015">
            <v>0</v>
          </cell>
          <cell r="H2015">
            <v>1</v>
          </cell>
          <cell r="O2015">
            <v>324029</v>
          </cell>
          <cell r="P2015" t="str">
            <v>2022/090-0052-01</v>
          </cell>
          <cell r="Q2015" t="str">
            <v>EST TAPETE LUA (ORGANIC) (2 CORES) (10MM) F:139/FX:1137</v>
          </cell>
          <cell r="R2015"/>
          <cell r="S2015"/>
          <cell r="T2015">
            <v>2.5</v>
          </cell>
          <cell r="U2015">
            <v>0</v>
          </cell>
          <cell r="V2015">
            <v>0.01</v>
          </cell>
          <cell r="W2015">
            <v>2.5</v>
          </cell>
          <cell r="X2015" t="str">
            <v>EST TAPETE LUA (ORGANIC) (2 CORES) (10MM) F:139/FX:1137 - Ø2,5x0,01H</v>
          </cell>
          <cell r="Y2015">
            <v>22848</v>
          </cell>
          <cell r="Z2015">
            <v>0.35</v>
          </cell>
          <cell r="AA2015">
            <v>14851.2</v>
          </cell>
          <cell r="AB2015"/>
        </row>
        <row r="2016">
          <cell r="C2016">
            <v>0</v>
          </cell>
          <cell r="D2016">
            <v>1</v>
          </cell>
          <cell r="E2016">
            <v>0</v>
          </cell>
          <cell r="F2016">
            <v>0</v>
          </cell>
          <cell r="H2016">
            <v>0</v>
          </cell>
          <cell r="O2016">
            <v>336544</v>
          </cell>
          <cell r="P2016" t="str">
            <v>2022/245-0084-02</v>
          </cell>
          <cell r="Q2016" t="str">
            <v>EST MESA JANTAR MAR ADENTRO (LAMINA 2 NOGUEIRA NT/BS CORTEN)</v>
          </cell>
          <cell r="R2016"/>
          <cell r="S2016"/>
          <cell r="T2016">
            <v>3</v>
          </cell>
          <cell r="U2016">
            <v>1.2</v>
          </cell>
          <cell r="V2016">
            <v>0.75</v>
          </cell>
          <cell r="W2016">
            <v>0</v>
          </cell>
          <cell r="X2016" t="str">
            <v>EST MESA JANTAR MAR ADENTRO (LAMINA 2 NOGUEIRA NT/BS CORTEN) - 3x1,2x0,75H</v>
          </cell>
          <cell r="Y2016">
            <v>67216.62</v>
          </cell>
          <cell r="Z2016">
            <v>0.35</v>
          </cell>
          <cell r="AA2016">
            <v>43690.803</v>
          </cell>
          <cell r="AB2016"/>
        </row>
        <row r="2017">
          <cell r="C2017">
            <v>0</v>
          </cell>
          <cell r="D2017">
            <v>1</v>
          </cell>
          <cell r="E2017">
            <v>0</v>
          </cell>
          <cell r="F2017">
            <v>1</v>
          </cell>
          <cell r="H2017">
            <v>0</v>
          </cell>
          <cell r="O2017">
            <v>342301</v>
          </cell>
          <cell r="P2017" t="str">
            <v>2022/217-0009-01</v>
          </cell>
          <cell r="Q2017" t="str">
            <v>EST TAPETE MATISSE STRIPES LINHAS 1 (10MM) F:1280/D:73</v>
          </cell>
          <cell r="R2017"/>
          <cell r="S2017"/>
          <cell r="T2017">
            <v>4</v>
          </cell>
          <cell r="U2017">
            <v>3</v>
          </cell>
          <cell r="V2017">
            <v>0.01</v>
          </cell>
          <cell r="W2017">
            <v>0</v>
          </cell>
          <cell r="X2017" t="str">
            <v>EST TAPETE MATISSE STRIPES LINHAS 1 (10MM) F:1280/D:73 - 4x3x0,01H</v>
          </cell>
          <cell r="Y2017">
            <v>30535.68</v>
          </cell>
          <cell r="Z2017">
            <v>0.35</v>
          </cell>
          <cell r="AA2017">
            <v>19848.192000000003</v>
          </cell>
          <cell r="AB2017"/>
        </row>
        <row r="2018">
          <cell r="C2018">
            <v>0</v>
          </cell>
          <cell r="D2018">
            <v>1</v>
          </cell>
          <cell r="E2018">
            <v>0</v>
          </cell>
          <cell r="F2018">
            <v>0</v>
          </cell>
          <cell r="H2018">
            <v>0</v>
          </cell>
          <cell r="O2018">
            <v>350001</v>
          </cell>
          <cell r="P2018" t="str">
            <v>2022/222-0002-01</v>
          </cell>
          <cell r="Q2018" t="str">
            <v>EST MESA JANTAR MATISSE (TP NOG PURE) (BS NOG PURE)</v>
          </cell>
          <cell r="R2018"/>
          <cell r="S2018"/>
          <cell r="T2018">
            <v>3</v>
          </cell>
          <cell r="U2018">
            <v>1.05</v>
          </cell>
          <cell r="V2018">
            <v>0.75</v>
          </cell>
          <cell r="W2018">
            <v>0</v>
          </cell>
          <cell r="X2018" t="str">
            <v>EST MESA JANTAR MATISSE (TP NOG PURE) (BS NOG PURE) - 3x1,05x0,75H</v>
          </cell>
          <cell r="Y2018">
            <v>59262.2</v>
          </cell>
          <cell r="Z2018">
            <v>0.35</v>
          </cell>
          <cell r="AA2018">
            <v>38520.43</v>
          </cell>
          <cell r="AB2018"/>
        </row>
        <row r="2019">
          <cell r="C2019">
            <v>0</v>
          </cell>
          <cell r="D2019">
            <v>1</v>
          </cell>
          <cell r="E2019">
            <v>0</v>
          </cell>
          <cell r="F2019">
            <v>0</v>
          </cell>
          <cell r="H2019">
            <v>0</v>
          </cell>
          <cell r="O2019">
            <v>350002</v>
          </cell>
          <cell r="P2019" t="str">
            <v>2022/222-0003-01</v>
          </cell>
          <cell r="Q2019" t="str">
            <v>EST MESA JANTAR MATISSE (TP NOG PURE S/DET) (BS BRONZE CF)</v>
          </cell>
          <cell r="R2019"/>
          <cell r="S2019"/>
          <cell r="T2019">
            <v>1.83</v>
          </cell>
          <cell r="U2019">
            <v>0</v>
          </cell>
          <cell r="V2019">
            <v>0.75</v>
          </cell>
          <cell r="W2019">
            <v>1.83</v>
          </cell>
          <cell r="X2019" t="str">
            <v>EST MESA JANTAR MATISSE (TP NOG PURE S/DET) (BS BRONZE CF) - Ø1,83x0,75H</v>
          </cell>
          <cell r="Y2019">
            <v>51369.11</v>
          </cell>
          <cell r="Z2019">
            <v>0.35</v>
          </cell>
          <cell r="AA2019">
            <v>33389.921499999997</v>
          </cell>
          <cell r="AB2019"/>
        </row>
        <row r="2020">
          <cell r="C2020">
            <v>0</v>
          </cell>
          <cell r="D2020">
            <v>2</v>
          </cell>
          <cell r="E2020">
            <v>0</v>
          </cell>
          <cell r="F2020">
            <v>0</v>
          </cell>
          <cell r="H2020">
            <v>0</v>
          </cell>
          <cell r="O2020">
            <v>364311</v>
          </cell>
          <cell r="P2020" t="str">
            <v>2023/152-0048-01</v>
          </cell>
          <cell r="Q2020" t="str">
            <v>EST CADEIRA CACAU (CASTANHO) (LATAO) TC PREMIUM P016</v>
          </cell>
          <cell r="R2020"/>
          <cell r="S2020"/>
          <cell r="T2020">
            <v>0.5</v>
          </cell>
          <cell r="U2020">
            <v>0.61</v>
          </cell>
          <cell r="V2020">
            <v>0.84</v>
          </cell>
          <cell r="W2020">
            <v>0</v>
          </cell>
          <cell r="X2020" t="str">
            <v>EST CADEIRA CACAU (CASTANHO) (LATAO) TC PREMIUM P016 - 0,5x0,61x0,84H</v>
          </cell>
          <cell r="Y2020">
            <v>5085.5600000000004</v>
          </cell>
          <cell r="Z2020">
            <v>0.35</v>
          </cell>
          <cell r="AA2020">
            <v>3305.6140000000005</v>
          </cell>
          <cell r="AB2020"/>
        </row>
        <row r="2021">
          <cell r="C2021">
            <v>0</v>
          </cell>
          <cell r="D2021">
            <v>2</v>
          </cell>
          <cell r="E2021">
            <v>0</v>
          </cell>
          <cell r="F2021">
            <v>0</v>
          </cell>
          <cell r="H2021">
            <v>0</v>
          </cell>
          <cell r="O2021">
            <v>364311</v>
          </cell>
          <cell r="P2021" t="str">
            <v>2023/152-0047-01</v>
          </cell>
          <cell r="Q2021" t="str">
            <v>EST CADEIRA CACAU (CASTANHO) (LATAO) TC PREMIUM P016</v>
          </cell>
          <cell r="R2021"/>
          <cell r="S2021"/>
          <cell r="T2021">
            <v>0.5</v>
          </cell>
          <cell r="U2021">
            <v>0.61</v>
          </cell>
          <cell r="V2021">
            <v>0.84</v>
          </cell>
          <cell r="W2021">
            <v>0</v>
          </cell>
          <cell r="X2021" t="str">
            <v>EST CADEIRA CACAU (CASTANHO) (LATAO) TC PREMIUM P016 - 0,5x0,61x0,84H</v>
          </cell>
          <cell r="Y2021">
            <v>5085.5600000000004</v>
          </cell>
          <cell r="Z2021">
            <v>0.35</v>
          </cell>
          <cell r="AA2021">
            <v>3305.6140000000005</v>
          </cell>
          <cell r="AB2021"/>
        </row>
        <row r="2022">
          <cell r="C2022">
            <v>0</v>
          </cell>
          <cell r="D2022">
            <v>1</v>
          </cell>
          <cell r="E2022">
            <v>0</v>
          </cell>
          <cell r="F2022">
            <v>0</v>
          </cell>
          <cell r="H2022">
            <v>0</v>
          </cell>
          <cell r="O2022">
            <v>371593</v>
          </cell>
          <cell r="P2022" t="str">
            <v>2023/271-0010-01</v>
          </cell>
          <cell r="Q2022" t="str">
            <v>EST MESA JANTAR THAI (TP MARM 1 NUVOLA GOLD) (TOBACCO)</v>
          </cell>
          <cell r="R2022"/>
          <cell r="S2022"/>
          <cell r="T2022">
            <v>2.7</v>
          </cell>
          <cell r="U2022">
            <v>1.2</v>
          </cell>
          <cell r="V2022">
            <v>0.76</v>
          </cell>
          <cell r="W2022">
            <v>0</v>
          </cell>
          <cell r="X2022" t="str">
            <v>EST MESA JANTAR THAI (TP MARM 1 NUVOLA GOLD) (TOBACCO) - 2,7x1,2x0,76H</v>
          </cell>
          <cell r="Y2022">
            <v>89043.67</v>
          </cell>
          <cell r="Z2022">
            <v>0.35</v>
          </cell>
          <cell r="AA2022">
            <v>57878.385500000004</v>
          </cell>
          <cell r="AB2022"/>
        </row>
        <row r="2023">
          <cell r="C2023">
            <v>0</v>
          </cell>
          <cell r="D2023">
            <v>0</v>
          </cell>
          <cell r="E2023">
            <v>0</v>
          </cell>
          <cell r="F2023">
            <v>0</v>
          </cell>
          <cell r="H2023">
            <v>10</v>
          </cell>
          <cell r="O2023">
            <v>371710</v>
          </cell>
          <cell r="P2023" t="str">
            <v>2023/234-0053-01</v>
          </cell>
          <cell r="Q2023" t="str">
            <v>EST CADEIRA LUIZA C/BRACO FORN COURO PIG 259/JEQ CAST CLARO</v>
          </cell>
          <cell r="R2023"/>
          <cell r="S2023"/>
          <cell r="T2023">
            <v>0.59</v>
          </cell>
          <cell r="U2023">
            <v>0.56000000000000005</v>
          </cell>
          <cell r="V2023">
            <v>0.74</v>
          </cell>
          <cell r="W2023">
            <v>0</v>
          </cell>
          <cell r="X2023" t="str">
            <v>EST CADEIRA LUIZA C/BRACO FORN COURO PIG 259/JEQ CAST CLARO - 0,59x0,56x0,74H</v>
          </cell>
          <cell r="Y2023">
            <v>5341.634</v>
          </cell>
          <cell r="Z2023">
            <v>0.35</v>
          </cell>
          <cell r="AA2023">
            <v>3472.0621000000001</v>
          </cell>
          <cell r="AB2023"/>
        </row>
        <row r="2024">
          <cell r="C2024">
            <v>0</v>
          </cell>
          <cell r="D2024">
            <v>0</v>
          </cell>
          <cell r="E2024">
            <v>0</v>
          </cell>
          <cell r="F2024">
            <v>0</v>
          </cell>
          <cell r="H2024">
            <v>10</v>
          </cell>
          <cell r="O2024">
            <v>371710</v>
          </cell>
          <cell r="P2024" t="str">
            <v>2023/234-0055-01</v>
          </cell>
          <cell r="Q2024" t="str">
            <v>EST CADEIRA LUIZA C/BRACO FORN COURO PIG 259/JEQ CAST CLARO</v>
          </cell>
          <cell r="R2024"/>
          <cell r="S2024"/>
          <cell r="T2024">
            <v>0.59</v>
          </cell>
          <cell r="U2024">
            <v>0.56000000000000005</v>
          </cell>
          <cell r="V2024">
            <v>0.74</v>
          </cell>
          <cell r="W2024">
            <v>0</v>
          </cell>
          <cell r="X2024" t="str">
            <v>EST CADEIRA LUIZA C/BRACO FORN COURO PIG 259/JEQ CAST CLARO - 0,59x0,56x0,74H</v>
          </cell>
          <cell r="Y2024">
            <v>5341.634</v>
          </cell>
          <cell r="Z2024">
            <v>0.35</v>
          </cell>
          <cell r="AA2024">
            <v>3472.0621000000001</v>
          </cell>
          <cell r="AB2024"/>
        </row>
        <row r="2025">
          <cell r="C2025">
            <v>0</v>
          </cell>
          <cell r="D2025">
            <v>0</v>
          </cell>
          <cell r="E2025">
            <v>0</v>
          </cell>
          <cell r="F2025">
            <v>0</v>
          </cell>
          <cell r="H2025">
            <v>10</v>
          </cell>
          <cell r="O2025">
            <v>371710</v>
          </cell>
          <cell r="P2025" t="str">
            <v>2023/234-0056-01</v>
          </cell>
          <cell r="Q2025" t="str">
            <v>EST CADEIRA LUIZA C/BRACO FORN COURO PIG 259/JEQ CAST CLARO</v>
          </cell>
          <cell r="R2025"/>
          <cell r="S2025"/>
          <cell r="T2025">
            <v>0.59</v>
          </cell>
          <cell r="U2025">
            <v>0.56000000000000005</v>
          </cell>
          <cell r="V2025">
            <v>0.74</v>
          </cell>
          <cell r="W2025">
            <v>0</v>
          </cell>
          <cell r="X2025" t="str">
            <v>EST CADEIRA LUIZA C/BRACO FORN COURO PIG 259/JEQ CAST CLARO - 0,59x0,56x0,74H</v>
          </cell>
          <cell r="Y2025">
            <v>5341.634</v>
          </cell>
          <cell r="Z2025">
            <v>0.35</v>
          </cell>
          <cell r="AA2025">
            <v>3472.0621000000001</v>
          </cell>
          <cell r="AB2025"/>
        </row>
        <row r="2026">
          <cell r="C2026">
            <v>0</v>
          </cell>
          <cell r="D2026">
            <v>0</v>
          </cell>
          <cell r="E2026">
            <v>0</v>
          </cell>
          <cell r="F2026">
            <v>0</v>
          </cell>
          <cell r="H2026">
            <v>10</v>
          </cell>
          <cell r="O2026">
            <v>371710</v>
          </cell>
          <cell r="P2026" t="str">
            <v>2023/234-0060-01</v>
          </cell>
          <cell r="Q2026" t="str">
            <v>EST CADEIRA LUIZA C/BRACO FORN COURO PIG 259/JEQ CAST CLARO</v>
          </cell>
          <cell r="R2026"/>
          <cell r="S2026"/>
          <cell r="T2026">
            <v>0.59</v>
          </cell>
          <cell r="U2026">
            <v>0.56000000000000005</v>
          </cell>
          <cell r="V2026">
            <v>0.74</v>
          </cell>
          <cell r="W2026">
            <v>0</v>
          </cell>
          <cell r="X2026" t="str">
            <v>EST CADEIRA LUIZA C/BRACO FORN COURO PIG 259/JEQ CAST CLARO - 0,59x0,56x0,74H</v>
          </cell>
          <cell r="Y2026">
            <v>5341.634</v>
          </cell>
          <cell r="Z2026">
            <v>0.35</v>
          </cell>
          <cell r="AA2026">
            <v>3472.0621000000001</v>
          </cell>
          <cell r="AB2026"/>
        </row>
        <row r="2027">
          <cell r="C2027">
            <v>0</v>
          </cell>
          <cell r="D2027">
            <v>0</v>
          </cell>
          <cell r="E2027">
            <v>0</v>
          </cell>
          <cell r="F2027">
            <v>0</v>
          </cell>
          <cell r="H2027">
            <v>10</v>
          </cell>
          <cell r="O2027">
            <v>371710</v>
          </cell>
          <cell r="P2027" t="str">
            <v>2023/234-0061-01</v>
          </cell>
          <cell r="Q2027" t="str">
            <v>EST CADEIRA LUIZA C/BRACO FORN COURO PIG 259/JEQ CAST CLARO</v>
          </cell>
          <cell r="R2027"/>
          <cell r="S2027"/>
          <cell r="T2027">
            <v>0.59</v>
          </cell>
          <cell r="U2027">
            <v>0.56000000000000005</v>
          </cell>
          <cell r="V2027">
            <v>0.74</v>
          </cell>
          <cell r="W2027">
            <v>0</v>
          </cell>
          <cell r="X2027" t="str">
            <v>EST CADEIRA LUIZA C/BRACO FORN COURO PIG 259/JEQ CAST CLARO - 0,59x0,56x0,74H</v>
          </cell>
          <cell r="Y2027">
            <v>5341.634</v>
          </cell>
          <cell r="Z2027">
            <v>0.35</v>
          </cell>
          <cell r="AA2027">
            <v>3472.0621000000001</v>
          </cell>
          <cell r="AB2027"/>
        </row>
        <row r="2028">
          <cell r="C2028">
            <v>0</v>
          </cell>
          <cell r="D2028">
            <v>0</v>
          </cell>
          <cell r="E2028">
            <v>0</v>
          </cell>
          <cell r="F2028">
            <v>0</v>
          </cell>
          <cell r="H2028">
            <v>10</v>
          </cell>
          <cell r="O2028">
            <v>371710</v>
          </cell>
          <cell r="P2028" t="str">
            <v>2023/234-0057-01</v>
          </cell>
          <cell r="Q2028" t="str">
            <v>EST CADEIRA LUIZA C/BRACO FORN COURO PIG 259/JEQ CAST CLARO</v>
          </cell>
          <cell r="R2028"/>
          <cell r="S2028"/>
          <cell r="T2028">
            <v>0.59</v>
          </cell>
          <cell r="U2028">
            <v>0.56000000000000005</v>
          </cell>
          <cell r="V2028">
            <v>0.74</v>
          </cell>
          <cell r="W2028">
            <v>0</v>
          </cell>
          <cell r="X2028" t="str">
            <v>EST CADEIRA LUIZA C/BRACO FORN COURO PIG 259/JEQ CAST CLARO - 0,59x0,56x0,74H</v>
          </cell>
          <cell r="Y2028">
            <v>5341.634</v>
          </cell>
          <cell r="Z2028">
            <v>0.35</v>
          </cell>
          <cell r="AA2028">
            <v>3472.0621000000001</v>
          </cell>
          <cell r="AB2028"/>
        </row>
        <row r="2029">
          <cell r="C2029">
            <v>0</v>
          </cell>
          <cell r="D2029">
            <v>2</v>
          </cell>
          <cell r="E2029">
            <v>0</v>
          </cell>
          <cell r="F2029">
            <v>0</v>
          </cell>
          <cell r="H2029">
            <v>0</v>
          </cell>
          <cell r="O2029">
            <v>399360</v>
          </cell>
          <cell r="P2029" t="str">
            <v>2025/044-0020-01</v>
          </cell>
          <cell r="Q2029" t="str">
            <v>EST POLTRONA SUMA (COURO TP1 ESTONADO AMARULA) DET COCOA</v>
          </cell>
          <cell r="R2029"/>
          <cell r="S2029"/>
          <cell r="T2029">
            <v>0.68</v>
          </cell>
          <cell r="U2029">
            <v>0.87</v>
          </cell>
          <cell r="V2029">
            <v>0.7</v>
          </cell>
          <cell r="W2029">
            <v>0</v>
          </cell>
          <cell r="X2029" t="str">
            <v>EST POLTRONA SUMA (COURO TP1 ESTONADO AMARULA) DET COCOA - 0,68x0,87x0,7H</v>
          </cell>
          <cell r="Y2029">
            <v>18387.259999999998</v>
          </cell>
          <cell r="Z2029">
            <v>0.35</v>
          </cell>
          <cell r="AA2029">
            <v>11951.718999999999</v>
          </cell>
          <cell r="AB2029"/>
        </row>
        <row r="2030">
          <cell r="C2030">
            <v>0</v>
          </cell>
          <cell r="D2030">
            <v>2</v>
          </cell>
          <cell r="E2030">
            <v>0</v>
          </cell>
          <cell r="F2030">
            <v>0</v>
          </cell>
          <cell r="H2030">
            <v>0</v>
          </cell>
          <cell r="O2030">
            <v>399360</v>
          </cell>
          <cell r="P2030" t="str">
            <v>2025/044-0021-01</v>
          </cell>
          <cell r="Q2030" t="str">
            <v>EST POLTRONA SUMA (COURO TP1 ESTONADO AMARULA) DET COCOA</v>
          </cell>
          <cell r="R2030"/>
          <cell r="S2030"/>
          <cell r="T2030">
            <v>0.68</v>
          </cell>
          <cell r="U2030">
            <v>0.87</v>
          </cell>
          <cell r="V2030">
            <v>0.7</v>
          </cell>
          <cell r="W2030">
            <v>0</v>
          </cell>
          <cell r="X2030" t="str">
            <v>EST POLTRONA SUMA (COURO TP1 ESTONADO AMARULA) DET COCOA - 0,68x0,87x0,7H</v>
          </cell>
          <cell r="Y2030">
            <v>18387.259999999998</v>
          </cell>
          <cell r="Z2030">
            <v>0.35</v>
          </cell>
          <cell r="AA2030">
            <v>11951.718999999999</v>
          </cell>
          <cell r="AB2030"/>
        </row>
        <row r="2031">
          <cell r="C2031">
            <v>0</v>
          </cell>
          <cell r="D2031">
            <v>1</v>
          </cell>
          <cell r="E2031">
            <v>0</v>
          </cell>
          <cell r="F2031">
            <v>0</v>
          </cell>
          <cell r="H2031">
            <v>0</v>
          </cell>
          <cell r="O2031">
            <v>402445</v>
          </cell>
          <cell r="P2031" t="str">
            <v>2025/094-0028-01</v>
          </cell>
          <cell r="Q2031" t="str">
            <v>EST BANCO TRILHO (CARVALHO TING MEL)</v>
          </cell>
          <cell r="R2031"/>
          <cell r="S2031"/>
          <cell r="T2031">
            <v>1.8</v>
          </cell>
          <cell r="U2031">
            <v>0.52</v>
          </cell>
          <cell r="V2031">
            <v>0.42</v>
          </cell>
          <cell r="W2031">
            <v>0</v>
          </cell>
          <cell r="X2031" t="str">
            <v>EST BANCO TRILHO (CARVALHO TING MEL) - 1,8x0,52x0,42H</v>
          </cell>
          <cell r="Y2031">
            <v>27984.41</v>
          </cell>
          <cell r="Z2031">
            <v>0.35</v>
          </cell>
          <cell r="AA2031">
            <v>18189.8665</v>
          </cell>
          <cell r="AB2031"/>
        </row>
        <row r="2032">
          <cell r="C2032">
            <v>2</v>
          </cell>
          <cell r="D2032">
            <v>2</v>
          </cell>
          <cell r="E2032">
            <v>0</v>
          </cell>
          <cell r="F2032">
            <v>0</v>
          </cell>
          <cell r="H2032">
            <v>0</v>
          </cell>
          <cell r="O2032">
            <v>404592</v>
          </cell>
          <cell r="P2032" t="str">
            <v>2025/154-0037-01</v>
          </cell>
          <cell r="Q2032" t="str">
            <v>EST POLTRONA BELLAGIO (ALU C24 | CORD V01)</v>
          </cell>
          <cell r="R2032"/>
          <cell r="S2032"/>
          <cell r="T2032">
            <v>0.8</v>
          </cell>
          <cell r="U2032">
            <v>0.85</v>
          </cell>
          <cell r="V2032">
            <v>0.72</v>
          </cell>
          <cell r="W2032">
            <v>0</v>
          </cell>
          <cell r="X2032" t="str">
            <v>EST POLTRONA BELLAGIO (ALU C24 | CORD V01) - 0,8x0,85x0,72H</v>
          </cell>
          <cell r="Y2032">
            <v>10458.69</v>
          </cell>
          <cell r="Z2032">
            <v>0.35</v>
          </cell>
          <cell r="AA2032">
            <v>6798.1485000000011</v>
          </cell>
          <cell r="AB2032"/>
        </row>
        <row r="2033">
          <cell r="C2033">
            <v>2</v>
          </cell>
          <cell r="D2033">
            <v>2</v>
          </cell>
          <cell r="E2033">
            <v>0</v>
          </cell>
          <cell r="F2033">
            <v>0</v>
          </cell>
          <cell r="H2033">
            <v>0</v>
          </cell>
          <cell r="O2033">
            <v>404592</v>
          </cell>
          <cell r="P2033" t="str">
            <v>2025/154-0038-01</v>
          </cell>
          <cell r="Q2033" t="str">
            <v>EST POLTRONA BELLAGIO (ALU C24 | CORD V01)</v>
          </cell>
          <cell r="R2033"/>
          <cell r="S2033"/>
          <cell r="T2033">
            <v>0.8</v>
          </cell>
          <cell r="U2033">
            <v>0.85</v>
          </cell>
          <cell r="V2033">
            <v>0.72</v>
          </cell>
          <cell r="W2033">
            <v>0</v>
          </cell>
          <cell r="X2033" t="str">
            <v>EST POLTRONA BELLAGIO (ALU C24 | CORD V01) - 0,8x0,85x0,72H</v>
          </cell>
          <cell r="Y2033">
            <v>10458.69</v>
          </cell>
          <cell r="Z2033">
            <v>0.35</v>
          </cell>
          <cell r="AA2033">
            <v>6798.1485000000011</v>
          </cell>
          <cell r="AB2033"/>
        </row>
        <row r="2034">
          <cell r="C2034">
            <v>2</v>
          </cell>
          <cell r="D2034">
            <v>2</v>
          </cell>
          <cell r="E2034">
            <v>0</v>
          </cell>
          <cell r="F2034">
            <v>0</v>
          </cell>
          <cell r="H2034">
            <v>0</v>
          </cell>
          <cell r="O2034">
            <v>404595</v>
          </cell>
          <cell r="P2034" t="str">
            <v>2025/154-0047-01</v>
          </cell>
          <cell r="Q2034" t="str">
            <v>EST COMPONENTE ALMOFADA POLTRONA BELLAGIO TC KEEPSAKE SILVER</v>
          </cell>
          <cell r="R2034"/>
          <cell r="S2034"/>
          <cell r="T2034">
            <v>0.8</v>
          </cell>
          <cell r="U2034">
            <v>0.85</v>
          </cell>
          <cell r="V2034">
            <v>0.05</v>
          </cell>
          <cell r="W2034">
            <v>0</v>
          </cell>
          <cell r="X2034" t="str">
            <v>EST COMPONENTE ALMOFADA POLTRONA BELLAGIO TC KEEPSAKE SILVER - 0,8x0,85x0,05H</v>
          </cell>
          <cell r="Y2034">
            <v>6064.2404999999999</v>
          </cell>
          <cell r="Z2034">
            <v>0.35</v>
          </cell>
          <cell r="AA2034">
            <v>3941.7563249999998</v>
          </cell>
          <cell r="AB2034"/>
        </row>
        <row r="2035">
          <cell r="C2035">
            <v>2</v>
          </cell>
          <cell r="D2035">
            <v>2</v>
          </cell>
          <cell r="E2035">
            <v>0</v>
          </cell>
          <cell r="F2035">
            <v>0</v>
          </cell>
          <cell r="H2035">
            <v>0</v>
          </cell>
          <cell r="O2035">
            <v>404595</v>
          </cell>
          <cell r="P2035" t="str">
            <v>2025/154-0048-01</v>
          </cell>
          <cell r="Q2035" t="str">
            <v>EST COMPONENTE ALMOFADA POLTRONA BELLAGIO TC KEEPSAKE SILVER</v>
          </cell>
          <cell r="R2035"/>
          <cell r="S2035"/>
          <cell r="T2035">
            <v>0.8</v>
          </cell>
          <cell r="U2035">
            <v>0.85</v>
          </cell>
          <cell r="V2035">
            <v>0.05</v>
          </cell>
          <cell r="W2035">
            <v>0</v>
          </cell>
          <cell r="X2035" t="str">
            <v>EST COMPONENTE ALMOFADA POLTRONA BELLAGIO TC KEEPSAKE SILVER - 0,8x0,85x0,05H</v>
          </cell>
          <cell r="Y2035">
            <v>6064.2404999999999</v>
          </cell>
          <cell r="Z2035">
            <v>0.35</v>
          </cell>
          <cell r="AA2035">
            <v>3941.7563249999998</v>
          </cell>
          <cell r="AB2035"/>
        </row>
        <row r="2036">
          <cell r="C2036">
            <v>0</v>
          </cell>
          <cell r="D2036">
            <v>1</v>
          </cell>
          <cell r="E2036">
            <v>0</v>
          </cell>
          <cell r="F2036">
            <v>0</v>
          </cell>
          <cell r="H2036">
            <v>0</v>
          </cell>
          <cell r="O2036">
            <v>404609</v>
          </cell>
          <cell r="P2036" t="str">
            <v>2025/154-0017-01</v>
          </cell>
          <cell r="Q2036" t="str">
            <v>EST MESA LATERAL BELLAGIO (ALU C24)</v>
          </cell>
          <cell r="R2036"/>
          <cell r="S2036"/>
          <cell r="T2036">
            <v>0.7</v>
          </cell>
          <cell r="U2036">
            <v>0</v>
          </cell>
          <cell r="V2036">
            <v>0.55000000000000004</v>
          </cell>
          <cell r="W2036">
            <v>0.7</v>
          </cell>
          <cell r="X2036" t="str">
            <v>EST MESA LATERAL BELLAGIO (ALU C24) - Ø0,7x0,55H</v>
          </cell>
          <cell r="Y2036">
            <v>10168.44</v>
          </cell>
          <cell r="Z2036">
            <v>0.35</v>
          </cell>
          <cell r="AA2036">
            <v>6609.4860000000008</v>
          </cell>
          <cell r="AB2036"/>
        </row>
        <row r="2037">
          <cell r="C2037">
            <v>1</v>
          </cell>
          <cell r="D2037">
            <v>1</v>
          </cell>
          <cell r="E2037">
            <v>0</v>
          </cell>
          <cell r="F2037">
            <v>0</v>
          </cell>
          <cell r="H2037">
            <v>0</v>
          </cell>
          <cell r="O2037">
            <v>405105</v>
          </cell>
          <cell r="P2037" t="str">
            <v>2025/213-0050-01</v>
          </cell>
          <cell r="Q2037" t="str">
            <v>EST POLTRONA FLORIPA (MTX BROWN) COURO CH05</v>
          </cell>
          <cell r="R2037"/>
          <cell r="S2037"/>
          <cell r="T2037">
            <v>0.71</v>
          </cell>
          <cell r="U2037">
            <v>0.84</v>
          </cell>
          <cell r="V2037">
            <v>0.89</v>
          </cell>
          <cell r="W2037">
            <v>0</v>
          </cell>
          <cell r="X2037" t="str">
            <v>EST POLTRONA FLORIPA (MTX BROWN) COURO CH05 - 0,71x0,84x0,89H</v>
          </cell>
          <cell r="Y2037">
            <v>19442.66</v>
          </cell>
          <cell r="Z2037">
            <v>0.35</v>
          </cell>
          <cell r="AA2037">
            <v>12637.728999999999</v>
          </cell>
          <cell r="AB2037"/>
        </row>
        <row r="2038">
          <cell r="C2038">
            <v>1</v>
          </cell>
          <cell r="D2038">
            <v>1</v>
          </cell>
          <cell r="E2038">
            <v>0</v>
          </cell>
          <cell r="F2038">
            <v>0</v>
          </cell>
          <cell r="H2038">
            <v>0</v>
          </cell>
          <cell r="O2038">
            <v>405106</v>
          </cell>
          <cell r="P2038" t="str">
            <v>2025/213-0052-01</v>
          </cell>
          <cell r="Q2038" t="str">
            <v>EST BANQUETA FLORIPA (MTX BROWN) COURO CH05</v>
          </cell>
          <cell r="R2038"/>
          <cell r="S2038"/>
          <cell r="T2038">
            <v>0.6</v>
          </cell>
          <cell r="U2038">
            <v>0.6</v>
          </cell>
          <cell r="V2038">
            <v>0.4</v>
          </cell>
          <cell r="W2038">
            <v>0</v>
          </cell>
          <cell r="X2038" t="str">
            <v>EST BANQUETA FLORIPA (MTX BROWN) COURO CH05 - 0,6x0,6x0,4H</v>
          </cell>
          <cell r="Y2038">
            <v>12491.54</v>
          </cell>
          <cell r="Z2038">
            <v>0.35</v>
          </cell>
          <cell r="AA2038">
            <v>8119.5010000000011</v>
          </cell>
          <cell r="AB2038"/>
        </row>
        <row r="2039">
          <cell r="C2039">
            <v>0</v>
          </cell>
          <cell r="D2039">
            <v>1</v>
          </cell>
          <cell r="E2039">
            <v>0</v>
          </cell>
          <cell r="F2039">
            <v>0</v>
          </cell>
          <cell r="H2039">
            <v>0</v>
          </cell>
          <cell r="O2039">
            <v>186323</v>
          </cell>
          <cell r="P2039" t="str">
            <v>2016/098-0129-01</v>
          </cell>
          <cell r="Q2039" t="str">
            <v>EST MESA CENTRO GANACHE H32 (TP CARVALHO NAT/PES LATAO FSC)</v>
          </cell>
          <cell r="R2039"/>
          <cell r="S2039"/>
          <cell r="T2039">
            <v>1.3</v>
          </cell>
          <cell r="U2039">
            <v>1.3</v>
          </cell>
          <cell r="V2039">
            <v>0.32</v>
          </cell>
          <cell r="W2039">
            <v>0</v>
          </cell>
          <cell r="X2039" t="str">
            <v>EST MESA CENTRO GANACHE H32 (TP CARVALHO NAT/PES LATAO FSC) - 1,3x1,3x0,32H</v>
          </cell>
          <cell r="Y2039">
            <v>17248.990000000002</v>
          </cell>
          <cell r="Z2039">
            <v>0.5</v>
          </cell>
          <cell r="AA2039">
            <v>8624.4950000000008</v>
          </cell>
          <cell r="AB2039"/>
        </row>
        <row r="2040">
          <cell r="C2040">
            <v>0</v>
          </cell>
          <cell r="D2040">
            <v>1</v>
          </cell>
          <cell r="E2040">
            <v>0</v>
          </cell>
          <cell r="F2040">
            <v>0</v>
          </cell>
          <cell r="H2040">
            <v>0</v>
          </cell>
          <cell r="O2040">
            <v>239159</v>
          </cell>
          <cell r="P2040" t="str">
            <v>2021/046-0004-01</v>
          </cell>
          <cell r="Q2040" t="str">
            <v>EST MESA CENTRO GANACHE H32 (TP CALACATA/PES LATAO FSC)</v>
          </cell>
          <cell r="R2040"/>
          <cell r="S2040"/>
          <cell r="T2040">
            <v>1.1000000000000001</v>
          </cell>
          <cell r="U2040">
            <v>1.1000000000000001</v>
          </cell>
          <cell r="V2040">
            <v>0.27</v>
          </cell>
          <cell r="W2040">
            <v>0</v>
          </cell>
          <cell r="X2040" t="str">
            <v>EST MESA CENTRO GANACHE H32 (TP CALACATA/PES LATAO FSC) - 1,1x1,1x0,27H</v>
          </cell>
          <cell r="Y2040">
            <v>34590.57</v>
          </cell>
          <cell r="Z2040">
            <v>0.5</v>
          </cell>
          <cell r="AA2040">
            <v>17295.285</v>
          </cell>
          <cell r="AB2040"/>
        </row>
        <row r="2041">
          <cell r="C2041">
            <v>2</v>
          </cell>
          <cell r="D2041">
            <v>1</v>
          </cell>
          <cell r="E2041">
            <v>0</v>
          </cell>
          <cell r="F2041">
            <v>0</v>
          </cell>
          <cell r="H2041">
            <v>0</v>
          </cell>
          <cell r="O2041">
            <v>312448</v>
          </cell>
          <cell r="P2041" t="str">
            <v>2022/021-0032-01</v>
          </cell>
          <cell r="Q2041" t="str">
            <v>EST LUMINARIA DE TETO OYSTER 23 (3132)</v>
          </cell>
          <cell r="R2041"/>
          <cell r="S2041"/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 t="str">
            <v>EST LUMINARIA DE TETO OYSTER 23 (3132) - Ø0x0H</v>
          </cell>
          <cell r="Y2041">
            <v>2665.6</v>
          </cell>
          <cell r="Z2041">
            <v>0.5</v>
          </cell>
          <cell r="AA2041">
            <v>1332.8</v>
          </cell>
          <cell r="AB2041"/>
        </row>
        <row r="2042">
          <cell r="C2042">
            <v>0</v>
          </cell>
          <cell r="D2042">
            <v>1</v>
          </cell>
          <cell r="E2042">
            <v>0</v>
          </cell>
          <cell r="F2042">
            <v>0</v>
          </cell>
          <cell r="H2042">
            <v>0</v>
          </cell>
          <cell r="O2042">
            <v>334650</v>
          </cell>
          <cell r="P2042" t="str">
            <v>2022/210-0134-01</v>
          </cell>
          <cell r="Q2042" t="str">
            <v>EST MESA CENTRO COOLER (MAD LAM NOGAL) (AUT OXI)</v>
          </cell>
          <cell r="R2042"/>
          <cell r="S2042"/>
          <cell r="T2042">
            <v>1.8</v>
          </cell>
          <cell r="U2042">
            <v>0.8</v>
          </cell>
          <cell r="V2042">
            <v>0.3</v>
          </cell>
          <cell r="W2042">
            <v>0</v>
          </cell>
          <cell r="X2042" t="str">
            <v>EST MESA CENTRO COOLER (MAD LAM NOGAL) (AUT OXI) - 1,8x0,8x0,3H</v>
          </cell>
          <cell r="Y2042">
            <v>40631.620000000003</v>
          </cell>
          <cell r="Z2042">
            <v>0.5</v>
          </cell>
          <cell r="AA2042">
            <v>20315.810000000001</v>
          </cell>
          <cell r="AB2042"/>
        </row>
        <row r="2043">
          <cell r="C2043">
            <v>0</v>
          </cell>
          <cell r="D2043">
            <v>6</v>
          </cell>
          <cell r="E2043">
            <v>4</v>
          </cell>
          <cell r="F2043">
            <v>0</v>
          </cell>
          <cell r="H2043">
            <v>0</v>
          </cell>
          <cell r="O2043">
            <v>383975</v>
          </cell>
          <cell r="P2043" t="str">
            <v>2024/073-0043-01</v>
          </cell>
          <cell r="Q2043" t="str">
            <v>EST QUADRO (1210 PRETO)</v>
          </cell>
          <cell r="R2043"/>
          <cell r="S2043"/>
          <cell r="T2043">
            <v>0.8</v>
          </cell>
          <cell r="U2043">
            <v>1.1000000000000001</v>
          </cell>
          <cell r="V2043">
            <v>0.06</v>
          </cell>
          <cell r="W2043">
            <v>0</v>
          </cell>
          <cell r="X2043" t="str">
            <v>EST QUADRO (1210 PRETO) - 0,8x1,1x0,06H</v>
          </cell>
          <cell r="Y2043">
            <v>1747.2</v>
          </cell>
          <cell r="Z2043">
            <v>0.5</v>
          </cell>
          <cell r="AA2043">
            <v>873.6</v>
          </cell>
          <cell r="AB2043"/>
        </row>
        <row r="2044">
          <cell r="C2044">
            <v>0</v>
          </cell>
          <cell r="D2044">
            <v>6</v>
          </cell>
          <cell r="E2044">
            <v>4</v>
          </cell>
          <cell r="F2044">
            <v>0</v>
          </cell>
          <cell r="H2044">
            <v>0</v>
          </cell>
          <cell r="O2044">
            <v>383975</v>
          </cell>
          <cell r="P2044" t="str">
            <v>2024/073-0044-01</v>
          </cell>
          <cell r="Q2044" t="str">
            <v>EST QUADRO (1210 PRETO)</v>
          </cell>
          <cell r="R2044"/>
          <cell r="S2044"/>
          <cell r="T2044">
            <v>0.8</v>
          </cell>
          <cell r="U2044">
            <v>1.1000000000000001</v>
          </cell>
          <cell r="V2044">
            <v>0.06</v>
          </cell>
          <cell r="W2044">
            <v>0</v>
          </cell>
          <cell r="X2044" t="str">
            <v>EST QUADRO (1210 PRETO) - 0,8x1,1x0,06H</v>
          </cell>
          <cell r="Y2044">
            <v>1747.2</v>
          </cell>
          <cell r="Z2044">
            <v>0.5</v>
          </cell>
          <cell r="AA2044">
            <v>873.6</v>
          </cell>
          <cell r="AB2044"/>
        </row>
        <row r="2045">
          <cell r="C2045">
            <v>0</v>
          </cell>
          <cell r="D2045">
            <v>6</v>
          </cell>
          <cell r="E2045">
            <v>4</v>
          </cell>
          <cell r="F2045">
            <v>0</v>
          </cell>
          <cell r="H2045">
            <v>0</v>
          </cell>
          <cell r="O2045">
            <v>383975</v>
          </cell>
          <cell r="P2045" t="str">
            <v>2024/073-0045-01</v>
          </cell>
          <cell r="Q2045" t="str">
            <v>EST QUADRO (1210 PRETO)</v>
          </cell>
          <cell r="R2045"/>
          <cell r="S2045"/>
          <cell r="T2045">
            <v>0.8</v>
          </cell>
          <cell r="U2045">
            <v>1.1000000000000001</v>
          </cell>
          <cell r="V2045">
            <v>0.06</v>
          </cell>
          <cell r="W2045">
            <v>0</v>
          </cell>
          <cell r="X2045" t="str">
            <v>EST QUADRO (1210 PRETO) - 0,8x1,1x0,06H</v>
          </cell>
          <cell r="Y2045">
            <v>1747.2</v>
          </cell>
          <cell r="Z2045">
            <v>0.5</v>
          </cell>
          <cell r="AA2045">
            <v>873.6</v>
          </cell>
          <cell r="AB2045"/>
        </row>
        <row r="2046">
          <cell r="C2046">
            <v>0</v>
          </cell>
          <cell r="D2046">
            <v>6</v>
          </cell>
          <cell r="E2046">
            <v>4</v>
          </cell>
          <cell r="F2046">
            <v>0</v>
          </cell>
          <cell r="H2046">
            <v>0</v>
          </cell>
          <cell r="O2046">
            <v>383975</v>
          </cell>
          <cell r="P2046" t="str">
            <v>2024/073-0046-01</v>
          </cell>
          <cell r="Q2046" t="str">
            <v>EST QUADRO (1210 PRETO)</v>
          </cell>
          <cell r="R2046"/>
          <cell r="S2046"/>
          <cell r="T2046">
            <v>0.8</v>
          </cell>
          <cell r="U2046">
            <v>1.1000000000000001</v>
          </cell>
          <cell r="V2046">
            <v>0.06</v>
          </cell>
          <cell r="W2046">
            <v>0</v>
          </cell>
          <cell r="X2046" t="str">
            <v>EST QUADRO (1210 PRETO) - 0,8x1,1x0,06H</v>
          </cell>
          <cell r="Y2046">
            <v>1747.2</v>
          </cell>
          <cell r="Z2046">
            <v>0.5</v>
          </cell>
          <cell r="AA2046">
            <v>873.6</v>
          </cell>
          <cell r="AB2046"/>
        </row>
        <row r="2047">
          <cell r="C2047">
            <v>0</v>
          </cell>
          <cell r="D2047">
            <v>6</v>
          </cell>
          <cell r="E2047">
            <v>4</v>
          </cell>
          <cell r="F2047">
            <v>0</v>
          </cell>
          <cell r="H2047">
            <v>0</v>
          </cell>
          <cell r="O2047">
            <v>383975</v>
          </cell>
          <cell r="P2047" t="str">
            <v>2024/073-0047-01</v>
          </cell>
          <cell r="Q2047" t="str">
            <v>EST QUADRO (1210 PRETO)</v>
          </cell>
          <cell r="R2047"/>
          <cell r="S2047"/>
          <cell r="T2047">
            <v>0.8</v>
          </cell>
          <cell r="U2047">
            <v>1.1000000000000001</v>
          </cell>
          <cell r="V2047">
            <v>0.06</v>
          </cell>
          <cell r="W2047">
            <v>0</v>
          </cell>
          <cell r="X2047" t="str">
            <v>EST QUADRO (1210 PRETO) - 0,8x1,1x0,06H</v>
          </cell>
          <cell r="Y2047">
            <v>1747.2</v>
          </cell>
          <cell r="Z2047">
            <v>0.5</v>
          </cell>
          <cell r="AA2047">
            <v>873.6</v>
          </cell>
          <cell r="AB2047"/>
        </row>
        <row r="2048">
          <cell r="C2048">
            <v>0</v>
          </cell>
          <cell r="D2048">
            <v>6</v>
          </cell>
          <cell r="E2048">
            <v>4</v>
          </cell>
          <cell r="F2048">
            <v>0</v>
          </cell>
          <cell r="H2048">
            <v>0</v>
          </cell>
          <cell r="O2048">
            <v>383975</v>
          </cell>
          <cell r="P2048" t="str">
            <v>2024/073-0048-01</v>
          </cell>
          <cell r="Q2048" t="str">
            <v>EST QUADRO (1210 PRETO)</v>
          </cell>
          <cell r="R2048"/>
          <cell r="S2048"/>
          <cell r="T2048">
            <v>0.8</v>
          </cell>
          <cell r="U2048">
            <v>1.1000000000000001</v>
          </cell>
          <cell r="V2048">
            <v>0.06</v>
          </cell>
          <cell r="W2048">
            <v>0</v>
          </cell>
          <cell r="X2048" t="str">
            <v>EST QUADRO (1210 PRETO) - 0,8x1,1x0,06H</v>
          </cell>
          <cell r="Y2048">
            <v>1747.2</v>
          </cell>
          <cell r="Z2048">
            <v>0.5</v>
          </cell>
          <cell r="AA2048">
            <v>873.6</v>
          </cell>
          <cell r="AB2048"/>
        </row>
        <row r="2049">
          <cell r="C2049">
            <v>1</v>
          </cell>
          <cell r="D2049">
            <v>0</v>
          </cell>
          <cell r="E2049">
            <v>0</v>
          </cell>
          <cell r="F2049">
            <v>0</v>
          </cell>
          <cell r="H2049">
            <v>0</v>
          </cell>
          <cell r="O2049">
            <v>410449</v>
          </cell>
          <cell r="P2049" t="str">
            <v>2025/287-0043-01</v>
          </cell>
          <cell r="Q2049" t="str">
            <v>EST APARADOR THAE (JEQ NOGUEIRA) (TP JEQ NOGUEIRA)</v>
          </cell>
          <cell r="R2049"/>
          <cell r="S2049"/>
          <cell r="T2049">
            <v>2.6</v>
          </cell>
          <cell r="U2049">
            <v>0.5</v>
          </cell>
          <cell r="V2049">
            <v>0.75</v>
          </cell>
          <cell r="W2049">
            <v>0</v>
          </cell>
          <cell r="X2049" t="str">
            <v>EST APARADOR THAE (JEQ NOGUEIRA) (TP JEQ NOGUEIRA) - 2,6x0,5x0,75H</v>
          </cell>
          <cell r="Y2049">
            <v>28056.67</v>
          </cell>
          <cell r="Z2049">
            <v>0.35</v>
          </cell>
          <cell r="AA2049">
            <v>18236.835500000001</v>
          </cell>
          <cell r="AB2049"/>
        </row>
        <row r="2050">
          <cell r="C2050">
            <v>1</v>
          </cell>
          <cell r="D2050">
            <v>0</v>
          </cell>
          <cell r="E2050">
            <v>0</v>
          </cell>
          <cell r="F2050">
            <v>0</v>
          </cell>
          <cell r="H2050">
            <v>0</v>
          </cell>
          <cell r="O2050">
            <v>410448</v>
          </cell>
          <cell r="P2050" t="str">
            <v>2025/287-0042-01</v>
          </cell>
          <cell r="Q2050" t="str">
            <v>EST MESA JANTAR THAE (JEQ NOGUEIRA) (TP JEQ NOGUEIRA)</v>
          </cell>
          <cell r="R2050"/>
          <cell r="S2050"/>
          <cell r="T2050">
            <v>3</v>
          </cell>
          <cell r="U2050">
            <v>1.2</v>
          </cell>
          <cell r="V2050">
            <v>0.75</v>
          </cell>
          <cell r="W2050">
            <v>0</v>
          </cell>
          <cell r="X2050" t="str">
            <v>EST MESA JANTAR THAE (JEQ NOGUEIRA) (TP JEQ NOGUEIRA) - 3x1,2x0,75H</v>
          </cell>
          <cell r="Y2050">
            <v>47734.13</v>
          </cell>
          <cell r="Z2050">
            <v>0.35</v>
          </cell>
          <cell r="AA2050">
            <v>31027.184499999999</v>
          </cell>
          <cell r="AB2050"/>
        </row>
        <row r="2051">
          <cell r="C2051">
            <v>0</v>
          </cell>
          <cell r="D2051">
            <v>6</v>
          </cell>
          <cell r="E2051">
            <v>0</v>
          </cell>
          <cell r="F2051">
            <v>1</v>
          </cell>
          <cell r="H2051">
            <v>3</v>
          </cell>
          <cell r="O2051">
            <v>371709</v>
          </cell>
          <cell r="P2051" t="str">
            <v>2023/234-0047-01</v>
          </cell>
          <cell r="Q2051" t="str">
            <v>EST CADEIRA LUIZA C/BRACO (JEQ CAST CLARO) COURO PIG 611</v>
          </cell>
          <cell r="R2051"/>
          <cell r="S2051"/>
          <cell r="T2051">
            <v>0.59</v>
          </cell>
          <cell r="U2051">
            <v>0.56000000000000005</v>
          </cell>
          <cell r="V2051">
            <v>0.74</v>
          </cell>
          <cell r="W2051">
            <v>0</v>
          </cell>
          <cell r="X2051" t="str">
            <v>EST CADEIRA LUIZA C/BRACO (JEQ CAST CLARO) COURO PIG 611 - 0,59x0,56x0,74H</v>
          </cell>
          <cell r="Y2051">
            <v>5341.634</v>
          </cell>
          <cell r="Z2051">
            <v>0.35</v>
          </cell>
          <cell r="AA2051">
            <v>3472.0621000000001</v>
          </cell>
          <cell r="AB2051"/>
        </row>
        <row r="2052">
          <cell r="C2052">
            <v>0</v>
          </cell>
          <cell r="D2052">
            <v>6</v>
          </cell>
          <cell r="E2052">
            <v>0</v>
          </cell>
          <cell r="F2052">
            <v>1</v>
          </cell>
          <cell r="H2052">
            <v>3</v>
          </cell>
          <cell r="O2052">
            <v>371709</v>
          </cell>
          <cell r="P2052" t="str">
            <v>2023/234-0048-01</v>
          </cell>
          <cell r="Q2052" t="str">
            <v>EST CADEIRA LUIZA C/BRACO (JEQ CAST CLARO) COURO PIG 611</v>
          </cell>
          <cell r="R2052"/>
          <cell r="S2052"/>
          <cell r="T2052">
            <v>0.59</v>
          </cell>
          <cell r="U2052">
            <v>0.56000000000000005</v>
          </cell>
          <cell r="V2052">
            <v>0.74</v>
          </cell>
          <cell r="W2052">
            <v>0</v>
          </cell>
          <cell r="X2052" t="str">
            <v>EST CADEIRA LUIZA C/BRACO (JEQ CAST CLARO) COURO PIG 611 - 0,59x0,56x0,74H</v>
          </cell>
          <cell r="Y2052">
            <v>5341.634</v>
          </cell>
          <cell r="Z2052">
            <v>0.35</v>
          </cell>
          <cell r="AA2052">
            <v>3472.0621000000001</v>
          </cell>
          <cell r="AB2052"/>
        </row>
        <row r="2053">
          <cell r="C2053">
            <v>0</v>
          </cell>
          <cell r="D2053">
            <v>6</v>
          </cell>
          <cell r="E2053">
            <v>0</v>
          </cell>
          <cell r="F2053">
            <v>1</v>
          </cell>
          <cell r="H2053">
            <v>3</v>
          </cell>
          <cell r="O2053">
            <v>371709</v>
          </cell>
          <cell r="P2053" t="str">
            <v>2023/234-0049-01</v>
          </cell>
          <cell r="Q2053" t="str">
            <v>EST CADEIRA LUIZA C/BRACO (JEQ CAST CLARO) COURO PIG 611</v>
          </cell>
          <cell r="R2053"/>
          <cell r="S2053"/>
          <cell r="T2053">
            <v>0.59</v>
          </cell>
          <cell r="U2053">
            <v>0.56000000000000005</v>
          </cell>
          <cell r="V2053">
            <v>0.74</v>
          </cell>
          <cell r="W2053">
            <v>0</v>
          </cell>
          <cell r="X2053" t="str">
            <v>EST CADEIRA LUIZA C/BRACO (JEQ CAST CLARO) COURO PIG 611 - 0,59x0,56x0,74H</v>
          </cell>
          <cell r="Y2053">
            <v>5341.634</v>
          </cell>
          <cell r="Z2053">
            <v>0.35</v>
          </cell>
          <cell r="AA2053">
            <v>3472.0621000000001</v>
          </cell>
          <cell r="AB2053"/>
        </row>
        <row r="2054">
          <cell r="C2054">
            <v>0</v>
          </cell>
          <cell r="D2054">
            <v>6</v>
          </cell>
          <cell r="E2054">
            <v>0</v>
          </cell>
          <cell r="F2054">
            <v>1</v>
          </cell>
          <cell r="H2054">
            <v>3</v>
          </cell>
          <cell r="O2054">
            <v>371709</v>
          </cell>
          <cell r="P2054" t="str">
            <v>2023/234-0050-01</v>
          </cell>
          <cell r="Q2054" t="str">
            <v>EST CADEIRA LUIZA C/BRACO (JEQ CAST CLARO) COURO PIG 611</v>
          </cell>
          <cell r="R2054"/>
          <cell r="S2054"/>
          <cell r="T2054">
            <v>0.59</v>
          </cell>
          <cell r="U2054">
            <v>0.56000000000000005</v>
          </cell>
          <cell r="V2054">
            <v>0.74</v>
          </cell>
          <cell r="W2054">
            <v>0</v>
          </cell>
          <cell r="X2054" t="str">
            <v>EST CADEIRA LUIZA C/BRACO (JEQ CAST CLARO) COURO PIG 611 - 0,59x0,56x0,74H</v>
          </cell>
          <cell r="Y2054">
            <v>5341.634</v>
          </cell>
          <cell r="Z2054">
            <v>0.35</v>
          </cell>
          <cell r="AA2054">
            <v>3472.0621000000001</v>
          </cell>
          <cell r="AB2054"/>
        </row>
        <row r="2055">
          <cell r="C2055">
            <v>0</v>
          </cell>
          <cell r="D2055">
            <v>6</v>
          </cell>
          <cell r="E2055">
            <v>0</v>
          </cell>
          <cell r="F2055">
            <v>1</v>
          </cell>
          <cell r="H2055">
            <v>3</v>
          </cell>
          <cell r="O2055">
            <v>371709</v>
          </cell>
          <cell r="P2055" t="str">
            <v>2023/234-0051-01</v>
          </cell>
          <cell r="Q2055" t="str">
            <v>EST CADEIRA LUIZA C/BRACO (JEQ CAST CLARO) COURO PIG 611</v>
          </cell>
          <cell r="R2055"/>
          <cell r="S2055"/>
          <cell r="T2055">
            <v>0.59</v>
          </cell>
          <cell r="U2055">
            <v>0.56000000000000005</v>
          </cell>
          <cell r="V2055">
            <v>0.74</v>
          </cell>
          <cell r="W2055">
            <v>0</v>
          </cell>
          <cell r="X2055" t="str">
            <v>EST CADEIRA LUIZA C/BRACO (JEQ CAST CLARO) COURO PIG 611 - 0,59x0,56x0,74H</v>
          </cell>
          <cell r="Y2055">
            <v>5341.634</v>
          </cell>
          <cell r="Z2055">
            <v>0.35</v>
          </cell>
          <cell r="AA2055">
            <v>3472.0621000000001</v>
          </cell>
          <cell r="AB2055"/>
        </row>
        <row r="2056">
          <cell r="C2056">
            <v>0</v>
          </cell>
          <cell r="D2056">
            <v>6</v>
          </cell>
          <cell r="E2056">
            <v>0</v>
          </cell>
          <cell r="F2056">
            <v>1</v>
          </cell>
          <cell r="H2056">
            <v>3</v>
          </cell>
          <cell r="O2056">
            <v>371709</v>
          </cell>
          <cell r="P2056" t="str">
            <v>2023/234-0052-01</v>
          </cell>
          <cell r="Q2056" t="str">
            <v>EST CADEIRA LUIZA C/BRACO (JEQ CAST CLARO) COURO PIG 611</v>
          </cell>
          <cell r="R2056"/>
          <cell r="S2056"/>
          <cell r="T2056">
            <v>0.59</v>
          </cell>
          <cell r="U2056">
            <v>0.56000000000000005</v>
          </cell>
          <cell r="V2056">
            <v>0.74</v>
          </cell>
          <cell r="W2056">
            <v>0</v>
          </cell>
          <cell r="X2056" t="str">
            <v>EST CADEIRA LUIZA C/BRACO (JEQ CAST CLARO) COURO PIG 611 - 0,59x0,56x0,74H</v>
          </cell>
          <cell r="Y2056">
            <v>5341.634</v>
          </cell>
          <cell r="Z2056">
            <v>0.35</v>
          </cell>
          <cell r="AA2056">
            <v>3472.0621000000001</v>
          </cell>
          <cell r="AB2056"/>
        </row>
        <row r="2057">
          <cell r="C2057">
            <v>1</v>
          </cell>
          <cell r="D2057">
            <v>0</v>
          </cell>
          <cell r="E2057">
            <v>0</v>
          </cell>
          <cell r="F2057">
            <v>0</v>
          </cell>
          <cell r="H2057">
            <v>0</v>
          </cell>
          <cell r="O2057">
            <v>336643</v>
          </cell>
          <cell r="P2057" t="str">
            <v>2022/251-0029-01</v>
          </cell>
          <cell r="Q2057" t="str">
            <v>EST MESA LATERAL TWA (BS FERRO URANO) (TP LAM JAQ DARK W)</v>
          </cell>
          <cell r="R2057"/>
          <cell r="S2057"/>
          <cell r="T2057">
            <v>0.41</v>
          </cell>
          <cell r="U2057">
            <v>0.38</v>
          </cell>
          <cell r="V2057">
            <v>0.69</v>
          </cell>
          <cell r="W2057">
            <v>0</v>
          </cell>
          <cell r="X2057" t="str">
            <v>EST MESA LATERAL TWA (BS FERRO URANO) (TP LAM JAQ DARK W) - 0,41x0,38x0,69H</v>
          </cell>
          <cell r="Y2057">
            <v>6715.55</v>
          </cell>
          <cell r="Z2057">
            <v>0.5</v>
          </cell>
          <cell r="AA2057">
            <v>3357.7750000000001</v>
          </cell>
          <cell r="AB2057"/>
        </row>
        <row r="2058">
          <cell r="C2058">
            <v>1</v>
          </cell>
          <cell r="D2058">
            <v>0</v>
          </cell>
          <cell r="E2058">
            <v>0</v>
          </cell>
          <cell r="F2058">
            <v>0</v>
          </cell>
          <cell r="H2058">
            <v>0</v>
          </cell>
          <cell r="O2058">
            <v>399774</v>
          </cell>
          <cell r="P2058" t="str">
            <v>2024/345-0030-01</v>
          </cell>
          <cell r="Q2058" t="str">
            <v>EST BANCO PATMOS (T3 LA PAZ CAMEL FSC) (CINTA AMBAR) NOGUIRA</v>
          </cell>
          <cell r="R2058"/>
          <cell r="S2058"/>
          <cell r="T2058">
            <v>1.55</v>
          </cell>
          <cell r="U2058">
            <v>0.53</v>
          </cell>
          <cell r="V2058">
            <v>0.41</v>
          </cell>
          <cell r="W2058">
            <v>0</v>
          </cell>
          <cell r="X2058" t="str">
            <v>EST BANCO PATMOS (T3 LA PAZ CAMEL FSC) (CINTA AMBAR) NOGUIRA - 1,55x0,53x0,41H</v>
          </cell>
          <cell r="Y2058">
            <v>22585.93</v>
          </cell>
          <cell r="Z2058">
            <v>0.35</v>
          </cell>
          <cell r="AA2058">
            <v>14680.854500000001</v>
          </cell>
          <cell r="AB2058"/>
        </row>
        <row r="2059">
          <cell r="C2059">
            <v>1</v>
          </cell>
          <cell r="D2059">
            <v>0</v>
          </cell>
          <cell r="E2059">
            <v>0</v>
          </cell>
          <cell r="F2059">
            <v>2</v>
          </cell>
          <cell r="H2059">
            <v>0</v>
          </cell>
          <cell r="O2059">
            <v>389956</v>
          </cell>
          <cell r="P2059" t="str">
            <v>2024/267-0082-01</v>
          </cell>
          <cell r="Q2059" t="str">
            <v>EST CAPA PUFF LENCOIS M OUTDOOR (CAPA LISO) TC 8599</v>
          </cell>
          <cell r="R2059"/>
          <cell r="S2059"/>
          <cell r="T2059">
            <v>1.7</v>
          </cell>
          <cell r="U2059">
            <v>0</v>
          </cell>
          <cell r="V2059">
            <v>0</v>
          </cell>
          <cell r="W2059">
            <v>0</v>
          </cell>
          <cell r="X2059" t="str">
            <v>EST CAPA PUFF LENCOIS M OUTDOOR (CAPA LISO) TC 8599 - Ø0x0H</v>
          </cell>
          <cell r="Y2059">
            <v>5320.99</v>
          </cell>
          <cell r="Z2059">
            <v>0.35</v>
          </cell>
          <cell r="AA2059">
            <v>3458.6435000000001</v>
          </cell>
          <cell r="AB2059"/>
        </row>
        <row r="2060">
          <cell r="C2060">
            <v>1</v>
          </cell>
          <cell r="D2060">
            <v>0</v>
          </cell>
          <cell r="E2060">
            <v>0</v>
          </cell>
          <cell r="F2060">
            <v>2</v>
          </cell>
          <cell r="H2060">
            <v>2</v>
          </cell>
          <cell r="O2060">
            <v>389957</v>
          </cell>
          <cell r="P2060" t="str">
            <v>2024/247-0113-01</v>
          </cell>
          <cell r="Q2060" t="str">
            <v>EST ALMOFADA DECORATIVA HIMALAYA (G) TC KEEPSAKE TAUPE</v>
          </cell>
          <cell r="R2060"/>
          <cell r="S2060"/>
          <cell r="T2060">
            <v>0.9</v>
          </cell>
          <cell r="U2060">
            <v>0.7</v>
          </cell>
          <cell r="V2060">
            <v>0</v>
          </cell>
          <cell r="W2060">
            <v>0</v>
          </cell>
          <cell r="X2060" t="str">
            <v>EST ALMOFADA DECORATIVA HIMALAYA (G) TC KEEPSAKE TAUPE - 0,9x0,7x0H</v>
          </cell>
          <cell r="Y2060">
            <v>2778.5439400000005</v>
          </cell>
          <cell r="Z2060">
            <v>0.35</v>
          </cell>
          <cell r="AA2060">
            <v>1806.0535610000004</v>
          </cell>
          <cell r="AB2060"/>
        </row>
        <row r="2061">
          <cell r="C2061">
            <v>1</v>
          </cell>
          <cell r="D2061">
            <v>0</v>
          </cell>
          <cell r="E2061">
            <v>0</v>
          </cell>
          <cell r="F2061">
            <v>2</v>
          </cell>
          <cell r="H2061">
            <v>1</v>
          </cell>
          <cell r="O2061">
            <v>389958</v>
          </cell>
          <cell r="P2061" t="str">
            <v>2024/267-0085-01</v>
          </cell>
          <cell r="Q2061" t="str">
            <v>EST ALMOFADA DECORATIVA LENCOIS M OUTDOOR TC KEEPSAKE TAUPE</v>
          </cell>
          <cell r="R2061"/>
          <cell r="S2061"/>
          <cell r="T2061">
            <v>0.6</v>
          </cell>
          <cell r="U2061">
            <v>0.6</v>
          </cell>
          <cell r="V2061">
            <v>0</v>
          </cell>
          <cell r="W2061">
            <v>0</v>
          </cell>
          <cell r="X2061" t="str">
            <v>EST ALMOFADA DECORATIVA LENCOIS M OUTDOOR TC KEEPSAKE TAUPE - 0,6x0,6x0H</v>
          </cell>
          <cell r="Y2061">
            <v>1751.3990200000003</v>
          </cell>
          <cell r="Z2061">
            <v>0.35</v>
          </cell>
          <cell r="AA2061">
            <v>1138.4093630000002</v>
          </cell>
          <cell r="AB2061"/>
        </row>
        <row r="2062">
          <cell r="C2062">
            <v>0</v>
          </cell>
          <cell r="D2062">
            <v>0</v>
          </cell>
          <cell r="E2062">
            <v>1</v>
          </cell>
          <cell r="F2062">
            <v>0</v>
          </cell>
          <cell r="H2062">
            <v>0</v>
          </cell>
          <cell r="O2062">
            <v>387780</v>
          </cell>
          <cell r="P2062" t="str">
            <v>2024/197-0115-01</v>
          </cell>
          <cell r="Q2062" t="str">
            <v>EST POLTRONA LUAR (MAD A TAUARI ENV) COURO FIRENZE 12</v>
          </cell>
          <cell r="R2062"/>
          <cell r="S2062"/>
          <cell r="T2062">
            <v>0.94</v>
          </cell>
          <cell r="U2062">
            <v>0.92</v>
          </cell>
          <cell r="V2062">
            <v>0.74</v>
          </cell>
          <cell r="W2062">
            <v>0</v>
          </cell>
          <cell r="X2062" t="str">
            <v>EST POLTRONA LUAR (MAD A TAUARI ENV) COURO FIRENZE 12 - 0,94x0,92x0,74H</v>
          </cell>
          <cell r="Y2062">
            <v>34837.508000000002</v>
          </cell>
          <cell r="Z2062">
            <v>0.35</v>
          </cell>
          <cell r="AA2062">
            <v>22644.3802</v>
          </cell>
          <cell r="AB2062"/>
        </row>
        <row r="2063">
          <cell r="C2063">
            <v>0</v>
          </cell>
          <cell r="D2063">
            <v>0</v>
          </cell>
          <cell r="E2063">
            <v>1</v>
          </cell>
          <cell r="F2063">
            <v>0</v>
          </cell>
          <cell r="H2063">
            <v>0</v>
          </cell>
          <cell r="O2063">
            <v>407114</v>
          </cell>
          <cell r="P2063" t="str">
            <v>2025/171-0096-01</v>
          </cell>
          <cell r="Q2063" t="str">
            <v>EST SOFA IZADORA (CAPA/PENA) (BIPARTIDO) TC 01-28</v>
          </cell>
          <cell r="R2063"/>
          <cell r="S2063"/>
          <cell r="T2063">
            <v>3</v>
          </cell>
          <cell r="U2063">
            <v>1.04</v>
          </cell>
          <cell r="V2063">
            <v>0.89</v>
          </cell>
          <cell r="W2063">
            <v>0</v>
          </cell>
          <cell r="X2063" t="str">
            <v>EST SOFA IZADORA (CAPA/PENA) (BIPARTIDO) TC 01-28 - 3x1,04x0,89H</v>
          </cell>
          <cell r="Y2063">
            <v>33059.17</v>
          </cell>
          <cell r="Z2063">
            <v>0.35</v>
          </cell>
          <cell r="AA2063">
            <v>21488.460500000001</v>
          </cell>
          <cell r="AB2063"/>
        </row>
        <row r="2064">
          <cell r="C2064">
            <v>0</v>
          </cell>
          <cell r="D2064">
            <v>0</v>
          </cell>
          <cell r="E2064">
            <v>1</v>
          </cell>
          <cell r="F2064">
            <v>0</v>
          </cell>
          <cell r="H2064">
            <v>0</v>
          </cell>
          <cell r="O2064">
            <v>335088</v>
          </cell>
          <cell r="P2064" t="str">
            <v>2022/244-0026-01</v>
          </cell>
          <cell r="Q2064" t="str">
            <v>EST MESA CENTRO ARGOLA (B) (COURO CAFE) (MAD A CINAM NOG)</v>
          </cell>
          <cell r="R2064"/>
          <cell r="S2064"/>
          <cell r="T2064">
            <v>1</v>
          </cell>
          <cell r="U2064">
            <v>0</v>
          </cell>
          <cell r="V2064">
            <v>0.35</v>
          </cell>
          <cell r="W2064">
            <v>1</v>
          </cell>
          <cell r="X2064" t="str">
            <v>EST MESA CENTRO ARGOLA (B) (COURO CAFE) (MAD A CINAM NOG) - Ø1x0,35H</v>
          </cell>
          <cell r="Y2064">
            <v>19388.900000000001</v>
          </cell>
          <cell r="Z2064">
            <v>0.35</v>
          </cell>
          <cell r="AA2064">
            <v>12602.785000000002</v>
          </cell>
          <cell r="AB2064"/>
        </row>
        <row r="2065">
          <cell r="C2065">
            <v>0</v>
          </cell>
          <cell r="D2065">
            <v>0</v>
          </cell>
          <cell r="E2065">
            <v>1</v>
          </cell>
          <cell r="F2065">
            <v>0</v>
          </cell>
          <cell r="H2065">
            <v>0</v>
          </cell>
          <cell r="O2065">
            <v>335093</v>
          </cell>
          <cell r="P2065" t="str">
            <v>2022/244-0029-01</v>
          </cell>
          <cell r="Q2065" t="str">
            <v>EST MESA CENTRO ARGOLA (C) (MAD B FREIJO ENV)</v>
          </cell>
          <cell r="R2065"/>
          <cell r="S2065"/>
          <cell r="T2065">
            <v>0.6</v>
          </cell>
          <cell r="U2065">
            <v>0</v>
          </cell>
          <cell r="V2065">
            <v>0.45</v>
          </cell>
          <cell r="W2065">
            <v>0.6</v>
          </cell>
          <cell r="X2065" t="str">
            <v>EST MESA CENTRO ARGOLA (C) (MAD B FREIJO ENV) - Ø0,6x0,45H</v>
          </cell>
          <cell r="Y2065">
            <v>13366.84</v>
          </cell>
          <cell r="Z2065">
            <v>0.35</v>
          </cell>
          <cell r="AA2065">
            <v>8688.4459999999999</v>
          </cell>
          <cell r="AB2065"/>
        </row>
        <row r="2066">
          <cell r="C2066">
            <v>0</v>
          </cell>
          <cell r="D2066">
            <v>0</v>
          </cell>
          <cell r="E2066">
            <v>1</v>
          </cell>
          <cell r="F2066">
            <v>0</v>
          </cell>
          <cell r="H2066">
            <v>0</v>
          </cell>
          <cell r="O2066">
            <v>335094</v>
          </cell>
          <cell r="P2066" t="str">
            <v>2022/244-0030-01</v>
          </cell>
          <cell r="Q2066" t="str">
            <v>EST MESA CENTRO ARGOLA (A) (VIDRO INC) (MAD B FREIJO ENV)</v>
          </cell>
          <cell r="R2066"/>
          <cell r="S2066"/>
          <cell r="T2066">
            <v>1.2</v>
          </cell>
          <cell r="U2066">
            <v>0</v>
          </cell>
          <cell r="V2066">
            <v>0.25</v>
          </cell>
          <cell r="W2066">
            <v>1.2</v>
          </cell>
          <cell r="X2066" t="str">
            <v>EST MESA CENTRO ARGOLA (A) (VIDRO INC) (MAD B FREIJO ENV) - Ø1,2x0,25H</v>
          </cell>
          <cell r="Y2066">
            <v>33361.660000000003</v>
          </cell>
          <cell r="Z2066">
            <v>0.35</v>
          </cell>
          <cell r="AA2066">
            <v>21685.079000000005</v>
          </cell>
          <cell r="AB2066"/>
        </row>
        <row r="2067">
          <cell r="C2067">
            <v>0</v>
          </cell>
          <cell r="D2067">
            <v>0</v>
          </cell>
          <cell r="E2067">
            <v>1</v>
          </cell>
          <cell r="F2067">
            <v>0</v>
          </cell>
          <cell r="H2067">
            <v>0</v>
          </cell>
          <cell r="O2067">
            <v>336558</v>
          </cell>
          <cell r="P2067" t="str">
            <v>2022/251-0009-01</v>
          </cell>
          <cell r="Q2067" t="str">
            <v>EST FRUTEIRA CHIE (MOD 02) (LACA PRETA FSC)</v>
          </cell>
          <cell r="R2067"/>
          <cell r="S2067"/>
          <cell r="T2067">
            <v>0.25</v>
          </cell>
          <cell r="U2067">
            <v>0</v>
          </cell>
          <cell r="V2067">
            <v>0.28999999999999998</v>
          </cell>
          <cell r="W2067">
            <v>0.25</v>
          </cell>
          <cell r="X2067" t="str">
            <v>EST FRUTEIRA CHIE (MOD 02) (LACA PRETA FSC) - Ø0,25x0,29H</v>
          </cell>
          <cell r="Y2067">
            <v>3279.32</v>
          </cell>
          <cell r="Z2067">
            <v>0.35</v>
          </cell>
          <cell r="AA2067">
            <v>2131.558</v>
          </cell>
          <cell r="AB2067"/>
        </row>
        <row r="2068">
          <cell r="C2068">
            <v>0</v>
          </cell>
          <cell r="D2068">
            <v>0</v>
          </cell>
          <cell r="E2068">
            <v>1</v>
          </cell>
          <cell r="F2068">
            <v>0</v>
          </cell>
          <cell r="H2068">
            <v>0</v>
          </cell>
          <cell r="O2068">
            <v>377303</v>
          </cell>
          <cell r="P2068" t="str">
            <v>2023/331-0026-01</v>
          </cell>
          <cell r="Q2068" t="str">
            <v>EST MESA CENTRO ARGOLA (C) (MAD A TAUARI ENV)</v>
          </cell>
          <cell r="R2068"/>
          <cell r="S2068"/>
          <cell r="T2068">
            <v>0.6</v>
          </cell>
          <cell r="U2068">
            <v>0</v>
          </cell>
          <cell r="V2068">
            <v>0.45</v>
          </cell>
          <cell r="W2068">
            <v>0.6</v>
          </cell>
          <cell r="X2068" t="str">
            <v>EST MESA CENTRO ARGOLA (C) (MAD A TAUARI ENV) - Ø0,6x0,45H</v>
          </cell>
          <cell r="Y2068">
            <v>12150.43</v>
          </cell>
          <cell r="Z2068">
            <v>0.35</v>
          </cell>
          <cell r="AA2068">
            <v>7897.7795000000006</v>
          </cell>
          <cell r="AB2068"/>
        </row>
        <row r="2069">
          <cell r="C2069">
            <v>0</v>
          </cell>
          <cell r="D2069">
            <v>0</v>
          </cell>
          <cell r="E2069">
            <v>1</v>
          </cell>
          <cell r="F2069">
            <v>0</v>
          </cell>
          <cell r="H2069">
            <v>0</v>
          </cell>
          <cell r="O2069">
            <v>409020</v>
          </cell>
          <cell r="P2069" t="str">
            <v>2025/223-0061-01</v>
          </cell>
          <cell r="Q2069" t="str">
            <v>EST CADEIRA PAX OFFICE MISTA (MAD A TAUARI ENV) TC UDIN 102</v>
          </cell>
          <cell r="R2069"/>
          <cell r="S2069"/>
          <cell r="T2069">
            <v>0.61</v>
          </cell>
          <cell r="U2069">
            <v>0.57999999999999996</v>
          </cell>
          <cell r="V2069">
            <v>0.89</v>
          </cell>
          <cell r="W2069">
            <v>0</v>
          </cell>
          <cell r="X2069" t="str">
            <v>EST CADEIRA PAX OFFICE MISTA (MAD A TAUARI ENV) TC UDIN 102 - 0,61x0,58x0,89H</v>
          </cell>
          <cell r="Y2069">
            <v>24751.06</v>
          </cell>
          <cell r="Z2069">
            <v>0.35</v>
          </cell>
          <cell r="AA2069">
            <v>16088.189000000002</v>
          </cell>
          <cell r="AB2069"/>
        </row>
        <row r="2070">
          <cell r="C2070">
            <v>0</v>
          </cell>
          <cell r="D2070">
            <v>0</v>
          </cell>
          <cell r="E2070">
            <v>1</v>
          </cell>
          <cell r="F2070">
            <v>0</v>
          </cell>
          <cell r="H2070">
            <v>0</v>
          </cell>
          <cell r="O2070">
            <v>271311</v>
          </cell>
          <cell r="P2070" t="str">
            <v>2020/343-0137-01</v>
          </cell>
          <cell r="Q2070" t="str">
            <v>EST SOFA TARANTO FX B2111</v>
          </cell>
          <cell r="R2070"/>
          <cell r="S2070"/>
          <cell r="T2070">
            <v>2.8</v>
          </cell>
          <cell r="U2070">
            <v>1</v>
          </cell>
          <cell r="V2070">
            <v>0.95</v>
          </cell>
          <cell r="W2070">
            <v>0</v>
          </cell>
          <cell r="X2070" t="str">
            <v>EST SOFA TARANTO FX B2111 - 2,8x1x0,95H</v>
          </cell>
          <cell r="Y2070">
            <v>30803.45</v>
          </cell>
          <cell r="Z2070">
            <v>0.5</v>
          </cell>
          <cell r="AA2070">
            <v>15401.725</v>
          </cell>
          <cell r="AB2070"/>
        </row>
        <row r="2071">
          <cell r="C2071">
            <v>0</v>
          </cell>
          <cell r="D2071">
            <v>0</v>
          </cell>
          <cell r="E2071">
            <v>1</v>
          </cell>
          <cell r="F2071">
            <v>0</v>
          </cell>
          <cell r="H2071">
            <v>0</v>
          </cell>
          <cell r="O2071">
            <v>404838</v>
          </cell>
          <cell r="P2071" t="str">
            <v>2025/087-0004-01</v>
          </cell>
          <cell r="Q2071" t="str">
            <v>EST MESA CENTRO LEED H26 (LAMINA FREIJO C/VIDRO 4MM)</v>
          </cell>
          <cell r="R2071"/>
          <cell r="S2071"/>
          <cell r="T2071">
            <v>2</v>
          </cell>
          <cell r="U2071">
            <v>0.7</v>
          </cell>
          <cell r="V2071">
            <v>0.26</v>
          </cell>
          <cell r="W2071">
            <v>0</v>
          </cell>
          <cell r="X2071" t="str">
            <v>EST MESA CENTRO LEED H26 (LAMINA FREIJO C/VIDRO 4MM) - 2x0,7x0,26H</v>
          </cell>
          <cell r="Y2071">
            <v>27426.2</v>
          </cell>
          <cell r="Z2071">
            <v>0.35</v>
          </cell>
          <cell r="AA2071">
            <v>17827.03</v>
          </cell>
          <cell r="AB2071"/>
        </row>
        <row r="2072">
          <cell r="C2072">
            <v>0</v>
          </cell>
          <cell r="D2072">
            <v>0</v>
          </cell>
          <cell r="E2072">
            <v>1</v>
          </cell>
          <cell r="F2072">
            <v>0</v>
          </cell>
          <cell r="H2072">
            <v>0</v>
          </cell>
          <cell r="O2072">
            <v>388713</v>
          </cell>
          <cell r="P2072" t="str">
            <v>2024/239-0109-01</v>
          </cell>
          <cell r="Q2072" t="str">
            <v>EST POLTRONA REMO (MAD B TECA NATURALE) TC EL ANGOLA BEIGE</v>
          </cell>
          <cell r="R2072"/>
          <cell r="S2072"/>
          <cell r="T2072">
            <v>0.85</v>
          </cell>
          <cell r="U2072">
            <v>0.8</v>
          </cell>
          <cell r="V2072">
            <v>0.92</v>
          </cell>
          <cell r="W2072">
            <v>0</v>
          </cell>
          <cell r="X2072" t="str">
            <v>EST POLTRONA REMO (MAD B TECA NATURALE) TC EL ANGOLA BEIGE - 0,85x0,8x0,92H</v>
          </cell>
          <cell r="Y2072">
            <v>40055.9856</v>
          </cell>
          <cell r="Z2072">
            <v>0.35</v>
          </cell>
          <cell r="AA2072">
            <v>26036.390640000001</v>
          </cell>
          <cell r="AB2072"/>
        </row>
        <row r="2073">
          <cell r="C2073">
            <v>0</v>
          </cell>
          <cell r="D2073">
            <v>0</v>
          </cell>
          <cell r="E2073">
            <v>1</v>
          </cell>
          <cell r="F2073">
            <v>0</v>
          </cell>
          <cell r="H2073">
            <v>0</v>
          </cell>
          <cell r="O2073">
            <v>388717</v>
          </cell>
          <cell r="P2073" t="str">
            <v>2024/239-0112-01</v>
          </cell>
          <cell r="Q2073" t="str">
            <v>EST BANQUETA REMO (MAD B TECA NATURALE) TC EL ANGOLA BEIGE</v>
          </cell>
          <cell r="R2073"/>
          <cell r="S2073"/>
          <cell r="T2073">
            <v>0.62</v>
          </cell>
          <cell r="U2073">
            <v>0.5</v>
          </cell>
          <cell r="V2073">
            <v>0.41</v>
          </cell>
          <cell r="W2073">
            <v>0</v>
          </cell>
          <cell r="X2073" t="str">
            <v>EST BANQUETA REMO (MAD B TECA NATURALE) TC EL ANGOLA BEIGE - 0,62x0,5x0,41H</v>
          </cell>
          <cell r="Y2073">
            <v>10778.76376</v>
          </cell>
          <cell r="Z2073">
            <v>0.35</v>
          </cell>
          <cell r="AA2073">
            <v>7006.1964440000002</v>
          </cell>
          <cell r="AB2073"/>
        </row>
        <row r="2074">
          <cell r="C2074">
            <v>0</v>
          </cell>
          <cell r="D2074">
            <v>0</v>
          </cell>
          <cell r="E2074">
            <v>1</v>
          </cell>
          <cell r="F2074">
            <v>0</v>
          </cell>
          <cell r="H2074">
            <v>0</v>
          </cell>
          <cell r="O2074">
            <v>336548</v>
          </cell>
          <cell r="P2074" t="str">
            <v>2022/307-0060-01</v>
          </cell>
          <cell r="Q2074" t="str">
            <v>EST MESA LATERAL LUSA (OBL CER AZUL) (MAD A TAUARI ENV)</v>
          </cell>
          <cell r="R2074"/>
          <cell r="S2074"/>
          <cell r="T2074">
            <v>0.51</v>
          </cell>
          <cell r="U2074">
            <v>0.28000000000000003</v>
          </cell>
          <cell r="V2074">
            <v>0.62</v>
          </cell>
          <cell r="W2074">
            <v>0</v>
          </cell>
          <cell r="X2074" t="str">
            <v>EST MESA LATERAL LUSA (OBL CER AZUL) (MAD A TAUARI ENV) - 0,51x0,28x0,62H</v>
          </cell>
          <cell r="Y2074">
            <v>13292.88</v>
          </cell>
          <cell r="Z2074">
            <v>0.5</v>
          </cell>
          <cell r="AA2074">
            <v>6646.44</v>
          </cell>
          <cell r="AB2074"/>
        </row>
        <row r="2075">
          <cell r="C2075">
            <v>0</v>
          </cell>
          <cell r="D2075">
            <v>0</v>
          </cell>
          <cell r="E2075">
            <v>0</v>
          </cell>
          <cell r="F2075">
            <v>1</v>
          </cell>
          <cell r="H2075">
            <v>0</v>
          </cell>
          <cell r="O2075">
            <v>362673</v>
          </cell>
          <cell r="P2075" t="str">
            <v>2023/087-0004-01</v>
          </cell>
          <cell r="Q2075" t="str">
            <v>EST MESA CENTRO COB (C/VIDRO) (MAD B FREIJO NATURAL)</v>
          </cell>
          <cell r="R2075"/>
          <cell r="S2075"/>
          <cell r="T2075">
            <v>1.42</v>
          </cell>
          <cell r="U2075">
            <v>1.42</v>
          </cell>
          <cell r="V2075">
            <v>0.25</v>
          </cell>
          <cell r="W2075">
            <v>0</v>
          </cell>
          <cell r="X2075" t="str">
            <v>EST MESA CENTRO COB (C/VIDRO) (MAD B FREIJO NATURAL) - 1,42x1,42x0,25H</v>
          </cell>
          <cell r="Y2075">
            <v>38700.949999999997</v>
          </cell>
          <cell r="Z2075">
            <v>0.35</v>
          </cell>
          <cell r="AA2075">
            <v>25155.6175</v>
          </cell>
          <cell r="AB2075"/>
        </row>
        <row r="2076">
          <cell r="C2076">
            <v>0</v>
          </cell>
          <cell r="D2076">
            <v>0</v>
          </cell>
          <cell r="E2076">
            <v>0</v>
          </cell>
          <cell r="F2076">
            <v>1</v>
          </cell>
          <cell r="H2076">
            <v>0</v>
          </cell>
          <cell r="O2076">
            <v>387770</v>
          </cell>
          <cell r="P2076" t="str">
            <v>2024/197-0112-01</v>
          </cell>
          <cell r="Q2076" t="str">
            <v>EST POLTRONA LUAR (MAD A JEQ 03) TC ALTAMURA COR 907</v>
          </cell>
          <cell r="R2076"/>
          <cell r="S2076"/>
          <cell r="T2076">
            <v>0.94</v>
          </cell>
          <cell r="U2076">
            <v>0.92</v>
          </cell>
          <cell r="V2076">
            <v>0.74</v>
          </cell>
          <cell r="W2076">
            <v>0</v>
          </cell>
          <cell r="X2076" t="str">
            <v>EST POLTRONA LUAR (MAD A JEQ 03) TC ALTAMURA COR 907 - 0,94x0,92x0,74H</v>
          </cell>
          <cell r="Y2076">
            <v>31111.01</v>
          </cell>
          <cell r="Z2076">
            <v>0.35</v>
          </cell>
          <cell r="AA2076">
            <v>20222.156499999997</v>
          </cell>
          <cell r="AB2076"/>
        </row>
        <row r="2077">
          <cell r="C2077">
            <v>0</v>
          </cell>
          <cell r="D2077">
            <v>0</v>
          </cell>
          <cell r="E2077">
            <v>0</v>
          </cell>
          <cell r="F2077">
            <v>1</v>
          </cell>
          <cell r="H2077">
            <v>0</v>
          </cell>
          <cell r="O2077">
            <v>388718</v>
          </cell>
          <cell r="P2077" t="str">
            <v>2024/239-0113-01</v>
          </cell>
          <cell r="Q2077" t="str">
            <v>EST BANQUETA REMO (MAD B TECA NATURAL PU) COURO PIG 101</v>
          </cell>
          <cell r="R2077"/>
          <cell r="S2077"/>
          <cell r="T2077">
            <v>0.62</v>
          </cell>
          <cell r="U2077">
            <v>0.5</v>
          </cell>
          <cell r="V2077">
            <v>0.41</v>
          </cell>
          <cell r="W2077">
            <v>0</v>
          </cell>
          <cell r="X2077" t="str">
            <v>EST BANQUETA REMO (MAD B TECA NATURAL PU) COURO PIG 101 - 0,62x0,5x0,41H</v>
          </cell>
          <cell r="Y2077">
            <v>10300.24</v>
          </cell>
          <cell r="Z2077">
            <v>0.35</v>
          </cell>
          <cell r="AA2077">
            <v>6695.1559999999999</v>
          </cell>
          <cell r="AB2077"/>
        </row>
        <row r="2078">
          <cell r="C2078">
            <v>0</v>
          </cell>
          <cell r="D2078">
            <v>0</v>
          </cell>
          <cell r="E2078">
            <v>0</v>
          </cell>
          <cell r="F2078">
            <v>1</v>
          </cell>
          <cell r="H2078">
            <v>0</v>
          </cell>
          <cell r="O2078">
            <v>399039</v>
          </cell>
          <cell r="P2078" t="str">
            <v>2024/311-0029-01</v>
          </cell>
          <cell r="Q2078" t="str">
            <v>EST CADEIRA PAX OFFICE MISTA (MAD A TAUARI POA) TC RUST 5412</v>
          </cell>
          <cell r="R2078"/>
          <cell r="S2078"/>
          <cell r="T2078">
            <v>0.61</v>
          </cell>
          <cell r="U2078">
            <v>0.57999999999999996</v>
          </cell>
          <cell r="V2078">
            <v>0.89</v>
          </cell>
          <cell r="W2078">
            <v>0</v>
          </cell>
          <cell r="X2078" t="str">
            <v>EST CADEIRA PAX OFFICE MISTA (MAD A TAUARI POA) TC RUST 5412 - 0,61x0,58x0,89H</v>
          </cell>
          <cell r="Y2078">
            <v>24684.93</v>
          </cell>
          <cell r="Z2078">
            <v>0.35</v>
          </cell>
          <cell r="AA2078">
            <v>16045.204500000002</v>
          </cell>
          <cell r="AB2078"/>
        </row>
        <row r="2079">
          <cell r="C2079">
            <v>1</v>
          </cell>
          <cell r="D2079">
            <v>0</v>
          </cell>
          <cell r="E2079">
            <v>0</v>
          </cell>
          <cell r="F2079">
            <v>6</v>
          </cell>
          <cell r="H2079">
            <v>0</v>
          </cell>
          <cell r="O2079">
            <v>312385</v>
          </cell>
          <cell r="P2079" t="str">
            <v>2022/038-0018-01</v>
          </cell>
          <cell r="Q2079" t="str">
            <v>EST CADEIRA VIKY (LOURO ESPECIAL) COURO NOBUCK VERDE</v>
          </cell>
          <cell r="R2079"/>
          <cell r="S2079"/>
          <cell r="T2079">
            <v>0.53</v>
          </cell>
          <cell r="U2079">
            <v>0.59</v>
          </cell>
          <cell r="V2079">
            <v>0.83</v>
          </cell>
          <cell r="W2079">
            <v>0</v>
          </cell>
          <cell r="X2079" t="str">
            <v>EST CADEIRA VIKY (LOURO ESPECIAL) COURO NOBUCK VERDE - 0,53x0,59x0,83H</v>
          </cell>
          <cell r="Y2079">
            <v>9717.57</v>
          </cell>
          <cell r="Z2079">
            <v>0.35</v>
          </cell>
          <cell r="AA2079">
            <v>6316.4205000000002</v>
          </cell>
          <cell r="AB2079"/>
        </row>
        <row r="2080">
          <cell r="C2080">
            <v>1</v>
          </cell>
          <cell r="D2080">
            <v>0</v>
          </cell>
          <cell r="E2080">
            <v>0</v>
          </cell>
          <cell r="F2080">
            <v>6</v>
          </cell>
          <cell r="H2080">
            <v>0</v>
          </cell>
          <cell r="O2080">
            <v>312385</v>
          </cell>
          <cell r="P2080" t="str">
            <v>2022/038-0021-01</v>
          </cell>
          <cell r="Q2080" t="str">
            <v>EST CADEIRA VIKY (LOURO ESPECIAL) COURO NOBUCK VERDE</v>
          </cell>
          <cell r="R2080"/>
          <cell r="S2080"/>
          <cell r="T2080">
            <v>0.53</v>
          </cell>
          <cell r="U2080">
            <v>0.59</v>
          </cell>
          <cell r="V2080">
            <v>0.83</v>
          </cell>
          <cell r="W2080">
            <v>0</v>
          </cell>
          <cell r="X2080" t="str">
            <v>EST CADEIRA VIKY (LOURO ESPECIAL) COURO NOBUCK VERDE - 0,53x0,59x0,83H</v>
          </cell>
          <cell r="Y2080">
            <v>9717.57</v>
          </cell>
          <cell r="Z2080">
            <v>0.35</v>
          </cell>
          <cell r="AA2080">
            <v>6316.4205000000002</v>
          </cell>
          <cell r="AB2080"/>
        </row>
        <row r="2081">
          <cell r="C2081">
            <v>0</v>
          </cell>
          <cell r="D2081">
            <v>0</v>
          </cell>
          <cell r="E2081">
            <v>0</v>
          </cell>
          <cell r="F2081">
            <v>6</v>
          </cell>
          <cell r="H2081">
            <v>0</v>
          </cell>
          <cell r="O2081">
            <v>388707</v>
          </cell>
          <cell r="P2081" t="str">
            <v>2024/239-0101-01</v>
          </cell>
          <cell r="Q2081" t="str">
            <v>EST CADEIRA REMO C/B (MAD A MUIRACATIARA PU) TC STB VANILLA</v>
          </cell>
          <cell r="R2081"/>
          <cell r="S2081"/>
          <cell r="T2081">
            <v>0.63</v>
          </cell>
          <cell r="U2081">
            <v>0.69</v>
          </cell>
          <cell r="V2081">
            <v>0.84</v>
          </cell>
          <cell r="W2081">
            <v>0</v>
          </cell>
          <cell r="X2081" t="str">
            <v>EST CADEIRA REMO C/B (MAD A MUIRACATIARA PU) TC STB VANILLA - 0,63x0,69x0,84H</v>
          </cell>
          <cell r="Y2081">
            <v>17557.4228</v>
          </cell>
          <cell r="Z2081">
            <v>0.35</v>
          </cell>
          <cell r="AA2081">
            <v>11412.324820000002</v>
          </cell>
          <cell r="AB2081"/>
        </row>
        <row r="2082">
          <cell r="C2082">
            <v>0</v>
          </cell>
          <cell r="D2082">
            <v>0</v>
          </cell>
          <cell r="E2082">
            <v>0</v>
          </cell>
          <cell r="F2082">
            <v>6</v>
          </cell>
          <cell r="H2082">
            <v>0</v>
          </cell>
          <cell r="O2082">
            <v>388707</v>
          </cell>
          <cell r="P2082" t="str">
            <v>2024/239-0102-01</v>
          </cell>
          <cell r="Q2082" t="str">
            <v>EST CADEIRA REMO C/B (MAD A MUIRACATIARA PU) TC STB VANILLA</v>
          </cell>
          <cell r="R2082"/>
          <cell r="S2082"/>
          <cell r="T2082">
            <v>0.63</v>
          </cell>
          <cell r="U2082">
            <v>0.69</v>
          </cell>
          <cell r="V2082">
            <v>0.84</v>
          </cell>
          <cell r="W2082">
            <v>0</v>
          </cell>
          <cell r="X2082" t="str">
            <v>EST CADEIRA REMO C/B (MAD A MUIRACATIARA PU) TC STB VANILLA - 0,63x0,69x0,84H</v>
          </cell>
          <cell r="Y2082">
            <v>17557.4228</v>
          </cell>
          <cell r="Z2082">
            <v>0.35</v>
          </cell>
          <cell r="AA2082">
            <v>11412.324820000002</v>
          </cell>
          <cell r="AB2082"/>
        </row>
        <row r="2083">
          <cell r="C2083">
            <v>0</v>
          </cell>
          <cell r="D2083">
            <v>0</v>
          </cell>
          <cell r="E2083">
            <v>0</v>
          </cell>
          <cell r="F2083">
            <v>6</v>
          </cell>
          <cell r="H2083">
            <v>0</v>
          </cell>
          <cell r="O2083">
            <v>388707</v>
          </cell>
          <cell r="P2083" t="str">
            <v>2024/239-0103-01</v>
          </cell>
          <cell r="Q2083" t="str">
            <v>EST CADEIRA REMO C/B (MAD A MUIRACATIARA PU) TC STB VANILLA</v>
          </cell>
          <cell r="R2083"/>
          <cell r="S2083"/>
          <cell r="T2083">
            <v>0.63</v>
          </cell>
          <cell r="U2083">
            <v>0.69</v>
          </cell>
          <cell r="V2083">
            <v>0.84</v>
          </cell>
          <cell r="W2083">
            <v>0</v>
          </cell>
          <cell r="X2083" t="str">
            <v>EST CADEIRA REMO C/B (MAD A MUIRACATIARA PU) TC STB VANILLA - 0,63x0,69x0,84H</v>
          </cell>
          <cell r="Y2083">
            <v>17557.4228</v>
          </cell>
          <cell r="Z2083">
            <v>0.35</v>
          </cell>
          <cell r="AA2083">
            <v>11412.324820000002</v>
          </cell>
          <cell r="AB2083"/>
        </row>
        <row r="2084">
          <cell r="C2084">
            <v>0</v>
          </cell>
          <cell r="D2084">
            <v>0</v>
          </cell>
          <cell r="E2084">
            <v>0</v>
          </cell>
          <cell r="F2084">
            <v>6</v>
          </cell>
          <cell r="H2084">
            <v>0</v>
          </cell>
          <cell r="O2084">
            <v>388707</v>
          </cell>
          <cell r="P2084" t="str">
            <v>2024/239-0104-01</v>
          </cell>
          <cell r="Q2084" t="str">
            <v>EST CADEIRA REMO C/B (MAD A MUIRACATIARA PU) TC STB VANILLA</v>
          </cell>
          <cell r="R2084"/>
          <cell r="S2084"/>
          <cell r="T2084">
            <v>0.63</v>
          </cell>
          <cell r="U2084">
            <v>0.69</v>
          </cell>
          <cell r="V2084">
            <v>0.84</v>
          </cell>
          <cell r="W2084">
            <v>0</v>
          </cell>
          <cell r="X2084" t="str">
            <v>EST CADEIRA REMO C/B (MAD A MUIRACATIARA PU) TC STB VANILLA - 0,63x0,69x0,84H</v>
          </cell>
          <cell r="Y2084">
            <v>17557.4228</v>
          </cell>
          <cell r="Z2084">
            <v>0.35</v>
          </cell>
          <cell r="AA2084">
            <v>11412.324820000002</v>
          </cell>
          <cell r="AB2084"/>
        </row>
        <row r="2085">
          <cell r="C2085">
            <v>0</v>
          </cell>
          <cell r="D2085">
            <v>0</v>
          </cell>
          <cell r="E2085">
            <v>0</v>
          </cell>
          <cell r="F2085">
            <v>6</v>
          </cell>
          <cell r="H2085">
            <v>0</v>
          </cell>
          <cell r="O2085">
            <v>388707</v>
          </cell>
          <cell r="P2085" t="str">
            <v>2024/239-0105-01</v>
          </cell>
          <cell r="Q2085" t="str">
            <v>EST CADEIRA REMO C/B (MAD A MUIRACATIARA PU) TC STB VANILLA</v>
          </cell>
          <cell r="R2085"/>
          <cell r="S2085"/>
          <cell r="T2085">
            <v>0.63</v>
          </cell>
          <cell r="U2085">
            <v>0.69</v>
          </cell>
          <cell r="V2085">
            <v>0.84</v>
          </cell>
          <cell r="W2085">
            <v>0</v>
          </cell>
          <cell r="X2085" t="str">
            <v>EST CADEIRA REMO C/B (MAD A MUIRACATIARA PU) TC STB VANILLA - 0,63x0,69x0,84H</v>
          </cell>
          <cell r="Y2085">
            <v>17557.4228</v>
          </cell>
          <cell r="Z2085">
            <v>0.35</v>
          </cell>
          <cell r="AA2085">
            <v>11412.324820000002</v>
          </cell>
          <cell r="AB2085"/>
        </row>
        <row r="2086">
          <cell r="C2086">
            <v>0</v>
          </cell>
          <cell r="D2086">
            <v>0</v>
          </cell>
          <cell r="E2086">
            <v>0</v>
          </cell>
          <cell r="F2086">
            <v>6</v>
          </cell>
          <cell r="H2086">
            <v>0</v>
          </cell>
          <cell r="O2086">
            <v>388707</v>
          </cell>
          <cell r="P2086" t="str">
            <v>2024/239-0106-01</v>
          </cell>
          <cell r="Q2086" t="str">
            <v>EST CADEIRA REMO C/B (MAD A MUIRACATIARA PU) TC STB VANILLA</v>
          </cell>
          <cell r="R2086"/>
          <cell r="S2086"/>
          <cell r="T2086">
            <v>0.63</v>
          </cell>
          <cell r="U2086">
            <v>0.69</v>
          </cell>
          <cell r="V2086">
            <v>0.84</v>
          </cell>
          <cell r="W2086">
            <v>0</v>
          </cell>
          <cell r="X2086" t="str">
            <v>EST CADEIRA REMO C/B (MAD A MUIRACATIARA PU) TC STB VANILLA - 0,63x0,69x0,84H</v>
          </cell>
          <cell r="Y2086">
            <v>17557.4228</v>
          </cell>
          <cell r="Z2086">
            <v>0.35</v>
          </cell>
          <cell r="AA2086">
            <v>11412.324820000002</v>
          </cell>
          <cell r="AB2086"/>
        </row>
        <row r="2087">
          <cell r="C2087">
            <v>0</v>
          </cell>
          <cell r="D2087">
            <v>0</v>
          </cell>
          <cell r="E2087">
            <v>0</v>
          </cell>
          <cell r="F2087">
            <v>1</v>
          </cell>
          <cell r="H2087">
            <v>0</v>
          </cell>
          <cell r="O2087">
            <v>388714</v>
          </cell>
          <cell r="P2087" t="str">
            <v>2024/239-0110-01</v>
          </cell>
          <cell r="Q2087" t="str">
            <v>EST POLTRONA REMO (MAD B TECA NATURAL PU) COURO PIG 101</v>
          </cell>
          <cell r="R2087"/>
          <cell r="S2087"/>
          <cell r="T2087">
            <v>0.85</v>
          </cell>
          <cell r="U2087">
            <v>0.8</v>
          </cell>
          <cell r="V2087">
            <v>0.92</v>
          </cell>
          <cell r="W2087">
            <v>0</v>
          </cell>
          <cell r="X2087" t="str">
            <v>EST POLTRONA REMO (MAD B TECA NATURAL PU) COURO PIG 101 - 0,85x0,8x0,92H</v>
          </cell>
          <cell r="Y2087">
            <v>37718.951999999997</v>
          </cell>
          <cell r="Z2087">
            <v>0.35</v>
          </cell>
          <cell r="AA2087">
            <v>24517.318800000001</v>
          </cell>
          <cell r="AB2087"/>
        </row>
        <row r="2088">
          <cell r="C2088">
            <v>0</v>
          </cell>
          <cell r="D2088">
            <v>0</v>
          </cell>
          <cell r="E2088">
            <v>0</v>
          </cell>
          <cell r="F2088">
            <v>2</v>
          </cell>
          <cell r="H2088">
            <v>0</v>
          </cell>
          <cell r="O2088">
            <v>388968</v>
          </cell>
          <cell r="P2088" t="str">
            <v>2024/239-0125-01</v>
          </cell>
          <cell r="Q2088" t="str">
            <v>EST POLTRONA IPANEMA (MAD A TAUAR ENV) WINCHESTER/OLD BEAVER</v>
          </cell>
          <cell r="R2088"/>
          <cell r="S2088"/>
          <cell r="T2088">
            <v>0.73</v>
          </cell>
          <cell r="U2088">
            <v>0.77</v>
          </cell>
          <cell r="V2088">
            <v>0.76</v>
          </cell>
          <cell r="W2088">
            <v>0</v>
          </cell>
          <cell r="X2088" t="str">
            <v>EST POLTRONA IPANEMA (MAD A TAUAR ENV) WINCHESTER/OLD BEAVER - 0,73x0,77x0,76H</v>
          </cell>
          <cell r="Y2088">
            <v>32142.39</v>
          </cell>
          <cell r="Z2088">
            <v>0.35</v>
          </cell>
          <cell r="AA2088">
            <v>20892.553500000002</v>
          </cell>
          <cell r="AB2088"/>
        </row>
        <row r="2089">
          <cell r="C2089">
            <v>0</v>
          </cell>
          <cell r="D2089">
            <v>0</v>
          </cell>
          <cell r="E2089">
            <v>0</v>
          </cell>
          <cell r="F2089">
            <v>2</v>
          </cell>
          <cell r="H2089">
            <v>0</v>
          </cell>
          <cell r="O2089">
            <v>388968</v>
          </cell>
          <cell r="P2089" t="str">
            <v>2024/239-0126-01</v>
          </cell>
          <cell r="Q2089" t="str">
            <v>EST POLTRONA IPANEMA (MAD A TAUAR ENV) WINCHESTER/OLD BEAVER</v>
          </cell>
          <cell r="R2089"/>
          <cell r="S2089"/>
          <cell r="T2089">
            <v>0.73</v>
          </cell>
          <cell r="U2089">
            <v>0.77</v>
          </cell>
          <cell r="V2089">
            <v>0.76</v>
          </cell>
          <cell r="W2089">
            <v>0</v>
          </cell>
          <cell r="X2089" t="str">
            <v>EST POLTRONA IPANEMA (MAD A TAUAR ENV) WINCHESTER/OLD BEAVER - 0,73x0,77x0,76H</v>
          </cell>
          <cell r="Y2089">
            <v>32142.39</v>
          </cell>
          <cell r="Z2089">
            <v>0.35</v>
          </cell>
          <cell r="AA2089">
            <v>20892.553500000002</v>
          </cell>
          <cell r="AB2089"/>
        </row>
        <row r="2090">
          <cell r="C2090">
            <v>0</v>
          </cell>
          <cell r="D2090">
            <v>0</v>
          </cell>
          <cell r="E2090">
            <v>0</v>
          </cell>
          <cell r="F2090">
            <v>1</v>
          </cell>
          <cell r="H2090">
            <v>0</v>
          </cell>
          <cell r="O2090">
            <v>238166</v>
          </cell>
          <cell r="P2090" t="str">
            <v>2019/205-0021-01</v>
          </cell>
          <cell r="Q2090" t="str">
            <v>EST MESA CENTRO ARGOLA (A) (VIDRO INC) (MAD A CINAM NT)</v>
          </cell>
          <cell r="R2090"/>
          <cell r="S2090"/>
          <cell r="T2090">
            <v>1.2</v>
          </cell>
          <cell r="U2090">
            <v>0</v>
          </cell>
          <cell r="V2090">
            <v>0.25</v>
          </cell>
          <cell r="W2090">
            <v>1.2</v>
          </cell>
          <cell r="X2090" t="str">
            <v>EST MESA CENTRO ARGOLA (A) (VIDRO INC) (MAD A CINAM NT) - Ø1,2x0,25H</v>
          </cell>
          <cell r="Y2090">
            <v>28893.72</v>
          </cell>
          <cell r="Z2090">
            <v>0.35</v>
          </cell>
          <cell r="AA2090">
            <v>18780.918000000001</v>
          </cell>
          <cell r="AB2090"/>
        </row>
        <row r="2091">
          <cell r="C2091">
            <v>0</v>
          </cell>
          <cell r="D2091">
            <v>0</v>
          </cell>
          <cell r="E2091">
            <v>0</v>
          </cell>
          <cell r="F2091">
            <v>1</v>
          </cell>
          <cell r="H2091">
            <v>0</v>
          </cell>
          <cell r="O2091">
            <v>335339</v>
          </cell>
          <cell r="P2091" t="str">
            <v>2022/292-0036-01</v>
          </cell>
          <cell r="Q2091" t="str">
            <v>EST MESA LATERAL LUSA (RED CER BEGE) (MAD A CINAM NOG)</v>
          </cell>
          <cell r="R2091"/>
          <cell r="S2091"/>
          <cell r="T2091">
            <v>0.4</v>
          </cell>
          <cell r="U2091">
            <v>0</v>
          </cell>
          <cell r="V2091">
            <v>0.72</v>
          </cell>
          <cell r="W2091">
            <v>0.4</v>
          </cell>
          <cell r="X2091" t="str">
            <v>EST MESA LATERAL LUSA (RED CER BEGE) (MAD A CINAM NOG) - Ø0,4x0,72H</v>
          </cell>
          <cell r="Y2091">
            <v>14060.66</v>
          </cell>
          <cell r="Z2091">
            <v>0.35</v>
          </cell>
          <cell r="AA2091">
            <v>9139.4290000000001</v>
          </cell>
          <cell r="AB2091"/>
        </row>
        <row r="2092">
          <cell r="C2092">
            <v>0</v>
          </cell>
          <cell r="D2092">
            <v>0</v>
          </cell>
          <cell r="E2092">
            <v>0</v>
          </cell>
          <cell r="F2092">
            <v>1</v>
          </cell>
          <cell r="H2092">
            <v>0</v>
          </cell>
          <cell r="O2092">
            <v>335344</v>
          </cell>
          <cell r="P2092" t="str">
            <v>2022/292-0039-01</v>
          </cell>
          <cell r="Q2092" t="str">
            <v>EST MESA LATERAL LUSA (OBL CER BEGE) (MAD A CINAM NOG)</v>
          </cell>
          <cell r="R2092"/>
          <cell r="S2092"/>
          <cell r="T2092">
            <v>0.45</v>
          </cell>
          <cell r="U2092">
            <v>0.28000000000000003</v>
          </cell>
          <cell r="V2092">
            <v>0.45</v>
          </cell>
          <cell r="W2092">
            <v>0</v>
          </cell>
          <cell r="X2092" t="str">
            <v>EST MESA LATERAL LUSA (OBL CER BEGE) (MAD A CINAM NOG) - 0,45x0,28x0,45H</v>
          </cell>
          <cell r="Y2092">
            <v>12756.35</v>
          </cell>
          <cell r="Z2092">
            <v>0.35</v>
          </cell>
          <cell r="AA2092">
            <v>8291.6275000000005</v>
          </cell>
          <cell r="AB2092"/>
        </row>
        <row r="2093">
          <cell r="C2093">
            <v>0</v>
          </cell>
          <cell r="D2093">
            <v>0</v>
          </cell>
          <cell r="E2093">
            <v>0</v>
          </cell>
          <cell r="F2093">
            <v>1</v>
          </cell>
          <cell r="H2093">
            <v>0</v>
          </cell>
          <cell r="O2093">
            <v>336735</v>
          </cell>
          <cell r="P2093" t="str">
            <v>2022/230-0038-01</v>
          </cell>
          <cell r="Q2093" t="str">
            <v>EST FRUTEIRA CHIE (MOD 01) (MAD A JEQ EBANO)</v>
          </cell>
          <cell r="R2093"/>
          <cell r="S2093"/>
          <cell r="T2093">
            <v>0.19</v>
          </cell>
          <cell r="U2093">
            <v>0</v>
          </cell>
          <cell r="V2093">
            <v>0.35</v>
          </cell>
          <cell r="W2093">
            <v>0.19</v>
          </cell>
          <cell r="X2093" t="str">
            <v>EST FRUTEIRA CHIE (MOD 01) (MAD A JEQ EBANO) - Ø0,19x0,35H</v>
          </cell>
          <cell r="Y2093">
            <v>2789.02</v>
          </cell>
          <cell r="Z2093">
            <v>0.35</v>
          </cell>
          <cell r="AA2093">
            <v>1812.8630000000001</v>
          </cell>
          <cell r="AB2093"/>
        </row>
        <row r="2094">
          <cell r="C2094">
            <v>0</v>
          </cell>
          <cell r="D2094">
            <v>0</v>
          </cell>
          <cell r="E2094">
            <v>0</v>
          </cell>
          <cell r="F2094">
            <v>1</v>
          </cell>
          <cell r="H2094">
            <v>0</v>
          </cell>
          <cell r="O2094">
            <v>336736</v>
          </cell>
          <cell r="P2094" t="str">
            <v>2022/230-0039-01</v>
          </cell>
          <cell r="Q2094" t="str">
            <v>EST FRUTEIRA CHIE (MOD 02) (MAD A JEQ 05)</v>
          </cell>
          <cell r="R2094"/>
          <cell r="S2094"/>
          <cell r="T2094">
            <v>0.25</v>
          </cell>
          <cell r="U2094">
            <v>0</v>
          </cell>
          <cell r="V2094">
            <v>0.28999999999999998</v>
          </cell>
          <cell r="W2094">
            <v>0.25</v>
          </cell>
          <cell r="X2094" t="str">
            <v>EST FRUTEIRA CHIE (MOD 02) (MAD A JEQ 05) - Ø0,25x0,29H</v>
          </cell>
          <cell r="Y2094">
            <v>3279.32</v>
          </cell>
          <cell r="Z2094">
            <v>0.35</v>
          </cell>
          <cell r="AA2094">
            <v>2131.558</v>
          </cell>
          <cell r="AB2094"/>
        </row>
        <row r="2095">
          <cell r="C2095">
            <v>0</v>
          </cell>
          <cell r="D2095">
            <v>0</v>
          </cell>
          <cell r="E2095">
            <v>0</v>
          </cell>
          <cell r="F2095">
            <v>1</v>
          </cell>
          <cell r="H2095">
            <v>0</v>
          </cell>
          <cell r="O2095">
            <v>350051</v>
          </cell>
          <cell r="P2095" t="str">
            <v>2022/216-0051-01</v>
          </cell>
          <cell r="Q2095" t="str">
            <v>EST ESPELHO YOU (MAD B TECA NATURAL) METAL ONIX</v>
          </cell>
          <cell r="R2095"/>
          <cell r="S2095"/>
          <cell r="T2095">
            <v>0.86</v>
          </cell>
          <cell r="U2095">
            <v>0.35</v>
          </cell>
          <cell r="V2095">
            <v>1.8</v>
          </cell>
          <cell r="W2095">
            <v>0</v>
          </cell>
          <cell r="X2095" t="str">
            <v>EST ESPELHO YOU (MAD B TECA NATURAL) METAL ONIX - 0,86x0,35x1,8H</v>
          </cell>
          <cell r="Y2095">
            <v>43171.7</v>
          </cell>
          <cell r="Z2095">
            <v>0.35</v>
          </cell>
          <cell r="AA2095">
            <v>28061.605</v>
          </cell>
          <cell r="AB2095"/>
        </row>
        <row r="2096">
          <cell r="C2096">
            <v>0</v>
          </cell>
          <cell r="D2096">
            <v>0</v>
          </cell>
          <cell r="E2096">
            <v>0</v>
          </cell>
          <cell r="F2096">
            <v>1</v>
          </cell>
          <cell r="H2096">
            <v>0</v>
          </cell>
          <cell r="O2096">
            <v>377306</v>
          </cell>
          <cell r="P2096" t="str">
            <v>2023/331-0029-01</v>
          </cell>
          <cell r="Q2096" t="str">
            <v>EST MESA CENTRO ARGOLA (B) (CORTEN) (MAD A JEQ 03)</v>
          </cell>
          <cell r="R2096"/>
          <cell r="S2096"/>
          <cell r="T2096">
            <v>1</v>
          </cell>
          <cell r="U2096">
            <v>0</v>
          </cell>
          <cell r="V2096">
            <v>0.35</v>
          </cell>
          <cell r="W2096">
            <v>1</v>
          </cell>
          <cell r="X2096" t="str">
            <v>EST MESA CENTRO ARGOLA (B) (CORTEN) (MAD A JEQ 03) - Ø1x0,35H</v>
          </cell>
          <cell r="Y2096">
            <v>18584.07</v>
          </cell>
          <cell r="Z2096">
            <v>0.35</v>
          </cell>
          <cell r="AA2096">
            <v>12079.645500000001</v>
          </cell>
          <cell r="AB2096"/>
        </row>
        <row r="2097">
          <cell r="C2097">
            <v>0</v>
          </cell>
          <cell r="D2097">
            <v>0</v>
          </cell>
          <cell r="E2097">
            <v>0</v>
          </cell>
          <cell r="F2097">
            <v>2</v>
          </cell>
          <cell r="H2097">
            <v>0</v>
          </cell>
          <cell r="O2097">
            <v>388709</v>
          </cell>
          <cell r="P2097" t="str">
            <v>2024/239-0107-01</v>
          </cell>
          <cell r="Q2097" t="str">
            <v>EST BANCO TOTI (MAD A TAUARI ENV) TELA SEXTAVADA TINGIDA</v>
          </cell>
          <cell r="R2097"/>
          <cell r="S2097"/>
          <cell r="T2097">
            <v>0.44</v>
          </cell>
          <cell r="U2097">
            <v>0.44</v>
          </cell>
          <cell r="V2097">
            <v>0.44</v>
          </cell>
          <cell r="W2097">
            <v>0</v>
          </cell>
          <cell r="X2097" t="str">
            <v>EST BANCO TOTI (MAD A TAUARI ENV) TELA SEXTAVADA TINGIDA - 0,44x0,44x0,44H</v>
          </cell>
          <cell r="Y2097">
            <v>4847.2299999999996</v>
          </cell>
          <cell r="Z2097">
            <v>0.35</v>
          </cell>
          <cell r="AA2097">
            <v>3150.6994999999997</v>
          </cell>
          <cell r="AB2097"/>
        </row>
        <row r="2098">
          <cell r="C2098">
            <v>0</v>
          </cell>
          <cell r="D2098">
            <v>0</v>
          </cell>
          <cell r="E2098">
            <v>0</v>
          </cell>
          <cell r="F2098">
            <v>2</v>
          </cell>
          <cell r="H2098">
            <v>0</v>
          </cell>
          <cell r="O2098">
            <v>388709</v>
          </cell>
          <cell r="P2098" t="str">
            <v>2024/239-0108-01</v>
          </cell>
          <cell r="Q2098" t="str">
            <v>EST BANCO TOTI (MAD A TAUARI ENV) TELA SEXTAVADA TINGIDA</v>
          </cell>
          <cell r="R2098"/>
          <cell r="S2098"/>
          <cell r="T2098">
            <v>0.44</v>
          </cell>
          <cell r="U2098">
            <v>0.44</v>
          </cell>
          <cell r="V2098">
            <v>0.44</v>
          </cell>
          <cell r="W2098">
            <v>0</v>
          </cell>
          <cell r="X2098" t="str">
            <v>EST BANCO TOTI (MAD A TAUARI ENV) TELA SEXTAVADA TINGIDA - 0,44x0,44x0,44H</v>
          </cell>
          <cell r="Y2098">
            <v>4847.2299999999996</v>
          </cell>
          <cell r="Z2098">
            <v>0.35</v>
          </cell>
          <cell r="AA2098">
            <v>3150.6994999999997</v>
          </cell>
          <cell r="AB2098"/>
        </row>
        <row r="2099">
          <cell r="C2099">
            <v>0</v>
          </cell>
          <cell r="D2099">
            <v>0</v>
          </cell>
          <cell r="E2099">
            <v>0</v>
          </cell>
          <cell r="F2099">
            <v>1</v>
          </cell>
          <cell r="H2099">
            <v>0</v>
          </cell>
          <cell r="O2099">
            <v>388731</v>
          </cell>
          <cell r="P2099" t="str">
            <v>2024/239-0121-01</v>
          </cell>
          <cell r="Q2099" t="str">
            <v>EST MESA JANTAR MUXA (MAD A MUIRACATIARA PU)</v>
          </cell>
          <cell r="R2099"/>
          <cell r="S2099"/>
          <cell r="T2099">
            <v>1.8</v>
          </cell>
          <cell r="U2099">
            <v>0</v>
          </cell>
          <cell r="V2099">
            <v>0.75</v>
          </cell>
          <cell r="W2099">
            <v>1.8</v>
          </cell>
          <cell r="X2099" t="str">
            <v>EST MESA JANTAR MUXA (MAD A MUIRACATIARA PU) - Ø1,8x0,75H</v>
          </cell>
          <cell r="Y2099">
            <v>51011.43</v>
          </cell>
          <cell r="Z2099">
            <v>0.35</v>
          </cell>
          <cell r="AA2099">
            <v>33157.429499999998</v>
          </cell>
          <cell r="AB2099"/>
        </row>
        <row r="2100">
          <cell r="C2100">
            <v>1</v>
          </cell>
          <cell r="D2100">
            <v>0</v>
          </cell>
          <cell r="E2100">
            <v>0</v>
          </cell>
          <cell r="F2100">
            <v>6</v>
          </cell>
          <cell r="H2100">
            <v>0</v>
          </cell>
          <cell r="O2100">
            <v>312385</v>
          </cell>
          <cell r="P2100" t="str">
            <v>2022/038-0017-01</v>
          </cell>
          <cell r="Q2100" t="str">
            <v>EST CADEIRA VIKY (LOURO ESPECIAL) COURO NOBUCK VERDE</v>
          </cell>
          <cell r="R2100"/>
          <cell r="S2100"/>
          <cell r="T2100">
            <v>0.53</v>
          </cell>
          <cell r="U2100">
            <v>0.59</v>
          </cell>
          <cell r="V2100">
            <v>0.83</v>
          </cell>
          <cell r="W2100">
            <v>0</v>
          </cell>
          <cell r="X2100" t="str">
            <v>EST CADEIRA VIKY (LOURO ESPECIAL) COURO NOBUCK VERDE - 0,53x0,59x0,83H</v>
          </cell>
          <cell r="Y2100">
            <v>9717.57</v>
          </cell>
          <cell r="Z2100">
            <v>0.35</v>
          </cell>
          <cell r="AA2100">
            <v>6316.4205000000002</v>
          </cell>
          <cell r="AB2100"/>
        </row>
        <row r="2101">
          <cell r="C2101">
            <v>1</v>
          </cell>
          <cell r="D2101">
            <v>0</v>
          </cell>
          <cell r="E2101">
            <v>0</v>
          </cell>
          <cell r="F2101">
            <v>6</v>
          </cell>
          <cell r="H2101">
            <v>0</v>
          </cell>
          <cell r="O2101">
            <v>312385</v>
          </cell>
          <cell r="P2101" t="str">
            <v>2022/038-0019-01</v>
          </cell>
          <cell r="Q2101" t="str">
            <v>EST CADEIRA VIKY (LOURO ESPECIAL) COURO NOBUCK VERDE</v>
          </cell>
          <cell r="R2101"/>
          <cell r="S2101"/>
          <cell r="T2101">
            <v>0.53</v>
          </cell>
          <cell r="U2101">
            <v>0.59</v>
          </cell>
          <cell r="V2101">
            <v>0.83</v>
          </cell>
          <cell r="W2101">
            <v>0</v>
          </cell>
          <cell r="X2101" t="str">
            <v>EST CADEIRA VIKY (LOURO ESPECIAL) COURO NOBUCK VERDE - 0,53x0,59x0,83H</v>
          </cell>
          <cell r="Y2101">
            <v>9717.57</v>
          </cell>
          <cell r="Z2101">
            <v>0.35</v>
          </cell>
          <cell r="AA2101">
            <v>6316.4205000000002</v>
          </cell>
          <cell r="AB2101"/>
        </row>
        <row r="2102">
          <cell r="C2102">
            <v>1</v>
          </cell>
          <cell r="D2102">
            <v>0</v>
          </cell>
          <cell r="E2102">
            <v>0</v>
          </cell>
          <cell r="F2102">
            <v>6</v>
          </cell>
          <cell r="H2102">
            <v>0</v>
          </cell>
          <cell r="O2102">
            <v>312385</v>
          </cell>
          <cell r="P2102" t="str">
            <v>2022/038-0020-01</v>
          </cell>
          <cell r="Q2102" t="str">
            <v>EST CADEIRA VIKY (LOURO ESPECIAL) COURO NOBUCK VERDE</v>
          </cell>
          <cell r="R2102"/>
          <cell r="S2102"/>
          <cell r="T2102">
            <v>0.53</v>
          </cell>
          <cell r="U2102">
            <v>0.59</v>
          </cell>
          <cell r="V2102">
            <v>0.83</v>
          </cell>
          <cell r="W2102">
            <v>0</v>
          </cell>
          <cell r="X2102" t="str">
            <v>EST CADEIRA VIKY (LOURO ESPECIAL) COURO NOBUCK VERDE - 0,53x0,59x0,83H</v>
          </cell>
          <cell r="Y2102">
            <v>9717.57</v>
          </cell>
          <cell r="Z2102">
            <v>0.35</v>
          </cell>
          <cell r="AA2102">
            <v>6316.4205000000002</v>
          </cell>
          <cell r="AB2102"/>
        </row>
        <row r="2103">
          <cell r="C2103">
            <v>1</v>
          </cell>
          <cell r="D2103">
            <v>0</v>
          </cell>
          <cell r="E2103">
            <v>0</v>
          </cell>
          <cell r="F2103">
            <v>6</v>
          </cell>
          <cell r="H2103">
            <v>0</v>
          </cell>
          <cell r="O2103">
            <v>312385</v>
          </cell>
          <cell r="P2103" t="str">
            <v>2022/038-0024-01</v>
          </cell>
          <cell r="Q2103" t="str">
            <v>EST CADEIRA VIKY (LOURO ESPECIAL) COURO NOBUCK VERDE</v>
          </cell>
          <cell r="R2103"/>
          <cell r="S2103"/>
          <cell r="T2103">
            <v>0.53</v>
          </cell>
          <cell r="U2103">
            <v>0.59</v>
          </cell>
          <cell r="V2103">
            <v>0.83</v>
          </cell>
          <cell r="W2103">
            <v>0</v>
          </cell>
          <cell r="X2103" t="str">
            <v>EST CADEIRA VIKY (LOURO ESPECIAL) COURO NOBUCK VERDE - 0,53x0,59x0,83H</v>
          </cell>
          <cell r="Y2103">
            <v>9717.57</v>
          </cell>
          <cell r="Z2103">
            <v>0.35</v>
          </cell>
          <cell r="AA2103">
            <v>6316.4205000000002</v>
          </cell>
          <cell r="AB2103"/>
        </row>
        <row r="2104">
          <cell r="C2104">
            <v>0</v>
          </cell>
          <cell r="D2104">
            <v>0</v>
          </cell>
          <cell r="E2104">
            <v>0</v>
          </cell>
          <cell r="F2104">
            <v>1</v>
          </cell>
          <cell r="H2104">
            <v>6</v>
          </cell>
          <cell r="O2104">
            <v>336546</v>
          </cell>
          <cell r="P2104" t="str">
            <v>2022/248-0007-01</v>
          </cell>
          <cell r="Q2104" t="str">
            <v>EST CADEIRA NINA (MAD B LOURO ESP) 74 CAMEL/SEXT NAT</v>
          </cell>
          <cell r="R2104"/>
          <cell r="S2104"/>
          <cell r="T2104">
            <v>0.5</v>
          </cell>
          <cell r="U2104">
            <v>0.61</v>
          </cell>
          <cell r="V2104">
            <v>0.88</v>
          </cell>
          <cell r="W2104">
            <v>0</v>
          </cell>
          <cell r="X2104" t="str">
            <v>EST CADEIRA NINA (MAD B LOURO ESP) 74 CAMEL/SEXT NAT - 0,5x0,61x0,88H</v>
          </cell>
          <cell r="Y2104">
            <v>10068.620000000001</v>
          </cell>
          <cell r="Z2104">
            <v>0.5</v>
          </cell>
          <cell r="AA2104">
            <v>5034.3100000000004</v>
          </cell>
          <cell r="AB2104"/>
        </row>
        <row r="2105">
          <cell r="C2105">
            <v>0</v>
          </cell>
          <cell r="D2105">
            <v>1</v>
          </cell>
          <cell r="E2105">
            <v>0</v>
          </cell>
          <cell r="F2105">
            <v>1</v>
          </cell>
          <cell r="H2105">
            <v>0</v>
          </cell>
          <cell r="O2105">
            <v>223591</v>
          </cell>
          <cell r="P2105" t="str">
            <v>2021/054-0047-01</v>
          </cell>
          <cell r="Q2105" t="str">
            <v>EST LUMINARIA CATAVENTO (INOX ENV) (MAD B LOURO ESP)</v>
          </cell>
          <cell r="R2105"/>
          <cell r="S2105"/>
          <cell r="T2105">
            <v>0.47</v>
          </cell>
          <cell r="U2105">
            <v>0.22</v>
          </cell>
          <cell r="V2105">
            <v>0.34</v>
          </cell>
          <cell r="W2105">
            <v>0</v>
          </cell>
          <cell r="X2105" t="str">
            <v>EST LUMINARIA CATAVENTO (INOX ENV) (MAD B LOURO ESP) - 0,47x0,22x0,34H</v>
          </cell>
          <cell r="Y2105">
            <v>10628.31</v>
          </cell>
          <cell r="Z2105">
            <v>0.5</v>
          </cell>
          <cell r="AA2105">
            <v>5314.1549999999997</v>
          </cell>
          <cell r="AB2105"/>
        </row>
        <row r="2106">
          <cell r="C2106">
            <v>1</v>
          </cell>
          <cell r="D2106">
            <v>1</v>
          </cell>
          <cell r="E2106">
            <v>0</v>
          </cell>
          <cell r="F2106">
            <v>0</v>
          </cell>
          <cell r="H2106">
            <v>0</v>
          </cell>
          <cell r="O2106">
            <v>238227</v>
          </cell>
          <cell r="P2106" t="str">
            <v>2019/191-0054-01</v>
          </cell>
          <cell r="Q2106" t="str">
            <v>EST BUFFET QUADROS (MAD A JQUIT 03) (INOX ENV) CH 07</v>
          </cell>
          <cell r="R2106"/>
          <cell r="S2106"/>
          <cell r="T2106">
            <v>2.6</v>
          </cell>
          <cell r="U2106">
            <v>0.55000000000000004</v>
          </cell>
          <cell r="V2106">
            <v>0.75</v>
          </cell>
          <cell r="W2106">
            <v>0</v>
          </cell>
          <cell r="X2106" t="str">
            <v>EST BUFFET QUADROS (MAD A JQUIT 03) (INOX ENV) CH 07 - 2,6x0,55x0,75H</v>
          </cell>
          <cell r="Y2106">
            <v>66059.88</v>
          </cell>
          <cell r="Z2106">
            <v>0.35</v>
          </cell>
          <cell r="AA2106">
            <v>42938.922000000006</v>
          </cell>
          <cell r="AB2106"/>
        </row>
        <row r="2107">
          <cell r="C2107">
            <v>0</v>
          </cell>
          <cell r="D2107">
            <v>2</v>
          </cell>
          <cell r="E2107">
            <v>0</v>
          </cell>
          <cell r="F2107">
            <v>0</v>
          </cell>
          <cell r="H2107">
            <v>0</v>
          </cell>
          <cell r="O2107">
            <v>377310</v>
          </cell>
          <cell r="P2107" t="str">
            <v>2023/331-0034-01</v>
          </cell>
          <cell r="Q2107" t="str">
            <v>EST POLTRONA SALVADOR (MAD B TECA NATE) TC LUZZI 623</v>
          </cell>
          <cell r="R2107"/>
          <cell r="S2107"/>
          <cell r="T2107">
            <v>0.7</v>
          </cell>
          <cell r="U2107">
            <v>0.66</v>
          </cell>
          <cell r="V2107">
            <v>0.7</v>
          </cell>
          <cell r="W2107">
            <v>0</v>
          </cell>
          <cell r="X2107" t="str">
            <v>EST POLTRONA SALVADOR (MAD B TECA NATE) TC LUZZI 623 - 0,7x0,66x0,7H</v>
          </cell>
          <cell r="Y2107">
            <v>19829.38</v>
          </cell>
          <cell r="Z2107">
            <v>0.35</v>
          </cell>
          <cell r="AA2107">
            <v>12889.097000000002</v>
          </cell>
          <cell r="AB2107"/>
        </row>
        <row r="2108">
          <cell r="C2108">
            <v>0</v>
          </cell>
          <cell r="D2108">
            <v>2</v>
          </cell>
          <cell r="E2108">
            <v>0</v>
          </cell>
          <cell r="F2108">
            <v>0</v>
          </cell>
          <cell r="H2108">
            <v>0</v>
          </cell>
          <cell r="O2108">
            <v>377310</v>
          </cell>
          <cell r="P2108" t="str">
            <v>2023/331-0035-01</v>
          </cell>
          <cell r="Q2108" t="str">
            <v>EST POLTRONA SALVADOR (MAD B TECA NATE) TC LUZZI 623</v>
          </cell>
          <cell r="R2108"/>
          <cell r="S2108"/>
          <cell r="T2108">
            <v>0.7</v>
          </cell>
          <cell r="U2108">
            <v>0.66</v>
          </cell>
          <cell r="V2108">
            <v>0.7</v>
          </cell>
          <cell r="W2108">
            <v>0</v>
          </cell>
          <cell r="X2108" t="str">
            <v>EST POLTRONA SALVADOR (MAD B TECA NATE) TC LUZZI 623 - 0,7x0,66x0,7H</v>
          </cell>
          <cell r="Y2108">
            <v>19829.38</v>
          </cell>
          <cell r="Z2108">
            <v>0.35</v>
          </cell>
          <cell r="AA2108">
            <v>12889.097000000002</v>
          </cell>
          <cell r="AB2108"/>
        </row>
        <row r="2109">
          <cell r="C2109">
            <v>0</v>
          </cell>
          <cell r="D2109">
            <v>2</v>
          </cell>
          <cell r="E2109">
            <v>0</v>
          </cell>
          <cell r="F2109">
            <v>0</v>
          </cell>
          <cell r="H2109">
            <v>0</v>
          </cell>
          <cell r="O2109">
            <v>387779</v>
          </cell>
          <cell r="P2109" t="str">
            <v>2024/197-0113-01</v>
          </cell>
          <cell r="Q2109" t="str">
            <v>EST POLTRONA LUAR (MAD A JEQ 03) TC OGGI COR 157</v>
          </cell>
          <cell r="R2109"/>
          <cell r="S2109"/>
          <cell r="T2109">
            <v>0.94</v>
          </cell>
          <cell r="U2109">
            <v>0.92</v>
          </cell>
          <cell r="V2109">
            <v>0.74</v>
          </cell>
          <cell r="W2109">
            <v>0</v>
          </cell>
          <cell r="X2109" t="str">
            <v>EST POLTRONA LUAR (MAD A JEQ 03) TC OGGI COR 157 - 0,94x0,92x0,74H</v>
          </cell>
          <cell r="Y2109">
            <v>30869.75</v>
          </cell>
          <cell r="Z2109">
            <v>0.35</v>
          </cell>
          <cell r="AA2109">
            <v>20065.337500000001</v>
          </cell>
          <cell r="AB2109"/>
        </row>
        <row r="2110">
          <cell r="C2110">
            <v>0</v>
          </cell>
          <cell r="D2110">
            <v>2</v>
          </cell>
          <cell r="E2110">
            <v>0</v>
          </cell>
          <cell r="F2110">
            <v>0</v>
          </cell>
          <cell r="H2110">
            <v>0</v>
          </cell>
          <cell r="O2110">
            <v>387779</v>
          </cell>
          <cell r="P2110" t="str">
            <v>2024/197-0114-01</v>
          </cell>
          <cell r="Q2110" t="str">
            <v>EST POLTRONA LUAR (MAD A JEQ 03) TC OGGI COR 157</v>
          </cell>
          <cell r="R2110"/>
          <cell r="S2110"/>
          <cell r="T2110">
            <v>0.94</v>
          </cell>
          <cell r="U2110">
            <v>0.92</v>
          </cell>
          <cell r="V2110">
            <v>0.74</v>
          </cell>
          <cell r="W2110">
            <v>0</v>
          </cell>
          <cell r="X2110" t="str">
            <v>EST POLTRONA LUAR (MAD A JEQ 03) TC OGGI COR 157 - 0,94x0,92x0,74H</v>
          </cell>
          <cell r="Y2110">
            <v>30869.75</v>
          </cell>
          <cell r="Z2110">
            <v>0.35</v>
          </cell>
          <cell r="AA2110">
            <v>20065.337500000001</v>
          </cell>
          <cell r="AB2110"/>
        </row>
        <row r="2111">
          <cell r="C2111">
            <v>0</v>
          </cell>
          <cell r="D2111">
            <v>1</v>
          </cell>
          <cell r="E2111">
            <v>0</v>
          </cell>
          <cell r="F2111">
            <v>0</v>
          </cell>
          <cell r="H2111">
            <v>0</v>
          </cell>
          <cell r="O2111">
            <v>336698</v>
          </cell>
          <cell r="P2111" t="str">
            <v>2022/251-0010-01</v>
          </cell>
          <cell r="Q2111" t="str">
            <v>EST MESA LATERAL LUSA (OBL CER AZUL) (MAD B FREIJO NT)</v>
          </cell>
          <cell r="R2111"/>
          <cell r="S2111"/>
          <cell r="T2111">
            <v>0.51</v>
          </cell>
          <cell r="U2111">
            <v>0.28000000000000003</v>
          </cell>
          <cell r="V2111">
            <v>0.62</v>
          </cell>
          <cell r="W2111">
            <v>0</v>
          </cell>
          <cell r="X2111" t="str">
            <v>EST MESA LATERAL LUSA (OBL CER AZUL) (MAD B FREIJO NT) - 0,51x0,28x0,62H</v>
          </cell>
          <cell r="Y2111">
            <v>15286.811999999998</v>
          </cell>
          <cell r="Z2111">
            <v>0.35</v>
          </cell>
          <cell r="AA2111">
            <v>9936.4277999999995</v>
          </cell>
          <cell r="AB2111"/>
        </row>
        <row r="2112">
          <cell r="C2112">
            <v>0</v>
          </cell>
          <cell r="D2112">
            <v>1</v>
          </cell>
          <cell r="E2112">
            <v>0</v>
          </cell>
          <cell r="F2112">
            <v>0</v>
          </cell>
          <cell r="H2112">
            <v>0</v>
          </cell>
          <cell r="O2112">
            <v>238168</v>
          </cell>
          <cell r="P2112" t="str">
            <v>2019/205-0022-01</v>
          </cell>
          <cell r="Q2112" t="str">
            <v>EST MESA CENTRO ARGOLA (C) (CORTEN) (MAD A JEQ 03)</v>
          </cell>
          <cell r="R2112"/>
          <cell r="S2112"/>
          <cell r="T2112">
            <v>0.6</v>
          </cell>
          <cell r="U2112">
            <v>0</v>
          </cell>
          <cell r="V2112">
            <v>0.45</v>
          </cell>
          <cell r="W2112">
            <v>0.6</v>
          </cell>
          <cell r="X2112" t="str">
            <v>EST MESA CENTRO ARGOLA (C) (CORTEN) (MAD A JEQ 03) - Ø0,6x0,45H</v>
          </cell>
          <cell r="Y2112">
            <v>12941.33</v>
          </cell>
          <cell r="Z2112">
            <v>0.35</v>
          </cell>
          <cell r="AA2112">
            <v>8411.8644999999997</v>
          </cell>
          <cell r="AB2112"/>
        </row>
        <row r="2113">
          <cell r="C2113">
            <v>1</v>
          </cell>
          <cell r="D2113">
            <v>1</v>
          </cell>
          <cell r="E2113">
            <v>0</v>
          </cell>
          <cell r="F2113">
            <v>0</v>
          </cell>
          <cell r="H2113">
            <v>0</v>
          </cell>
          <cell r="O2113">
            <v>238169</v>
          </cell>
          <cell r="P2113" t="str">
            <v>2019/205-0023-01</v>
          </cell>
          <cell r="Q2113" t="str">
            <v>EST MESA CENTRO ARGOLA (D) (TP EBNZ) (MAD A CINAM EBNZ)</v>
          </cell>
          <cell r="R2113"/>
          <cell r="S2113"/>
          <cell r="T2113">
            <v>0.4</v>
          </cell>
          <cell r="U2113">
            <v>0</v>
          </cell>
          <cell r="V2113">
            <v>0.55000000000000004</v>
          </cell>
          <cell r="W2113">
            <v>0.4</v>
          </cell>
          <cell r="X2113" t="str">
            <v>EST MESA CENTRO ARGOLA (D) (TP EBNZ) (MAD A CINAM EBNZ) - Ø0,4x0,55H</v>
          </cell>
          <cell r="Y2113">
            <v>8940.56</v>
          </cell>
          <cell r="Z2113">
            <v>0.35</v>
          </cell>
          <cell r="AA2113">
            <v>5811.3639999999996</v>
          </cell>
          <cell r="AB2113"/>
        </row>
        <row r="2114">
          <cell r="C2114">
            <v>0</v>
          </cell>
          <cell r="D2114">
            <v>1</v>
          </cell>
          <cell r="E2114">
            <v>0</v>
          </cell>
          <cell r="F2114">
            <v>0</v>
          </cell>
          <cell r="H2114">
            <v>0</v>
          </cell>
          <cell r="O2114">
            <v>335097</v>
          </cell>
          <cell r="P2114" t="str">
            <v>2022/230-0009-01</v>
          </cell>
          <cell r="Q2114" t="str">
            <v>EST CADEIRA PAX OFFICE MISTA (FREIJO NERO) TC 11202-304</v>
          </cell>
          <cell r="R2114"/>
          <cell r="S2114"/>
          <cell r="T2114">
            <v>0.61</v>
          </cell>
          <cell r="U2114">
            <v>0.57999999999999996</v>
          </cell>
          <cell r="V2114">
            <v>0.89</v>
          </cell>
          <cell r="W2114">
            <v>0</v>
          </cell>
          <cell r="X2114" t="str">
            <v>EST CADEIRA PAX OFFICE MISTA (FREIJO NERO) TC 11202-304 - 0,61x0,58x0,89H</v>
          </cell>
          <cell r="Y2114">
            <v>23694.94</v>
          </cell>
          <cell r="Z2114">
            <v>0.35</v>
          </cell>
          <cell r="AA2114">
            <v>15401.710999999999</v>
          </cell>
          <cell r="AB2114"/>
        </row>
        <row r="2115">
          <cell r="C2115">
            <v>0</v>
          </cell>
          <cell r="D2115">
            <v>1</v>
          </cell>
          <cell r="E2115">
            <v>0</v>
          </cell>
          <cell r="F2115">
            <v>0</v>
          </cell>
          <cell r="H2115">
            <v>0</v>
          </cell>
          <cell r="O2115">
            <v>336648</v>
          </cell>
          <cell r="P2115" t="str">
            <v>2022/244-0009-01</v>
          </cell>
          <cell r="Q2115" t="str">
            <v>EST FRUTEIRA CHIE (MOD 01) (MAD B TECA NATURALLE)</v>
          </cell>
          <cell r="R2115"/>
          <cell r="S2115"/>
          <cell r="T2115">
            <v>0.19</v>
          </cell>
          <cell r="U2115">
            <v>0</v>
          </cell>
          <cell r="V2115">
            <v>0.35</v>
          </cell>
          <cell r="W2115">
            <v>0.19</v>
          </cell>
          <cell r="X2115" t="str">
            <v>EST FRUTEIRA CHIE (MOD 01) (MAD B TECA NATURALLE) - Ø0,19x0,35H</v>
          </cell>
          <cell r="Y2115">
            <v>3219.15</v>
          </cell>
          <cell r="Z2115">
            <v>0.35</v>
          </cell>
          <cell r="AA2115">
            <v>2092.4475000000002</v>
          </cell>
          <cell r="AB2115"/>
        </row>
        <row r="2116">
          <cell r="C2116">
            <v>1</v>
          </cell>
          <cell r="D2116">
            <v>1</v>
          </cell>
          <cell r="E2116">
            <v>0</v>
          </cell>
          <cell r="F2116">
            <v>0</v>
          </cell>
          <cell r="H2116">
            <v>0</v>
          </cell>
          <cell r="O2116">
            <v>336649</v>
          </cell>
          <cell r="P2116" t="str">
            <v>2022/244-0051-01</v>
          </cell>
          <cell r="Q2116" t="str">
            <v>EST FRUTEIRA CHIE (MOD 02) (MAD B TECA NATURAL PU)</v>
          </cell>
          <cell r="R2116"/>
          <cell r="S2116"/>
          <cell r="T2116">
            <v>0.25</v>
          </cell>
          <cell r="U2116">
            <v>0</v>
          </cell>
          <cell r="V2116">
            <v>0.28999999999999998</v>
          </cell>
          <cell r="W2116">
            <v>0.25</v>
          </cell>
          <cell r="X2116" t="str">
            <v>EST FRUTEIRA CHIE (MOD 02) (MAD B TECA NATURAL PU) - Ø0,25x0,29H</v>
          </cell>
          <cell r="Y2116">
            <v>3788.06</v>
          </cell>
          <cell r="Z2116">
            <v>0.35</v>
          </cell>
          <cell r="AA2116">
            <v>2462.239</v>
          </cell>
          <cell r="AB2116"/>
        </row>
        <row r="2117">
          <cell r="C2117">
            <v>0</v>
          </cell>
          <cell r="D2117">
            <v>1</v>
          </cell>
          <cell r="E2117">
            <v>0</v>
          </cell>
          <cell r="F2117">
            <v>0</v>
          </cell>
          <cell r="H2117">
            <v>0</v>
          </cell>
          <cell r="O2117">
            <v>336737</v>
          </cell>
          <cell r="P2117" t="str">
            <v>2022/230-0040-01</v>
          </cell>
          <cell r="Q2117" t="str">
            <v>EST FRUTEIRA CHIE (MOD 03) (MAD B FREIJO CASTANHO)</v>
          </cell>
          <cell r="R2117"/>
          <cell r="S2117"/>
          <cell r="T2117">
            <v>0.28999999999999998</v>
          </cell>
          <cell r="U2117">
            <v>0</v>
          </cell>
          <cell r="V2117">
            <v>0.28999999999999998</v>
          </cell>
          <cell r="W2117">
            <v>0.39</v>
          </cell>
          <cell r="X2117" t="str">
            <v>EST FRUTEIRA CHIE (MOD 03) (MAD B FREIJO CASTANHO) - Ø0,39x0,29H</v>
          </cell>
          <cell r="Y2117">
            <v>4546.62</v>
          </cell>
          <cell r="Z2117">
            <v>0.35</v>
          </cell>
          <cell r="AA2117">
            <v>2955.3029999999999</v>
          </cell>
          <cell r="AB2117"/>
        </row>
        <row r="2118">
          <cell r="C2118">
            <v>0</v>
          </cell>
          <cell r="D2118">
            <v>1</v>
          </cell>
          <cell r="E2118">
            <v>0</v>
          </cell>
          <cell r="F2118">
            <v>0</v>
          </cell>
          <cell r="H2118">
            <v>0</v>
          </cell>
          <cell r="O2118">
            <v>336739</v>
          </cell>
          <cell r="P2118" t="str">
            <v>2022/223-0056-01</v>
          </cell>
          <cell r="Q2118" t="str">
            <v>EST MESA LATERAL LUSA (OBL CER BEGE) (MAD B TECA NT)</v>
          </cell>
          <cell r="R2118"/>
          <cell r="S2118"/>
          <cell r="T2118">
            <v>0.51</v>
          </cell>
          <cell r="U2118">
            <v>0.28000000000000003</v>
          </cell>
          <cell r="V2118">
            <v>0.62</v>
          </cell>
          <cell r="W2118">
            <v>0</v>
          </cell>
          <cell r="X2118" t="str">
            <v>EST MESA LATERAL LUSA (OBL CER BEGE) (MAD B TECA NT) - 0,51x0,28x0,62H</v>
          </cell>
          <cell r="Y2118">
            <v>13292.88</v>
          </cell>
          <cell r="Z2118">
            <v>0.35</v>
          </cell>
          <cell r="AA2118">
            <v>8640.3719999999994</v>
          </cell>
          <cell r="AB2118"/>
        </row>
        <row r="2119">
          <cell r="C2119">
            <v>1</v>
          </cell>
          <cell r="D2119">
            <v>1</v>
          </cell>
          <cell r="E2119">
            <v>0</v>
          </cell>
          <cell r="F2119">
            <v>0</v>
          </cell>
          <cell r="H2119">
            <v>1</v>
          </cell>
          <cell r="O2119">
            <v>120741</v>
          </cell>
          <cell r="P2119" t="str">
            <v>1012/303-0006-01</v>
          </cell>
          <cell r="Q2119" t="str">
            <v>EST BANQUETA BAR CHICAGO (TELA DUP) (CATUABA AVELA)</v>
          </cell>
          <cell r="R2119"/>
          <cell r="S2119"/>
          <cell r="T2119">
            <v>0.45</v>
          </cell>
          <cell r="U2119">
            <v>0.49</v>
          </cell>
          <cell r="V2119">
            <v>1.03</v>
          </cell>
          <cell r="W2119">
            <v>0</v>
          </cell>
          <cell r="X2119" t="str">
            <v>EST BANQUETA BAR CHICAGO (TELA DUP) (CATUABA AVELA) - 0,45x0,49x1,03H</v>
          </cell>
          <cell r="Y2119">
            <v>3592.7</v>
          </cell>
          <cell r="Z2119">
            <v>0.5</v>
          </cell>
          <cell r="AA2119">
            <v>1796.35</v>
          </cell>
          <cell r="AB2119"/>
        </row>
        <row r="2120">
          <cell r="C2120">
            <v>0</v>
          </cell>
          <cell r="D2120">
            <v>1</v>
          </cell>
          <cell r="E2120">
            <v>0</v>
          </cell>
          <cell r="F2120">
            <v>0</v>
          </cell>
          <cell r="H2120">
            <v>0</v>
          </cell>
          <cell r="O2120">
            <v>223610</v>
          </cell>
          <cell r="P2120" t="str">
            <v>2020/069-0092-01</v>
          </cell>
          <cell r="Q2120" t="str">
            <v>EST HOME ORION (25MM) (MAD B FREIJO NT)</v>
          </cell>
          <cell r="R2120"/>
          <cell r="S2120"/>
          <cell r="T2120">
            <v>2.6</v>
          </cell>
          <cell r="U2120">
            <v>0.5</v>
          </cell>
          <cell r="V2120">
            <v>0.55000000000000004</v>
          </cell>
          <cell r="W2120">
            <v>0</v>
          </cell>
          <cell r="X2120" t="str">
            <v>EST HOME ORION (25MM) (MAD B FREIJO NT) - 2,6x0,5x0,55H</v>
          </cell>
          <cell r="Y2120">
            <v>44600.49</v>
          </cell>
          <cell r="Z2120">
            <v>0.5</v>
          </cell>
          <cell r="AA2120">
            <v>22300.244999999999</v>
          </cell>
          <cell r="AB2120"/>
        </row>
        <row r="2121">
          <cell r="C2121">
            <v>0</v>
          </cell>
          <cell r="D2121">
            <v>1</v>
          </cell>
          <cell r="E2121">
            <v>0</v>
          </cell>
          <cell r="F2121">
            <v>0</v>
          </cell>
          <cell r="H2121">
            <v>0</v>
          </cell>
          <cell r="O2121">
            <v>274418</v>
          </cell>
          <cell r="P2121" t="str">
            <v>2021/032-0084-01</v>
          </cell>
          <cell r="Q2121" t="str">
            <v>EST MESA CENTRO ARGOLA (B) (TP VAQ 151) (CUMARU) INOX ENV</v>
          </cell>
          <cell r="R2121"/>
          <cell r="S2121"/>
          <cell r="T2121">
            <v>1</v>
          </cell>
          <cell r="U2121">
            <v>0</v>
          </cell>
          <cell r="V2121">
            <v>0.35</v>
          </cell>
          <cell r="W2121">
            <v>1</v>
          </cell>
          <cell r="X2121" t="str">
            <v>EST MESA CENTRO ARGOLA (B) (TP VAQ 151) (CUMARU) INOX ENV - Ø1x0,35H</v>
          </cell>
          <cell r="Y2121">
            <v>22176.31</v>
          </cell>
          <cell r="Z2121">
            <v>0.5</v>
          </cell>
          <cell r="AA2121">
            <v>11088.155000000001</v>
          </cell>
          <cell r="AB2121"/>
        </row>
        <row r="2122">
          <cell r="C2122">
            <v>0</v>
          </cell>
          <cell r="D2122">
            <v>1</v>
          </cell>
          <cell r="E2122">
            <v>0</v>
          </cell>
          <cell r="F2122">
            <v>0</v>
          </cell>
          <cell r="H2122">
            <v>0</v>
          </cell>
          <cell r="O2122">
            <v>334177</v>
          </cell>
          <cell r="P2122" t="str">
            <v>2022/203-0041-01</v>
          </cell>
          <cell r="Q2122" t="str">
            <v>EST MESA CENTRO ARGOLA (D) (COURO CAFE) (MAD A CINAM NOG)</v>
          </cell>
          <cell r="R2122"/>
          <cell r="S2122"/>
          <cell r="T2122">
            <v>0.4</v>
          </cell>
          <cell r="U2122">
            <v>0</v>
          </cell>
          <cell r="V2122">
            <v>0.55000000000000004</v>
          </cell>
          <cell r="W2122">
            <v>0.4</v>
          </cell>
          <cell r="X2122" t="str">
            <v>EST MESA CENTRO ARGOLA (D) (COURO CAFE) (MAD A CINAM NOG) - Ø0,4x0,55H</v>
          </cell>
          <cell r="Y2122">
            <v>10397.450000000001</v>
          </cell>
          <cell r="Z2122">
            <v>0.5</v>
          </cell>
          <cell r="AA2122">
            <v>5198.7250000000004</v>
          </cell>
          <cell r="AB2122"/>
        </row>
        <row r="2123">
          <cell r="C2123">
            <v>0</v>
          </cell>
          <cell r="D2123">
            <v>4</v>
          </cell>
          <cell r="E2123">
            <v>0</v>
          </cell>
          <cell r="F2123">
            <v>0</v>
          </cell>
          <cell r="H2123">
            <v>0</v>
          </cell>
          <cell r="O2123">
            <v>336729</v>
          </cell>
          <cell r="P2123" t="str">
            <v>2022/223-0049-01</v>
          </cell>
          <cell r="Q2123" t="str">
            <v>EST BANQUETA BAR PLIE (MAD A TAUARI ENV) COURO 74 CAMEL</v>
          </cell>
          <cell r="R2123"/>
          <cell r="S2123"/>
          <cell r="T2123">
            <v>0.47</v>
          </cell>
          <cell r="U2123">
            <v>0.56999999999999995</v>
          </cell>
          <cell r="V2123">
            <v>1.03</v>
          </cell>
          <cell r="W2123">
            <v>0</v>
          </cell>
          <cell r="X2123" t="str">
            <v>EST BANQUETA BAR PLIE (MAD A TAUARI ENV) COURO 74 CAMEL - 0,47x0,57x1,03H</v>
          </cell>
          <cell r="Y2123">
            <v>15071.35</v>
          </cell>
          <cell r="Z2123">
            <v>0.5</v>
          </cell>
          <cell r="AA2123">
            <v>7535.6750000000002</v>
          </cell>
          <cell r="AB2123"/>
        </row>
        <row r="2124">
          <cell r="C2124">
            <v>0</v>
          </cell>
          <cell r="D2124">
            <v>4</v>
          </cell>
          <cell r="E2124">
            <v>0</v>
          </cell>
          <cell r="F2124">
            <v>0</v>
          </cell>
          <cell r="H2124">
            <v>0</v>
          </cell>
          <cell r="O2124">
            <v>336729</v>
          </cell>
          <cell r="P2124" t="str">
            <v>2022/223-0050-01</v>
          </cell>
          <cell r="Q2124" t="str">
            <v>EST BANQUETA BAR PLIE (MAD A TAUARI ENV) COURO 74 CAMEL</v>
          </cell>
          <cell r="R2124"/>
          <cell r="S2124"/>
          <cell r="T2124">
            <v>0.47</v>
          </cell>
          <cell r="U2124">
            <v>0.56999999999999995</v>
          </cell>
          <cell r="V2124">
            <v>1.03</v>
          </cell>
          <cell r="W2124">
            <v>0</v>
          </cell>
          <cell r="X2124" t="str">
            <v>EST BANQUETA BAR PLIE (MAD A TAUARI ENV) COURO 74 CAMEL - 0,47x0,57x1,03H</v>
          </cell>
          <cell r="Y2124">
            <v>15071.35</v>
          </cell>
          <cell r="Z2124">
            <v>0.5</v>
          </cell>
          <cell r="AA2124">
            <v>7535.6750000000002</v>
          </cell>
          <cell r="AB2124"/>
        </row>
        <row r="2125">
          <cell r="C2125">
            <v>0</v>
          </cell>
          <cell r="D2125">
            <v>4</v>
          </cell>
          <cell r="E2125">
            <v>0</v>
          </cell>
          <cell r="F2125">
            <v>0</v>
          </cell>
          <cell r="H2125">
            <v>0</v>
          </cell>
          <cell r="O2125">
            <v>336729</v>
          </cell>
          <cell r="P2125" t="str">
            <v>2022/223-0051-01</v>
          </cell>
          <cell r="Q2125" t="str">
            <v>EST BANQUETA BAR PLIE (MAD A TAUARI ENV) COURO 74 CAMEL</v>
          </cell>
          <cell r="R2125"/>
          <cell r="S2125"/>
          <cell r="T2125">
            <v>0.47</v>
          </cell>
          <cell r="U2125">
            <v>0.56999999999999995</v>
          </cell>
          <cell r="V2125">
            <v>1.03</v>
          </cell>
          <cell r="W2125">
            <v>0</v>
          </cell>
          <cell r="X2125" t="str">
            <v>EST BANQUETA BAR PLIE (MAD A TAUARI ENV) COURO 74 CAMEL - 0,47x0,57x1,03H</v>
          </cell>
          <cell r="Y2125">
            <v>15071.35</v>
          </cell>
          <cell r="Z2125">
            <v>0.5</v>
          </cell>
          <cell r="AA2125">
            <v>7535.6750000000002</v>
          </cell>
          <cell r="AB2125"/>
        </row>
        <row r="2126">
          <cell r="C2126">
            <v>0</v>
          </cell>
          <cell r="D2126">
            <v>4</v>
          </cell>
          <cell r="E2126">
            <v>0</v>
          </cell>
          <cell r="F2126">
            <v>0</v>
          </cell>
          <cell r="H2126">
            <v>0</v>
          </cell>
          <cell r="O2126">
            <v>336729</v>
          </cell>
          <cell r="P2126" t="str">
            <v>2022/223-0052-01</v>
          </cell>
          <cell r="Q2126" t="str">
            <v>EST BANQUETA BAR PLIE (MAD A TAUARI ENV) COURO 74 CAMEL</v>
          </cell>
          <cell r="R2126"/>
          <cell r="S2126"/>
          <cell r="T2126">
            <v>0.47</v>
          </cell>
          <cell r="U2126">
            <v>0.56999999999999995</v>
          </cell>
          <cell r="V2126">
            <v>1.03</v>
          </cell>
          <cell r="W2126">
            <v>0</v>
          </cell>
          <cell r="X2126" t="str">
            <v>EST BANQUETA BAR PLIE (MAD A TAUARI ENV) COURO 74 CAMEL - 0,47x0,57x1,03H</v>
          </cell>
          <cell r="Y2126">
            <v>15071.35</v>
          </cell>
          <cell r="Z2126">
            <v>0.5</v>
          </cell>
          <cell r="AA2126">
            <v>7535.6750000000002</v>
          </cell>
          <cell r="AB2126"/>
        </row>
        <row r="2127">
          <cell r="C2127">
            <v>0</v>
          </cell>
          <cell r="D2127">
            <v>1</v>
          </cell>
          <cell r="E2127">
            <v>0</v>
          </cell>
          <cell r="F2127">
            <v>1</v>
          </cell>
          <cell r="H2127">
            <v>0</v>
          </cell>
          <cell r="O2127">
            <v>223591</v>
          </cell>
          <cell r="P2127" t="str">
            <v>2020/356-0136-01</v>
          </cell>
          <cell r="Q2127" t="str">
            <v>EST LUMINARIA CATAVENTO (INOX ENV) (MAD B LOURO ESP)</v>
          </cell>
          <cell r="R2127"/>
          <cell r="S2127"/>
          <cell r="T2127">
            <v>0.47</v>
          </cell>
          <cell r="U2127">
            <v>0.22</v>
          </cell>
          <cell r="V2127">
            <v>0.34</v>
          </cell>
          <cell r="W2127">
            <v>0</v>
          </cell>
          <cell r="X2127" t="str">
            <v>EST LUMINARIA CATAVENTO (INOX ENV) (MAD B LOURO ESP) - 0,47x0,22x0,34H</v>
          </cell>
          <cell r="Y2127">
            <v>10628.31</v>
          </cell>
          <cell r="Z2127">
            <v>0.5</v>
          </cell>
          <cell r="AA2127">
            <v>5314.1549999999997</v>
          </cell>
          <cell r="AB2127"/>
        </row>
        <row r="2128">
          <cell r="C2128">
            <v>1</v>
          </cell>
          <cell r="D2128">
            <v>1</v>
          </cell>
          <cell r="E2128">
            <v>0</v>
          </cell>
          <cell r="F2128">
            <v>0</v>
          </cell>
          <cell r="H2128">
            <v>0</v>
          </cell>
          <cell r="O2128">
            <v>238227</v>
          </cell>
          <cell r="P2128" t="str">
            <v>2019/203-0065-01</v>
          </cell>
          <cell r="Q2128" t="str">
            <v>EST BUFFET QUADROS (MAD A JQUIT 03) (INOX ENV) CH 07</v>
          </cell>
          <cell r="R2128"/>
          <cell r="S2128"/>
          <cell r="T2128">
            <v>2.6</v>
          </cell>
          <cell r="U2128">
            <v>0.55000000000000004</v>
          </cell>
          <cell r="V2128">
            <v>0.75</v>
          </cell>
          <cell r="W2128">
            <v>0</v>
          </cell>
          <cell r="X2128" t="str">
            <v>EST BUFFET QUADROS (MAD A JQUIT 03) (INOX ENV) CH 07 - 2,6x0,55x0,75H</v>
          </cell>
          <cell r="Y2128">
            <v>66059.88</v>
          </cell>
          <cell r="Z2128">
            <v>0.5</v>
          </cell>
          <cell r="AA2128">
            <v>33029.94</v>
          </cell>
          <cell r="AB2128"/>
        </row>
        <row r="2129">
          <cell r="C2129">
            <v>1</v>
          </cell>
          <cell r="D2129">
            <v>0</v>
          </cell>
          <cell r="E2129">
            <v>0</v>
          </cell>
          <cell r="F2129">
            <v>0</v>
          </cell>
          <cell r="H2129">
            <v>0</v>
          </cell>
          <cell r="O2129">
            <v>336703</v>
          </cell>
          <cell r="P2129" t="str">
            <v>2022/292-0035-01</v>
          </cell>
          <cell r="Q2129" t="str">
            <v>EST MESA LATERAL LUSA (RED CER BEGE) (MAD B FREIJO NT)</v>
          </cell>
          <cell r="R2129"/>
          <cell r="S2129"/>
          <cell r="T2129">
            <v>0.4</v>
          </cell>
          <cell r="U2129">
            <v>0.45</v>
          </cell>
          <cell r="V2129">
            <v>0.72</v>
          </cell>
          <cell r="W2129">
            <v>0</v>
          </cell>
          <cell r="X2129" t="str">
            <v>EST MESA LATERAL LUSA (RED CER BEGE) (MAD B FREIJO NT) - 0,4x0,45x0,72H</v>
          </cell>
          <cell r="Y2129">
            <v>16169.759</v>
          </cell>
          <cell r="Z2129">
            <v>0.5</v>
          </cell>
          <cell r="AA2129">
            <v>8084.8795</v>
          </cell>
          <cell r="AB2129"/>
        </row>
        <row r="2130">
          <cell r="C2130">
            <v>1</v>
          </cell>
          <cell r="D2130">
            <v>0</v>
          </cell>
          <cell r="E2130">
            <v>0</v>
          </cell>
          <cell r="F2130">
            <v>0</v>
          </cell>
          <cell r="H2130">
            <v>0</v>
          </cell>
          <cell r="O2130">
            <v>113410</v>
          </cell>
          <cell r="P2130" t="str">
            <v>1012/306-2017-01</v>
          </cell>
          <cell r="Q2130" t="str">
            <v>EST LUMINARIA MESA NET (CATUABA AVELUDADA) (CUPULA BCA 110V)</v>
          </cell>
          <cell r="R2130"/>
          <cell r="S2130"/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 t="str">
            <v>EST LUMINARIA MESA NET (CATUABA AVELUDADA) (CUPULA BCA 110V) - Ø0x0H</v>
          </cell>
          <cell r="Y2130">
            <v>9350.73</v>
          </cell>
          <cell r="Z2130">
            <v>0.5</v>
          </cell>
          <cell r="AA2130">
            <v>4675.3649999999998</v>
          </cell>
          <cell r="AB2130"/>
        </row>
        <row r="2131">
          <cell r="C2131">
            <v>1</v>
          </cell>
          <cell r="D2131">
            <v>1</v>
          </cell>
          <cell r="E2131">
            <v>0</v>
          </cell>
          <cell r="F2131">
            <v>0</v>
          </cell>
          <cell r="H2131">
            <v>1</v>
          </cell>
          <cell r="O2131">
            <v>120741</v>
          </cell>
          <cell r="P2131" t="str">
            <v>1012/305-0003-01</v>
          </cell>
          <cell r="Q2131" t="str">
            <v>EST BANQUETA BAR CHICAGO (TELA DUP) (CATUABA AVELA)</v>
          </cell>
          <cell r="R2131"/>
          <cell r="S2131"/>
          <cell r="T2131">
            <v>0.45</v>
          </cell>
          <cell r="U2131">
            <v>0.49</v>
          </cell>
          <cell r="V2131">
            <v>1.03</v>
          </cell>
          <cell r="W2131">
            <v>0</v>
          </cell>
          <cell r="X2131" t="str">
            <v>EST BANQUETA BAR CHICAGO (TELA DUP) (CATUABA AVELA) - 0,45x0,49x1,03H</v>
          </cell>
          <cell r="Y2131">
            <v>3592.7</v>
          </cell>
          <cell r="Z2131">
            <v>0.5</v>
          </cell>
          <cell r="AA2131">
            <v>1796.35</v>
          </cell>
          <cell r="AB2131"/>
        </row>
        <row r="2132">
          <cell r="C2132">
            <v>1</v>
          </cell>
          <cell r="D2132">
            <v>0</v>
          </cell>
          <cell r="E2132">
            <v>0</v>
          </cell>
          <cell r="F2132">
            <v>0</v>
          </cell>
          <cell r="H2132">
            <v>0</v>
          </cell>
          <cell r="O2132">
            <v>151213</v>
          </cell>
          <cell r="P2132" t="str">
            <v>2014/197-0023-01</v>
          </cell>
          <cell r="Q2132" t="str">
            <v>EST MESA LATERAL PLANTA (LACA BRILHO F100)</v>
          </cell>
          <cell r="R2132"/>
          <cell r="S2132"/>
          <cell r="T2132">
            <v>0.5</v>
          </cell>
          <cell r="U2132">
            <v>0</v>
          </cell>
          <cell r="V2132">
            <v>0.45</v>
          </cell>
          <cell r="W2132">
            <v>0.5</v>
          </cell>
          <cell r="X2132" t="str">
            <v>EST MESA LATERAL PLANTA (LACA BRILHO F100) - Ø0,5x0,45H</v>
          </cell>
          <cell r="Y2132">
            <v>3637.83</v>
          </cell>
          <cell r="Z2132">
            <v>0.5</v>
          </cell>
          <cell r="AA2132">
            <v>1818.915</v>
          </cell>
          <cell r="AB2132"/>
        </row>
        <row r="2133">
          <cell r="C2133">
            <v>1</v>
          </cell>
          <cell r="D2133">
            <v>0</v>
          </cell>
          <cell r="E2133">
            <v>0</v>
          </cell>
          <cell r="F2133">
            <v>0</v>
          </cell>
          <cell r="H2133">
            <v>0</v>
          </cell>
          <cell r="O2133">
            <v>206297</v>
          </cell>
          <cell r="P2133" t="str">
            <v>2017/038-0013-01</v>
          </cell>
          <cell r="Q2133" t="str">
            <v>EST MESA JANTAR EQUUS (OVAL) (MAD B FREIJO CLAREADO)</v>
          </cell>
          <cell r="R2133"/>
          <cell r="S2133"/>
          <cell r="T2133">
            <v>2.6</v>
          </cell>
          <cell r="U2133">
            <v>1.2</v>
          </cell>
          <cell r="V2133">
            <v>0.75</v>
          </cell>
          <cell r="W2133">
            <v>0</v>
          </cell>
          <cell r="X2133" t="str">
            <v>EST MESA JANTAR EQUUS (OVAL) (MAD B FREIJO CLAREADO) - 2,6x1,2x0,75H</v>
          </cell>
          <cell r="Y2133">
            <v>48370.43</v>
          </cell>
          <cell r="Z2133">
            <v>0.35</v>
          </cell>
          <cell r="AA2133">
            <v>31440.779500000001</v>
          </cell>
          <cell r="AB2133"/>
        </row>
        <row r="2134">
          <cell r="C2134">
            <v>1</v>
          </cell>
          <cell r="D2134">
            <v>0</v>
          </cell>
          <cell r="E2134">
            <v>0</v>
          </cell>
          <cell r="F2134">
            <v>0</v>
          </cell>
          <cell r="H2134">
            <v>0</v>
          </cell>
          <cell r="O2134">
            <v>228598</v>
          </cell>
          <cell r="P2134" t="str">
            <v>2019/141-0060-01</v>
          </cell>
          <cell r="Q2134" t="str">
            <v>EST APARADOR COMPOSTA (MAD B LOURO ESP PINTURA ENVELHECIDA)</v>
          </cell>
          <cell r="R2134"/>
          <cell r="S2134"/>
          <cell r="T2134">
            <v>2.2000000000000002</v>
          </cell>
          <cell r="U2134">
            <v>0.5</v>
          </cell>
          <cell r="V2134">
            <v>0.8</v>
          </cell>
          <cell r="W2134">
            <v>0</v>
          </cell>
          <cell r="X2134" t="str">
            <v>EST APARADOR COMPOSTA (MAD B LOURO ESP PINTURA ENVELHECIDA) - 2,2x0,5x0,8H</v>
          </cell>
          <cell r="Y2134">
            <v>23539.49</v>
          </cell>
          <cell r="Z2134">
            <v>0.5</v>
          </cell>
          <cell r="AA2134">
            <v>11769.745000000001</v>
          </cell>
          <cell r="AB2134"/>
        </row>
        <row r="2135">
          <cell r="C2135">
            <v>1</v>
          </cell>
          <cell r="D2135">
            <v>0</v>
          </cell>
          <cell r="E2135">
            <v>0</v>
          </cell>
          <cell r="F2135">
            <v>0</v>
          </cell>
          <cell r="H2135">
            <v>1</v>
          </cell>
          <cell r="O2135">
            <v>232126</v>
          </cell>
          <cell r="P2135" t="str">
            <v>2019/078-0066-01</v>
          </cell>
          <cell r="Q2135" t="str">
            <v>EST CADEIRA CHICAGO C/B (TELA DUP) (FREIJO NT) TC 11203353</v>
          </cell>
          <cell r="R2135"/>
          <cell r="S2135"/>
          <cell r="T2135">
            <v>0.52</v>
          </cell>
          <cell r="U2135">
            <v>0.53</v>
          </cell>
          <cell r="V2135">
            <v>0.84</v>
          </cell>
          <cell r="W2135">
            <v>0</v>
          </cell>
          <cell r="X2135" t="str">
            <v>EST CADEIRA CHICAGO C/B (TELA DUP) (FREIJO NT) TC 11203353 - 0,52x0,53x0,84H</v>
          </cell>
          <cell r="Y2135">
            <v>6255.16</v>
          </cell>
          <cell r="Z2135">
            <v>0.5</v>
          </cell>
          <cell r="AA2135">
            <v>3127.58</v>
          </cell>
          <cell r="AB2135"/>
        </row>
        <row r="2136">
          <cell r="C2136">
            <v>1</v>
          </cell>
          <cell r="D2136">
            <v>0</v>
          </cell>
          <cell r="E2136">
            <v>0</v>
          </cell>
          <cell r="F2136">
            <v>0</v>
          </cell>
          <cell r="H2136">
            <v>0</v>
          </cell>
          <cell r="O2136">
            <v>238165</v>
          </cell>
          <cell r="P2136" t="str">
            <v>2019/205-0020-01</v>
          </cell>
          <cell r="Q2136" t="str">
            <v>EST MESA LATERAL NINHO TE (MAD A JEQ) (CONJUNTO 3 UNI)</v>
          </cell>
          <cell r="R2136"/>
          <cell r="S2136"/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 t="str">
            <v>EST MESA LATERAL NINHO TE (MAD A JEQ) (CONJUNTO 3 UNI) - Ø0x0H</v>
          </cell>
          <cell r="Y2136">
            <v>19281.36</v>
          </cell>
          <cell r="Z2136">
            <v>0.5</v>
          </cell>
          <cell r="AA2136">
            <v>9640.68</v>
          </cell>
          <cell r="AB2136"/>
        </row>
        <row r="2137">
          <cell r="C2137">
            <v>1</v>
          </cell>
          <cell r="D2137">
            <v>0</v>
          </cell>
          <cell r="E2137">
            <v>0</v>
          </cell>
          <cell r="F2137">
            <v>0</v>
          </cell>
          <cell r="H2137">
            <v>0</v>
          </cell>
          <cell r="O2137">
            <v>238171</v>
          </cell>
          <cell r="P2137" t="str">
            <v>2019/196-0034-01</v>
          </cell>
          <cell r="Q2137" t="str">
            <v>EST BUFFET DUPLICADO (MAD A FREIJO NT) DET ESQ LC CHOC FSC</v>
          </cell>
          <cell r="R2137"/>
          <cell r="S2137"/>
          <cell r="T2137">
            <v>2.6</v>
          </cell>
          <cell r="U2137">
            <v>0.55000000000000004</v>
          </cell>
          <cell r="V2137">
            <v>0.81</v>
          </cell>
          <cell r="W2137">
            <v>0</v>
          </cell>
          <cell r="X2137" t="str">
            <v>EST BUFFET DUPLICADO (MAD A FREIJO NT) DET ESQ LC CHOC FSC - 2,6x0,55x0,81H</v>
          </cell>
          <cell r="Y2137">
            <v>59103.74</v>
          </cell>
          <cell r="Z2137">
            <v>0.5</v>
          </cell>
          <cell r="AA2137">
            <v>29551.87</v>
          </cell>
          <cell r="AB2137"/>
        </row>
        <row r="2138">
          <cell r="C2138">
            <v>1</v>
          </cell>
          <cell r="D2138">
            <v>0</v>
          </cell>
          <cell r="E2138">
            <v>0</v>
          </cell>
          <cell r="F2138">
            <v>0</v>
          </cell>
          <cell r="H2138">
            <v>0</v>
          </cell>
          <cell r="O2138">
            <v>334225</v>
          </cell>
          <cell r="P2138" t="str">
            <v>2022/203-0046-01</v>
          </cell>
          <cell r="Q2138" t="str">
            <v>EST MESA LATERAL GESTO (DET COBRE) H50 (MAD A CINAM 07)</v>
          </cell>
          <cell r="R2138"/>
          <cell r="S2138"/>
          <cell r="T2138">
            <v>0.45</v>
          </cell>
          <cell r="U2138">
            <v>0</v>
          </cell>
          <cell r="V2138">
            <v>0.5</v>
          </cell>
          <cell r="W2138">
            <v>0.45</v>
          </cell>
          <cell r="X2138" t="str">
            <v>EST MESA LATERAL GESTO (DET COBRE) H50 (MAD A CINAM 07) - Ø0,45x0,5H</v>
          </cell>
          <cell r="Y2138">
            <v>8809.92</v>
          </cell>
          <cell r="Z2138">
            <v>0.5</v>
          </cell>
          <cell r="AA2138">
            <v>4404.96</v>
          </cell>
          <cell r="AB2138"/>
        </row>
        <row r="2139">
          <cell r="C2139">
            <v>8</v>
          </cell>
          <cell r="D2139">
            <v>0</v>
          </cell>
          <cell r="E2139">
            <v>0</v>
          </cell>
          <cell r="F2139">
            <v>0</v>
          </cell>
          <cell r="H2139">
            <v>0</v>
          </cell>
          <cell r="O2139">
            <v>335335</v>
          </cell>
          <cell r="P2139" t="str">
            <v>2022/230-0010-01</v>
          </cell>
          <cell r="Q2139" t="str">
            <v>EST CADEIRA NINA (MAD A TAUARI ENV) 74 CAMEL/SEXT NAT</v>
          </cell>
          <cell r="R2139"/>
          <cell r="S2139"/>
          <cell r="T2139">
            <v>0.5</v>
          </cell>
          <cell r="U2139">
            <v>0.61</v>
          </cell>
          <cell r="V2139">
            <v>0.88</v>
          </cell>
          <cell r="W2139">
            <v>0</v>
          </cell>
          <cell r="X2139" t="str">
            <v>EST CADEIRA NINA (MAD A TAUARI ENV) 74 CAMEL/SEXT NAT - 0,5x0,61x0,88H</v>
          </cell>
          <cell r="Y2139">
            <v>9481.4500000000007</v>
          </cell>
          <cell r="Z2139">
            <v>0.5</v>
          </cell>
          <cell r="AA2139">
            <v>4740.7250000000004</v>
          </cell>
          <cell r="AB2139"/>
        </row>
        <row r="2140">
          <cell r="C2140">
            <v>8</v>
          </cell>
          <cell r="D2140">
            <v>0</v>
          </cell>
          <cell r="E2140">
            <v>0</v>
          </cell>
          <cell r="F2140">
            <v>0</v>
          </cell>
          <cell r="H2140">
            <v>0</v>
          </cell>
          <cell r="O2140">
            <v>335335</v>
          </cell>
          <cell r="P2140" t="str">
            <v>2022/230-0011-01</v>
          </cell>
          <cell r="Q2140" t="str">
            <v>EST CADEIRA NINA (MAD A TAUARI ENV) 74 CAMEL/SEXT NAT</v>
          </cell>
          <cell r="R2140"/>
          <cell r="S2140"/>
          <cell r="T2140">
            <v>0.5</v>
          </cell>
          <cell r="U2140">
            <v>0.61</v>
          </cell>
          <cell r="V2140">
            <v>0.88</v>
          </cell>
          <cell r="W2140">
            <v>0</v>
          </cell>
          <cell r="X2140" t="str">
            <v>EST CADEIRA NINA (MAD A TAUARI ENV) 74 CAMEL/SEXT NAT - 0,5x0,61x0,88H</v>
          </cell>
          <cell r="Y2140">
            <v>9481.4500000000007</v>
          </cell>
          <cell r="Z2140">
            <v>0.5</v>
          </cell>
          <cell r="AA2140">
            <v>4740.7250000000004</v>
          </cell>
          <cell r="AB2140"/>
        </row>
        <row r="2141">
          <cell r="C2141">
            <v>8</v>
          </cell>
          <cell r="D2141">
            <v>0</v>
          </cell>
          <cell r="E2141">
            <v>0</v>
          </cell>
          <cell r="F2141">
            <v>0</v>
          </cell>
          <cell r="H2141">
            <v>0</v>
          </cell>
          <cell r="O2141">
            <v>335335</v>
          </cell>
          <cell r="P2141" t="str">
            <v>2022/230-0012-01</v>
          </cell>
          <cell r="Q2141" t="str">
            <v>EST CADEIRA NINA (MAD A TAUARI ENV) 74 CAMEL/SEXT NAT</v>
          </cell>
          <cell r="R2141"/>
          <cell r="S2141"/>
          <cell r="T2141">
            <v>0.5</v>
          </cell>
          <cell r="U2141">
            <v>0.61</v>
          </cell>
          <cell r="V2141">
            <v>0.88</v>
          </cell>
          <cell r="W2141">
            <v>0</v>
          </cell>
          <cell r="X2141" t="str">
            <v>EST CADEIRA NINA (MAD A TAUARI ENV) 74 CAMEL/SEXT NAT - 0,5x0,61x0,88H</v>
          </cell>
          <cell r="Y2141">
            <v>9481.4500000000007</v>
          </cell>
          <cell r="Z2141">
            <v>0.5</v>
          </cell>
          <cell r="AA2141">
            <v>4740.7250000000004</v>
          </cell>
          <cell r="AB2141"/>
        </row>
        <row r="2142">
          <cell r="C2142">
            <v>8</v>
          </cell>
          <cell r="D2142">
            <v>0</v>
          </cell>
          <cell r="E2142">
            <v>0</v>
          </cell>
          <cell r="F2142">
            <v>0</v>
          </cell>
          <cell r="H2142">
            <v>0</v>
          </cell>
          <cell r="O2142">
            <v>335335</v>
          </cell>
          <cell r="P2142" t="str">
            <v>2022/230-0013-01</v>
          </cell>
          <cell r="Q2142" t="str">
            <v>EST CADEIRA NINA (MAD A TAUARI ENV) 74 CAMEL/SEXT NAT</v>
          </cell>
          <cell r="R2142"/>
          <cell r="S2142"/>
          <cell r="T2142">
            <v>0.5</v>
          </cell>
          <cell r="U2142">
            <v>0.61</v>
          </cell>
          <cell r="V2142">
            <v>0.88</v>
          </cell>
          <cell r="W2142">
            <v>0</v>
          </cell>
          <cell r="X2142" t="str">
            <v>EST CADEIRA NINA (MAD A TAUARI ENV) 74 CAMEL/SEXT NAT - 0,5x0,61x0,88H</v>
          </cell>
          <cell r="Y2142">
            <v>9481.4500000000007</v>
          </cell>
          <cell r="Z2142">
            <v>0.5</v>
          </cell>
          <cell r="AA2142">
            <v>4740.7250000000004</v>
          </cell>
          <cell r="AB2142"/>
        </row>
        <row r="2143">
          <cell r="C2143">
            <v>8</v>
          </cell>
          <cell r="D2143">
            <v>0</v>
          </cell>
          <cell r="E2143">
            <v>0</v>
          </cell>
          <cell r="F2143">
            <v>0</v>
          </cell>
          <cell r="H2143">
            <v>0</v>
          </cell>
          <cell r="O2143">
            <v>335335</v>
          </cell>
          <cell r="P2143" t="str">
            <v>2022/230-0014-01</v>
          </cell>
          <cell r="Q2143" t="str">
            <v>EST CADEIRA NINA (MAD A TAUARI ENV) 74 CAMEL/SEXT NAT</v>
          </cell>
          <cell r="R2143"/>
          <cell r="S2143"/>
          <cell r="T2143">
            <v>0.5</v>
          </cell>
          <cell r="U2143">
            <v>0.61</v>
          </cell>
          <cell r="V2143">
            <v>0.88</v>
          </cell>
          <cell r="W2143">
            <v>0</v>
          </cell>
          <cell r="X2143" t="str">
            <v>EST CADEIRA NINA (MAD A TAUARI ENV) 74 CAMEL/SEXT NAT - 0,5x0,61x0,88H</v>
          </cell>
          <cell r="Y2143">
            <v>9481.4500000000007</v>
          </cell>
          <cell r="Z2143">
            <v>0.5</v>
          </cell>
          <cell r="AA2143">
            <v>4740.7250000000004</v>
          </cell>
          <cell r="AB2143"/>
        </row>
        <row r="2144">
          <cell r="C2144">
            <v>8</v>
          </cell>
          <cell r="D2144">
            <v>0</v>
          </cell>
          <cell r="E2144">
            <v>0</v>
          </cell>
          <cell r="F2144">
            <v>0</v>
          </cell>
          <cell r="H2144">
            <v>0</v>
          </cell>
          <cell r="O2144">
            <v>335335</v>
          </cell>
          <cell r="P2144" t="str">
            <v>2022/230-0015-01</v>
          </cell>
          <cell r="Q2144" t="str">
            <v>EST CADEIRA NINA (MAD A TAUARI ENV) 74 CAMEL/SEXT NAT</v>
          </cell>
          <cell r="R2144"/>
          <cell r="S2144"/>
          <cell r="T2144">
            <v>0.5</v>
          </cell>
          <cell r="U2144">
            <v>0.61</v>
          </cell>
          <cell r="V2144">
            <v>0.88</v>
          </cell>
          <cell r="W2144">
            <v>0</v>
          </cell>
          <cell r="X2144" t="str">
            <v>EST CADEIRA NINA (MAD A TAUARI ENV) 74 CAMEL/SEXT NAT - 0,5x0,61x0,88H</v>
          </cell>
          <cell r="Y2144">
            <v>9481.4500000000007</v>
          </cell>
          <cell r="Z2144">
            <v>0.5</v>
          </cell>
          <cell r="AA2144">
            <v>4740.7250000000004</v>
          </cell>
          <cell r="AB2144"/>
        </row>
        <row r="2145">
          <cell r="C2145">
            <v>8</v>
          </cell>
          <cell r="D2145">
            <v>0</v>
          </cell>
          <cell r="E2145">
            <v>0</v>
          </cell>
          <cell r="F2145">
            <v>0</v>
          </cell>
          <cell r="H2145">
            <v>0</v>
          </cell>
          <cell r="O2145">
            <v>335335</v>
          </cell>
          <cell r="P2145" t="str">
            <v>2022/230-0016-01</v>
          </cell>
          <cell r="Q2145" t="str">
            <v>EST CADEIRA NINA (MAD A TAUARI ENV) 74 CAMEL/SEXT NAT</v>
          </cell>
          <cell r="R2145"/>
          <cell r="S2145"/>
          <cell r="T2145">
            <v>0.5</v>
          </cell>
          <cell r="U2145">
            <v>0.61</v>
          </cell>
          <cell r="V2145">
            <v>0.88</v>
          </cell>
          <cell r="W2145">
            <v>0</v>
          </cell>
          <cell r="X2145" t="str">
            <v>EST CADEIRA NINA (MAD A TAUARI ENV) 74 CAMEL/SEXT NAT - 0,5x0,61x0,88H</v>
          </cell>
          <cell r="Y2145">
            <v>9481.4500000000007</v>
          </cell>
          <cell r="Z2145">
            <v>0.5</v>
          </cell>
          <cell r="AA2145">
            <v>4740.7250000000004</v>
          </cell>
          <cell r="AB2145"/>
        </row>
        <row r="2146">
          <cell r="C2146">
            <v>8</v>
          </cell>
          <cell r="D2146">
            <v>0</v>
          </cell>
          <cell r="E2146">
            <v>0</v>
          </cell>
          <cell r="F2146">
            <v>0</v>
          </cell>
          <cell r="H2146">
            <v>0</v>
          </cell>
          <cell r="O2146">
            <v>335335</v>
          </cell>
          <cell r="P2146" t="str">
            <v>2022/230-0017-01</v>
          </cell>
          <cell r="Q2146" t="str">
            <v>EST CADEIRA NINA (MAD A TAUARI ENV) 74 CAMEL/SEXT NAT</v>
          </cell>
          <cell r="R2146"/>
          <cell r="S2146"/>
          <cell r="T2146">
            <v>0.5</v>
          </cell>
          <cell r="U2146">
            <v>0.61</v>
          </cell>
          <cell r="V2146">
            <v>0.88</v>
          </cell>
          <cell r="W2146">
            <v>0</v>
          </cell>
          <cell r="X2146" t="str">
            <v>EST CADEIRA NINA (MAD A TAUARI ENV) 74 CAMEL/SEXT NAT - 0,5x0,61x0,88H</v>
          </cell>
          <cell r="Y2146">
            <v>9481.4500000000007</v>
          </cell>
          <cell r="Z2146">
            <v>0.5</v>
          </cell>
          <cell r="AA2146">
            <v>4740.7250000000004</v>
          </cell>
          <cell r="AB2146"/>
        </row>
        <row r="2147">
          <cell r="C2147">
            <v>1</v>
          </cell>
          <cell r="D2147">
            <v>0</v>
          </cell>
          <cell r="E2147">
            <v>0</v>
          </cell>
          <cell r="F2147">
            <v>0</v>
          </cell>
          <cell r="H2147">
            <v>0</v>
          </cell>
          <cell r="O2147">
            <v>336723</v>
          </cell>
          <cell r="P2147" t="str">
            <v>2022/223-0034-01</v>
          </cell>
          <cell r="Q2147" t="str">
            <v>EST MESA JANTAR LISBOA (MAD B TECA NT PU) INOX ENVELHECIDO</v>
          </cell>
          <cell r="R2147"/>
          <cell r="S2147"/>
          <cell r="T2147">
            <v>2.8</v>
          </cell>
          <cell r="U2147">
            <v>1.2</v>
          </cell>
          <cell r="V2147">
            <v>0.75</v>
          </cell>
          <cell r="W2147">
            <v>0</v>
          </cell>
          <cell r="X2147" t="str">
            <v>EST MESA JANTAR LISBOA (MAD B TECA NT PU) INOX ENVELHECIDO - 2,8x1,2x0,75H</v>
          </cell>
          <cell r="Y2147">
            <v>60246.9</v>
          </cell>
          <cell r="Z2147">
            <v>0.5</v>
          </cell>
          <cell r="AA2147">
            <v>30123.45</v>
          </cell>
          <cell r="AB2147"/>
        </row>
        <row r="2148">
          <cell r="C2148">
            <v>2</v>
          </cell>
          <cell r="D2148">
            <v>0</v>
          </cell>
          <cell r="E2148">
            <v>0</v>
          </cell>
          <cell r="F2148">
            <v>0</v>
          </cell>
          <cell r="H2148">
            <v>0</v>
          </cell>
          <cell r="O2148">
            <v>336730</v>
          </cell>
          <cell r="P2148" t="str">
            <v>2022/223-0053-01</v>
          </cell>
          <cell r="Q2148" t="str">
            <v>EST POLTRONA SALVADOR (MAD B FREIJO NT) TC ALATAMURA 902</v>
          </cell>
          <cell r="R2148"/>
          <cell r="S2148"/>
          <cell r="T2148">
            <v>0.7</v>
          </cell>
          <cell r="U2148">
            <v>0.66</v>
          </cell>
          <cell r="V2148">
            <v>0.7</v>
          </cell>
          <cell r="W2148">
            <v>0</v>
          </cell>
          <cell r="X2148" t="str">
            <v>EST POLTRONA SALVADOR (MAD B FREIJO NT) TC ALATAMURA 902 - 0,7x0,66x0,7H</v>
          </cell>
          <cell r="Y2148">
            <v>22622.062999999998</v>
          </cell>
          <cell r="Z2148">
            <v>0.35</v>
          </cell>
          <cell r="AA2148">
            <v>14704.34095</v>
          </cell>
          <cell r="AB2148"/>
        </row>
        <row r="2149">
          <cell r="C2149">
            <v>2</v>
          </cell>
          <cell r="D2149">
            <v>0</v>
          </cell>
          <cell r="E2149">
            <v>0</v>
          </cell>
          <cell r="F2149">
            <v>0</v>
          </cell>
          <cell r="H2149">
            <v>0</v>
          </cell>
          <cell r="O2149">
            <v>336730</v>
          </cell>
          <cell r="P2149" t="str">
            <v>2022/223-0054-01</v>
          </cell>
          <cell r="Q2149" t="str">
            <v>EST POLTRONA SALVADOR (MAD B FREIJO NT) TC ALATAMURA 902</v>
          </cell>
          <cell r="R2149"/>
          <cell r="S2149"/>
          <cell r="T2149">
            <v>0.7</v>
          </cell>
          <cell r="U2149">
            <v>0.66</v>
          </cell>
          <cell r="V2149">
            <v>0.7</v>
          </cell>
          <cell r="W2149">
            <v>0</v>
          </cell>
          <cell r="X2149" t="str">
            <v>EST POLTRONA SALVADOR (MAD B FREIJO NT) TC ALATAMURA 902 - 0,7x0,66x0,7H</v>
          </cell>
          <cell r="Y2149">
            <v>22622.062999999998</v>
          </cell>
          <cell r="Z2149">
            <v>0.35</v>
          </cell>
          <cell r="AA2149">
            <v>14704.34095</v>
          </cell>
          <cell r="AB2149"/>
        </row>
        <row r="2150">
          <cell r="C2150">
            <v>1</v>
          </cell>
          <cell r="D2150">
            <v>0</v>
          </cell>
          <cell r="E2150">
            <v>0</v>
          </cell>
          <cell r="F2150">
            <v>0</v>
          </cell>
          <cell r="H2150">
            <v>0</v>
          </cell>
          <cell r="O2150">
            <v>388716</v>
          </cell>
          <cell r="P2150" t="str">
            <v>2024/239-0111-01</v>
          </cell>
          <cell r="Q2150" t="str">
            <v>EST POLTRONA REMO (MAD B LOURO ESP) TC TIME EGRET</v>
          </cell>
          <cell r="R2150"/>
          <cell r="S2150"/>
          <cell r="T2150">
            <v>0.85</v>
          </cell>
          <cell r="U2150">
            <v>0.8</v>
          </cell>
          <cell r="V2150">
            <v>0.92</v>
          </cell>
          <cell r="W2150">
            <v>0</v>
          </cell>
          <cell r="X2150" t="str">
            <v>EST POLTRONA REMO (MAD B LOURO ESP) TC TIME EGRET - 0,85x0,8x0,92H</v>
          </cell>
          <cell r="Y2150">
            <v>38443.113599999997</v>
          </cell>
          <cell r="Z2150">
            <v>0.35</v>
          </cell>
          <cell r="AA2150">
            <v>24988.023839999998</v>
          </cell>
          <cell r="AB2150"/>
        </row>
        <row r="2151">
          <cell r="C2151">
            <v>1</v>
          </cell>
          <cell r="D2151">
            <v>0</v>
          </cell>
          <cell r="E2151">
            <v>0</v>
          </cell>
          <cell r="F2151">
            <v>0</v>
          </cell>
          <cell r="H2151">
            <v>0</v>
          </cell>
          <cell r="O2151">
            <v>388719</v>
          </cell>
          <cell r="P2151" t="str">
            <v>2024/239-0114-01</v>
          </cell>
          <cell r="Q2151" t="str">
            <v>EST BANQUETA REMO (MAD B LOURO ESP) TC TIME EGRET</v>
          </cell>
          <cell r="R2151"/>
          <cell r="S2151"/>
          <cell r="T2151">
            <v>0.62</v>
          </cell>
          <cell r="U2151">
            <v>0.5</v>
          </cell>
          <cell r="V2151">
            <v>0.41</v>
          </cell>
          <cell r="W2151">
            <v>0</v>
          </cell>
          <cell r="X2151" t="str">
            <v>EST BANQUETA REMO (MAD B LOURO ESP) TC TIME EGRET - 0,62x0,5x0,41H</v>
          </cell>
          <cell r="Y2151">
            <v>10415.867560000001</v>
          </cell>
          <cell r="Z2151">
            <v>0.35</v>
          </cell>
          <cell r="AA2151">
            <v>6770.3139140000003</v>
          </cell>
          <cell r="AB2151"/>
        </row>
        <row r="2152">
          <cell r="C2152">
            <v>2</v>
          </cell>
          <cell r="D2152">
            <v>0</v>
          </cell>
          <cell r="E2152">
            <v>0</v>
          </cell>
          <cell r="F2152">
            <v>0</v>
          </cell>
          <cell r="H2152">
            <v>0</v>
          </cell>
          <cell r="O2152">
            <v>388728</v>
          </cell>
          <cell r="P2152" t="str">
            <v>2024/239-0119-01</v>
          </cell>
          <cell r="Q2152" t="str">
            <v>EST POLTRONA MUXA (MAD B TECA NT PU) TC TAURUS BRIGHT WHITE</v>
          </cell>
          <cell r="R2152"/>
          <cell r="S2152"/>
          <cell r="T2152">
            <v>0.97</v>
          </cell>
          <cell r="U2152">
            <v>0.93</v>
          </cell>
          <cell r="V2152">
            <v>0.69</v>
          </cell>
          <cell r="W2152">
            <v>0</v>
          </cell>
          <cell r="X2152" t="str">
            <v>EST POLTRONA MUXA (MAD B TECA NT PU) TC TAURUS BRIGHT WHITE - 0,97x0,93x0,69H</v>
          </cell>
          <cell r="Y2152">
            <v>43751.718999999997</v>
          </cell>
          <cell r="Z2152">
            <v>0.35</v>
          </cell>
          <cell r="AA2152">
            <v>28438.61735</v>
          </cell>
          <cell r="AB2152"/>
        </row>
        <row r="2153">
          <cell r="C2153">
            <v>2</v>
          </cell>
          <cell r="D2153">
            <v>0</v>
          </cell>
          <cell r="E2153">
            <v>0</v>
          </cell>
          <cell r="F2153">
            <v>0</v>
          </cell>
          <cell r="H2153">
            <v>0</v>
          </cell>
          <cell r="O2153">
            <v>388728</v>
          </cell>
          <cell r="P2153" t="str">
            <v>2024/239-0120-01</v>
          </cell>
          <cell r="Q2153" t="str">
            <v>EST POLTRONA MUXA (MAD B TECA NT PU) TC TAURUS BRIGHT WHITE</v>
          </cell>
          <cell r="R2153"/>
          <cell r="S2153"/>
          <cell r="T2153">
            <v>0.97</v>
          </cell>
          <cell r="U2153">
            <v>0.93</v>
          </cell>
          <cell r="V2153">
            <v>0.69</v>
          </cell>
          <cell r="W2153">
            <v>0</v>
          </cell>
          <cell r="X2153" t="str">
            <v>EST POLTRONA MUXA (MAD B TECA NT PU) TC TAURUS BRIGHT WHITE - 0,97x0,93x0,69H</v>
          </cell>
          <cell r="Y2153">
            <v>43751.718999999997</v>
          </cell>
          <cell r="Z2153">
            <v>0.35</v>
          </cell>
          <cell r="AA2153">
            <v>28438.61735</v>
          </cell>
          <cell r="AB2153"/>
        </row>
        <row r="2154">
          <cell r="C2154">
            <v>2</v>
          </cell>
          <cell r="D2154">
            <v>0</v>
          </cell>
          <cell r="E2154">
            <v>0</v>
          </cell>
          <cell r="F2154">
            <v>0</v>
          </cell>
          <cell r="H2154">
            <v>0</v>
          </cell>
          <cell r="O2154">
            <v>388969</v>
          </cell>
          <cell r="P2154" t="str">
            <v>2024/239-0127-01</v>
          </cell>
          <cell r="Q2154" t="str">
            <v>EST POLTRONA IPANEMA (MAD A CINAM ENV) COURO HAVANA/OLD NUT</v>
          </cell>
          <cell r="R2154"/>
          <cell r="S2154"/>
          <cell r="T2154">
            <v>0.73</v>
          </cell>
          <cell r="U2154">
            <v>0.77</v>
          </cell>
          <cell r="V2154">
            <v>0.76</v>
          </cell>
          <cell r="W2154">
            <v>0</v>
          </cell>
          <cell r="X2154" t="str">
            <v>EST POLTRONA IPANEMA (MAD A CINAM ENV) COURO HAVANA/OLD NUT - 0,73x0,77x0,76H</v>
          </cell>
          <cell r="Y2154">
            <v>31723.51</v>
          </cell>
          <cell r="Z2154">
            <v>0.35</v>
          </cell>
          <cell r="AA2154">
            <v>20620.281499999997</v>
          </cell>
          <cell r="AB2154"/>
        </row>
        <row r="2155">
          <cell r="C2155">
            <v>2</v>
          </cell>
          <cell r="D2155">
            <v>0</v>
          </cell>
          <cell r="E2155">
            <v>0</v>
          </cell>
          <cell r="F2155">
            <v>0</v>
          </cell>
          <cell r="H2155">
            <v>0</v>
          </cell>
          <cell r="O2155">
            <v>388969</v>
          </cell>
          <cell r="P2155" t="str">
            <v>2024/239-0128-01</v>
          </cell>
          <cell r="Q2155" t="str">
            <v>EST POLTRONA IPANEMA (MAD A CINAM ENV) COURO HAVANA/OLD NUT</v>
          </cell>
          <cell r="R2155"/>
          <cell r="S2155"/>
          <cell r="T2155">
            <v>0.73</v>
          </cell>
          <cell r="U2155">
            <v>0.77</v>
          </cell>
          <cell r="V2155">
            <v>0.76</v>
          </cell>
          <cell r="W2155">
            <v>0</v>
          </cell>
          <cell r="X2155" t="str">
            <v>EST POLTRONA IPANEMA (MAD A CINAM ENV) COURO HAVANA/OLD NUT - 0,73x0,77x0,76H</v>
          </cell>
          <cell r="Y2155">
            <v>31723.51</v>
          </cell>
          <cell r="Z2155">
            <v>0.35</v>
          </cell>
          <cell r="AA2155">
            <v>20620.281499999997</v>
          </cell>
          <cell r="AB2155"/>
        </row>
        <row r="2156">
          <cell r="C2156">
            <v>2</v>
          </cell>
          <cell r="D2156">
            <v>0</v>
          </cell>
          <cell r="E2156">
            <v>0</v>
          </cell>
          <cell r="F2156">
            <v>0</v>
          </cell>
          <cell r="H2156">
            <v>0</v>
          </cell>
          <cell r="O2156">
            <v>400338</v>
          </cell>
          <cell r="P2156" t="str">
            <v>2025/085-0038-01</v>
          </cell>
          <cell r="Q2156" t="str">
            <v>EST POLTRONA LUAR (MAD A TAUARI ENV) COURO CH 05</v>
          </cell>
          <cell r="R2156"/>
          <cell r="S2156"/>
          <cell r="T2156">
            <v>0.94</v>
          </cell>
          <cell r="U2156">
            <v>0.92</v>
          </cell>
          <cell r="V2156">
            <v>0.74</v>
          </cell>
          <cell r="W2156">
            <v>0</v>
          </cell>
          <cell r="X2156" t="str">
            <v>EST POLTRONA LUAR (MAD A TAUARI ENV) COURO CH 05 - 0,94x0,92x0,74H</v>
          </cell>
          <cell r="Y2156">
            <v>35789.06</v>
          </cell>
          <cell r="Z2156">
            <v>0.35</v>
          </cell>
          <cell r="AA2156">
            <v>23262.888999999999</v>
          </cell>
          <cell r="AB2156"/>
        </row>
        <row r="2157">
          <cell r="C2157">
            <v>2</v>
          </cell>
          <cell r="D2157">
            <v>0</v>
          </cell>
          <cell r="E2157">
            <v>0</v>
          </cell>
          <cell r="F2157">
            <v>0</v>
          </cell>
          <cell r="H2157">
            <v>0</v>
          </cell>
          <cell r="O2157">
            <v>400338</v>
          </cell>
          <cell r="P2157" t="str">
            <v>2025/085-0039-01</v>
          </cell>
          <cell r="Q2157" t="str">
            <v>EST POLTRONA LUAR (MAD A TAUARI ENV) COURO CH 05</v>
          </cell>
          <cell r="R2157"/>
          <cell r="S2157"/>
          <cell r="T2157">
            <v>0.94</v>
          </cell>
          <cell r="U2157">
            <v>0.92</v>
          </cell>
          <cell r="V2157">
            <v>0.74</v>
          </cell>
          <cell r="W2157">
            <v>0</v>
          </cell>
          <cell r="X2157" t="str">
            <v>EST POLTRONA LUAR (MAD A TAUARI ENV) COURO CH 05 - 0,94x0,92x0,74H</v>
          </cell>
          <cell r="Y2157">
            <v>35789.06</v>
          </cell>
          <cell r="Z2157">
            <v>0.35</v>
          </cell>
          <cell r="AA2157">
            <v>23262.888999999999</v>
          </cell>
          <cell r="AB2157"/>
        </row>
        <row r="2158">
          <cell r="C2158">
            <v>1</v>
          </cell>
          <cell r="D2158">
            <v>0</v>
          </cell>
          <cell r="E2158">
            <v>0</v>
          </cell>
          <cell r="F2158">
            <v>0</v>
          </cell>
          <cell r="H2158">
            <v>0</v>
          </cell>
          <cell r="O2158">
            <v>230249</v>
          </cell>
          <cell r="P2158" t="str">
            <v>2018/344-0069-01</v>
          </cell>
          <cell r="Q2158" t="str">
            <v>EST BANCO RODEO (MAD B LOURO ESPECIAL) (SOLETA HAVANA)</v>
          </cell>
          <cell r="R2158"/>
          <cell r="S2158"/>
          <cell r="T2158">
            <v>0.49</v>
          </cell>
          <cell r="U2158">
            <v>0.46</v>
          </cell>
          <cell r="V2158">
            <v>0.4</v>
          </cell>
          <cell r="W2158">
            <v>0</v>
          </cell>
          <cell r="X2158" t="str">
            <v>EST BANCO RODEO (MAD B LOURO ESPECIAL) (SOLETA HAVANA) - 0,49x0,46x0,4H</v>
          </cell>
          <cell r="Y2158">
            <v>7849</v>
          </cell>
          <cell r="Z2158">
            <v>0.35</v>
          </cell>
          <cell r="AA2158">
            <v>5101.8500000000004</v>
          </cell>
          <cell r="AB2158"/>
        </row>
        <row r="2159">
          <cell r="C2159">
            <v>1</v>
          </cell>
          <cell r="D2159">
            <v>1</v>
          </cell>
          <cell r="E2159">
            <v>0</v>
          </cell>
          <cell r="F2159">
            <v>0</v>
          </cell>
          <cell r="H2159">
            <v>0</v>
          </cell>
          <cell r="O2159">
            <v>238169</v>
          </cell>
          <cell r="P2159" t="str">
            <v>2019/211-0043-01</v>
          </cell>
          <cell r="Q2159" t="str">
            <v>EST MESA CENTRO ARGOLA (D) (TP EBNZ) (MAD A CINAM EBNZ)</v>
          </cell>
          <cell r="R2159"/>
          <cell r="S2159"/>
          <cell r="T2159">
            <v>0.4</v>
          </cell>
          <cell r="U2159">
            <v>0</v>
          </cell>
          <cell r="V2159">
            <v>0.55000000000000004</v>
          </cell>
          <cell r="W2159">
            <v>0.4</v>
          </cell>
          <cell r="X2159" t="str">
            <v>EST MESA CENTRO ARGOLA (D) (TP EBNZ) (MAD A CINAM EBNZ) - Ø0,4x0,55H</v>
          </cell>
          <cell r="Y2159">
            <v>8940.56</v>
          </cell>
          <cell r="Z2159">
            <v>0.35</v>
          </cell>
          <cell r="AA2159">
            <v>5811.3639999999996</v>
          </cell>
          <cell r="AB2159"/>
        </row>
        <row r="2160">
          <cell r="C2160">
            <v>1</v>
          </cell>
          <cell r="D2160">
            <v>0</v>
          </cell>
          <cell r="E2160">
            <v>0</v>
          </cell>
          <cell r="F2160">
            <v>0</v>
          </cell>
          <cell r="H2160">
            <v>0</v>
          </cell>
          <cell r="O2160">
            <v>328718</v>
          </cell>
          <cell r="P2160" t="str">
            <v>2022/187-0024-01</v>
          </cell>
          <cell r="Q2160" t="str">
            <v>EST MESA CENTRO ARGOLA (C) (CORTEN) (MAD A TAUARI POA)</v>
          </cell>
          <cell r="R2160"/>
          <cell r="S2160"/>
          <cell r="T2160">
            <v>0.6</v>
          </cell>
          <cell r="U2160">
            <v>0</v>
          </cell>
          <cell r="V2160">
            <v>0.45</v>
          </cell>
          <cell r="W2160">
            <v>0.6</v>
          </cell>
          <cell r="X2160" t="str">
            <v>EST MESA CENTRO ARGOLA (C) (CORTEN) (MAD A TAUARI POA) - Ø0,6x0,45H</v>
          </cell>
          <cell r="Y2160">
            <v>12941.33</v>
          </cell>
          <cell r="Z2160">
            <v>0.35</v>
          </cell>
          <cell r="AA2160">
            <v>8411.8644999999997</v>
          </cell>
          <cell r="AB2160"/>
        </row>
        <row r="2161">
          <cell r="C2161">
            <v>1</v>
          </cell>
          <cell r="D2161">
            <v>0</v>
          </cell>
          <cell r="E2161">
            <v>0</v>
          </cell>
          <cell r="F2161">
            <v>0</v>
          </cell>
          <cell r="H2161">
            <v>0</v>
          </cell>
          <cell r="O2161">
            <v>334179</v>
          </cell>
          <cell r="P2161" t="str">
            <v>2022/203-0043-01</v>
          </cell>
          <cell r="Q2161" t="str">
            <v>EST MESA CENTRO ARGOLA (B) (CORTEN) (MAD A CINAM NOG)</v>
          </cell>
          <cell r="R2161"/>
          <cell r="S2161"/>
          <cell r="T2161">
            <v>1</v>
          </cell>
          <cell r="U2161">
            <v>0</v>
          </cell>
          <cell r="V2161">
            <v>0.35</v>
          </cell>
          <cell r="W2161">
            <v>1</v>
          </cell>
          <cell r="X2161" t="str">
            <v>EST MESA CENTRO ARGOLA (B) (CORTEN) (MAD A CINAM NOG) - Ø1x0,35H</v>
          </cell>
          <cell r="Y2161">
            <v>18584.07</v>
          </cell>
          <cell r="Z2161">
            <v>0.35</v>
          </cell>
          <cell r="AA2161">
            <v>12079.645500000001</v>
          </cell>
          <cell r="AB2161"/>
        </row>
        <row r="2162">
          <cell r="C2162">
            <v>1</v>
          </cell>
          <cell r="D2162">
            <v>0</v>
          </cell>
          <cell r="E2162">
            <v>0</v>
          </cell>
          <cell r="F2162">
            <v>0</v>
          </cell>
          <cell r="H2162">
            <v>0</v>
          </cell>
          <cell r="O2162">
            <v>334180</v>
          </cell>
          <cell r="P2162" t="str">
            <v>2022/203-0044-01</v>
          </cell>
          <cell r="Q2162" t="str">
            <v>EST MESA CENTRO ARGOLA (A) (VIDRO INC) (MAD A CINAM NOG)</v>
          </cell>
          <cell r="R2162"/>
          <cell r="S2162"/>
          <cell r="T2162">
            <v>1.2</v>
          </cell>
          <cell r="U2162">
            <v>0</v>
          </cell>
          <cell r="V2162">
            <v>0.25</v>
          </cell>
          <cell r="W2162">
            <v>1.2</v>
          </cell>
          <cell r="X2162" t="str">
            <v>EST MESA CENTRO ARGOLA (A) (VIDRO INC) (MAD A CINAM NOG) - Ø1,2x0,25H</v>
          </cell>
          <cell r="Y2162">
            <v>28893.72</v>
          </cell>
          <cell r="Z2162">
            <v>0.35</v>
          </cell>
          <cell r="AA2162">
            <v>18780.918000000001</v>
          </cell>
          <cell r="AB2162"/>
        </row>
        <row r="2163">
          <cell r="C2163">
            <v>1</v>
          </cell>
          <cell r="D2163">
            <v>1</v>
          </cell>
          <cell r="E2163">
            <v>0</v>
          </cell>
          <cell r="F2163">
            <v>0</v>
          </cell>
          <cell r="H2163">
            <v>0</v>
          </cell>
          <cell r="O2163">
            <v>336649</v>
          </cell>
          <cell r="P2163" t="str">
            <v>2022/230-0018-01</v>
          </cell>
          <cell r="Q2163" t="str">
            <v>EST FRUTEIRA CHIE (MOD 02) (MAD B TECA NATURAL PU)</v>
          </cell>
          <cell r="R2163"/>
          <cell r="S2163"/>
          <cell r="T2163">
            <v>0.25</v>
          </cell>
          <cell r="U2163">
            <v>0</v>
          </cell>
          <cell r="V2163">
            <v>0.28999999999999998</v>
          </cell>
          <cell r="W2163">
            <v>0.25</v>
          </cell>
          <cell r="X2163" t="str">
            <v>EST FRUTEIRA CHIE (MOD 02) (MAD B TECA NATURAL PU) - Ø0,25x0,29H</v>
          </cell>
          <cell r="Y2163">
            <v>3788.06</v>
          </cell>
          <cell r="Z2163">
            <v>0.35</v>
          </cell>
          <cell r="AA2163">
            <v>2462.239</v>
          </cell>
          <cell r="AB2163"/>
        </row>
        <row r="2164">
          <cell r="C2164">
            <v>1</v>
          </cell>
          <cell r="D2164">
            <v>0</v>
          </cell>
          <cell r="E2164">
            <v>0</v>
          </cell>
          <cell r="F2164">
            <v>0</v>
          </cell>
          <cell r="H2164">
            <v>0</v>
          </cell>
          <cell r="O2164">
            <v>336651</v>
          </cell>
          <cell r="P2164" t="str">
            <v>2022/230-0019-01</v>
          </cell>
          <cell r="Q2164" t="str">
            <v>EST FRUTEIRA CHIE (MOD 03) (MAD B TECA 02)</v>
          </cell>
          <cell r="R2164"/>
          <cell r="S2164"/>
          <cell r="T2164">
            <v>0.28999999999999998</v>
          </cell>
          <cell r="U2164">
            <v>0</v>
          </cell>
          <cell r="V2164">
            <v>0.28999999999999998</v>
          </cell>
          <cell r="W2164">
            <v>0.39</v>
          </cell>
          <cell r="X2164" t="str">
            <v>EST FRUTEIRA CHIE (MOD 03) (MAD B TECA 02) - Ø0,39x0,29H</v>
          </cell>
          <cell r="Y2164">
            <v>4546.62</v>
          </cell>
          <cell r="Z2164">
            <v>0.35</v>
          </cell>
          <cell r="AA2164">
            <v>2955.3029999999999</v>
          </cell>
          <cell r="AB2164"/>
        </row>
        <row r="2165">
          <cell r="C2165">
            <v>1</v>
          </cell>
          <cell r="D2165">
            <v>0</v>
          </cell>
          <cell r="E2165">
            <v>0</v>
          </cell>
          <cell r="F2165">
            <v>0</v>
          </cell>
          <cell r="H2165">
            <v>0</v>
          </cell>
          <cell r="O2165">
            <v>336721</v>
          </cell>
          <cell r="P2165" t="str">
            <v>2022/230-0036-01</v>
          </cell>
          <cell r="Q2165" t="str">
            <v>EST FRUTEIRA CHIE (MOD 01) (MAD B TECA NATURAL PU)</v>
          </cell>
          <cell r="R2165"/>
          <cell r="S2165"/>
          <cell r="T2165">
            <v>0.19</v>
          </cell>
          <cell r="U2165">
            <v>0</v>
          </cell>
          <cell r="V2165">
            <v>0.35</v>
          </cell>
          <cell r="W2165">
            <v>0.19</v>
          </cell>
          <cell r="X2165" t="str">
            <v>EST FRUTEIRA CHIE (MOD 01) (MAD B TECA NATURAL PU) - Ø0,19x0,35H</v>
          </cell>
          <cell r="Y2165">
            <v>3219.15</v>
          </cell>
          <cell r="Z2165">
            <v>0.35</v>
          </cell>
          <cell r="AA2165">
            <v>2092.4475000000002</v>
          </cell>
          <cell r="AB2165"/>
        </row>
        <row r="2166">
          <cell r="C2166">
            <v>1</v>
          </cell>
          <cell r="D2166">
            <v>0</v>
          </cell>
          <cell r="E2166">
            <v>0</v>
          </cell>
          <cell r="F2166">
            <v>0</v>
          </cell>
          <cell r="H2166">
            <v>0</v>
          </cell>
          <cell r="O2166">
            <v>336722</v>
          </cell>
          <cell r="P2166" t="str">
            <v>2022/307-0051-01</v>
          </cell>
          <cell r="Q2166" t="str">
            <v>EST FRUTEIRA CHIE (MOD 01) (MAD A TAUARI ENV)</v>
          </cell>
          <cell r="R2166"/>
          <cell r="S2166"/>
          <cell r="T2166">
            <v>0.19</v>
          </cell>
          <cell r="U2166">
            <v>0</v>
          </cell>
          <cell r="V2166">
            <v>0.35</v>
          </cell>
          <cell r="W2166">
            <v>0.19</v>
          </cell>
          <cell r="X2166" t="str">
            <v>EST FRUTEIRA CHIE (MOD 01) (MAD A TAUARI ENV) - Ø0,19x0,35H</v>
          </cell>
          <cell r="Y2166">
            <v>2789.02</v>
          </cell>
          <cell r="Z2166">
            <v>0.35</v>
          </cell>
          <cell r="AA2166">
            <v>1812.8630000000001</v>
          </cell>
          <cell r="AB2166"/>
        </row>
        <row r="2167">
          <cell r="C2167">
            <v>1</v>
          </cell>
          <cell r="D2167">
            <v>0</v>
          </cell>
          <cell r="E2167">
            <v>0</v>
          </cell>
          <cell r="F2167">
            <v>0</v>
          </cell>
          <cell r="H2167">
            <v>0</v>
          </cell>
          <cell r="O2167">
            <v>336734</v>
          </cell>
          <cell r="P2167" t="str">
            <v>2022/230-0037-01</v>
          </cell>
          <cell r="Q2167" t="str">
            <v>EST PENTEADEIRA SOTTILE (MAD B TECA NT PU) COURO CAMEL</v>
          </cell>
          <cell r="R2167"/>
          <cell r="S2167"/>
          <cell r="T2167">
            <v>1.6</v>
          </cell>
          <cell r="U2167">
            <v>0.6</v>
          </cell>
          <cell r="V2167">
            <v>0.74</v>
          </cell>
          <cell r="W2167">
            <v>0</v>
          </cell>
          <cell r="X2167" t="str">
            <v>EST PENTEADEIRA SOTTILE (MAD B TECA NT PU) COURO CAMEL - 1,6x0,6x0,74H</v>
          </cell>
          <cell r="Y2167">
            <v>44623.98</v>
          </cell>
          <cell r="Z2167">
            <v>0.35</v>
          </cell>
          <cell r="AA2167">
            <v>29005.587000000003</v>
          </cell>
          <cell r="AB2167"/>
        </row>
        <row r="2168">
          <cell r="C2168">
            <v>1</v>
          </cell>
          <cell r="D2168">
            <v>0</v>
          </cell>
          <cell r="E2168">
            <v>0</v>
          </cell>
          <cell r="F2168">
            <v>0</v>
          </cell>
          <cell r="H2168">
            <v>0</v>
          </cell>
          <cell r="O2168">
            <v>336738</v>
          </cell>
          <cell r="P2168" t="str">
            <v>2022/223-0055-01</v>
          </cell>
          <cell r="Q2168" t="str">
            <v>EST MESA LATERAL LUSA (OBL CER BEGE) (MAD B TECA NT)</v>
          </cell>
          <cell r="R2168"/>
          <cell r="S2168"/>
          <cell r="T2168">
            <v>0.51</v>
          </cell>
          <cell r="U2168">
            <v>0.28000000000000003</v>
          </cell>
          <cell r="V2168">
            <v>0.56999999999999995</v>
          </cell>
          <cell r="W2168">
            <v>0</v>
          </cell>
          <cell r="X2168" t="str">
            <v>EST MESA LATERAL LUSA (OBL CER BEGE) (MAD B TECA NT) - 0,51x0,28x0,57H</v>
          </cell>
          <cell r="Y2168">
            <v>12756.35</v>
          </cell>
          <cell r="Z2168">
            <v>0.35</v>
          </cell>
          <cell r="AA2168">
            <v>8291.6275000000005</v>
          </cell>
          <cell r="AB2168"/>
        </row>
        <row r="2169">
          <cell r="C2169">
            <v>1</v>
          </cell>
          <cell r="D2169">
            <v>0</v>
          </cell>
          <cell r="E2169">
            <v>0</v>
          </cell>
          <cell r="F2169">
            <v>0</v>
          </cell>
          <cell r="H2169">
            <v>0</v>
          </cell>
          <cell r="O2169">
            <v>336741</v>
          </cell>
          <cell r="P2169" t="str">
            <v>2022/223-0058-01</v>
          </cell>
          <cell r="Q2169" t="str">
            <v>EST MESA LATERAL LUSA (RED CER BEGE) (MAD B TECA NT)</v>
          </cell>
          <cell r="R2169"/>
          <cell r="S2169"/>
          <cell r="T2169">
            <v>0.4</v>
          </cell>
          <cell r="U2169">
            <v>0.45</v>
          </cell>
          <cell r="V2169">
            <v>0.67</v>
          </cell>
          <cell r="W2169">
            <v>0</v>
          </cell>
          <cell r="X2169" t="str">
            <v>EST MESA LATERAL LUSA (RED CER BEGE) (MAD B TECA NT) - 0,4x0,45x0,67H</v>
          </cell>
          <cell r="Y2169">
            <v>13487.13</v>
          </cell>
          <cell r="Z2169">
            <v>0.35</v>
          </cell>
          <cell r="AA2169">
            <v>8766.6345000000001</v>
          </cell>
          <cell r="AB2169"/>
        </row>
        <row r="2170">
          <cell r="C2170">
            <v>1</v>
          </cell>
          <cell r="D2170">
            <v>0</v>
          </cell>
          <cell r="E2170">
            <v>0</v>
          </cell>
          <cell r="F2170">
            <v>0</v>
          </cell>
          <cell r="H2170">
            <v>0</v>
          </cell>
          <cell r="O2170">
            <v>336742</v>
          </cell>
          <cell r="P2170" t="str">
            <v>2022/223-0059-01</v>
          </cell>
          <cell r="Q2170" t="str">
            <v>EST MESA LATERAL LUSA (RED CER BEGE) (MAD B TECA NT)</v>
          </cell>
          <cell r="R2170"/>
          <cell r="S2170"/>
          <cell r="T2170">
            <v>0.4</v>
          </cell>
          <cell r="U2170">
            <v>0.45</v>
          </cell>
          <cell r="V2170">
            <v>0.72</v>
          </cell>
          <cell r="W2170">
            <v>0</v>
          </cell>
          <cell r="X2170" t="str">
            <v>EST MESA LATERAL LUSA (RED CER BEGE) (MAD B TECA NT) - 0,4x0,45x0,72H</v>
          </cell>
          <cell r="Y2170">
            <v>14060.66</v>
          </cell>
          <cell r="Z2170">
            <v>0.35</v>
          </cell>
          <cell r="AA2170">
            <v>9139.4290000000001</v>
          </cell>
          <cell r="AB2170"/>
        </row>
        <row r="2171">
          <cell r="C2171">
            <v>1</v>
          </cell>
          <cell r="D2171">
            <v>0</v>
          </cell>
          <cell r="E2171">
            <v>0</v>
          </cell>
          <cell r="F2171">
            <v>0</v>
          </cell>
          <cell r="H2171">
            <v>0</v>
          </cell>
          <cell r="O2171">
            <v>388737</v>
          </cell>
          <cell r="P2171" t="str">
            <v>2024/239-0123-01</v>
          </cell>
          <cell r="Q2171" t="str">
            <v>EST MESA JANTAR TWINS (DET G1 TRAVERTINO) (MAD A TAUARI ENV)</v>
          </cell>
          <cell r="R2171"/>
          <cell r="S2171"/>
          <cell r="T2171">
            <v>3</v>
          </cell>
          <cell r="U2171">
            <v>1.1499999999999999</v>
          </cell>
          <cell r="V2171">
            <v>0.75</v>
          </cell>
          <cell r="W2171">
            <v>0</v>
          </cell>
          <cell r="X2171" t="str">
            <v>EST MESA JANTAR TWINS (DET G1 TRAVERTINO) (MAD A TAUARI ENV) - 3x1,15x0,75H</v>
          </cell>
          <cell r="Y2171">
            <v>109344.57</v>
          </cell>
          <cell r="Z2171">
            <v>0.35</v>
          </cell>
          <cell r="AA2171">
            <v>71073.97050000001</v>
          </cell>
          <cell r="AB2171"/>
        </row>
        <row r="2172">
          <cell r="C2172">
            <v>1</v>
          </cell>
          <cell r="D2172">
            <v>0</v>
          </cell>
          <cell r="E2172">
            <v>0</v>
          </cell>
          <cell r="F2172">
            <v>0</v>
          </cell>
          <cell r="H2172">
            <v>0</v>
          </cell>
          <cell r="O2172">
            <v>400336</v>
          </cell>
          <cell r="P2172" t="str">
            <v>2025/085-0037-01</v>
          </cell>
          <cell r="Q2172" t="str">
            <v>EST MESA JANTAR MUXA (MAD B TECA NATURAL PU)</v>
          </cell>
          <cell r="R2172"/>
          <cell r="S2172"/>
          <cell r="T2172">
            <v>3</v>
          </cell>
          <cell r="U2172">
            <v>1.3</v>
          </cell>
          <cell r="V2172">
            <v>0.75</v>
          </cell>
          <cell r="W2172">
            <v>0</v>
          </cell>
          <cell r="X2172" t="str">
            <v>EST MESA JANTAR MUXA (MAD B TECA NATURAL PU) - 3x1,3x0,75H</v>
          </cell>
          <cell r="Y2172">
            <v>70182.92</v>
          </cell>
          <cell r="Z2172">
            <v>0.35</v>
          </cell>
          <cell r="AA2172">
            <v>45618.898000000001</v>
          </cell>
          <cell r="AB2172"/>
        </row>
        <row r="2173">
          <cell r="C2173">
            <v>1</v>
          </cell>
          <cell r="D2173">
            <v>0</v>
          </cell>
          <cell r="E2173">
            <v>0</v>
          </cell>
          <cell r="F2173">
            <v>0</v>
          </cell>
          <cell r="H2173">
            <v>0</v>
          </cell>
          <cell r="O2173">
            <v>407113</v>
          </cell>
          <cell r="P2173" t="str">
            <v>2025/195-0097-01</v>
          </cell>
          <cell r="Q2173" t="str">
            <v>EST MESA CENTRO ARGOLA (B) (COURO CAMEL) (MAD A TAUARI ENV)</v>
          </cell>
          <cell r="R2173"/>
          <cell r="S2173"/>
          <cell r="T2173">
            <v>1</v>
          </cell>
          <cell r="U2173">
            <v>0</v>
          </cell>
          <cell r="V2173">
            <v>0.35</v>
          </cell>
          <cell r="W2173">
            <v>1</v>
          </cell>
          <cell r="X2173" t="str">
            <v>EST MESA CENTRO ARGOLA (B) (COURO CAMEL) (MAD A TAUARI ENV) - Ø1x0,35H</v>
          </cell>
          <cell r="Y2173">
            <v>19388.900000000001</v>
          </cell>
          <cell r="Z2173">
            <v>0.35</v>
          </cell>
          <cell r="AA2173">
            <v>12602.785000000002</v>
          </cell>
          <cell r="AB2173"/>
        </row>
        <row r="2174">
          <cell r="C2174">
            <v>2</v>
          </cell>
          <cell r="D2174">
            <v>0</v>
          </cell>
          <cell r="E2174">
            <v>0</v>
          </cell>
          <cell r="F2174">
            <v>0</v>
          </cell>
          <cell r="H2174">
            <v>0</v>
          </cell>
          <cell r="O2174">
            <v>409778</v>
          </cell>
          <cell r="P2174" t="str">
            <v>2025/258-0084-01</v>
          </cell>
          <cell r="Q2174" t="str">
            <v>EST BANCO TOTI (MAD B TECA NATURAL PU)TELA SEXTAVADA NATURAL</v>
          </cell>
          <cell r="R2174"/>
          <cell r="S2174"/>
          <cell r="T2174">
            <v>0.44</v>
          </cell>
          <cell r="U2174">
            <v>0.44</v>
          </cell>
          <cell r="V2174">
            <v>0.44</v>
          </cell>
          <cell r="W2174">
            <v>0</v>
          </cell>
          <cell r="X2174" t="str">
            <v>EST BANCO TOTI (MAD B TECA NATURAL PU)TELA SEXTAVADA NATURAL - 0,44x0,44x0,44H</v>
          </cell>
          <cell r="Y2174">
            <v>5240.3900000000003</v>
          </cell>
          <cell r="Z2174">
            <v>0.35</v>
          </cell>
          <cell r="AA2174">
            <v>3406.2535000000003</v>
          </cell>
          <cell r="AB2174"/>
        </row>
        <row r="2175">
          <cell r="C2175">
            <v>2</v>
          </cell>
          <cell r="D2175">
            <v>0</v>
          </cell>
          <cell r="E2175">
            <v>0</v>
          </cell>
          <cell r="F2175">
            <v>0</v>
          </cell>
          <cell r="H2175">
            <v>0</v>
          </cell>
          <cell r="O2175">
            <v>409778</v>
          </cell>
          <cell r="P2175" t="str">
            <v>2025/258-0085-01</v>
          </cell>
          <cell r="Q2175" t="str">
            <v>EST BANCO TOTI (MAD B TECA NATURAL PU)TELA SEXTAVADA NATURAL</v>
          </cell>
          <cell r="R2175"/>
          <cell r="S2175"/>
          <cell r="T2175">
            <v>0.44</v>
          </cell>
          <cell r="U2175">
            <v>0.44</v>
          </cell>
          <cell r="V2175">
            <v>0.44</v>
          </cell>
          <cell r="W2175">
            <v>0</v>
          </cell>
          <cell r="X2175" t="str">
            <v>EST BANCO TOTI (MAD B TECA NATURAL PU)TELA SEXTAVADA NATURAL - 0,44x0,44x0,44H</v>
          </cell>
          <cell r="Y2175">
            <v>5240.3900000000003</v>
          </cell>
          <cell r="Z2175">
            <v>0.35</v>
          </cell>
          <cell r="AA2175">
            <v>3406.2535000000003</v>
          </cell>
          <cell r="AB2175"/>
        </row>
        <row r="2176">
          <cell r="C2176">
            <v>1</v>
          </cell>
          <cell r="D2176">
            <v>0</v>
          </cell>
          <cell r="E2176">
            <v>0</v>
          </cell>
          <cell r="F2176">
            <v>6</v>
          </cell>
          <cell r="H2176">
            <v>0</v>
          </cell>
          <cell r="O2176">
            <v>312385</v>
          </cell>
          <cell r="P2176" t="str">
            <v>2022/038-0022-01</v>
          </cell>
          <cell r="Q2176" t="str">
            <v>EST CADEIRA VIKY (LOURO ESPECIAL) COURO NOBUCK VERDE</v>
          </cell>
          <cell r="R2176"/>
          <cell r="S2176"/>
          <cell r="T2176">
            <v>0.53</v>
          </cell>
          <cell r="U2176">
            <v>0.59</v>
          </cell>
          <cell r="V2176">
            <v>0.83</v>
          </cell>
          <cell r="W2176">
            <v>0</v>
          </cell>
          <cell r="X2176" t="str">
            <v>EST CADEIRA VIKY (LOURO ESPECIAL) COURO NOBUCK VERDE - 0,53x0,59x0,83H</v>
          </cell>
          <cell r="Y2176">
            <v>9717.57</v>
          </cell>
          <cell r="Z2176">
            <v>0.35</v>
          </cell>
          <cell r="AA2176">
            <v>6316.4205000000002</v>
          </cell>
          <cell r="AB2176"/>
        </row>
        <row r="2177">
          <cell r="C2177">
            <v>0</v>
          </cell>
          <cell r="D2177">
            <v>0</v>
          </cell>
          <cell r="E2177">
            <v>0</v>
          </cell>
          <cell r="F2177">
            <v>0</v>
          </cell>
          <cell r="H2177">
            <v>2</v>
          </cell>
          <cell r="O2177">
            <v>62170</v>
          </cell>
          <cell r="P2177"/>
          <cell r="Q2177" t="str">
            <v>EST BANCO KAYAPO (EUCALIPTO) C/QUADRADO CENTRAL</v>
          </cell>
          <cell r="R2177"/>
          <cell r="S2177"/>
          <cell r="T2177">
            <v>0.38</v>
          </cell>
          <cell r="U2177">
            <v>0</v>
          </cell>
          <cell r="V2177">
            <v>0.45</v>
          </cell>
          <cell r="W2177">
            <v>0</v>
          </cell>
          <cell r="X2177" t="str">
            <v>EST BANCO KAYAPO (EUCALIPTO) C/QUADRADO CENTRAL - Ø0x0,45H</v>
          </cell>
          <cell r="Y2177">
            <v>0</v>
          </cell>
          <cell r="Z2177">
            <v>0</v>
          </cell>
          <cell r="AA2177">
            <v>0</v>
          </cell>
          <cell r="AB2177"/>
        </row>
        <row r="2178">
          <cell r="C2178">
            <v>0</v>
          </cell>
          <cell r="D2178">
            <v>0</v>
          </cell>
          <cell r="E2178">
            <v>0</v>
          </cell>
          <cell r="F2178">
            <v>0</v>
          </cell>
          <cell r="H2178">
            <v>1</v>
          </cell>
          <cell r="O2178">
            <v>62532</v>
          </cell>
          <cell r="P2178"/>
          <cell r="Q2178" t="str">
            <v>EST MESA JANTAR TOTAL (RESINA PRETA BRILHO) (PES ACO)</v>
          </cell>
          <cell r="R2178"/>
          <cell r="S2178"/>
          <cell r="T2178">
            <v>2</v>
          </cell>
          <cell r="U2178">
            <v>1</v>
          </cell>
          <cell r="V2178">
            <v>0.75</v>
          </cell>
          <cell r="W2178">
            <v>0</v>
          </cell>
          <cell r="X2178" t="str">
            <v>EST MESA JANTAR TOTAL (RESINA PRETA BRILHO) (PES ACO) - 2x1x0,75H</v>
          </cell>
          <cell r="Y2178">
            <v>0</v>
          </cell>
          <cell r="Z2178">
            <v>0</v>
          </cell>
          <cell r="AA2178">
            <v>0</v>
          </cell>
          <cell r="AB2178"/>
        </row>
        <row r="2179">
          <cell r="C2179">
            <v>0</v>
          </cell>
          <cell r="D2179">
            <v>0</v>
          </cell>
          <cell r="E2179">
            <v>0</v>
          </cell>
          <cell r="F2179">
            <v>0</v>
          </cell>
          <cell r="H2179">
            <v>1</v>
          </cell>
          <cell r="O2179">
            <v>62549</v>
          </cell>
          <cell r="P2179"/>
          <cell r="Q2179" t="str">
            <v>EST POLTRONA LEME BAIXA (PERCINTA COURO CRU) (FREIJO N)</v>
          </cell>
          <cell r="R2179"/>
          <cell r="S2179"/>
          <cell r="T2179">
            <v>0.75</v>
          </cell>
          <cell r="U2179">
            <v>0.8</v>
          </cell>
          <cell r="V2179">
            <v>0.85</v>
          </cell>
          <cell r="W2179">
            <v>0</v>
          </cell>
          <cell r="X2179" t="str">
            <v>EST POLTRONA LEME BAIXA (PERCINTA COURO CRU) (FREIJO N) - 0,75x0,8x0,85H</v>
          </cell>
          <cell r="Y2179">
            <v>0</v>
          </cell>
          <cell r="Z2179">
            <v>0</v>
          </cell>
          <cell r="AA2179">
            <v>0</v>
          </cell>
          <cell r="AB2179"/>
        </row>
        <row r="2180">
          <cell r="C2180">
            <v>0</v>
          </cell>
          <cell r="D2180">
            <v>0</v>
          </cell>
          <cell r="E2180">
            <v>0</v>
          </cell>
          <cell r="F2180">
            <v>0</v>
          </cell>
          <cell r="H2180">
            <v>1</v>
          </cell>
          <cell r="O2180">
            <v>62558</v>
          </cell>
          <cell r="P2180"/>
          <cell r="Q2180" t="str">
            <v>EST POLTRONA SUITE (COURO) (ALMOFADA LINHO)</v>
          </cell>
          <cell r="R2180"/>
          <cell r="S2180"/>
          <cell r="T2180">
            <v>1.1000000000000001</v>
          </cell>
          <cell r="U2180">
            <v>0.9</v>
          </cell>
          <cell r="V2180">
            <v>0.7</v>
          </cell>
          <cell r="W2180">
            <v>0</v>
          </cell>
          <cell r="X2180" t="str">
            <v>EST POLTRONA SUITE (COURO) (ALMOFADA LINHO) - 1,1x0,9x0,7H</v>
          </cell>
          <cell r="Y2180">
            <v>0</v>
          </cell>
          <cell r="Z2180">
            <v>0</v>
          </cell>
          <cell r="AA2180">
            <v>0</v>
          </cell>
          <cell r="AB2180"/>
        </row>
        <row r="2181">
          <cell r="C2181">
            <v>0</v>
          </cell>
          <cell r="D2181">
            <v>0</v>
          </cell>
          <cell r="E2181">
            <v>0</v>
          </cell>
          <cell r="F2181">
            <v>0</v>
          </cell>
          <cell r="H2181">
            <v>0</v>
          </cell>
          <cell r="O2181">
            <v>62636</v>
          </cell>
          <cell r="P2181"/>
          <cell r="Q2181" t="str">
            <v>EST CADEIRA GB01 TELA (QUADRIC TNZ) (JEQ 01)</v>
          </cell>
          <cell r="R2181"/>
          <cell r="S2181"/>
          <cell r="T2181">
            <v>0.45</v>
          </cell>
          <cell r="U2181">
            <v>0.48</v>
          </cell>
          <cell r="V2181">
            <v>0.85</v>
          </cell>
          <cell r="W2181">
            <v>0</v>
          </cell>
          <cell r="X2181" t="str">
            <v>EST CADEIRA GB01 TELA (QUADRIC TNZ) (JEQ 01) - 0,45x0,48x0,85H</v>
          </cell>
          <cell r="Y2181">
            <v>0</v>
          </cell>
          <cell r="Z2181">
            <v>0.5</v>
          </cell>
          <cell r="AA2181">
            <v>0</v>
          </cell>
          <cell r="AB2181"/>
        </row>
        <row r="2182">
          <cell r="C2182">
            <v>0</v>
          </cell>
          <cell r="D2182">
            <v>0</v>
          </cell>
          <cell r="E2182">
            <v>0</v>
          </cell>
          <cell r="F2182">
            <v>0</v>
          </cell>
          <cell r="H2182">
            <v>1</v>
          </cell>
          <cell r="O2182">
            <v>62670</v>
          </cell>
          <cell r="P2182"/>
          <cell r="Q2182" t="str">
            <v>EST REVISTEIRO BO (LAMINA IMBUIA)</v>
          </cell>
          <cell r="R2182"/>
          <cell r="S2182"/>
          <cell r="T2182">
            <v>0.27</v>
          </cell>
          <cell r="U2182">
            <v>0.36</v>
          </cell>
          <cell r="V2182">
            <v>1.83</v>
          </cell>
          <cell r="W2182">
            <v>0</v>
          </cell>
          <cell r="X2182" t="str">
            <v>EST REVISTEIRO BO (LAMINA IMBUIA) - 0,27x0,36x1,83H</v>
          </cell>
          <cell r="Y2182">
            <v>0</v>
          </cell>
          <cell r="Z2182">
            <v>0.5</v>
          </cell>
          <cell r="AA2182">
            <v>0</v>
          </cell>
          <cell r="AB2182"/>
        </row>
        <row r="2183">
          <cell r="C2183">
            <v>0</v>
          </cell>
          <cell r="D2183">
            <v>0</v>
          </cell>
          <cell r="E2183">
            <v>0</v>
          </cell>
          <cell r="F2183">
            <v>0</v>
          </cell>
          <cell r="H2183">
            <v>15</v>
          </cell>
          <cell r="O2183">
            <v>63118</v>
          </cell>
          <cell r="P2183"/>
          <cell r="Q2183" t="str">
            <v>EST BANCO MOCHO (MAD IMBUIA STAIN)</v>
          </cell>
          <cell r="R2183"/>
          <cell r="S2183"/>
          <cell r="T2183">
            <v>0.4</v>
          </cell>
          <cell r="U2183">
            <v>0.4</v>
          </cell>
          <cell r="V2183">
            <v>0.36</v>
          </cell>
          <cell r="W2183">
            <v>0</v>
          </cell>
          <cell r="X2183" t="str">
            <v>EST BANCO MOCHO (MAD IMBUIA STAIN) - 0,4x0,4x0,36H</v>
          </cell>
          <cell r="Y2183">
            <v>0</v>
          </cell>
          <cell r="Z2183">
            <v>0</v>
          </cell>
          <cell r="AA2183">
            <v>0</v>
          </cell>
          <cell r="AB2183"/>
        </row>
        <row r="2184">
          <cell r="C2184">
            <v>0</v>
          </cell>
          <cell r="D2184">
            <v>0</v>
          </cell>
          <cell r="E2184">
            <v>0</v>
          </cell>
          <cell r="F2184">
            <v>0</v>
          </cell>
          <cell r="H2184">
            <v>1</v>
          </cell>
          <cell r="O2184">
            <v>63120</v>
          </cell>
          <cell r="P2184"/>
          <cell r="Q2184" t="str">
            <v>EST BANCO NICI (FREIJO NATURAL) GRAVACAO LASER</v>
          </cell>
          <cell r="R2184"/>
          <cell r="S2184"/>
          <cell r="T2184">
            <v>1.8</v>
          </cell>
          <cell r="U2184">
            <v>0.45</v>
          </cell>
          <cell r="V2184">
            <v>0.45</v>
          </cell>
          <cell r="W2184">
            <v>0</v>
          </cell>
          <cell r="X2184" t="str">
            <v>EST BANCO NICI (FREIJO NATURAL) GRAVACAO LASER - 1,8x0,45x0,45H</v>
          </cell>
          <cell r="Y2184">
            <v>0</v>
          </cell>
          <cell r="Z2184">
            <v>0</v>
          </cell>
          <cell r="AA2184">
            <v>0</v>
          </cell>
          <cell r="AB2184"/>
        </row>
        <row r="2185">
          <cell r="C2185">
            <v>0</v>
          </cell>
          <cell r="D2185">
            <v>0</v>
          </cell>
          <cell r="E2185">
            <v>0</v>
          </cell>
          <cell r="F2185">
            <v>0</v>
          </cell>
          <cell r="H2185">
            <v>8</v>
          </cell>
          <cell r="O2185">
            <v>63146</v>
          </cell>
          <cell r="P2185"/>
          <cell r="Q2185" t="str">
            <v>EST BIOMBO ESPECIAL (RATTAN COR 3)</v>
          </cell>
          <cell r="R2185"/>
          <cell r="S2185"/>
          <cell r="T2185">
            <v>0.5</v>
          </cell>
          <cell r="U2185">
            <v>0.05</v>
          </cell>
          <cell r="V2185">
            <v>1.3</v>
          </cell>
          <cell r="W2185">
            <v>0</v>
          </cell>
          <cell r="X2185" t="str">
            <v>EST BIOMBO ESPECIAL (RATTAN COR 3) - 0,5x0,05x1,3H</v>
          </cell>
          <cell r="Y2185">
            <v>0</v>
          </cell>
          <cell r="Z2185">
            <v>0</v>
          </cell>
          <cell r="AA2185">
            <v>0</v>
          </cell>
          <cell r="AB2185"/>
        </row>
        <row r="2186">
          <cell r="C2186">
            <v>0</v>
          </cell>
          <cell r="D2186">
            <v>0</v>
          </cell>
          <cell r="E2186">
            <v>0</v>
          </cell>
          <cell r="F2186">
            <v>0</v>
          </cell>
          <cell r="H2186">
            <v>3</v>
          </cell>
          <cell r="O2186">
            <v>63157</v>
          </cell>
          <cell r="P2186"/>
          <cell r="Q2186" t="str">
            <v>EST CADEIRA 20R (CROMADO) (IPE TONALIZADO)</v>
          </cell>
          <cell r="R2186"/>
          <cell r="S2186"/>
          <cell r="T2186">
            <v>0.44</v>
          </cell>
          <cell r="U2186">
            <v>0.5</v>
          </cell>
          <cell r="V2186">
            <v>0.8</v>
          </cell>
          <cell r="W2186">
            <v>0</v>
          </cell>
          <cell r="X2186" t="str">
            <v>EST CADEIRA 20R (CROMADO) (IPE TONALIZADO) - 0,44x0,5x0,8H</v>
          </cell>
          <cell r="Y2186">
            <v>0</v>
          </cell>
          <cell r="Z2186">
            <v>0</v>
          </cell>
          <cell r="AA2186">
            <v>0</v>
          </cell>
          <cell r="AB2186"/>
        </row>
        <row r="2187">
          <cell r="C2187">
            <v>0</v>
          </cell>
          <cell r="D2187">
            <v>0</v>
          </cell>
          <cell r="E2187">
            <v>0</v>
          </cell>
          <cell r="F2187">
            <v>0</v>
          </cell>
          <cell r="H2187">
            <v>1</v>
          </cell>
          <cell r="O2187">
            <v>63166</v>
          </cell>
          <cell r="P2187"/>
          <cell r="Q2187" t="str">
            <v>EST CADEIRA ANITA ESTOFADA (JEQUITIBA)</v>
          </cell>
          <cell r="R2187"/>
          <cell r="S2187"/>
          <cell r="T2187">
            <v>0.45</v>
          </cell>
          <cell r="U2187">
            <v>0.5</v>
          </cell>
          <cell r="V2187">
            <v>0.89</v>
          </cell>
          <cell r="W2187">
            <v>0</v>
          </cell>
          <cell r="X2187" t="str">
            <v>EST CADEIRA ANITA ESTOFADA (JEQUITIBA) - 0,45x0,5x0,89H</v>
          </cell>
          <cell r="Y2187">
            <v>0</v>
          </cell>
          <cell r="Z2187">
            <v>0</v>
          </cell>
          <cell r="AA2187">
            <v>0</v>
          </cell>
          <cell r="AB2187"/>
        </row>
        <row r="2188">
          <cell r="C2188">
            <v>0</v>
          </cell>
          <cell r="D2188">
            <v>0</v>
          </cell>
          <cell r="E2188">
            <v>0</v>
          </cell>
          <cell r="F2188">
            <v>0</v>
          </cell>
          <cell r="H2188">
            <v>2</v>
          </cell>
          <cell r="O2188">
            <v>63169</v>
          </cell>
          <cell r="P2188"/>
          <cell r="Q2188" t="str">
            <v>EST CADEIRA CANTU BAIXA (MAD B COR 03) TC N 5558</v>
          </cell>
          <cell r="R2188"/>
          <cell r="S2188"/>
          <cell r="T2188">
            <v>0.5</v>
          </cell>
          <cell r="U2188">
            <v>0.55000000000000004</v>
          </cell>
          <cell r="V2188">
            <v>0.81</v>
          </cell>
          <cell r="W2188">
            <v>0</v>
          </cell>
          <cell r="X2188" t="str">
            <v>EST CADEIRA CANTU BAIXA (MAD B COR 03) TC N 5558 - 0,5x0,55x0,81H</v>
          </cell>
          <cell r="Y2188">
            <v>0</v>
          </cell>
          <cell r="Z2188">
            <v>0</v>
          </cell>
          <cell r="AA2188">
            <v>0</v>
          </cell>
          <cell r="AB2188"/>
        </row>
        <row r="2189">
          <cell r="C2189">
            <v>0</v>
          </cell>
          <cell r="D2189">
            <v>0</v>
          </cell>
          <cell r="E2189">
            <v>0</v>
          </cell>
          <cell r="F2189">
            <v>0</v>
          </cell>
          <cell r="H2189">
            <v>0</v>
          </cell>
          <cell r="O2189">
            <v>63171</v>
          </cell>
          <cell r="P2189"/>
          <cell r="Q2189" t="str">
            <v>EST CADEIRA CANTU ALTA (MAD B COR 03) TC CAMELO</v>
          </cell>
          <cell r="R2189"/>
          <cell r="S2189"/>
          <cell r="T2189">
            <v>0.5</v>
          </cell>
          <cell r="U2189">
            <v>0.55000000000000004</v>
          </cell>
          <cell r="V2189">
            <v>1.01</v>
          </cell>
          <cell r="W2189">
            <v>0</v>
          </cell>
          <cell r="X2189" t="str">
            <v>EST CADEIRA CANTU ALTA (MAD B COR 03) TC CAMELO - 0,5x0,55x1,01H</v>
          </cell>
          <cell r="Y2189">
            <v>0</v>
          </cell>
          <cell r="Z2189">
            <v>0.5</v>
          </cell>
          <cell r="AA2189">
            <v>0</v>
          </cell>
          <cell r="AB2189"/>
        </row>
        <row r="2190">
          <cell r="C2190">
            <v>0</v>
          </cell>
          <cell r="D2190">
            <v>0</v>
          </cell>
          <cell r="E2190">
            <v>0</v>
          </cell>
          <cell r="F2190">
            <v>0</v>
          </cell>
          <cell r="H2190">
            <v>1</v>
          </cell>
          <cell r="O2190">
            <v>63203</v>
          </cell>
          <cell r="P2190"/>
          <cell r="Q2190" t="str">
            <v>EST CADEIRA LUIZA ESTOFADA (IMBUIA NATURAL)</v>
          </cell>
          <cell r="R2190"/>
          <cell r="S2190"/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 t="str">
            <v>EST CADEIRA LUIZA ESTOFADA (IMBUIA NATURAL) - Ø0x0H</v>
          </cell>
          <cell r="Y2190">
            <v>0</v>
          </cell>
          <cell r="Z2190">
            <v>0</v>
          </cell>
          <cell r="AA2190">
            <v>0</v>
          </cell>
          <cell r="AB2190"/>
        </row>
        <row r="2191">
          <cell r="C2191">
            <v>0</v>
          </cell>
          <cell r="D2191">
            <v>0</v>
          </cell>
          <cell r="E2191">
            <v>0</v>
          </cell>
          <cell r="F2191">
            <v>0</v>
          </cell>
          <cell r="H2191">
            <v>1</v>
          </cell>
          <cell r="O2191">
            <v>63204</v>
          </cell>
          <cell r="P2191"/>
          <cell r="Q2191" t="str">
            <v>EST CADEIRA LUIZA CORDA CRU (JEQUITIBA NATURAL)</v>
          </cell>
          <cell r="R2191"/>
          <cell r="S2191"/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 t="str">
            <v>EST CADEIRA LUIZA CORDA CRU (JEQUITIBA NATURAL) - Ø0x0H</v>
          </cell>
          <cell r="Y2191">
            <v>0</v>
          </cell>
          <cell r="Z2191">
            <v>0</v>
          </cell>
          <cell r="AA2191">
            <v>0</v>
          </cell>
          <cell r="AB2191"/>
        </row>
        <row r="2192">
          <cell r="C2192">
            <v>0</v>
          </cell>
          <cell r="D2192">
            <v>0</v>
          </cell>
          <cell r="E2192">
            <v>0</v>
          </cell>
          <cell r="F2192">
            <v>0</v>
          </cell>
          <cell r="H2192">
            <v>0</v>
          </cell>
          <cell r="O2192">
            <v>63224</v>
          </cell>
          <cell r="P2192"/>
          <cell r="Q2192" t="str">
            <v>EST CADEIRA RIO (PEROBA DO CAMPO)</v>
          </cell>
          <cell r="R2192"/>
          <cell r="S2192"/>
          <cell r="T2192">
            <v>0.47</v>
          </cell>
          <cell r="U2192">
            <v>0.53</v>
          </cell>
          <cell r="V2192">
            <v>0.83</v>
          </cell>
          <cell r="W2192">
            <v>0</v>
          </cell>
          <cell r="X2192" t="str">
            <v>EST CADEIRA RIO (PEROBA DO CAMPO) - 0,47x0,53x0,83H</v>
          </cell>
          <cell r="Y2192">
            <v>0</v>
          </cell>
          <cell r="Z2192">
            <v>0</v>
          </cell>
          <cell r="AA2192">
            <v>0</v>
          </cell>
          <cell r="AB2192"/>
        </row>
        <row r="2193">
          <cell r="C2193">
            <v>0</v>
          </cell>
          <cell r="D2193">
            <v>0</v>
          </cell>
          <cell r="E2193">
            <v>0</v>
          </cell>
          <cell r="F2193">
            <v>0</v>
          </cell>
          <cell r="H2193">
            <v>1</v>
          </cell>
          <cell r="O2193">
            <v>63234</v>
          </cell>
          <cell r="P2193"/>
          <cell r="Q2193" t="str">
            <v>EST CADEIRA TAJA (MAD A COR 01) VERNIZ POLISTEN</v>
          </cell>
          <cell r="R2193"/>
          <cell r="S2193"/>
          <cell r="T2193">
            <v>0.43</v>
          </cell>
          <cell r="U2193">
            <v>0.46</v>
          </cell>
          <cell r="V2193">
            <v>0.73</v>
          </cell>
          <cell r="W2193">
            <v>0</v>
          </cell>
          <cell r="X2193" t="str">
            <v>EST CADEIRA TAJA (MAD A COR 01) VERNIZ POLISTEN - 0,43x0,46x0,73H</v>
          </cell>
          <cell r="Y2193">
            <v>0</v>
          </cell>
          <cell r="Z2193">
            <v>0</v>
          </cell>
          <cell r="AA2193">
            <v>0</v>
          </cell>
          <cell r="AB2193"/>
        </row>
        <row r="2194">
          <cell r="C2194">
            <v>0</v>
          </cell>
          <cell r="D2194">
            <v>0</v>
          </cell>
          <cell r="E2194">
            <v>0</v>
          </cell>
          <cell r="F2194">
            <v>0</v>
          </cell>
          <cell r="H2194">
            <v>0</v>
          </cell>
          <cell r="O2194">
            <v>63267</v>
          </cell>
          <cell r="P2194"/>
          <cell r="Q2194" t="str">
            <v>EST REVISTEIRO VECCI (G) (MADEIRA IMBUIA)</v>
          </cell>
          <cell r="R2194"/>
          <cell r="S2194"/>
          <cell r="T2194">
            <v>0.38</v>
          </cell>
          <cell r="U2194">
            <v>0.34</v>
          </cell>
          <cell r="V2194">
            <v>1.8</v>
          </cell>
          <cell r="W2194">
            <v>0</v>
          </cell>
          <cell r="X2194" t="str">
            <v>EST REVISTEIRO VECCI (G) (MADEIRA IMBUIA) - 0,38x0,34x1,8H</v>
          </cell>
          <cell r="Y2194">
            <v>0</v>
          </cell>
          <cell r="Z2194">
            <v>0.5</v>
          </cell>
          <cell r="AA2194">
            <v>0</v>
          </cell>
          <cell r="AB2194"/>
        </row>
        <row r="2195">
          <cell r="C2195">
            <v>0</v>
          </cell>
          <cell r="D2195">
            <v>0</v>
          </cell>
          <cell r="E2195">
            <v>0</v>
          </cell>
          <cell r="F2195">
            <v>0</v>
          </cell>
          <cell r="H2195">
            <v>1</v>
          </cell>
          <cell r="O2195">
            <v>63282</v>
          </cell>
          <cell r="P2195"/>
          <cell r="Q2195" t="str">
            <v>EST MESA CENTRO JONE (CHANFRO X148)</v>
          </cell>
          <cell r="R2195"/>
          <cell r="S2195"/>
          <cell r="T2195">
            <v>1.3</v>
          </cell>
          <cell r="U2195">
            <v>0</v>
          </cell>
          <cell r="V2195">
            <v>0.25</v>
          </cell>
          <cell r="W2195">
            <v>1.3</v>
          </cell>
          <cell r="X2195" t="str">
            <v>EST MESA CENTRO JONE (CHANFRO X148) - Ø1,3x0,25H</v>
          </cell>
          <cell r="Y2195">
            <v>0</v>
          </cell>
          <cell r="Z2195">
            <v>0</v>
          </cell>
          <cell r="AA2195">
            <v>0</v>
          </cell>
          <cell r="AB2195"/>
        </row>
        <row r="2196">
          <cell r="C2196">
            <v>0</v>
          </cell>
          <cell r="D2196">
            <v>0</v>
          </cell>
          <cell r="E2196">
            <v>0</v>
          </cell>
          <cell r="F2196">
            <v>0</v>
          </cell>
          <cell r="H2196">
            <v>1</v>
          </cell>
          <cell r="O2196">
            <v>63331</v>
          </cell>
          <cell r="P2196" t="str">
            <v>2015/061-0004-01</v>
          </cell>
          <cell r="Q2196" t="str">
            <v>EST MESA LATERAL PARIS (ARCO DO TRIUNFO)</v>
          </cell>
          <cell r="R2196"/>
          <cell r="S2196"/>
          <cell r="T2196">
            <v>0.6</v>
          </cell>
          <cell r="U2196">
            <v>0</v>
          </cell>
          <cell r="V2196">
            <v>0.6</v>
          </cell>
          <cell r="W2196">
            <v>0.6</v>
          </cell>
          <cell r="X2196" t="str">
            <v>EST MESA LATERAL PARIS (ARCO DO TRIUNFO) - Ø0,6x0,6H</v>
          </cell>
          <cell r="Y2196">
            <v>6375</v>
          </cell>
          <cell r="Z2196">
            <v>0</v>
          </cell>
          <cell r="AA2196">
            <v>6375</v>
          </cell>
          <cell r="AB2196"/>
        </row>
        <row r="2197">
          <cell r="C2197">
            <v>0</v>
          </cell>
          <cell r="D2197">
            <v>0</v>
          </cell>
          <cell r="E2197">
            <v>0</v>
          </cell>
          <cell r="F2197">
            <v>0</v>
          </cell>
          <cell r="H2197">
            <v>1</v>
          </cell>
          <cell r="O2197">
            <v>63383</v>
          </cell>
          <cell r="P2197"/>
          <cell r="Q2197" t="str">
            <v>EST POLTRONA OSCAR JANTAR (TELA TING) (MAD B COR 4)</v>
          </cell>
          <cell r="R2197"/>
          <cell r="S2197"/>
          <cell r="T2197">
            <v>0.7</v>
          </cell>
          <cell r="U2197">
            <v>0.61</v>
          </cell>
          <cell r="V2197">
            <v>0.85</v>
          </cell>
          <cell r="W2197">
            <v>0</v>
          </cell>
          <cell r="X2197" t="str">
            <v>EST POLTRONA OSCAR JANTAR (TELA TING) (MAD B COR 4) - 0,7x0,61x0,85H</v>
          </cell>
          <cell r="Y2197">
            <v>0</v>
          </cell>
          <cell r="Z2197">
            <v>0</v>
          </cell>
          <cell r="AA2197">
            <v>0</v>
          </cell>
          <cell r="AB2197"/>
        </row>
        <row r="2198">
          <cell r="C2198">
            <v>0</v>
          </cell>
          <cell r="D2198">
            <v>0</v>
          </cell>
          <cell r="E2198">
            <v>0</v>
          </cell>
          <cell r="F2198">
            <v>0</v>
          </cell>
          <cell r="H2198">
            <v>0</v>
          </cell>
          <cell r="O2198">
            <v>63387</v>
          </cell>
          <cell r="P2198"/>
          <cell r="Q2198" t="str">
            <v>EST POLTRONA OSCAR ESTAR (TELA ENVELHECIDA) (MAD B COR 3)</v>
          </cell>
          <cell r="R2198"/>
          <cell r="S2198"/>
          <cell r="T2198">
            <v>0.7</v>
          </cell>
          <cell r="U2198">
            <v>0.65</v>
          </cell>
          <cell r="V2198">
            <v>0.81</v>
          </cell>
          <cell r="W2198">
            <v>0</v>
          </cell>
          <cell r="X2198" t="str">
            <v>EST POLTRONA OSCAR ESTAR (TELA ENVELHECIDA) (MAD B COR 3) - 0,7x0,65x0,81H</v>
          </cell>
          <cell r="Y2198">
            <v>0</v>
          </cell>
          <cell r="Z2198">
            <v>0.5</v>
          </cell>
          <cell r="AA2198">
            <v>0</v>
          </cell>
          <cell r="AB2198"/>
        </row>
        <row r="2199">
          <cell r="C2199">
            <v>0</v>
          </cell>
          <cell r="D2199">
            <v>0</v>
          </cell>
          <cell r="E2199">
            <v>0</v>
          </cell>
          <cell r="F2199">
            <v>0</v>
          </cell>
          <cell r="H2199">
            <v>1</v>
          </cell>
          <cell r="O2199">
            <v>63416</v>
          </cell>
          <cell r="P2199"/>
          <cell r="Q2199" t="str">
            <v>EST SOFA LINA TC VELUDO CINZA PRATA</v>
          </cell>
          <cell r="R2199"/>
          <cell r="S2199"/>
          <cell r="T2199">
            <v>2.6</v>
          </cell>
          <cell r="U2199">
            <v>1</v>
          </cell>
          <cell r="V2199">
            <v>0</v>
          </cell>
          <cell r="W2199">
            <v>0</v>
          </cell>
          <cell r="X2199" t="str">
            <v>EST SOFA LINA TC VELUDO CINZA PRATA - 2,6x1x0H</v>
          </cell>
          <cell r="Y2199">
            <v>0</v>
          </cell>
          <cell r="Z2199">
            <v>0.35</v>
          </cell>
          <cell r="AA2199">
            <v>0</v>
          </cell>
          <cell r="AB2199"/>
        </row>
        <row r="2200">
          <cell r="C2200">
            <v>0</v>
          </cell>
          <cell r="D2200">
            <v>0</v>
          </cell>
          <cell r="E2200">
            <v>0</v>
          </cell>
          <cell r="F2200">
            <v>0</v>
          </cell>
          <cell r="H2200">
            <v>1</v>
          </cell>
          <cell r="O2200">
            <v>63420</v>
          </cell>
          <cell r="P2200"/>
          <cell r="Q2200" t="str">
            <v>EST MODULO PUFF LONA</v>
          </cell>
          <cell r="R2200"/>
          <cell r="S2200"/>
          <cell r="T2200">
            <v>0.86</v>
          </cell>
          <cell r="U2200">
            <v>0.86</v>
          </cell>
          <cell r="V2200">
            <v>0.38</v>
          </cell>
          <cell r="W2200">
            <v>0</v>
          </cell>
          <cell r="X2200" t="str">
            <v>EST MODULO PUFF LONA - 0,86x0,86x0,38H</v>
          </cell>
          <cell r="Y2200">
            <v>0</v>
          </cell>
          <cell r="Z2200">
            <v>0</v>
          </cell>
          <cell r="AA2200">
            <v>0</v>
          </cell>
          <cell r="AB2200"/>
        </row>
        <row r="2201">
          <cell r="C2201">
            <v>0</v>
          </cell>
          <cell r="D2201">
            <v>0</v>
          </cell>
          <cell r="E2201">
            <v>0</v>
          </cell>
          <cell r="F2201">
            <v>0</v>
          </cell>
          <cell r="H2201">
            <v>1</v>
          </cell>
          <cell r="O2201">
            <v>63753</v>
          </cell>
          <cell r="P2201"/>
          <cell r="Q2201" t="str">
            <v>EST SOFA LINA TC BEGE</v>
          </cell>
          <cell r="R2201"/>
          <cell r="S2201"/>
          <cell r="T2201">
            <v>2</v>
          </cell>
          <cell r="U2201">
            <v>0.95</v>
          </cell>
          <cell r="V2201">
            <v>0</v>
          </cell>
          <cell r="W2201">
            <v>0</v>
          </cell>
          <cell r="X2201" t="str">
            <v>EST SOFA LINA TC BEGE - 2x0,95x0H</v>
          </cell>
          <cell r="Y2201">
            <v>0</v>
          </cell>
          <cell r="Z2201">
            <v>0</v>
          </cell>
          <cell r="AA2201">
            <v>0</v>
          </cell>
          <cell r="AB2201"/>
        </row>
        <row r="2202">
          <cell r="C2202">
            <v>0</v>
          </cell>
          <cell r="D2202">
            <v>0</v>
          </cell>
          <cell r="E2202">
            <v>0</v>
          </cell>
          <cell r="F2202">
            <v>0</v>
          </cell>
          <cell r="H2202">
            <v>2</v>
          </cell>
          <cell r="O2202">
            <v>64511</v>
          </cell>
          <cell r="P2202"/>
          <cell r="Q2202" t="str">
            <v>EST CADEIRA 4X4 TECIDO FORNECIDO (AG.002/5) PRETO</v>
          </cell>
          <cell r="R2202"/>
          <cell r="S2202"/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 t="str">
            <v>EST CADEIRA 4X4 TECIDO FORNECIDO (AG.002/5) PRETO - Ø0x0H</v>
          </cell>
          <cell r="Y2202" t="str">
            <v>EST</v>
          </cell>
          <cell r="Z2202">
            <v>0</v>
          </cell>
          <cell r="AA2202" t="e">
            <v>#VALUE!</v>
          </cell>
          <cell r="AB2202"/>
        </row>
        <row r="2203">
          <cell r="C2203">
            <v>0</v>
          </cell>
          <cell r="D2203">
            <v>0</v>
          </cell>
          <cell r="E2203">
            <v>0</v>
          </cell>
          <cell r="F2203">
            <v>0</v>
          </cell>
          <cell r="H2203">
            <v>1</v>
          </cell>
          <cell r="O2203">
            <v>64543</v>
          </cell>
          <cell r="P2203"/>
          <cell r="Q2203" t="str">
            <v>EST CADEIRA CONFORME PROJETO (PROTOTIPO)</v>
          </cell>
          <cell r="R2203"/>
          <cell r="S2203"/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 t="str">
            <v>EST CADEIRA CONFORME PROJETO (PROTOTIPO) - Ø0x0H</v>
          </cell>
          <cell r="Y2203">
            <v>0</v>
          </cell>
          <cell r="Z2203">
            <v>0.35</v>
          </cell>
          <cell r="AA2203">
            <v>0</v>
          </cell>
          <cell r="AB2203"/>
        </row>
        <row r="2204">
          <cell r="C2204">
            <v>0</v>
          </cell>
          <cell r="D2204">
            <v>0</v>
          </cell>
          <cell r="E2204">
            <v>0</v>
          </cell>
          <cell r="F2204">
            <v>0</v>
          </cell>
          <cell r="H2204">
            <v>1</v>
          </cell>
          <cell r="O2204">
            <v>64714</v>
          </cell>
          <cell r="P2204"/>
          <cell r="Q2204" t="str">
            <v>EST POLTRONA OSCAR ESTAR (TELA NATURAL) (MAD A COR 2)</v>
          </cell>
          <cell r="R2204"/>
          <cell r="S2204"/>
          <cell r="T2204">
            <v>0.7</v>
          </cell>
          <cell r="U2204">
            <v>0.65</v>
          </cell>
          <cell r="V2204">
            <v>0.8</v>
          </cell>
          <cell r="W2204">
            <v>0</v>
          </cell>
          <cell r="X2204" t="str">
            <v>EST POLTRONA OSCAR ESTAR (TELA NATURAL) (MAD A COR 2) - 0,7x0,65x0,8H</v>
          </cell>
          <cell r="Y2204">
            <v>0</v>
          </cell>
          <cell r="Z2204">
            <v>0</v>
          </cell>
          <cell r="AA2204">
            <v>0</v>
          </cell>
          <cell r="AB2204"/>
        </row>
        <row r="2205">
          <cell r="C2205">
            <v>0</v>
          </cell>
          <cell r="D2205">
            <v>0</v>
          </cell>
          <cell r="E2205">
            <v>0</v>
          </cell>
          <cell r="F2205">
            <v>0</v>
          </cell>
          <cell r="H2205">
            <v>0</v>
          </cell>
          <cell r="O2205">
            <v>64985</v>
          </cell>
          <cell r="P2205"/>
          <cell r="Q2205" t="str">
            <v>EST POLTRONA OSCAR ESTAR (TELA) (LACA PRATA SAYERLACK)</v>
          </cell>
          <cell r="R2205"/>
          <cell r="S2205"/>
          <cell r="T2205">
            <v>0.7</v>
          </cell>
          <cell r="U2205">
            <v>0.65</v>
          </cell>
          <cell r="V2205">
            <v>0.8</v>
          </cell>
          <cell r="W2205">
            <v>0</v>
          </cell>
          <cell r="X2205" t="str">
            <v>EST POLTRONA OSCAR ESTAR (TELA) (LACA PRATA SAYERLACK) - 0,7x0,65x0,8H</v>
          </cell>
          <cell r="Y2205">
            <v>0</v>
          </cell>
          <cell r="Z2205">
            <v>0.5</v>
          </cell>
          <cell r="AA2205">
            <v>0</v>
          </cell>
          <cell r="AB2205"/>
        </row>
        <row r="2206">
          <cell r="C2206" t="e">
            <v>#N/A</v>
          </cell>
          <cell r="D2206" t="e">
            <v>#N/A</v>
          </cell>
          <cell r="E2206" t="e">
            <v>#N/A</v>
          </cell>
          <cell r="F2206" t="e">
            <v>#N/A</v>
          </cell>
          <cell r="H2206" t="e">
            <v>#N/A</v>
          </cell>
          <cell r="O2206">
            <v>65513</v>
          </cell>
          <cell r="P2206"/>
          <cell r="Q2206" t="e">
            <v>#N/A</v>
          </cell>
          <cell r="R2206"/>
          <cell r="S2206"/>
          <cell r="T2206" t="e">
            <v>#N/A</v>
          </cell>
          <cell r="U2206" t="e">
            <v>#N/A</v>
          </cell>
          <cell r="V2206" t="e">
            <v>#N/A</v>
          </cell>
          <cell r="W2206" t="e">
            <v>#N/A</v>
          </cell>
          <cell r="X2206" t="e">
            <v>#N/A</v>
          </cell>
          <cell r="Y2206">
            <v>0</v>
          </cell>
          <cell r="Z2206">
            <v>0</v>
          </cell>
          <cell r="AA2206">
            <v>0</v>
          </cell>
          <cell r="AB2206"/>
        </row>
        <row r="2207">
          <cell r="C2207">
            <v>0</v>
          </cell>
          <cell r="D2207">
            <v>0</v>
          </cell>
          <cell r="E2207">
            <v>0</v>
          </cell>
          <cell r="F2207">
            <v>0</v>
          </cell>
          <cell r="H2207">
            <v>0</v>
          </cell>
          <cell r="O2207">
            <v>65961</v>
          </cell>
          <cell r="P2207"/>
          <cell r="Q2207" t="str">
            <v>EST LUMINARIA TCHEKO (LATAO CROMADO)</v>
          </cell>
          <cell r="R2207"/>
          <cell r="S2207"/>
          <cell r="T2207">
            <v>0.4</v>
          </cell>
          <cell r="U2207">
            <v>0.4</v>
          </cell>
          <cell r="V2207">
            <v>0.9</v>
          </cell>
          <cell r="W2207">
            <v>0</v>
          </cell>
          <cell r="X2207" t="str">
            <v>EST LUMINARIA TCHEKO (LATAO CROMADO) - 0,4x0,4x0,9H</v>
          </cell>
          <cell r="Y2207">
            <v>0</v>
          </cell>
          <cell r="Z2207">
            <v>0</v>
          </cell>
          <cell r="AA2207">
            <v>0</v>
          </cell>
          <cell r="AB2207"/>
        </row>
        <row r="2208">
          <cell r="C2208" t="e">
            <v>#N/A</v>
          </cell>
          <cell r="D2208" t="e">
            <v>#N/A</v>
          </cell>
          <cell r="E2208" t="e">
            <v>#N/A</v>
          </cell>
          <cell r="F2208" t="e">
            <v>#N/A</v>
          </cell>
          <cell r="H2208" t="e">
            <v>#N/A</v>
          </cell>
          <cell r="O2208">
            <v>65962</v>
          </cell>
          <cell r="P2208"/>
          <cell r="Q2208" t="e">
            <v>#N/A</v>
          </cell>
          <cell r="R2208"/>
          <cell r="S2208"/>
          <cell r="T2208" t="e">
            <v>#N/A</v>
          </cell>
          <cell r="U2208" t="e">
            <v>#N/A</v>
          </cell>
          <cell r="V2208" t="e">
            <v>#N/A</v>
          </cell>
          <cell r="W2208" t="e">
            <v>#N/A</v>
          </cell>
          <cell r="X2208" t="e">
            <v>#N/A</v>
          </cell>
          <cell r="Y2208">
            <v>0</v>
          </cell>
          <cell r="Z2208">
            <v>0</v>
          </cell>
          <cell r="AA2208">
            <v>0</v>
          </cell>
          <cell r="AB2208"/>
        </row>
        <row r="2209">
          <cell r="C2209">
            <v>0</v>
          </cell>
          <cell r="D2209">
            <v>0</v>
          </cell>
          <cell r="E2209">
            <v>0</v>
          </cell>
          <cell r="F2209">
            <v>0</v>
          </cell>
          <cell r="H2209">
            <v>0</v>
          </cell>
          <cell r="O2209">
            <v>66014</v>
          </cell>
          <cell r="P2209"/>
          <cell r="Q2209" t="str">
            <v>EST POLTRONA OSCAR JANTAR (TELA NATURAL) (MAD A COR 2)</v>
          </cell>
          <cell r="R2209"/>
          <cell r="S2209"/>
          <cell r="T2209">
            <v>0.7</v>
          </cell>
          <cell r="U2209">
            <v>0.61</v>
          </cell>
          <cell r="V2209">
            <v>0.85</v>
          </cell>
          <cell r="W2209">
            <v>0</v>
          </cell>
          <cell r="X2209" t="str">
            <v>EST POLTRONA OSCAR JANTAR (TELA NATURAL) (MAD A COR 2) - 0,7x0,61x0,85H</v>
          </cell>
          <cell r="Y2209">
            <v>0</v>
          </cell>
          <cell r="Z2209">
            <v>0</v>
          </cell>
          <cell r="AA2209">
            <v>0</v>
          </cell>
          <cell r="AB2209"/>
        </row>
        <row r="2210">
          <cell r="C2210">
            <v>0</v>
          </cell>
          <cell r="D2210">
            <v>0</v>
          </cell>
          <cell r="E2210">
            <v>0</v>
          </cell>
          <cell r="F2210">
            <v>0</v>
          </cell>
          <cell r="H2210">
            <v>1</v>
          </cell>
          <cell r="O2210">
            <v>67996</v>
          </cell>
          <cell r="P2210"/>
          <cell r="Q2210" t="str">
            <v>EST POLTRONA VOLTAIRE (MAD A COR 01) TC COLOR TAUPE FLORAL</v>
          </cell>
          <cell r="R2210"/>
          <cell r="S2210"/>
          <cell r="T2210">
            <v>0.83</v>
          </cell>
          <cell r="U2210">
            <v>0.88</v>
          </cell>
          <cell r="V2210">
            <v>0.98</v>
          </cell>
          <cell r="W2210">
            <v>0</v>
          </cell>
          <cell r="X2210" t="str">
            <v>EST POLTRONA VOLTAIRE (MAD A COR 01) TC COLOR TAUPE FLORAL - 0,83x0,88x0,98H</v>
          </cell>
          <cell r="Y2210">
            <v>0</v>
          </cell>
          <cell r="Z2210">
            <v>0</v>
          </cell>
          <cell r="AA2210">
            <v>0</v>
          </cell>
          <cell r="AB2210"/>
        </row>
        <row r="2211">
          <cell r="C2211">
            <v>0</v>
          </cell>
          <cell r="D2211">
            <v>0</v>
          </cell>
          <cell r="E2211">
            <v>0</v>
          </cell>
          <cell r="F2211">
            <v>0</v>
          </cell>
          <cell r="H2211">
            <v>1</v>
          </cell>
          <cell r="O2211">
            <v>67998</v>
          </cell>
          <cell r="P2211"/>
          <cell r="Q2211" t="str">
            <v>EST BANQUETA VOLTAIRE (MAD A COR 01) TC COLOR TAUPE FLORAL</v>
          </cell>
          <cell r="R2211"/>
          <cell r="S2211"/>
          <cell r="T2211">
            <v>0.67</v>
          </cell>
          <cell r="U2211">
            <v>0.46</v>
          </cell>
          <cell r="V2211">
            <v>0.43</v>
          </cell>
          <cell r="W2211">
            <v>0</v>
          </cell>
          <cell r="X2211" t="str">
            <v>EST BANQUETA VOLTAIRE (MAD A COR 01) TC COLOR TAUPE FLORAL - 0,67x0,46x0,43H</v>
          </cell>
          <cell r="Y2211">
            <v>0</v>
          </cell>
          <cell r="Z2211">
            <v>0</v>
          </cell>
          <cell r="AA2211">
            <v>0</v>
          </cell>
          <cell r="AB2211"/>
        </row>
        <row r="2212">
          <cell r="C2212">
            <v>0</v>
          </cell>
          <cell r="D2212">
            <v>0</v>
          </cell>
          <cell r="E2212">
            <v>0</v>
          </cell>
          <cell r="F2212">
            <v>0</v>
          </cell>
          <cell r="H2212">
            <v>0</v>
          </cell>
          <cell r="O2212">
            <v>77672</v>
          </cell>
          <cell r="P2212"/>
          <cell r="Q2212" t="str">
            <v>EST CADEIRA PAJAROS AMAZONICOS (LACA PRETA COLOR)</v>
          </cell>
          <cell r="R2212"/>
          <cell r="S2212"/>
          <cell r="T2212">
            <v>0.45</v>
          </cell>
          <cell r="U2212">
            <v>0.54</v>
          </cell>
          <cell r="V2212">
            <v>0.82</v>
          </cell>
          <cell r="W2212">
            <v>0</v>
          </cell>
          <cell r="X2212" t="str">
            <v>EST CADEIRA PAJAROS AMAZONICOS (LACA PRETA COLOR) - 0,45x0,54x0,82H</v>
          </cell>
          <cell r="Y2212">
            <v>0</v>
          </cell>
          <cell r="Z2212">
            <v>0</v>
          </cell>
          <cell r="AA2212">
            <v>0</v>
          </cell>
          <cell r="AB2212"/>
        </row>
        <row r="2213">
          <cell r="C2213">
            <v>0</v>
          </cell>
          <cell r="D2213">
            <v>0</v>
          </cell>
          <cell r="E2213">
            <v>0</v>
          </cell>
          <cell r="F2213">
            <v>0</v>
          </cell>
          <cell r="H2213">
            <v>1</v>
          </cell>
          <cell r="O2213">
            <v>77836</v>
          </cell>
          <cell r="P2213"/>
          <cell r="Q2213" t="str">
            <v>EST POLTRONA BOSSA NOVA (ALFIO LISI) COURO ATANADO CRU</v>
          </cell>
          <cell r="R2213"/>
          <cell r="S2213"/>
          <cell r="T2213">
            <v>0.72</v>
          </cell>
          <cell r="U2213">
            <v>0.57999999999999996</v>
          </cell>
          <cell r="V2213">
            <v>0.8</v>
          </cell>
          <cell r="W2213">
            <v>0</v>
          </cell>
          <cell r="X2213" t="str">
            <v>EST POLTRONA BOSSA NOVA (ALFIO LISI) COURO ATANADO CRU - 0,72x0,58x0,8H</v>
          </cell>
          <cell r="Y2213">
            <v>0</v>
          </cell>
          <cell r="Z2213">
            <v>0</v>
          </cell>
          <cell r="AA2213">
            <v>0</v>
          </cell>
          <cell r="AB2213"/>
        </row>
        <row r="2214">
          <cell r="C2214">
            <v>0</v>
          </cell>
          <cell r="D2214">
            <v>0</v>
          </cell>
          <cell r="E2214">
            <v>0</v>
          </cell>
          <cell r="F2214">
            <v>0</v>
          </cell>
          <cell r="H2214">
            <v>1</v>
          </cell>
          <cell r="O2214">
            <v>77842</v>
          </cell>
          <cell r="P2214"/>
          <cell r="Q2214" t="str">
            <v>EST BANQUETA BOSSA NOVA (ALFIO LISI) COURO ATANADO CRU</v>
          </cell>
          <cell r="R2214"/>
          <cell r="S2214"/>
          <cell r="T2214">
            <v>0.62</v>
          </cell>
          <cell r="U2214">
            <v>0.44</v>
          </cell>
          <cell r="V2214">
            <v>0.44</v>
          </cell>
          <cell r="W2214">
            <v>0</v>
          </cell>
          <cell r="X2214" t="str">
            <v>EST BANQUETA BOSSA NOVA (ALFIO LISI) COURO ATANADO CRU - 0,62x0,44x0,44H</v>
          </cell>
          <cell r="Y2214">
            <v>0</v>
          </cell>
          <cell r="Z2214">
            <v>0</v>
          </cell>
          <cell r="AA2214">
            <v>0</v>
          </cell>
          <cell r="AB2214"/>
        </row>
        <row r="2215">
          <cell r="C2215">
            <v>0</v>
          </cell>
          <cell r="D2215">
            <v>0</v>
          </cell>
          <cell r="E2215">
            <v>0</v>
          </cell>
          <cell r="F2215">
            <v>0</v>
          </cell>
          <cell r="H2215">
            <v>1</v>
          </cell>
          <cell r="O2215">
            <v>78080</v>
          </cell>
          <cell r="P2215"/>
          <cell r="Q2215" t="str">
            <v>EST BIOMBO MEMORIAS 190X62X180H FREIJO/TECIDO 3 FOLHAS</v>
          </cell>
          <cell r="R2215"/>
          <cell r="S2215"/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 t="str">
            <v>EST BIOMBO MEMORIAS 190X62X180H FREIJO/TECIDO 3 FOLHAS - Ø0x0H</v>
          </cell>
          <cell r="Y2215">
            <v>0</v>
          </cell>
          <cell r="Z2215">
            <v>0.35</v>
          </cell>
          <cell r="AA2215">
            <v>0</v>
          </cell>
          <cell r="AB2215"/>
        </row>
        <row r="2216">
          <cell r="C2216">
            <v>0</v>
          </cell>
          <cell r="D2216">
            <v>0</v>
          </cell>
          <cell r="E2216">
            <v>0</v>
          </cell>
          <cell r="F2216">
            <v>0</v>
          </cell>
          <cell r="H2216">
            <v>1</v>
          </cell>
          <cell r="O2216">
            <v>78185</v>
          </cell>
          <cell r="P2216"/>
          <cell r="Q2216" t="str">
            <v>EST POLTRONA ZANINE N (FREIJO EBANIZADO) TC ALGODAO 152/1</v>
          </cell>
          <cell r="R2216"/>
          <cell r="S2216"/>
          <cell r="T2216">
            <v>0.71</v>
          </cell>
          <cell r="U2216">
            <v>0.67</v>
          </cell>
          <cell r="V2216">
            <v>0.7</v>
          </cell>
          <cell r="W2216">
            <v>0</v>
          </cell>
          <cell r="X2216" t="str">
            <v>EST POLTRONA ZANINE N (FREIJO EBANIZADO) TC ALGODAO 152/1 - 0,71x0,67x0,7H</v>
          </cell>
          <cell r="Y2216">
            <v>0</v>
          </cell>
          <cell r="Z2216">
            <v>0</v>
          </cell>
          <cell r="AA2216">
            <v>0</v>
          </cell>
          <cell r="AB2216"/>
        </row>
        <row r="2217">
          <cell r="C2217">
            <v>0</v>
          </cell>
          <cell r="D2217">
            <v>0</v>
          </cell>
          <cell r="E2217">
            <v>0</v>
          </cell>
          <cell r="F2217">
            <v>0</v>
          </cell>
          <cell r="H2217">
            <v>0</v>
          </cell>
          <cell r="O2217">
            <v>78247</v>
          </cell>
          <cell r="P2217"/>
          <cell r="Q2217" t="str">
            <v>EST CADEIRA ORQUIDEA (MAD A CATUABA NT) COURO CAMURCA-AVESSO</v>
          </cell>
          <cell r="R2217"/>
          <cell r="S2217"/>
          <cell r="T2217">
            <v>0.47</v>
          </cell>
          <cell r="U2217">
            <v>0.55000000000000004</v>
          </cell>
          <cell r="V2217">
            <v>0.79</v>
          </cell>
          <cell r="W2217">
            <v>0</v>
          </cell>
          <cell r="X2217" t="str">
            <v>EST CADEIRA ORQUIDEA (MAD A CATUABA NT) COURO CAMURCA-AVESSO - 0,47x0,55x0,79H</v>
          </cell>
          <cell r="Y2217">
            <v>0</v>
          </cell>
          <cell r="Z2217">
            <v>0.5</v>
          </cell>
          <cell r="AA2217">
            <v>0</v>
          </cell>
          <cell r="AB2217"/>
        </row>
        <row r="2218">
          <cell r="C2218">
            <v>0</v>
          </cell>
          <cell r="D2218">
            <v>0</v>
          </cell>
          <cell r="E2218">
            <v>0</v>
          </cell>
          <cell r="F2218">
            <v>0</v>
          </cell>
          <cell r="H2218">
            <v>0</v>
          </cell>
          <cell r="O2218">
            <v>78252</v>
          </cell>
          <cell r="P2218"/>
          <cell r="Q2218" t="str">
            <v>EST POLTRONA SAND (MAD A JEQ TABACO) COURO CAMURCA AREIA</v>
          </cell>
          <cell r="R2218"/>
          <cell r="S2218"/>
          <cell r="T2218">
            <v>0.8</v>
          </cell>
          <cell r="U2218">
            <v>0.86</v>
          </cell>
          <cell r="V2218">
            <v>0.76</v>
          </cell>
          <cell r="W2218">
            <v>0</v>
          </cell>
          <cell r="X2218" t="str">
            <v>EST POLTRONA SAND (MAD A JEQ TABACO) COURO CAMURCA AREIA - 0,8x0,86x0,76H</v>
          </cell>
          <cell r="Y2218">
            <v>0</v>
          </cell>
          <cell r="Z2218">
            <v>0.5</v>
          </cell>
          <cell r="AA2218">
            <v>0</v>
          </cell>
          <cell r="AB2218"/>
        </row>
        <row r="2219">
          <cell r="C2219">
            <v>0</v>
          </cell>
          <cell r="D2219">
            <v>0</v>
          </cell>
          <cell r="E2219">
            <v>0</v>
          </cell>
          <cell r="F2219">
            <v>0</v>
          </cell>
          <cell r="H2219">
            <v>1</v>
          </cell>
          <cell r="O2219">
            <v>78387</v>
          </cell>
          <cell r="P2219"/>
          <cell r="Q2219" t="str">
            <v>EST POLTRONA JIMI (MAD A COR 01) TC 9115 COR 7</v>
          </cell>
          <cell r="R2219"/>
          <cell r="S2219"/>
          <cell r="T2219">
            <v>0.71</v>
          </cell>
          <cell r="U2219">
            <v>0.8</v>
          </cell>
          <cell r="V2219">
            <v>0.75</v>
          </cell>
          <cell r="W2219">
            <v>0</v>
          </cell>
          <cell r="X2219" t="str">
            <v>EST POLTRONA JIMI (MAD A COR 01) TC 9115 COR 7 - 0,71x0,8x0,75H</v>
          </cell>
          <cell r="Y2219">
            <v>0</v>
          </cell>
          <cell r="Z2219">
            <v>0</v>
          </cell>
          <cell r="AA2219">
            <v>0</v>
          </cell>
          <cell r="AB2219"/>
        </row>
        <row r="2220">
          <cell r="C2220">
            <v>0</v>
          </cell>
          <cell r="D2220">
            <v>0</v>
          </cell>
          <cell r="E2220">
            <v>0</v>
          </cell>
          <cell r="F2220">
            <v>0</v>
          </cell>
          <cell r="H2220">
            <v>1</v>
          </cell>
          <cell r="O2220">
            <v>80071</v>
          </cell>
          <cell r="P2220"/>
          <cell r="Q2220" t="str">
            <v>EST BANCO KRAFT NATURAL (01 LUG)</v>
          </cell>
          <cell r="R2220"/>
          <cell r="S2220"/>
          <cell r="T2220">
            <v>0.5</v>
          </cell>
          <cell r="U2220">
            <v>0.5</v>
          </cell>
          <cell r="V2220">
            <v>0.45</v>
          </cell>
          <cell r="W2220">
            <v>0</v>
          </cell>
          <cell r="X2220" t="str">
            <v>EST BANCO KRAFT NATURAL (01 LUG) - 0,5x0,5x0,45H</v>
          </cell>
          <cell r="Y2220">
            <v>0</v>
          </cell>
          <cell r="Z2220">
            <v>0</v>
          </cell>
          <cell r="AA2220">
            <v>0</v>
          </cell>
          <cell r="AB2220"/>
        </row>
        <row r="2221">
          <cell r="C2221">
            <v>0</v>
          </cell>
          <cell r="D2221">
            <v>0</v>
          </cell>
          <cell r="E2221">
            <v>0</v>
          </cell>
          <cell r="F2221">
            <v>0</v>
          </cell>
          <cell r="H2221">
            <v>0</v>
          </cell>
          <cell r="O2221">
            <v>80217</v>
          </cell>
          <cell r="P2221"/>
          <cell r="Q2221" t="str">
            <v>EST CADEIRA CONCRETA I (CUMARU E CARVALHO)</v>
          </cell>
          <cell r="R2221"/>
          <cell r="S2221"/>
          <cell r="T2221">
            <v>0.61</v>
          </cell>
          <cell r="U2221">
            <v>0.56999999999999995</v>
          </cell>
          <cell r="V2221">
            <v>0.86</v>
          </cell>
          <cell r="W2221">
            <v>0</v>
          </cell>
          <cell r="X2221" t="str">
            <v>EST CADEIRA CONCRETA I (CUMARU E CARVALHO) - 0,61x0,57x0,86H</v>
          </cell>
          <cell r="Y2221">
            <v>0</v>
          </cell>
          <cell r="Z2221">
            <v>0</v>
          </cell>
          <cell r="AA2221">
            <v>0</v>
          </cell>
          <cell r="AB2221"/>
        </row>
        <row r="2222">
          <cell r="C2222">
            <v>0</v>
          </cell>
          <cell r="D2222">
            <v>0</v>
          </cell>
          <cell r="E2222">
            <v>0</v>
          </cell>
          <cell r="F2222">
            <v>0</v>
          </cell>
          <cell r="H2222">
            <v>0</v>
          </cell>
          <cell r="O2222">
            <v>80219</v>
          </cell>
          <cell r="P2222"/>
          <cell r="Q2222" t="str">
            <v>EST CADEIRA CONCRETA II (IPE E SUCUPIRA)</v>
          </cell>
          <cell r="R2222"/>
          <cell r="S2222"/>
          <cell r="T2222">
            <v>0.66</v>
          </cell>
          <cell r="U2222">
            <v>0.66</v>
          </cell>
          <cell r="V2222">
            <v>0.85</v>
          </cell>
          <cell r="W2222">
            <v>0</v>
          </cell>
          <cell r="X2222" t="str">
            <v>EST CADEIRA CONCRETA II (IPE E SUCUPIRA) - 0,66x0,66x0,85H</v>
          </cell>
          <cell r="Y2222">
            <v>0</v>
          </cell>
          <cell r="Z2222">
            <v>0</v>
          </cell>
          <cell r="AA2222">
            <v>0</v>
          </cell>
          <cell r="AB2222"/>
        </row>
        <row r="2223">
          <cell r="C2223">
            <v>0</v>
          </cell>
          <cell r="D2223">
            <v>0</v>
          </cell>
          <cell r="E2223">
            <v>0</v>
          </cell>
          <cell r="F2223">
            <v>0</v>
          </cell>
          <cell r="H2223">
            <v>0</v>
          </cell>
          <cell r="O2223">
            <v>80929</v>
          </cell>
          <cell r="P2223"/>
          <cell r="Q2223" t="str">
            <v>EST CHAISE DEPOIS DA FEIRA (PEROBA E FELTRO)</v>
          </cell>
          <cell r="R2223"/>
          <cell r="S2223"/>
          <cell r="T2223">
            <v>1.8</v>
          </cell>
          <cell r="U2223">
            <v>0.5</v>
          </cell>
          <cell r="V2223">
            <v>0.72</v>
          </cell>
          <cell r="W2223">
            <v>0</v>
          </cell>
          <cell r="X2223" t="str">
            <v>EST CHAISE DEPOIS DA FEIRA (PEROBA E FELTRO) - 1,8x0,5x0,72H</v>
          </cell>
          <cell r="Y2223">
            <v>0</v>
          </cell>
          <cell r="Z2223">
            <v>0</v>
          </cell>
          <cell r="AA2223">
            <v>0</v>
          </cell>
          <cell r="AB2223"/>
        </row>
        <row r="2224">
          <cell r="C2224">
            <v>0</v>
          </cell>
          <cell r="D2224">
            <v>0</v>
          </cell>
          <cell r="E2224">
            <v>0</v>
          </cell>
          <cell r="F2224">
            <v>0</v>
          </cell>
          <cell r="H2224">
            <v>2</v>
          </cell>
          <cell r="O2224">
            <v>81213</v>
          </cell>
          <cell r="P2224"/>
          <cell r="Q2224" t="str">
            <v>EST POLTRONA GAIVOTA (LYPTUS MEL)</v>
          </cell>
          <cell r="R2224"/>
          <cell r="S2224"/>
          <cell r="T2224">
            <v>0.56999999999999995</v>
          </cell>
          <cell r="U2224">
            <v>1.0900000000000001</v>
          </cell>
          <cell r="V2224">
            <v>0.93</v>
          </cell>
          <cell r="W2224">
            <v>0</v>
          </cell>
          <cell r="X2224" t="str">
            <v>EST POLTRONA GAIVOTA (LYPTUS MEL) - 0,57x1,09x0,93H</v>
          </cell>
          <cell r="Y2224">
            <v>0</v>
          </cell>
          <cell r="Z2224">
            <v>0</v>
          </cell>
          <cell r="AA2224">
            <v>0</v>
          </cell>
          <cell r="AB2224"/>
        </row>
        <row r="2225">
          <cell r="C2225">
            <v>0</v>
          </cell>
          <cell r="D2225">
            <v>0</v>
          </cell>
          <cell r="E2225">
            <v>0</v>
          </cell>
          <cell r="F2225">
            <v>0</v>
          </cell>
          <cell r="H2225">
            <v>1</v>
          </cell>
          <cell r="O2225">
            <v>81215</v>
          </cell>
          <cell r="P2225"/>
          <cell r="Q2225" t="str">
            <v>EST POLTRONA ARCO IRIS (LYPTUS MEL)</v>
          </cell>
          <cell r="R2225"/>
          <cell r="S2225"/>
          <cell r="T2225">
            <v>0.47</v>
          </cell>
          <cell r="U2225">
            <v>0.81</v>
          </cell>
          <cell r="V2225">
            <v>0.96</v>
          </cell>
          <cell r="W2225">
            <v>0</v>
          </cell>
          <cell r="X2225" t="str">
            <v>EST POLTRONA ARCO IRIS (LYPTUS MEL) - 0,47x0,81x0,96H</v>
          </cell>
          <cell r="Y2225">
            <v>0</v>
          </cell>
          <cell r="Z2225">
            <v>0.5</v>
          </cell>
          <cell r="AA2225">
            <v>0</v>
          </cell>
          <cell r="AB2225"/>
        </row>
        <row r="2226">
          <cell r="C2226">
            <v>0</v>
          </cell>
          <cell r="D2226">
            <v>0</v>
          </cell>
          <cell r="E2226">
            <v>0</v>
          </cell>
          <cell r="F2226">
            <v>0</v>
          </cell>
          <cell r="H2226">
            <v>0</v>
          </cell>
          <cell r="O2226">
            <v>81715</v>
          </cell>
          <cell r="P2226"/>
          <cell r="Q2226" t="str">
            <v>EST COMPONENTE ALMOFADA (CHAISE TIMBO) TC LONA VERDE MILITAR</v>
          </cell>
          <cell r="R2226"/>
          <cell r="S2226"/>
          <cell r="T2226">
            <v>1.92</v>
          </cell>
          <cell r="U2226">
            <v>0.67</v>
          </cell>
          <cell r="V2226">
            <v>0.14000000000000001</v>
          </cell>
          <cell r="W2226">
            <v>0</v>
          </cell>
          <cell r="X2226" t="str">
            <v>EST COMPONENTE ALMOFADA (CHAISE TIMBO) TC LONA VERDE MILITAR - 1,92x0,67x0,14H</v>
          </cell>
          <cell r="Y2226">
            <v>0</v>
          </cell>
          <cell r="Z2226">
            <v>0.5</v>
          </cell>
          <cell r="AA2226">
            <v>0</v>
          </cell>
          <cell r="AB2226"/>
        </row>
        <row r="2227">
          <cell r="C2227">
            <v>0</v>
          </cell>
          <cell r="D2227">
            <v>0</v>
          </cell>
          <cell r="E2227">
            <v>0</v>
          </cell>
          <cell r="F2227">
            <v>0</v>
          </cell>
          <cell r="H2227">
            <v>1</v>
          </cell>
          <cell r="O2227">
            <v>82246</v>
          </cell>
          <cell r="P2227"/>
          <cell r="Q2227" t="str">
            <v>EST BANCO FLORESTA P (MADEIRA TAXI)</v>
          </cell>
          <cell r="R2227"/>
          <cell r="S2227"/>
          <cell r="T2227">
            <v>0.39</v>
          </cell>
          <cell r="U2227">
            <v>0.39</v>
          </cell>
          <cell r="V2227">
            <v>0.45</v>
          </cell>
          <cell r="W2227">
            <v>0</v>
          </cell>
          <cell r="X2227" t="str">
            <v>EST BANCO FLORESTA P (MADEIRA TAXI) - 0,39x0,39x0,45H</v>
          </cell>
          <cell r="Y2227">
            <v>0</v>
          </cell>
          <cell r="Z2227">
            <v>0</v>
          </cell>
          <cell r="AA2227">
            <v>0</v>
          </cell>
          <cell r="AB2227"/>
        </row>
        <row r="2228">
          <cell r="C2228">
            <v>0</v>
          </cell>
          <cell r="D2228">
            <v>0</v>
          </cell>
          <cell r="E2228">
            <v>0</v>
          </cell>
          <cell r="F2228">
            <v>0</v>
          </cell>
          <cell r="H2228">
            <v>2</v>
          </cell>
          <cell r="O2228">
            <v>82385</v>
          </cell>
          <cell r="P2228"/>
          <cell r="Q2228" t="str">
            <v>EST CADEIRA ZANINE I (TAUARI NATURAL) TC CRU/MARROM/ROSA</v>
          </cell>
          <cell r="R2228"/>
          <cell r="S2228"/>
          <cell r="T2228">
            <v>0.47</v>
          </cell>
          <cell r="U2228">
            <v>0.56999999999999995</v>
          </cell>
          <cell r="V2228">
            <v>0.81</v>
          </cell>
          <cell r="W2228">
            <v>0</v>
          </cell>
          <cell r="X2228" t="str">
            <v>EST CADEIRA ZANINE I (TAUARI NATURAL) TC CRU/MARROM/ROSA - 0,47x0,57x0,81H</v>
          </cell>
          <cell r="Y2228">
            <v>0</v>
          </cell>
          <cell r="Z2228">
            <v>0</v>
          </cell>
          <cell r="AA2228">
            <v>0</v>
          </cell>
          <cell r="AB2228"/>
        </row>
        <row r="2229">
          <cell r="C2229">
            <v>0</v>
          </cell>
          <cell r="D2229">
            <v>0</v>
          </cell>
          <cell r="E2229">
            <v>0</v>
          </cell>
          <cell r="F2229">
            <v>0</v>
          </cell>
          <cell r="H2229">
            <v>1</v>
          </cell>
          <cell r="O2229">
            <v>82536</v>
          </cell>
          <cell r="P2229"/>
          <cell r="Q2229" t="str">
            <v>EST POLTRONA BETO INOX POLIDO (MAD B 05) TC CHENILLE BEGE</v>
          </cell>
          <cell r="R2229"/>
          <cell r="S2229"/>
          <cell r="T2229">
            <v>0.84</v>
          </cell>
          <cell r="U2229">
            <v>0.75</v>
          </cell>
          <cell r="V2229">
            <v>0.71</v>
          </cell>
          <cell r="W2229">
            <v>0</v>
          </cell>
          <cell r="X2229" t="str">
            <v>EST POLTRONA BETO INOX POLIDO (MAD B 05) TC CHENILLE BEGE - 0,84x0,75x0,71H</v>
          </cell>
          <cell r="Y2229">
            <v>0</v>
          </cell>
          <cell r="Z2229">
            <v>0</v>
          </cell>
          <cell r="AA2229">
            <v>0</v>
          </cell>
          <cell r="AB2229"/>
        </row>
        <row r="2230">
          <cell r="C2230">
            <v>0</v>
          </cell>
          <cell r="D2230">
            <v>0</v>
          </cell>
          <cell r="E2230">
            <v>0</v>
          </cell>
          <cell r="F2230">
            <v>0</v>
          </cell>
          <cell r="H2230">
            <v>1</v>
          </cell>
          <cell r="O2230">
            <v>84655</v>
          </cell>
          <cell r="P2230"/>
          <cell r="Q2230" t="str">
            <v>EST PUFF CONDADO TC 002</v>
          </cell>
          <cell r="R2230"/>
          <cell r="S2230"/>
          <cell r="T2230">
            <v>1.2</v>
          </cell>
          <cell r="U2230">
            <v>0.7</v>
          </cell>
          <cell r="V2230">
            <v>0</v>
          </cell>
          <cell r="W2230">
            <v>0</v>
          </cell>
          <cell r="X2230" t="str">
            <v>EST PUFF CONDADO TC 002 - 1,2x0,7x0H</v>
          </cell>
          <cell r="Y2230">
            <v>0</v>
          </cell>
          <cell r="Z2230">
            <v>0</v>
          </cell>
          <cell r="AA2230">
            <v>0</v>
          </cell>
          <cell r="AB2230"/>
        </row>
        <row r="2231">
          <cell r="C2231">
            <v>0</v>
          </cell>
          <cell r="D2231">
            <v>0</v>
          </cell>
          <cell r="E2231">
            <v>0</v>
          </cell>
          <cell r="F2231">
            <v>0</v>
          </cell>
          <cell r="H2231">
            <v>0</v>
          </cell>
          <cell r="O2231">
            <v>84683</v>
          </cell>
          <cell r="P2231"/>
          <cell r="Q2231" t="str">
            <v>EST CADEIRA GB01 MISTA (JEQ 01) (QUADRIC NT) TC LINHO FORN</v>
          </cell>
          <cell r="R2231"/>
          <cell r="S2231"/>
          <cell r="T2231">
            <v>0.45</v>
          </cell>
          <cell r="U2231">
            <v>0.48</v>
          </cell>
          <cell r="V2231">
            <v>0.85</v>
          </cell>
          <cell r="W2231">
            <v>0</v>
          </cell>
          <cell r="X2231" t="str">
            <v>EST CADEIRA GB01 MISTA (JEQ 01) (QUADRIC NT) TC LINHO FORN - 0,45x0,48x0,85H</v>
          </cell>
          <cell r="Y2231">
            <v>0</v>
          </cell>
          <cell r="Z2231">
            <v>0.5</v>
          </cell>
          <cell r="AA2231">
            <v>0</v>
          </cell>
          <cell r="AB2231"/>
        </row>
        <row r="2232">
          <cell r="C2232">
            <v>0</v>
          </cell>
          <cell r="D2232">
            <v>0</v>
          </cell>
          <cell r="E2232">
            <v>0</v>
          </cell>
          <cell r="F2232">
            <v>0</v>
          </cell>
          <cell r="H2232">
            <v>1</v>
          </cell>
          <cell r="O2232">
            <v>86329</v>
          </cell>
          <cell r="P2232"/>
          <cell r="Q2232" t="str">
            <v>EST CADEIRA BRERA (FREIJO ENV) ASS/ENC TELA</v>
          </cell>
          <cell r="R2232"/>
          <cell r="S2232"/>
          <cell r="T2232">
            <v>0.44</v>
          </cell>
          <cell r="U2232">
            <v>0.51</v>
          </cell>
          <cell r="V2232">
            <v>0.81</v>
          </cell>
          <cell r="W2232">
            <v>0</v>
          </cell>
          <cell r="X2232" t="str">
            <v>EST CADEIRA BRERA (FREIJO ENV) ASS/ENC TELA - 0,44x0,51x0,81H</v>
          </cell>
          <cell r="Y2232">
            <v>0</v>
          </cell>
          <cell r="Z2232">
            <v>0</v>
          </cell>
          <cell r="AA2232">
            <v>0</v>
          </cell>
          <cell r="AB2232"/>
        </row>
        <row r="2233">
          <cell r="C2233">
            <v>0</v>
          </cell>
          <cell r="D2233">
            <v>0</v>
          </cell>
          <cell r="E2233">
            <v>0</v>
          </cell>
          <cell r="F2233">
            <v>0</v>
          </cell>
          <cell r="H2233">
            <v>1</v>
          </cell>
          <cell r="O2233">
            <v>87146</v>
          </cell>
          <cell r="P2233"/>
          <cell r="Q2233" t="str">
            <v>EST POLTRONA OSCAR ESTAR (TELA NATURAL) (LACA LARANJA)</v>
          </cell>
          <cell r="R2233"/>
          <cell r="S2233"/>
          <cell r="T2233">
            <v>0.7</v>
          </cell>
          <cell r="U2233">
            <v>0.65</v>
          </cell>
          <cell r="V2233">
            <v>0.8</v>
          </cell>
          <cell r="W2233">
            <v>0</v>
          </cell>
          <cell r="X2233" t="str">
            <v>EST POLTRONA OSCAR ESTAR (TELA NATURAL) (LACA LARANJA) - 0,7x0,65x0,8H</v>
          </cell>
          <cell r="Y2233">
            <v>0</v>
          </cell>
          <cell r="Z2233">
            <v>0</v>
          </cell>
          <cell r="AA2233">
            <v>0</v>
          </cell>
          <cell r="AB2233"/>
        </row>
        <row r="2234">
          <cell r="C2234">
            <v>0</v>
          </cell>
          <cell r="D2234">
            <v>0</v>
          </cell>
          <cell r="E2234">
            <v>0</v>
          </cell>
          <cell r="F2234">
            <v>0</v>
          </cell>
          <cell r="H2234">
            <v>2</v>
          </cell>
          <cell r="O2234">
            <v>87978</v>
          </cell>
          <cell r="P2234"/>
          <cell r="Q2234" t="str">
            <v>EST POLTRONA VOLTAIRE (MAD B COR 03) TC ALGODAO 334/004</v>
          </cell>
          <cell r="R2234"/>
          <cell r="S2234"/>
          <cell r="T2234">
            <v>0.83</v>
          </cell>
          <cell r="U2234">
            <v>0.88</v>
          </cell>
          <cell r="V2234">
            <v>0.98</v>
          </cell>
          <cell r="W2234">
            <v>0</v>
          </cell>
          <cell r="X2234" t="str">
            <v>EST POLTRONA VOLTAIRE (MAD B COR 03) TC ALGODAO 334/004 - 0,83x0,88x0,98H</v>
          </cell>
          <cell r="Y2234">
            <v>0</v>
          </cell>
          <cell r="Z2234">
            <v>0</v>
          </cell>
          <cell r="AA2234">
            <v>0</v>
          </cell>
          <cell r="AB2234"/>
        </row>
        <row r="2235">
          <cell r="C2235">
            <v>0</v>
          </cell>
          <cell r="D2235">
            <v>0</v>
          </cell>
          <cell r="E2235">
            <v>0</v>
          </cell>
          <cell r="F2235">
            <v>0</v>
          </cell>
          <cell r="H2235">
            <v>2</v>
          </cell>
          <cell r="O2235">
            <v>88019</v>
          </cell>
          <cell r="P2235"/>
          <cell r="Q2235" t="str">
            <v>EST POLTRONA FDC1 (ESTRUTURA PRETA) (CAPA COURO CRAVO)</v>
          </cell>
          <cell r="R2235"/>
          <cell r="S2235"/>
          <cell r="T2235">
            <v>0.8</v>
          </cell>
          <cell r="U2235">
            <v>0.71</v>
          </cell>
          <cell r="V2235">
            <v>0.81</v>
          </cell>
          <cell r="W2235">
            <v>0</v>
          </cell>
          <cell r="X2235" t="str">
            <v>EST POLTRONA FDC1 (ESTRUTURA PRETA) (CAPA COURO CRAVO) - 0,8x0,71x0,81H</v>
          </cell>
          <cell r="Y2235">
            <v>0</v>
          </cell>
          <cell r="Z2235">
            <v>0</v>
          </cell>
          <cell r="AA2235">
            <v>0</v>
          </cell>
          <cell r="AB2235"/>
        </row>
        <row r="2236">
          <cell r="C2236">
            <v>0</v>
          </cell>
          <cell r="D2236">
            <v>0</v>
          </cell>
          <cell r="E2236">
            <v>0</v>
          </cell>
          <cell r="F2236">
            <v>0</v>
          </cell>
          <cell r="H2236">
            <v>1</v>
          </cell>
          <cell r="O2236">
            <v>88280</v>
          </cell>
          <cell r="P2236"/>
          <cell r="Q2236" t="str">
            <v>EST BANCO KRAFT NATURAL (01 LUG)</v>
          </cell>
          <cell r="R2236"/>
          <cell r="S2236"/>
          <cell r="T2236">
            <v>0.5</v>
          </cell>
          <cell r="U2236">
            <v>0.5</v>
          </cell>
          <cell r="V2236">
            <v>0.45</v>
          </cell>
          <cell r="W2236">
            <v>0</v>
          </cell>
          <cell r="X2236" t="str">
            <v>EST BANCO KRAFT NATURAL (01 LUG) - 0,5x0,5x0,45H</v>
          </cell>
          <cell r="Y2236">
            <v>0</v>
          </cell>
          <cell r="Z2236">
            <v>0</v>
          </cell>
          <cell r="AA2236">
            <v>0</v>
          </cell>
          <cell r="AB2236"/>
        </row>
        <row r="2237">
          <cell r="C2237">
            <v>0</v>
          </cell>
          <cell r="D2237">
            <v>0</v>
          </cell>
          <cell r="E2237">
            <v>0</v>
          </cell>
          <cell r="F2237">
            <v>0</v>
          </cell>
          <cell r="H2237">
            <v>0</v>
          </cell>
          <cell r="O2237">
            <v>88426</v>
          </cell>
          <cell r="P2237"/>
          <cell r="Q2237" t="str">
            <v>EST POLTRONA SAND (MAD A TAUARI AVELA) TC ALGODAO 334/004</v>
          </cell>
          <cell r="R2237"/>
          <cell r="S2237"/>
          <cell r="T2237">
            <v>0.8</v>
          </cell>
          <cell r="U2237">
            <v>0.86</v>
          </cell>
          <cell r="V2237">
            <v>0.76</v>
          </cell>
          <cell r="W2237">
            <v>0</v>
          </cell>
          <cell r="X2237" t="str">
            <v>EST POLTRONA SAND (MAD A TAUARI AVELA) TC ALGODAO 334/004 - 0,8x0,86x0,76H</v>
          </cell>
          <cell r="Y2237">
            <v>0</v>
          </cell>
          <cell r="Z2237">
            <v>0.5</v>
          </cell>
          <cell r="AA2237">
            <v>0</v>
          </cell>
          <cell r="AB2237"/>
        </row>
        <row r="2238">
          <cell r="C2238">
            <v>0</v>
          </cell>
          <cell r="D2238">
            <v>0</v>
          </cell>
          <cell r="E2238">
            <v>0</v>
          </cell>
          <cell r="F2238">
            <v>0</v>
          </cell>
          <cell r="H2238">
            <v>0</v>
          </cell>
          <cell r="O2238">
            <v>88430</v>
          </cell>
          <cell r="P2238"/>
          <cell r="Q2238" t="str">
            <v>EST CADEIRA GB01 RIPADA (LYPITUS MEL) TC AL334/004</v>
          </cell>
          <cell r="R2238"/>
          <cell r="S2238"/>
          <cell r="T2238">
            <v>0.45</v>
          </cell>
          <cell r="U2238">
            <v>0.48</v>
          </cell>
          <cell r="V2238">
            <v>0.85</v>
          </cell>
          <cell r="W2238">
            <v>0</v>
          </cell>
          <cell r="X2238" t="str">
            <v>EST CADEIRA GB01 RIPADA (LYPITUS MEL) TC AL334/004 - 0,45x0,48x0,85H</v>
          </cell>
          <cell r="Y2238">
            <v>0</v>
          </cell>
          <cell r="Z2238">
            <v>0.5</v>
          </cell>
          <cell r="AA2238">
            <v>0</v>
          </cell>
          <cell r="AB2238"/>
        </row>
        <row r="2239">
          <cell r="C2239">
            <v>0</v>
          </cell>
          <cell r="D2239">
            <v>0</v>
          </cell>
          <cell r="E2239">
            <v>0</v>
          </cell>
          <cell r="F2239">
            <v>0</v>
          </cell>
          <cell r="H2239">
            <v>1</v>
          </cell>
          <cell r="O2239">
            <v>88828</v>
          </cell>
          <cell r="P2239"/>
          <cell r="Q2239" t="str">
            <v>EST POLTRONA OSCAR ESTAR (TELA TING) (MAD A COR 2)</v>
          </cell>
          <cell r="R2239"/>
          <cell r="S2239"/>
          <cell r="T2239">
            <v>0.7</v>
          </cell>
          <cell r="U2239">
            <v>0.65</v>
          </cell>
          <cell r="V2239">
            <v>0.8</v>
          </cell>
          <cell r="W2239">
            <v>0</v>
          </cell>
          <cell r="X2239" t="str">
            <v>EST POLTRONA OSCAR ESTAR (TELA TING) (MAD A COR 2) - 0,7x0,65x0,8H</v>
          </cell>
          <cell r="Y2239">
            <v>0</v>
          </cell>
          <cell r="Z2239">
            <v>0.5</v>
          </cell>
          <cell r="AA2239">
            <v>0</v>
          </cell>
          <cell r="AB2239"/>
        </row>
        <row r="2240">
          <cell r="C2240">
            <v>0</v>
          </cell>
          <cell r="D2240">
            <v>0</v>
          </cell>
          <cell r="E2240">
            <v>0</v>
          </cell>
          <cell r="F2240">
            <v>0</v>
          </cell>
          <cell r="H2240">
            <v>1</v>
          </cell>
          <cell r="O2240">
            <v>89424</v>
          </cell>
          <cell r="P2240"/>
          <cell r="Q2240" t="str">
            <v>EST POLTRONA BEATRIZ (FREIJO NATURAL) COURO FIRENZE 04 BEGE</v>
          </cell>
          <cell r="R2240"/>
          <cell r="S2240"/>
          <cell r="T2240">
            <v>0.75</v>
          </cell>
          <cell r="U2240">
            <v>0.77</v>
          </cell>
          <cell r="V2240">
            <v>0.8</v>
          </cell>
          <cell r="W2240">
            <v>0</v>
          </cell>
          <cell r="X2240" t="str">
            <v>EST POLTRONA BEATRIZ (FREIJO NATURAL) COURO FIRENZE 04 BEGE - 0,75x0,77x0,8H</v>
          </cell>
          <cell r="Y2240">
            <v>0</v>
          </cell>
          <cell r="Z2240">
            <v>0</v>
          </cell>
          <cell r="AA2240">
            <v>0</v>
          </cell>
          <cell r="AB2240"/>
        </row>
        <row r="2241">
          <cell r="C2241">
            <v>0</v>
          </cell>
          <cell r="D2241">
            <v>0</v>
          </cell>
          <cell r="E2241">
            <v>0</v>
          </cell>
          <cell r="F2241">
            <v>0</v>
          </cell>
          <cell r="H2241">
            <v>0</v>
          </cell>
          <cell r="O2241">
            <v>90194</v>
          </cell>
          <cell r="P2241"/>
          <cell r="Q2241" t="str">
            <v>EST APARADOR 14 BIS (15MM) (ESPELHO)</v>
          </cell>
          <cell r="R2241"/>
          <cell r="S2241"/>
          <cell r="T2241">
            <v>2.8</v>
          </cell>
          <cell r="U2241">
            <v>0.4</v>
          </cell>
          <cell r="V2241">
            <v>0.84</v>
          </cell>
          <cell r="W2241">
            <v>0</v>
          </cell>
          <cell r="X2241" t="str">
            <v>EST APARADOR 14 BIS (15MM) (ESPELHO) - 2,8x0,4x0,84H</v>
          </cell>
          <cell r="Y2241">
            <v>0</v>
          </cell>
          <cell r="Z2241">
            <v>0.5</v>
          </cell>
          <cell r="AA2241">
            <v>0</v>
          </cell>
          <cell r="AB2241"/>
        </row>
        <row r="2242">
          <cell r="C2242">
            <v>0</v>
          </cell>
          <cell r="D2242">
            <v>0</v>
          </cell>
          <cell r="E2242">
            <v>0</v>
          </cell>
          <cell r="F2242">
            <v>0</v>
          </cell>
          <cell r="H2242">
            <v>2</v>
          </cell>
          <cell r="O2242">
            <v>90198</v>
          </cell>
          <cell r="P2242"/>
          <cell r="Q2242" t="str">
            <v>EST MESA LATERAL BESAME MUCHO (CORIAN GLACIER WHITE)</v>
          </cell>
          <cell r="R2242"/>
          <cell r="S2242"/>
          <cell r="T2242">
            <v>0.78</v>
          </cell>
          <cell r="U2242">
            <v>0.36</v>
          </cell>
          <cell r="V2242">
            <v>0.65</v>
          </cell>
          <cell r="W2242">
            <v>0</v>
          </cell>
          <cell r="X2242" t="str">
            <v>EST MESA LATERAL BESAME MUCHO (CORIAN GLACIER WHITE) - 0,78x0,36x0,65H</v>
          </cell>
          <cell r="Y2242">
            <v>0</v>
          </cell>
          <cell r="Z2242">
            <v>0</v>
          </cell>
          <cell r="AA2242">
            <v>0</v>
          </cell>
          <cell r="AB2242"/>
        </row>
        <row r="2243">
          <cell r="C2243">
            <v>0</v>
          </cell>
          <cell r="D2243">
            <v>0</v>
          </cell>
          <cell r="E2243">
            <v>0</v>
          </cell>
          <cell r="F2243">
            <v>0</v>
          </cell>
          <cell r="H2243">
            <v>0</v>
          </cell>
          <cell r="O2243">
            <v>90493</v>
          </cell>
          <cell r="P2243"/>
          <cell r="Q2243" t="str">
            <v>EST POLTRONA ZANINE H (TAUARI MEL) ALGODAO ACAMURCADO NAT</v>
          </cell>
          <cell r="R2243"/>
          <cell r="S2243"/>
          <cell r="T2243">
            <v>0.6</v>
          </cell>
          <cell r="U2243">
            <v>0.75</v>
          </cell>
          <cell r="V2243">
            <v>0.75</v>
          </cell>
          <cell r="W2243">
            <v>0</v>
          </cell>
          <cell r="X2243" t="str">
            <v>EST POLTRONA ZANINE H (TAUARI MEL) ALGODAO ACAMURCADO NAT - 0,6x0,75x0,75H</v>
          </cell>
          <cell r="Y2243">
            <v>0</v>
          </cell>
          <cell r="Z2243">
            <v>0.5</v>
          </cell>
          <cell r="AA2243">
            <v>0</v>
          </cell>
          <cell r="AB2243"/>
        </row>
        <row r="2244">
          <cell r="C2244">
            <v>0</v>
          </cell>
          <cell r="D2244">
            <v>0</v>
          </cell>
          <cell r="E2244">
            <v>0</v>
          </cell>
          <cell r="F2244">
            <v>0</v>
          </cell>
          <cell r="H2244">
            <v>1</v>
          </cell>
          <cell r="O2244">
            <v>91142</v>
          </cell>
          <cell r="P2244"/>
          <cell r="Q2244" t="str">
            <v>EST POLTRONA OSCAR ESTAR (ESTOF) (MAD A COR 1) SEDA M7900</v>
          </cell>
          <cell r="R2244"/>
          <cell r="S2244"/>
          <cell r="T2244">
            <v>0.7</v>
          </cell>
          <cell r="U2244">
            <v>0.65</v>
          </cell>
          <cell r="V2244">
            <v>0.81</v>
          </cell>
          <cell r="W2244">
            <v>0</v>
          </cell>
          <cell r="X2244" t="str">
            <v>EST POLTRONA OSCAR ESTAR (ESTOF) (MAD A COR 1) SEDA M7900 - 0,7x0,65x0,81H</v>
          </cell>
          <cell r="Y2244">
            <v>0</v>
          </cell>
          <cell r="Z2244">
            <v>0</v>
          </cell>
          <cell r="AA2244">
            <v>0</v>
          </cell>
          <cell r="AB2244"/>
        </row>
        <row r="2245">
          <cell r="C2245">
            <v>0</v>
          </cell>
          <cell r="D2245">
            <v>0</v>
          </cell>
          <cell r="E2245">
            <v>0</v>
          </cell>
          <cell r="F2245">
            <v>0</v>
          </cell>
          <cell r="H2245">
            <v>2</v>
          </cell>
          <cell r="O2245">
            <v>91145</v>
          </cell>
          <cell r="P2245"/>
          <cell r="Q2245" t="str">
            <v>EST BANCO FLOR DE CHITA D50X43H REBOARD FLOR VERMELHA</v>
          </cell>
          <cell r="R2245"/>
          <cell r="S2245"/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 t="str">
            <v>EST BANCO FLOR DE CHITA D50X43H REBOARD FLOR VERMELHA - Ø0x0H</v>
          </cell>
          <cell r="Y2245">
            <v>0</v>
          </cell>
          <cell r="Z2245">
            <v>0</v>
          </cell>
          <cell r="AA2245">
            <v>0</v>
          </cell>
          <cell r="AB2245"/>
        </row>
        <row r="2246">
          <cell r="C2246">
            <v>0</v>
          </cell>
          <cell r="D2246">
            <v>0</v>
          </cell>
          <cell r="E2246">
            <v>0</v>
          </cell>
          <cell r="F2246">
            <v>0</v>
          </cell>
          <cell r="H2246">
            <v>2</v>
          </cell>
          <cell r="O2246">
            <v>91146</v>
          </cell>
          <cell r="P2246"/>
          <cell r="Q2246" t="str">
            <v>EST BANCO FLOR DE CHITA D50X43H REBOARD FLOR VERDE</v>
          </cell>
          <cell r="R2246"/>
          <cell r="S2246"/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 t="str">
            <v>EST BANCO FLOR DE CHITA D50X43H REBOARD FLOR VERDE - Ø0x0H</v>
          </cell>
          <cell r="Y2246">
            <v>0</v>
          </cell>
          <cell r="Z2246">
            <v>0</v>
          </cell>
          <cell r="AA2246">
            <v>0</v>
          </cell>
          <cell r="AB2246"/>
        </row>
        <row r="2247">
          <cell r="C2247">
            <v>0</v>
          </cell>
          <cell r="D2247">
            <v>0</v>
          </cell>
          <cell r="E2247">
            <v>0</v>
          </cell>
          <cell r="F2247">
            <v>0</v>
          </cell>
          <cell r="H2247">
            <v>2</v>
          </cell>
          <cell r="O2247">
            <v>91147</v>
          </cell>
          <cell r="P2247"/>
          <cell r="Q2247" t="str">
            <v>EST BANCO FLOR DE CHITA D50X43H REBOARD FLOR AZUL</v>
          </cell>
          <cell r="R2247"/>
          <cell r="S2247"/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 t="str">
            <v>EST BANCO FLOR DE CHITA D50X43H REBOARD FLOR AZUL - Ø0x0H</v>
          </cell>
          <cell r="Y2247">
            <v>0</v>
          </cell>
          <cell r="Z2247">
            <v>0</v>
          </cell>
          <cell r="AA2247">
            <v>0</v>
          </cell>
          <cell r="AB2247"/>
        </row>
        <row r="2248">
          <cell r="C2248">
            <v>0</v>
          </cell>
          <cell r="D2248">
            <v>0</v>
          </cell>
          <cell r="E2248">
            <v>0</v>
          </cell>
          <cell r="F2248">
            <v>0</v>
          </cell>
          <cell r="H2248">
            <v>2</v>
          </cell>
          <cell r="O2248">
            <v>92624</v>
          </cell>
          <cell r="P2248"/>
          <cell r="Q2248" t="str">
            <v>EST BANCO DOMINO (8 LUG) (PINHO RIGA) (INOX)</v>
          </cell>
          <cell r="R2248"/>
          <cell r="S2248"/>
          <cell r="T2248">
            <v>1.9</v>
          </cell>
          <cell r="U2248">
            <v>0.9</v>
          </cell>
          <cell r="V2248">
            <v>0.48</v>
          </cell>
          <cell r="W2248">
            <v>0</v>
          </cell>
          <cell r="X2248" t="str">
            <v>EST BANCO DOMINO (8 LUG) (PINHO RIGA) (INOX) - 1,9x0,9x0,48H</v>
          </cell>
          <cell r="Y2248">
            <v>0</v>
          </cell>
          <cell r="Z2248">
            <v>0</v>
          </cell>
          <cell r="AA2248">
            <v>0</v>
          </cell>
          <cell r="AB2248"/>
        </row>
        <row r="2249">
          <cell r="C2249">
            <v>0</v>
          </cell>
          <cell r="D2249">
            <v>0</v>
          </cell>
          <cell r="E2249">
            <v>0</v>
          </cell>
          <cell r="F2249">
            <v>0</v>
          </cell>
          <cell r="H2249">
            <v>1</v>
          </cell>
          <cell r="O2249">
            <v>94332</v>
          </cell>
          <cell r="P2249"/>
          <cell r="Q2249" t="str">
            <v>EST CADEIRA RAIO 23 (MADEIRA ROXINHO) SUCUPIRA EBANIZADA</v>
          </cell>
          <cell r="R2249"/>
          <cell r="S2249"/>
          <cell r="T2249">
            <v>0.5</v>
          </cell>
          <cell r="U2249">
            <v>0.54</v>
          </cell>
          <cell r="V2249">
            <v>0.82</v>
          </cell>
          <cell r="W2249">
            <v>0</v>
          </cell>
          <cell r="X2249" t="str">
            <v>EST CADEIRA RAIO 23 (MADEIRA ROXINHO) SUCUPIRA EBANIZADA - 0,5x0,54x0,82H</v>
          </cell>
          <cell r="Y2249">
            <v>0</v>
          </cell>
          <cell r="Z2249">
            <v>0</v>
          </cell>
          <cell r="AA2249">
            <v>0</v>
          </cell>
          <cell r="AB2249"/>
        </row>
        <row r="2250">
          <cell r="C2250">
            <v>0</v>
          </cell>
          <cell r="D2250">
            <v>0</v>
          </cell>
          <cell r="E2250">
            <v>0</v>
          </cell>
          <cell r="F2250">
            <v>0</v>
          </cell>
          <cell r="H2250">
            <v>1</v>
          </cell>
          <cell r="O2250">
            <v>95208</v>
          </cell>
          <cell r="P2250"/>
          <cell r="Q2250" t="str">
            <v>EST REVISTEIRO BO (MADEIRA DE DEMOLICAO BASE DAGUA)</v>
          </cell>
          <cell r="R2250"/>
          <cell r="S2250"/>
          <cell r="T2250">
            <v>0.27</v>
          </cell>
          <cell r="U2250">
            <v>0.36</v>
          </cell>
          <cell r="V2250">
            <v>1.83</v>
          </cell>
          <cell r="W2250">
            <v>0</v>
          </cell>
          <cell r="X2250" t="str">
            <v>EST REVISTEIRO BO (MADEIRA DE DEMOLICAO BASE DAGUA) - 0,27x0,36x1,83H</v>
          </cell>
          <cell r="Y2250">
            <v>0</v>
          </cell>
          <cell r="Z2250">
            <v>0.5</v>
          </cell>
          <cell r="AA2250">
            <v>0</v>
          </cell>
          <cell r="AB2250"/>
        </row>
        <row r="2251">
          <cell r="C2251">
            <v>0</v>
          </cell>
          <cell r="D2251">
            <v>0</v>
          </cell>
          <cell r="E2251">
            <v>0</v>
          </cell>
          <cell r="F2251">
            <v>0</v>
          </cell>
          <cell r="H2251">
            <v>2</v>
          </cell>
          <cell r="O2251">
            <v>95961</v>
          </cell>
          <cell r="P2251"/>
          <cell r="Q2251" t="str">
            <v>EST MANCEBO BO (IMBUIA/FREIJO)</v>
          </cell>
          <cell r="R2251"/>
          <cell r="S2251"/>
          <cell r="T2251">
            <v>0.43</v>
          </cell>
          <cell r="U2251">
            <v>0.45</v>
          </cell>
          <cell r="V2251">
            <v>1.05</v>
          </cell>
          <cell r="W2251">
            <v>0</v>
          </cell>
          <cell r="X2251" t="str">
            <v>EST MANCEBO BO (IMBUIA/FREIJO) - 0,43x0,45x1,05H</v>
          </cell>
          <cell r="Y2251">
            <v>0</v>
          </cell>
          <cell r="Z2251">
            <v>0.35</v>
          </cell>
          <cell r="AA2251">
            <v>0</v>
          </cell>
          <cell r="AB2251"/>
        </row>
        <row r="2252">
          <cell r="C2252">
            <v>0</v>
          </cell>
          <cell r="D2252">
            <v>0</v>
          </cell>
          <cell r="E2252">
            <v>0</v>
          </cell>
          <cell r="F2252">
            <v>0</v>
          </cell>
          <cell r="H2252">
            <v>1</v>
          </cell>
          <cell r="O2252">
            <v>95984</v>
          </cell>
          <cell r="P2252"/>
          <cell r="Q2252" t="str">
            <v>EST POLTRONA ZANINE Z (PINHO DE RIGA) COURO BRANCO</v>
          </cell>
          <cell r="R2252"/>
          <cell r="S2252"/>
          <cell r="T2252">
            <v>0.59</v>
          </cell>
          <cell r="U2252">
            <v>1.03</v>
          </cell>
          <cell r="V2252">
            <v>0.82</v>
          </cell>
          <cell r="W2252">
            <v>0</v>
          </cell>
          <cell r="X2252" t="str">
            <v>EST POLTRONA ZANINE Z (PINHO DE RIGA) COURO BRANCO - 0,59x1,03x0,82H</v>
          </cell>
          <cell r="Y2252">
            <v>0</v>
          </cell>
          <cell r="Z2252">
            <v>0</v>
          </cell>
          <cell r="AA2252">
            <v>0</v>
          </cell>
          <cell r="AB2252"/>
        </row>
        <row r="2253">
          <cell r="C2253">
            <v>0</v>
          </cell>
          <cell r="D2253">
            <v>0</v>
          </cell>
          <cell r="E2253">
            <v>0</v>
          </cell>
          <cell r="F2253">
            <v>0</v>
          </cell>
          <cell r="H2253">
            <v>0</v>
          </cell>
          <cell r="O2253">
            <v>96425</v>
          </cell>
          <cell r="P2253"/>
          <cell r="Q2253" t="str">
            <v>EST CADEIRA PAJAROS AMAZONICOS (LYPTUS NATURAL) TC CL</v>
          </cell>
          <cell r="R2253"/>
          <cell r="S2253"/>
          <cell r="T2253">
            <v>0.45</v>
          </cell>
          <cell r="U2253">
            <v>0.54</v>
          </cell>
          <cell r="V2253">
            <v>0.82</v>
          </cell>
          <cell r="W2253">
            <v>0</v>
          </cell>
          <cell r="X2253" t="str">
            <v>EST CADEIRA PAJAROS AMAZONICOS (LYPTUS NATURAL) TC CL - 0,45x0,54x0,82H</v>
          </cell>
          <cell r="Y2253">
            <v>0</v>
          </cell>
          <cell r="Z2253">
            <v>0</v>
          </cell>
          <cell r="AA2253">
            <v>0</v>
          </cell>
          <cell r="AB2253"/>
        </row>
        <row r="2254">
          <cell r="C2254">
            <v>0</v>
          </cell>
          <cell r="D2254">
            <v>0</v>
          </cell>
          <cell r="E2254">
            <v>0</v>
          </cell>
          <cell r="F2254">
            <v>0</v>
          </cell>
          <cell r="H2254">
            <v>1</v>
          </cell>
          <cell r="O2254">
            <v>96936</v>
          </cell>
          <cell r="P2254"/>
          <cell r="Q2254" t="str">
            <v>EST MESA JANTAR OTTO (LAMINA FRASSINO OLIVATO)</v>
          </cell>
          <cell r="R2254"/>
          <cell r="S2254"/>
          <cell r="T2254">
            <v>1.5</v>
          </cell>
          <cell r="U2254">
            <v>1.5</v>
          </cell>
          <cell r="V2254">
            <v>0.74</v>
          </cell>
          <cell r="W2254">
            <v>0</v>
          </cell>
          <cell r="X2254" t="str">
            <v>EST MESA JANTAR OTTO (LAMINA FRASSINO OLIVATO) - 1,5x1,5x0,74H</v>
          </cell>
          <cell r="Y2254">
            <v>0</v>
          </cell>
          <cell r="Z2254">
            <v>0.35</v>
          </cell>
          <cell r="AA2254">
            <v>0</v>
          </cell>
          <cell r="AB2254"/>
        </row>
        <row r="2255">
          <cell r="C2255">
            <v>0</v>
          </cell>
          <cell r="D2255">
            <v>0</v>
          </cell>
          <cell r="E2255">
            <v>0</v>
          </cell>
          <cell r="F2255">
            <v>0</v>
          </cell>
          <cell r="H2255">
            <v>1</v>
          </cell>
          <cell r="O2255">
            <v>98341</v>
          </cell>
          <cell r="P2255"/>
          <cell r="Q2255" t="str">
            <v>EST POLTRONA KILIN (SOLETA BRACA) (MAD B ALBANIZADA)</v>
          </cell>
          <cell r="R2255"/>
          <cell r="S2255"/>
          <cell r="T2255">
            <v>0.68</v>
          </cell>
          <cell r="U2255">
            <v>0.63</v>
          </cell>
          <cell r="V2255">
            <v>0.69</v>
          </cell>
          <cell r="W2255">
            <v>0</v>
          </cell>
          <cell r="X2255" t="str">
            <v>EST POLTRONA KILIN (SOLETA BRACA) (MAD B ALBANIZADA) - 0,68x0,63x0,69H</v>
          </cell>
          <cell r="Y2255">
            <v>0</v>
          </cell>
          <cell r="Z2255">
            <v>0</v>
          </cell>
          <cell r="AA2255">
            <v>0</v>
          </cell>
          <cell r="AB2255"/>
        </row>
        <row r="2256">
          <cell r="C2256">
            <v>0</v>
          </cell>
          <cell r="D2256">
            <v>0</v>
          </cell>
          <cell r="E2256">
            <v>0</v>
          </cell>
          <cell r="F2256">
            <v>0</v>
          </cell>
          <cell r="H2256">
            <v>5</v>
          </cell>
          <cell r="O2256">
            <v>99197</v>
          </cell>
          <cell r="P2256"/>
          <cell r="Q2256" t="str">
            <v>EST CADEIRA FRONTEIRA 559A (PRETO FSC) (TRAMA SINT PRETA)</v>
          </cell>
          <cell r="R2256"/>
          <cell r="S2256"/>
          <cell r="T2256">
            <v>0.48</v>
          </cell>
          <cell r="U2256">
            <v>0.5</v>
          </cell>
          <cell r="V2256">
            <v>0.78</v>
          </cell>
          <cell r="W2256">
            <v>0</v>
          </cell>
          <cell r="X2256" t="str">
            <v>EST CADEIRA FRONTEIRA 559A (PRETO FSC) (TRAMA SINT PRETA) - 0,48x0,5x0,78H</v>
          </cell>
          <cell r="Y2256">
            <v>0</v>
          </cell>
          <cell r="Z2256">
            <v>0</v>
          </cell>
          <cell r="AA2256">
            <v>0</v>
          </cell>
          <cell r="AB2256"/>
        </row>
        <row r="2257">
          <cell r="C2257">
            <v>0</v>
          </cell>
          <cell r="D2257">
            <v>0</v>
          </cell>
          <cell r="E2257">
            <v>0</v>
          </cell>
          <cell r="F2257">
            <v>0</v>
          </cell>
          <cell r="H2257">
            <v>1</v>
          </cell>
          <cell r="O2257">
            <v>100996</v>
          </cell>
          <cell r="P2257"/>
          <cell r="Q2257" t="str">
            <v>EST BANQUETA BAR GUSMAO S/B H72 (PINT CAFE/ATAN CAFE FREIJO)</v>
          </cell>
          <cell r="R2257"/>
          <cell r="S2257"/>
          <cell r="T2257">
            <v>0.56000000000000005</v>
          </cell>
          <cell r="U2257">
            <v>0.5</v>
          </cell>
          <cell r="V2257">
            <v>1.04</v>
          </cell>
          <cell r="W2257">
            <v>0</v>
          </cell>
          <cell r="X2257" t="str">
            <v>EST BANQUETA BAR GUSMAO S/B H72 (PINT CAFE/ATAN CAFE FREIJO) - 0,56x0,5x1,04H</v>
          </cell>
          <cell r="Y2257">
            <v>0</v>
          </cell>
          <cell r="Z2257">
            <v>0.5</v>
          </cell>
          <cell r="AA2257">
            <v>0</v>
          </cell>
          <cell r="AB2257"/>
        </row>
        <row r="2258">
          <cell r="C2258">
            <v>0</v>
          </cell>
          <cell r="D2258">
            <v>0</v>
          </cell>
          <cell r="E2258">
            <v>0</v>
          </cell>
          <cell r="F2258">
            <v>0</v>
          </cell>
          <cell r="H2258">
            <v>0</v>
          </cell>
          <cell r="O2258">
            <v>101526</v>
          </cell>
          <cell r="P2258"/>
          <cell r="Q2258" t="str">
            <v>EST CADEIRA SAO PAULO (EBANIZADO FORMICA PRETA)</v>
          </cell>
          <cell r="R2258"/>
          <cell r="S2258"/>
          <cell r="T2258">
            <v>0.43</v>
          </cell>
          <cell r="U2258">
            <v>0.5</v>
          </cell>
          <cell r="V2258">
            <v>0.86</v>
          </cell>
          <cell r="W2258">
            <v>0</v>
          </cell>
          <cell r="X2258" t="str">
            <v>EST CADEIRA SAO PAULO (EBANIZADO FORMICA PRETA) - 0,43x0,5x0,86H</v>
          </cell>
          <cell r="Y2258">
            <v>0</v>
          </cell>
          <cell r="Z2258">
            <v>0.5</v>
          </cell>
          <cell r="AA2258">
            <v>0</v>
          </cell>
          <cell r="AB2258"/>
        </row>
        <row r="2259">
          <cell r="C2259">
            <v>0</v>
          </cell>
          <cell r="D2259">
            <v>0</v>
          </cell>
          <cell r="E2259">
            <v>0</v>
          </cell>
          <cell r="F2259">
            <v>0</v>
          </cell>
          <cell r="H2259">
            <v>1</v>
          </cell>
          <cell r="O2259">
            <v>101836</v>
          </cell>
          <cell r="P2259"/>
          <cell r="Q2259" t="str">
            <v>EST COMPONENTE ALMOFADAO POLTRONA MOLECA COURO PIG VERDE</v>
          </cell>
          <cell r="R2259"/>
          <cell r="S2259"/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 t="str">
            <v>EST COMPONENTE ALMOFADAO POLTRONA MOLECA COURO PIG VERDE - Ø0x0H</v>
          </cell>
          <cell r="Y2259">
            <v>0</v>
          </cell>
          <cell r="Z2259">
            <v>0.5</v>
          </cell>
          <cell r="AA2259">
            <v>0</v>
          </cell>
          <cell r="AB2259"/>
        </row>
        <row r="2260">
          <cell r="C2260">
            <v>0</v>
          </cell>
          <cell r="D2260">
            <v>0</v>
          </cell>
          <cell r="E2260">
            <v>0</v>
          </cell>
          <cell r="F2260">
            <v>0</v>
          </cell>
          <cell r="H2260">
            <v>1</v>
          </cell>
          <cell r="O2260">
            <v>101837</v>
          </cell>
          <cell r="P2260"/>
          <cell r="Q2260" t="str">
            <v>EST COMPONENTE ALMOFADAO BANQUETA MOLECA COURO PIG VERDE</v>
          </cell>
          <cell r="R2260"/>
          <cell r="S2260"/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 t="str">
            <v>EST COMPONENTE ALMOFADAO BANQUETA MOLECA COURO PIG VERDE - Ø0x0H</v>
          </cell>
          <cell r="Y2260">
            <v>0</v>
          </cell>
          <cell r="Z2260">
            <v>0</v>
          </cell>
          <cell r="AA2260">
            <v>0</v>
          </cell>
          <cell r="AB2260"/>
        </row>
        <row r="2261">
          <cell r="C2261">
            <v>0</v>
          </cell>
          <cell r="D2261">
            <v>0</v>
          </cell>
          <cell r="E2261">
            <v>0</v>
          </cell>
          <cell r="F2261">
            <v>0</v>
          </cell>
          <cell r="H2261">
            <v>1</v>
          </cell>
          <cell r="O2261">
            <v>101984</v>
          </cell>
          <cell r="P2261"/>
          <cell r="Q2261" t="str">
            <v>EST POLTRONA CONVERSADEIRA (MAD A CAT PU) (TELA NT) TC FORN</v>
          </cell>
          <cell r="R2261"/>
          <cell r="S2261"/>
          <cell r="T2261">
            <v>1.21</v>
          </cell>
          <cell r="U2261">
            <v>0.79</v>
          </cell>
          <cell r="V2261">
            <v>0.74</v>
          </cell>
          <cell r="W2261">
            <v>0</v>
          </cell>
          <cell r="X2261" t="str">
            <v>EST POLTRONA CONVERSADEIRA (MAD A CAT PU) (TELA NT) TC FORN - 1,21x0,79x0,74H</v>
          </cell>
          <cell r="Y2261">
            <v>0</v>
          </cell>
          <cell r="Z2261">
            <v>0</v>
          </cell>
          <cell r="AA2261">
            <v>0</v>
          </cell>
          <cell r="AB2261"/>
        </row>
        <row r="2262">
          <cell r="C2262">
            <v>0</v>
          </cell>
          <cell r="D2262">
            <v>0</v>
          </cell>
          <cell r="E2262">
            <v>0</v>
          </cell>
          <cell r="F2262">
            <v>0</v>
          </cell>
          <cell r="H2262">
            <v>1</v>
          </cell>
          <cell r="O2262">
            <v>106111</v>
          </cell>
          <cell r="P2262"/>
          <cell r="Q2262" t="str">
            <v>EST CADEIRA IC01 (POLIETILENO) (BAUNILHA)</v>
          </cell>
          <cell r="R2262"/>
          <cell r="S2262"/>
          <cell r="T2262">
            <v>0.56000000000000005</v>
          </cell>
          <cell r="U2262">
            <v>0.46</v>
          </cell>
          <cell r="V2262">
            <v>0.78</v>
          </cell>
          <cell r="W2262">
            <v>0</v>
          </cell>
          <cell r="X2262" t="str">
            <v>EST CADEIRA IC01 (POLIETILENO) (BAUNILHA) - 0,56x0,46x0,78H</v>
          </cell>
          <cell r="Y2262">
            <v>0</v>
          </cell>
          <cell r="Z2262">
            <v>0</v>
          </cell>
          <cell r="AA2262">
            <v>0</v>
          </cell>
          <cell r="AB2262"/>
        </row>
        <row r="2263">
          <cell r="C2263">
            <v>0</v>
          </cell>
          <cell r="D2263">
            <v>0</v>
          </cell>
          <cell r="E2263">
            <v>0</v>
          </cell>
          <cell r="F2263">
            <v>0</v>
          </cell>
          <cell r="H2263">
            <v>0</v>
          </cell>
          <cell r="O2263">
            <v>106115</v>
          </cell>
          <cell r="P2263"/>
          <cell r="Q2263" t="str">
            <v>EST CADEIRA IC01 (POLIETILENO) (BANANA)</v>
          </cell>
          <cell r="R2263"/>
          <cell r="S2263"/>
          <cell r="T2263">
            <v>0.56000000000000005</v>
          </cell>
          <cell r="U2263">
            <v>0.46</v>
          </cell>
          <cell r="V2263">
            <v>0.78</v>
          </cell>
          <cell r="W2263">
            <v>0</v>
          </cell>
          <cell r="X2263" t="str">
            <v>EST CADEIRA IC01 (POLIETILENO) (BANANA) - 0,56x0,46x0,78H</v>
          </cell>
          <cell r="Y2263">
            <v>0</v>
          </cell>
          <cell r="Z2263">
            <v>0.5</v>
          </cell>
          <cell r="AA2263">
            <v>0</v>
          </cell>
          <cell r="AB2263"/>
        </row>
        <row r="2264">
          <cell r="C2264">
            <v>0</v>
          </cell>
          <cell r="D2264">
            <v>0</v>
          </cell>
          <cell r="E2264">
            <v>0</v>
          </cell>
          <cell r="F2264">
            <v>1</v>
          </cell>
          <cell r="H2264">
            <v>0</v>
          </cell>
          <cell r="O2264">
            <v>106118</v>
          </cell>
          <cell r="P2264"/>
          <cell r="Q2264" t="str">
            <v>EST CADEIRA IC01 (POLIETILENO) (PRETA)</v>
          </cell>
          <cell r="R2264"/>
          <cell r="S2264"/>
          <cell r="T2264">
            <v>0.56000000000000005</v>
          </cell>
          <cell r="U2264">
            <v>0.46</v>
          </cell>
          <cell r="V2264">
            <v>0.78</v>
          </cell>
          <cell r="W2264">
            <v>0</v>
          </cell>
          <cell r="X2264" t="str">
            <v>EST CADEIRA IC01 (POLIETILENO) (PRETA) - 0,56x0,46x0,78H</v>
          </cell>
          <cell r="Y2264">
            <v>0</v>
          </cell>
          <cell r="Z2264">
            <v>0.5</v>
          </cell>
          <cell r="AA2264">
            <v>0</v>
          </cell>
          <cell r="AB2264"/>
        </row>
        <row r="2265">
          <cell r="C2265">
            <v>0</v>
          </cell>
          <cell r="D2265">
            <v>0</v>
          </cell>
          <cell r="E2265">
            <v>0</v>
          </cell>
          <cell r="F2265">
            <v>0</v>
          </cell>
          <cell r="H2265">
            <v>1</v>
          </cell>
          <cell r="O2265">
            <v>107944</v>
          </cell>
          <cell r="P2265"/>
          <cell r="Q2265" t="str">
            <v>EST CHAISE TIMBO (EUCALP STAIN NOG) (C/ALMOF) TC SUN T BLACK</v>
          </cell>
          <cell r="R2265"/>
          <cell r="S2265"/>
          <cell r="T2265">
            <v>2.02</v>
          </cell>
          <cell r="U2265">
            <v>0.9</v>
          </cell>
          <cell r="V2265">
            <v>0.25</v>
          </cell>
          <cell r="W2265">
            <v>0</v>
          </cell>
          <cell r="X2265" t="str">
            <v>EST CHAISE TIMBO (EUCALP STAIN NOG) (C/ALMOF) TC SUN T BLACK - 2,02x0,9x0,25H</v>
          </cell>
          <cell r="Y2265">
            <v>0</v>
          </cell>
          <cell r="Z2265">
            <v>0</v>
          </cell>
          <cell r="AA2265">
            <v>0</v>
          </cell>
          <cell r="AB2265"/>
        </row>
        <row r="2266">
          <cell r="C2266">
            <v>0</v>
          </cell>
          <cell r="D2266">
            <v>0</v>
          </cell>
          <cell r="E2266">
            <v>0</v>
          </cell>
          <cell r="F2266">
            <v>0</v>
          </cell>
          <cell r="H2266">
            <v>1</v>
          </cell>
          <cell r="O2266">
            <v>109925</v>
          </cell>
          <cell r="P2266"/>
          <cell r="Q2266" t="str">
            <v>EST CADEIRA TAJA (MAD A COR 02) (AREA INTERNA)</v>
          </cell>
          <cell r="R2266"/>
          <cell r="S2266"/>
          <cell r="T2266">
            <v>0.43</v>
          </cell>
          <cell r="U2266">
            <v>0.46</v>
          </cell>
          <cell r="V2266">
            <v>0.73</v>
          </cell>
          <cell r="W2266">
            <v>0</v>
          </cell>
          <cell r="X2266" t="str">
            <v>EST CADEIRA TAJA (MAD A COR 02) (AREA INTERNA) - 0,43x0,46x0,73H</v>
          </cell>
          <cell r="Y2266">
            <v>0</v>
          </cell>
          <cell r="Z2266">
            <v>0</v>
          </cell>
          <cell r="AA2266">
            <v>0</v>
          </cell>
          <cell r="AB2266"/>
        </row>
        <row r="2267">
          <cell r="C2267">
            <v>0</v>
          </cell>
          <cell r="D2267">
            <v>0</v>
          </cell>
          <cell r="E2267">
            <v>0</v>
          </cell>
          <cell r="F2267">
            <v>0</v>
          </cell>
          <cell r="H2267">
            <v>0</v>
          </cell>
          <cell r="O2267">
            <v>109926</v>
          </cell>
          <cell r="P2267"/>
          <cell r="Q2267" t="str">
            <v>EST POLTRONA TAJA (MAD A VERNIZ 20% COR 02) (AREA INTERNA)</v>
          </cell>
          <cell r="R2267"/>
          <cell r="S2267"/>
          <cell r="T2267">
            <v>0.64</v>
          </cell>
          <cell r="U2267">
            <v>0.66</v>
          </cell>
          <cell r="V2267">
            <v>0.75</v>
          </cell>
          <cell r="W2267">
            <v>0</v>
          </cell>
          <cell r="X2267" t="str">
            <v>EST POLTRONA TAJA (MAD A VERNIZ 20% COR 02) (AREA INTERNA) - 0,64x0,66x0,75H</v>
          </cell>
          <cell r="Y2267">
            <v>0</v>
          </cell>
          <cell r="Z2267">
            <v>0</v>
          </cell>
          <cell r="AA2267">
            <v>0</v>
          </cell>
          <cell r="AB2267"/>
        </row>
        <row r="2268">
          <cell r="C2268">
            <v>0</v>
          </cell>
          <cell r="D2268">
            <v>0</v>
          </cell>
          <cell r="E2268">
            <v>0</v>
          </cell>
          <cell r="F2268">
            <v>0</v>
          </cell>
          <cell r="H2268">
            <v>2</v>
          </cell>
          <cell r="O2268">
            <v>110435</v>
          </cell>
          <cell r="P2268"/>
          <cell r="Q2268" t="str">
            <v>EST MESA LATERAL ML (LACA PRETA BRILHO)</v>
          </cell>
          <cell r="R2268"/>
          <cell r="S2268"/>
          <cell r="T2268">
            <v>0.4</v>
          </cell>
          <cell r="U2268">
            <v>0.4</v>
          </cell>
          <cell r="V2268">
            <v>0.4</v>
          </cell>
          <cell r="W2268">
            <v>0</v>
          </cell>
          <cell r="X2268" t="str">
            <v>EST MESA LATERAL ML (LACA PRETA BRILHO) - 0,4x0,4x0,4H</v>
          </cell>
          <cell r="Y2268">
            <v>0</v>
          </cell>
          <cell r="Z2268">
            <v>0</v>
          </cell>
          <cell r="AA2268">
            <v>0</v>
          </cell>
          <cell r="AB2268"/>
        </row>
        <row r="2269">
          <cell r="C2269">
            <v>0</v>
          </cell>
          <cell r="D2269">
            <v>0</v>
          </cell>
          <cell r="E2269">
            <v>0</v>
          </cell>
          <cell r="F2269">
            <v>0</v>
          </cell>
          <cell r="H2269">
            <v>1</v>
          </cell>
          <cell r="O2269">
            <v>110436</v>
          </cell>
          <cell r="P2269"/>
          <cell r="Q2269" t="str">
            <v>EST MESA LATERAL ML (LACA PRETA BRILHO)</v>
          </cell>
          <cell r="R2269"/>
          <cell r="S2269"/>
          <cell r="T2269">
            <v>0.5</v>
          </cell>
          <cell r="U2269">
            <v>0.5</v>
          </cell>
          <cell r="V2269">
            <v>0.4</v>
          </cell>
          <cell r="W2269">
            <v>0</v>
          </cell>
          <cell r="X2269" t="str">
            <v>EST MESA LATERAL ML (LACA PRETA BRILHO) - 0,5x0,5x0,4H</v>
          </cell>
          <cell r="Y2269">
            <v>0</v>
          </cell>
          <cell r="Z2269">
            <v>0</v>
          </cell>
          <cell r="AA2269">
            <v>0</v>
          </cell>
          <cell r="AB2269"/>
        </row>
        <row r="2270">
          <cell r="C2270">
            <v>0</v>
          </cell>
          <cell r="D2270">
            <v>0</v>
          </cell>
          <cell r="E2270">
            <v>0</v>
          </cell>
          <cell r="F2270">
            <v>0</v>
          </cell>
          <cell r="H2270">
            <v>1</v>
          </cell>
          <cell r="O2270">
            <v>110493</v>
          </cell>
          <cell r="P2270"/>
          <cell r="Q2270" t="str">
            <v>EST POLTRONA SUITE (BASE INOX) TC M-10242</v>
          </cell>
          <cell r="R2270"/>
          <cell r="S2270"/>
          <cell r="T2270">
            <v>1.1000000000000001</v>
          </cell>
          <cell r="U2270">
            <v>0.9</v>
          </cell>
          <cell r="V2270">
            <v>0.7</v>
          </cell>
          <cell r="W2270">
            <v>0</v>
          </cell>
          <cell r="X2270" t="str">
            <v>EST POLTRONA SUITE (BASE INOX) TC M-10242 - 1,1x0,9x0,7H</v>
          </cell>
          <cell r="Y2270">
            <v>0</v>
          </cell>
          <cell r="Z2270">
            <v>0.35</v>
          </cell>
          <cell r="AA2270">
            <v>0</v>
          </cell>
          <cell r="AB2270"/>
        </row>
        <row r="2271">
          <cell r="C2271">
            <v>0</v>
          </cell>
          <cell r="D2271">
            <v>0</v>
          </cell>
          <cell r="E2271">
            <v>0</v>
          </cell>
          <cell r="F2271">
            <v>0</v>
          </cell>
          <cell r="H2271">
            <v>1</v>
          </cell>
          <cell r="O2271">
            <v>112752</v>
          </cell>
          <cell r="P2271"/>
          <cell r="Q2271" t="str">
            <v>EST BANCO ABAPORU (AZULEJO COIMBRA) FREIJO NATURAL</v>
          </cell>
          <cell r="R2271"/>
          <cell r="S2271"/>
          <cell r="T2271">
            <v>0.38</v>
          </cell>
          <cell r="U2271">
            <v>0</v>
          </cell>
          <cell r="V2271">
            <v>0.44</v>
          </cell>
          <cell r="W2271">
            <v>0</v>
          </cell>
          <cell r="X2271" t="str">
            <v>EST BANCO ABAPORU (AZULEJO COIMBRA) FREIJO NATURAL - Ø0x0,44H</v>
          </cell>
          <cell r="Y2271">
            <v>0</v>
          </cell>
          <cell r="Z2271">
            <v>0</v>
          </cell>
          <cell r="AA2271">
            <v>0</v>
          </cell>
          <cell r="AB2271"/>
        </row>
        <row r="2272">
          <cell r="C2272">
            <v>0</v>
          </cell>
          <cell r="D2272">
            <v>0</v>
          </cell>
          <cell r="E2272">
            <v>0</v>
          </cell>
          <cell r="F2272">
            <v>0</v>
          </cell>
          <cell r="H2272">
            <v>1</v>
          </cell>
          <cell r="O2272">
            <v>118564</v>
          </cell>
          <cell r="P2272"/>
          <cell r="Q2272" t="str">
            <v>EST MESA LATERAL CORINGA (FREIJO TONALIZADO 01)</v>
          </cell>
          <cell r="R2272"/>
          <cell r="S2272"/>
          <cell r="T2272">
            <v>0.6</v>
          </cell>
          <cell r="U2272">
            <v>0</v>
          </cell>
          <cell r="V2272">
            <v>0.65</v>
          </cell>
          <cell r="W2272">
            <v>0.6</v>
          </cell>
          <cell r="X2272" t="str">
            <v>EST MESA LATERAL CORINGA (FREIJO TONALIZADO 01) - Ø0,6x0,65H</v>
          </cell>
          <cell r="Y2272">
            <v>0</v>
          </cell>
          <cell r="Z2272">
            <v>0</v>
          </cell>
          <cell r="AA2272">
            <v>0</v>
          </cell>
          <cell r="AB2272"/>
        </row>
        <row r="2273">
          <cell r="C2273">
            <v>0</v>
          </cell>
          <cell r="D2273">
            <v>0</v>
          </cell>
          <cell r="E2273">
            <v>0</v>
          </cell>
          <cell r="F2273">
            <v>0</v>
          </cell>
          <cell r="H2273">
            <v>0</v>
          </cell>
          <cell r="O2273">
            <v>120945</v>
          </cell>
          <cell r="P2273"/>
          <cell r="Q2273" t="str">
            <v>EST BANQUETA BAR ZANINE X H63 (ALTO) (JEQ NATURAL) (COURO)</v>
          </cell>
          <cell r="R2273"/>
          <cell r="S2273"/>
          <cell r="T2273">
            <v>0.5</v>
          </cell>
          <cell r="U2273">
            <v>0</v>
          </cell>
          <cell r="V2273">
            <v>0.63</v>
          </cell>
          <cell r="W2273">
            <v>0.5</v>
          </cell>
          <cell r="X2273" t="str">
            <v>EST BANQUETA BAR ZANINE X H63 (ALTO) (JEQ NATURAL) (COURO) - Ø0,5x0,63H</v>
          </cell>
          <cell r="Y2273">
            <v>0</v>
          </cell>
          <cell r="Z2273">
            <v>0.5</v>
          </cell>
          <cell r="AA2273">
            <v>0</v>
          </cell>
          <cell r="AB2273"/>
        </row>
        <row r="2274">
          <cell r="C2274">
            <v>0</v>
          </cell>
          <cell r="D2274">
            <v>0</v>
          </cell>
          <cell r="E2274">
            <v>0</v>
          </cell>
          <cell r="F2274">
            <v>0</v>
          </cell>
          <cell r="H2274">
            <v>1</v>
          </cell>
          <cell r="O2274">
            <v>121629</v>
          </cell>
          <cell r="P2274"/>
          <cell r="Q2274" t="str">
            <v>EST POLTRONA LEME ALTA (PERCINTA COURO PRETO) (FREIJO NT)</v>
          </cell>
          <cell r="R2274"/>
          <cell r="S2274"/>
          <cell r="T2274">
            <v>0.75</v>
          </cell>
          <cell r="U2274">
            <v>0.8</v>
          </cell>
          <cell r="V2274">
            <v>1.1000000000000001</v>
          </cell>
          <cell r="W2274">
            <v>0</v>
          </cell>
          <cell r="X2274" t="str">
            <v>EST POLTRONA LEME ALTA (PERCINTA COURO PRETO) (FREIJO NT) - 0,75x0,8x1,1H</v>
          </cell>
          <cell r="Y2274">
            <v>0</v>
          </cell>
          <cell r="Z2274">
            <v>0</v>
          </cell>
          <cell r="AA2274">
            <v>0</v>
          </cell>
          <cell r="AB2274"/>
        </row>
        <row r="2275">
          <cell r="C2275">
            <v>0</v>
          </cell>
          <cell r="D2275">
            <v>0</v>
          </cell>
          <cell r="E2275">
            <v>0</v>
          </cell>
          <cell r="F2275">
            <v>0</v>
          </cell>
          <cell r="H2275">
            <v>1</v>
          </cell>
          <cell r="O2275">
            <v>121630</v>
          </cell>
          <cell r="P2275"/>
          <cell r="Q2275" t="str">
            <v>EST BANQUETA LEME (PERCINTA COURO PRETO) (FREIJO NT)</v>
          </cell>
          <cell r="R2275"/>
          <cell r="S2275"/>
          <cell r="T2275">
            <v>0.75</v>
          </cell>
          <cell r="U2275">
            <v>0.45</v>
          </cell>
          <cell r="V2275">
            <v>0.4</v>
          </cell>
          <cell r="W2275">
            <v>0</v>
          </cell>
          <cell r="X2275" t="str">
            <v>EST BANQUETA LEME (PERCINTA COURO PRETO) (FREIJO NT) - 0,75x0,45x0,4H</v>
          </cell>
          <cell r="Y2275">
            <v>0</v>
          </cell>
          <cell r="Z2275">
            <v>0.5</v>
          </cell>
          <cell r="AA2275">
            <v>0</v>
          </cell>
          <cell r="AB2275"/>
        </row>
        <row r="2276">
          <cell r="C2276">
            <v>0</v>
          </cell>
          <cell r="D2276">
            <v>0</v>
          </cell>
          <cell r="E2276">
            <v>0</v>
          </cell>
          <cell r="F2276">
            <v>0</v>
          </cell>
          <cell r="H2276">
            <v>0</v>
          </cell>
          <cell r="O2276">
            <v>121664</v>
          </cell>
          <cell r="P2276"/>
          <cell r="Q2276" t="str">
            <v>EST CADEIRA PAULISTANO (ACO INOX POLIDO) CAPA COURO PRETO</v>
          </cell>
          <cell r="R2276"/>
          <cell r="S2276"/>
          <cell r="T2276">
            <v>0.72</v>
          </cell>
          <cell r="U2276">
            <v>0.74</v>
          </cell>
          <cell r="V2276">
            <v>0.82</v>
          </cell>
          <cell r="W2276">
            <v>0</v>
          </cell>
          <cell r="X2276" t="str">
            <v>EST CADEIRA PAULISTANO (ACO INOX POLIDO) CAPA COURO PRETO - 0,72x0,74x0,82H</v>
          </cell>
          <cell r="Y2276">
            <v>0</v>
          </cell>
          <cell r="Z2276">
            <v>0.5</v>
          </cell>
          <cell r="AA2276">
            <v>0</v>
          </cell>
          <cell r="AB2276"/>
        </row>
        <row r="2277">
          <cell r="C2277">
            <v>0</v>
          </cell>
          <cell r="D2277">
            <v>0</v>
          </cell>
          <cell r="E2277">
            <v>0</v>
          </cell>
          <cell r="F2277">
            <v>0</v>
          </cell>
          <cell r="H2277">
            <v>0</v>
          </cell>
          <cell r="O2277">
            <v>122397</v>
          </cell>
          <cell r="P2277"/>
          <cell r="Q2277" t="str">
            <v>EST CADEIRA GB01 MISTA (JEQ 01) (QUADRIC NT) TC LINHO CINZA</v>
          </cell>
          <cell r="R2277"/>
          <cell r="S2277"/>
          <cell r="T2277">
            <v>0.45</v>
          </cell>
          <cell r="U2277">
            <v>0.48</v>
          </cell>
          <cell r="V2277">
            <v>0.85</v>
          </cell>
          <cell r="W2277">
            <v>0</v>
          </cell>
          <cell r="X2277" t="str">
            <v>EST CADEIRA GB01 MISTA (JEQ 01) (QUADRIC NT) TC LINHO CINZA - 0,45x0,48x0,85H</v>
          </cell>
          <cell r="Y2277">
            <v>0</v>
          </cell>
          <cell r="Z2277">
            <v>0.5</v>
          </cell>
          <cell r="AA2277">
            <v>0</v>
          </cell>
          <cell r="AB2277"/>
        </row>
        <row r="2278">
          <cell r="C2278">
            <v>0</v>
          </cell>
          <cell r="D2278">
            <v>0</v>
          </cell>
          <cell r="E2278">
            <v>0</v>
          </cell>
          <cell r="F2278">
            <v>0</v>
          </cell>
          <cell r="H2278">
            <v>0</v>
          </cell>
          <cell r="O2278">
            <v>123245</v>
          </cell>
          <cell r="P2278"/>
          <cell r="Q2278" t="str">
            <v>EST CADEIRA TAJA (LACA AMARELA) (AREA COBERTA)</v>
          </cell>
          <cell r="R2278"/>
          <cell r="S2278"/>
          <cell r="T2278">
            <v>0.43</v>
          </cell>
          <cell r="U2278">
            <v>0.46</v>
          </cell>
          <cell r="V2278">
            <v>0.73</v>
          </cell>
          <cell r="W2278">
            <v>0</v>
          </cell>
          <cell r="X2278" t="str">
            <v>EST CADEIRA TAJA (LACA AMARELA) (AREA COBERTA) - 0,43x0,46x0,73H</v>
          </cell>
          <cell r="Y2278">
            <v>0</v>
          </cell>
          <cell r="Z2278">
            <v>0.35</v>
          </cell>
          <cell r="AA2278">
            <v>0</v>
          </cell>
          <cell r="AB2278"/>
        </row>
        <row r="2279">
          <cell r="C2279">
            <v>0</v>
          </cell>
          <cell r="D2279">
            <v>0</v>
          </cell>
          <cell r="E2279">
            <v>0</v>
          </cell>
          <cell r="F2279">
            <v>0</v>
          </cell>
          <cell r="H2279">
            <v>1</v>
          </cell>
          <cell r="O2279">
            <v>124429</v>
          </cell>
          <cell r="P2279"/>
          <cell r="Q2279" t="str">
            <v>EST MESA JANTAR 14 BIS (15MM) (FENDI)</v>
          </cell>
          <cell r="R2279"/>
          <cell r="S2279"/>
          <cell r="T2279">
            <v>2.8</v>
          </cell>
          <cell r="U2279">
            <v>1.2</v>
          </cell>
          <cell r="V2279">
            <v>0.74</v>
          </cell>
          <cell r="W2279">
            <v>0</v>
          </cell>
          <cell r="X2279" t="str">
            <v>EST MESA JANTAR 14 BIS (15MM) (FENDI) - 2,8x1,2x0,74H</v>
          </cell>
          <cell r="Y2279">
            <v>0</v>
          </cell>
          <cell r="Z2279">
            <v>0</v>
          </cell>
          <cell r="AA2279">
            <v>0</v>
          </cell>
          <cell r="AB2279"/>
        </row>
        <row r="2280">
          <cell r="C2280">
            <v>0</v>
          </cell>
          <cell r="D2280">
            <v>0</v>
          </cell>
          <cell r="E2280">
            <v>0</v>
          </cell>
          <cell r="F2280">
            <v>0</v>
          </cell>
          <cell r="H2280">
            <v>1</v>
          </cell>
          <cell r="O2280">
            <v>124744</v>
          </cell>
          <cell r="P2280"/>
          <cell r="Q2280" t="str">
            <v>EST MESA CENTRO CORTEN (RESINA Y-099 BEGE) ACO CORTEN</v>
          </cell>
          <cell r="R2280"/>
          <cell r="S2280"/>
          <cell r="T2280">
            <v>1.5</v>
          </cell>
          <cell r="U2280">
            <v>1.08</v>
          </cell>
          <cell r="V2280">
            <v>0.28999999999999998</v>
          </cell>
          <cell r="W2280">
            <v>0</v>
          </cell>
          <cell r="X2280" t="str">
            <v>EST MESA CENTRO CORTEN (RESINA Y-099 BEGE) ACO CORTEN - 1,5x1,08x0,29H</v>
          </cell>
          <cell r="Y2280">
            <v>0</v>
          </cell>
          <cell r="Z2280">
            <v>0</v>
          </cell>
          <cell r="AA2280">
            <v>0</v>
          </cell>
          <cell r="AB2280"/>
        </row>
        <row r="2281">
          <cell r="C2281">
            <v>0</v>
          </cell>
          <cell r="D2281">
            <v>0</v>
          </cell>
          <cell r="E2281">
            <v>0</v>
          </cell>
          <cell r="F2281">
            <v>0</v>
          </cell>
          <cell r="H2281">
            <v>1</v>
          </cell>
          <cell r="O2281">
            <v>124745</v>
          </cell>
          <cell r="P2281"/>
          <cell r="Q2281" t="str">
            <v>EST MESA JANTAR CORTEN (RESINA BRANCA)</v>
          </cell>
          <cell r="R2281"/>
          <cell r="S2281"/>
          <cell r="T2281">
            <v>2.7</v>
          </cell>
          <cell r="U2281">
            <v>1.2</v>
          </cell>
          <cell r="V2281">
            <v>0.74</v>
          </cell>
          <cell r="W2281">
            <v>0</v>
          </cell>
          <cell r="X2281" t="str">
            <v>EST MESA JANTAR CORTEN (RESINA BRANCA) - 2,7x1,2x0,74H</v>
          </cell>
          <cell r="Y2281">
            <v>0</v>
          </cell>
          <cell r="Z2281">
            <v>0.5</v>
          </cell>
          <cell r="AA2281">
            <v>0</v>
          </cell>
          <cell r="AB2281"/>
        </row>
        <row r="2282">
          <cell r="C2282">
            <v>0</v>
          </cell>
          <cell r="D2282">
            <v>0</v>
          </cell>
          <cell r="E2282">
            <v>0</v>
          </cell>
          <cell r="F2282">
            <v>0</v>
          </cell>
          <cell r="H2282">
            <v>1</v>
          </cell>
          <cell r="O2282">
            <v>127872</v>
          </cell>
          <cell r="P2282"/>
          <cell r="Q2282" t="str">
            <v>EST MESA LATERAL JANETE (FREIJO NATURAL)</v>
          </cell>
          <cell r="R2282"/>
          <cell r="S2282"/>
          <cell r="T2282">
            <v>0.8</v>
          </cell>
          <cell r="U2282">
            <v>0</v>
          </cell>
          <cell r="V2282">
            <v>0.6</v>
          </cell>
          <cell r="W2282">
            <v>0.8</v>
          </cell>
          <cell r="X2282" t="str">
            <v>EST MESA LATERAL JANETE (FREIJO NATURAL) - Ø0,8x0,6H</v>
          </cell>
          <cell r="Y2282">
            <v>0</v>
          </cell>
          <cell r="Z2282">
            <v>0</v>
          </cell>
          <cell r="AA2282">
            <v>0</v>
          </cell>
          <cell r="AB2282"/>
        </row>
        <row r="2283">
          <cell r="C2283">
            <v>0</v>
          </cell>
          <cell r="D2283">
            <v>0</v>
          </cell>
          <cell r="E2283">
            <v>0</v>
          </cell>
          <cell r="F2283">
            <v>0</v>
          </cell>
          <cell r="H2283">
            <v>1</v>
          </cell>
          <cell r="O2283">
            <v>127925</v>
          </cell>
          <cell r="P2283"/>
          <cell r="Q2283" t="str">
            <v>EST BANQUETA PARATY (MAD A COR 02) TC SEDA RUSTICO NATURAL</v>
          </cell>
          <cell r="R2283"/>
          <cell r="S2283"/>
          <cell r="T2283">
            <v>0.78</v>
          </cell>
          <cell r="U2283">
            <v>0.49</v>
          </cell>
          <cell r="V2283">
            <v>0.39</v>
          </cell>
          <cell r="W2283">
            <v>0</v>
          </cell>
          <cell r="X2283" t="str">
            <v>EST BANQUETA PARATY (MAD A COR 02) TC SEDA RUSTICO NATURAL - 0,78x0,49x0,39H</v>
          </cell>
          <cell r="Y2283">
            <v>0</v>
          </cell>
          <cell r="Z2283">
            <v>0</v>
          </cell>
          <cell r="AA2283">
            <v>0</v>
          </cell>
          <cell r="AB2283"/>
        </row>
        <row r="2284">
          <cell r="C2284">
            <v>0</v>
          </cell>
          <cell r="D2284">
            <v>0</v>
          </cell>
          <cell r="E2284">
            <v>0</v>
          </cell>
          <cell r="F2284">
            <v>0</v>
          </cell>
          <cell r="H2284">
            <v>0</v>
          </cell>
          <cell r="O2284">
            <v>128668</v>
          </cell>
          <cell r="P2284"/>
          <cell r="Q2284" t="str">
            <v>EST BUFFET BICK (CORPO SAYER X087 FOSCA/PES X087 BRILHO)</v>
          </cell>
          <cell r="R2284"/>
          <cell r="S2284"/>
          <cell r="T2284">
            <v>2.8</v>
          </cell>
          <cell r="U2284">
            <v>0.5</v>
          </cell>
          <cell r="V2284">
            <v>0.85</v>
          </cell>
          <cell r="W2284">
            <v>0</v>
          </cell>
          <cell r="X2284" t="str">
            <v>EST BUFFET BICK (CORPO SAYER X087 FOSCA/PES X087 BRILHO) - 2,8x0,5x0,85H</v>
          </cell>
          <cell r="Y2284">
            <v>0</v>
          </cell>
          <cell r="Z2284">
            <v>0.5</v>
          </cell>
          <cell r="AA2284">
            <v>0</v>
          </cell>
          <cell r="AB2284"/>
        </row>
        <row r="2285">
          <cell r="C2285">
            <v>0</v>
          </cell>
          <cell r="D2285">
            <v>0</v>
          </cell>
          <cell r="E2285">
            <v>0</v>
          </cell>
          <cell r="F2285">
            <v>0</v>
          </cell>
          <cell r="H2285">
            <v>1</v>
          </cell>
          <cell r="O2285">
            <v>128716</v>
          </cell>
          <cell r="P2285"/>
          <cell r="Q2285" t="str">
            <v>EST SOFA TAJA (2 LUG) EUCALIPTO NOGUEIRA VERNIZ EPS</v>
          </cell>
          <cell r="R2285"/>
          <cell r="S2285"/>
          <cell r="T2285">
            <v>1.1299999999999999</v>
          </cell>
          <cell r="U2285">
            <v>0.66</v>
          </cell>
          <cell r="V2285">
            <v>0.75</v>
          </cell>
          <cell r="W2285">
            <v>0</v>
          </cell>
          <cell r="X2285" t="str">
            <v>EST SOFA TAJA (2 LUG) EUCALIPTO NOGUEIRA VERNIZ EPS - 1,13x0,66x0,75H</v>
          </cell>
          <cell r="Y2285">
            <v>0</v>
          </cell>
          <cell r="Z2285">
            <v>0</v>
          </cell>
          <cell r="AA2285">
            <v>0</v>
          </cell>
          <cell r="AB2285"/>
        </row>
        <row r="2286">
          <cell r="C2286">
            <v>0</v>
          </cell>
          <cell r="D2286">
            <v>0</v>
          </cell>
          <cell r="E2286">
            <v>0</v>
          </cell>
          <cell r="F2286">
            <v>0</v>
          </cell>
          <cell r="H2286">
            <v>2</v>
          </cell>
          <cell r="O2286">
            <v>128970</v>
          </cell>
          <cell r="P2286"/>
          <cell r="Q2286" t="str">
            <v>EST TAMPO CRISTAL LAPIDADO (15MM) INCOLOR (CIRCULAR)</v>
          </cell>
          <cell r="R2286"/>
          <cell r="S2286"/>
          <cell r="T2286">
            <v>1.6</v>
          </cell>
          <cell r="U2286">
            <v>0</v>
          </cell>
          <cell r="V2286">
            <v>0.01</v>
          </cell>
          <cell r="W2286">
            <v>1.6</v>
          </cell>
          <cell r="X2286" t="str">
            <v>EST TAMPO CRISTAL LAPIDADO (15MM) INCOLOR (CIRCULAR) - Ø1,6x0,01H</v>
          </cell>
          <cell r="Y2286">
            <v>0</v>
          </cell>
          <cell r="Z2286">
            <v>0.5</v>
          </cell>
          <cell r="AA2286">
            <v>0</v>
          </cell>
          <cell r="AB2286"/>
        </row>
        <row r="2287">
          <cell r="C2287">
            <v>0</v>
          </cell>
          <cell r="D2287">
            <v>0</v>
          </cell>
          <cell r="E2287">
            <v>0</v>
          </cell>
          <cell r="F2287">
            <v>0</v>
          </cell>
          <cell r="H2287">
            <v>1</v>
          </cell>
          <cell r="O2287">
            <v>129253</v>
          </cell>
          <cell r="P2287"/>
          <cell r="Q2287" t="str">
            <v>EST MESA JANTAR CORTEN (MADEIRA CABREUVA)</v>
          </cell>
          <cell r="R2287"/>
          <cell r="S2287"/>
          <cell r="T2287">
            <v>3</v>
          </cell>
          <cell r="U2287">
            <v>1.2</v>
          </cell>
          <cell r="V2287">
            <v>0.74</v>
          </cell>
          <cell r="W2287">
            <v>0</v>
          </cell>
          <cell r="X2287" t="str">
            <v>EST MESA JANTAR CORTEN (MADEIRA CABREUVA) - 3x1,2x0,74H</v>
          </cell>
          <cell r="Y2287">
            <v>0</v>
          </cell>
          <cell r="Z2287">
            <v>0</v>
          </cell>
          <cell r="AA2287">
            <v>0</v>
          </cell>
          <cell r="AB2287"/>
        </row>
        <row r="2288">
          <cell r="C2288">
            <v>0</v>
          </cell>
          <cell r="D2288">
            <v>0</v>
          </cell>
          <cell r="E2288">
            <v>0</v>
          </cell>
          <cell r="F2288">
            <v>0</v>
          </cell>
          <cell r="H2288">
            <v>1</v>
          </cell>
          <cell r="O2288">
            <v>129292</v>
          </cell>
          <cell r="P2288"/>
          <cell r="Q2288" t="str">
            <v>EST SOFA HAUNER (MAD A COR 02) TC LA -018 72078-C3 DUBLADA</v>
          </cell>
          <cell r="R2288"/>
          <cell r="S2288"/>
          <cell r="T2288">
            <v>1.8</v>
          </cell>
          <cell r="U2288">
            <v>1.03</v>
          </cell>
          <cell r="V2288">
            <v>0.72</v>
          </cell>
          <cell r="W2288">
            <v>0</v>
          </cell>
          <cell r="X2288" t="str">
            <v>EST SOFA HAUNER (MAD A COR 02) TC LA -018 72078-C3 DUBLADA - 1,8x1,03x0,72H</v>
          </cell>
          <cell r="Y2288">
            <v>0</v>
          </cell>
          <cell r="Z2288">
            <v>0</v>
          </cell>
          <cell r="AA2288">
            <v>0</v>
          </cell>
          <cell r="AB2288"/>
        </row>
        <row r="2289">
          <cell r="C2289">
            <v>0</v>
          </cell>
          <cell r="D2289">
            <v>0</v>
          </cell>
          <cell r="E2289">
            <v>0</v>
          </cell>
          <cell r="F2289">
            <v>0</v>
          </cell>
          <cell r="H2289">
            <v>5</v>
          </cell>
          <cell r="O2289">
            <v>129379</v>
          </cell>
          <cell r="P2289"/>
          <cell r="Q2289" t="str">
            <v>EST BANCO ANTONIO (FREIJO NATURAL)</v>
          </cell>
          <cell r="R2289"/>
          <cell r="S2289"/>
          <cell r="T2289">
            <v>0.35</v>
          </cell>
          <cell r="U2289">
            <v>0</v>
          </cell>
          <cell r="V2289">
            <v>0.43</v>
          </cell>
          <cell r="W2289">
            <v>0</v>
          </cell>
          <cell r="X2289" t="str">
            <v>EST BANCO ANTONIO (FREIJO NATURAL) - Ø0x0,43H</v>
          </cell>
          <cell r="Y2289">
            <v>0</v>
          </cell>
          <cell r="Z2289">
            <v>0</v>
          </cell>
          <cell r="AA2289">
            <v>0</v>
          </cell>
          <cell r="AB2289"/>
        </row>
        <row r="2290">
          <cell r="C2290">
            <v>0</v>
          </cell>
          <cell r="D2290">
            <v>0</v>
          </cell>
          <cell r="E2290">
            <v>0</v>
          </cell>
          <cell r="F2290">
            <v>0</v>
          </cell>
          <cell r="H2290">
            <v>0</v>
          </cell>
          <cell r="O2290">
            <v>130094</v>
          </cell>
          <cell r="P2290"/>
          <cell r="Q2290" t="str">
            <v>EST MESA JANTAR CORTEN (RESINA BRANCA BRILHO)</v>
          </cell>
          <cell r="R2290"/>
          <cell r="S2290"/>
          <cell r="T2290">
            <v>1.4</v>
          </cell>
          <cell r="U2290">
            <v>0</v>
          </cell>
          <cell r="V2290">
            <v>0.74</v>
          </cell>
          <cell r="W2290">
            <v>0</v>
          </cell>
          <cell r="X2290" t="str">
            <v>EST MESA JANTAR CORTEN (RESINA BRANCA BRILHO) - Ø0x0,74H</v>
          </cell>
          <cell r="Y2290">
            <v>0</v>
          </cell>
          <cell r="Z2290">
            <v>0.5</v>
          </cell>
          <cell r="AA2290">
            <v>0</v>
          </cell>
          <cell r="AB2290"/>
        </row>
        <row r="2291">
          <cell r="C2291">
            <v>0</v>
          </cell>
          <cell r="D2291">
            <v>0</v>
          </cell>
          <cell r="E2291">
            <v>0</v>
          </cell>
          <cell r="F2291">
            <v>0</v>
          </cell>
          <cell r="H2291">
            <v>1</v>
          </cell>
          <cell r="O2291">
            <v>130924</v>
          </cell>
          <cell r="P2291"/>
          <cell r="Q2291" t="str">
            <v>EST BANCO OSSO (EXTERNO LACA BRANCA/INTERNO MADEIRA CEDRO)</v>
          </cell>
          <cell r="R2291"/>
          <cell r="S2291"/>
          <cell r="T2291">
            <v>2</v>
          </cell>
          <cell r="U2291">
            <v>0.5</v>
          </cell>
          <cell r="V2291">
            <v>0.4</v>
          </cell>
          <cell r="W2291">
            <v>0</v>
          </cell>
          <cell r="X2291" t="str">
            <v>EST BANCO OSSO (EXTERNO LACA BRANCA/INTERNO MADEIRA CEDRO) - 2x0,5x0,4H</v>
          </cell>
          <cell r="Y2291">
            <v>0</v>
          </cell>
          <cell r="Z2291">
            <v>0</v>
          </cell>
          <cell r="AA2291">
            <v>0</v>
          </cell>
          <cell r="AB2291"/>
        </row>
        <row r="2292">
          <cell r="C2292" t="e">
            <v>#N/A</v>
          </cell>
          <cell r="D2292" t="e">
            <v>#N/A</v>
          </cell>
          <cell r="E2292" t="e">
            <v>#N/A</v>
          </cell>
          <cell r="F2292" t="e">
            <v>#N/A</v>
          </cell>
          <cell r="H2292" t="e">
            <v>#N/A</v>
          </cell>
          <cell r="O2292">
            <v>131379</v>
          </cell>
          <cell r="P2292"/>
          <cell r="Q2292" t="e">
            <v>#N/A</v>
          </cell>
          <cell r="R2292"/>
          <cell r="S2292"/>
          <cell r="T2292" t="e">
            <v>#N/A</v>
          </cell>
          <cell r="U2292" t="e">
            <v>#N/A</v>
          </cell>
          <cell r="V2292" t="e">
            <v>#N/A</v>
          </cell>
          <cell r="W2292" t="e">
            <v>#N/A</v>
          </cell>
          <cell r="X2292" t="e">
            <v>#N/A</v>
          </cell>
          <cell r="Y2292">
            <v>0</v>
          </cell>
          <cell r="Z2292">
            <v>0</v>
          </cell>
          <cell r="AA2292">
            <v>0</v>
          </cell>
          <cell r="AB2292"/>
        </row>
        <row r="2293">
          <cell r="C2293">
            <v>0</v>
          </cell>
          <cell r="D2293">
            <v>0</v>
          </cell>
          <cell r="E2293">
            <v>0</v>
          </cell>
          <cell r="F2293">
            <v>0</v>
          </cell>
          <cell r="H2293">
            <v>1</v>
          </cell>
          <cell r="O2293">
            <v>131970</v>
          </cell>
          <cell r="P2293"/>
          <cell r="Q2293" t="str">
            <v>EST BANQUETA BAR PANTOSH (MULTILAMINADO FREIJO NATURAL)</v>
          </cell>
          <cell r="R2293"/>
          <cell r="S2293"/>
          <cell r="T2293">
            <v>0.45</v>
          </cell>
          <cell r="U2293">
            <v>0.45</v>
          </cell>
          <cell r="V2293">
            <v>0.85</v>
          </cell>
          <cell r="W2293">
            <v>0</v>
          </cell>
          <cell r="X2293" t="str">
            <v>EST BANQUETA BAR PANTOSH (MULTILAMINADO FREIJO NATURAL) - 0,45x0,45x0,85H</v>
          </cell>
          <cell r="Y2293">
            <v>0</v>
          </cell>
          <cell r="Z2293">
            <v>0</v>
          </cell>
          <cell r="AA2293">
            <v>0</v>
          </cell>
          <cell r="AB2293"/>
        </row>
        <row r="2294">
          <cell r="C2294">
            <v>0</v>
          </cell>
          <cell r="D2294">
            <v>0</v>
          </cell>
          <cell r="E2294">
            <v>0</v>
          </cell>
          <cell r="F2294">
            <v>0</v>
          </cell>
          <cell r="H2294">
            <v>0</v>
          </cell>
          <cell r="O2294">
            <v>133908</v>
          </cell>
          <cell r="P2294"/>
          <cell r="Q2294" t="str">
            <v>EST CADEIRA AUGUSTO ESTAR (FREIJO NATURAL) COURO MARROM 259</v>
          </cell>
          <cell r="R2294"/>
          <cell r="S2294"/>
          <cell r="T2294">
            <v>0.53</v>
          </cell>
          <cell r="U2294">
            <v>0.63</v>
          </cell>
          <cell r="V2294">
            <v>0.85</v>
          </cell>
          <cell r="W2294">
            <v>0</v>
          </cell>
          <cell r="X2294" t="str">
            <v>EST CADEIRA AUGUSTO ESTAR (FREIJO NATURAL) COURO MARROM 259 - 0,53x0,63x0,85H</v>
          </cell>
          <cell r="Y2294">
            <v>0</v>
          </cell>
          <cell r="Z2294">
            <v>0</v>
          </cell>
          <cell r="AA2294">
            <v>0</v>
          </cell>
          <cell r="AB2294"/>
        </row>
        <row r="2295">
          <cell r="C2295">
            <v>0</v>
          </cell>
          <cell r="D2295">
            <v>0</v>
          </cell>
          <cell r="E2295">
            <v>0</v>
          </cell>
          <cell r="F2295">
            <v>0</v>
          </cell>
          <cell r="H2295">
            <v>0</v>
          </cell>
          <cell r="O2295">
            <v>134010</v>
          </cell>
          <cell r="P2295"/>
          <cell r="Q2295" t="str">
            <v>EST POLTRONA LIA (MAD B COR 03) COURO CH CASTOR</v>
          </cell>
          <cell r="R2295"/>
          <cell r="S2295"/>
          <cell r="T2295">
            <v>0.74</v>
          </cell>
          <cell r="U2295">
            <v>0.73</v>
          </cell>
          <cell r="V2295">
            <v>0.71</v>
          </cell>
          <cell r="W2295">
            <v>0</v>
          </cell>
          <cell r="X2295" t="str">
            <v>EST POLTRONA LIA (MAD B COR 03) COURO CH CASTOR - 0,74x0,73x0,71H</v>
          </cell>
          <cell r="Y2295">
            <v>0</v>
          </cell>
          <cell r="Z2295">
            <v>0</v>
          </cell>
          <cell r="AA2295">
            <v>0</v>
          </cell>
          <cell r="AB2295"/>
        </row>
        <row r="2296">
          <cell r="C2296">
            <v>0</v>
          </cell>
          <cell r="D2296">
            <v>0</v>
          </cell>
          <cell r="E2296">
            <v>0</v>
          </cell>
          <cell r="F2296">
            <v>0</v>
          </cell>
          <cell r="H2296">
            <v>1</v>
          </cell>
          <cell r="O2296">
            <v>135358</v>
          </cell>
          <cell r="P2296"/>
          <cell r="Q2296" t="str">
            <v>EST CADEIRA GB01 TELA (SEXTAV NT) (JEQ NT)</v>
          </cell>
          <cell r="R2296"/>
          <cell r="S2296"/>
          <cell r="T2296">
            <v>0.45</v>
          </cell>
          <cell r="U2296">
            <v>0.48</v>
          </cell>
          <cell r="V2296">
            <v>0.83</v>
          </cell>
          <cell r="W2296">
            <v>0</v>
          </cell>
          <cell r="X2296" t="str">
            <v>EST CADEIRA GB01 TELA (SEXTAV NT) (JEQ NT) - 0,45x0,48x0,83H</v>
          </cell>
          <cell r="Y2296">
            <v>0</v>
          </cell>
          <cell r="Z2296">
            <v>0</v>
          </cell>
          <cell r="AA2296">
            <v>0</v>
          </cell>
          <cell r="AB2296"/>
        </row>
        <row r="2297">
          <cell r="C2297">
            <v>0</v>
          </cell>
          <cell r="D2297">
            <v>0</v>
          </cell>
          <cell r="E2297">
            <v>0</v>
          </cell>
          <cell r="F2297">
            <v>0</v>
          </cell>
          <cell r="H2297">
            <v>1</v>
          </cell>
          <cell r="O2297">
            <v>135633</v>
          </cell>
          <cell r="P2297"/>
          <cell r="Q2297" t="str">
            <v>EST BANQUETA ZANINE YZ (PINHO DE RIGA) COURO PRETO</v>
          </cell>
          <cell r="R2297"/>
          <cell r="S2297"/>
          <cell r="T2297">
            <v>0.45</v>
          </cell>
          <cell r="U2297">
            <v>0.55000000000000004</v>
          </cell>
          <cell r="V2297">
            <v>0.4</v>
          </cell>
          <cell r="W2297">
            <v>0</v>
          </cell>
          <cell r="X2297" t="str">
            <v>EST BANQUETA ZANINE YZ (PINHO DE RIGA) COURO PRETO - 0,45x0,55x0,4H</v>
          </cell>
          <cell r="Y2297">
            <v>0</v>
          </cell>
          <cell r="Z2297">
            <v>0</v>
          </cell>
          <cell r="AA2297">
            <v>0</v>
          </cell>
          <cell r="AB2297"/>
        </row>
        <row r="2298">
          <cell r="C2298">
            <v>0</v>
          </cell>
          <cell r="D2298">
            <v>0</v>
          </cell>
          <cell r="E2298">
            <v>0</v>
          </cell>
          <cell r="F2298">
            <v>0</v>
          </cell>
          <cell r="H2298">
            <v>1</v>
          </cell>
          <cell r="O2298">
            <v>136420</v>
          </cell>
          <cell r="P2298"/>
          <cell r="Q2298" t="str">
            <v>EST POLTRONA CASCA (ACO CARBONO) (KRAFT NATURAL)</v>
          </cell>
          <cell r="R2298"/>
          <cell r="S2298"/>
          <cell r="T2298">
            <v>0.95</v>
          </cell>
          <cell r="U2298">
            <v>1</v>
          </cell>
          <cell r="V2298">
            <v>0.83</v>
          </cell>
          <cell r="W2298">
            <v>0</v>
          </cell>
          <cell r="X2298" t="str">
            <v>EST POLTRONA CASCA (ACO CARBONO) (KRAFT NATURAL) - 0,95x1x0,83H</v>
          </cell>
          <cell r="Y2298">
            <v>0</v>
          </cell>
          <cell r="Z2298">
            <v>0</v>
          </cell>
          <cell r="AA2298">
            <v>0</v>
          </cell>
          <cell r="AB2298"/>
        </row>
        <row r="2299">
          <cell r="C2299">
            <v>0</v>
          </cell>
          <cell r="D2299">
            <v>0</v>
          </cell>
          <cell r="E2299">
            <v>0</v>
          </cell>
          <cell r="F2299">
            <v>0</v>
          </cell>
          <cell r="H2299">
            <v>1</v>
          </cell>
          <cell r="O2299">
            <v>137051</v>
          </cell>
          <cell r="P2299"/>
          <cell r="Q2299" t="str">
            <v>EST POLTRONA SOPRO (FREIJO NT) (COURO ATANADO CRU/CAFE)</v>
          </cell>
          <cell r="R2299"/>
          <cell r="S2299"/>
          <cell r="T2299">
            <v>0.72</v>
          </cell>
          <cell r="U2299">
            <v>0.83</v>
          </cell>
          <cell r="V2299">
            <v>0.96</v>
          </cell>
          <cell r="W2299">
            <v>0</v>
          </cell>
          <cell r="X2299" t="str">
            <v>EST POLTRONA SOPRO (FREIJO NT) (COURO ATANADO CRU/CAFE) - 0,72x0,83x0,96H</v>
          </cell>
          <cell r="Y2299">
            <v>0</v>
          </cell>
          <cell r="Z2299">
            <v>0</v>
          </cell>
          <cell r="AA2299">
            <v>0</v>
          </cell>
          <cell r="AB2299"/>
        </row>
        <row r="2300">
          <cell r="C2300">
            <v>0</v>
          </cell>
          <cell r="D2300">
            <v>0</v>
          </cell>
          <cell r="E2300">
            <v>0</v>
          </cell>
          <cell r="F2300">
            <v>0</v>
          </cell>
          <cell r="H2300">
            <v>2</v>
          </cell>
          <cell r="O2300">
            <v>137074</v>
          </cell>
          <cell r="P2300"/>
          <cell r="Q2300" t="str">
            <v>EST BANCO DOMINO (8 LUG) (CONC NT) (INOX)</v>
          </cell>
          <cell r="R2300"/>
          <cell r="S2300"/>
          <cell r="T2300">
            <v>1.9</v>
          </cell>
          <cell r="U2300">
            <v>0.9</v>
          </cell>
          <cell r="V2300">
            <v>0.48</v>
          </cell>
          <cell r="W2300">
            <v>0</v>
          </cell>
          <cell r="X2300" t="str">
            <v>EST BANCO DOMINO (8 LUG) (CONC NT) (INOX) - 1,9x0,9x0,48H</v>
          </cell>
          <cell r="Y2300">
            <v>0</v>
          </cell>
          <cell r="Z2300">
            <v>0</v>
          </cell>
          <cell r="AA2300">
            <v>0</v>
          </cell>
          <cell r="AB2300"/>
        </row>
        <row r="2301">
          <cell r="C2301">
            <v>0</v>
          </cell>
          <cell r="D2301">
            <v>0</v>
          </cell>
          <cell r="E2301">
            <v>0</v>
          </cell>
          <cell r="F2301">
            <v>0</v>
          </cell>
          <cell r="H2301">
            <v>2</v>
          </cell>
          <cell r="O2301">
            <v>137844</v>
          </cell>
          <cell r="P2301"/>
          <cell r="Q2301" t="str">
            <v>EST CADEIRA ANEL 60 S - 1970 (PRETO) (COURO CH PRETO)</v>
          </cell>
          <cell r="R2301"/>
          <cell r="S2301"/>
          <cell r="T2301">
            <v>0.68</v>
          </cell>
          <cell r="U2301">
            <v>0</v>
          </cell>
          <cell r="V2301">
            <v>0.82</v>
          </cell>
          <cell r="W2301">
            <v>0.68</v>
          </cell>
          <cell r="X2301" t="str">
            <v>EST CADEIRA ANEL 60 S - 1970 (PRETO) (COURO CH PRETO) - Ø0,68x0,82H</v>
          </cell>
          <cell r="Y2301">
            <v>0</v>
          </cell>
          <cell r="Z2301">
            <v>0</v>
          </cell>
          <cell r="AA2301">
            <v>0</v>
          </cell>
          <cell r="AB2301"/>
        </row>
        <row r="2302">
          <cell r="C2302">
            <v>0</v>
          </cell>
          <cell r="D2302">
            <v>0</v>
          </cell>
          <cell r="E2302">
            <v>0</v>
          </cell>
          <cell r="F2302">
            <v>0</v>
          </cell>
          <cell r="H2302">
            <v>2</v>
          </cell>
          <cell r="O2302">
            <v>138719</v>
          </cell>
          <cell r="P2302"/>
          <cell r="Q2302" t="str">
            <v>EST POLTRONA ZANINE ALFA (TAUARI MEL) TC PELOURINHO AREIA</v>
          </cell>
          <cell r="R2302"/>
          <cell r="S2302"/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 t="str">
            <v>EST POLTRONA ZANINE ALFA (TAUARI MEL) TC PELOURINHO AREIA - Ø0x0H</v>
          </cell>
          <cell r="Y2302">
            <v>0</v>
          </cell>
          <cell r="Z2302">
            <v>0.35</v>
          </cell>
          <cell r="AA2302">
            <v>0</v>
          </cell>
          <cell r="AB2302"/>
        </row>
        <row r="2303">
          <cell r="C2303">
            <v>0</v>
          </cell>
          <cell r="D2303">
            <v>0</v>
          </cell>
          <cell r="E2303">
            <v>0</v>
          </cell>
          <cell r="F2303">
            <v>0</v>
          </cell>
          <cell r="H2303">
            <v>4</v>
          </cell>
          <cell r="O2303">
            <v>138776</v>
          </cell>
          <cell r="P2303"/>
          <cell r="Q2303" t="str">
            <v>EST BANCO ANGELA (FREIJO NATURAL)</v>
          </cell>
          <cell r="R2303"/>
          <cell r="S2303"/>
          <cell r="T2303">
            <v>0.4</v>
          </cell>
          <cell r="U2303">
            <v>0</v>
          </cell>
          <cell r="V2303">
            <v>0.45</v>
          </cell>
          <cell r="W2303">
            <v>0</v>
          </cell>
          <cell r="X2303" t="str">
            <v>EST BANCO ANGELA (FREIJO NATURAL) - Ø0x0,45H</v>
          </cell>
          <cell r="Y2303">
            <v>0</v>
          </cell>
          <cell r="Z2303">
            <v>0</v>
          </cell>
          <cell r="AA2303">
            <v>0</v>
          </cell>
          <cell r="AB2303"/>
        </row>
        <row r="2304">
          <cell r="C2304">
            <v>0</v>
          </cell>
          <cell r="D2304">
            <v>0</v>
          </cell>
          <cell r="E2304">
            <v>0</v>
          </cell>
          <cell r="F2304">
            <v>0</v>
          </cell>
          <cell r="H2304">
            <v>2</v>
          </cell>
          <cell r="O2304">
            <v>138787</v>
          </cell>
          <cell r="P2304"/>
          <cell r="Q2304" t="str">
            <v>EST BANQUETA BAR CORINGA H73 (COURO ATANADO) (FREIJO NT)</v>
          </cell>
          <cell r="R2304"/>
          <cell r="S2304"/>
          <cell r="T2304">
            <v>0.43</v>
          </cell>
          <cell r="U2304">
            <v>0.43</v>
          </cell>
          <cell r="V2304">
            <v>0.73</v>
          </cell>
          <cell r="W2304">
            <v>0</v>
          </cell>
          <cell r="X2304" t="str">
            <v>EST BANQUETA BAR CORINGA H73 (COURO ATANADO) (FREIJO NT) - 0,43x0,43x0,73H</v>
          </cell>
          <cell r="Y2304">
            <v>0</v>
          </cell>
          <cell r="Z2304">
            <v>0.5</v>
          </cell>
          <cell r="AA2304">
            <v>0</v>
          </cell>
          <cell r="AB2304"/>
        </row>
        <row r="2305">
          <cell r="C2305">
            <v>0</v>
          </cell>
          <cell r="D2305">
            <v>0</v>
          </cell>
          <cell r="E2305">
            <v>0</v>
          </cell>
          <cell r="F2305">
            <v>0</v>
          </cell>
          <cell r="H2305">
            <v>1</v>
          </cell>
          <cell r="O2305">
            <v>140100</v>
          </cell>
          <cell r="P2305"/>
          <cell r="Q2305" t="str">
            <v>EST HOME JANETE (FREIJO NATURAL)</v>
          </cell>
          <cell r="R2305"/>
          <cell r="S2305"/>
          <cell r="T2305">
            <v>2.7</v>
          </cell>
          <cell r="U2305">
            <v>0.55000000000000004</v>
          </cell>
          <cell r="V2305">
            <v>0.55000000000000004</v>
          </cell>
          <cell r="W2305">
            <v>0</v>
          </cell>
          <cell r="X2305" t="str">
            <v>EST HOME JANETE (FREIJO NATURAL) - 2,7x0,55x0,55H</v>
          </cell>
          <cell r="Y2305">
            <v>0</v>
          </cell>
          <cell r="Z2305">
            <v>0.5</v>
          </cell>
          <cell r="AA2305">
            <v>0</v>
          </cell>
          <cell r="AB2305"/>
        </row>
        <row r="2306">
          <cell r="C2306">
            <v>0</v>
          </cell>
          <cell r="D2306">
            <v>0</v>
          </cell>
          <cell r="E2306">
            <v>0</v>
          </cell>
          <cell r="F2306">
            <v>0</v>
          </cell>
          <cell r="H2306">
            <v>6</v>
          </cell>
          <cell r="O2306">
            <v>142280</v>
          </cell>
          <cell r="P2306"/>
          <cell r="Q2306" t="str">
            <v>EST CADEIRA TAJA (MAD NOGUEIRA VERNIZ EPS)</v>
          </cell>
          <cell r="R2306"/>
          <cell r="S2306"/>
          <cell r="T2306">
            <v>0.43</v>
          </cell>
          <cell r="U2306">
            <v>0.46</v>
          </cell>
          <cell r="V2306">
            <v>0.73</v>
          </cell>
          <cell r="W2306">
            <v>0</v>
          </cell>
          <cell r="X2306" t="str">
            <v>EST CADEIRA TAJA (MAD NOGUEIRA VERNIZ EPS) - 0,43x0,46x0,73H</v>
          </cell>
          <cell r="Y2306">
            <v>0</v>
          </cell>
          <cell r="Z2306">
            <v>0</v>
          </cell>
          <cell r="AA2306">
            <v>0</v>
          </cell>
          <cell r="AB2306"/>
        </row>
        <row r="2307">
          <cell r="C2307">
            <v>0</v>
          </cell>
          <cell r="D2307">
            <v>0</v>
          </cell>
          <cell r="E2307">
            <v>0</v>
          </cell>
          <cell r="F2307">
            <v>0</v>
          </cell>
          <cell r="H2307">
            <v>0</v>
          </cell>
          <cell r="O2307">
            <v>142397</v>
          </cell>
          <cell r="P2307"/>
          <cell r="Q2307" t="str">
            <v>EST CARRINHO ECOBOX (MADEIRA TECA)</v>
          </cell>
          <cell r="R2307"/>
          <cell r="S2307"/>
          <cell r="T2307">
            <v>0.48</v>
          </cell>
          <cell r="U2307">
            <v>0.48</v>
          </cell>
          <cell r="V2307">
            <v>0.57999999999999996</v>
          </cell>
          <cell r="W2307">
            <v>0</v>
          </cell>
          <cell r="X2307" t="str">
            <v>EST CARRINHO ECOBOX (MADEIRA TECA) - 0,48x0,48x0,58H</v>
          </cell>
          <cell r="Y2307">
            <v>0</v>
          </cell>
          <cell r="Z2307">
            <v>0</v>
          </cell>
          <cell r="AA2307">
            <v>0</v>
          </cell>
          <cell r="AB2307"/>
        </row>
        <row r="2308">
          <cell r="C2308">
            <v>0</v>
          </cell>
          <cell r="D2308">
            <v>0</v>
          </cell>
          <cell r="E2308">
            <v>0</v>
          </cell>
          <cell r="F2308">
            <v>0</v>
          </cell>
          <cell r="H2308">
            <v>3</v>
          </cell>
          <cell r="O2308">
            <v>142842</v>
          </cell>
          <cell r="P2308"/>
          <cell r="Q2308" t="str">
            <v>EST LUMINARIA PAU DE LUZ (INOX) (FREIJO NATURAL) BIVOLT</v>
          </cell>
          <cell r="R2308"/>
          <cell r="S2308"/>
          <cell r="T2308">
            <v>0.04</v>
          </cell>
          <cell r="U2308">
            <v>0.06</v>
          </cell>
          <cell r="V2308">
            <v>2.15</v>
          </cell>
          <cell r="W2308">
            <v>0</v>
          </cell>
          <cell r="X2308" t="str">
            <v>EST LUMINARIA PAU DE LUZ (INOX) (FREIJO NATURAL) BIVOLT - 0,04x0,06x2,15H</v>
          </cell>
          <cell r="Y2308">
            <v>0</v>
          </cell>
          <cell r="Z2308">
            <v>0.5</v>
          </cell>
          <cell r="AA2308">
            <v>0</v>
          </cell>
          <cell r="AB2308"/>
        </row>
        <row r="2309">
          <cell r="C2309">
            <v>0</v>
          </cell>
          <cell r="D2309">
            <v>0</v>
          </cell>
          <cell r="E2309">
            <v>0</v>
          </cell>
          <cell r="F2309">
            <v>0</v>
          </cell>
          <cell r="H2309">
            <v>0</v>
          </cell>
          <cell r="O2309">
            <v>143502</v>
          </cell>
          <cell r="P2309"/>
          <cell r="Q2309" t="str">
            <v>EST COMPONENTE ENCOSTO TIMBO (BIS) TC 10388/002</v>
          </cell>
          <cell r="R2309"/>
          <cell r="S2309"/>
          <cell r="T2309">
            <v>0.5</v>
          </cell>
          <cell r="U2309">
            <v>0.5</v>
          </cell>
          <cell r="V2309">
            <v>0.14000000000000001</v>
          </cell>
          <cell r="W2309">
            <v>0</v>
          </cell>
          <cell r="X2309" t="str">
            <v>EST COMPONENTE ENCOSTO TIMBO (BIS) TC 10388/002 - 0,5x0,5x0,14H</v>
          </cell>
          <cell r="Y2309">
            <v>0</v>
          </cell>
          <cell r="Z2309">
            <v>0.5</v>
          </cell>
          <cell r="AA2309">
            <v>0</v>
          </cell>
          <cell r="AB2309"/>
        </row>
        <row r="2310">
          <cell r="C2310">
            <v>0</v>
          </cell>
          <cell r="D2310">
            <v>0</v>
          </cell>
          <cell r="E2310">
            <v>0</v>
          </cell>
          <cell r="F2310">
            <v>0</v>
          </cell>
          <cell r="H2310">
            <v>0</v>
          </cell>
          <cell r="O2310">
            <v>143504</v>
          </cell>
          <cell r="P2310"/>
          <cell r="Q2310" t="str">
            <v>EST COMPONENTE ASSENTO POLTRONA TIMBO (BIS) TC 10388/002</v>
          </cell>
          <cell r="R2310"/>
          <cell r="S2310"/>
          <cell r="T2310">
            <v>0.62</v>
          </cell>
          <cell r="U2310">
            <v>0.6</v>
          </cell>
          <cell r="V2310">
            <v>0.13</v>
          </cell>
          <cell r="W2310">
            <v>0</v>
          </cell>
          <cell r="X2310" t="str">
            <v>EST COMPONENTE ASSENTO POLTRONA TIMBO (BIS) TC 10388/002 - 0,62x0,6x0,13H</v>
          </cell>
          <cell r="Y2310">
            <v>0</v>
          </cell>
          <cell r="Z2310">
            <v>0.5</v>
          </cell>
          <cell r="AA2310">
            <v>0</v>
          </cell>
          <cell r="AB2310"/>
        </row>
        <row r="2311">
          <cell r="C2311">
            <v>0</v>
          </cell>
          <cell r="D2311">
            <v>0</v>
          </cell>
          <cell r="E2311">
            <v>0</v>
          </cell>
          <cell r="F2311">
            <v>0</v>
          </cell>
          <cell r="H2311">
            <v>1</v>
          </cell>
          <cell r="O2311">
            <v>145027</v>
          </cell>
          <cell r="P2311"/>
          <cell r="Q2311" t="str">
            <v>EST MESA CENTRO JOHN GRAZ (BS SUCUPIRA) (LC BRANCA BRLILHO)</v>
          </cell>
          <cell r="R2311"/>
          <cell r="S2311"/>
          <cell r="T2311">
            <v>1.7</v>
          </cell>
          <cell r="U2311">
            <v>0.77</v>
          </cell>
          <cell r="V2311">
            <v>0.31</v>
          </cell>
          <cell r="W2311">
            <v>0</v>
          </cell>
          <cell r="X2311" t="str">
            <v>EST MESA CENTRO JOHN GRAZ (BS SUCUPIRA) (LC BRANCA BRLILHO) - 1,7x0,77x0,31H</v>
          </cell>
          <cell r="Y2311">
            <v>0</v>
          </cell>
          <cell r="Z2311">
            <v>0</v>
          </cell>
          <cell r="AA2311">
            <v>0</v>
          </cell>
          <cell r="AB2311"/>
        </row>
        <row r="2312">
          <cell r="C2312">
            <v>0</v>
          </cell>
          <cell r="D2312">
            <v>0</v>
          </cell>
          <cell r="E2312">
            <v>0</v>
          </cell>
          <cell r="F2312">
            <v>0</v>
          </cell>
          <cell r="H2312">
            <v>1</v>
          </cell>
          <cell r="O2312">
            <v>145041</v>
          </cell>
          <cell r="P2312"/>
          <cell r="Q2312" t="str">
            <v>EST CADEIRA ANEL (ACO CARBONO) (COURO CH PRETO)</v>
          </cell>
          <cell r="R2312"/>
          <cell r="S2312"/>
          <cell r="T2312">
            <v>0.68</v>
          </cell>
          <cell r="U2312">
            <v>0</v>
          </cell>
          <cell r="V2312">
            <v>0.73</v>
          </cell>
          <cell r="W2312">
            <v>0.68</v>
          </cell>
          <cell r="X2312" t="str">
            <v>EST CADEIRA ANEL (ACO CARBONO) (COURO CH PRETO) - Ø0,68x0,73H</v>
          </cell>
          <cell r="Y2312">
            <v>0</v>
          </cell>
          <cell r="Z2312">
            <v>0</v>
          </cell>
          <cell r="AA2312">
            <v>0</v>
          </cell>
          <cell r="AB2312"/>
        </row>
        <row r="2313">
          <cell r="C2313">
            <v>0</v>
          </cell>
          <cell r="D2313">
            <v>0</v>
          </cell>
          <cell r="E2313">
            <v>0</v>
          </cell>
          <cell r="F2313">
            <v>0</v>
          </cell>
          <cell r="H2313">
            <v>1</v>
          </cell>
          <cell r="O2313">
            <v>145550</v>
          </cell>
          <cell r="P2313"/>
          <cell r="Q2313" t="str">
            <v>EST POLTRONA SOPRO (FREIJO NT) (COURO ATANADO CRU/PRETO)</v>
          </cell>
          <cell r="R2313"/>
          <cell r="S2313"/>
          <cell r="T2313">
            <v>0.72</v>
          </cell>
          <cell r="U2313">
            <v>0.83</v>
          </cell>
          <cell r="V2313">
            <v>0.96</v>
          </cell>
          <cell r="W2313">
            <v>0</v>
          </cell>
          <cell r="X2313" t="str">
            <v>EST POLTRONA SOPRO (FREIJO NT) (COURO ATANADO CRU/PRETO) - 0,72x0,83x0,96H</v>
          </cell>
          <cell r="Y2313">
            <v>0</v>
          </cell>
          <cell r="Z2313">
            <v>0</v>
          </cell>
          <cell r="AA2313">
            <v>0</v>
          </cell>
          <cell r="AB2313"/>
        </row>
        <row r="2314"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H2314">
            <v>0</v>
          </cell>
          <cell r="O2314">
            <v>145904</v>
          </cell>
          <cell r="P2314"/>
          <cell r="Q2314" t="str">
            <v>EST BANCO ABAPORU (J.BORGES BORBOLETA) (FREIJO NATURAL)</v>
          </cell>
          <cell r="R2314"/>
          <cell r="S2314"/>
          <cell r="T2314">
            <v>0.38</v>
          </cell>
          <cell r="U2314">
            <v>0</v>
          </cell>
          <cell r="V2314">
            <v>0.44</v>
          </cell>
          <cell r="W2314">
            <v>0</v>
          </cell>
          <cell r="X2314" t="str">
            <v>EST BANCO ABAPORU (J.BORGES BORBOLETA) (FREIJO NATURAL) - Ø0x0,44H</v>
          </cell>
          <cell r="Y2314">
            <v>0</v>
          </cell>
          <cell r="Z2314">
            <v>0</v>
          </cell>
          <cell r="AA2314">
            <v>0</v>
          </cell>
          <cell r="AB2314"/>
        </row>
        <row r="2315">
          <cell r="C2315">
            <v>0</v>
          </cell>
          <cell r="D2315">
            <v>0</v>
          </cell>
          <cell r="E2315">
            <v>0</v>
          </cell>
          <cell r="F2315">
            <v>0</v>
          </cell>
          <cell r="H2315">
            <v>2</v>
          </cell>
          <cell r="O2315">
            <v>146509</v>
          </cell>
          <cell r="P2315"/>
          <cell r="Q2315" t="str">
            <v>EST BANCO LEIF (FREIJO NATURAL)</v>
          </cell>
          <cell r="R2315"/>
          <cell r="S2315"/>
          <cell r="T2315">
            <v>2.6</v>
          </cell>
          <cell r="U2315">
            <v>0.6</v>
          </cell>
          <cell r="V2315">
            <v>0.4</v>
          </cell>
          <cell r="W2315">
            <v>0</v>
          </cell>
          <cell r="X2315" t="str">
            <v>EST BANCO LEIF (FREIJO NATURAL) - 2,6x0,6x0,4H</v>
          </cell>
          <cell r="Y2315">
            <v>0</v>
          </cell>
          <cell r="Z2315">
            <v>0</v>
          </cell>
          <cell r="AA2315">
            <v>0</v>
          </cell>
          <cell r="AB2315"/>
        </row>
        <row r="2316"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H2316">
            <v>1</v>
          </cell>
          <cell r="O2316">
            <v>146642</v>
          </cell>
          <cell r="P2316"/>
          <cell r="Q2316" t="str">
            <v>EST POLTRONA DIZ (LAMINADA S/FURO) (MAD LYPTUS) CANELA 05</v>
          </cell>
          <cell r="R2316"/>
          <cell r="S2316"/>
          <cell r="T2316">
            <v>0.78</v>
          </cell>
          <cell r="U2316">
            <v>0.89</v>
          </cell>
          <cell r="V2316">
            <v>0.71</v>
          </cell>
          <cell r="W2316">
            <v>0</v>
          </cell>
          <cell r="X2316" t="str">
            <v>EST POLTRONA DIZ (LAMINADA S/FURO) (MAD LYPTUS) CANELA 05 - 0,78x0,89x0,71H</v>
          </cell>
          <cell r="Y2316">
            <v>0</v>
          </cell>
          <cell r="Z2316">
            <v>0</v>
          </cell>
          <cell r="AA2316">
            <v>0</v>
          </cell>
          <cell r="AB2316"/>
        </row>
        <row r="2317">
          <cell r="C2317">
            <v>0</v>
          </cell>
          <cell r="D2317">
            <v>0</v>
          </cell>
          <cell r="E2317">
            <v>0</v>
          </cell>
          <cell r="F2317">
            <v>0</v>
          </cell>
          <cell r="H2317">
            <v>1</v>
          </cell>
          <cell r="O2317">
            <v>146877</v>
          </cell>
          <cell r="P2317"/>
          <cell r="Q2317" t="str">
            <v>EST BANCO OSSO (EXTERNO LACA BRANCA/INTERNO FIBRA CARBONO)</v>
          </cell>
          <cell r="R2317"/>
          <cell r="S2317"/>
          <cell r="T2317">
            <v>2</v>
          </cell>
          <cell r="U2317">
            <v>0.5</v>
          </cell>
          <cell r="V2317">
            <v>0.4</v>
          </cell>
          <cell r="W2317">
            <v>0</v>
          </cell>
          <cell r="X2317" t="str">
            <v>EST BANCO OSSO (EXTERNO LACA BRANCA/INTERNO FIBRA CARBONO) - 2x0,5x0,4H</v>
          </cell>
          <cell r="Y2317">
            <v>0</v>
          </cell>
          <cell r="Z2317">
            <v>0</v>
          </cell>
          <cell r="AA2317">
            <v>0</v>
          </cell>
          <cell r="AB2317"/>
        </row>
        <row r="2318">
          <cell r="C2318">
            <v>0</v>
          </cell>
          <cell r="D2318">
            <v>0</v>
          </cell>
          <cell r="E2318">
            <v>0</v>
          </cell>
          <cell r="F2318">
            <v>0</v>
          </cell>
          <cell r="H2318">
            <v>1</v>
          </cell>
          <cell r="O2318">
            <v>146894</v>
          </cell>
          <cell r="P2318"/>
          <cell r="Q2318" t="str">
            <v>EST MESA JANTAR ABAPORU (FREIJO EBANIZADO POROS ABERTOS)</v>
          </cell>
          <cell r="R2318"/>
          <cell r="S2318"/>
          <cell r="T2318">
            <v>1.5</v>
          </cell>
          <cell r="U2318">
            <v>0</v>
          </cell>
          <cell r="V2318">
            <v>0.76</v>
          </cell>
          <cell r="W2318">
            <v>0</v>
          </cell>
          <cell r="X2318" t="str">
            <v>EST MESA JANTAR ABAPORU (FREIJO EBANIZADO POROS ABERTOS) - Ø0x0,76H</v>
          </cell>
          <cell r="Y2318">
            <v>0</v>
          </cell>
          <cell r="Z2318">
            <v>0</v>
          </cell>
          <cell r="AA2318">
            <v>0</v>
          </cell>
          <cell r="AB2318"/>
        </row>
        <row r="2319">
          <cell r="C2319">
            <v>0</v>
          </cell>
          <cell r="D2319">
            <v>0</v>
          </cell>
          <cell r="E2319">
            <v>0</v>
          </cell>
          <cell r="F2319">
            <v>0</v>
          </cell>
          <cell r="H2319">
            <v>2</v>
          </cell>
          <cell r="O2319">
            <v>146926</v>
          </cell>
          <cell r="P2319"/>
          <cell r="Q2319" t="str">
            <v>EST POLTRONA BEG (S/ROD) (MAD A COR 02) TC LINHO 603</v>
          </cell>
          <cell r="R2319"/>
          <cell r="S2319"/>
          <cell r="T2319">
            <v>0.65</v>
          </cell>
          <cell r="U2319">
            <v>0.63</v>
          </cell>
          <cell r="V2319">
            <v>0.77</v>
          </cell>
          <cell r="W2319">
            <v>0</v>
          </cell>
          <cell r="X2319" t="str">
            <v>EST POLTRONA BEG (S/ROD) (MAD A COR 02) TC LINHO 603 - 0,65x0,63x0,77H</v>
          </cell>
          <cell r="Y2319">
            <v>0</v>
          </cell>
          <cell r="Z2319">
            <v>0</v>
          </cell>
          <cell r="AA2319">
            <v>0</v>
          </cell>
          <cell r="AB2319"/>
        </row>
        <row r="2320">
          <cell r="C2320">
            <v>0</v>
          </cell>
          <cell r="D2320">
            <v>0</v>
          </cell>
          <cell r="E2320">
            <v>0</v>
          </cell>
          <cell r="F2320">
            <v>0</v>
          </cell>
          <cell r="H2320">
            <v>1</v>
          </cell>
          <cell r="O2320">
            <v>146989</v>
          </cell>
          <cell r="P2320"/>
          <cell r="Q2320" t="str">
            <v>EST MESA JANTAR CONE (TPO FREIJO NATURAL) CONCRETO NATURAL</v>
          </cell>
          <cell r="R2320"/>
          <cell r="S2320"/>
          <cell r="T2320">
            <v>1.2</v>
          </cell>
          <cell r="U2320">
            <v>0</v>
          </cell>
          <cell r="V2320">
            <v>0.75</v>
          </cell>
          <cell r="W2320">
            <v>1.2</v>
          </cell>
          <cell r="X2320" t="str">
            <v>EST MESA JANTAR CONE (TPO FREIJO NATURAL) CONCRETO NATURAL - Ø1,2x0,75H</v>
          </cell>
          <cell r="Y2320">
            <v>0</v>
          </cell>
          <cell r="Z2320">
            <v>0</v>
          </cell>
          <cell r="AA2320">
            <v>0</v>
          </cell>
          <cell r="AB2320"/>
        </row>
        <row r="2321">
          <cell r="C2321">
            <v>0</v>
          </cell>
          <cell r="D2321">
            <v>0</v>
          </cell>
          <cell r="E2321">
            <v>0</v>
          </cell>
          <cell r="F2321">
            <v>0</v>
          </cell>
          <cell r="H2321">
            <v>0</v>
          </cell>
          <cell r="O2321">
            <v>147127</v>
          </cell>
          <cell r="P2321"/>
          <cell r="Q2321" t="str">
            <v>EST MESA JANTAR CONE (TPO TECA) CONCRETO BRANCO</v>
          </cell>
          <cell r="R2321"/>
          <cell r="S2321"/>
          <cell r="T2321">
            <v>1.2</v>
          </cell>
          <cell r="U2321">
            <v>0</v>
          </cell>
          <cell r="V2321">
            <v>0.75</v>
          </cell>
          <cell r="W2321">
            <v>0</v>
          </cell>
          <cell r="X2321" t="str">
            <v>EST MESA JANTAR CONE (TPO TECA) CONCRETO BRANCO - Ø0x0,75H</v>
          </cell>
          <cell r="Y2321">
            <v>0</v>
          </cell>
          <cell r="Z2321">
            <v>0.5</v>
          </cell>
          <cell r="AA2321">
            <v>0</v>
          </cell>
          <cell r="AB2321"/>
        </row>
        <row r="2322">
          <cell r="C2322">
            <v>0</v>
          </cell>
          <cell r="D2322">
            <v>0</v>
          </cell>
          <cell r="E2322">
            <v>0</v>
          </cell>
          <cell r="F2322">
            <v>0</v>
          </cell>
          <cell r="H2322">
            <v>5</v>
          </cell>
          <cell r="O2322">
            <v>147347</v>
          </cell>
          <cell r="P2322"/>
          <cell r="Q2322" t="str">
            <v>EST MESA LATERAL DUNN (CUMARU VERNIZ B.DAGUA) (PES ACO INOX)</v>
          </cell>
          <cell r="R2322"/>
          <cell r="S2322"/>
          <cell r="T2322">
            <v>0.42</v>
          </cell>
          <cell r="U2322">
            <v>0</v>
          </cell>
          <cell r="V2322">
            <v>0.49</v>
          </cell>
          <cell r="W2322">
            <v>0.42</v>
          </cell>
          <cell r="X2322" t="str">
            <v>EST MESA LATERAL DUNN (CUMARU VERNIZ B.DAGUA) (PES ACO INOX) - Ø0,42x0,49H</v>
          </cell>
          <cell r="Y2322">
            <v>0</v>
          </cell>
          <cell r="Z2322">
            <v>0</v>
          </cell>
          <cell r="AA2322">
            <v>0</v>
          </cell>
          <cell r="AB2322"/>
        </row>
        <row r="2323">
          <cell r="C2323">
            <v>0</v>
          </cell>
          <cell r="D2323">
            <v>0</v>
          </cell>
          <cell r="E2323">
            <v>0</v>
          </cell>
          <cell r="F2323">
            <v>0</v>
          </cell>
          <cell r="H2323">
            <v>0</v>
          </cell>
          <cell r="O2323">
            <v>147774</v>
          </cell>
          <cell r="P2323"/>
          <cell r="Q2323" t="str">
            <v>EST CADEIRA BRISA (SELADOR)</v>
          </cell>
          <cell r="R2323"/>
          <cell r="S2323"/>
          <cell r="T2323">
            <v>0.49</v>
          </cell>
          <cell r="U2323">
            <v>0.56000000000000005</v>
          </cell>
          <cell r="V2323">
            <v>0.86</v>
          </cell>
          <cell r="W2323">
            <v>0</v>
          </cell>
          <cell r="X2323" t="str">
            <v>EST CADEIRA BRISA (SELADOR) - 0,49x0,56x0,86H</v>
          </cell>
          <cell r="Y2323">
            <v>0</v>
          </cell>
          <cell r="Z2323">
            <v>0.5</v>
          </cell>
          <cell r="AA2323">
            <v>0</v>
          </cell>
          <cell r="AB2323"/>
        </row>
        <row r="2324">
          <cell r="C2324">
            <v>0</v>
          </cell>
          <cell r="D2324">
            <v>0</v>
          </cell>
          <cell r="E2324">
            <v>0</v>
          </cell>
          <cell r="F2324">
            <v>0</v>
          </cell>
          <cell r="H2324">
            <v>1</v>
          </cell>
          <cell r="O2324">
            <v>147898</v>
          </cell>
          <cell r="P2324"/>
          <cell r="Q2324" t="str">
            <v>EST BANCO SONIA (MAD A COR 02) (BOTOES COR 02/PES COR 03)</v>
          </cell>
          <cell r="R2324"/>
          <cell r="S2324"/>
          <cell r="T2324">
            <v>0.4</v>
          </cell>
          <cell r="U2324">
            <v>0.42</v>
          </cell>
          <cell r="V2324">
            <v>0.39</v>
          </cell>
          <cell r="W2324">
            <v>0</v>
          </cell>
          <cell r="X2324" t="str">
            <v>EST BANCO SONIA (MAD A COR 02) (BOTOES COR 02/PES COR 03) - 0,4x0,42x0,39H</v>
          </cell>
          <cell r="Y2324">
            <v>0</v>
          </cell>
          <cell r="Z2324">
            <v>0</v>
          </cell>
          <cell r="AA2324">
            <v>0</v>
          </cell>
          <cell r="AB2324"/>
        </row>
        <row r="2325">
          <cell r="C2325">
            <v>0</v>
          </cell>
          <cell r="D2325">
            <v>0</v>
          </cell>
          <cell r="E2325">
            <v>0</v>
          </cell>
          <cell r="F2325">
            <v>0</v>
          </cell>
          <cell r="H2325">
            <v>0</v>
          </cell>
          <cell r="O2325">
            <v>148276</v>
          </cell>
          <cell r="P2325"/>
          <cell r="Q2325" t="str">
            <v>EST ESTANTE GB 02 (DUPLA) (FORMICA BRANCA E VERMELHA)</v>
          </cell>
          <cell r="R2325"/>
          <cell r="S2325"/>
          <cell r="T2325">
            <v>2.5</v>
          </cell>
          <cell r="U2325">
            <v>0.45</v>
          </cell>
          <cell r="V2325">
            <v>2.15</v>
          </cell>
          <cell r="W2325">
            <v>0</v>
          </cell>
          <cell r="X2325" t="str">
            <v>EST ESTANTE GB 02 (DUPLA) (FORMICA BRANCA E VERMELHA) - 2,5x0,45x2,15H</v>
          </cell>
          <cell r="Y2325">
            <v>0</v>
          </cell>
          <cell r="Z2325">
            <v>0.5</v>
          </cell>
          <cell r="AA2325">
            <v>0</v>
          </cell>
          <cell r="AB2325"/>
        </row>
        <row r="2326">
          <cell r="C2326">
            <v>0</v>
          </cell>
          <cell r="D2326">
            <v>0</v>
          </cell>
          <cell r="E2326">
            <v>0</v>
          </cell>
          <cell r="F2326">
            <v>0</v>
          </cell>
          <cell r="H2326">
            <v>2</v>
          </cell>
          <cell r="O2326">
            <v>148807</v>
          </cell>
          <cell r="P2326"/>
          <cell r="Q2326" t="str">
            <v>EST CADEIRA TIAO (MAD IMBUIA) VELUDO AZUL</v>
          </cell>
          <cell r="R2326"/>
          <cell r="S2326"/>
          <cell r="T2326">
            <v>0.47</v>
          </cell>
          <cell r="U2326">
            <v>0.54</v>
          </cell>
          <cell r="V2326">
            <v>0.75</v>
          </cell>
          <cell r="W2326">
            <v>0</v>
          </cell>
          <cell r="X2326" t="str">
            <v>EST CADEIRA TIAO (MAD IMBUIA) VELUDO AZUL - 0,47x0,54x0,75H</v>
          </cell>
          <cell r="Y2326">
            <v>0</v>
          </cell>
          <cell r="Z2326">
            <v>0</v>
          </cell>
          <cell r="AA2326">
            <v>0</v>
          </cell>
          <cell r="AB2326"/>
        </row>
        <row r="2327">
          <cell r="C2327">
            <v>0</v>
          </cell>
          <cell r="D2327">
            <v>0</v>
          </cell>
          <cell r="E2327">
            <v>0</v>
          </cell>
          <cell r="F2327">
            <v>0</v>
          </cell>
          <cell r="H2327">
            <v>1</v>
          </cell>
          <cell r="O2327">
            <v>149744</v>
          </cell>
          <cell r="P2327"/>
          <cell r="Q2327" t="str">
            <v>EST POLTRONA TRICOT MAD EUCALIPTO NATURAL TEC AZUL MARINHO</v>
          </cell>
          <cell r="R2327"/>
          <cell r="S2327"/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 t="str">
            <v>EST POLTRONA TRICOT MAD EUCALIPTO NATURAL TEC AZUL MARINHO - Ø0x0H</v>
          </cell>
          <cell r="Y2327">
            <v>0</v>
          </cell>
          <cell r="Z2327">
            <v>0</v>
          </cell>
          <cell r="AA2327">
            <v>0</v>
          </cell>
          <cell r="AB2327"/>
        </row>
        <row r="2328">
          <cell r="C2328">
            <v>0</v>
          </cell>
          <cell r="D2328">
            <v>0</v>
          </cell>
          <cell r="E2328">
            <v>0</v>
          </cell>
          <cell r="F2328">
            <v>0</v>
          </cell>
          <cell r="H2328">
            <v>2</v>
          </cell>
          <cell r="O2328">
            <v>150043</v>
          </cell>
          <cell r="P2328"/>
          <cell r="Q2328" t="str">
            <v>EST MESA LATERAL KROPF (FREIJO NATURAL)</v>
          </cell>
          <cell r="R2328"/>
          <cell r="S2328"/>
          <cell r="T2328">
            <v>0.5</v>
          </cell>
          <cell r="U2328">
            <v>0</v>
          </cell>
          <cell r="V2328">
            <v>0.55000000000000004</v>
          </cell>
          <cell r="W2328">
            <v>0.5</v>
          </cell>
          <cell r="X2328" t="str">
            <v>EST MESA LATERAL KROPF (FREIJO NATURAL) - Ø0,5x0,55H</v>
          </cell>
          <cell r="Y2328">
            <v>0</v>
          </cell>
          <cell r="Z2328">
            <v>0</v>
          </cell>
          <cell r="AA2328">
            <v>0</v>
          </cell>
          <cell r="AB2328"/>
        </row>
        <row r="2329">
          <cell r="C2329">
            <v>0</v>
          </cell>
          <cell r="D2329">
            <v>0</v>
          </cell>
          <cell r="E2329">
            <v>0</v>
          </cell>
          <cell r="F2329">
            <v>0</v>
          </cell>
          <cell r="H2329">
            <v>2</v>
          </cell>
          <cell r="O2329">
            <v>150045</v>
          </cell>
          <cell r="P2329"/>
          <cell r="Q2329" t="str">
            <v>EST MESA LATERAL KROPF (FREIJO NATURAL)</v>
          </cell>
          <cell r="R2329"/>
          <cell r="S2329"/>
          <cell r="T2329">
            <v>0.6</v>
          </cell>
          <cell r="U2329">
            <v>0</v>
          </cell>
          <cell r="V2329">
            <v>0.6</v>
          </cell>
          <cell r="W2329">
            <v>0.6</v>
          </cell>
          <cell r="X2329" t="str">
            <v>EST MESA LATERAL KROPF (FREIJO NATURAL) - Ø0,6x0,6H</v>
          </cell>
          <cell r="Y2329">
            <v>0</v>
          </cell>
          <cell r="Z2329">
            <v>0</v>
          </cell>
          <cell r="AA2329">
            <v>0</v>
          </cell>
          <cell r="AB2329"/>
        </row>
        <row r="2330">
          <cell r="C2330">
            <v>0</v>
          </cell>
          <cell r="D2330">
            <v>0</v>
          </cell>
          <cell r="E2330">
            <v>0</v>
          </cell>
          <cell r="F2330">
            <v>0</v>
          </cell>
          <cell r="H2330">
            <v>0</v>
          </cell>
          <cell r="O2330">
            <v>150908</v>
          </cell>
          <cell r="P2330"/>
          <cell r="Q2330" t="str">
            <v>EST TAMPO CRISTAL LAPIDADO (15MM) INCOLOR CTO MOEDA</v>
          </cell>
          <cell r="R2330"/>
          <cell r="S2330"/>
          <cell r="T2330">
            <v>2.2999999999999998</v>
          </cell>
          <cell r="U2330">
            <v>1.1000000000000001</v>
          </cell>
          <cell r="V2330">
            <v>0.01</v>
          </cell>
          <cell r="W2330">
            <v>0</v>
          </cell>
          <cell r="X2330" t="str">
            <v>EST TAMPO CRISTAL LAPIDADO (15MM) INCOLOR CTO MOEDA - 2,3x1,1x0,01H</v>
          </cell>
          <cell r="Y2330">
            <v>0</v>
          </cell>
          <cell r="Z2330">
            <v>0.5</v>
          </cell>
          <cell r="AA2330">
            <v>0</v>
          </cell>
          <cell r="AB2330"/>
        </row>
        <row r="2331">
          <cell r="C2331">
            <v>0</v>
          </cell>
          <cell r="D2331">
            <v>0</v>
          </cell>
          <cell r="E2331">
            <v>0</v>
          </cell>
          <cell r="F2331">
            <v>0</v>
          </cell>
          <cell r="H2331">
            <v>1</v>
          </cell>
          <cell r="O2331">
            <v>151021</v>
          </cell>
          <cell r="P2331"/>
          <cell r="Q2331" t="str">
            <v>EST POLTRONA DORA (ALTA) COURO FIRENZE 600</v>
          </cell>
          <cell r="R2331"/>
          <cell r="S2331"/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 t="str">
            <v>EST POLTRONA DORA (ALTA) COURO FIRENZE 600 - Ø0x0H</v>
          </cell>
          <cell r="Y2331">
            <v>0</v>
          </cell>
          <cell r="Z2331">
            <v>0.35</v>
          </cell>
          <cell r="AA2331">
            <v>0</v>
          </cell>
          <cell r="AB2331"/>
        </row>
        <row r="2332">
          <cell r="C2332">
            <v>0</v>
          </cell>
          <cell r="D2332">
            <v>0</v>
          </cell>
          <cell r="E2332">
            <v>0</v>
          </cell>
          <cell r="F2332">
            <v>0</v>
          </cell>
          <cell r="H2332">
            <v>2</v>
          </cell>
          <cell r="O2332">
            <v>154138</v>
          </cell>
          <cell r="P2332"/>
          <cell r="Q2332" t="str">
            <v>EST POLTRONA KIKO ALTA (FREIJO NT) COURO CH OLIVA</v>
          </cell>
          <cell r="R2332"/>
          <cell r="S2332"/>
          <cell r="T2332">
            <v>0.56000000000000005</v>
          </cell>
          <cell r="U2332">
            <v>0.61</v>
          </cell>
          <cell r="V2332">
            <v>0.92</v>
          </cell>
          <cell r="W2332">
            <v>0</v>
          </cell>
          <cell r="X2332" t="str">
            <v>EST POLTRONA KIKO ALTA (FREIJO NT) COURO CH OLIVA - 0,56x0,61x0,92H</v>
          </cell>
          <cell r="Y2332">
            <v>0</v>
          </cell>
          <cell r="Z2332">
            <v>0</v>
          </cell>
          <cell r="AA2332">
            <v>0</v>
          </cell>
          <cell r="AB2332"/>
        </row>
        <row r="2333">
          <cell r="C2333">
            <v>0</v>
          </cell>
          <cell r="D2333">
            <v>0</v>
          </cell>
          <cell r="E2333">
            <v>0</v>
          </cell>
          <cell r="F2333">
            <v>0</v>
          </cell>
          <cell r="H2333">
            <v>1</v>
          </cell>
          <cell r="O2333">
            <v>154139</v>
          </cell>
          <cell r="P2333"/>
          <cell r="Q2333" t="str">
            <v>EST POLTRONA KIKO BAIXA (FREIJO NT) COURO CH OLIVA</v>
          </cell>
          <cell r="R2333"/>
          <cell r="S2333"/>
          <cell r="T2333">
            <v>0.56000000000000005</v>
          </cell>
          <cell r="U2333">
            <v>0.61</v>
          </cell>
          <cell r="V2333">
            <v>0.78</v>
          </cell>
          <cell r="W2333">
            <v>0</v>
          </cell>
          <cell r="X2333" t="str">
            <v>EST POLTRONA KIKO BAIXA (FREIJO NT) COURO CH OLIVA - 0,56x0,61x0,78H</v>
          </cell>
          <cell r="Y2333">
            <v>0</v>
          </cell>
          <cell r="Z2333">
            <v>0.5</v>
          </cell>
          <cell r="AA2333">
            <v>0</v>
          </cell>
          <cell r="AB2333"/>
        </row>
        <row r="2334">
          <cell r="C2334">
            <v>0</v>
          </cell>
          <cell r="D2334">
            <v>0</v>
          </cell>
          <cell r="E2334">
            <v>0</v>
          </cell>
          <cell r="F2334">
            <v>0</v>
          </cell>
          <cell r="H2334">
            <v>0</v>
          </cell>
          <cell r="O2334">
            <v>154914</v>
          </cell>
          <cell r="P2334"/>
          <cell r="Q2334" t="str">
            <v>EST CADEIRA CANTU BAIXA (MAD B COR 03) COURO FIRENZE 600 BEG</v>
          </cell>
          <cell r="R2334"/>
          <cell r="S2334"/>
          <cell r="T2334">
            <v>0.5</v>
          </cell>
          <cell r="U2334">
            <v>0.55000000000000004</v>
          </cell>
          <cell r="V2334">
            <v>0.81</v>
          </cell>
          <cell r="W2334">
            <v>0</v>
          </cell>
          <cell r="X2334" t="str">
            <v>EST CADEIRA CANTU BAIXA (MAD B COR 03) COURO FIRENZE 600 BEG - 0,5x0,55x0,81H</v>
          </cell>
          <cell r="Y2334">
            <v>0</v>
          </cell>
          <cell r="Z2334">
            <v>0.5</v>
          </cell>
          <cell r="AA2334">
            <v>0</v>
          </cell>
          <cell r="AB2334"/>
        </row>
        <row r="2335">
          <cell r="C2335">
            <v>0</v>
          </cell>
          <cell r="D2335">
            <v>0</v>
          </cell>
          <cell r="E2335">
            <v>0</v>
          </cell>
          <cell r="F2335">
            <v>0</v>
          </cell>
          <cell r="H2335">
            <v>1</v>
          </cell>
          <cell r="O2335">
            <v>155039</v>
          </cell>
          <cell r="P2335"/>
          <cell r="Q2335" t="str">
            <v>EST POLTRONA TETE (FREIJO NT) COURO PIG PRETO/ALM CH PRETO</v>
          </cell>
          <cell r="R2335"/>
          <cell r="S2335"/>
          <cell r="T2335">
            <v>0.86</v>
          </cell>
          <cell r="U2335">
            <v>0.84</v>
          </cell>
          <cell r="V2335">
            <v>0.75</v>
          </cell>
          <cell r="W2335">
            <v>0</v>
          </cell>
          <cell r="X2335" t="str">
            <v>EST POLTRONA TETE (FREIJO NT) COURO PIG PRETO/ALM CH PRETO - 0,86x0,84x0,75H</v>
          </cell>
          <cell r="Y2335">
            <v>0</v>
          </cell>
          <cell r="Z2335">
            <v>0</v>
          </cell>
          <cell r="AA2335">
            <v>0</v>
          </cell>
          <cell r="AB2335"/>
        </row>
        <row r="2336">
          <cell r="C2336">
            <v>0</v>
          </cell>
          <cell r="D2336">
            <v>0</v>
          </cell>
          <cell r="E2336">
            <v>0</v>
          </cell>
          <cell r="F2336">
            <v>0</v>
          </cell>
          <cell r="H2336">
            <v>0</v>
          </cell>
          <cell r="O2336">
            <v>155141</v>
          </cell>
          <cell r="P2336"/>
          <cell r="Q2336" t="str">
            <v>EST POLTRONA FDC1 (ESTRUTURA PRETA) (CAPA COURO CARAMELO)</v>
          </cell>
          <cell r="R2336"/>
          <cell r="S2336"/>
          <cell r="T2336">
            <v>0.8</v>
          </cell>
          <cell r="U2336">
            <v>0.71</v>
          </cell>
          <cell r="V2336">
            <v>0.81</v>
          </cell>
          <cell r="W2336">
            <v>0</v>
          </cell>
          <cell r="X2336" t="str">
            <v>EST POLTRONA FDC1 (ESTRUTURA PRETA) (CAPA COURO CARAMELO) - 0,8x0,71x0,81H</v>
          </cell>
          <cell r="Y2336">
            <v>0</v>
          </cell>
          <cell r="Z2336">
            <v>0</v>
          </cell>
          <cell r="AA2336">
            <v>0</v>
          </cell>
          <cell r="AB2336"/>
        </row>
        <row r="2337">
          <cell r="C2337">
            <v>0</v>
          </cell>
          <cell r="D2337">
            <v>0</v>
          </cell>
          <cell r="E2337">
            <v>0</v>
          </cell>
          <cell r="F2337">
            <v>0</v>
          </cell>
          <cell r="H2337">
            <v>1</v>
          </cell>
          <cell r="O2337">
            <v>155537</v>
          </cell>
          <cell r="P2337"/>
          <cell r="Q2337" t="str">
            <v>EST BANCO DOMINO (4 LUG) (CONC NT) (INOX)</v>
          </cell>
          <cell r="R2337"/>
          <cell r="S2337"/>
          <cell r="T2337">
            <v>1.9</v>
          </cell>
          <cell r="U2337">
            <v>0.45</v>
          </cell>
          <cell r="V2337">
            <v>0.48</v>
          </cell>
          <cell r="W2337">
            <v>0</v>
          </cell>
          <cell r="X2337" t="str">
            <v>EST BANCO DOMINO (4 LUG) (CONC NT) (INOX) - 1,9x0,45x0,48H</v>
          </cell>
          <cell r="Y2337">
            <v>0</v>
          </cell>
          <cell r="Z2337">
            <v>0</v>
          </cell>
          <cell r="AA2337">
            <v>0</v>
          </cell>
          <cell r="AB2337"/>
        </row>
        <row r="2338">
          <cell r="C2338">
            <v>0</v>
          </cell>
          <cell r="D2338">
            <v>0</v>
          </cell>
          <cell r="E2338">
            <v>0</v>
          </cell>
          <cell r="F2338">
            <v>0</v>
          </cell>
          <cell r="H2338">
            <v>4</v>
          </cell>
          <cell r="O2338">
            <v>160808</v>
          </cell>
          <cell r="P2338"/>
          <cell r="Q2338" t="str">
            <v>EST BANQUETA BAR GUSMAO S/B H72 (PINT PTO/ATANA CRU FREIJO)</v>
          </cell>
          <cell r="R2338"/>
          <cell r="S2338"/>
          <cell r="T2338">
            <v>0.56000000000000005</v>
          </cell>
          <cell r="U2338">
            <v>0.5</v>
          </cell>
          <cell r="V2338">
            <v>1.04</v>
          </cell>
          <cell r="W2338">
            <v>0</v>
          </cell>
          <cell r="X2338" t="str">
            <v>EST BANQUETA BAR GUSMAO S/B H72 (PINT PTO/ATANA CRU FREIJO) - 0,56x0,5x1,04H</v>
          </cell>
          <cell r="Y2338">
            <v>0</v>
          </cell>
          <cell r="Z2338">
            <v>0</v>
          </cell>
          <cell r="AA2338">
            <v>0</v>
          </cell>
          <cell r="AB2338"/>
        </row>
        <row r="2339">
          <cell r="C2339">
            <v>0</v>
          </cell>
          <cell r="D2339">
            <v>0</v>
          </cell>
          <cell r="E2339">
            <v>0</v>
          </cell>
          <cell r="F2339">
            <v>0</v>
          </cell>
          <cell r="H2339">
            <v>1</v>
          </cell>
          <cell r="O2339">
            <v>162843</v>
          </cell>
          <cell r="P2339"/>
          <cell r="Q2339" t="str">
            <v>EST ESTANTE FARMACINHA (ACO INOX) (ACRILICO) (MADEIRA)</v>
          </cell>
          <cell r="R2339"/>
          <cell r="S2339"/>
          <cell r="T2339">
            <v>0.83</v>
          </cell>
          <cell r="U2339">
            <v>0.17</v>
          </cell>
          <cell r="V2339">
            <v>0.56999999999999995</v>
          </cell>
          <cell r="W2339">
            <v>0</v>
          </cell>
          <cell r="X2339" t="str">
            <v>EST ESTANTE FARMACINHA (ACO INOX) (ACRILICO) (MADEIRA) - 0,83x0,17x0,57H</v>
          </cell>
          <cell r="Y2339">
            <v>0</v>
          </cell>
          <cell r="Z2339">
            <v>0.5</v>
          </cell>
          <cell r="AA2339">
            <v>0</v>
          </cell>
          <cell r="AB2339"/>
        </row>
        <row r="2340">
          <cell r="C2340">
            <v>0</v>
          </cell>
          <cell r="D2340">
            <v>0</v>
          </cell>
          <cell r="E2340">
            <v>0</v>
          </cell>
          <cell r="F2340">
            <v>0</v>
          </cell>
          <cell r="H2340">
            <v>2</v>
          </cell>
          <cell r="O2340">
            <v>162916</v>
          </cell>
          <cell r="P2340"/>
          <cell r="Q2340" t="str">
            <v>EST BANCO LUCIO (FREIJO NATURAL)</v>
          </cell>
          <cell r="R2340"/>
          <cell r="S2340"/>
          <cell r="T2340">
            <v>2</v>
          </cell>
          <cell r="U2340">
            <v>0.4</v>
          </cell>
          <cell r="V2340">
            <v>0.45</v>
          </cell>
          <cell r="W2340">
            <v>0</v>
          </cell>
          <cell r="X2340" t="str">
            <v>EST BANCO LUCIO (FREIJO NATURAL) - 2x0,4x0,45H</v>
          </cell>
          <cell r="Y2340">
            <v>0</v>
          </cell>
          <cell r="Z2340">
            <v>0</v>
          </cell>
          <cell r="AA2340">
            <v>0</v>
          </cell>
          <cell r="AB2340"/>
        </row>
        <row r="2341">
          <cell r="C2341">
            <v>0</v>
          </cell>
          <cell r="D2341">
            <v>0</v>
          </cell>
          <cell r="E2341">
            <v>0</v>
          </cell>
          <cell r="F2341">
            <v>0</v>
          </cell>
          <cell r="H2341">
            <v>0</v>
          </cell>
          <cell r="O2341">
            <v>163742</v>
          </cell>
          <cell r="P2341"/>
          <cell r="Q2341" t="str">
            <v>EST COMPONENTE CAPA PAULISTANO (SUNBRELLA 3 5404 OFF WHITE)</v>
          </cell>
          <cell r="R2341"/>
          <cell r="S2341"/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 t="str">
            <v>EST COMPONENTE CAPA PAULISTANO (SUNBRELLA 3 5404 OFF WHITE) - Ø0x0H</v>
          </cell>
          <cell r="Y2341">
            <v>0</v>
          </cell>
          <cell r="Z2341">
            <v>0.5</v>
          </cell>
          <cell r="AA2341">
            <v>0</v>
          </cell>
          <cell r="AB2341"/>
        </row>
        <row r="2342">
          <cell r="C2342">
            <v>0</v>
          </cell>
          <cell r="D2342">
            <v>0</v>
          </cell>
          <cell r="E2342">
            <v>0</v>
          </cell>
          <cell r="F2342">
            <v>0</v>
          </cell>
          <cell r="H2342">
            <v>2</v>
          </cell>
          <cell r="O2342">
            <v>164685</v>
          </cell>
          <cell r="P2342"/>
          <cell r="Q2342" t="str">
            <v>EST MESA BISTRO CLEAN (LACA SAYER V-155)</v>
          </cell>
          <cell r="R2342"/>
          <cell r="S2342"/>
          <cell r="T2342">
            <v>0.6</v>
          </cell>
          <cell r="U2342">
            <v>0.6</v>
          </cell>
          <cell r="V2342">
            <v>1.02</v>
          </cell>
          <cell r="W2342">
            <v>0</v>
          </cell>
          <cell r="X2342" t="str">
            <v>EST MESA BISTRO CLEAN (LACA SAYER V-155) - 0,6x0,6x1,02H</v>
          </cell>
          <cell r="Y2342">
            <v>0</v>
          </cell>
          <cell r="Z2342">
            <v>0</v>
          </cell>
          <cell r="AA2342">
            <v>0</v>
          </cell>
          <cell r="AB2342"/>
        </row>
        <row r="2343">
          <cell r="C2343">
            <v>0</v>
          </cell>
          <cell r="D2343">
            <v>0</v>
          </cell>
          <cell r="E2343">
            <v>0</v>
          </cell>
          <cell r="F2343">
            <v>0</v>
          </cell>
          <cell r="H2343">
            <v>1</v>
          </cell>
          <cell r="O2343">
            <v>171454</v>
          </cell>
          <cell r="P2343"/>
          <cell r="Q2343" t="str">
            <v>EST BUFFET CORTEN (4P/2G) (RESINA SAY F100) (ACO CORTEN)</v>
          </cell>
          <cell r="R2343"/>
          <cell r="S2343"/>
          <cell r="T2343">
            <v>2.7</v>
          </cell>
          <cell r="U2343">
            <v>0.5</v>
          </cell>
          <cell r="V2343">
            <v>0.73</v>
          </cell>
          <cell r="W2343">
            <v>0</v>
          </cell>
          <cell r="X2343" t="str">
            <v>EST BUFFET CORTEN (4P/2G) (RESINA SAY F100) (ACO CORTEN) - 2,7x0,5x0,73H</v>
          </cell>
          <cell r="Y2343">
            <v>0</v>
          </cell>
          <cell r="Z2343">
            <v>0</v>
          </cell>
          <cell r="AA2343">
            <v>0</v>
          </cell>
          <cell r="AB2343"/>
        </row>
        <row r="2344">
          <cell r="C2344">
            <v>0</v>
          </cell>
          <cell r="D2344">
            <v>0</v>
          </cell>
          <cell r="E2344">
            <v>0</v>
          </cell>
          <cell r="F2344">
            <v>0</v>
          </cell>
          <cell r="H2344">
            <v>1</v>
          </cell>
          <cell r="O2344">
            <v>172777</v>
          </cell>
          <cell r="P2344"/>
          <cell r="Q2344" t="str">
            <v>EST MESA LATERAL MAC (LAM ESPECIAL) (MAD IMBUIA STAIN)</v>
          </cell>
          <cell r="R2344"/>
          <cell r="S2344"/>
          <cell r="T2344">
            <v>0.6</v>
          </cell>
          <cell r="U2344">
            <v>0.6</v>
          </cell>
          <cell r="V2344">
            <v>0.5</v>
          </cell>
          <cell r="W2344">
            <v>0.6</v>
          </cell>
          <cell r="X2344" t="str">
            <v>EST MESA LATERAL MAC (LAM ESPECIAL) (MAD IMBUIA STAIN) - 0,6x0,6x0,5H</v>
          </cell>
          <cell r="Y2344">
            <v>0</v>
          </cell>
          <cell r="Z2344">
            <v>0</v>
          </cell>
          <cell r="AA2344">
            <v>0</v>
          </cell>
          <cell r="AB2344"/>
        </row>
        <row r="2345">
          <cell r="C2345">
            <v>0</v>
          </cell>
          <cell r="D2345">
            <v>0</v>
          </cell>
          <cell r="E2345">
            <v>0</v>
          </cell>
          <cell r="F2345">
            <v>0</v>
          </cell>
          <cell r="H2345">
            <v>1</v>
          </cell>
          <cell r="O2345">
            <v>172914</v>
          </cell>
          <cell r="P2345"/>
          <cell r="Q2345" t="str">
            <v>EST BUFFET CORTEN (4P/2G) (RESINA SAY L138) (ACO CORTEN)</v>
          </cell>
          <cell r="R2345"/>
          <cell r="S2345"/>
          <cell r="T2345">
            <v>2.7</v>
          </cell>
          <cell r="U2345">
            <v>0.5</v>
          </cell>
          <cell r="V2345">
            <v>0.73</v>
          </cell>
          <cell r="W2345">
            <v>0</v>
          </cell>
          <cell r="X2345" t="str">
            <v>EST BUFFET CORTEN (4P/2G) (RESINA SAY L138) (ACO CORTEN) - 2,7x0,5x0,73H</v>
          </cell>
          <cell r="Y2345">
            <v>0</v>
          </cell>
          <cell r="Z2345">
            <v>0</v>
          </cell>
          <cell r="AA2345">
            <v>0</v>
          </cell>
          <cell r="AB2345"/>
        </row>
        <row r="2346">
          <cell r="C2346">
            <v>0</v>
          </cell>
          <cell r="D2346">
            <v>0</v>
          </cell>
          <cell r="E2346">
            <v>0</v>
          </cell>
          <cell r="F2346">
            <v>0</v>
          </cell>
          <cell r="H2346">
            <v>2</v>
          </cell>
          <cell r="O2346">
            <v>173729</v>
          </cell>
          <cell r="P2346"/>
          <cell r="Q2346" t="str">
            <v>EST CADEIRA GB01 TELA (QUADRIC NT) (JEQ 02)</v>
          </cell>
          <cell r="R2346"/>
          <cell r="S2346"/>
          <cell r="T2346">
            <v>0.45</v>
          </cell>
          <cell r="U2346">
            <v>0.48</v>
          </cell>
          <cell r="V2346">
            <v>0.85</v>
          </cell>
          <cell r="W2346">
            <v>0</v>
          </cell>
          <cell r="X2346" t="str">
            <v>EST CADEIRA GB01 TELA (QUADRIC NT) (JEQ 02) - 0,45x0,48x0,85H</v>
          </cell>
          <cell r="Y2346">
            <v>0</v>
          </cell>
          <cell r="Z2346">
            <v>0</v>
          </cell>
          <cell r="AA2346">
            <v>0</v>
          </cell>
          <cell r="AB2346"/>
        </row>
        <row r="2347"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H2347">
            <v>2</v>
          </cell>
          <cell r="O2347">
            <v>174028</v>
          </cell>
          <cell r="P2347"/>
          <cell r="Q2347" t="str">
            <v>EST CABIDEIRO GIRO (PAREDE) (ACO CARBONO LACA BRANCA)</v>
          </cell>
          <cell r="R2347"/>
          <cell r="S2347"/>
          <cell r="T2347">
            <v>0.36</v>
          </cell>
          <cell r="U2347">
            <v>0</v>
          </cell>
          <cell r="V2347">
            <v>2.15</v>
          </cell>
          <cell r="W2347">
            <v>0</v>
          </cell>
          <cell r="X2347" t="str">
            <v>EST CABIDEIRO GIRO (PAREDE) (ACO CARBONO LACA BRANCA) - Ø0x2,15H</v>
          </cell>
          <cell r="Y2347">
            <v>0</v>
          </cell>
          <cell r="Z2347">
            <v>0.5</v>
          </cell>
          <cell r="AA2347">
            <v>0</v>
          </cell>
          <cell r="AB2347"/>
        </row>
        <row r="2348">
          <cell r="C2348">
            <v>0</v>
          </cell>
          <cell r="D2348">
            <v>0</v>
          </cell>
          <cell r="E2348">
            <v>0</v>
          </cell>
          <cell r="F2348">
            <v>0</v>
          </cell>
          <cell r="H2348">
            <v>2</v>
          </cell>
          <cell r="O2348">
            <v>174630</v>
          </cell>
          <cell r="P2348"/>
          <cell r="Q2348" t="str">
            <v>EST CADEIRA GB01 TELA (QUADRIC NT) (JEQ 01)</v>
          </cell>
          <cell r="R2348"/>
          <cell r="S2348"/>
          <cell r="T2348">
            <v>0.45</v>
          </cell>
          <cell r="U2348">
            <v>0.48</v>
          </cell>
          <cell r="V2348">
            <v>0.85</v>
          </cell>
          <cell r="W2348">
            <v>0</v>
          </cell>
          <cell r="X2348" t="str">
            <v>EST CADEIRA GB01 TELA (QUADRIC NT) (JEQ 01) - 0,45x0,48x0,85H</v>
          </cell>
          <cell r="Y2348">
            <v>0</v>
          </cell>
          <cell r="Z2348">
            <v>0</v>
          </cell>
          <cell r="AA2348">
            <v>0</v>
          </cell>
          <cell r="AB2348"/>
        </row>
        <row r="2349">
          <cell r="C2349">
            <v>0</v>
          </cell>
          <cell r="D2349">
            <v>0</v>
          </cell>
          <cell r="E2349">
            <v>0</v>
          </cell>
          <cell r="F2349">
            <v>0</v>
          </cell>
          <cell r="H2349">
            <v>0</v>
          </cell>
          <cell r="O2349">
            <v>175266</v>
          </cell>
          <cell r="P2349"/>
          <cell r="Q2349" t="str">
            <v>EST MESA LATERAL CONINHA (BASE CRINOLINA) (TPO METAL OURO)</v>
          </cell>
          <cell r="R2349"/>
          <cell r="S2349"/>
          <cell r="T2349">
            <v>0.35</v>
          </cell>
          <cell r="U2349">
            <v>0</v>
          </cell>
          <cell r="V2349">
            <v>0.5</v>
          </cell>
          <cell r="W2349">
            <v>0.35</v>
          </cell>
          <cell r="X2349" t="str">
            <v>EST MESA LATERAL CONINHA (BASE CRINOLINA) (TPO METAL OURO) - Ø0,35x0,5H</v>
          </cell>
          <cell r="Y2349">
            <v>0</v>
          </cell>
          <cell r="Z2349">
            <v>0</v>
          </cell>
          <cell r="AA2349">
            <v>0</v>
          </cell>
          <cell r="AB2349"/>
        </row>
        <row r="2350">
          <cell r="C2350">
            <v>0</v>
          </cell>
          <cell r="D2350">
            <v>0</v>
          </cell>
          <cell r="E2350">
            <v>0</v>
          </cell>
          <cell r="F2350">
            <v>0</v>
          </cell>
          <cell r="H2350">
            <v>1</v>
          </cell>
          <cell r="O2350">
            <v>175269</v>
          </cell>
          <cell r="P2350"/>
          <cell r="Q2350" t="str">
            <v>EST BASE CAVALETE MARISA (MAD A COR 02)</v>
          </cell>
          <cell r="R2350"/>
          <cell r="S2350"/>
          <cell r="T2350">
            <v>1.3</v>
          </cell>
          <cell r="U2350">
            <v>0.65</v>
          </cell>
          <cell r="V2350">
            <v>0.72</v>
          </cell>
          <cell r="W2350">
            <v>0</v>
          </cell>
          <cell r="X2350" t="str">
            <v>EST BASE CAVALETE MARISA (MAD A COR 02) - 1,3x0,65x0,72H</v>
          </cell>
          <cell r="Y2350">
            <v>0</v>
          </cell>
          <cell r="Z2350">
            <v>0</v>
          </cell>
          <cell r="AA2350">
            <v>0</v>
          </cell>
          <cell r="AB2350"/>
        </row>
        <row r="2351">
          <cell r="C2351">
            <v>0</v>
          </cell>
          <cell r="D2351">
            <v>0</v>
          </cell>
          <cell r="E2351">
            <v>0</v>
          </cell>
          <cell r="F2351">
            <v>0</v>
          </cell>
          <cell r="H2351">
            <v>0</v>
          </cell>
          <cell r="O2351">
            <v>175271</v>
          </cell>
          <cell r="P2351"/>
          <cell r="Q2351" t="str">
            <v>EST POLTRONA RAMPA (FREIJO NT) (LONA WASHED 1672) CRU ESCURO</v>
          </cell>
          <cell r="R2351"/>
          <cell r="S2351"/>
          <cell r="T2351">
            <v>0.89</v>
          </cell>
          <cell r="U2351">
            <v>1.2</v>
          </cell>
          <cell r="V2351">
            <v>0.96</v>
          </cell>
          <cell r="W2351">
            <v>0</v>
          </cell>
          <cell r="X2351" t="str">
            <v>EST POLTRONA RAMPA (FREIJO NT) (LONA WASHED 1672) CRU ESCURO - 0,89x1,2x0,96H</v>
          </cell>
          <cell r="Y2351">
            <v>0</v>
          </cell>
          <cell r="Z2351">
            <v>0</v>
          </cell>
          <cell r="AA2351">
            <v>0</v>
          </cell>
          <cell r="AB2351"/>
        </row>
        <row r="2352">
          <cell r="C2352">
            <v>0</v>
          </cell>
          <cell r="D2352">
            <v>0</v>
          </cell>
          <cell r="E2352">
            <v>0</v>
          </cell>
          <cell r="F2352">
            <v>0</v>
          </cell>
          <cell r="H2352">
            <v>1</v>
          </cell>
          <cell r="O2352">
            <v>175603</v>
          </cell>
          <cell r="P2352"/>
          <cell r="Q2352" t="str">
            <v>EST TAMPO GELSOMINA (CIRCULAR) (TRAVERT BRUTO) (BORDA SIMP)</v>
          </cell>
          <cell r="R2352"/>
          <cell r="S2352"/>
          <cell r="T2352">
            <v>1.4</v>
          </cell>
          <cell r="U2352">
            <v>0</v>
          </cell>
          <cell r="V2352">
            <v>0.02</v>
          </cell>
          <cell r="W2352">
            <v>1.4</v>
          </cell>
          <cell r="X2352" t="str">
            <v>EST TAMPO GELSOMINA (CIRCULAR) (TRAVERT BRUTO) (BORDA SIMP) - Ø1,4x0,02H</v>
          </cell>
          <cell r="Y2352">
            <v>0</v>
          </cell>
          <cell r="Z2352">
            <v>0</v>
          </cell>
          <cell r="AA2352">
            <v>0</v>
          </cell>
          <cell r="AB2352"/>
        </row>
        <row r="2353">
          <cell r="C2353" t="e">
            <v>#N/A</v>
          </cell>
          <cell r="D2353" t="e">
            <v>#N/A</v>
          </cell>
          <cell r="E2353" t="e">
            <v>#N/A</v>
          </cell>
          <cell r="F2353" t="e">
            <v>#N/A</v>
          </cell>
          <cell r="H2353" t="e">
            <v>#N/A</v>
          </cell>
          <cell r="O2353">
            <v>175799</v>
          </cell>
          <cell r="P2353"/>
          <cell r="Q2353" t="e">
            <v>#N/A</v>
          </cell>
          <cell r="R2353"/>
          <cell r="S2353"/>
          <cell r="T2353" t="e">
            <v>#N/A</v>
          </cell>
          <cell r="U2353" t="e">
            <v>#N/A</v>
          </cell>
          <cell r="V2353" t="e">
            <v>#N/A</v>
          </cell>
          <cell r="W2353" t="e">
            <v>#N/A</v>
          </cell>
          <cell r="X2353" t="e">
            <v>#N/A</v>
          </cell>
          <cell r="Y2353">
            <v>0</v>
          </cell>
          <cell r="Z2353">
            <v>0</v>
          </cell>
          <cell r="AA2353">
            <v>0</v>
          </cell>
          <cell r="AB2353"/>
        </row>
        <row r="2354">
          <cell r="C2354">
            <v>0</v>
          </cell>
          <cell r="D2354">
            <v>0</v>
          </cell>
          <cell r="E2354">
            <v>0</v>
          </cell>
          <cell r="F2354">
            <v>0</v>
          </cell>
          <cell r="H2354">
            <v>3</v>
          </cell>
          <cell r="O2354">
            <v>175816</v>
          </cell>
          <cell r="P2354"/>
          <cell r="Q2354" t="str">
            <v>EST CADEIRA GB M110 (TELA NAT) (SUCUPIRA) (ACO PTO)</v>
          </cell>
          <cell r="R2354"/>
          <cell r="S2354"/>
          <cell r="T2354">
            <v>0.45</v>
          </cell>
          <cell r="U2354">
            <v>0.5</v>
          </cell>
          <cell r="V2354">
            <v>0.84</v>
          </cell>
          <cell r="W2354">
            <v>0</v>
          </cell>
          <cell r="X2354" t="str">
            <v>EST CADEIRA GB M110 (TELA NAT) (SUCUPIRA) (ACO PTO) - 0,45x0,5x0,84H</v>
          </cell>
          <cell r="Y2354">
            <v>0</v>
          </cell>
          <cell r="Z2354">
            <v>0</v>
          </cell>
          <cell r="AA2354">
            <v>0</v>
          </cell>
          <cell r="AB2354"/>
        </row>
        <row r="2355">
          <cell r="C2355">
            <v>0</v>
          </cell>
          <cell r="D2355">
            <v>0</v>
          </cell>
          <cell r="E2355">
            <v>0</v>
          </cell>
          <cell r="F2355">
            <v>0</v>
          </cell>
          <cell r="H2355">
            <v>3</v>
          </cell>
          <cell r="O2355">
            <v>175817</v>
          </cell>
          <cell r="P2355"/>
          <cell r="Q2355" t="str">
            <v>EST CADEIRA GB M110 (TELA NAT) (TAUARI) (ACO PTO)</v>
          </cell>
          <cell r="R2355"/>
          <cell r="S2355"/>
          <cell r="T2355">
            <v>0.45</v>
          </cell>
          <cell r="U2355">
            <v>0.5</v>
          </cell>
          <cell r="V2355">
            <v>0.84</v>
          </cell>
          <cell r="W2355">
            <v>0</v>
          </cell>
          <cell r="X2355" t="str">
            <v>EST CADEIRA GB M110 (TELA NAT) (TAUARI) (ACO PTO) - 0,45x0,5x0,84H</v>
          </cell>
          <cell r="Y2355">
            <v>0</v>
          </cell>
          <cell r="Z2355">
            <v>0</v>
          </cell>
          <cell r="AA2355">
            <v>0</v>
          </cell>
          <cell r="AB2355"/>
        </row>
        <row r="2356">
          <cell r="C2356">
            <v>0</v>
          </cell>
          <cell r="D2356">
            <v>0</v>
          </cell>
          <cell r="E2356">
            <v>0</v>
          </cell>
          <cell r="F2356">
            <v>0</v>
          </cell>
          <cell r="H2356">
            <v>0</v>
          </cell>
          <cell r="O2356">
            <v>176434</v>
          </cell>
          <cell r="P2356"/>
          <cell r="Q2356" t="str">
            <v>EST MESA JANTAR CONE (TPO TECA) (ESP 3,4) CONCRETO PRETO</v>
          </cell>
          <cell r="R2356"/>
          <cell r="S2356"/>
          <cell r="T2356">
            <v>1.4</v>
          </cell>
          <cell r="U2356">
            <v>0</v>
          </cell>
          <cell r="V2356">
            <v>0</v>
          </cell>
          <cell r="W2356">
            <v>0</v>
          </cell>
          <cell r="X2356" t="str">
            <v>EST MESA JANTAR CONE (TPO TECA) (ESP 3,4) CONCRETO PRETO - Ø0x0H</v>
          </cell>
          <cell r="Y2356">
            <v>0</v>
          </cell>
          <cell r="Z2356">
            <v>0.5</v>
          </cell>
          <cell r="AA2356">
            <v>0</v>
          </cell>
          <cell r="AB2356"/>
        </row>
        <row r="2357">
          <cell r="C2357">
            <v>0</v>
          </cell>
          <cell r="D2357">
            <v>0</v>
          </cell>
          <cell r="E2357">
            <v>0</v>
          </cell>
          <cell r="F2357">
            <v>0</v>
          </cell>
          <cell r="H2357">
            <v>1</v>
          </cell>
          <cell r="O2357">
            <v>176439</v>
          </cell>
          <cell r="P2357"/>
          <cell r="Q2357" t="str">
            <v>EST BANCO MUCKI (6 PES) (MAD B COR 03)</v>
          </cell>
          <cell r="R2357"/>
          <cell r="S2357"/>
          <cell r="T2357">
            <v>3</v>
          </cell>
          <cell r="U2357">
            <v>0.62</v>
          </cell>
          <cell r="V2357">
            <v>0.4</v>
          </cell>
          <cell r="W2357">
            <v>0</v>
          </cell>
          <cell r="X2357" t="str">
            <v>EST BANCO MUCKI (6 PES) (MAD B COR 03) - 3x0,62x0,4H</v>
          </cell>
          <cell r="Y2357">
            <v>0</v>
          </cell>
          <cell r="Z2357">
            <v>0</v>
          </cell>
          <cell r="AA2357">
            <v>0</v>
          </cell>
          <cell r="AB2357"/>
        </row>
        <row r="2358">
          <cell r="C2358">
            <v>0</v>
          </cell>
          <cell r="D2358">
            <v>0</v>
          </cell>
          <cell r="E2358">
            <v>0</v>
          </cell>
          <cell r="F2358">
            <v>0</v>
          </cell>
          <cell r="H2358">
            <v>1</v>
          </cell>
          <cell r="O2358">
            <v>176504</v>
          </cell>
          <cell r="P2358"/>
          <cell r="Q2358" t="str">
            <v>EST BANCO TERRAO (KRAFT TERRA)</v>
          </cell>
          <cell r="R2358"/>
          <cell r="S2358"/>
          <cell r="T2358">
            <v>2.5</v>
          </cell>
          <cell r="U2358">
            <v>0.42</v>
          </cell>
          <cell r="V2358">
            <v>0.44</v>
          </cell>
          <cell r="W2358">
            <v>0</v>
          </cell>
          <cell r="X2358" t="str">
            <v>EST BANCO TERRAO (KRAFT TERRA) - 2,5x0,42x0,44H</v>
          </cell>
          <cell r="Y2358">
            <v>0</v>
          </cell>
          <cell r="Z2358">
            <v>0.5</v>
          </cell>
          <cell r="AA2358">
            <v>0</v>
          </cell>
          <cell r="AB2358"/>
        </row>
        <row r="2359">
          <cell r="C2359">
            <v>0</v>
          </cell>
          <cell r="D2359">
            <v>0</v>
          </cell>
          <cell r="E2359">
            <v>0</v>
          </cell>
          <cell r="F2359">
            <v>0</v>
          </cell>
          <cell r="H2359">
            <v>1</v>
          </cell>
          <cell r="O2359">
            <v>176539</v>
          </cell>
          <cell r="P2359"/>
          <cell r="Q2359" t="str">
            <v>EST COMPONENTE CAPA PAULISTANO (LONA 45 CRU)</v>
          </cell>
          <cell r="R2359"/>
          <cell r="S2359"/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 t="str">
            <v>EST COMPONENTE CAPA PAULISTANO (LONA 45 CRU) - Ø0x0H</v>
          </cell>
          <cell r="Y2359">
            <v>0</v>
          </cell>
          <cell r="Z2359">
            <v>0</v>
          </cell>
          <cell r="AA2359">
            <v>0</v>
          </cell>
          <cell r="AB2359"/>
        </row>
        <row r="2360">
          <cell r="C2360">
            <v>0</v>
          </cell>
          <cell r="D2360">
            <v>0</v>
          </cell>
          <cell r="E2360">
            <v>0</v>
          </cell>
          <cell r="F2360">
            <v>0</v>
          </cell>
          <cell r="H2360">
            <v>2</v>
          </cell>
          <cell r="O2360">
            <v>176544</v>
          </cell>
          <cell r="P2360"/>
          <cell r="Q2360" t="str">
            <v>EST MESA LATERAL JANETE (FREIJO NATURAL)</v>
          </cell>
          <cell r="R2360"/>
          <cell r="S2360"/>
          <cell r="T2360">
            <v>0.6</v>
          </cell>
          <cell r="U2360">
            <v>0</v>
          </cell>
          <cell r="V2360">
            <v>0.6</v>
          </cell>
          <cell r="W2360">
            <v>0.6</v>
          </cell>
          <cell r="X2360" t="str">
            <v>EST MESA LATERAL JANETE (FREIJO NATURAL) - Ø0,6x0,6H</v>
          </cell>
          <cell r="Y2360">
            <v>0</v>
          </cell>
          <cell r="Z2360">
            <v>0</v>
          </cell>
          <cell r="AA2360">
            <v>0</v>
          </cell>
          <cell r="AB2360"/>
        </row>
        <row r="2361">
          <cell r="C2361">
            <v>0</v>
          </cell>
          <cell r="D2361">
            <v>0</v>
          </cell>
          <cell r="E2361">
            <v>0</v>
          </cell>
          <cell r="F2361">
            <v>0</v>
          </cell>
          <cell r="H2361">
            <v>1</v>
          </cell>
          <cell r="O2361">
            <v>176547</v>
          </cell>
          <cell r="P2361"/>
          <cell r="Q2361" t="str">
            <v>EST BANCO ELP (PEROBA DO CAMPO) BORBOLETA PRATA AB</v>
          </cell>
          <cell r="R2361"/>
          <cell r="S2361"/>
          <cell r="T2361">
            <v>2.8</v>
          </cell>
          <cell r="U2361">
            <v>0.65</v>
          </cell>
          <cell r="V2361">
            <v>0.4</v>
          </cell>
          <cell r="W2361">
            <v>0</v>
          </cell>
          <cell r="X2361" t="str">
            <v>EST BANCO ELP (PEROBA DO CAMPO) BORBOLETA PRATA AB - 2,8x0,65x0,4H</v>
          </cell>
          <cell r="Y2361">
            <v>0</v>
          </cell>
          <cell r="Z2361">
            <v>0</v>
          </cell>
          <cell r="AA2361">
            <v>0</v>
          </cell>
          <cell r="AB2361"/>
        </row>
        <row r="2362">
          <cell r="C2362">
            <v>0</v>
          </cell>
          <cell r="D2362">
            <v>0</v>
          </cell>
          <cell r="E2362">
            <v>0</v>
          </cell>
          <cell r="F2362">
            <v>0</v>
          </cell>
          <cell r="H2362">
            <v>1</v>
          </cell>
          <cell r="O2362">
            <v>176548</v>
          </cell>
          <cell r="P2362"/>
          <cell r="Q2362" t="str">
            <v>EST MESA LATERAL KROPF (FREIJO TONALIZADO 02)</v>
          </cell>
          <cell r="R2362"/>
          <cell r="S2362"/>
          <cell r="T2362">
            <v>0.6</v>
          </cell>
          <cell r="U2362">
            <v>0</v>
          </cell>
          <cell r="V2362">
            <v>0.6</v>
          </cell>
          <cell r="W2362">
            <v>0.6</v>
          </cell>
          <cell r="X2362" t="str">
            <v>EST MESA LATERAL KROPF (FREIJO TONALIZADO 02) - Ø0,6x0,6H</v>
          </cell>
          <cell r="Y2362">
            <v>0</v>
          </cell>
          <cell r="Z2362">
            <v>0</v>
          </cell>
          <cell r="AA2362">
            <v>0</v>
          </cell>
          <cell r="AB2362"/>
        </row>
        <row r="2363">
          <cell r="C2363">
            <v>0</v>
          </cell>
          <cell r="D2363">
            <v>0</v>
          </cell>
          <cell r="E2363">
            <v>0</v>
          </cell>
          <cell r="F2363">
            <v>0</v>
          </cell>
          <cell r="H2363">
            <v>1</v>
          </cell>
          <cell r="O2363">
            <v>176549</v>
          </cell>
          <cell r="P2363"/>
          <cell r="Q2363" t="str">
            <v>EST MESA LATERAL KROPF (FREIJO TONALIZADO 02)</v>
          </cell>
          <cell r="R2363"/>
          <cell r="S2363"/>
          <cell r="T2363">
            <v>0.5</v>
          </cell>
          <cell r="U2363">
            <v>0</v>
          </cell>
          <cell r="V2363">
            <v>0.55000000000000004</v>
          </cell>
          <cell r="W2363">
            <v>0.5</v>
          </cell>
          <cell r="X2363" t="str">
            <v>EST MESA LATERAL KROPF (FREIJO TONALIZADO 02) - Ø0,5x0,55H</v>
          </cell>
          <cell r="Y2363">
            <v>0</v>
          </cell>
          <cell r="Z2363">
            <v>0</v>
          </cell>
          <cell r="AA2363">
            <v>0</v>
          </cell>
          <cell r="AB2363"/>
        </row>
        <row r="2364">
          <cell r="C2364">
            <v>0</v>
          </cell>
          <cell r="D2364">
            <v>0</v>
          </cell>
          <cell r="E2364">
            <v>0</v>
          </cell>
          <cell r="F2364">
            <v>0</v>
          </cell>
          <cell r="H2364">
            <v>0</v>
          </cell>
          <cell r="O2364">
            <v>176584</v>
          </cell>
          <cell r="P2364"/>
          <cell r="Q2364" t="str">
            <v>EST MESA CENTRO CORTEN (MADEIRA PINNUS RIP 01) ACO CORTEN</v>
          </cell>
          <cell r="R2364"/>
          <cell r="S2364"/>
          <cell r="T2364">
            <v>1.48</v>
          </cell>
          <cell r="U2364">
            <v>1.48</v>
          </cell>
          <cell r="V2364">
            <v>0.28999999999999998</v>
          </cell>
          <cell r="W2364">
            <v>0</v>
          </cell>
          <cell r="X2364" t="str">
            <v>EST MESA CENTRO CORTEN (MADEIRA PINNUS RIP 01) ACO CORTEN - 1,48x1,48x0,29H</v>
          </cell>
          <cell r="Y2364">
            <v>0</v>
          </cell>
          <cell r="Z2364">
            <v>0.5</v>
          </cell>
          <cell r="AA2364">
            <v>0</v>
          </cell>
          <cell r="AB2364"/>
        </row>
        <row r="2365">
          <cell r="C2365">
            <v>0</v>
          </cell>
          <cell r="D2365">
            <v>0</v>
          </cell>
          <cell r="E2365">
            <v>0</v>
          </cell>
          <cell r="F2365">
            <v>0</v>
          </cell>
          <cell r="H2365">
            <v>3</v>
          </cell>
          <cell r="O2365">
            <v>176678</v>
          </cell>
          <cell r="P2365"/>
          <cell r="Q2365" t="str">
            <v>EST CADEIRA CANTU ALTA (MAD B COR 03) TC HALLINGDAL 65/968</v>
          </cell>
          <cell r="R2365"/>
          <cell r="S2365"/>
          <cell r="T2365">
            <v>0.5</v>
          </cell>
          <cell r="U2365">
            <v>0.55000000000000004</v>
          </cell>
          <cell r="V2365">
            <v>1.01</v>
          </cell>
          <cell r="W2365">
            <v>0</v>
          </cell>
          <cell r="X2365" t="str">
            <v>EST CADEIRA CANTU ALTA (MAD B COR 03) TC HALLINGDAL 65/968 - 0,5x0,55x1,01H</v>
          </cell>
          <cell r="Y2365">
            <v>0</v>
          </cell>
          <cell r="Z2365">
            <v>0</v>
          </cell>
          <cell r="AA2365">
            <v>0</v>
          </cell>
          <cell r="AB2365"/>
        </row>
        <row r="2366">
          <cell r="C2366">
            <v>0</v>
          </cell>
          <cell r="D2366">
            <v>0</v>
          </cell>
          <cell r="E2366">
            <v>0</v>
          </cell>
          <cell r="F2366">
            <v>0</v>
          </cell>
          <cell r="H2366">
            <v>1</v>
          </cell>
          <cell r="O2366">
            <v>176682</v>
          </cell>
          <cell r="P2366"/>
          <cell r="Q2366" t="str">
            <v>EST CADEIRA TIAO (MAD B COR 03) TC KAVDRAT SAVANNA 442</v>
          </cell>
          <cell r="R2366"/>
          <cell r="S2366"/>
          <cell r="T2366">
            <v>0.61</v>
          </cell>
          <cell r="U2366">
            <v>0.6</v>
          </cell>
          <cell r="V2366">
            <v>0.75</v>
          </cell>
          <cell r="W2366">
            <v>0</v>
          </cell>
          <cell r="X2366" t="str">
            <v>EST CADEIRA TIAO (MAD B COR 03) TC KAVDRAT SAVANNA 442 - 0,61x0,6x0,75H</v>
          </cell>
          <cell r="Y2366">
            <v>0</v>
          </cell>
          <cell r="Z2366">
            <v>0</v>
          </cell>
          <cell r="AA2366">
            <v>0</v>
          </cell>
          <cell r="AB2366"/>
        </row>
        <row r="2367">
          <cell r="C2367">
            <v>0</v>
          </cell>
          <cell r="D2367">
            <v>0</v>
          </cell>
          <cell r="E2367">
            <v>0</v>
          </cell>
          <cell r="F2367">
            <v>0</v>
          </cell>
          <cell r="H2367">
            <v>1</v>
          </cell>
          <cell r="O2367">
            <v>176688</v>
          </cell>
          <cell r="P2367"/>
          <cell r="Q2367" t="str">
            <v>EST SOFA COZY (C/CP) (IMB) (BIP) TC LINHO 409 NAT/ALM FLOR B</v>
          </cell>
          <cell r="R2367"/>
          <cell r="S2367"/>
          <cell r="T2367">
            <v>3</v>
          </cell>
          <cell r="U2367">
            <v>1.03</v>
          </cell>
          <cell r="V2367">
            <v>0.89</v>
          </cell>
          <cell r="W2367">
            <v>0</v>
          </cell>
          <cell r="X2367" t="str">
            <v>EST SOFA COZY (C/CP) (IMB) (BIP) TC LINHO 409 NAT/ALM FLOR B - 3x1,03x0,89H</v>
          </cell>
          <cell r="Y2367">
            <v>0</v>
          </cell>
          <cell r="Z2367">
            <v>0</v>
          </cell>
          <cell r="AA2367">
            <v>0</v>
          </cell>
          <cell r="AB2367"/>
        </row>
        <row r="2368">
          <cell r="C2368">
            <v>0</v>
          </cell>
          <cell r="D2368">
            <v>0</v>
          </cell>
          <cell r="E2368">
            <v>0</v>
          </cell>
          <cell r="F2368">
            <v>0</v>
          </cell>
          <cell r="H2368">
            <v>3</v>
          </cell>
          <cell r="O2368">
            <v>176693</v>
          </cell>
          <cell r="P2368"/>
          <cell r="Q2368" t="str">
            <v>EST CADEIRA ORQUIDEA (MAD B FREIJO ENV) COURO PIG 340</v>
          </cell>
          <cell r="R2368"/>
          <cell r="S2368"/>
          <cell r="T2368">
            <v>0.47</v>
          </cell>
          <cell r="U2368">
            <v>0.55000000000000004</v>
          </cell>
          <cell r="V2368">
            <v>0.79</v>
          </cell>
          <cell r="W2368">
            <v>0</v>
          </cell>
          <cell r="X2368" t="str">
            <v>EST CADEIRA ORQUIDEA (MAD B FREIJO ENV) COURO PIG 340 - 0,47x0,55x0,79H</v>
          </cell>
          <cell r="Y2368">
            <v>0</v>
          </cell>
          <cell r="Z2368">
            <v>0</v>
          </cell>
          <cell r="AA2368">
            <v>0</v>
          </cell>
          <cell r="AB2368"/>
        </row>
        <row r="2369">
          <cell r="C2369">
            <v>0</v>
          </cell>
          <cell r="D2369">
            <v>0</v>
          </cell>
          <cell r="E2369">
            <v>0</v>
          </cell>
          <cell r="F2369">
            <v>0</v>
          </cell>
          <cell r="H2369">
            <v>1</v>
          </cell>
          <cell r="O2369">
            <v>176698</v>
          </cell>
          <cell r="P2369"/>
          <cell r="Q2369" t="str">
            <v>EST POLTRONA SAND (MAD A TAUARI ENV) TC KVADRAT MEDINA 211</v>
          </cell>
          <cell r="R2369"/>
          <cell r="S2369"/>
          <cell r="T2369">
            <v>0.8</v>
          </cell>
          <cell r="U2369">
            <v>0.86</v>
          </cell>
          <cell r="V2369">
            <v>0.7</v>
          </cell>
          <cell r="W2369">
            <v>0</v>
          </cell>
          <cell r="X2369" t="str">
            <v>EST POLTRONA SAND (MAD A TAUARI ENV) TC KVADRAT MEDINA 211 - 0,8x0,86x0,7H</v>
          </cell>
          <cell r="Y2369">
            <v>0</v>
          </cell>
          <cell r="Z2369">
            <v>0</v>
          </cell>
          <cell r="AA2369">
            <v>0</v>
          </cell>
          <cell r="AB2369"/>
        </row>
        <row r="2370">
          <cell r="C2370">
            <v>0</v>
          </cell>
          <cell r="D2370">
            <v>0</v>
          </cell>
          <cell r="E2370">
            <v>0</v>
          </cell>
          <cell r="F2370">
            <v>0</v>
          </cell>
          <cell r="H2370">
            <v>1</v>
          </cell>
          <cell r="O2370">
            <v>176813</v>
          </cell>
          <cell r="P2370"/>
          <cell r="Q2370" t="str">
            <v>EST POLTRONA KIKO ALTA (FREIJO TNZ 01) TC TRAMADO NAVY</v>
          </cell>
          <cell r="R2370"/>
          <cell r="S2370"/>
          <cell r="T2370">
            <v>0.56000000000000005</v>
          </cell>
          <cell r="U2370">
            <v>0.61</v>
          </cell>
          <cell r="V2370">
            <v>0.92</v>
          </cell>
          <cell r="W2370">
            <v>0</v>
          </cell>
          <cell r="X2370" t="str">
            <v>EST POLTRONA KIKO ALTA (FREIJO TNZ 01) TC TRAMADO NAVY - 0,56x0,61x0,92H</v>
          </cell>
          <cell r="Y2370">
            <v>0</v>
          </cell>
          <cell r="Z2370">
            <v>0</v>
          </cell>
          <cell r="AA2370">
            <v>0</v>
          </cell>
          <cell r="AB2370"/>
        </row>
        <row r="2371">
          <cell r="C2371">
            <v>0</v>
          </cell>
          <cell r="D2371">
            <v>0</v>
          </cell>
          <cell r="E2371">
            <v>0</v>
          </cell>
          <cell r="F2371">
            <v>0</v>
          </cell>
          <cell r="H2371">
            <v>1</v>
          </cell>
          <cell r="O2371">
            <v>176818</v>
          </cell>
          <cell r="P2371"/>
          <cell r="Q2371" t="str">
            <v>EST POLTRONA TONICO (FREIJO NAT) COURO PIG 370/COURO PIG 258</v>
          </cell>
          <cell r="R2371"/>
          <cell r="S2371"/>
          <cell r="T2371">
            <v>1.05</v>
          </cell>
          <cell r="U2371">
            <v>0.86</v>
          </cell>
          <cell r="V2371">
            <v>1.08</v>
          </cell>
          <cell r="W2371">
            <v>0</v>
          </cell>
          <cell r="X2371" t="str">
            <v>EST POLTRONA TONICO (FREIJO NAT) COURO PIG 370/COURO PIG 258 - 1,05x0,86x1,08H</v>
          </cell>
          <cell r="Y2371">
            <v>0</v>
          </cell>
          <cell r="Z2371">
            <v>0</v>
          </cell>
          <cell r="AA2371">
            <v>0</v>
          </cell>
          <cell r="AB2371"/>
        </row>
        <row r="2372">
          <cell r="C2372">
            <v>0</v>
          </cell>
          <cell r="D2372">
            <v>0</v>
          </cell>
          <cell r="E2372">
            <v>0</v>
          </cell>
          <cell r="F2372">
            <v>0</v>
          </cell>
          <cell r="H2372">
            <v>1</v>
          </cell>
          <cell r="O2372">
            <v>176819</v>
          </cell>
          <cell r="P2372"/>
          <cell r="Q2372" t="str">
            <v>EST BANQUETA TONICO (FREIJO NAT) COURO PIG 410</v>
          </cell>
          <cell r="R2372"/>
          <cell r="S2372"/>
          <cell r="T2372">
            <v>0.86</v>
          </cell>
          <cell r="U2372">
            <v>0.5</v>
          </cell>
          <cell r="V2372">
            <v>0.42</v>
          </cell>
          <cell r="W2372">
            <v>0</v>
          </cell>
          <cell r="X2372" t="str">
            <v>EST BANQUETA TONICO (FREIJO NAT) COURO PIG 410 - 0,86x0,5x0,42H</v>
          </cell>
          <cell r="Y2372">
            <v>0</v>
          </cell>
          <cell r="Z2372">
            <v>0</v>
          </cell>
          <cell r="AA2372">
            <v>0</v>
          </cell>
          <cell r="AB2372"/>
        </row>
        <row r="2373">
          <cell r="C2373">
            <v>0</v>
          </cell>
          <cell r="D2373">
            <v>0</v>
          </cell>
          <cell r="E2373">
            <v>0</v>
          </cell>
          <cell r="F2373">
            <v>0</v>
          </cell>
          <cell r="H2373">
            <v>2</v>
          </cell>
          <cell r="O2373">
            <v>176820</v>
          </cell>
          <cell r="P2373"/>
          <cell r="Q2373" t="str">
            <v>EST CADEIRA GB01 MISTA (JEQ 03) (QUADRIC NT) TC 244-00686</v>
          </cell>
          <cell r="R2373"/>
          <cell r="S2373"/>
          <cell r="T2373">
            <v>0.45</v>
          </cell>
          <cell r="U2373">
            <v>0.48</v>
          </cell>
          <cell r="V2373">
            <v>0.85</v>
          </cell>
          <cell r="W2373">
            <v>0</v>
          </cell>
          <cell r="X2373" t="str">
            <v>EST CADEIRA GB01 MISTA (JEQ 03) (QUADRIC NT) TC 244-00686 - 0,45x0,48x0,85H</v>
          </cell>
          <cell r="Y2373">
            <v>0</v>
          </cell>
          <cell r="Z2373">
            <v>0</v>
          </cell>
          <cell r="AA2373">
            <v>0</v>
          </cell>
          <cell r="AB2373"/>
        </row>
        <row r="2374">
          <cell r="C2374">
            <v>0</v>
          </cell>
          <cell r="D2374">
            <v>0</v>
          </cell>
          <cell r="E2374">
            <v>0</v>
          </cell>
          <cell r="F2374">
            <v>0</v>
          </cell>
          <cell r="H2374">
            <v>1</v>
          </cell>
          <cell r="O2374">
            <v>176840</v>
          </cell>
          <cell r="P2374"/>
          <cell r="Q2374" t="str">
            <v>EST BANQUETA VOLTAIRE (MAD B COR 03) TC SAF RUBELL VIOLETA</v>
          </cell>
          <cell r="R2374"/>
          <cell r="S2374"/>
          <cell r="T2374">
            <v>0.67</v>
          </cell>
          <cell r="U2374">
            <v>0.46</v>
          </cell>
          <cell r="V2374">
            <v>0.43</v>
          </cell>
          <cell r="W2374">
            <v>0</v>
          </cell>
          <cell r="X2374" t="str">
            <v>EST BANQUETA VOLTAIRE (MAD B COR 03) TC SAF RUBELL VIOLETA - 0,67x0,46x0,43H</v>
          </cell>
          <cell r="Y2374">
            <v>0</v>
          </cell>
          <cell r="Z2374">
            <v>0</v>
          </cell>
          <cell r="AA2374">
            <v>0</v>
          </cell>
          <cell r="AB2374"/>
        </row>
        <row r="2375">
          <cell r="C2375">
            <v>0</v>
          </cell>
          <cell r="D2375">
            <v>0</v>
          </cell>
          <cell r="E2375">
            <v>0</v>
          </cell>
          <cell r="F2375">
            <v>0</v>
          </cell>
          <cell r="H2375">
            <v>1</v>
          </cell>
          <cell r="O2375">
            <v>176870</v>
          </cell>
          <cell r="P2375"/>
          <cell r="Q2375" t="str">
            <v>EST BANQUETA BAR CORINGA H73 (SUCUPIRA) TC FLOR VELVET</v>
          </cell>
          <cell r="R2375"/>
          <cell r="S2375"/>
          <cell r="T2375">
            <v>0.43</v>
          </cell>
          <cell r="U2375">
            <v>0</v>
          </cell>
          <cell r="V2375">
            <v>0.73</v>
          </cell>
          <cell r="W2375">
            <v>0</v>
          </cell>
          <cell r="X2375" t="str">
            <v>EST BANQUETA BAR CORINGA H73 (SUCUPIRA) TC FLOR VELVET - Ø0x0,73H</v>
          </cell>
          <cell r="Y2375">
            <v>0</v>
          </cell>
          <cell r="Z2375">
            <v>0</v>
          </cell>
          <cell r="AA2375">
            <v>0</v>
          </cell>
          <cell r="AB2375"/>
        </row>
        <row r="2376">
          <cell r="C2376">
            <v>0</v>
          </cell>
          <cell r="D2376">
            <v>0</v>
          </cell>
          <cell r="E2376">
            <v>0</v>
          </cell>
          <cell r="F2376">
            <v>0</v>
          </cell>
          <cell r="H2376">
            <v>1</v>
          </cell>
          <cell r="O2376">
            <v>176872</v>
          </cell>
          <cell r="P2376"/>
          <cell r="Q2376" t="str">
            <v>EST CADEIRA DAAV (INOX POL) (MAD B COR 03) TC FLOR VELVET</v>
          </cell>
          <cell r="R2376"/>
          <cell r="S2376"/>
          <cell r="T2376">
            <v>0.6</v>
          </cell>
          <cell r="U2376">
            <v>0.65</v>
          </cell>
          <cell r="V2376">
            <v>0.8</v>
          </cell>
          <cell r="W2376">
            <v>0</v>
          </cell>
          <cell r="X2376" t="str">
            <v>EST CADEIRA DAAV (INOX POL) (MAD B COR 03) TC FLOR VELVET - 0,6x0,65x0,8H</v>
          </cell>
          <cell r="Y2376">
            <v>0</v>
          </cell>
          <cell r="Z2376">
            <v>0</v>
          </cell>
          <cell r="AA2376">
            <v>0</v>
          </cell>
          <cell r="AB2376"/>
        </row>
        <row r="2377">
          <cell r="C2377">
            <v>0</v>
          </cell>
          <cell r="D2377">
            <v>0</v>
          </cell>
          <cell r="E2377">
            <v>0</v>
          </cell>
          <cell r="F2377">
            <v>0</v>
          </cell>
          <cell r="H2377">
            <v>1</v>
          </cell>
          <cell r="O2377">
            <v>176873</v>
          </cell>
          <cell r="P2377"/>
          <cell r="Q2377" t="str">
            <v>EST POLTRONA OSCAR JANTAR (MISTA) (MAD B COR 3) TC FLOR VELV</v>
          </cell>
          <cell r="R2377"/>
          <cell r="S2377"/>
          <cell r="T2377">
            <v>0.7</v>
          </cell>
          <cell r="U2377">
            <v>0.61</v>
          </cell>
          <cell r="V2377">
            <v>0.85</v>
          </cell>
          <cell r="W2377">
            <v>0</v>
          </cell>
          <cell r="X2377" t="str">
            <v>EST POLTRONA OSCAR JANTAR (MISTA) (MAD B COR 3) TC FLOR VELV - 0,7x0,61x0,85H</v>
          </cell>
          <cell r="Y2377">
            <v>0</v>
          </cell>
          <cell r="Z2377">
            <v>0</v>
          </cell>
          <cell r="AA2377">
            <v>0</v>
          </cell>
          <cell r="AB2377"/>
        </row>
        <row r="2378">
          <cell r="C2378">
            <v>0</v>
          </cell>
          <cell r="D2378">
            <v>0</v>
          </cell>
          <cell r="E2378">
            <v>0</v>
          </cell>
          <cell r="F2378">
            <v>0</v>
          </cell>
          <cell r="H2378">
            <v>1</v>
          </cell>
          <cell r="O2378">
            <v>176874</v>
          </cell>
          <cell r="P2378"/>
          <cell r="Q2378" t="str">
            <v>EST CADEIRA TIAO C/BRACO (MAD B COR 03) TC FLOR VELVET</v>
          </cell>
          <cell r="R2378"/>
          <cell r="S2378"/>
          <cell r="T2378">
            <v>0.61</v>
          </cell>
          <cell r="U2378">
            <v>0.62</v>
          </cell>
          <cell r="V2378">
            <v>0.78</v>
          </cell>
          <cell r="W2378">
            <v>0</v>
          </cell>
          <cell r="X2378" t="str">
            <v>EST CADEIRA TIAO C/BRACO (MAD B COR 03) TC FLOR VELVET - 0,61x0,62x0,78H</v>
          </cell>
          <cell r="Y2378">
            <v>0</v>
          </cell>
          <cell r="Z2378">
            <v>0</v>
          </cell>
          <cell r="AA2378">
            <v>0</v>
          </cell>
          <cell r="AB2378"/>
        </row>
        <row r="2379">
          <cell r="C2379">
            <v>0</v>
          </cell>
          <cell r="D2379">
            <v>0</v>
          </cell>
          <cell r="E2379">
            <v>0</v>
          </cell>
          <cell r="F2379">
            <v>0</v>
          </cell>
          <cell r="H2379">
            <v>1</v>
          </cell>
          <cell r="O2379">
            <v>176875</v>
          </cell>
          <cell r="P2379"/>
          <cell r="Q2379" t="str">
            <v>EST CADEIRA TIAO (MAD B COR 03) TC FLOR VELVET</v>
          </cell>
          <cell r="R2379"/>
          <cell r="S2379"/>
          <cell r="T2379">
            <v>0.61</v>
          </cell>
          <cell r="U2379">
            <v>0.6</v>
          </cell>
          <cell r="V2379">
            <v>0.75</v>
          </cell>
          <cell r="W2379">
            <v>0</v>
          </cell>
          <cell r="X2379" t="str">
            <v>EST CADEIRA TIAO (MAD B COR 03) TC FLOR VELVET - 0,61x0,6x0,75H</v>
          </cell>
          <cell r="Y2379">
            <v>0</v>
          </cell>
          <cell r="Z2379">
            <v>0</v>
          </cell>
          <cell r="AA2379">
            <v>0</v>
          </cell>
          <cell r="AB2379"/>
        </row>
        <row r="2380">
          <cell r="C2380">
            <v>0</v>
          </cell>
          <cell r="D2380">
            <v>0</v>
          </cell>
          <cell r="E2380">
            <v>0</v>
          </cell>
          <cell r="F2380">
            <v>0</v>
          </cell>
          <cell r="H2380">
            <v>2</v>
          </cell>
          <cell r="O2380">
            <v>176876</v>
          </cell>
          <cell r="P2380"/>
          <cell r="Q2380" t="str">
            <v>EST POLTRONA STELLA (BAIXA) (MAD B COR 03) TC FLOR VELVET</v>
          </cell>
          <cell r="R2380"/>
          <cell r="S2380"/>
          <cell r="T2380">
            <v>0.74</v>
          </cell>
          <cell r="U2380">
            <v>0.92</v>
          </cell>
          <cell r="V2380">
            <v>0.69</v>
          </cell>
          <cell r="W2380">
            <v>0</v>
          </cell>
          <cell r="X2380" t="str">
            <v>EST POLTRONA STELLA (BAIXA) (MAD B COR 03) TC FLOR VELVET - 0,74x0,92x0,69H</v>
          </cell>
          <cell r="Y2380">
            <v>0</v>
          </cell>
          <cell r="Z2380">
            <v>0</v>
          </cell>
          <cell r="AA2380">
            <v>0</v>
          </cell>
          <cell r="AB2380"/>
        </row>
        <row r="2381">
          <cell r="C2381">
            <v>0</v>
          </cell>
          <cell r="D2381">
            <v>0</v>
          </cell>
          <cell r="E2381">
            <v>0</v>
          </cell>
          <cell r="F2381">
            <v>0</v>
          </cell>
          <cell r="H2381">
            <v>0</v>
          </cell>
          <cell r="O2381">
            <v>176886</v>
          </cell>
          <cell r="P2381"/>
          <cell r="Q2381" t="str">
            <v>EST CADEIRA CA-03 C/BRACO (TELA) (MAD A JEQ TABACO)</v>
          </cell>
          <cell r="R2381"/>
          <cell r="S2381"/>
          <cell r="T2381">
            <v>0.6</v>
          </cell>
          <cell r="U2381">
            <v>0.57999999999999996</v>
          </cell>
          <cell r="V2381">
            <v>0.8</v>
          </cell>
          <cell r="W2381">
            <v>0</v>
          </cell>
          <cell r="X2381" t="str">
            <v>EST CADEIRA CA-03 C/BRACO (TELA) (MAD A JEQ TABACO) - 0,6x0,58x0,8H</v>
          </cell>
          <cell r="Y2381">
            <v>0</v>
          </cell>
          <cell r="Z2381">
            <v>0</v>
          </cell>
          <cell r="AA2381">
            <v>0</v>
          </cell>
          <cell r="AB2381"/>
        </row>
        <row r="2382">
          <cell r="C2382">
            <v>0</v>
          </cell>
          <cell r="D2382">
            <v>0</v>
          </cell>
          <cell r="E2382">
            <v>0</v>
          </cell>
          <cell r="F2382">
            <v>0</v>
          </cell>
          <cell r="H2382">
            <v>1</v>
          </cell>
          <cell r="O2382">
            <v>176901</v>
          </cell>
          <cell r="P2382"/>
          <cell r="Q2382" t="str">
            <v>EST BANQUETA BAR ZANINE X H68 (JEQUITIBA TABACO) FLOR VELVET</v>
          </cell>
          <cell r="R2382"/>
          <cell r="S2382"/>
          <cell r="T2382">
            <v>0.5</v>
          </cell>
          <cell r="U2382">
            <v>0</v>
          </cell>
          <cell r="V2382">
            <v>0.68</v>
          </cell>
          <cell r="W2382">
            <v>0</v>
          </cell>
          <cell r="X2382" t="str">
            <v>EST BANQUETA BAR ZANINE X H68 (JEQUITIBA TABACO) FLOR VELVET - Ø0x0,68H</v>
          </cell>
          <cell r="Y2382">
            <v>0</v>
          </cell>
          <cell r="Z2382">
            <v>0.5</v>
          </cell>
          <cell r="AA2382">
            <v>0</v>
          </cell>
          <cell r="AB2382"/>
        </row>
        <row r="2383">
          <cell r="C2383">
            <v>0</v>
          </cell>
          <cell r="D2383">
            <v>0</v>
          </cell>
          <cell r="E2383">
            <v>0</v>
          </cell>
          <cell r="F2383">
            <v>0</v>
          </cell>
          <cell r="H2383">
            <v>1</v>
          </cell>
          <cell r="O2383">
            <v>176904</v>
          </cell>
          <cell r="P2383"/>
          <cell r="Q2383" t="str">
            <v>EST BANCO ZANINE X (JEQUITIBA TABACO) TC 244 01722 FLORAL</v>
          </cell>
          <cell r="R2383"/>
          <cell r="S2383"/>
          <cell r="T2383">
            <v>0.46</v>
          </cell>
          <cell r="U2383">
            <v>0.46</v>
          </cell>
          <cell r="V2383">
            <v>0.45</v>
          </cell>
          <cell r="W2383">
            <v>0</v>
          </cell>
          <cell r="X2383" t="str">
            <v>EST BANCO ZANINE X (JEQUITIBA TABACO) TC 244 01722 FLORAL - 0,46x0,46x0,45H</v>
          </cell>
          <cell r="Y2383">
            <v>0</v>
          </cell>
          <cell r="Z2383">
            <v>0.35</v>
          </cell>
          <cell r="AA2383">
            <v>0</v>
          </cell>
          <cell r="AB2383"/>
        </row>
        <row r="2384">
          <cell r="C2384">
            <v>0</v>
          </cell>
          <cell r="D2384">
            <v>0</v>
          </cell>
          <cell r="E2384">
            <v>0</v>
          </cell>
          <cell r="F2384">
            <v>0</v>
          </cell>
          <cell r="H2384">
            <v>1</v>
          </cell>
          <cell r="O2384">
            <v>176914</v>
          </cell>
          <cell r="P2384"/>
          <cell r="Q2384" t="str">
            <v>EST CADEIRA GB01 TELA (QUADRIC NT) (JEQ 01)</v>
          </cell>
          <cell r="R2384"/>
          <cell r="S2384"/>
          <cell r="T2384">
            <v>0.45</v>
          </cell>
          <cell r="U2384">
            <v>0.48</v>
          </cell>
          <cell r="V2384">
            <v>0.85</v>
          </cell>
          <cell r="W2384">
            <v>0</v>
          </cell>
          <cell r="X2384" t="str">
            <v>EST CADEIRA GB01 TELA (QUADRIC NT) (JEQ 01) - 0,45x0,48x0,85H</v>
          </cell>
          <cell r="Y2384">
            <v>0</v>
          </cell>
          <cell r="Z2384">
            <v>0</v>
          </cell>
          <cell r="AA2384">
            <v>0</v>
          </cell>
          <cell r="AB2384"/>
        </row>
        <row r="2385">
          <cell r="C2385" t="e">
            <v>#N/A</v>
          </cell>
          <cell r="D2385" t="e">
            <v>#N/A</v>
          </cell>
          <cell r="E2385" t="e">
            <v>#N/A</v>
          </cell>
          <cell r="F2385" t="e">
            <v>#N/A</v>
          </cell>
          <cell r="H2385" t="e">
            <v>#N/A</v>
          </cell>
          <cell r="O2385">
            <v>177604</v>
          </cell>
          <cell r="P2385"/>
          <cell r="Q2385" t="e">
            <v>#N/A</v>
          </cell>
          <cell r="R2385"/>
          <cell r="S2385"/>
          <cell r="T2385" t="e">
            <v>#N/A</v>
          </cell>
          <cell r="U2385" t="e">
            <v>#N/A</v>
          </cell>
          <cell r="V2385" t="e">
            <v>#N/A</v>
          </cell>
          <cell r="W2385" t="e">
            <v>#N/A</v>
          </cell>
          <cell r="X2385" t="e">
            <v>#N/A</v>
          </cell>
          <cell r="Y2385">
            <v>0</v>
          </cell>
          <cell r="Z2385">
            <v>0</v>
          </cell>
          <cell r="AA2385">
            <v>0</v>
          </cell>
          <cell r="AB2385"/>
        </row>
        <row r="2386">
          <cell r="C2386">
            <v>0</v>
          </cell>
          <cell r="D2386">
            <v>0</v>
          </cell>
          <cell r="E2386">
            <v>0</v>
          </cell>
          <cell r="F2386">
            <v>0</v>
          </cell>
          <cell r="H2386">
            <v>2</v>
          </cell>
          <cell r="O2386">
            <v>178686</v>
          </cell>
          <cell r="P2386"/>
          <cell r="Q2386" t="str">
            <v>EST BANQUETA GIO (FREIJO NT) COURO CH VINHO</v>
          </cell>
          <cell r="R2386"/>
          <cell r="S2386"/>
          <cell r="T2386">
            <v>0.65</v>
          </cell>
          <cell r="U2386">
            <v>0.5</v>
          </cell>
          <cell r="V2386">
            <v>0.4</v>
          </cell>
          <cell r="W2386">
            <v>0</v>
          </cell>
          <cell r="X2386" t="str">
            <v>EST BANQUETA GIO (FREIJO NT) COURO CH VINHO - 0,65x0,5x0,4H</v>
          </cell>
          <cell r="Y2386">
            <v>0</v>
          </cell>
          <cell r="Z2386">
            <v>0</v>
          </cell>
          <cell r="AA2386">
            <v>0</v>
          </cell>
          <cell r="AB2386"/>
        </row>
        <row r="2387">
          <cell r="C2387">
            <v>0</v>
          </cell>
          <cell r="D2387">
            <v>0</v>
          </cell>
          <cell r="E2387">
            <v>0</v>
          </cell>
          <cell r="F2387">
            <v>0</v>
          </cell>
          <cell r="H2387">
            <v>0</v>
          </cell>
          <cell r="O2387">
            <v>178699</v>
          </cell>
          <cell r="P2387"/>
          <cell r="Q2387" t="str">
            <v>EST BANQUETA BAR TZ H60 (FREIJO NATURAL)</v>
          </cell>
          <cell r="R2387"/>
          <cell r="S2387"/>
          <cell r="T2387">
            <v>0.35</v>
          </cell>
          <cell r="U2387">
            <v>0</v>
          </cell>
          <cell r="V2387">
            <v>0.6</v>
          </cell>
          <cell r="W2387">
            <v>0</v>
          </cell>
          <cell r="X2387" t="str">
            <v>EST BANQUETA BAR TZ H60 (FREIJO NATURAL) - Ø0x0,6H</v>
          </cell>
          <cell r="Y2387">
            <v>0</v>
          </cell>
          <cell r="Z2387">
            <v>0.5</v>
          </cell>
          <cell r="AA2387">
            <v>0</v>
          </cell>
          <cell r="AB2387"/>
        </row>
        <row r="2388">
          <cell r="C2388">
            <v>0</v>
          </cell>
          <cell r="D2388">
            <v>0</v>
          </cell>
          <cell r="E2388">
            <v>0</v>
          </cell>
          <cell r="F2388">
            <v>0</v>
          </cell>
          <cell r="H2388">
            <v>0</v>
          </cell>
          <cell r="O2388">
            <v>178700</v>
          </cell>
          <cell r="P2388"/>
          <cell r="Q2388" t="str">
            <v>EST BANQUETA BAR TZ H72 (FREIJO NATURAL)</v>
          </cell>
          <cell r="R2388"/>
          <cell r="S2388"/>
          <cell r="T2388">
            <v>0.35</v>
          </cell>
          <cell r="U2388">
            <v>0</v>
          </cell>
          <cell r="V2388">
            <v>0.72</v>
          </cell>
          <cell r="W2388">
            <v>0.35</v>
          </cell>
          <cell r="X2388" t="str">
            <v>EST BANQUETA BAR TZ H72 (FREIJO NATURAL) - Ø0,35x0,72H</v>
          </cell>
          <cell r="Y2388">
            <v>0</v>
          </cell>
          <cell r="Z2388">
            <v>0.5</v>
          </cell>
          <cell r="AA2388">
            <v>0</v>
          </cell>
          <cell r="AB2388"/>
        </row>
        <row r="2389">
          <cell r="C2389">
            <v>0</v>
          </cell>
          <cell r="D2389">
            <v>0</v>
          </cell>
          <cell r="E2389">
            <v>0</v>
          </cell>
          <cell r="F2389">
            <v>0</v>
          </cell>
          <cell r="H2389">
            <v>0</v>
          </cell>
          <cell r="O2389">
            <v>178780</v>
          </cell>
          <cell r="P2389"/>
          <cell r="Q2389" t="str">
            <v>EST ESCRIVANINHA CATETE (GAV COURO CAMEL) (MAD A CATUABA PU)</v>
          </cell>
          <cell r="R2389"/>
          <cell r="S2389"/>
          <cell r="T2389">
            <v>2.6</v>
          </cell>
          <cell r="U2389">
            <v>0.8</v>
          </cell>
          <cell r="V2389">
            <v>0.74</v>
          </cell>
          <cell r="W2389">
            <v>0</v>
          </cell>
          <cell r="X2389" t="str">
            <v>EST ESCRIVANINHA CATETE (GAV COURO CAMEL) (MAD A CATUABA PU) - 2,6x0,8x0,74H</v>
          </cell>
          <cell r="Y2389">
            <v>0</v>
          </cell>
          <cell r="Z2389">
            <v>0</v>
          </cell>
          <cell r="AA2389">
            <v>0</v>
          </cell>
          <cell r="AB2389"/>
        </row>
        <row r="2390">
          <cell r="C2390">
            <v>0</v>
          </cell>
          <cell r="D2390">
            <v>0</v>
          </cell>
          <cell r="E2390">
            <v>0</v>
          </cell>
          <cell r="F2390">
            <v>0</v>
          </cell>
          <cell r="H2390">
            <v>4</v>
          </cell>
          <cell r="O2390">
            <v>179091</v>
          </cell>
          <cell r="P2390"/>
          <cell r="Q2390" t="str">
            <v>EST BASE CENTRO K2 (P/TP D1,50 - D1,60) (INTEIRA CEDRO)</v>
          </cell>
          <cell r="R2390"/>
          <cell r="S2390"/>
          <cell r="T2390">
            <v>1.4</v>
          </cell>
          <cell r="U2390">
            <v>0</v>
          </cell>
          <cell r="V2390">
            <v>0.33</v>
          </cell>
          <cell r="W2390">
            <v>1.4</v>
          </cell>
          <cell r="X2390" t="str">
            <v>EST BASE CENTRO K2 (P/TP D1,50 - D1,60) (INTEIRA CEDRO) - Ø1,4x0,33H</v>
          </cell>
          <cell r="Y2390">
            <v>0</v>
          </cell>
          <cell r="Z2390">
            <v>0</v>
          </cell>
          <cell r="AA2390">
            <v>0</v>
          </cell>
          <cell r="AB2390"/>
        </row>
        <row r="2391">
          <cell r="C2391">
            <v>0</v>
          </cell>
          <cell r="D2391">
            <v>0</v>
          </cell>
          <cell r="E2391">
            <v>0</v>
          </cell>
          <cell r="F2391">
            <v>0</v>
          </cell>
          <cell r="H2391">
            <v>1</v>
          </cell>
          <cell r="O2391">
            <v>180623</v>
          </cell>
          <cell r="P2391"/>
          <cell r="Q2391" t="str">
            <v>EST CARRINHO BAR CARRIM (IMPRESSAO LAPIS/SACO/PEIXE) LT7</v>
          </cell>
          <cell r="R2391"/>
          <cell r="S2391"/>
          <cell r="T2391">
            <v>0.8</v>
          </cell>
          <cell r="U2391">
            <v>0.45</v>
          </cell>
          <cell r="V2391">
            <v>0.77</v>
          </cell>
          <cell r="W2391">
            <v>0</v>
          </cell>
          <cell r="X2391" t="str">
            <v>EST CARRINHO BAR CARRIM (IMPRESSAO LAPIS/SACO/PEIXE) LT7 - 0,8x0,45x0,77H</v>
          </cell>
          <cell r="Y2391">
            <v>0</v>
          </cell>
          <cell r="Z2391">
            <v>0</v>
          </cell>
          <cell r="AA2391">
            <v>0</v>
          </cell>
          <cell r="AB2391"/>
        </row>
        <row r="2392">
          <cell r="C2392">
            <v>0</v>
          </cell>
          <cell r="D2392">
            <v>0</v>
          </cell>
          <cell r="E2392">
            <v>0</v>
          </cell>
          <cell r="F2392">
            <v>0</v>
          </cell>
          <cell r="H2392">
            <v>1</v>
          </cell>
          <cell r="O2392">
            <v>180624</v>
          </cell>
          <cell r="P2392"/>
          <cell r="Q2392" t="str">
            <v>EST CARRINHO BAR CARRIM (IMPRESSAO SACO/PEIXE/LAPIS) LT7</v>
          </cell>
          <cell r="R2392"/>
          <cell r="S2392"/>
          <cell r="T2392">
            <v>0.8</v>
          </cell>
          <cell r="U2392">
            <v>0.45</v>
          </cell>
          <cell r="V2392">
            <v>0.77</v>
          </cell>
          <cell r="W2392">
            <v>0</v>
          </cell>
          <cell r="X2392" t="str">
            <v>EST CARRINHO BAR CARRIM (IMPRESSAO SACO/PEIXE/LAPIS) LT7 - 0,8x0,45x0,77H</v>
          </cell>
          <cell r="Y2392">
            <v>0</v>
          </cell>
          <cell r="Z2392">
            <v>0.35</v>
          </cell>
          <cell r="AA2392">
            <v>0</v>
          </cell>
          <cell r="AB2392"/>
        </row>
        <row r="2393">
          <cell r="C2393">
            <v>0</v>
          </cell>
          <cell r="D2393">
            <v>0</v>
          </cell>
          <cell r="E2393">
            <v>0</v>
          </cell>
          <cell r="F2393">
            <v>0</v>
          </cell>
          <cell r="H2393">
            <v>4</v>
          </cell>
          <cell r="O2393">
            <v>180858</v>
          </cell>
          <cell r="P2393"/>
          <cell r="Q2393" t="str">
            <v>EST CADEIRA TIAO C/BRACO (MAD B COR 03) TC LINHO 601</v>
          </cell>
          <cell r="R2393"/>
          <cell r="S2393"/>
          <cell r="T2393">
            <v>0.61</v>
          </cell>
          <cell r="U2393">
            <v>0.6</v>
          </cell>
          <cell r="V2393">
            <v>0.75</v>
          </cell>
          <cell r="W2393">
            <v>0</v>
          </cell>
          <cell r="X2393" t="str">
            <v>EST CADEIRA TIAO C/BRACO (MAD B COR 03) TC LINHO 601 - 0,61x0,6x0,75H</v>
          </cell>
          <cell r="Y2393">
            <v>0</v>
          </cell>
          <cell r="Z2393">
            <v>0</v>
          </cell>
          <cell r="AA2393">
            <v>0</v>
          </cell>
          <cell r="AB2393"/>
        </row>
        <row r="2394">
          <cell r="C2394">
            <v>0</v>
          </cell>
          <cell r="D2394">
            <v>0</v>
          </cell>
          <cell r="E2394">
            <v>0</v>
          </cell>
          <cell r="F2394">
            <v>0</v>
          </cell>
          <cell r="H2394">
            <v>3</v>
          </cell>
          <cell r="O2394">
            <v>180860</v>
          </cell>
          <cell r="P2394"/>
          <cell r="Q2394" t="str">
            <v>EST CADEIRA TIAO C/BRACO (MAD A COR 01) TC LINHO 501</v>
          </cell>
          <cell r="R2394"/>
          <cell r="S2394"/>
          <cell r="T2394">
            <v>0.61</v>
          </cell>
          <cell r="U2394">
            <v>0.6</v>
          </cell>
          <cell r="V2394">
            <v>0.75</v>
          </cell>
          <cell r="W2394">
            <v>0</v>
          </cell>
          <cell r="X2394" t="str">
            <v>EST CADEIRA TIAO C/BRACO (MAD A COR 01) TC LINHO 501 - 0,61x0,6x0,75H</v>
          </cell>
          <cell r="Y2394">
            <v>0</v>
          </cell>
          <cell r="Z2394">
            <v>0</v>
          </cell>
          <cell r="AA2394">
            <v>0</v>
          </cell>
          <cell r="AB2394"/>
        </row>
        <row r="2395">
          <cell r="C2395">
            <v>0</v>
          </cell>
          <cell r="D2395">
            <v>0</v>
          </cell>
          <cell r="E2395">
            <v>0</v>
          </cell>
          <cell r="F2395">
            <v>0</v>
          </cell>
          <cell r="H2395">
            <v>1</v>
          </cell>
          <cell r="O2395">
            <v>181282</v>
          </cell>
          <cell r="P2395"/>
          <cell r="Q2395" t="str">
            <v>EST BASE CAVALETE MARISA (MAD A COR 01)</v>
          </cell>
          <cell r="R2395"/>
          <cell r="S2395"/>
          <cell r="T2395">
            <v>2</v>
          </cell>
          <cell r="U2395">
            <v>0.65</v>
          </cell>
          <cell r="V2395">
            <v>0.72</v>
          </cell>
          <cell r="W2395">
            <v>0</v>
          </cell>
          <cell r="X2395" t="str">
            <v>EST BASE CAVALETE MARISA (MAD A COR 01) - 2x0,65x0,72H</v>
          </cell>
          <cell r="Y2395">
            <v>0</v>
          </cell>
          <cell r="Z2395">
            <v>0</v>
          </cell>
          <cell r="AA2395">
            <v>0</v>
          </cell>
          <cell r="AB2395"/>
        </row>
        <row r="2396">
          <cell r="C2396">
            <v>0</v>
          </cell>
          <cell r="D2396">
            <v>0</v>
          </cell>
          <cell r="E2396">
            <v>0</v>
          </cell>
          <cell r="F2396">
            <v>0</v>
          </cell>
          <cell r="H2396">
            <v>2</v>
          </cell>
          <cell r="O2396">
            <v>182431</v>
          </cell>
          <cell r="P2396"/>
          <cell r="Q2396" t="str">
            <v>EST BANQUETA SOFT TC LINHO 409 (ESTONADO) LI-161 MARFIM</v>
          </cell>
          <cell r="R2396"/>
          <cell r="S2396"/>
          <cell r="T2396">
            <v>1</v>
          </cell>
          <cell r="U2396">
            <v>0.75</v>
          </cell>
          <cell r="V2396">
            <v>0.52</v>
          </cell>
          <cell r="W2396">
            <v>0</v>
          </cell>
          <cell r="X2396" t="str">
            <v>EST BANQUETA SOFT TC LINHO 409 (ESTONADO) LI-161 MARFIM - 1x0,75x0,52H</v>
          </cell>
          <cell r="Y2396">
            <v>0</v>
          </cell>
          <cell r="Z2396">
            <v>0</v>
          </cell>
          <cell r="AA2396">
            <v>0</v>
          </cell>
          <cell r="AB2396"/>
        </row>
        <row r="2397">
          <cell r="C2397">
            <v>0</v>
          </cell>
          <cell r="D2397">
            <v>0</v>
          </cell>
          <cell r="E2397">
            <v>0</v>
          </cell>
          <cell r="F2397">
            <v>0</v>
          </cell>
          <cell r="H2397">
            <v>1</v>
          </cell>
          <cell r="O2397">
            <v>182449</v>
          </cell>
          <cell r="P2397"/>
          <cell r="Q2397" t="str">
            <v>EST POLTRONA MANDACARU (LONA VERDE/VERDE CLARO)</v>
          </cell>
          <cell r="R2397"/>
          <cell r="S2397"/>
          <cell r="T2397">
            <v>1.6</v>
          </cell>
          <cell r="U2397">
            <v>0.7</v>
          </cell>
          <cell r="V2397">
            <v>0.84</v>
          </cell>
          <cell r="W2397">
            <v>0</v>
          </cell>
          <cell r="X2397" t="str">
            <v>EST POLTRONA MANDACARU (LONA VERDE/VERDE CLARO) - 1,6x0,7x0,84H</v>
          </cell>
          <cell r="Y2397">
            <v>0</v>
          </cell>
          <cell r="Z2397">
            <v>0</v>
          </cell>
          <cell r="AA2397">
            <v>0</v>
          </cell>
          <cell r="AB2397"/>
        </row>
        <row r="2398">
          <cell r="C2398">
            <v>0</v>
          </cell>
          <cell r="D2398">
            <v>0</v>
          </cell>
          <cell r="E2398">
            <v>0</v>
          </cell>
          <cell r="F2398">
            <v>0</v>
          </cell>
          <cell r="H2398">
            <v>1</v>
          </cell>
          <cell r="O2398">
            <v>182539</v>
          </cell>
          <cell r="P2398"/>
          <cell r="Q2398" t="str">
            <v>EST MESA CENTRO MC (LACA BRILHO SAYER F-101)</v>
          </cell>
          <cell r="R2398"/>
          <cell r="S2398"/>
          <cell r="T2398">
            <v>1.2</v>
          </cell>
          <cell r="U2398">
            <v>1.2</v>
          </cell>
          <cell r="V2398">
            <v>0.3</v>
          </cell>
          <cell r="W2398">
            <v>0</v>
          </cell>
          <cell r="X2398" t="str">
            <v>EST MESA CENTRO MC (LACA BRILHO SAYER F-101) - 1,2x1,2x0,3H</v>
          </cell>
          <cell r="Y2398">
            <v>0</v>
          </cell>
          <cell r="Z2398">
            <v>0.5</v>
          </cell>
          <cell r="AA2398">
            <v>0</v>
          </cell>
          <cell r="AB2398"/>
        </row>
        <row r="2399">
          <cell r="C2399">
            <v>0</v>
          </cell>
          <cell r="D2399">
            <v>0</v>
          </cell>
          <cell r="E2399">
            <v>0</v>
          </cell>
          <cell r="F2399">
            <v>0</v>
          </cell>
          <cell r="H2399">
            <v>0</v>
          </cell>
          <cell r="O2399">
            <v>183823</v>
          </cell>
          <cell r="P2399"/>
          <cell r="Q2399" t="str">
            <v>EST POLTRONA GERALDO DE BARROS COURO CH 16 VERDE MUSGO</v>
          </cell>
          <cell r="R2399"/>
          <cell r="S2399"/>
          <cell r="T2399">
            <v>0.95</v>
          </cell>
          <cell r="U2399">
            <v>0.76</v>
          </cell>
          <cell r="V2399">
            <v>0.65</v>
          </cell>
          <cell r="W2399">
            <v>0</v>
          </cell>
          <cell r="X2399" t="str">
            <v>EST POLTRONA GERALDO DE BARROS COURO CH 16 VERDE MUSGO - 0,95x0,76x0,65H</v>
          </cell>
          <cell r="Y2399">
            <v>0</v>
          </cell>
          <cell r="Z2399">
            <v>0</v>
          </cell>
          <cell r="AA2399">
            <v>0</v>
          </cell>
          <cell r="AB2399"/>
        </row>
        <row r="2400">
          <cell r="C2400">
            <v>0</v>
          </cell>
          <cell r="D2400">
            <v>0</v>
          </cell>
          <cell r="E2400">
            <v>0</v>
          </cell>
          <cell r="F2400">
            <v>0</v>
          </cell>
          <cell r="H2400">
            <v>1</v>
          </cell>
          <cell r="O2400">
            <v>184515</v>
          </cell>
          <cell r="P2400"/>
          <cell r="Q2400" t="str">
            <v>EST CADEIRA GB01 MISTA (IMBUIA) (QUADRIC NT) TC LINHO 501</v>
          </cell>
          <cell r="R2400"/>
          <cell r="S2400"/>
          <cell r="T2400">
            <v>0.45</v>
          </cell>
          <cell r="U2400">
            <v>0.48</v>
          </cell>
          <cell r="V2400">
            <v>0.85</v>
          </cell>
          <cell r="W2400">
            <v>0</v>
          </cell>
          <cell r="X2400" t="str">
            <v>EST CADEIRA GB01 MISTA (IMBUIA) (QUADRIC NT) TC LINHO 501 - 0,45x0,48x0,85H</v>
          </cell>
          <cell r="Y2400">
            <v>0</v>
          </cell>
          <cell r="Z2400">
            <v>0</v>
          </cell>
          <cell r="AA2400">
            <v>0</v>
          </cell>
          <cell r="AB2400"/>
        </row>
        <row r="2401">
          <cell r="C2401">
            <v>0</v>
          </cell>
          <cell r="D2401">
            <v>0</v>
          </cell>
          <cell r="E2401">
            <v>0</v>
          </cell>
          <cell r="F2401">
            <v>0</v>
          </cell>
          <cell r="H2401">
            <v>1</v>
          </cell>
          <cell r="O2401">
            <v>184534</v>
          </cell>
          <cell r="P2401"/>
          <cell r="Q2401" t="str">
            <v>EST MESA JANTAR CONE (TPO MARMORE BRANCO EXTRA) CONCRETO</v>
          </cell>
          <cell r="R2401"/>
          <cell r="S2401"/>
          <cell r="T2401">
            <v>1.1499999999999999</v>
          </cell>
          <cell r="U2401">
            <v>0</v>
          </cell>
          <cell r="V2401">
            <v>0.75</v>
          </cell>
          <cell r="W2401">
            <v>1.1499999999999999</v>
          </cell>
          <cell r="X2401" t="str">
            <v>EST MESA JANTAR CONE (TPO MARMORE BRANCO EXTRA) CONCRETO - Ø1,15x0,75H</v>
          </cell>
          <cell r="Y2401">
            <v>0</v>
          </cell>
          <cell r="Z2401">
            <v>0</v>
          </cell>
          <cell r="AA2401">
            <v>0</v>
          </cell>
          <cell r="AB2401"/>
        </row>
        <row r="2402">
          <cell r="C2402">
            <v>0</v>
          </cell>
          <cell r="D2402">
            <v>0</v>
          </cell>
          <cell r="E2402">
            <v>0</v>
          </cell>
          <cell r="F2402">
            <v>0</v>
          </cell>
          <cell r="H2402">
            <v>0</v>
          </cell>
          <cell r="O2402">
            <v>185265</v>
          </cell>
          <cell r="P2402"/>
          <cell r="Q2402" t="str">
            <v>EST SOFA SOFT II (BIPARTIDO) TC LINHO STONADO NATURAL LI-159</v>
          </cell>
          <cell r="R2402"/>
          <cell r="S2402"/>
          <cell r="T2402">
            <v>3</v>
          </cell>
          <cell r="U2402">
            <v>1.02</v>
          </cell>
          <cell r="V2402">
            <v>0.85</v>
          </cell>
          <cell r="W2402">
            <v>0</v>
          </cell>
          <cell r="X2402" t="str">
            <v>EST SOFA SOFT II (BIPARTIDO) TC LINHO STONADO NATURAL LI-159 - 3x1,02x0,85H</v>
          </cell>
          <cell r="Y2402">
            <v>0</v>
          </cell>
          <cell r="Z2402">
            <v>0.5</v>
          </cell>
          <cell r="AA2402">
            <v>0</v>
          </cell>
          <cell r="AB2402"/>
        </row>
        <row r="2403">
          <cell r="C2403">
            <v>0</v>
          </cell>
          <cell r="D2403">
            <v>0</v>
          </cell>
          <cell r="E2403">
            <v>0</v>
          </cell>
          <cell r="F2403">
            <v>0</v>
          </cell>
          <cell r="H2403">
            <v>1</v>
          </cell>
          <cell r="O2403">
            <v>186651</v>
          </cell>
          <cell r="P2403"/>
          <cell r="Q2403" t="str">
            <v>EST MESA LATERAL CONINHA (CONCRETO PTO) (TPO METAL PTO FSC)</v>
          </cell>
          <cell r="R2403"/>
          <cell r="S2403"/>
          <cell r="T2403">
            <v>0.35</v>
          </cell>
          <cell r="U2403">
            <v>0</v>
          </cell>
          <cell r="V2403">
            <v>0.48</v>
          </cell>
          <cell r="W2403">
            <v>0.35</v>
          </cell>
          <cell r="X2403" t="str">
            <v>EST MESA LATERAL CONINHA (CONCRETO PTO) (TPO METAL PTO FSC) - Ø0,35x0,48H</v>
          </cell>
          <cell r="Y2403">
            <v>0</v>
          </cell>
          <cell r="Z2403">
            <v>0.5</v>
          </cell>
          <cell r="AA2403">
            <v>0</v>
          </cell>
          <cell r="AB2403"/>
        </row>
        <row r="2404">
          <cell r="C2404">
            <v>0</v>
          </cell>
          <cell r="D2404">
            <v>0</v>
          </cell>
          <cell r="E2404">
            <v>0</v>
          </cell>
          <cell r="F2404">
            <v>0</v>
          </cell>
          <cell r="H2404">
            <v>1</v>
          </cell>
          <cell r="O2404">
            <v>186701</v>
          </cell>
          <cell r="P2404"/>
          <cell r="Q2404" t="str">
            <v>EST CARRINHO BAR CARRIM (IMPRESSAO LIVRO/SACO/PEIXE) LT8</v>
          </cell>
          <cell r="R2404"/>
          <cell r="S2404"/>
          <cell r="T2404">
            <v>0.8</v>
          </cell>
          <cell r="U2404">
            <v>0.45</v>
          </cell>
          <cell r="V2404">
            <v>0.77</v>
          </cell>
          <cell r="W2404">
            <v>0</v>
          </cell>
          <cell r="X2404" t="str">
            <v>EST CARRINHO BAR CARRIM (IMPRESSAO LIVRO/SACO/PEIXE) LT8 - 0,8x0,45x0,77H</v>
          </cell>
          <cell r="Y2404">
            <v>0</v>
          </cell>
          <cell r="Z2404">
            <v>0.35</v>
          </cell>
          <cell r="AA2404">
            <v>0</v>
          </cell>
          <cell r="AB2404"/>
        </row>
        <row r="2405">
          <cell r="C2405">
            <v>0</v>
          </cell>
          <cell r="D2405">
            <v>0</v>
          </cell>
          <cell r="E2405">
            <v>0</v>
          </cell>
          <cell r="F2405">
            <v>0</v>
          </cell>
          <cell r="H2405">
            <v>1</v>
          </cell>
          <cell r="O2405">
            <v>186866</v>
          </cell>
          <cell r="P2405"/>
          <cell r="Q2405" t="str">
            <v>EST MESA LATERAL LEVE (INOX ACET) PORCELANATO MATCH WINE</v>
          </cell>
          <cell r="R2405"/>
          <cell r="S2405"/>
          <cell r="T2405">
            <v>0.6</v>
          </cell>
          <cell r="U2405">
            <v>0.6</v>
          </cell>
          <cell r="V2405">
            <v>0.6</v>
          </cell>
          <cell r="W2405">
            <v>0</v>
          </cell>
          <cell r="X2405" t="str">
            <v>EST MESA LATERAL LEVE (INOX ACET) PORCELANATO MATCH WINE - 0,6x0,6x0,6H</v>
          </cell>
          <cell r="Y2405">
            <v>0</v>
          </cell>
          <cell r="Z2405">
            <v>0</v>
          </cell>
          <cell r="AA2405">
            <v>0</v>
          </cell>
          <cell r="AB2405"/>
        </row>
        <row r="2406">
          <cell r="C2406">
            <v>0</v>
          </cell>
          <cell r="D2406">
            <v>0</v>
          </cell>
          <cell r="E2406">
            <v>0</v>
          </cell>
          <cell r="F2406">
            <v>0</v>
          </cell>
          <cell r="H2406">
            <v>2</v>
          </cell>
          <cell r="O2406">
            <v>186876</v>
          </cell>
          <cell r="P2406"/>
          <cell r="Q2406" t="str">
            <v>EST POLTRONA SAND (MAD A TAUARI CAT PU) TC 244/01219 INDIGO</v>
          </cell>
          <cell r="R2406"/>
          <cell r="S2406"/>
          <cell r="T2406">
            <v>0.8</v>
          </cell>
          <cell r="U2406">
            <v>0.86</v>
          </cell>
          <cell r="V2406">
            <v>0.76</v>
          </cell>
          <cell r="W2406">
            <v>0</v>
          </cell>
          <cell r="X2406" t="str">
            <v>EST POLTRONA SAND (MAD A TAUARI CAT PU) TC 244/01219 INDIGO - 0,8x0,86x0,76H</v>
          </cell>
          <cell r="Y2406">
            <v>0</v>
          </cell>
          <cell r="Z2406">
            <v>0</v>
          </cell>
          <cell r="AA2406">
            <v>0</v>
          </cell>
          <cell r="AB2406"/>
        </row>
        <row r="2407">
          <cell r="C2407">
            <v>0</v>
          </cell>
          <cell r="D2407">
            <v>0</v>
          </cell>
          <cell r="E2407">
            <v>0</v>
          </cell>
          <cell r="F2407">
            <v>0</v>
          </cell>
          <cell r="H2407">
            <v>1</v>
          </cell>
          <cell r="O2407">
            <v>187326</v>
          </cell>
          <cell r="P2407"/>
          <cell r="Q2407" t="str">
            <v>EST CARRINHO BAR CARRIM (IMPRESSAO SACO/PEIXE/LIVRO) LT8</v>
          </cell>
          <cell r="R2407"/>
          <cell r="S2407"/>
          <cell r="T2407">
            <v>0.8</v>
          </cell>
          <cell r="U2407">
            <v>0.45</v>
          </cell>
          <cell r="V2407">
            <v>0.77</v>
          </cell>
          <cell r="W2407">
            <v>0</v>
          </cell>
          <cell r="X2407" t="str">
            <v>EST CARRINHO BAR CARRIM (IMPRESSAO SACO/PEIXE/LIVRO) LT8 - 0,8x0,45x0,77H</v>
          </cell>
          <cell r="Y2407">
            <v>0</v>
          </cell>
          <cell r="Z2407">
            <v>0</v>
          </cell>
          <cell r="AA2407">
            <v>0</v>
          </cell>
          <cell r="AB2407"/>
        </row>
        <row r="2408">
          <cell r="C2408">
            <v>0</v>
          </cell>
          <cell r="D2408">
            <v>0</v>
          </cell>
          <cell r="E2408">
            <v>0</v>
          </cell>
          <cell r="F2408">
            <v>0</v>
          </cell>
          <cell r="H2408">
            <v>1</v>
          </cell>
          <cell r="O2408">
            <v>188022</v>
          </cell>
          <cell r="P2408"/>
          <cell r="Q2408" t="str">
            <v>EST BIOMBO RIPAS (PADRAO CLARO)</v>
          </cell>
          <cell r="R2408"/>
          <cell r="S2408"/>
          <cell r="T2408">
            <v>1.49</v>
          </cell>
          <cell r="U2408">
            <v>0.37</v>
          </cell>
          <cell r="V2408">
            <v>1.2</v>
          </cell>
          <cell r="W2408">
            <v>0</v>
          </cell>
          <cell r="X2408" t="str">
            <v>EST BIOMBO RIPAS (PADRAO CLARO) - 1,49x0,37x1,2H</v>
          </cell>
          <cell r="Y2408">
            <v>0</v>
          </cell>
          <cell r="Z2408">
            <v>0</v>
          </cell>
          <cell r="AA2408">
            <v>0</v>
          </cell>
          <cell r="AB2408"/>
        </row>
        <row r="2409">
          <cell r="C2409">
            <v>0</v>
          </cell>
          <cell r="D2409">
            <v>0</v>
          </cell>
          <cell r="E2409">
            <v>0</v>
          </cell>
          <cell r="F2409">
            <v>0</v>
          </cell>
          <cell r="H2409">
            <v>0</v>
          </cell>
          <cell r="O2409">
            <v>188053</v>
          </cell>
          <cell r="P2409"/>
          <cell r="Q2409" t="str">
            <v>EST LUMINARIA SOL (MESA) (CATUABA ENV) (INOX ENV)</v>
          </cell>
          <cell r="R2409"/>
          <cell r="S2409"/>
          <cell r="T2409">
            <v>0.4</v>
          </cell>
          <cell r="U2409">
            <v>0.3</v>
          </cell>
          <cell r="V2409">
            <v>0.73</v>
          </cell>
          <cell r="W2409">
            <v>0</v>
          </cell>
          <cell r="X2409" t="str">
            <v>EST LUMINARIA SOL (MESA) (CATUABA ENV) (INOX ENV) - 0,4x0,3x0,73H</v>
          </cell>
          <cell r="Y2409">
            <v>0</v>
          </cell>
          <cell r="Z2409">
            <v>0</v>
          </cell>
          <cell r="AA2409">
            <v>0</v>
          </cell>
          <cell r="AB2409"/>
        </row>
        <row r="2410">
          <cell r="C2410">
            <v>0</v>
          </cell>
          <cell r="D2410">
            <v>0</v>
          </cell>
          <cell r="E2410">
            <v>0</v>
          </cell>
          <cell r="F2410">
            <v>0</v>
          </cell>
          <cell r="H2410">
            <v>2</v>
          </cell>
          <cell r="O2410">
            <v>188094</v>
          </cell>
          <cell r="P2410"/>
          <cell r="Q2410" t="str">
            <v>EST POLTRONA BOWL ST00325 BO000F2 BO000F2 AVELA/MANDACARU</v>
          </cell>
          <cell r="R2410"/>
          <cell r="S2410"/>
          <cell r="T2410">
            <v>0.87</v>
          </cell>
          <cell r="U2410">
            <v>0.87</v>
          </cell>
          <cell r="V2410">
            <v>0.76</v>
          </cell>
          <cell r="W2410">
            <v>0</v>
          </cell>
          <cell r="X2410" t="str">
            <v>EST POLTRONA BOWL ST00325 BO000F2 BO000F2 AVELA/MANDACARU - 0,87x0,87x0,76H</v>
          </cell>
          <cell r="Y2410">
            <v>0</v>
          </cell>
          <cell r="Z2410">
            <v>0</v>
          </cell>
          <cell r="AA2410">
            <v>0</v>
          </cell>
          <cell r="AB2410"/>
        </row>
        <row r="2411">
          <cell r="C2411">
            <v>0</v>
          </cell>
          <cell r="D2411">
            <v>0</v>
          </cell>
          <cell r="E2411">
            <v>0</v>
          </cell>
          <cell r="F2411">
            <v>0</v>
          </cell>
          <cell r="H2411">
            <v>1</v>
          </cell>
          <cell r="O2411">
            <v>188096</v>
          </cell>
          <cell r="P2411"/>
          <cell r="Q2411" t="str">
            <v>EST POLTRONA BOWL ST00953 BO000F6 BO000F6 VERDE/CIRCULOS</v>
          </cell>
          <cell r="R2411"/>
          <cell r="S2411"/>
          <cell r="T2411">
            <v>0.87</v>
          </cell>
          <cell r="U2411">
            <v>0.87</v>
          </cell>
          <cell r="V2411">
            <v>0.76</v>
          </cell>
          <cell r="W2411">
            <v>0</v>
          </cell>
          <cell r="X2411" t="str">
            <v>EST POLTRONA BOWL ST00953 BO000F6 BO000F6 VERDE/CIRCULOS - 0,87x0,87x0,76H</v>
          </cell>
          <cell r="Y2411">
            <v>0</v>
          </cell>
          <cell r="Z2411">
            <v>0</v>
          </cell>
          <cell r="AA2411">
            <v>0</v>
          </cell>
          <cell r="AB2411"/>
        </row>
        <row r="2412">
          <cell r="C2412">
            <v>0</v>
          </cell>
          <cell r="D2412">
            <v>0</v>
          </cell>
          <cell r="E2412">
            <v>0</v>
          </cell>
          <cell r="F2412">
            <v>0</v>
          </cell>
          <cell r="H2412">
            <v>2</v>
          </cell>
          <cell r="O2412">
            <v>188097</v>
          </cell>
          <cell r="P2412"/>
          <cell r="Q2412" t="str">
            <v>EST POLTRONA BOWL ST00395 SE00545 ST00325 MROM/MROM CLR/VERM</v>
          </cell>
          <cell r="R2412"/>
          <cell r="S2412"/>
          <cell r="T2412">
            <v>0.87</v>
          </cell>
          <cell r="U2412">
            <v>0.87</v>
          </cell>
          <cell r="V2412">
            <v>0.76</v>
          </cell>
          <cell r="W2412">
            <v>0</v>
          </cell>
          <cell r="X2412" t="str">
            <v>EST POLTRONA BOWL ST00395 SE00545 ST00325 MROM/MROM CLR/VERM - 0,87x0,87x0,76H</v>
          </cell>
          <cell r="Y2412">
            <v>0</v>
          </cell>
          <cell r="Z2412">
            <v>0</v>
          </cell>
          <cell r="AA2412">
            <v>0</v>
          </cell>
          <cell r="AB2412"/>
        </row>
        <row r="2413">
          <cell r="C2413">
            <v>0</v>
          </cell>
          <cell r="D2413">
            <v>0</v>
          </cell>
          <cell r="E2413">
            <v>0</v>
          </cell>
          <cell r="F2413">
            <v>0</v>
          </cell>
          <cell r="H2413">
            <v>2</v>
          </cell>
          <cell r="O2413">
            <v>188106</v>
          </cell>
          <cell r="P2413"/>
          <cell r="Q2413" t="str">
            <v>EST POLTRONA BOWL ST00395 ST00395 ST00395 INTEIRA MARROM</v>
          </cell>
          <cell r="R2413"/>
          <cell r="S2413"/>
          <cell r="T2413">
            <v>0.87</v>
          </cell>
          <cell r="U2413">
            <v>0.87</v>
          </cell>
          <cell r="V2413">
            <v>0.76</v>
          </cell>
          <cell r="W2413">
            <v>0</v>
          </cell>
          <cell r="X2413" t="str">
            <v>EST POLTRONA BOWL ST00395 ST00395 ST00395 INTEIRA MARROM - 0,87x0,87x0,76H</v>
          </cell>
          <cell r="Y2413">
            <v>0</v>
          </cell>
          <cell r="Z2413">
            <v>0</v>
          </cell>
          <cell r="AA2413">
            <v>0</v>
          </cell>
          <cell r="AB2413"/>
        </row>
        <row r="2414">
          <cell r="C2414">
            <v>0</v>
          </cell>
          <cell r="D2414">
            <v>0</v>
          </cell>
          <cell r="E2414">
            <v>0</v>
          </cell>
          <cell r="F2414">
            <v>0</v>
          </cell>
          <cell r="H2414">
            <v>1</v>
          </cell>
          <cell r="O2414">
            <v>188107</v>
          </cell>
          <cell r="P2414"/>
          <cell r="Q2414" t="str">
            <v>EST POLTRONA BOWL ST00325 ST00325 ST00325 INTEIRA AVELA</v>
          </cell>
          <cell r="R2414"/>
          <cell r="S2414"/>
          <cell r="T2414">
            <v>0.87</v>
          </cell>
          <cell r="U2414">
            <v>0.87</v>
          </cell>
          <cell r="V2414">
            <v>0.76</v>
          </cell>
          <cell r="W2414">
            <v>0</v>
          </cell>
          <cell r="X2414" t="str">
            <v>EST POLTRONA BOWL ST00325 ST00325 ST00325 INTEIRA AVELA - 0,87x0,87x0,76H</v>
          </cell>
          <cell r="Y2414">
            <v>0</v>
          </cell>
          <cell r="Z2414">
            <v>0</v>
          </cell>
          <cell r="AA2414">
            <v>0</v>
          </cell>
          <cell r="AB2414"/>
        </row>
        <row r="2415">
          <cell r="C2415">
            <v>0</v>
          </cell>
          <cell r="D2415">
            <v>0</v>
          </cell>
          <cell r="E2415">
            <v>0</v>
          </cell>
          <cell r="F2415">
            <v>0</v>
          </cell>
          <cell r="H2415">
            <v>1</v>
          </cell>
          <cell r="O2415">
            <v>192818</v>
          </cell>
          <cell r="P2415"/>
          <cell r="Q2415" t="str">
            <v>EST POLTRONA OSCAR ESTAR (ESTOF) (MAD B COR 4) COURO CH 08</v>
          </cell>
          <cell r="R2415"/>
          <cell r="S2415"/>
          <cell r="T2415">
            <v>0.7</v>
          </cell>
          <cell r="U2415">
            <v>0.65</v>
          </cell>
          <cell r="V2415">
            <v>0.8</v>
          </cell>
          <cell r="W2415">
            <v>0</v>
          </cell>
          <cell r="X2415" t="str">
            <v>EST POLTRONA OSCAR ESTAR (ESTOF) (MAD B COR 4) COURO CH 08 - 0,7x0,65x0,8H</v>
          </cell>
          <cell r="Y2415">
            <v>0</v>
          </cell>
          <cell r="Z2415">
            <v>0</v>
          </cell>
          <cell r="AA2415">
            <v>0</v>
          </cell>
          <cell r="AB2415"/>
        </row>
        <row r="2416">
          <cell r="C2416">
            <v>0</v>
          </cell>
          <cell r="D2416">
            <v>0</v>
          </cell>
          <cell r="E2416">
            <v>0</v>
          </cell>
          <cell r="F2416">
            <v>0</v>
          </cell>
          <cell r="H2416">
            <v>2</v>
          </cell>
          <cell r="O2416">
            <v>194011</v>
          </cell>
          <cell r="P2416"/>
          <cell r="Q2416" t="str">
            <v>EST POLTRONA OSCAR JANTAR (ESTOF) (MAD A COR 2) CH CASTOR</v>
          </cell>
          <cell r="R2416"/>
          <cell r="S2416"/>
          <cell r="T2416">
            <v>0.7</v>
          </cell>
          <cell r="U2416">
            <v>0.61</v>
          </cell>
          <cell r="V2416">
            <v>0.85</v>
          </cell>
          <cell r="W2416">
            <v>0</v>
          </cell>
          <cell r="X2416" t="str">
            <v>EST POLTRONA OSCAR JANTAR (ESTOF) (MAD A COR 2) CH CASTOR - 0,7x0,61x0,85H</v>
          </cell>
          <cell r="Y2416">
            <v>0</v>
          </cell>
          <cell r="Z2416">
            <v>0</v>
          </cell>
          <cell r="AA2416">
            <v>0</v>
          </cell>
          <cell r="AB2416"/>
        </row>
        <row r="2417">
          <cell r="C2417">
            <v>0</v>
          </cell>
          <cell r="D2417">
            <v>0</v>
          </cell>
          <cell r="E2417">
            <v>0</v>
          </cell>
          <cell r="F2417">
            <v>0</v>
          </cell>
          <cell r="H2417">
            <v>1</v>
          </cell>
          <cell r="O2417">
            <v>194031</v>
          </cell>
          <cell r="P2417"/>
          <cell r="Q2417" t="str">
            <v>EST MESA LATERAL CHEGA AQUI (LEQUE) (FREIJO) BS PRETA FSC</v>
          </cell>
          <cell r="R2417"/>
          <cell r="S2417"/>
          <cell r="T2417">
            <v>0.41</v>
          </cell>
          <cell r="U2417">
            <v>0</v>
          </cell>
          <cell r="V2417">
            <v>0.7</v>
          </cell>
          <cell r="W2417">
            <v>0.41</v>
          </cell>
          <cell r="X2417" t="str">
            <v>EST MESA LATERAL CHEGA AQUI (LEQUE) (FREIJO) BS PRETA FSC - Ø0,41x0,7H</v>
          </cell>
          <cell r="Y2417">
            <v>0</v>
          </cell>
          <cell r="Z2417">
            <v>0</v>
          </cell>
          <cell r="AA2417">
            <v>0</v>
          </cell>
          <cell r="AB2417"/>
        </row>
        <row r="2418">
          <cell r="C2418">
            <v>0</v>
          </cell>
          <cell r="D2418">
            <v>0</v>
          </cell>
          <cell r="E2418">
            <v>0</v>
          </cell>
          <cell r="F2418">
            <v>0</v>
          </cell>
          <cell r="H2418">
            <v>0</v>
          </cell>
          <cell r="O2418">
            <v>194032</v>
          </cell>
          <cell r="P2418"/>
          <cell r="Q2418" t="str">
            <v>EST MESA LATERAL CHEGA AQUI (LEQUE) (FREIJO) BS PRETA FSC</v>
          </cell>
          <cell r="R2418"/>
          <cell r="S2418"/>
          <cell r="T2418">
            <v>0.41</v>
          </cell>
          <cell r="U2418">
            <v>0</v>
          </cell>
          <cell r="V2418">
            <v>0.64</v>
          </cell>
          <cell r="W2418">
            <v>0.41</v>
          </cell>
          <cell r="X2418" t="str">
            <v>EST MESA LATERAL CHEGA AQUI (LEQUE) (FREIJO) BS PRETA FSC - Ø0,41x0,64H</v>
          </cell>
          <cell r="Y2418">
            <v>0</v>
          </cell>
          <cell r="Z2418">
            <v>0</v>
          </cell>
          <cell r="AA2418">
            <v>0</v>
          </cell>
          <cell r="AB2418"/>
        </row>
        <row r="2419">
          <cell r="C2419">
            <v>0</v>
          </cell>
          <cell r="D2419">
            <v>0</v>
          </cell>
          <cell r="E2419">
            <v>0</v>
          </cell>
          <cell r="F2419">
            <v>0</v>
          </cell>
          <cell r="H2419">
            <v>1</v>
          </cell>
          <cell r="O2419">
            <v>195616</v>
          </cell>
          <cell r="P2419"/>
          <cell r="Q2419" t="str">
            <v>EST CADEIRA MARESIAS S/BRACO (NAUTICA PRETA) (CUMARU POLIDO)</v>
          </cell>
          <cell r="R2419"/>
          <cell r="S2419"/>
          <cell r="T2419">
            <v>0.52</v>
          </cell>
          <cell r="U2419">
            <v>0.55000000000000004</v>
          </cell>
          <cell r="V2419">
            <v>0.83</v>
          </cell>
          <cell r="W2419">
            <v>0</v>
          </cell>
          <cell r="X2419" t="str">
            <v>EST CADEIRA MARESIAS S/BRACO (NAUTICA PRETA) (CUMARU POLIDO) - 0,52x0,55x0,83H</v>
          </cell>
          <cell r="Y2419">
            <v>0</v>
          </cell>
          <cell r="Z2419">
            <v>0</v>
          </cell>
          <cell r="AA2419">
            <v>0</v>
          </cell>
          <cell r="AB2419"/>
        </row>
        <row r="2420">
          <cell r="C2420">
            <v>0</v>
          </cell>
          <cell r="D2420">
            <v>0</v>
          </cell>
          <cell r="E2420">
            <v>0</v>
          </cell>
          <cell r="F2420">
            <v>0</v>
          </cell>
          <cell r="H2420">
            <v>2</v>
          </cell>
          <cell r="O2420">
            <v>195617</v>
          </cell>
          <cell r="P2420"/>
          <cell r="Q2420" t="str">
            <v>EST CADEIRA MARESIAS C/B (NAUTICA PRETA) (CUMARU POLIDO)</v>
          </cell>
          <cell r="R2420"/>
          <cell r="S2420"/>
          <cell r="T2420">
            <v>0.59</v>
          </cell>
          <cell r="U2420">
            <v>0.55000000000000004</v>
          </cell>
          <cell r="V2420">
            <v>0.82</v>
          </cell>
          <cell r="W2420">
            <v>0</v>
          </cell>
          <cell r="X2420" t="str">
            <v>EST CADEIRA MARESIAS C/B (NAUTICA PRETA) (CUMARU POLIDO) - 0,59x0,55x0,82H</v>
          </cell>
          <cell r="Y2420">
            <v>0</v>
          </cell>
          <cell r="Z2420">
            <v>0</v>
          </cell>
          <cell r="AA2420">
            <v>0</v>
          </cell>
          <cell r="AB2420"/>
        </row>
        <row r="2421">
          <cell r="C2421">
            <v>0</v>
          </cell>
          <cell r="D2421">
            <v>0</v>
          </cell>
          <cell r="E2421">
            <v>0</v>
          </cell>
          <cell r="F2421">
            <v>0</v>
          </cell>
          <cell r="H2421">
            <v>2</v>
          </cell>
          <cell r="O2421">
            <v>195618</v>
          </cell>
          <cell r="P2421"/>
          <cell r="Q2421" t="str">
            <v>EST POLTRONA MARESIAS (COURO MARROM) (CUMARU POLIDO)</v>
          </cell>
          <cell r="R2421"/>
          <cell r="S2421"/>
          <cell r="T2421">
            <v>0.63</v>
          </cell>
          <cell r="U2421">
            <v>0.72</v>
          </cell>
          <cell r="V2421">
            <v>0.82</v>
          </cell>
          <cell r="W2421">
            <v>0</v>
          </cell>
          <cell r="X2421" t="str">
            <v>EST POLTRONA MARESIAS (COURO MARROM) (CUMARU POLIDO) - 0,63x0,72x0,82H</v>
          </cell>
          <cell r="Y2421">
            <v>0</v>
          </cell>
          <cell r="Z2421">
            <v>0</v>
          </cell>
          <cell r="AA2421">
            <v>0</v>
          </cell>
          <cell r="AB2421"/>
        </row>
        <row r="2422">
          <cell r="C2422">
            <v>0</v>
          </cell>
          <cell r="D2422">
            <v>0</v>
          </cell>
          <cell r="E2422">
            <v>0</v>
          </cell>
          <cell r="F2422">
            <v>0</v>
          </cell>
          <cell r="H2422">
            <v>1</v>
          </cell>
          <cell r="O2422">
            <v>195988</v>
          </cell>
          <cell r="P2422"/>
          <cell r="Q2422" t="str">
            <v>EST MODULO PUFF LONA (FREIJO) TC LONA WASHED VERDE</v>
          </cell>
          <cell r="R2422"/>
          <cell r="S2422"/>
          <cell r="T2422">
            <v>0.86</v>
          </cell>
          <cell r="U2422">
            <v>0.86</v>
          </cell>
          <cell r="V2422">
            <v>0.38</v>
          </cell>
          <cell r="W2422">
            <v>0</v>
          </cell>
          <cell r="X2422" t="str">
            <v>EST MODULO PUFF LONA (FREIJO) TC LONA WASHED VERDE - 0,86x0,86x0,38H</v>
          </cell>
          <cell r="Y2422">
            <v>0</v>
          </cell>
          <cell r="Z2422">
            <v>0</v>
          </cell>
          <cell r="AA2422">
            <v>0</v>
          </cell>
          <cell r="AB2422"/>
        </row>
        <row r="2423">
          <cell r="C2423">
            <v>0</v>
          </cell>
          <cell r="D2423">
            <v>0</v>
          </cell>
          <cell r="E2423">
            <v>0</v>
          </cell>
          <cell r="F2423">
            <v>0</v>
          </cell>
          <cell r="H2423">
            <v>7</v>
          </cell>
          <cell r="O2423">
            <v>199817</v>
          </cell>
          <cell r="P2423"/>
          <cell r="Q2423" t="str">
            <v>EST MANCEBO STAND BY (BASE CONCRETO NATURAL) (PINHO RIGA)</v>
          </cell>
          <cell r="R2423"/>
          <cell r="S2423"/>
          <cell r="T2423">
            <v>0.2</v>
          </cell>
          <cell r="U2423">
            <v>0.33</v>
          </cell>
          <cell r="V2423">
            <v>1.75</v>
          </cell>
          <cell r="W2423">
            <v>0</v>
          </cell>
          <cell r="X2423" t="str">
            <v>EST MANCEBO STAND BY (BASE CONCRETO NATURAL) (PINHO RIGA) - 0,2x0,33x1,75H</v>
          </cell>
          <cell r="Y2423">
            <v>0</v>
          </cell>
          <cell r="Z2423">
            <v>0</v>
          </cell>
          <cell r="AA2423">
            <v>0</v>
          </cell>
          <cell r="AB2423"/>
        </row>
        <row r="2424">
          <cell r="C2424">
            <v>0</v>
          </cell>
          <cell r="D2424">
            <v>0</v>
          </cell>
          <cell r="E2424">
            <v>0</v>
          </cell>
          <cell r="F2424">
            <v>0</v>
          </cell>
          <cell r="H2424">
            <v>8</v>
          </cell>
          <cell r="O2424">
            <v>199818</v>
          </cell>
          <cell r="P2424"/>
          <cell r="Q2424" t="str">
            <v>EST MANCEBO STAND BY (BASE CONCRETO NATURAL) (IPE)</v>
          </cell>
          <cell r="R2424"/>
          <cell r="S2424"/>
          <cell r="T2424">
            <v>0.22</v>
          </cell>
          <cell r="U2424">
            <v>0.33</v>
          </cell>
          <cell r="V2424">
            <v>1.75</v>
          </cell>
          <cell r="W2424">
            <v>0</v>
          </cell>
          <cell r="X2424" t="str">
            <v>EST MANCEBO STAND BY (BASE CONCRETO NATURAL) (IPE) - 0,22x0,33x1,75H</v>
          </cell>
          <cell r="Y2424">
            <v>0</v>
          </cell>
          <cell r="Z2424">
            <v>0</v>
          </cell>
          <cell r="AA2424">
            <v>0</v>
          </cell>
          <cell r="AB2424"/>
        </row>
        <row r="2425">
          <cell r="C2425">
            <v>0</v>
          </cell>
          <cell r="D2425">
            <v>0</v>
          </cell>
          <cell r="E2425">
            <v>0</v>
          </cell>
          <cell r="F2425">
            <v>0</v>
          </cell>
          <cell r="H2425">
            <v>3</v>
          </cell>
          <cell r="O2425">
            <v>199819</v>
          </cell>
          <cell r="P2425"/>
          <cell r="Q2425" t="str">
            <v>EST MANCEBO STAND BY (BASE CONCRETO NATURAL) (FREIJO)</v>
          </cell>
          <cell r="R2425"/>
          <cell r="S2425"/>
          <cell r="T2425">
            <v>0.2</v>
          </cell>
          <cell r="U2425">
            <v>0.33</v>
          </cell>
          <cell r="V2425">
            <v>1.75</v>
          </cell>
          <cell r="W2425">
            <v>0</v>
          </cell>
          <cell r="X2425" t="str">
            <v>EST MANCEBO STAND BY (BASE CONCRETO NATURAL) (FREIJO) - 0,2x0,33x1,75H</v>
          </cell>
          <cell r="Y2425">
            <v>0</v>
          </cell>
          <cell r="Z2425">
            <v>0</v>
          </cell>
          <cell r="AA2425">
            <v>0</v>
          </cell>
          <cell r="AB2425"/>
        </row>
        <row r="2426">
          <cell r="C2426">
            <v>0</v>
          </cell>
          <cell r="D2426">
            <v>0</v>
          </cell>
          <cell r="E2426">
            <v>0</v>
          </cell>
          <cell r="F2426">
            <v>0</v>
          </cell>
          <cell r="H2426">
            <v>0</v>
          </cell>
          <cell r="O2426">
            <v>200296</v>
          </cell>
          <cell r="P2426"/>
          <cell r="Q2426" t="str">
            <v>EST POLTRONA TOBOGA</v>
          </cell>
          <cell r="R2426"/>
          <cell r="S2426"/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 t="str">
            <v>EST POLTRONA TOBOGA - Ø0x0H</v>
          </cell>
          <cell r="Y2426">
            <v>0</v>
          </cell>
          <cell r="Z2426">
            <v>0</v>
          </cell>
          <cell r="AA2426">
            <v>0</v>
          </cell>
          <cell r="AB2426"/>
        </row>
        <row r="2427">
          <cell r="C2427">
            <v>0</v>
          </cell>
          <cell r="D2427">
            <v>0</v>
          </cell>
          <cell r="E2427">
            <v>0</v>
          </cell>
          <cell r="F2427">
            <v>0</v>
          </cell>
          <cell r="H2427">
            <v>1</v>
          </cell>
          <cell r="O2427">
            <v>200603</v>
          </cell>
          <cell r="P2427"/>
          <cell r="Q2427" t="str">
            <v>EST BANCO GUI (01 ASS) (COURO ROSA/PELO BEGE) (INOX) JEQ</v>
          </cell>
          <cell r="R2427"/>
          <cell r="S2427"/>
          <cell r="T2427">
            <v>0.42</v>
          </cell>
          <cell r="U2427">
            <v>0.42</v>
          </cell>
          <cell r="V2427">
            <v>0.42</v>
          </cell>
          <cell r="W2427">
            <v>0</v>
          </cell>
          <cell r="X2427" t="str">
            <v>EST BANCO GUI (01 ASS) (COURO ROSA/PELO BEGE) (INOX) JEQ - 0,42x0,42x0,42H</v>
          </cell>
          <cell r="Y2427">
            <v>0</v>
          </cell>
          <cell r="Z2427">
            <v>0.5</v>
          </cell>
          <cell r="AA2427">
            <v>0</v>
          </cell>
          <cell r="AB2427"/>
        </row>
        <row r="2428">
          <cell r="C2428">
            <v>0</v>
          </cell>
          <cell r="D2428">
            <v>0</v>
          </cell>
          <cell r="E2428">
            <v>0</v>
          </cell>
          <cell r="F2428">
            <v>0</v>
          </cell>
          <cell r="H2428">
            <v>1</v>
          </cell>
          <cell r="O2428">
            <v>200607</v>
          </cell>
          <cell r="P2428"/>
          <cell r="Q2428" t="str">
            <v>EST BANCO GUI (01 ASS) (COURO AMARELO/PELO BEGE) (INOX) JEQ</v>
          </cell>
          <cell r="R2428"/>
          <cell r="S2428"/>
          <cell r="T2428">
            <v>0.42</v>
          </cell>
          <cell r="U2428">
            <v>0.42</v>
          </cell>
          <cell r="V2428">
            <v>0.42</v>
          </cell>
          <cell r="W2428">
            <v>0</v>
          </cell>
          <cell r="X2428" t="str">
            <v>EST BANCO GUI (01 ASS) (COURO AMARELO/PELO BEGE) (INOX) JEQ - 0,42x0,42x0,42H</v>
          </cell>
          <cell r="Y2428">
            <v>0</v>
          </cell>
          <cell r="Z2428">
            <v>0</v>
          </cell>
          <cell r="AA2428">
            <v>0</v>
          </cell>
          <cell r="AB2428"/>
        </row>
        <row r="2429">
          <cell r="C2429">
            <v>0</v>
          </cell>
          <cell r="D2429">
            <v>0</v>
          </cell>
          <cell r="E2429">
            <v>0</v>
          </cell>
          <cell r="F2429">
            <v>0</v>
          </cell>
          <cell r="H2429">
            <v>1</v>
          </cell>
          <cell r="O2429">
            <v>200608</v>
          </cell>
          <cell r="P2429"/>
          <cell r="Q2429" t="str">
            <v>EST BANCO GUI (01 ASS) (PELO PRETO/PELO PRETO) (INOX) JEQ</v>
          </cell>
          <cell r="R2429"/>
          <cell r="S2429"/>
          <cell r="T2429">
            <v>0.42</v>
          </cell>
          <cell r="U2429">
            <v>0.42</v>
          </cell>
          <cell r="V2429">
            <v>0.42</v>
          </cell>
          <cell r="W2429">
            <v>0</v>
          </cell>
          <cell r="X2429" t="str">
            <v>EST BANCO GUI (01 ASS) (PELO PRETO/PELO PRETO) (INOX) JEQ - 0,42x0,42x0,42H</v>
          </cell>
          <cell r="Y2429">
            <v>0</v>
          </cell>
          <cell r="Z2429">
            <v>0</v>
          </cell>
          <cell r="AA2429">
            <v>0</v>
          </cell>
          <cell r="AB2429"/>
        </row>
        <row r="2430">
          <cell r="C2430">
            <v>0</v>
          </cell>
          <cell r="D2430">
            <v>0</v>
          </cell>
          <cell r="E2430">
            <v>0</v>
          </cell>
          <cell r="F2430">
            <v>0</v>
          </cell>
          <cell r="H2430">
            <v>1</v>
          </cell>
          <cell r="O2430">
            <v>200733</v>
          </cell>
          <cell r="P2430"/>
          <cell r="Q2430" t="str">
            <v>EST CABIDEIRO ABAPORU (PADRAO) (LACA ACETINADA BRANCA)</v>
          </cell>
          <cell r="R2430"/>
          <cell r="S2430"/>
          <cell r="T2430">
            <v>0.65</v>
          </cell>
          <cell r="U2430">
            <v>0</v>
          </cell>
          <cell r="V2430">
            <v>1.6</v>
          </cell>
          <cell r="W2430">
            <v>0</v>
          </cell>
          <cell r="X2430" t="str">
            <v>EST CABIDEIRO ABAPORU (PADRAO) (LACA ACETINADA BRANCA) - Ø0x1,6H</v>
          </cell>
          <cell r="Y2430">
            <v>0</v>
          </cell>
          <cell r="Z2430">
            <v>0</v>
          </cell>
          <cell r="AA2430">
            <v>0</v>
          </cell>
          <cell r="AB2430"/>
        </row>
        <row r="2431">
          <cell r="C2431">
            <v>0</v>
          </cell>
          <cell r="D2431">
            <v>0</v>
          </cell>
          <cell r="E2431">
            <v>0</v>
          </cell>
          <cell r="F2431">
            <v>0</v>
          </cell>
          <cell r="H2431">
            <v>1</v>
          </cell>
          <cell r="O2431">
            <v>201024</v>
          </cell>
          <cell r="P2431"/>
          <cell r="Q2431" t="str">
            <v>EST LUMINARIA CONINHA (HASTE INOX) (CONCRETO BRANCO) CRU</v>
          </cell>
          <cell r="R2431"/>
          <cell r="S2431"/>
          <cell r="T2431">
            <v>0.36</v>
          </cell>
          <cell r="U2431">
            <v>0</v>
          </cell>
          <cell r="V2431">
            <v>0.65</v>
          </cell>
          <cell r="W2431">
            <v>0.36</v>
          </cell>
          <cell r="X2431" t="str">
            <v>EST LUMINARIA CONINHA (HASTE INOX) (CONCRETO BRANCO) CRU - Ø0,36x0,65H</v>
          </cell>
          <cell r="Y2431">
            <v>0</v>
          </cell>
          <cell r="Z2431">
            <v>0.5</v>
          </cell>
          <cell r="AA2431">
            <v>0</v>
          </cell>
          <cell r="AB2431"/>
        </row>
        <row r="2432">
          <cell r="C2432">
            <v>0</v>
          </cell>
          <cell r="D2432">
            <v>0</v>
          </cell>
          <cell r="E2432">
            <v>0</v>
          </cell>
          <cell r="F2432">
            <v>0</v>
          </cell>
          <cell r="H2432">
            <v>1</v>
          </cell>
          <cell r="O2432">
            <v>201025</v>
          </cell>
          <cell r="P2432"/>
          <cell r="Q2432" t="str">
            <v>EST LUMINARIA CONINHA (HASTE PRETA) (CONCRETO PRETO) CRU</v>
          </cell>
          <cell r="R2432"/>
          <cell r="S2432"/>
          <cell r="T2432">
            <v>0.36</v>
          </cell>
          <cell r="U2432">
            <v>0</v>
          </cell>
          <cell r="V2432">
            <v>0.65</v>
          </cell>
          <cell r="W2432">
            <v>0.36</v>
          </cell>
          <cell r="X2432" t="str">
            <v>EST LUMINARIA CONINHA (HASTE PRETA) (CONCRETO PRETO) CRU - Ø0,36x0,65H</v>
          </cell>
          <cell r="Y2432">
            <v>0</v>
          </cell>
          <cell r="Z2432">
            <v>0</v>
          </cell>
          <cell r="AA2432">
            <v>0</v>
          </cell>
          <cell r="AB2432"/>
        </row>
        <row r="2433">
          <cell r="C2433">
            <v>0</v>
          </cell>
          <cell r="D2433">
            <v>0</v>
          </cell>
          <cell r="E2433">
            <v>0</v>
          </cell>
          <cell r="F2433">
            <v>0</v>
          </cell>
          <cell r="H2433">
            <v>0</v>
          </cell>
          <cell r="O2433">
            <v>201026</v>
          </cell>
          <cell r="P2433"/>
          <cell r="Q2433" t="str">
            <v>EST LUMINARIA CONINHA (HASTE INOX) (CONCRETO NATURAL) CRU</v>
          </cell>
          <cell r="R2433"/>
          <cell r="S2433"/>
          <cell r="T2433">
            <v>0.36</v>
          </cell>
          <cell r="U2433">
            <v>0</v>
          </cell>
          <cell r="V2433">
            <v>0.65</v>
          </cell>
          <cell r="W2433">
            <v>0.36</v>
          </cell>
          <cell r="X2433" t="str">
            <v>EST LUMINARIA CONINHA (HASTE INOX) (CONCRETO NATURAL) CRU - Ø0,36x0,65H</v>
          </cell>
          <cell r="Y2433">
            <v>0</v>
          </cell>
          <cell r="Z2433">
            <v>0.5</v>
          </cell>
          <cell r="AA2433">
            <v>0</v>
          </cell>
          <cell r="AB2433"/>
        </row>
        <row r="2434">
          <cell r="C2434">
            <v>0</v>
          </cell>
          <cell r="D2434">
            <v>0</v>
          </cell>
          <cell r="E2434">
            <v>0</v>
          </cell>
          <cell r="F2434">
            <v>0</v>
          </cell>
          <cell r="H2434">
            <v>1</v>
          </cell>
          <cell r="O2434">
            <v>201264</v>
          </cell>
          <cell r="P2434"/>
          <cell r="Q2434" t="str">
            <v>EST MESA JANTAR AERO (NOGUEIRA) (PRETO MTZ)</v>
          </cell>
          <cell r="R2434"/>
          <cell r="S2434"/>
          <cell r="T2434">
            <v>3</v>
          </cell>
          <cell r="U2434">
            <v>1.2</v>
          </cell>
          <cell r="V2434">
            <v>0.74</v>
          </cell>
          <cell r="W2434">
            <v>0</v>
          </cell>
          <cell r="X2434" t="str">
            <v>EST MESA JANTAR AERO (NOGUEIRA) (PRETO MTZ) - 3x1,2x0,74H</v>
          </cell>
          <cell r="Y2434">
            <v>0</v>
          </cell>
          <cell r="Z2434">
            <v>0.5</v>
          </cell>
          <cell r="AA2434">
            <v>0</v>
          </cell>
          <cell r="AB2434"/>
        </row>
        <row r="2435">
          <cell r="C2435">
            <v>0</v>
          </cell>
          <cell r="D2435">
            <v>0</v>
          </cell>
          <cell r="E2435">
            <v>0</v>
          </cell>
          <cell r="F2435">
            <v>0</v>
          </cell>
          <cell r="H2435">
            <v>1</v>
          </cell>
          <cell r="O2435">
            <v>201271</v>
          </cell>
          <cell r="P2435"/>
          <cell r="Q2435" t="str">
            <v>EST BANCO PREGUICA (MADEIRA FREIJO NATURAL)</v>
          </cell>
          <cell r="R2435"/>
          <cell r="S2435"/>
          <cell r="T2435">
            <v>1.4</v>
          </cell>
          <cell r="U2435">
            <v>0.35</v>
          </cell>
          <cell r="V2435">
            <v>0.4</v>
          </cell>
          <cell r="W2435">
            <v>0</v>
          </cell>
          <cell r="X2435" t="str">
            <v>EST BANCO PREGUICA (MADEIRA FREIJO NATURAL) - 1,4x0,35x0,4H</v>
          </cell>
          <cell r="Y2435">
            <v>0</v>
          </cell>
          <cell r="Z2435">
            <v>0</v>
          </cell>
          <cell r="AA2435">
            <v>0</v>
          </cell>
          <cell r="AB2435"/>
        </row>
        <row r="2436">
          <cell r="C2436">
            <v>0</v>
          </cell>
          <cell r="D2436">
            <v>0</v>
          </cell>
          <cell r="E2436">
            <v>0</v>
          </cell>
          <cell r="F2436">
            <v>0</v>
          </cell>
          <cell r="H2436">
            <v>2</v>
          </cell>
          <cell r="O2436">
            <v>203244</v>
          </cell>
          <cell r="P2436"/>
          <cell r="Q2436" t="str">
            <v>EST BANCO OSSO (EXTERNO LACA F100/INTERNO MADEIRA CEDRO)</v>
          </cell>
          <cell r="R2436"/>
          <cell r="S2436"/>
          <cell r="T2436">
            <v>2</v>
          </cell>
          <cell r="U2436">
            <v>0.5</v>
          </cell>
          <cell r="V2436">
            <v>0.4</v>
          </cell>
          <cell r="W2436">
            <v>0</v>
          </cell>
          <cell r="X2436" t="str">
            <v>EST BANCO OSSO (EXTERNO LACA F100/INTERNO MADEIRA CEDRO) - 2x0,5x0,4H</v>
          </cell>
          <cell r="Y2436">
            <v>0</v>
          </cell>
          <cell r="Z2436">
            <v>0</v>
          </cell>
          <cell r="AA2436">
            <v>0</v>
          </cell>
          <cell r="AB2436"/>
        </row>
        <row r="2437">
          <cell r="C2437">
            <v>0</v>
          </cell>
          <cell r="D2437">
            <v>0</v>
          </cell>
          <cell r="E2437">
            <v>0</v>
          </cell>
          <cell r="F2437">
            <v>0</v>
          </cell>
          <cell r="H2437">
            <v>0</v>
          </cell>
          <cell r="O2437">
            <v>203300</v>
          </cell>
          <cell r="P2437"/>
          <cell r="Q2437" t="str">
            <v>EST BASE JANTAR CONE (TAMPO FORN) (CONCRETO)</v>
          </cell>
          <cell r="R2437"/>
          <cell r="S2437"/>
          <cell r="T2437">
            <v>0.55000000000000004</v>
          </cell>
          <cell r="U2437">
            <v>0</v>
          </cell>
          <cell r="V2437">
            <v>0</v>
          </cell>
          <cell r="W2437">
            <v>0</v>
          </cell>
          <cell r="X2437" t="str">
            <v>EST BASE JANTAR CONE (TAMPO FORN) (CONCRETO) - Ø0x0H</v>
          </cell>
          <cell r="Y2437">
            <v>0</v>
          </cell>
          <cell r="Z2437">
            <v>0.5</v>
          </cell>
          <cell r="AA2437">
            <v>0</v>
          </cell>
          <cell r="AB2437"/>
        </row>
        <row r="2438">
          <cell r="C2438">
            <v>0</v>
          </cell>
          <cell r="D2438">
            <v>0</v>
          </cell>
          <cell r="E2438">
            <v>0</v>
          </cell>
          <cell r="F2438">
            <v>0</v>
          </cell>
          <cell r="H2438">
            <v>1</v>
          </cell>
          <cell r="O2438">
            <v>203385</v>
          </cell>
          <cell r="P2438"/>
          <cell r="Q2438" t="str">
            <v>EST MESA LATERAL LEVE (INOX ACET) PORCELANATO STEEL CORTEN</v>
          </cell>
          <cell r="R2438"/>
          <cell r="S2438"/>
          <cell r="T2438">
            <v>0.6</v>
          </cell>
          <cell r="U2438">
            <v>0.6</v>
          </cell>
          <cell r="V2438">
            <v>0.6</v>
          </cell>
          <cell r="W2438">
            <v>0</v>
          </cell>
          <cell r="X2438" t="str">
            <v>EST MESA LATERAL LEVE (INOX ACET) PORCELANATO STEEL CORTEN - 0,6x0,6x0,6H</v>
          </cell>
          <cell r="Y2438">
            <v>0</v>
          </cell>
          <cell r="Z2438">
            <v>0</v>
          </cell>
          <cell r="AA2438">
            <v>0</v>
          </cell>
          <cell r="AB2438"/>
        </row>
        <row r="2439">
          <cell r="C2439">
            <v>0</v>
          </cell>
          <cell r="D2439">
            <v>0</v>
          </cell>
          <cell r="E2439">
            <v>0</v>
          </cell>
          <cell r="F2439">
            <v>0</v>
          </cell>
          <cell r="H2439">
            <v>6</v>
          </cell>
          <cell r="O2439">
            <v>203634</v>
          </cell>
          <cell r="P2439"/>
          <cell r="Q2439" t="str">
            <v>EST MANCEBO STAND BY (BASE CONCRET GRAFITE) (PINHO RIGA)</v>
          </cell>
          <cell r="R2439"/>
          <cell r="S2439"/>
          <cell r="T2439">
            <v>0.2</v>
          </cell>
          <cell r="U2439">
            <v>0.33</v>
          </cell>
          <cell r="V2439">
            <v>1.75</v>
          </cell>
          <cell r="W2439">
            <v>0</v>
          </cell>
          <cell r="X2439" t="str">
            <v>EST MANCEBO STAND BY (BASE CONCRET GRAFITE) (PINHO RIGA) - 0,2x0,33x1,75H</v>
          </cell>
          <cell r="Y2439">
            <v>0</v>
          </cell>
          <cell r="Z2439">
            <v>0</v>
          </cell>
          <cell r="AA2439">
            <v>0</v>
          </cell>
          <cell r="AB2439"/>
        </row>
        <row r="2440">
          <cell r="C2440">
            <v>0</v>
          </cell>
          <cell r="D2440">
            <v>0</v>
          </cell>
          <cell r="E2440">
            <v>0</v>
          </cell>
          <cell r="F2440">
            <v>0</v>
          </cell>
          <cell r="H2440">
            <v>6</v>
          </cell>
          <cell r="O2440">
            <v>203635</v>
          </cell>
          <cell r="P2440"/>
          <cell r="Q2440" t="str">
            <v>EST MANCEBO STAND BY (BASE CONCRETO GRAFITE) (IPE)</v>
          </cell>
          <cell r="R2440"/>
          <cell r="S2440"/>
          <cell r="T2440">
            <v>0.2</v>
          </cell>
          <cell r="U2440">
            <v>0.33</v>
          </cell>
          <cell r="V2440">
            <v>1.75</v>
          </cell>
          <cell r="W2440">
            <v>0</v>
          </cell>
          <cell r="X2440" t="str">
            <v>EST MANCEBO STAND BY (BASE CONCRETO GRAFITE) (IPE) - 0,2x0,33x1,75H</v>
          </cell>
          <cell r="Y2440">
            <v>0</v>
          </cell>
          <cell r="Z2440">
            <v>0</v>
          </cell>
          <cell r="AA2440">
            <v>0</v>
          </cell>
          <cell r="AB2440"/>
        </row>
        <row r="2441">
          <cell r="C2441">
            <v>0</v>
          </cell>
          <cell r="D2441">
            <v>0</v>
          </cell>
          <cell r="E2441">
            <v>0</v>
          </cell>
          <cell r="F2441">
            <v>0</v>
          </cell>
          <cell r="H2441">
            <v>8</v>
          </cell>
          <cell r="O2441">
            <v>203636</v>
          </cell>
          <cell r="P2441"/>
          <cell r="Q2441" t="str">
            <v>EST MANCEBO STAND BY (BASE CONCRETO GRAFITE) (FREIJO)</v>
          </cell>
          <cell r="R2441"/>
          <cell r="S2441"/>
          <cell r="T2441">
            <v>0.2</v>
          </cell>
          <cell r="U2441">
            <v>0.33</v>
          </cell>
          <cell r="V2441">
            <v>1.75</v>
          </cell>
          <cell r="W2441">
            <v>0</v>
          </cell>
          <cell r="X2441" t="str">
            <v>EST MANCEBO STAND BY (BASE CONCRETO GRAFITE) (FREIJO) - 0,2x0,33x1,75H</v>
          </cell>
          <cell r="Y2441">
            <v>0</v>
          </cell>
          <cell r="Z2441">
            <v>0</v>
          </cell>
          <cell r="AA2441">
            <v>0</v>
          </cell>
          <cell r="AB2441"/>
        </row>
        <row r="2442">
          <cell r="C2442">
            <v>0</v>
          </cell>
          <cell r="D2442">
            <v>0</v>
          </cell>
          <cell r="E2442">
            <v>0</v>
          </cell>
          <cell r="F2442">
            <v>0</v>
          </cell>
          <cell r="H2442">
            <v>0</v>
          </cell>
          <cell r="O2442">
            <v>204059</v>
          </cell>
          <cell r="P2442"/>
          <cell r="Q2442" t="str">
            <v>EST MESA LATERAL CONINHA (CONCRETO) (TPO METAL AMARELO OURO)</v>
          </cell>
          <cell r="R2442"/>
          <cell r="S2442"/>
          <cell r="T2442">
            <v>0.35</v>
          </cell>
          <cell r="U2442">
            <v>0</v>
          </cell>
          <cell r="V2442">
            <v>0.48</v>
          </cell>
          <cell r="W2442">
            <v>0.35</v>
          </cell>
          <cell r="X2442" t="str">
            <v>EST MESA LATERAL CONINHA (CONCRETO) (TPO METAL AMARELO OURO) - Ø0,35x0,48H</v>
          </cell>
          <cell r="Y2442">
            <v>0</v>
          </cell>
          <cell r="Z2442">
            <v>0.5</v>
          </cell>
          <cell r="AA2442">
            <v>0</v>
          </cell>
          <cell r="AB2442"/>
        </row>
        <row r="2443">
          <cell r="C2443">
            <v>0</v>
          </cell>
          <cell r="D2443">
            <v>0</v>
          </cell>
          <cell r="E2443">
            <v>0</v>
          </cell>
          <cell r="F2443">
            <v>0</v>
          </cell>
          <cell r="H2443">
            <v>2</v>
          </cell>
          <cell r="O2443">
            <v>204380</v>
          </cell>
          <cell r="P2443"/>
          <cell r="Q2443" t="str">
            <v>EST POLTRONA BENJAMIN S/SELO (FREIJO NATURAL) CAMURCA TABACO</v>
          </cell>
          <cell r="R2443"/>
          <cell r="S2443"/>
          <cell r="T2443">
            <v>0.92</v>
          </cell>
          <cell r="U2443">
            <v>0.9</v>
          </cell>
          <cell r="V2443">
            <v>0.92</v>
          </cell>
          <cell r="W2443">
            <v>0</v>
          </cell>
          <cell r="X2443" t="str">
            <v>EST POLTRONA BENJAMIN S/SELO (FREIJO NATURAL) CAMURCA TABACO - 0,92x0,9x0,92H</v>
          </cell>
          <cell r="Y2443">
            <v>0</v>
          </cell>
          <cell r="Z2443">
            <v>0</v>
          </cell>
          <cell r="AA2443">
            <v>0</v>
          </cell>
          <cell r="AB2443"/>
        </row>
        <row r="2444">
          <cell r="C2444">
            <v>0</v>
          </cell>
          <cell r="D2444">
            <v>0</v>
          </cell>
          <cell r="E2444">
            <v>0</v>
          </cell>
          <cell r="F2444">
            <v>0</v>
          </cell>
          <cell r="H2444">
            <v>3</v>
          </cell>
          <cell r="O2444">
            <v>204387</v>
          </cell>
          <cell r="P2444"/>
          <cell r="Q2444" t="str">
            <v>EST MESA LATERAL CAE (FREIJO NATURAL)</v>
          </cell>
          <cell r="R2444"/>
          <cell r="S2444"/>
          <cell r="T2444">
            <v>0.8</v>
          </cell>
          <cell r="U2444">
            <v>0.54</v>
          </cell>
          <cell r="V2444">
            <v>0.52</v>
          </cell>
          <cell r="W2444">
            <v>0</v>
          </cell>
          <cell r="X2444" t="str">
            <v>EST MESA LATERAL CAE (FREIJO NATURAL) - 0,8x0,54x0,52H</v>
          </cell>
          <cell r="Y2444">
            <v>0</v>
          </cell>
          <cell r="Z2444">
            <v>0</v>
          </cell>
          <cell r="AA2444">
            <v>0</v>
          </cell>
          <cell r="AB2444"/>
        </row>
        <row r="2445">
          <cell r="C2445">
            <v>0</v>
          </cell>
          <cell r="D2445">
            <v>0</v>
          </cell>
          <cell r="E2445">
            <v>0</v>
          </cell>
          <cell r="F2445">
            <v>0</v>
          </cell>
          <cell r="H2445">
            <v>1</v>
          </cell>
          <cell r="O2445">
            <v>204784</v>
          </cell>
          <cell r="P2445"/>
          <cell r="Q2445" t="str">
            <v>EST POLTRONA SAND (MAD A TAUARI ENV) TC LONA LISTRA CRU/AZUL</v>
          </cell>
          <cell r="R2445"/>
          <cell r="S2445"/>
          <cell r="T2445">
            <v>0.8</v>
          </cell>
          <cell r="U2445">
            <v>0.86</v>
          </cell>
          <cell r="V2445">
            <v>0.76</v>
          </cell>
          <cell r="W2445">
            <v>0</v>
          </cell>
          <cell r="X2445" t="str">
            <v>EST POLTRONA SAND (MAD A TAUARI ENV) TC LONA LISTRA CRU/AZUL - 0,8x0,86x0,76H</v>
          </cell>
          <cell r="Y2445">
            <v>0</v>
          </cell>
          <cell r="Z2445">
            <v>0.5</v>
          </cell>
          <cell r="AA2445">
            <v>0</v>
          </cell>
          <cell r="AB2445"/>
        </row>
        <row r="2446">
          <cell r="C2446">
            <v>0</v>
          </cell>
          <cell r="D2446">
            <v>0</v>
          </cell>
          <cell r="E2446">
            <v>0</v>
          </cell>
          <cell r="F2446">
            <v>0</v>
          </cell>
          <cell r="H2446">
            <v>1</v>
          </cell>
          <cell r="O2446">
            <v>204884</v>
          </cell>
          <cell r="P2446"/>
          <cell r="Q2446" t="str">
            <v>EST POLTRONA SAND (MAD A TAUARI ENV) TC BOUCLE NATURAL</v>
          </cell>
          <cell r="R2446"/>
          <cell r="S2446"/>
          <cell r="T2446">
            <v>0.8</v>
          </cell>
          <cell r="U2446">
            <v>0.86</v>
          </cell>
          <cell r="V2446">
            <v>0.76</v>
          </cell>
          <cell r="W2446">
            <v>0</v>
          </cell>
          <cell r="X2446" t="str">
            <v>EST POLTRONA SAND (MAD A TAUARI ENV) TC BOUCLE NATURAL - 0,8x0,86x0,76H</v>
          </cell>
          <cell r="Y2446">
            <v>0</v>
          </cell>
          <cell r="Z2446">
            <v>0</v>
          </cell>
          <cell r="AA2446">
            <v>0</v>
          </cell>
          <cell r="AB2446"/>
        </row>
        <row r="2447">
          <cell r="C2447">
            <v>0</v>
          </cell>
          <cell r="D2447">
            <v>0</v>
          </cell>
          <cell r="E2447">
            <v>0</v>
          </cell>
          <cell r="F2447">
            <v>0</v>
          </cell>
          <cell r="H2447">
            <v>2</v>
          </cell>
          <cell r="O2447">
            <v>204970</v>
          </cell>
          <cell r="P2447"/>
          <cell r="Q2447" t="str">
            <v>EST MESA CENTRO PICK (CATUABA)  (CONCRETO NATURAL)</v>
          </cell>
          <cell r="R2447"/>
          <cell r="S2447"/>
          <cell r="T2447">
            <v>1.94</v>
          </cell>
          <cell r="U2447">
            <v>1.04</v>
          </cell>
          <cell r="V2447">
            <v>0.35</v>
          </cell>
          <cell r="W2447">
            <v>0</v>
          </cell>
          <cell r="X2447" t="str">
            <v>EST MESA CENTRO PICK (CATUABA)  (CONCRETO NATURAL) - 1,94x1,04x0,35H</v>
          </cell>
          <cell r="Y2447">
            <v>0</v>
          </cell>
          <cell r="Z2447">
            <v>0.5</v>
          </cell>
          <cell r="AA2447">
            <v>0</v>
          </cell>
          <cell r="AB2447"/>
        </row>
        <row r="2448">
          <cell r="C2448">
            <v>0</v>
          </cell>
          <cell r="D2448">
            <v>0</v>
          </cell>
          <cell r="E2448">
            <v>0</v>
          </cell>
          <cell r="F2448">
            <v>0</v>
          </cell>
          <cell r="H2448">
            <v>0</v>
          </cell>
          <cell r="O2448">
            <v>205139</v>
          </cell>
          <cell r="P2448"/>
          <cell r="Q2448" t="str">
            <v>EST CABIDEIRO ABAPORU (PADRAO) (FREIJO NATURAL)</v>
          </cell>
          <cell r="R2448"/>
          <cell r="S2448"/>
          <cell r="T2448">
            <v>0.65</v>
          </cell>
          <cell r="U2448">
            <v>0</v>
          </cell>
          <cell r="V2448">
            <v>1.6</v>
          </cell>
          <cell r="W2448">
            <v>0.65</v>
          </cell>
          <cell r="X2448" t="str">
            <v>EST CABIDEIRO ABAPORU (PADRAO) (FREIJO NATURAL) - Ø0,65x1,6H</v>
          </cell>
          <cell r="Y2448">
            <v>0</v>
          </cell>
          <cell r="Z2448">
            <v>0.5</v>
          </cell>
          <cell r="AA2448">
            <v>0</v>
          </cell>
          <cell r="AB2448"/>
        </row>
        <row r="2449">
          <cell r="C2449">
            <v>0</v>
          </cell>
          <cell r="D2449">
            <v>0</v>
          </cell>
          <cell r="E2449">
            <v>0</v>
          </cell>
          <cell r="F2449">
            <v>0</v>
          </cell>
          <cell r="H2449">
            <v>1</v>
          </cell>
          <cell r="O2449">
            <v>206194</v>
          </cell>
          <cell r="P2449"/>
          <cell r="Q2449" t="str">
            <v>EST BANCO TAIPA</v>
          </cell>
          <cell r="R2449"/>
          <cell r="S2449"/>
          <cell r="T2449">
            <v>2.4</v>
          </cell>
          <cell r="U2449">
            <v>0.5</v>
          </cell>
          <cell r="V2449">
            <v>0.45</v>
          </cell>
          <cell r="W2449">
            <v>0</v>
          </cell>
          <cell r="X2449" t="str">
            <v>EST BANCO TAIPA - 2,4x0,5x0,45H</v>
          </cell>
          <cell r="Y2449">
            <v>0</v>
          </cell>
          <cell r="Z2449">
            <v>0</v>
          </cell>
          <cell r="AA2449">
            <v>0</v>
          </cell>
          <cell r="AB2449"/>
        </row>
        <row r="2450">
          <cell r="C2450">
            <v>0</v>
          </cell>
          <cell r="D2450">
            <v>0</v>
          </cell>
          <cell r="E2450">
            <v>0</v>
          </cell>
          <cell r="F2450">
            <v>0</v>
          </cell>
          <cell r="H2450">
            <v>1</v>
          </cell>
          <cell r="O2450">
            <v>206557</v>
          </cell>
          <cell r="P2450"/>
          <cell r="Q2450" t="str">
            <v>EST BANCO CAIPIRA (IPE)</v>
          </cell>
          <cell r="R2450"/>
          <cell r="S2450"/>
          <cell r="T2450">
            <v>0.42</v>
          </cell>
          <cell r="U2450">
            <v>0.36</v>
          </cell>
          <cell r="V2450">
            <v>0.47</v>
          </cell>
          <cell r="W2450">
            <v>0</v>
          </cell>
          <cell r="X2450" t="str">
            <v>EST BANCO CAIPIRA (IPE) - 0,42x0,36x0,47H</v>
          </cell>
          <cell r="Y2450">
            <v>0</v>
          </cell>
          <cell r="Z2450">
            <v>0</v>
          </cell>
          <cell r="AA2450">
            <v>0</v>
          </cell>
          <cell r="AB2450"/>
        </row>
        <row r="2451">
          <cell r="C2451">
            <v>0</v>
          </cell>
          <cell r="D2451">
            <v>0</v>
          </cell>
          <cell r="E2451">
            <v>0</v>
          </cell>
          <cell r="F2451">
            <v>0</v>
          </cell>
          <cell r="H2451">
            <v>1</v>
          </cell>
          <cell r="O2451">
            <v>206558</v>
          </cell>
          <cell r="P2451"/>
          <cell r="Q2451" t="str">
            <v>EST BANCO CAIPIRA CACHORRO (IPE)</v>
          </cell>
          <cell r="R2451"/>
          <cell r="S2451"/>
          <cell r="T2451">
            <v>2</v>
          </cell>
          <cell r="U2451">
            <v>0.36</v>
          </cell>
          <cell r="V2451">
            <v>0.45</v>
          </cell>
          <cell r="W2451">
            <v>0</v>
          </cell>
          <cell r="X2451" t="str">
            <v>EST BANCO CAIPIRA CACHORRO (IPE) - 2x0,36x0,45H</v>
          </cell>
          <cell r="Y2451">
            <v>0</v>
          </cell>
          <cell r="Z2451">
            <v>0</v>
          </cell>
          <cell r="AA2451">
            <v>0</v>
          </cell>
          <cell r="AB2451"/>
        </row>
        <row r="2452">
          <cell r="C2452" t="e">
            <v>#N/A</v>
          </cell>
          <cell r="D2452" t="e">
            <v>#N/A</v>
          </cell>
          <cell r="E2452" t="e">
            <v>#N/A</v>
          </cell>
          <cell r="F2452" t="e">
            <v>#N/A</v>
          </cell>
          <cell r="H2452" t="e">
            <v>#N/A</v>
          </cell>
          <cell r="O2452">
            <v>206645</v>
          </cell>
          <cell r="P2452"/>
          <cell r="Q2452" t="e">
            <v>#N/A</v>
          </cell>
          <cell r="R2452"/>
          <cell r="S2452"/>
          <cell r="T2452" t="e">
            <v>#N/A</v>
          </cell>
          <cell r="U2452" t="e">
            <v>#N/A</v>
          </cell>
          <cell r="V2452" t="e">
            <v>#N/A</v>
          </cell>
          <cell r="W2452" t="e">
            <v>#N/A</v>
          </cell>
          <cell r="X2452" t="e">
            <v>#N/A</v>
          </cell>
          <cell r="Y2452">
            <v>0</v>
          </cell>
          <cell r="Z2452">
            <v>0</v>
          </cell>
          <cell r="AA2452">
            <v>0</v>
          </cell>
          <cell r="AB2452"/>
        </row>
        <row r="2453">
          <cell r="C2453">
            <v>0</v>
          </cell>
          <cell r="D2453">
            <v>0</v>
          </cell>
          <cell r="E2453">
            <v>0</v>
          </cell>
          <cell r="F2453">
            <v>0</v>
          </cell>
          <cell r="H2453">
            <v>0</v>
          </cell>
          <cell r="O2453">
            <v>206688</v>
          </cell>
          <cell r="P2453"/>
          <cell r="Q2453" t="str">
            <v>EST MESA BISTRO CONINHA (BASE CONCRETO PTO) (TPO METAL PTO)</v>
          </cell>
          <cell r="R2453"/>
          <cell r="S2453"/>
          <cell r="T2453">
            <v>0.5</v>
          </cell>
          <cell r="U2453">
            <v>0</v>
          </cell>
          <cell r="V2453">
            <v>1.04</v>
          </cell>
          <cell r="W2453">
            <v>0</v>
          </cell>
          <cell r="X2453" t="str">
            <v>EST MESA BISTRO CONINHA (BASE CONCRETO PTO) (TPO METAL PTO) - Ø0x1,04H</v>
          </cell>
          <cell r="Y2453">
            <v>0</v>
          </cell>
          <cell r="Z2453">
            <v>0.5</v>
          </cell>
          <cell r="AA2453">
            <v>0</v>
          </cell>
          <cell r="AB2453"/>
        </row>
        <row r="2454">
          <cell r="C2454">
            <v>0</v>
          </cell>
          <cell r="D2454">
            <v>0</v>
          </cell>
          <cell r="E2454">
            <v>0</v>
          </cell>
          <cell r="F2454">
            <v>0</v>
          </cell>
          <cell r="H2454">
            <v>3</v>
          </cell>
          <cell r="O2454">
            <v>206699</v>
          </cell>
          <cell r="P2454"/>
          <cell r="Q2454" t="str">
            <v>EST MESA LATERAL CONINHA (BASE ARGILA) (TPO METAL PTO FSC)</v>
          </cell>
          <cell r="R2454"/>
          <cell r="S2454"/>
          <cell r="T2454">
            <v>0.35</v>
          </cell>
          <cell r="U2454">
            <v>0</v>
          </cell>
          <cell r="V2454">
            <v>0.48</v>
          </cell>
          <cell r="W2454">
            <v>0.35</v>
          </cell>
          <cell r="X2454" t="str">
            <v>EST MESA LATERAL CONINHA (BASE ARGILA) (TPO METAL PTO FSC) - Ø0,35x0,48H</v>
          </cell>
          <cell r="Y2454">
            <v>0</v>
          </cell>
          <cell r="Z2454">
            <v>0</v>
          </cell>
          <cell r="AA2454">
            <v>0</v>
          </cell>
          <cell r="AB2454"/>
        </row>
        <row r="2455">
          <cell r="C2455">
            <v>0</v>
          </cell>
          <cell r="D2455">
            <v>0</v>
          </cell>
          <cell r="E2455">
            <v>0</v>
          </cell>
          <cell r="F2455">
            <v>0</v>
          </cell>
          <cell r="H2455">
            <v>1</v>
          </cell>
          <cell r="O2455">
            <v>206700</v>
          </cell>
          <cell r="P2455"/>
          <cell r="Q2455" t="str">
            <v>EST MESA LATERAL CONINHA (BASE ARGILA) (TPO METAL PTO FSC)</v>
          </cell>
          <cell r="R2455"/>
          <cell r="S2455"/>
          <cell r="T2455">
            <v>0.35</v>
          </cell>
          <cell r="U2455">
            <v>0</v>
          </cell>
          <cell r="V2455">
            <v>0.56000000000000005</v>
          </cell>
          <cell r="W2455">
            <v>0.35</v>
          </cell>
          <cell r="X2455" t="str">
            <v>EST MESA LATERAL CONINHA (BASE ARGILA) (TPO METAL PTO FSC) - Ø0,35x0,56H</v>
          </cell>
          <cell r="Y2455">
            <v>0</v>
          </cell>
          <cell r="Z2455">
            <v>0</v>
          </cell>
          <cell r="AA2455">
            <v>0</v>
          </cell>
          <cell r="AB2455"/>
        </row>
        <row r="2456">
          <cell r="C2456">
            <v>0</v>
          </cell>
          <cell r="D2456">
            <v>0</v>
          </cell>
          <cell r="E2456">
            <v>0</v>
          </cell>
          <cell r="F2456">
            <v>0</v>
          </cell>
          <cell r="H2456">
            <v>1</v>
          </cell>
          <cell r="O2456">
            <v>206703</v>
          </cell>
          <cell r="P2456"/>
          <cell r="Q2456" t="str">
            <v>EST POLTRONA MARESIAS (NAUTICA PRETA) (CUMARU POLIDO)</v>
          </cell>
          <cell r="R2456"/>
          <cell r="S2456"/>
          <cell r="T2456">
            <v>0.63</v>
          </cell>
          <cell r="U2456">
            <v>0.72</v>
          </cell>
          <cell r="V2456">
            <v>0.82</v>
          </cell>
          <cell r="W2456">
            <v>0</v>
          </cell>
          <cell r="X2456" t="str">
            <v>EST POLTRONA MARESIAS (NAUTICA PRETA) (CUMARU POLIDO) - 0,63x0,72x0,82H</v>
          </cell>
          <cell r="Y2456">
            <v>0</v>
          </cell>
          <cell r="Z2456">
            <v>0</v>
          </cell>
          <cell r="AA2456">
            <v>0</v>
          </cell>
          <cell r="AB2456"/>
        </row>
        <row r="2457">
          <cell r="C2457">
            <v>0</v>
          </cell>
          <cell r="D2457">
            <v>0</v>
          </cell>
          <cell r="E2457">
            <v>0</v>
          </cell>
          <cell r="F2457">
            <v>0</v>
          </cell>
          <cell r="H2457">
            <v>1</v>
          </cell>
          <cell r="O2457">
            <v>206710</v>
          </cell>
          <cell r="P2457"/>
          <cell r="Q2457" t="str">
            <v>EST MESA CENTRO BUMERANGUE (CABREUVA) (BASE PRETO FOSCO)</v>
          </cell>
          <cell r="R2457"/>
          <cell r="S2457"/>
          <cell r="T2457">
            <v>0.7</v>
          </cell>
          <cell r="U2457">
            <v>0.7</v>
          </cell>
          <cell r="V2457">
            <v>0.3</v>
          </cell>
          <cell r="W2457">
            <v>0</v>
          </cell>
          <cell r="X2457" t="str">
            <v>EST MESA CENTRO BUMERANGUE (CABREUVA) (BASE PRETO FOSCO) - 0,7x0,7x0,3H</v>
          </cell>
          <cell r="Y2457">
            <v>0</v>
          </cell>
          <cell r="Z2457">
            <v>0</v>
          </cell>
          <cell r="AA2457">
            <v>0</v>
          </cell>
          <cell r="AB2457"/>
        </row>
        <row r="2458">
          <cell r="C2458">
            <v>0</v>
          </cell>
          <cell r="D2458">
            <v>0</v>
          </cell>
          <cell r="E2458">
            <v>0</v>
          </cell>
          <cell r="F2458">
            <v>0</v>
          </cell>
          <cell r="H2458">
            <v>1</v>
          </cell>
          <cell r="O2458">
            <v>206803</v>
          </cell>
          <cell r="P2458"/>
          <cell r="Q2458" t="str">
            <v>EST MESA JANTAR GIRAFA (TAUARI)</v>
          </cell>
          <cell r="R2458"/>
          <cell r="S2458"/>
          <cell r="T2458">
            <v>0.7</v>
          </cell>
          <cell r="U2458">
            <v>0</v>
          </cell>
          <cell r="V2458">
            <v>0.76</v>
          </cell>
          <cell r="W2458">
            <v>0.7</v>
          </cell>
          <cell r="X2458" t="str">
            <v>EST MESA JANTAR GIRAFA (TAUARI) - Ø0,7x0,76H</v>
          </cell>
          <cell r="Y2458">
            <v>0</v>
          </cell>
          <cell r="Z2458">
            <v>0</v>
          </cell>
          <cell r="AA2458">
            <v>0</v>
          </cell>
          <cell r="AB2458"/>
        </row>
        <row r="2459">
          <cell r="C2459">
            <v>0</v>
          </cell>
          <cell r="D2459">
            <v>0</v>
          </cell>
          <cell r="E2459">
            <v>0</v>
          </cell>
          <cell r="F2459">
            <v>0</v>
          </cell>
          <cell r="H2459">
            <v>0</v>
          </cell>
          <cell r="O2459">
            <v>206809</v>
          </cell>
          <cell r="P2459"/>
          <cell r="Q2459" t="str">
            <v>EST ESCRIVANINHA LACERDA (S/VIDRO FREIJO NATURAL)</v>
          </cell>
          <cell r="R2459"/>
          <cell r="S2459"/>
          <cell r="T2459">
            <v>1.68</v>
          </cell>
          <cell r="U2459">
            <v>0.7</v>
          </cell>
          <cell r="V2459">
            <v>0.74</v>
          </cell>
          <cell r="W2459">
            <v>0</v>
          </cell>
          <cell r="X2459" t="str">
            <v>EST ESCRIVANINHA LACERDA (S/VIDRO FREIJO NATURAL) - 1,68x0,7x0,74H</v>
          </cell>
          <cell r="Y2459">
            <v>0</v>
          </cell>
          <cell r="Z2459">
            <v>0</v>
          </cell>
          <cell r="AA2459">
            <v>0</v>
          </cell>
          <cell r="AB2459"/>
        </row>
        <row r="2460">
          <cell r="C2460">
            <v>0</v>
          </cell>
          <cell r="D2460">
            <v>0</v>
          </cell>
          <cell r="E2460">
            <v>0</v>
          </cell>
          <cell r="F2460">
            <v>0</v>
          </cell>
          <cell r="H2460">
            <v>0</v>
          </cell>
          <cell r="O2460">
            <v>206810</v>
          </cell>
          <cell r="P2460"/>
          <cell r="Q2460" t="str">
            <v>EST MESA LATERAL CORINGA (FREIJO NATURAL)</v>
          </cell>
          <cell r="R2460"/>
          <cell r="S2460"/>
          <cell r="T2460">
            <v>0.6</v>
          </cell>
          <cell r="U2460">
            <v>0</v>
          </cell>
          <cell r="V2460">
            <v>0.55000000000000004</v>
          </cell>
          <cell r="W2460">
            <v>0.6</v>
          </cell>
          <cell r="X2460" t="str">
            <v>EST MESA LATERAL CORINGA (FREIJO NATURAL) - Ø0,6x0,55H</v>
          </cell>
          <cell r="Y2460">
            <v>0</v>
          </cell>
          <cell r="Z2460">
            <v>0.5</v>
          </cell>
          <cell r="AA2460">
            <v>0</v>
          </cell>
          <cell r="AB2460"/>
        </row>
        <row r="2461">
          <cell r="C2461">
            <v>0</v>
          </cell>
          <cell r="D2461">
            <v>0</v>
          </cell>
          <cell r="E2461">
            <v>0</v>
          </cell>
          <cell r="F2461">
            <v>0</v>
          </cell>
          <cell r="H2461">
            <v>0</v>
          </cell>
          <cell r="O2461">
            <v>206858</v>
          </cell>
          <cell r="P2461"/>
          <cell r="Q2461" t="str">
            <v>EST APARADOR TESOURA (FREIJO NATURAL)</v>
          </cell>
          <cell r="R2461"/>
          <cell r="S2461"/>
          <cell r="T2461">
            <v>1.8</v>
          </cell>
          <cell r="U2461">
            <v>0.7</v>
          </cell>
          <cell r="V2461">
            <v>0.75</v>
          </cell>
          <cell r="W2461">
            <v>0</v>
          </cell>
          <cell r="X2461" t="str">
            <v>EST APARADOR TESOURA (FREIJO NATURAL) - 1,8x0,7x0,75H</v>
          </cell>
          <cell r="Y2461">
            <v>0</v>
          </cell>
          <cell r="Z2461">
            <v>0.5</v>
          </cell>
          <cell r="AA2461">
            <v>0</v>
          </cell>
          <cell r="AB2461"/>
        </row>
        <row r="2462"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H2462">
            <v>1</v>
          </cell>
          <cell r="O2462">
            <v>206883</v>
          </cell>
          <cell r="P2462"/>
          <cell r="Q2462" t="str">
            <v>EST BANQUETA PARATY (MAD B COR 03) TC LINHO 409 AZUL PETROLE</v>
          </cell>
          <cell r="R2462"/>
          <cell r="S2462"/>
          <cell r="T2462">
            <v>0.78</v>
          </cell>
          <cell r="U2462">
            <v>0.49</v>
          </cell>
          <cell r="V2462">
            <v>0.39</v>
          </cell>
          <cell r="W2462">
            <v>0</v>
          </cell>
          <cell r="X2462" t="str">
            <v>EST BANQUETA PARATY (MAD B COR 03) TC LINHO 409 AZUL PETROLE - 0,78x0,49x0,39H</v>
          </cell>
          <cell r="Y2462">
            <v>0</v>
          </cell>
          <cell r="Z2462">
            <v>0</v>
          </cell>
          <cell r="AA2462">
            <v>0</v>
          </cell>
          <cell r="AB2462"/>
        </row>
        <row r="2463">
          <cell r="C2463">
            <v>0</v>
          </cell>
          <cell r="D2463">
            <v>0</v>
          </cell>
          <cell r="E2463">
            <v>0</v>
          </cell>
          <cell r="F2463">
            <v>0</v>
          </cell>
          <cell r="H2463">
            <v>1</v>
          </cell>
          <cell r="O2463">
            <v>206884</v>
          </cell>
          <cell r="P2463"/>
          <cell r="Q2463" t="str">
            <v>EST POLTRONA PARATY (MAD B COR 03) TC LINHO 409 AZUL PETROLE</v>
          </cell>
          <cell r="R2463"/>
          <cell r="S2463"/>
          <cell r="T2463">
            <v>0.77</v>
          </cell>
          <cell r="U2463">
            <v>0.81</v>
          </cell>
          <cell r="V2463">
            <v>0.75</v>
          </cell>
          <cell r="W2463">
            <v>0</v>
          </cell>
          <cell r="X2463" t="str">
            <v>EST POLTRONA PARATY (MAD B COR 03) TC LINHO 409 AZUL PETROLE - 0,77x0,81x0,75H</v>
          </cell>
          <cell r="Y2463">
            <v>0</v>
          </cell>
          <cell r="Z2463">
            <v>0</v>
          </cell>
          <cell r="AA2463">
            <v>0</v>
          </cell>
          <cell r="AB2463"/>
        </row>
        <row r="2464">
          <cell r="C2464">
            <v>0</v>
          </cell>
          <cell r="D2464">
            <v>0</v>
          </cell>
          <cell r="E2464">
            <v>0</v>
          </cell>
          <cell r="F2464">
            <v>0</v>
          </cell>
          <cell r="H2464">
            <v>1</v>
          </cell>
          <cell r="O2464">
            <v>206887</v>
          </cell>
          <cell r="P2464"/>
          <cell r="Q2464" t="str">
            <v>EST POLTRONA STELLA (BAIXA) (MAD B COR 03) TC 244-01489 GREY</v>
          </cell>
          <cell r="R2464"/>
          <cell r="S2464"/>
          <cell r="T2464">
            <v>0.74</v>
          </cell>
          <cell r="U2464">
            <v>0.92</v>
          </cell>
          <cell r="V2464">
            <v>0.69</v>
          </cell>
          <cell r="W2464">
            <v>0</v>
          </cell>
          <cell r="X2464" t="str">
            <v>EST POLTRONA STELLA (BAIXA) (MAD B COR 03) TC 244-01489 GREY - 0,74x0,92x0,69H</v>
          </cell>
          <cell r="Y2464">
            <v>0</v>
          </cell>
          <cell r="Z2464">
            <v>0.5</v>
          </cell>
          <cell r="AA2464">
            <v>0</v>
          </cell>
          <cell r="AB2464"/>
        </row>
        <row r="2465">
          <cell r="C2465">
            <v>0</v>
          </cell>
          <cell r="D2465">
            <v>0</v>
          </cell>
          <cell r="E2465">
            <v>0</v>
          </cell>
          <cell r="F2465">
            <v>0</v>
          </cell>
          <cell r="H2465">
            <v>1</v>
          </cell>
          <cell r="O2465">
            <v>206894</v>
          </cell>
          <cell r="P2465"/>
          <cell r="Q2465" t="str">
            <v>EST CADEIRA TIAO (MAD A COR 02) TC LINHO 409 AZUL PETROLEO</v>
          </cell>
          <cell r="R2465"/>
          <cell r="S2465"/>
          <cell r="T2465">
            <v>0.61</v>
          </cell>
          <cell r="U2465">
            <v>0.6</v>
          </cell>
          <cell r="V2465">
            <v>0.75</v>
          </cell>
          <cell r="W2465">
            <v>0</v>
          </cell>
          <cell r="X2465" t="str">
            <v>EST CADEIRA TIAO (MAD A COR 02) TC LINHO 409 AZUL PETROLEO - 0,61x0,6x0,75H</v>
          </cell>
          <cell r="Y2465">
            <v>0</v>
          </cell>
          <cell r="Z2465">
            <v>0</v>
          </cell>
          <cell r="AA2465">
            <v>0</v>
          </cell>
          <cell r="AB2465"/>
        </row>
        <row r="2466">
          <cell r="C2466">
            <v>0</v>
          </cell>
          <cell r="D2466">
            <v>0</v>
          </cell>
          <cell r="E2466">
            <v>0</v>
          </cell>
          <cell r="F2466">
            <v>0</v>
          </cell>
          <cell r="H2466">
            <v>0</v>
          </cell>
          <cell r="O2466">
            <v>206898</v>
          </cell>
          <cell r="P2466"/>
          <cell r="Q2466" t="str">
            <v>EST POLTRONA LIA (MAD A COR 02) TC LINO 409 WASH LI-050 AZUL</v>
          </cell>
          <cell r="R2466"/>
          <cell r="S2466"/>
          <cell r="T2466">
            <v>0.74</v>
          </cell>
          <cell r="U2466">
            <v>0.73</v>
          </cell>
          <cell r="V2466">
            <v>0.71</v>
          </cell>
          <cell r="W2466">
            <v>0</v>
          </cell>
          <cell r="X2466" t="str">
            <v>EST POLTRONA LIA (MAD A COR 02) TC LINO 409 WASH LI-050 AZUL - 0,74x0,73x0,71H</v>
          </cell>
          <cell r="Y2466">
            <v>0</v>
          </cell>
          <cell r="Z2466">
            <v>0</v>
          </cell>
          <cell r="AA2466">
            <v>0</v>
          </cell>
          <cell r="AB2466"/>
        </row>
        <row r="2467">
          <cell r="C2467">
            <v>0</v>
          </cell>
          <cell r="D2467">
            <v>0</v>
          </cell>
          <cell r="E2467">
            <v>0</v>
          </cell>
          <cell r="F2467">
            <v>0</v>
          </cell>
          <cell r="H2467">
            <v>1</v>
          </cell>
          <cell r="O2467">
            <v>206955</v>
          </cell>
          <cell r="P2467"/>
          <cell r="Q2467" t="str">
            <v>EST POLTRONA DORA (BAIXA) CAMURCA VANILLA LADO LISO</v>
          </cell>
          <cell r="R2467"/>
          <cell r="S2467"/>
          <cell r="T2467">
            <v>0.76</v>
          </cell>
          <cell r="U2467">
            <v>0.83</v>
          </cell>
          <cell r="V2467">
            <v>0.7</v>
          </cell>
          <cell r="W2467">
            <v>0</v>
          </cell>
          <cell r="X2467" t="str">
            <v>EST POLTRONA DORA (BAIXA) CAMURCA VANILLA LADO LISO - 0,76x0,83x0,7H</v>
          </cell>
          <cell r="Y2467">
            <v>0</v>
          </cell>
          <cell r="Z2467">
            <v>0.35</v>
          </cell>
          <cell r="AA2467">
            <v>0</v>
          </cell>
          <cell r="AB2467"/>
        </row>
        <row r="2468">
          <cell r="C2468">
            <v>0</v>
          </cell>
          <cell r="D2468">
            <v>0</v>
          </cell>
          <cell r="E2468">
            <v>0</v>
          </cell>
          <cell r="F2468">
            <v>0</v>
          </cell>
          <cell r="H2468">
            <v>0</v>
          </cell>
          <cell r="O2468">
            <v>206962</v>
          </cell>
          <cell r="P2468"/>
          <cell r="Q2468" t="str">
            <v>EST CADEIRA GB01 RIPADA (JEQ 03) TC LINHO 409 AZUL PETROLEO</v>
          </cell>
          <cell r="R2468"/>
          <cell r="S2468"/>
          <cell r="T2468">
            <v>0.45</v>
          </cell>
          <cell r="U2468">
            <v>0.48</v>
          </cell>
          <cell r="V2468">
            <v>0.85</v>
          </cell>
          <cell r="W2468">
            <v>0</v>
          </cell>
          <cell r="X2468" t="str">
            <v>EST CADEIRA GB01 RIPADA (JEQ 03) TC LINHO 409 AZUL PETROLEO - 0,45x0,48x0,85H</v>
          </cell>
          <cell r="Y2468">
            <v>0</v>
          </cell>
          <cell r="Z2468">
            <v>0.5</v>
          </cell>
          <cell r="AA2468">
            <v>0</v>
          </cell>
          <cell r="AB2468"/>
        </row>
        <row r="2469">
          <cell r="C2469">
            <v>0</v>
          </cell>
          <cell r="D2469">
            <v>0</v>
          </cell>
          <cell r="E2469">
            <v>0</v>
          </cell>
          <cell r="F2469">
            <v>0</v>
          </cell>
          <cell r="H2469">
            <v>0</v>
          </cell>
          <cell r="O2469">
            <v>206964</v>
          </cell>
          <cell r="P2469"/>
          <cell r="Q2469" t="str">
            <v>EST POLTRONA ZANINE H (FREIJO NATURAL) WASHED LI-050 AZUL</v>
          </cell>
          <cell r="R2469"/>
          <cell r="S2469"/>
          <cell r="T2469">
            <v>0.6</v>
          </cell>
          <cell r="U2469">
            <v>0.75</v>
          </cell>
          <cell r="V2469">
            <v>0.75</v>
          </cell>
          <cell r="W2469">
            <v>0</v>
          </cell>
          <cell r="X2469" t="str">
            <v>EST POLTRONA ZANINE H (FREIJO NATURAL) WASHED LI-050 AZUL - 0,6x0,75x0,75H</v>
          </cell>
          <cell r="Y2469">
            <v>0</v>
          </cell>
          <cell r="Z2469">
            <v>0</v>
          </cell>
          <cell r="AA2469">
            <v>0</v>
          </cell>
          <cell r="AB2469"/>
        </row>
        <row r="2470">
          <cell r="C2470">
            <v>0</v>
          </cell>
          <cell r="D2470">
            <v>0</v>
          </cell>
          <cell r="E2470">
            <v>0</v>
          </cell>
          <cell r="F2470">
            <v>0</v>
          </cell>
          <cell r="H2470">
            <v>1</v>
          </cell>
          <cell r="O2470">
            <v>206965</v>
          </cell>
          <cell r="P2470"/>
          <cell r="Q2470" t="str">
            <v>EST CADEIRA ZANINE I (FREIJO NT) TC LINHO 409 AZUL PETROLEO</v>
          </cell>
          <cell r="R2470"/>
          <cell r="S2470"/>
          <cell r="T2470">
            <v>0.46</v>
          </cell>
          <cell r="U2470">
            <v>0.56999999999999995</v>
          </cell>
          <cell r="V2470">
            <v>0.81</v>
          </cell>
          <cell r="W2470">
            <v>0</v>
          </cell>
          <cell r="X2470" t="str">
            <v>EST CADEIRA ZANINE I (FREIJO NT) TC LINHO 409 AZUL PETROLEO - 0,46x0,57x0,81H</v>
          </cell>
          <cell r="Y2470">
            <v>0</v>
          </cell>
          <cell r="Z2470">
            <v>0</v>
          </cell>
          <cell r="AA2470">
            <v>0</v>
          </cell>
          <cell r="AB2470"/>
        </row>
        <row r="2471">
          <cell r="C2471">
            <v>0</v>
          </cell>
          <cell r="D2471">
            <v>0</v>
          </cell>
          <cell r="E2471">
            <v>0</v>
          </cell>
          <cell r="F2471">
            <v>0</v>
          </cell>
          <cell r="H2471">
            <v>0</v>
          </cell>
          <cell r="O2471">
            <v>207108</v>
          </cell>
          <cell r="P2471"/>
          <cell r="Q2471" t="str">
            <v>EST SOFA LONA (CUMARU) TC LONA ARTESANA LO-027/BRACO TM-018</v>
          </cell>
          <cell r="R2471"/>
          <cell r="S2471"/>
          <cell r="T2471">
            <v>3.2</v>
          </cell>
          <cell r="U2471">
            <v>0.9</v>
          </cell>
          <cell r="V2471">
            <v>0.8</v>
          </cell>
          <cell r="W2471">
            <v>0</v>
          </cell>
          <cell r="X2471" t="str">
            <v>EST SOFA LONA (CUMARU) TC LONA ARTESANA LO-027/BRACO TM-018 - 3,2x0,9x0,8H</v>
          </cell>
          <cell r="Y2471">
            <v>0</v>
          </cell>
          <cell r="Z2471">
            <v>0.5</v>
          </cell>
          <cell r="AA2471">
            <v>0</v>
          </cell>
          <cell r="AB2471"/>
        </row>
        <row r="2472">
          <cell r="C2472">
            <v>0</v>
          </cell>
          <cell r="D2472">
            <v>0</v>
          </cell>
          <cell r="E2472">
            <v>0</v>
          </cell>
          <cell r="F2472">
            <v>0</v>
          </cell>
          <cell r="H2472">
            <v>5</v>
          </cell>
          <cell r="O2472">
            <v>207643</v>
          </cell>
          <cell r="P2472"/>
          <cell r="Q2472" t="str">
            <v>EST CADEIRA GB01 MISTA (JEQ 01) (QUADRIC NT) TC NATURAL 601</v>
          </cell>
          <cell r="R2472"/>
          <cell r="S2472"/>
          <cell r="T2472">
            <v>0.45</v>
          </cell>
          <cell r="U2472">
            <v>0.48</v>
          </cell>
          <cell r="V2472">
            <v>0.85</v>
          </cell>
          <cell r="W2472">
            <v>0</v>
          </cell>
          <cell r="X2472" t="str">
            <v>EST CADEIRA GB01 MISTA (JEQ 01) (QUADRIC NT) TC NATURAL 601 - 0,45x0,48x0,85H</v>
          </cell>
          <cell r="Y2472">
            <v>0</v>
          </cell>
          <cell r="Z2472">
            <v>0</v>
          </cell>
          <cell r="AA2472">
            <v>0</v>
          </cell>
          <cell r="AB2472"/>
        </row>
        <row r="2473">
          <cell r="C2473">
            <v>0</v>
          </cell>
          <cell r="D2473">
            <v>0</v>
          </cell>
          <cell r="E2473">
            <v>0</v>
          </cell>
          <cell r="F2473">
            <v>0</v>
          </cell>
          <cell r="H2473">
            <v>0</v>
          </cell>
          <cell r="O2473">
            <v>207940</v>
          </cell>
          <cell r="P2473"/>
          <cell r="Q2473" t="str">
            <v>EST POLTRONA SAND (MAD A JEQ TABACO) TC BOUCLE NATURAL</v>
          </cell>
          <cell r="R2473"/>
          <cell r="S2473"/>
          <cell r="T2473">
            <v>0.8</v>
          </cell>
          <cell r="U2473">
            <v>0.86</v>
          </cell>
          <cell r="V2473">
            <v>0.76</v>
          </cell>
          <cell r="W2473">
            <v>0</v>
          </cell>
          <cell r="X2473" t="str">
            <v>EST POLTRONA SAND (MAD A JEQ TABACO) TC BOUCLE NATURAL - 0,8x0,86x0,76H</v>
          </cell>
          <cell r="Y2473">
            <v>0</v>
          </cell>
          <cell r="Z2473">
            <v>0.5</v>
          </cell>
          <cell r="AA2473">
            <v>0</v>
          </cell>
          <cell r="AB2473"/>
        </row>
        <row r="2474">
          <cell r="C2474">
            <v>0</v>
          </cell>
          <cell r="D2474">
            <v>0</v>
          </cell>
          <cell r="E2474">
            <v>0</v>
          </cell>
          <cell r="F2474">
            <v>0</v>
          </cell>
          <cell r="H2474">
            <v>6</v>
          </cell>
          <cell r="O2474">
            <v>207942</v>
          </cell>
          <cell r="P2474"/>
          <cell r="Q2474" t="str">
            <v>EST CADEIRA ORQUIDEA (MAD A JEQ TABACO) TC 244-01529 LINHO</v>
          </cell>
          <cell r="R2474"/>
          <cell r="S2474"/>
          <cell r="T2474">
            <v>0.47</v>
          </cell>
          <cell r="U2474">
            <v>0.55000000000000004</v>
          </cell>
          <cell r="V2474">
            <v>0.79</v>
          </cell>
          <cell r="W2474">
            <v>0</v>
          </cell>
          <cell r="X2474" t="str">
            <v>EST CADEIRA ORQUIDEA (MAD A JEQ TABACO) TC 244-01529 LINHO - 0,47x0,55x0,79H</v>
          </cell>
          <cell r="Y2474">
            <v>0</v>
          </cell>
          <cell r="Z2474">
            <v>0</v>
          </cell>
          <cell r="AA2474">
            <v>0</v>
          </cell>
          <cell r="AB2474"/>
        </row>
        <row r="2475">
          <cell r="C2475">
            <v>0</v>
          </cell>
          <cell r="D2475">
            <v>0</v>
          </cell>
          <cell r="E2475">
            <v>0</v>
          </cell>
          <cell r="F2475">
            <v>0</v>
          </cell>
          <cell r="H2475">
            <v>0</v>
          </cell>
          <cell r="O2475">
            <v>207945</v>
          </cell>
          <cell r="P2475"/>
          <cell r="Q2475" t="str">
            <v>EST APARADOR SUTRA (MADEIRA PEROBA MEDIA)</v>
          </cell>
          <cell r="R2475"/>
          <cell r="S2475"/>
          <cell r="T2475">
            <v>2.2000000000000002</v>
          </cell>
          <cell r="U2475">
            <v>0.5</v>
          </cell>
          <cell r="V2475">
            <v>0.84</v>
          </cell>
          <cell r="W2475">
            <v>0</v>
          </cell>
          <cell r="X2475" t="str">
            <v>EST APARADOR SUTRA (MADEIRA PEROBA MEDIA) - 2,2x0,5x0,84H</v>
          </cell>
          <cell r="Y2475">
            <v>0</v>
          </cell>
          <cell r="Z2475">
            <v>0</v>
          </cell>
          <cell r="AA2475">
            <v>0</v>
          </cell>
          <cell r="AB2475"/>
        </row>
        <row r="2476">
          <cell r="C2476">
            <v>0</v>
          </cell>
          <cell r="D2476">
            <v>0</v>
          </cell>
          <cell r="E2476">
            <v>0</v>
          </cell>
          <cell r="F2476">
            <v>0</v>
          </cell>
          <cell r="H2476">
            <v>0</v>
          </cell>
          <cell r="O2476">
            <v>208979</v>
          </cell>
          <cell r="P2476"/>
          <cell r="Q2476" t="str">
            <v>EST SOFA GERALDO DE BARROS (BIPARTIDO) COURO NOBUK COR 98</v>
          </cell>
          <cell r="R2476"/>
          <cell r="S2476"/>
          <cell r="T2476">
            <v>2.74</v>
          </cell>
          <cell r="U2476">
            <v>0.8</v>
          </cell>
          <cell r="V2476">
            <v>0.68</v>
          </cell>
          <cell r="W2476">
            <v>0</v>
          </cell>
          <cell r="X2476" t="str">
            <v>EST SOFA GERALDO DE BARROS (BIPARTIDO) COURO NOBUK COR 98 - 2,74x0,8x0,68H</v>
          </cell>
          <cell r="Y2476">
            <v>0</v>
          </cell>
          <cell r="Z2476">
            <v>0.35</v>
          </cell>
          <cell r="AA2476">
            <v>0</v>
          </cell>
          <cell r="AB2476"/>
        </row>
        <row r="2477">
          <cell r="C2477">
            <v>0</v>
          </cell>
          <cell r="D2477">
            <v>0</v>
          </cell>
          <cell r="E2477">
            <v>0</v>
          </cell>
          <cell r="F2477">
            <v>0</v>
          </cell>
          <cell r="H2477">
            <v>3</v>
          </cell>
          <cell r="O2477">
            <v>209959</v>
          </cell>
          <cell r="P2477"/>
          <cell r="Q2477" t="str">
            <v>EST APARADOR MULTI (PINHEIRO MACICO) (ACO PRETO FOSCO)</v>
          </cell>
          <cell r="R2477"/>
          <cell r="S2477"/>
          <cell r="T2477">
            <v>1.75</v>
          </cell>
          <cell r="U2477">
            <v>0.4</v>
          </cell>
          <cell r="V2477">
            <v>0.57999999999999996</v>
          </cell>
          <cell r="W2477">
            <v>0</v>
          </cell>
          <cell r="X2477" t="str">
            <v>EST APARADOR MULTI (PINHEIRO MACICO) (ACO PRETO FOSCO) - 1,75x0,4x0,58H</v>
          </cell>
          <cell r="Y2477">
            <v>0</v>
          </cell>
          <cell r="Z2477">
            <v>0</v>
          </cell>
          <cell r="AA2477">
            <v>0</v>
          </cell>
          <cell r="AB2477"/>
        </row>
        <row r="2478">
          <cell r="C2478">
            <v>0</v>
          </cell>
          <cell r="D2478">
            <v>0</v>
          </cell>
          <cell r="E2478">
            <v>0</v>
          </cell>
          <cell r="F2478">
            <v>0</v>
          </cell>
          <cell r="H2478">
            <v>1</v>
          </cell>
          <cell r="O2478">
            <v>210137</v>
          </cell>
          <cell r="P2478"/>
          <cell r="Q2478" t="str">
            <v>EST BANCO BELMONTE (FREIJO EBANIZADO)</v>
          </cell>
          <cell r="R2478"/>
          <cell r="S2478"/>
          <cell r="T2478">
            <v>0.42</v>
          </cell>
          <cell r="U2478">
            <v>0.42</v>
          </cell>
          <cell r="V2478">
            <v>0.42</v>
          </cell>
          <cell r="W2478">
            <v>0</v>
          </cell>
          <cell r="X2478" t="str">
            <v>EST BANCO BELMONTE (FREIJO EBANIZADO) - 0,42x0,42x0,42H</v>
          </cell>
          <cell r="Y2478">
            <v>0</v>
          </cell>
          <cell r="Z2478">
            <v>0.5</v>
          </cell>
          <cell r="AA2478">
            <v>0</v>
          </cell>
          <cell r="AB2478"/>
        </row>
        <row r="2479">
          <cell r="C2479">
            <v>0</v>
          </cell>
          <cell r="D2479">
            <v>0</v>
          </cell>
          <cell r="E2479">
            <v>0</v>
          </cell>
          <cell r="F2479">
            <v>0</v>
          </cell>
          <cell r="H2479">
            <v>0</v>
          </cell>
          <cell r="O2479">
            <v>210169</v>
          </cell>
          <cell r="P2479"/>
          <cell r="Q2479" t="str">
            <v>EST MESA JANTAR CORTEN (RESINA SAYER K-167 CINZA) ACO CORTEN</v>
          </cell>
          <cell r="R2479"/>
          <cell r="S2479"/>
          <cell r="T2479">
            <v>1.2</v>
          </cell>
          <cell r="U2479">
            <v>0</v>
          </cell>
          <cell r="V2479">
            <v>0.74</v>
          </cell>
          <cell r="W2479">
            <v>0</v>
          </cell>
          <cell r="X2479" t="str">
            <v>EST MESA JANTAR CORTEN (RESINA SAYER K-167 CINZA) ACO CORTEN - Ø0x0,74H</v>
          </cell>
          <cell r="Y2479">
            <v>0</v>
          </cell>
          <cell r="Z2479">
            <v>0.5</v>
          </cell>
          <cell r="AA2479">
            <v>0</v>
          </cell>
          <cell r="AB2479"/>
        </row>
        <row r="2480">
          <cell r="C2480">
            <v>0</v>
          </cell>
          <cell r="D2480">
            <v>0</v>
          </cell>
          <cell r="E2480">
            <v>0</v>
          </cell>
          <cell r="F2480">
            <v>0</v>
          </cell>
          <cell r="H2480">
            <v>1</v>
          </cell>
          <cell r="O2480">
            <v>210273</v>
          </cell>
          <cell r="P2480"/>
          <cell r="Q2480" t="str">
            <v>EST BANCO ESTRADA (KRAFT)</v>
          </cell>
          <cell r="R2480"/>
          <cell r="S2480"/>
          <cell r="T2480">
            <v>2.12</v>
          </cell>
          <cell r="U2480">
            <v>0.45</v>
          </cell>
          <cell r="V2480">
            <v>0.43</v>
          </cell>
          <cell r="W2480">
            <v>0</v>
          </cell>
          <cell r="X2480" t="str">
            <v>EST BANCO ESTRADA (KRAFT) - 2,12x0,45x0,43H</v>
          </cell>
          <cell r="Y2480">
            <v>0</v>
          </cell>
          <cell r="Z2480">
            <v>0.35</v>
          </cell>
          <cell r="AA2480">
            <v>0</v>
          </cell>
          <cell r="AB2480"/>
        </row>
        <row r="2481">
          <cell r="C2481">
            <v>0</v>
          </cell>
          <cell r="D2481">
            <v>0</v>
          </cell>
          <cell r="E2481">
            <v>0</v>
          </cell>
          <cell r="F2481">
            <v>0</v>
          </cell>
          <cell r="H2481">
            <v>1</v>
          </cell>
          <cell r="O2481">
            <v>210276</v>
          </cell>
          <cell r="P2481"/>
          <cell r="Q2481" t="str">
            <v>EST POLTRONA MANTIQUEIRA (G) (KRAFT)</v>
          </cell>
          <cell r="R2481"/>
          <cell r="S2481"/>
          <cell r="T2481">
            <v>1.51</v>
          </cell>
          <cell r="U2481">
            <v>0.85</v>
          </cell>
          <cell r="V2481">
            <v>0.53</v>
          </cell>
          <cell r="W2481">
            <v>0</v>
          </cell>
          <cell r="X2481" t="str">
            <v>EST POLTRONA MANTIQUEIRA (G) (KRAFT) - 1,51x0,85x0,53H</v>
          </cell>
          <cell r="Y2481">
            <v>0</v>
          </cell>
          <cell r="Z2481">
            <v>0.35</v>
          </cell>
          <cell r="AA2481">
            <v>0</v>
          </cell>
          <cell r="AB2481"/>
        </row>
        <row r="2482">
          <cell r="C2482">
            <v>0</v>
          </cell>
          <cell r="D2482">
            <v>0</v>
          </cell>
          <cell r="E2482">
            <v>0</v>
          </cell>
          <cell r="F2482">
            <v>0</v>
          </cell>
          <cell r="H2482">
            <v>1</v>
          </cell>
          <cell r="O2482">
            <v>210278</v>
          </cell>
          <cell r="P2482"/>
          <cell r="Q2482" t="str">
            <v>EST POLTRONA MANTIQUEIRA (P) (KRAFT)</v>
          </cell>
          <cell r="R2482"/>
          <cell r="S2482"/>
          <cell r="T2482">
            <v>0.62</v>
          </cell>
          <cell r="U2482">
            <v>0.85</v>
          </cell>
          <cell r="V2482">
            <v>0.53</v>
          </cell>
          <cell r="W2482">
            <v>0</v>
          </cell>
          <cell r="X2482" t="str">
            <v>EST POLTRONA MANTIQUEIRA (P) (KRAFT) - 0,62x0,85x0,53H</v>
          </cell>
          <cell r="Y2482">
            <v>0</v>
          </cell>
          <cell r="Z2482">
            <v>0</v>
          </cell>
          <cell r="AA2482">
            <v>0</v>
          </cell>
          <cell r="AB2482"/>
        </row>
        <row r="2483">
          <cell r="C2483">
            <v>0</v>
          </cell>
          <cell r="D2483">
            <v>0</v>
          </cell>
          <cell r="E2483">
            <v>0</v>
          </cell>
          <cell r="F2483">
            <v>0</v>
          </cell>
          <cell r="H2483">
            <v>0</v>
          </cell>
          <cell r="O2483">
            <v>210306</v>
          </cell>
          <cell r="P2483"/>
          <cell r="Q2483" t="str">
            <v>EST COMPONENTE ALMOFADAO POLTRONA MOLE COURO CH 18</v>
          </cell>
          <cell r="R2483"/>
          <cell r="S2483"/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 t="str">
            <v>EST COMPONENTE ALMOFADAO POLTRONA MOLE COURO CH 18 - Ø0x0H</v>
          </cell>
          <cell r="Y2483">
            <v>0</v>
          </cell>
          <cell r="Z2483">
            <v>0</v>
          </cell>
          <cell r="AA2483">
            <v>0</v>
          </cell>
          <cell r="AB2483"/>
        </row>
        <row r="2484">
          <cell r="C2484">
            <v>0</v>
          </cell>
          <cell r="D2484">
            <v>0</v>
          </cell>
          <cell r="E2484">
            <v>0</v>
          </cell>
          <cell r="F2484">
            <v>0</v>
          </cell>
          <cell r="H2484">
            <v>0</v>
          </cell>
          <cell r="O2484">
            <v>211284</v>
          </cell>
          <cell r="P2484"/>
          <cell r="Q2484" t="str">
            <v>EST BANCO SEDIMENTOS (KRAFT) VIDRO)</v>
          </cell>
          <cell r="R2484"/>
          <cell r="S2484"/>
          <cell r="T2484">
            <v>0.4</v>
          </cell>
          <cell r="U2484">
            <v>0.4</v>
          </cell>
          <cell r="V2484">
            <v>0.4</v>
          </cell>
          <cell r="W2484">
            <v>0</v>
          </cell>
          <cell r="X2484" t="str">
            <v>EST BANCO SEDIMENTOS (KRAFT) VIDRO) - 0,4x0,4x0,4H</v>
          </cell>
          <cell r="Y2484">
            <v>0</v>
          </cell>
          <cell r="Z2484">
            <v>0.35</v>
          </cell>
          <cell r="AA2484">
            <v>0</v>
          </cell>
          <cell r="AB2484"/>
        </row>
        <row r="2485">
          <cell r="C2485">
            <v>0</v>
          </cell>
          <cell r="D2485">
            <v>0</v>
          </cell>
          <cell r="E2485">
            <v>0</v>
          </cell>
          <cell r="F2485">
            <v>0</v>
          </cell>
          <cell r="H2485">
            <v>1</v>
          </cell>
          <cell r="O2485">
            <v>211540</v>
          </cell>
          <cell r="P2485"/>
          <cell r="Q2485" t="str">
            <v>EST MESA CENTRO MC (LACA SAYERLACK L-168 CINZA CHUMBO)</v>
          </cell>
          <cell r="R2485"/>
          <cell r="S2485"/>
          <cell r="T2485">
            <v>1.6</v>
          </cell>
          <cell r="U2485">
            <v>1.2</v>
          </cell>
          <cell r="V2485">
            <v>0.3</v>
          </cell>
          <cell r="W2485">
            <v>0</v>
          </cell>
          <cell r="X2485" t="str">
            <v>EST MESA CENTRO MC (LACA SAYERLACK L-168 CINZA CHUMBO) - 1,6x1,2x0,3H</v>
          </cell>
          <cell r="Y2485">
            <v>0</v>
          </cell>
          <cell r="Z2485">
            <v>0</v>
          </cell>
          <cell r="AA2485">
            <v>0</v>
          </cell>
          <cell r="AB2485"/>
        </row>
        <row r="2486">
          <cell r="C2486">
            <v>0</v>
          </cell>
          <cell r="D2486">
            <v>0</v>
          </cell>
          <cell r="E2486">
            <v>0</v>
          </cell>
          <cell r="F2486">
            <v>0</v>
          </cell>
          <cell r="H2486">
            <v>2</v>
          </cell>
          <cell r="O2486">
            <v>211861</v>
          </cell>
          <cell r="P2486"/>
          <cell r="Q2486" t="str">
            <v>EST POLTRONA DIZ (LAMINADA C/FURO) (MAD IMBUIA STAIN)</v>
          </cell>
          <cell r="R2486"/>
          <cell r="S2486"/>
          <cell r="T2486">
            <v>0.78</v>
          </cell>
          <cell r="U2486">
            <v>0.89</v>
          </cell>
          <cell r="V2486">
            <v>0.71</v>
          </cell>
          <cell r="W2486">
            <v>0</v>
          </cell>
          <cell r="X2486" t="str">
            <v>EST POLTRONA DIZ (LAMINADA C/FURO) (MAD IMBUIA STAIN) - 0,78x0,89x0,71H</v>
          </cell>
          <cell r="Y2486">
            <v>0</v>
          </cell>
          <cell r="Z2486">
            <v>0</v>
          </cell>
          <cell r="AA2486">
            <v>0</v>
          </cell>
          <cell r="AB2486"/>
        </row>
        <row r="2487">
          <cell r="C2487">
            <v>0</v>
          </cell>
          <cell r="D2487">
            <v>0</v>
          </cell>
          <cell r="E2487">
            <v>0</v>
          </cell>
          <cell r="F2487">
            <v>0</v>
          </cell>
          <cell r="H2487">
            <v>1</v>
          </cell>
          <cell r="O2487">
            <v>212966</v>
          </cell>
          <cell r="P2487"/>
          <cell r="Q2487" t="str">
            <v>EST MESA JANTAR OBLONGO (CABREUVA) ALTERNADO PTO FSC</v>
          </cell>
          <cell r="R2487"/>
          <cell r="S2487"/>
          <cell r="T2487">
            <v>3</v>
          </cell>
          <cell r="U2487">
            <v>1.1000000000000001</v>
          </cell>
          <cell r="V2487">
            <v>0.74</v>
          </cell>
          <cell r="W2487">
            <v>0</v>
          </cell>
          <cell r="X2487" t="str">
            <v>EST MESA JANTAR OBLONGO (CABREUVA) ALTERNADO PTO FSC - 3x1,1x0,74H</v>
          </cell>
          <cell r="Y2487">
            <v>77083.039000000004</v>
          </cell>
          <cell r="Z2487">
            <v>0</v>
          </cell>
          <cell r="AA2487">
            <v>77083.039000000004</v>
          </cell>
          <cell r="AB2487"/>
        </row>
        <row r="2488">
          <cell r="C2488">
            <v>0</v>
          </cell>
          <cell r="D2488">
            <v>0</v>
          </cell>
          <cell r="E2488">
            <v>0</v>
          </cell>
          <cell r="F2488">
            <v>0</v>
          </cell>
          <cell r="H2488">
            <v>3</v>
          </cell>
          <cell r="O2488">
            <v>214165</v>
          </cell>
          <cell r="P2488"/>
          <cell r="Q2488" t="str">
            <v>EST GAVETEIRO TRIDZIO (ALCA METAL VERMELHO) (FORMICA PRATA)</v>
          </cell>
          <cell r="R2488"/>
          <cell r="S2488"/>
          <cell r="T2488">
            <v>0.6</v>
          </cell>
          <cell r="U2488">
            <v>0.43</v>
          </cell>
          <cell r="V2488">
            <v>0.47</v>
          </cell>
          <cell r="W2488">
            <v>0</v>
          </cell>
          <cell r="X2488" t="str">
            <v>EST GAVETEIRO TRIDZIO (ALCA METAL VERMELHO) (FORMICA PRATA) - 0,6x0,43x0,47H</v>
          </cell>
          <cell r="Y2488">
            <v>0</v>
          </cell>
          <cell r="Z2488">
            <v>0</v>
          </cell>
          <cell r="AA2488">
            <v>0</v>
          </cell>
          <cell r="AB2488"/>
        </row>
        <row r="2489">
          <cell r="C2489">
            <v>0</v>
          </cell>
          <cell r="D2489">
            <v>0</v>
          </cell>
          <cell r="E2489">
            <v>0</v>
          </cell>
          <cell r="F2489">
            <v>0</v>
          </cell>
          <cell r="H2489">
            <v>3</v>
          </cell>
          <cell r="O2489">
            <v>215227</v>
          </cell>
          <cell r="P2489"/>
          <cell r="Q2489" t="str">
            <v>EST GAVETEIRO TRIDZIO (ALCA METAL VERMELHO) (FORMICA AZUL)</v>
          </cell>
          <cell r="R2489"/>
          <cell r="S2489"/>
          <cell r="T2489">
            <v>0.6</v>
          </cell>
          <cell r="U2489">
            <v>0.43</v>
          </cell>
          <cell r="V2489">
            <v>0.47</v>
          </cell>
          <cell r="W2489">
            <v>0</v>
          </cell>
          <cell r="X2489" t="str">
            <v>EST GAVETEIRO TRIDZIO (ALCA METAL VERMELHO) (FORMICA AZUL) - 0,6x0,43x0,47H</v>
          </cell>
          <cell r="Y2489">
            <v>0</v>
          </cell>
          <cell r="Z2489">
            <v>0</v>
          </cell>
          <cell r="AA2489">
            <v>0</v>
          </cell>
          <cell r="AB2489"/>
        </row>
        <row r="2490">
          <cell r="C2490">
            <v>0</v>
          </cell>
          <cell r="D2490">
            <v>0</v>
          </cell>
          <cell r="E2490">
            <v>0</v>
          </cell>
          <cell r="F2490">
            <v>0</v>
          </cell>
          <cell r="H2490">
            <v>2</v>
          </cell>
          <cell r="O2490">
            <v>215451</v>
          </cell>
          <cell r="P2490"/>
          <cell r="Q2490" t="str">
            <v>EST POLTRONA PORTUGUESA S/B (SOLTO) (CATUABA) CAMURCA TAUPE</v>
          </cell>
          <cell r="R2490"/>
          <cell r="S2490"/>
          <cell r="T2490">
            <v>0.65</v>
          </cell>
          <cell r="U2490">
            <v>0.67</v>
          </cell>
          <cell r="V2490">
            <v>0.75</v>
          </cell>
          <cell r="W2490">
            <v>0</v>
          </cell>
          <cell r="X2490" t="str">
            <v>EST POLTRONA PORTUGUESA S/B (SOLTO) (CATUABA) CAMURCA TAUPE - 0,65x0,67x0,75H</v>
          </cell>
          <cell r="Y2490">
            <v>0</v>
          </cell>
          <cell r="Z2490">
            <v>0</v>
          </cell>
          <cell r="AA2490">
            <v>0</v>
          </cell>
          <cell r="AB2490"/>
        </row>
        <row r="2491">
          <cell r="C2491">
            <v>0</v>
          </cell>
          <cell r="D2491">
            <v>0</v>
          </cell>
          <cell r="E2491">
            <v>0</v>
          </cell>
          <cell r="F2491">
            <v>0</v>
          </cell>
          <cell r="H2491">
            <v>1</v>
          </cell>
          <cell r="O2491">
            <v>215452</v>
          </cell>
          <cell r="P2491"/>
          <cell r="Q2491" t="str">
            <v>EST POLTRONA PORTUGUESA S/B (FIXO) (CATUABA) TC 409 NATURAL</v>
          </cell>
          <cell r="R2491"/>
          <cell r="S2491"/>
          <cell r="T2491">
            <v>0.65</v>
          </cell>
          <cell r="U2491">
            <v>0.67</v>
          </cell>
          <cell r="V2491">
            <v>0.75</v>
          </cell>
          <cell r="W2491">
            <v>0</v>
          </cell>
          <cell r="X2491" t="str">
            <v>EST POLTRONA PORTUGUESA S/B (FIXO) (CATUABA) TC 409 NATURAL - 0,65x0,67x0,75H</v>
          </cell>
          <cell r="Y2491">
            <v>0</v>
          </cell>
          <cell r="Z2491">
            <v>0</v>
          </cell>
          <cell r="AA2491">
            <v>0</v>
          </cell>
          <cell r="AB2491"/>
        </row>
        <row r="2492">
          <cell r="C2492">
            <v>0</v>
          </cell>
          <cell r="D2492">
            <v>0</v>
          </cell>
          <cell r="E2492">
            <v>0</v>
          </cell>
          <cell r="F2492">
            <v>0</v>
          </cell>
          <cell r="H2492">
            <v>0</v>
          </cell>
          <cell r="O2492">
            <v>216164</v>
          </cell>
          <cell r="P2492"/>
          <cell r="Q2492" t="str">
            <v>EST CADEIRA MENNA (FREIJO NATURAL)</v>
          </cell>
          <cell r="R2492"/>
          <cell r="S2492"/>
          <cell r="T2492">
            <v>0.5</v>
          </cell>
          <cell r="U2492">
            <v>0.51</v>
          </cell>
          <cell r="V2492">
            <v>1.27</v>
          </cell>
          <cell r="W2492">
            <v>0</v>
          </cell>
          <cell r="X2492" t="str">
            <v>EST CADEIRA MENNA (FREIJO NATURAL) - 0,5x0,51x1,27H</v>
          </cell>
          <cell r="Y2492">
            <v>0</v>
          </cell>
          <cell r="Z2492">
            <v>0.5</v>
          </cell>
          <cell r="AA2492">
            <v>0</v>
          </cell>
          <cell r="AB2492"/>
        </row>
        <row r="2493">
          <cell r="C2493">
            <v>0</v>
          </cell>
          <cell r="D2493">
            <v>0</v>
          </cell>
          <cell r="E2493">
            <v>0</v>
          </cell>
          <cell r="F2493">
            <v>0</v>
          </cell>
          <cell r="H2493">
            <v>1</v>
          </cell>
          <cell r="O2493">
            <v>216698</v>
          </cell>
          <cell r="P2493"/>
          <cell r="Q2493" t="str">
            <v>EST BANCO SONIA (MAD A COR 02) (BOTOES COR 02/PES COR 02)</v>
          </cell>
          <cell r="R2493"/>
          <cell r="S2493"/>
          <cell r="T2493">
            <v>0.4</v>
          </cell>
          <cell r="U2493">
            <v>0.42</v>
          </cell>
          <cell r="V2493">
            <v>0.39</v>
          </cell>
          <cell r="W2493">
            <v>0</v>
          </cell>
          <cell r="X2493" t="str">
            <v>EST BANCO SONIA (MAD A COR 02) (BOTOES COR 02/PES COR 02) - 0,4x0,42x0,39H</v>
          </cell>
          <cell r="Y2493">
            <v>0</v>
          </cell>
          <cell r="Z2493">
            <v>0</v>
          </cell>
          <cell r="AA2493">
            <v>0</v>
          </cell>
          <cell r="AB2493"/>
        </row>
        <row r="2494">
          <cell r="C2494">
            <v>0</v>
          </cell>
          <cell r="D2494">
            <v>0</v>
          </cell>
          <cell r="E2494">
            <v>0</v>
          </cell>
          <cell r="F2494">
            <v>0</v>
          </cell>
          <cell r="H2494">
            <v>3</v>
          </cell>
          <cell r="O2494">
            <v>216699</v>
          </cell>
          <cell r="P2494"/>
          <cell r="Q2494" t="str">
            <v>EST BANCO SONIA (MAD B COR 03) (BOTOES COR 03/PES COR 03)</v>
          </cell>
          <cell r="R2494"/>
          <cell r="S2494"/>
          <cell r="T2494">
            <v>0.4</v>
          </cell>
          <cell r="U2494">
            <v>0.42</v>
          </cell>
          <cell r="V2494">
            <v>0.39</v>
          </cell>
          <cell r="W2494">
            <v>0</v>
          </cell>
          <cell r="X2494" t="str">
            <v>EST BANCO SONIA (MAD B COR 03) (BOTOES COR 03/PES COR 03) - 0,4x0,42x0,39H</v>
          </cell>
          <cell r="Y2494">
            <v>0</v>
          </cell>
          <cell r="Z2494">
            <v>0</v>
          </cell>
          <cell r="AA2494">
            <v>0</v>
          </cell>
          <cell r="AB2494"/>
        </row>
        <row r="2495">
          <cell r="C2495">
            <v>0</v>
          </cell>
          <cell r="D2495">
            <v>0</v>
          </cell>
          <cell r="E2495">
            <v>0</v>
          </cell>
          <cell r="F2495">
            <v>0</v>
          </cell>
          <cell r="H2495">
            <v>1</v>
          </cell>
          <cell r="O2495">
            <v>216747</v>
          </cell>
          <cell r="P2495"/>
          <cell r="Q2495" t="str">
            <v>EST MESA LATERAL DECK (GARAPEIRA)</v>
          </cell>
          <cell r="R2495"/>
          <cell r="S2495"/>
          <cell r="T2495">
            <v>0.85</v>
          </cell>
          <cell r="U2495">
            <v>0.8</v>
          </cell>
          <cell r="V2495">
            <v>0.28000000000000003</v>
          </cell>
          <cell r="W2495">
            <v>0</v>
          </cell>
          <cell r="X2495" t="str">
            <v>EST MESA LATERAL DECK (GARAPEIRA) - 0,85x0,8x0,28H</v>
          </cell>
          <cell r="Y2495">
            <v>0</v>
          </cell>
          <cell r="Z2495">
            <v>0.5</v>
          </cell>
          <cell r="AA2495">
            <v>0</v>
          </cell>
          <cell r="AB2495"/>
        </row>
        <row r="2496">
          <cell r="C2496">
            <v>0</v>
          </cell>
          <cell r="D2496">
            <v>0</v>
          </cell>
          <cell r="E2496">
            <v>0</v>
          </cell>
          <cell r="F2496">
            <v>0</v>
          </cell>
          <cell r="H2496">
            <v>1</v>
          </cell>
          <cell r="O2496">
            <v>216748</v>
          </cell>
          <cell r="P2496"/>
          <cell r="Q2496" t="str">
            <v>EST MESA LATERAL DECK (GARAPEIRA)</v>
          </cell>
          <cell r="R2496"/>
          <cell r="S2496"/>
          <cell r="T2496">
            <v>0.85</v>
          </cell>
          <cell r="U2496">
            <v>0.47</v>
          </cell>
          <cell r="V2496">
            <v>0.28000000000000003</v>
          </cell>
          <cell r="W2496">
            <v>0</v>
          </cell>
          <cell r="X2496" t="str">
            <v>EST MESA LATERAL DECK (GARAPEIRA) - 0,85x0,47x0,28H</v>
          </cell>
          <cell r="Y2496">
            <v>0</v>
          </cell>
          <cell r="Z2496">
            <v>0.5</v>
          </cell>
          <cell r="AA2496">
            <v>0</v>
          </cell>
          <cell r="AB2496"/>
        </row>
        <row r="2497">
          <cell r="C2497">
            <v>0</v>
          </cell>
          <cell r="D2497">
            <v>0</v>
          </cell>
          <cell r="E2497">
            <v>0</v>
          </cell>
          <cell r="F2497">
            <v>0</v>
          </cell>
          <cell r="H2497">
            <v>1</v>
          </cell>
          <cell r="O2497">
            <v>216749</v>
          </cell>
          <cell r="P2497"/>
          <cell r="Q2497" t="str">
            <v>EST MOVEL AUXILIAR QUADRADINHO (1 PORTA) (FREIJO NATURAL)</v>
          </cell>
          <cell r="R2497"/>
          <cell r="S2497"/>
          <cell r="T2497">
            <v>0.52</v>
          </cell>
          <cell r="U2497">
            <v>0.55000000000000004</v>
          </cell>
          <cell r="V2497">
            <v>0.59</v>
          </cell>
          <cell r="W2497">
            <v>0</v>
          </cell>
          <cell r="X2497" t="str">
            <v>EST MOVEL AUXILIAR QUADRADINHO (1 PORTA) (FREIJO NATURAL) - 0,52x0,55x0,59H</v>
          </cell>
          <cell r="Y2497">
            <v>0</v>
          </cell>
          <cell r="Z2497">
            <v>0.5</v>
          </cell>
          <cell r="AA2497">
            <v>0</v>
          </cell>
          <cell r="AB2497"/>
        </row>
        <row r="2498">
          <cell r="C2498">
            <v>0</v>
          </cell>
          <cell r="D2498">
            <v>0</v>
          </cell>
          <cell r="E2498">
            <v>0</v>
          </cell>
          <cell r="F2498">
            <v>0</v>
          </cell>
          <cell r="H2498">
            <v>3</v>
          </cell>
          <cell r="O2498">
            <v>217262</v>
          </cell>
          <cell r="P2498"/>
          <cell r="Q2498" t="str">
            <v>EST POLTRONA LEVE (MAD B LOURO ESP) COURO CAMURCA TABACO</v>
          </cell>
          <cell r="R2498"/>
          <cell r="S2498"/>
          <cell r="T2498">
            <v>0.76</v>
          </cell>
          <cell r="U2498">
            <v>0.87</v>
          </cell>
          <cell r="V2498">
            <v>0.85</v>
          </cell>
          <cell r="W2498">
            <v>0</v>
          </cell>
          <cell r="X2498" t="str">
            <v>EST POLTRONA LEVE (MAD B LOURO ESP) COURO CAMURCA TABACO - 0,76x0,87x0,85H</v>
          </cell>
          <cell r="Y2498">
            <v>0</v>
          </cell>
          <cell r="Z2498">
            <v>0</v>
          </cell>
          <cell r="AA2498">
            <v>0</v>
          </cell>
          <cell r="AB2498"/>
        </row>
        <row r="2499">
          <cell r="C2499">
            <v>0</v>
          </cell>
          <cell r="D2499">
            <v>0</v>
          </cell>
          <cell r="E2499">
            <v>0</v>
          </cell>
          <cell r="F2499">
            <v>0</v>
          </cell>
          <cell r="H2499">
            <v>0</v>
          </cell>
          <cell r="O2499">
            <v>217416</v>
          </cell>
          <cell r="P2499"/>
          <cell r="Q2499" t="str">
            <v>EST ESCRIVANINHA CORTEN (2 GAV) (PAU FERRO CLARO) PTO FSC</v>
          </cell>
          <cell r="R2499"/>
          <cell r="S2499"/>
          <cell r="T2499">
            <v>1.8</v>
          </cell>
          <cell r="U2499">
            <v>0.8</v>
          </cell>
          <cell r="V2499">
            <v>0.74</v>
          </cell>
          <cell r="W2499">
            <v>0</v>
          </cell>
          <cell r="X2499" t="str">
            <v>EST ESCRIVANINHA CORTEN (2 GAV) (PAU FERRO CLARO) PTO FSC - 1,8x0,8x0,74H</v>
          </cell>
          <cell r="Y2499">
            <v>0</v>
          </cell>
          <cell r="Z2499">
            <v>0</v>
          </cell>
          <cell r="AA2499">
            <v>0</v>
          </cell>
          <cell r="AB2499"/>
        </row>
        <row r="2500">
          <cell r="C2500">
            <v>0</v>
          </cell>
          <cell r="D2500">
            <v>0</v>
          </cell>
          <cell r="E2500">
            <v>0</v>
          </cell>
          <cell r="F2500">
            <v>0</v>
          </cell>
          <cell r="H2500">
            <v>0</v>
          </cell>
          <cell r="O2500">
            <v>217489</v>
          </cell>
          <cell r="P2500"/>
          <cell r="Q2500" t="str">
            <v>EST BANCO ABAPORU (XILOG J.BORGES) (FREIJO NAT) CV MARINHO</v>
          </cell>
          <cell r="R2500"/>
          <cell r="S2500"/>
          <cell r="T2500">
            <v>0.38</v>
          </cell>
          <cell r="U2500">
            <v>0</v>
          </cell>
          <cell r="V2500">
            <v>0.44</v>
          </cell>
          <cell r="W2500">
            <v>0.44</v>
          </cell>
          <cell r="X2500" t="str">
            <v>EST BANCO ABAPORU (XILOG J.BORGES) (FREIJO NAT) CV MARINHO - Ø0,44x0,44H</v>
          </cell>
          <cell r="Y2500">
            <v>0</v>
          </cell>
          <cell r="Z2500">
            <v>0</v>
          </cell>
          <cell r="AA2500">
            <v>0</v>
          </cell>
          <cell r="AB2500"/>
        </row>
        <row r="2501">
          <cell r="C2501">
            <v>0</v>
          </cell>
          <cell r="D2501">
            <v>0</v>
          </cell>
          <cell r="E2501">
            <v>0</v>
          </cell>
          <cell r="F2501">
            <v>0</v>
          </cell>
          <cell r="H2501">
            <v>0</v>
          </cell>
          <cell r="O2501">
            <v>217643</v>
          </cell>
          <cell r="P2501"/>
          <cell r="Q2501" t="str">
            <v>EST TAMPO MAMORE ARMANI BRONZE FSC (CHANFRADO) (BIPARTIDO)</v>
          </cell>
          <cell r="R2501"/>
          <cell r="S2501"/>
          <cell r="T2501">
            <v>3</v>
          </cell>
          <cell r="U2501">
            <v>1.1000000000000001</v>
          </cell>
          <cell r="V2501">
            <v>0</v>
          </cell>
          <cell r="W2501">
            <v>0</v>
          </cell>
          <cell r="X2501" t="str">
            <v>EST TAMPO MAMORE ARMANI BRONZE FSC (CHANFRADO) (BIPARTIDO) - 3x1,1x0H</v>
          </cell>
          <cell r="Y2501">
            <v>0</v>
          </cell>
          <cell r="Z2501">
            <v>0.5</v>
          </cell>
          <cell r="AA2501">
            <v>0</v>
          </cell>
          <cell r="AB2501"/>
        </row>
        <row r="2502">
          <cell r="C2502">
            <v>0</v>
          </cell>
          <cell r="D2502">
            <v>0</v>
          </cell>
          <cell r="E2502">
            <v>0</v>
          </cell>
          <cell r="F2502">
            <v>0</v>
          </cell>
          <cell r="H2502">
            <v>2</v>
          </cell>
          <cell r="O2502">
            <v>217843</v>
          </cell>
          <cell r="P2502"/>
          <cell r="Q2502" t="str">
            <v>EST GAVETEIRO FULVIO NANNI (P) (03 GAVETAS CLARO)</v>
          </cell>
          <cell r="R2502"/>
          <cell r="S2502"/>
          <cell r="T2502">
            <v>0.22</v>
          </cell>
          <cell r="U2502">
            <v>0.24</v>
          </cell>
          <cell r="V2502">
            <v>0.19</v>
          </cell>
          <cell r="W2502">
            <v>0</v>
          </cell>
          <cell r="X2502" t="str">
            <v>EST GAVETEIRO FULVIO NANNI (P) (03 GAVETAS CLARO) - 0,22x0,24x0,19H</v>
          </cell>
          <cell r="Y2502">
            <v>0</v>
          </cell>
          <cell r="Z2502">
            <v>0</v>
          </cell>
          <cell r="AA2502">
            <v>0</v>
          </cell>
          <cell r="AB2502"/>
        </row>
        <row r="2503">
          <cell r="C2503">
            <v>0</v>
          </cell>
          <cell r="D2503">
            <v>0</v>
          </cell>
          <cell r="E2503">
            <v>0</v>
          </cell>
          <cell r="F2503">
            <v>0</v>
          </cell>
          <cell r="H2503">
            <v>1</v>
          </cell>
          <cell r="O2503">
            <v>217844</v>
          </cell>
          <cell r="P2503"/>
          <cell r="Q2503" t="str">
            <v>EST GAVETEIRO FULVIO NANNI (P) (03 GAVETAS MEDIO)</v>
          </cell>
          <cell r="R2503"/>
          <cell r="S2503"/>
          <cell r="T2503">
            <v>0.22</v>
          </cell>
          <cell r="U2503">
            <v>0.24</v>
          </cell>
          <cell r="V2503">
            <v>0.19</v>
          </cell>
          <cell r="W2503">
            <v>0</v>
          </cell>
          <cell r="X2503" t="str">
            <v>EST GAVETEIRO FULVIO NANNI (P) (03 GAVETAS MEDIO) - 0,22x0,24x0,19H</v>
          </cell>
          <cell r="Y2503">
            <v>0</v>
          </cell>
          <cell r="Z2503">
            <v>0.5</v>
          </cell>
          <cell r="AA2503">
            <v>0</v>
          </cell>
          <cell r="AB2503"/>
        </row>
        <row r="2504">
          <cell r="C2504">
            <v>0</v>
          </cell>
          <cell r="D2504">
            <v>0</v>
          </cell>
          <cell r="E2504">
            <v>0</v>
          </cell>
          <cell r="F2504">
            <v>0</v>
          </cell>
          <cell r="H2504">
            <v>1</v>
          </cell>
          <cell r="O2504">
            <v>217845</v>
          </cell>
          <cell r="P2504"/>
          <cell r="Q2504" t="str">
            <v>EST GAVETEIRO FULVIO NANNI (P) (03 GAVETAS ESCURO)</v>
          </cell>
          <cell r="R2504"/>
          <cell r="S2504"/>
          <cell r="T2504">
            <v>0.22</v>
          </cell>
          <cell r="U2504">
            <v>0.24</v>
          </cell>
          <cell r="V2504">
            <v>0.19</v>
          </cell>
          <cell r="W2504">
            <v>0</v>
          </cell>
          <cell r="X2504" t="str">
            <v>EST GAVETEIRO FULVIO NANNI (P) (03 GAVETAS ESCURO) - 0,22x0,24x0,19H</v>
          </cell>
          <cell r="Y2504">
            <v>0</v>
          </cell>
          <cell r="Z2504">
            <v>0.5</v>
          </cell>
          <cell r="AA2504">
            <v>0</v>
          </cell>
          <cell r="AB2504"/>
        </row>
        <row r="2505">
          <cell r="C2505">
            <v>0</v>
          </cell>
          <cell r="D2505">
            <v>0</v>
          </cell>
          <cell r="E2505">
            <v>0</v>
          </cell>
          <cell r="F2505">
            <v>0</v>
          </cell>
          <cell r="H2505">
            <v>1</v>
          </cell>
          <cell r="O2505">
            <v>217849</v>
          </cell>
          <cell r="P2505"/>
          <cell r="Q2505" t="str">
            <v>EST GAVETEIRO FULVIO NANNI (M) (03 GAVETAS CLARO)</v>
          </cell>
          <cell r="R2505"/>
          <cell r="S2505"/>
          <cell r="T2505">
            <v>0.27</v>
          </cell>
          <cell r="U2505">
            <v>0.24</v>
          </cell>
          <cell r="V2505">
            <v>0.19</v>
          </cell>
          <cell r="W2505">
            <v>0</v>
          </cell>
          <cell r="X2505" t="str">
            <v>EST GAVETEIRO FULVIO NANNI (M) (03 GAVETAS CLARO) - 0,27x0,24x0,19H</v>
          </cell>
          <cell r="Y2505">
            <v>0</v>
          </cell>
          <cell r="Z2505">
            <v>0.5</v>
          </cell>
          <cell r="AA2505">
            <v>0</v>
          </cell>
          <cell r="AB2505"/>
        </row>
        <row r="2506">
          <cell r="C2506">
            <v>0</v>
          </cell>
          <cell r="D2506">
            <v>0</v>
          </cell>
          <cell r="E2506">
            <v>0</v>
          </cell>
          <cell r="F2506">
            <v>0</v>
          </cell>
          <cell r="H2506">
            <v>1</v>
          </cell>
          <cell r="O2506">
            <v>217850</v>
          </cell>
          <cell r="P2506"/>
          <cell r="Q2506" t="str">
            <v>EST GAVETEIRO FULVIO NANNI (M) (03 GAVETAS MEDIO)</v>
          </cell>
          <cell r="R2506"/>
          <cell r="S2506"/>
          <cell r="T2506">
            <v>0.27</v>
          </cell>
          <cell r="U2506">
            <v>0.24</v>
          </cell>
          <cell r="V2506">
            <v>0.19</v>
          </cell>
          <cell r="W2506">
            <v>0</v>
          </cell>
          <cell r="X2506" t="str">
            <v>EST GAVETEIRO FULVIO NANNI (M) (03 GAVETAS MEDIO) - 0,27x0,24x0,19H</v>
          </cell>
          <cell r="Y2506">
            <v>0</v>
          </cell>
          <cell r="Z2506">
            <v>0.5</v>
          </cell>
          <cell r="AA2506">
            <v>0</v>
          </cell>
          <cell r="AB2506"/>
        </row>
        <row r="2507">
          <cell r="C2507">
            <v>0</v>
          </cell>
          <cell r="D2507">
            <v>0</v>
          </cell>
          <cell r="E2507">
            <v>0</v>
          </cell>
          <cell r="F2507">
            <v>0</v>
          </cell>
          <cell r="H2507">
            <v>2</v>
          </cell>
          <cell r="O2507">
            <v>217851</v>
          </cell>
          <cell r="P2507"/>
          <cell r="Q2507" t="str">
            <v>EST GAVETEIRO FULVIO NANNI (M) (03 GAVETAS ESCURO)</v>
          </cell>
          <cell r="R2507"/>
          <cell r="S2507"/>
          <cell r="T2507">
            <v>0.27</v>
          </cell>
          <cell r="U2507">
            <v>0.24</v>
          </cell>
          <cell r="V2507">
            <v>0.19</v>
          </cell>
          <cell r="W2507">
            <v>0</v>
          </cell>
          <cell r="X2507" t="str">
            <v>EST GAVETEIRO FULVIO NANNI (M) (03 GAVETAS ESCURO) - 0,27x0,24x0,19H</v>
          </cell>
          <cell r="Y2507">
            <v>0</v>
          </cell>
          <cell r="Z2507">
            <v>0.5</v>
          </cell>
          <cell r="AA2507">
            <v>0</v>
          </cell>
          <cell r="AB2507"/>
        </row>
        <row r="2508">
          <cell r="C2508">
            <v>0</v>
          </cell>
          <cell r="D2508">
            <v>0</v>
          </cell>
          <cell r="E2508">
            <v>0</v>
          </cell>
          <cell r="F2508">
            <v>0</v>
          </cell>
          <cell r="H2508">
            <v>3</v>
          </cell>
          <cell r="O2508">
            <v>217853</v>
          </cell>
          <cell r="P2508"/>
          <cell r="Q2508" t="str">
            <v>EST GAVETEIRO FULVIO NANNI (G) (02 GAVETAS MEDIO)</v>
          </cell>
          <cell r="R2508"/>
          <cell r="S2508"/>
          <cell r="T2508">
            <v>0.44</v>
          </cell>
          <cell r="U2508">
            <v>0.3</v>
          </cell>
          <cell r="V2508">
            <v>0.14000000000000001</v>
          </cell>
          <cell r="W2508">
            <v>0</v>
          </cell>
          <cell r="X2508" t="str">
            <v>EST GAVETEIRO FULVIO NANNI (G) (02 GAVETAS MEDIO) - 0,44x0,3x0,14H</v>
          </cell>
          <cell r="Y2508">
            <v>0</v>
          </cell>
          <cell r="Z2508">
            <v>0.5</v>
          </cell>
          <cell r="AA2508">
            <v>0</v>
          </cell>
          <cell r="AB2508"/>
        </row>
        <row r="2509">
          <cell r="C2509">
            <v>0</v>
          </cell>
          <cell r="D2509">
            <v>0</v>
          </cell>
          <cell r="E2509">
            <v>0</v>
          </cell>
          <cell r="F2509">
            <v>0</v>
          </cell>
          <cell r="H2509">
            <v>1</v>
          </cell>
          <cell r="O2509">
            <v>217854</v>
          </cell>
          <cell r="P2509"/>
          <cell r="Q2509" t="str">
            <v>EST GAVETEIRO FULVIO NANNI (G) (02 GAVETAS ESCURO)</v>
          </cell>
          <cell r="R2509"/>
          <cell r="S2509"/>
          <cell r="T2509">
            <v>0.44</v>
          </cell>
          <cell r="U2509">
            <v>0.3</v>
          </cell>
          <cell r="V2509">
            <v>0.14000000000000001</v>
          </cell>
          <cell r="W2509">
            <v>0</v>
          </cell>
          <cell r="X2509" t="str">
            <v>EST GAVETEIRO FULVIO NANNI (G) (02 GAVETAS ESCURO) - 0,44x0,3x0,14H</v>
          </cell>
          <cell r="Y2509">
            <v>0</v>
          </cell>
          <cell r="Z2509">
            <v>0.5</v>
          </cell>
          <cell r="AA2509">
            <v>0</v>
          </cell>
          <cell r="AB2509"/>
        </row>
        <row r="2510">
          <cell r="C2510">
            <v>0</v>
          </cell>
          <cell r="D2510">
            <v>0</v>
          </cell>
          <cell r="E2510">
            <v>0</v>
          </cell>
          <cell r="F2510">
            <v>0</v>
          </cell>
          <cell r="H2510">
            <v>2</v>
          </cell>
          <cell r="O2510">
            <v>218577</v>
          </cell>
          <cell r="P2510"/>
          <cell r="Q2510" t="str">
            <v>EST BANQUETA MOLE (60 ANOS) (MAD IMBUIA) COURO CH 05</v>
          </cell>
          <cell r="R2510"/>
          <cell r="S2510"/>
          <cell r="T2510">
            <v>0.82</v>
          </cell>
          <cell r="U2510">
            <v>0.59</v>
          </cell>
          <cell r="V2510">
            <v>0.45</v>
          </cell>
          <cell r="W2510">
            <v>0</v>
          </cell>
          <cell r="X2510" t="str">
            <v>EST BANQUETA MOLE (60 ANOS) (MAD IMBUIA) COURO CH 05 - 0,82x0,59x0,45H</v>
          </cell>
          <cell r="Y2510">
            <v>0</v>
          </cell>
          <cell r="Z2510">
            <v>0</v>
          </cell>
          <cell r="AA2510">
            <v>0</v>
          </cell>
          <cell r="AB2510"/>
        </row>
        <row r="2511">
          <cell r="C2511">
            <v>0</v>
          </cell>
          <cell r="D2511">
            <v>0</v>
          </cell>
          <cell r="E2511">
            <v>0</v>
          </cell>
          <cell r="F2511">
            <v>0</v>
          </cell>
          <cell r="H2511">
            <v>1</v>
          </cell>
          <cell r="O2511">
            <v>218825</v>
          </cell>
          <cell r="P2511"/>
          <cell r="Q2511" t="str">
            <v>EST BANCO DOMINO (4 LUG) (CONC GOIABA) (CORTEN)</v>
          </cell>
          <cell r="R2511"/>
          <cell r="S2511"/>
          <cell r="T2511">
            <v>1.9</v>
          </cell>
          <cell r="U2511">
            <v>0.45</v>
          </cell>
          <cell r="V2511">
            <v>0.48</v>
          </cell>
          <cell r="W2511">
            <v>0</v>
          </cell>
          <cell r="X2511" t="str">
            <v>EST BANCO DOMINO (4 LUG) (CONC GOIABA) (CORTEN) - 1,9x0,45x0,48H</v>
          </cell>
          <cell r="Y2511">
            <v>0</v>
          </cell>
          <cell r="Z2511">
            <v>0.35</v>
          </cell>
          <cell r="AA2511">
            <v>0</v>
          </cell>
          <cell r="AB2511"/>
        </row>
        <row r="2512">
          <cell r="C2512">
            <v>0</v>
          </cell>
          <cell r="D2512">
            <v>0</v>
          </cell>
          <cell r="E2512">
            <v>0</v>
          </cell>
          <cell r="F2512">
            <v>0</v>
          </cell>
          <cell r="H2512">
            <v>1</v>
          </cell>
          <cell r="O2512">
            <v>219035</v>
          </cell>
          <cell r="P2512"/>
          <cell r="Q2512" t="str">
            <v>EST POLTRONA PORTUGUESA S/B (SOLTO) (FREIJO) CAMURCA TABACO</v>
          </cell>
          <cell r="R2512"/>
          <cell r="S2512"/>
          <cell r="T2512">
            <v>0.65</v>
          </cell>
          <cell r="U2512">
            <v>0.67</v>
          </cell>
          <cell r="V2512">
            <v>0.75</v>
          </cell>
          <cell r="W2512">
            <v>0</v>
          </cell>
          <cell r="X2512" t="str">
            <v>EST POLTRONA PORTUGUESA S/B (SOLTO) (FREIJO) CAMURCA TABACO - 0,65x0,67x0,75H</v>
          </cell>
          <cell r="Y2512">
            <v>0</v>
          </cell>
          <cell r="Z2512">
            <v>0</v>
          </cell>
          <cell r="AA2512">
            <v>0</v>
          </cell>
          <cell r="AB2512"/>
        </row>
        <row r="2513">
          <cell r="C2513">
            <v>0</v>
          </cell>
          <cell r="D2513">
            <v>0</v>
          </cell>
          <cell r="E2513">
            <v>0</v>
          </cell>
          <cell r="F2513">
            <v>0</v>
          </cell>
          <cell r="H2513">
            <v>0</v>
          </cell>
          <cell r="O2513">
            <v>220728</v>
          </cell>
          <cell r="P2513"/>
          <cell r="Q2513" t="str">
            <v>EST BUFFET TRES (MADEIRA CARVALHO NATURAL)</v>
          </cell>
          <cell r="R2513"/>
          <cell r="S2513"/>
          <cell r="T2513">
            <v>2.85</v>
          </cell>
          <cell r="U2513">
            <v>0.5</v>
          </cell>
          <cell r="V2513">
            <v>0.85</v>
          </cell>
          <cell r="W2513">
            <v>0</v>
          </cell>
          <cell r="X2513" t="str">
            <v>EST BUFFET TRES (MADEIRA CARVALHO NATURAL) - 2,85x0,5x0,85H</v>
          </cell>
          <cell r="Y2513">
            <v>0</v>
          </cell>
          <cell r="Z2513">
            <v>0.5</v>
          </cell>
          <cell r="AA2513">
            <v>0</v>
          </cell>
          <cell r="AB2513"/>
        </row>
        <row r="2514">
          <cell r="C2514">
            <v>0</v>
          </cell>
          <cell r="D2514">
            <v>0</v>
          </cell>
          <cell r="E2514">
            <v>0</v>
          </cell>
          <cell r="F2514">
            <v>0</v>
          </cell>
          <cell r="H2514">
            <v>1</v>
          </cell>
          <cell r="O2514">
            <v>220805</v>
          </cell>
          <cell r="P2514"/>
          <cell r="Q2514" t="str">
            <v>EST POLTRONA BENJAMIN S/SELO (FREIJO NT) COURO NOBUK 98</v>
          </cell>
          <cell r="R2514"/>
          <cell r="S2514"/>
          <cell r="T2514">
            <v>0.92</v>
          </cell>
          <cell r="U2514">
            <v>0.9</v>
          </cell>
          <cell r="V2514">
            <v>0.92</v>
          </cell>
          <cell r="W2514">
            <v>0</v>
          </cell>
          <cell r="X2514" t="str">
            <v>EST POLTRONA BENJAMIN S/SELO (FREIJO NT) COURO NOBUK 98 - 0,92x0,9x0,92H</v>
          </cell>
          <cell r="Y2514">
            <v>0</v>
          </cell>
          <cell r="Z2514">
            <v>0</v>
          </cell>
          <cell r="AA2514">
            <v>0</v>
          </cell>
          <cell r="AB2514"/>
        </row>
        <row r="2515">
          <cell r="C2515">
            <v>0</v>
          </cell>
          <cell r="D2515">
            <v>0</v>
          </cell>
          <cell r="E2515">
            <v>0</v>
          </cell>
          <cell r="F2515">
            <v>0</v>
          </cell>
          <cell r="H2515">
            <v>3</v>
          </cell>
          <cell r="O2515">
            <v>220815</v>
          </cell>
          <cell r="P2515"/>
          <cell r="Q2515" t="str">
            <v>EST CADEIRA GB01 MISTA (JEQ 01) (QUADRIC NT) TC KILIM BEGE</v>
          </cell>
          <cell r="R2515"/>
          <cell r="S2515"/>
          <cell r="T2515">
            <v>0.45</v>
          </cell>
          <cell r="U2515">
            <v>0.48</v>
          </cell>
          <cell r="V2515">
            <v>0.85</v>
          </cell>
          <cell r="W2515">
            <v>0</v>
          </cell>
          <cell r="X2515" t="str">
            <v>EST CADEIRA GB01 MISTA (JEQ 01) (QUADRIC NT) TC KILIM BEGE - 0,45x0,48x0,85H</v>
          </cell>
          <cell r="Y2515">
            <v>0</v>
          </cell>
          <cell r="Z2515">
            <v>0</v>
          </cell>
          <cell r="AA2515">
            <v>0</v>
          </cell>
          <cell r="AB2515"/>
        </row>
        <row r="2516">
          <cell r="C2516">
            <v>0</v>
          </cell>
          <cell r="D2516">
            <v>0</v>
          </cell>
          <cell r="E2516">
            <v>0</v>
          </cell>
          <cell r="F2516">
            <v>0</v>
          </cell>
          <cell r="H2516">
            <v>1</v>
          </cell>
          <cell r="O2516">
            <v>220816</v>
          </cell>
          <cell r="P2516"/>
          <cell r="Q2516" t="str">
            <v>EST CADEIRA GB01 RIPADA (JEQ 01) TC KILIM BEGE</v>
          </cell>
          <cell r="R2516"/>
          <cell r="S2516"/>
          <cell r="T2516">
            <v>0.45</v>
          </cell>
          <cell r="U2516">
            <v>0.48</v>
          </cell>
          <cell r="V2516">
            <v>0.85</v>
          </cell>
          <cell r="W2516">
            <v>0</v>
          </cell>
          <cell r="X2516" t="str">
            <v>EST CADEIRA GB01 RIPADA (JEQ 01) TC KILIM BEGE - 0,45x0,48x0,85H</v>
          </cell>
          <cell r="Y2516">
            <v>0</v>
          </cell>
          <cell r="Z2516">
            <v>0</v>
          </cell>
          <cell r="AA2516">
            <v>0</v>
          </cell>
          <cell r="AB2516"/>
        </row>
        <row r="2517">
          <cell r="C2517">
            <v>0</v>
          </cell>
          <cell r="D2517">
            <v>0</v>
          </cell>
          <cell r="E2517">
            <v>0</v>
          </cell>
          <cell r="F2517">
            <v>0</v>
          </cell>
          <cell r="H2517">
            <v>0</v>
          </cell>
          <cell r="O2517">
            <v>220825</v>
          </cell>
          <cell r="P2517"/>
          <cell r="Q2517" t="str">
            <v>EST CADEIRA OMAR OFFICE C/R (MAD B FREIJO ENV) COURO PIG 340</v>
          </cell>
          <cell r="R2517"/>
          <cell r="S2517"/>
          <cell r="T2517">
            <v>0.54</v>
          </cell>
          <cell r="U2517">
            <v>0.56999999999999995</v>
          </cell>
          <cell r="V2517">
            <v>0.83</v>
          </cell>
          <cell r="W2517">
            <v>0</v>
          </cell>
          <cell r="X2517" t="str">
            <v>EST CADEIRA OMAR OFFICE C/R (MAD B FREIJO ENV) COURO PIG 340 - 0,54x0,57x0,83H</v>
          </cell>
          <cell r="Y2517">
            <v>0</v>
          </cell>
          <cell r="Z2517">
            <v>0</v>
          </cell>
          <cell r="AA2517">
            <v>0</v>
          </cell>
          <cell r="AB2517"/>
        </row>
        <row r="2518">
          <cell r="C2518" t="e">
            <v>#N/A</v>
          </cell>
          <cell r="D2518" t="e">
            <v>#N/A</v>
          </cell>
          <cell r="E2518" t="e">
            <v>#N/A</v>
          </cell>
          <cell r="F2518" t="e">
            <v>#N/A</v>
          </cell>
          <cell r="H2518" t="e">
            <v>#N/A</v>
          </cell>
          <cell r="O2518">
            <v>220920</v>
          </cell>
          <cell r="P2518"/>
          <cell r="Q2518" t="e">
            <v>#N/A</v>
          </cell>
          <cell r="R2518"/>
          <cell r="S2518"/>
          <cell r="T2518" t="e">
            <v>#N/A</v>
          </cell>
          <cell r="U2518" t="e">
            <v>#N/A</v>
          </cell>
          <cell r="V2518" t="e">
            <v>#N/A</v>
          </cell>
          <cell r="W2518" t="e">
            <v>#N/A</v>
          </cell>
          <cell r="X2518" t="e">
            <v>#N/A</v>
          </cell>
          <cell r="Y2518">
            <v>0</v>
          </cell>
          <cell r="Z2518">
            <v>0</v>
          </cell>
          <cell r="AA2518">
            <v>0</v>
          </cell>
          <cell r="AB2518"/>
        </row>
        <row r="2519">
          <cell r="C2519">
            <v>0</v>
          </cell>
          <cell r="D2519">
            <v>0</v>
          </cell>
          <cell r="E2519">
            <v>0</v>
          </cell>
          <cell r="F2519">
            <v>0</v>
          </cell>
          <cell r="H2519">
            <v>1</v>
          </cell>
          <cell r="O2519">
            <v>220922</v>
          </cell>
          <cell r="P2519"/>
          <cell r="Q2519" t="str">
            <v>EST POLTRONA BETO PU PRETO (MAD A COR 01) TC UNIQUE CRU</v>
          </cell>
          <cell r="R2519"/>
          <cell r="S2519"/>
          <cell r="T2519">
            <v>0.84</v>
          </cell>
          <cell r="U2519">
            <v>0.75</v>
          </cell>
          <cell r="V2519">
            <v>0.71</v>
          </cell>
          <cell r="W2519">
            <v>0</v>
          </cell>
          <cell r="X2519" t="str">
            <v>EST POLTRONA BETO PU PRETO (MAD A COR 01) TC UNIQUE CRU - 0,84x0,75x0,71H</v>
          </cell>
          <cell r="Y2519">
            <v>0</v>
          </cell>
          <cell r="Z2519">
            <v>0</v>
          </cell>
          <cell r="AA2519">
            <v>0</v>
          </cell>
          <cell r="AB2519"/>
        </row>
        <row r="2520">
          <cell r="C2520">
            <v>0</v>
          </cell>
          <cell r="D2520">
            <v>0</v>
          </cell>
          <cell r="E2520">
            <v>0</v>
          </cell>
          <cell r="F2520">
            <v>0</v>
          </cell>
          <cell r="H2520">
            <v>1</v>
          </cell>
          <cell r="O2520">
            <v>220925</v>
          </cell>
          <cell r="P2520"/>
          <cell r="Q2520" t="str">
            <v>EST POLTRONA LIA (MAD B COR 03) COURO CH VERMELHO</v>
          </cell>
          <cell r="R2520"/>
          <cell r="S2520"/>
          <cell r="T2520">
            <v>0.74</v>
          </cell>
          <cell r="U2520">
            <v>0.73</v>
          </cell>
          <cell r="V2520">
            <v>0.71</v>
          </cell>
          <cell r="W2520">
            <v>0</v>
          </cell>
          <cell r="X2520" t="str">
            <v>EST POLTRONA LIA (MAD B COR 03) COURO CH VERMELHO - 0,74x0,73x0,71H</v>
          </cell>
          <cell r="Y2520">
            <v>0</v>
          </cell>
          <cell r="Z2520">
            <v>0</v>
          </cell>
          <cell r="AA2520">
            <v>0</v>
          </cell>
          <cell r="AB2520"/>
        </row>
        <row r="2521">
          <cell r="C2521">
            <v>0</v>
          </cell>
          <cell r="D2521">
            <v>0</v>
          </cell>
          <cell r="E2521">
            <v>0</v>
          </cell>
          <cell r="F2521">
            <v>0</v>
          </cell>
          <cell r="H2521">
            <v>1</v>
          </cell>
          <cell r="O2521">
            <v>220930</v>
          </cell>
          <cell r="P2521"/>
          <cell r="Q2521" t="str">
            <v>EST POLTRONA KILIN (SOLETA NATURAL) (MAD B COR 03)</v>
          </cell>
          <cell r="R2521"/>
          <cell r="S2521"/>
          <cell r="T2521">
            <v>0.68</v>
          </cell>
          <cell r="U2521">
            <v>0.63</v>
          </cell>
          <cell r="V2521">
            <v>0.69</v>
          </cell>
          <cell r="W2521">
            <v>0</v>
          </cell>
          <cell r="X2521" t="str">
            <v>EST POLTRONA KILIN (SOLETA NATURAL) (MAD B COR 03) - 0,68x0,63x0,69H</v>
          </cell>
          <cell r="Y2521">
            <v>0</v>
          </cell>
          <cell r="Z2521">
            <v>0</v>
          </cell>
          <cell r="AA2521">
            <v>0</v>
          </cell>
          <cell r="AB2521"/>
        </row>
        <row r="2522">
          <cell r="C2522">
            <v>0</v>
          </cell>
          <cell r="D2522">
            <v>0</v>
          </cell>
          <cell r="E2522">
            <v>0</v>
          </cell>
          <cell r="F2522">
            <v>0</v>
          </cell>
          <cell r="H2522">
            <v>1</v>
          </cell>
          <cell r="O2522">
            <v>220931</v>
          </cell>
          <cell r="P2522"/>
          <cell r="Q2522" t="str">
            <v>EST POLTRONA OSCAR ESTAR (TELA NATURAL) (MAD B COR 3)</v>
          </cell>
          <cell r="R2522"/>
          <cell r="S2522"/>
          <cell r="T2522">
            <v>0.7</v>
          </cell>
          <cell r="U2522">
            <v>0.65</v>
          </cell>
          <cell r="V2522">
            <v>0.8</v>
          </cell>
          <cell r="W2522">
            <v>0</v>
          </cell>
          <cell r="X2522" t="str">
            <v>EST POLTRONA OSCAR ESTAR (TELA NATURAL) (MAD B COR 3) - 0,7x0,65x0,8H</v>
          </cell>
          <cell r="Y2522">
            <v>0</v>
          </cell>
          <cell r="Z2522">
            <v>0.5</v>
          </cell>
          <cell r="AA2522">
            <v>0</v>
          </cell>
          <cell r="AB2522"/>
        </row>
        <row r="2523">
          <cell r="C2523">
            <v>0</v>
          </cell>
          <cell r="D2523">
            <v>0</v>
          </cell>
          <cell r="E2523">
            <v>0</v>
          </cell>
          <cell r="F2523">
            <v>0</v>
          </cell>
          <cell r="H2523">
            <v>1</v>
          </cell>
          <cell r="O2523">
            <v>220945</v>
          </cell>
          <cell r="P2523"/>
          <cell r="Q2523" t="str">
            <v>EST CADEIRA 3 APOIOS (JEQUITIBA TONALIZADO) (MARFIM)</v>
          </cell>
          <cell r="R2523"/>
          <cell r="S2523"/>
          <cell r="T2523">
            <v>0.42</v>
          </cell>
          <cell r="U2523">
            <v>0.57999999999999996</v>
          </cell>
          <cell r="V2523">
            <v>0.66</v>
          </cell>
          <cell r="W2523">
            <v>0</v>
          </cell>
          <cell r="X2523" t="str">
            <v>EST CADEIRA 3 APOIOS (JEQUITIBA TONALIZADO) (MARFIM) - 0,42x0,58x0,66H</v>
          </cell>
          <cell r="Y2523">
            <v>0</v>
          </cell>
          <cell r="Z2523">
            <v>0</v>
          </cell>
          <cell r="AA2523">
            <v>0</v>
          </cell>
          <cell r="AB2523"/>
        </row>
        <row r="2524">
          <cell r="C2524">
            <v>0</v>
          </cell>
          <cell r="D2524">
            <v>0</v>
          </cell>
          <cell r="E2524">
            <v>0</v>
          </cell>
          <cell r="F2524">
            <v>0</v>
          </cell>
          <cell r="H2524">
            <v>1</v>
          </cell>
          <cell r="O2524">
            <v>221051</v>
          </cell>
          <cell r="P2524"/>
          <cell r="Q2524" t="str">
            <v>EST SOFA TAJA (2 LUG) LACA PRETA FOSCA</v>
          </cell>
          <cell r="R2524"/>
          <cell r="S2524"/>
          <cell r="T2524">
            <v>1.1299999999999999</v>
          </cell>
          <cell r="U2524">
            <v>0.66</v>
          </cell>
          <cell r="V2524">
            <v>0.75</v>
          </cell>
          <cell r="W2524">
            <v>0</v>
          </cell>
          <cell r="X2524" t="str">
            <v>EST SOFA TAJA (2 LUG) LACA PRETA FOSCA - 1,13x0,66x0,75H</v>
          </cell>
          <cell r="Y2524">
            <v>0</v>
          </cell>
          <cell r="Z2524">
            <v>0</v>
          </cell>
          <cell r="AA2524">
            <v>0</v>
          </cell>
          <cell r="AB2524"/>
        </row>
        <row r="2525">
          <cell r="C2525">
            <v>0</v>
          </cell>
          <cell r="D2525">
            <v>0</v>
          </cell>
          <cell r="E2525">
            <v>0</v>
          </cell>
          <cell r="F2525">
            <v>0</v>
          </cell>
          <cell r="H2525">
            <v>1</v>
          </cell>
          <cell r="O2525">
            <v>221357</v>
          </cell>
          <cell r="P2525"/>
          <cell r="Q2525" t="str">
            <v>EST COMODA BIANCA (DET INOX ESC) (IMB STAIN) PE EBANIZ BRL20</v>
          </cell>
          <cell r="R2525"/>
          <cell r="S2525"/>
          <cell r="T2525">
            <v>1.5</v>
          </cell>
          <cell r="U2525">
            <v>0.53</v>
          </cell>
          <cell r="V2525">
            <v>0.95</v>
          </cell>
          <cell r="W2525">
            <v>0</v>
          </cell>
          <cell r="X2525" t="str">
            <v>EST COMODA BIANCA (DET INOX ESC) (IMB STAIN) PE EBANIZ BRL20 - 1,5x0,53x0,95H</v>
          </cell>
          <cell r="Y2525">
            <v>0</v>
          </cell>
          <cell r="Z2525">
            <v>0</v>
          </cell>
          <cell r="AA2525">
            <v>0</v>
          </cell>
          <cell r="AB2525"/>
        </row>
        <row r="2526">
          <cell r="C2526">
            <v>0</v>
          </cell>
          <cell r="D2526">
            <v>0</v>
          </cell>
          <cell r="E2526">
            <v>0</v>
          </cell>
          <cell r="F2526">
            <v>0</v>
          </cell>
          <cell r="H2526">
            <v>4</v>
          </cell>
          <cell r="O2526">
            <v>221370</v>
          </cell>
          <cell r="P2526"/>
          <cell r="Q2526" t="str">
            <v>EST POLTRONA TETE (FREIJO NT) COURO NOBUCK 10</v>
          </cell>
          <cell r="R2526"/>
          <cell r="S2526"/>
          <cell r="T2526">
            <v>0.86</v>
          </cell>
          <cell r="U2526">
            <v>0.84</v>
          </cell>
          <cell r="V2526">
            <v>0.75</v>
          </cell>
          <cell r="W2526">
            <v>0</v>
          </cell>
          <cell r="X2526" t="str">
            <v>EST POLTRONA TETE (FREIJO NT) COURO NOBUCK 10 - 0,86x0,84x0,75H</v>
          </cell>
          <cell r="Y2526">
            <v>0</v>
          </cell>
          <cell r="Z2526">
            <v>0</v>
          </cell>
          <cell r="AA2526">
            <v>0</v>
          </cell>
          <cell r="AB2526"/>
        </row>
        <row r="2527">
          <cell r="C2527">
            <v>0</v>
          </cell>
          <cell r="D2527">
            <v>0</v>
          </cell>
          <cell r="E2527">
            <v>0</v>
          </cell>
          <cell r="F2527">
            <v>0</v>
          </cell>
          <cell r="H2527">
            <v>1</v>
          </cell>
          <cell r="O2527">
            <v>221501</v>
          </cell>
          <cell r="P2527"/>
          <cell r="Q2527" t="str">
            <v>EST BASE CENTRO GELSOMINA (G) (SUCUPIRA)</v>
          </cell>
          <cell r="R2527"/>
          <cell r="S2527"/>
          <cell r="T2527">
            <v>1.5</v>
          </cell>
          <cell r="U2527">
            <v>0.78</v>
          </cell>
          <cell r="V2527">
            <v>0.38</v>
          </cell>
          <cell r="W2527">
            <v>0</v>
          </cell>
          <cell r="X2527" t="str">
            <v>EST BASE CENTRO GELSOMINA (G) (SUCUPIRA) - 1,5x0,78x0,38H</v>
          </cell>
          <cell r="Y2527">
            <v>0</v>
          </cell>
          <cell r="Z2527">
            <v>0</v>
          </cell>
          <cell r="AA2527">
            <v>0</v>
          </cell>
          <cell r="AB2527"/>
        </row>
        <row r="2528">
          <cell r="C2528">
            <v>0</v>
          </cell>
          <cell r="D2528">
            <v>0</v>
          </cell>
          <cell r="E2528">
            <v>0</v>
          </cell>
          <cell r="F2528">
            <v>0</v>
          </cell>
          <cell r="H2528">
            <v>1</v>
          </cell>
          <cell r="O2528">
            <v>221504</v>
          </cell>
          <cell r="P2528"/>
          <cell r="Q2528" t="str">
            <v>EST TAMPO GELSOMINA (OVAL) (VERDE TIKAL) (BORDA DUP)</v>
          </cell>
          <cell r="R2528"/>
          <cell r="S2528"/>
          <cell r="T2528">
            <v>2.2000000000000002</v>
          </cell>
          <cell r="U2528">
            <v>1</v>
          </cell>
          <cell r="V2528">
            <v>0.02</v>
          </cell>
          <cell r="W2528">
            <v>0</v>
          </cell>
          <cell r="X2528" t="str">
            <v>EST TAMPO GELSOMINA (OVAL) (VERDE TIKAL) (BORDA DUP) - 2,2x1x0,02H</v>
          </cell>
          <cell r="Y2528">
            <v>0</v>
          </cell>
          <cell r="Z2528">
            <v>0.5</v>
          </cell>
          <cell r="AA2528">
            <v>0</v>
          </cell>
          <cell r="AB2528"/>
        </row>
        <row r="2529">
          <cell r="C2529">
            <v>0</v>
          </cell>
          <cell r="D2529">
            <v>0</v>
          </cell>
          <cell r="E2529">
            <v>0</v>
          </cell>
          <cell r="F2529">
            <v>0</v>
          </cell>
          <cell r="H2529">
            <v>1</v>
          </cell>
          <cell r="O2529">
            <v>221690</v>
          </cell>
          <cell r="P2529"/>
          <cell r="Q2529" t="str">
            <v>EST POLTRONA DORA (BAIXA) CAMURCA VANILLA</v>
          </cell>
          <cell r="R2529"/>
          <cell r="S2529"/>
          <cell r="T2529">
            <v>0.76</v>
          </cell>
          <cell r="U2529">
            <v>0.83</v>
          </cell>
          <cell r="V2529">
            <v>0.7</v>
          </cell>
          <cell r="W2529">
            <v>0</v>
          </cell>
          <cell r="X2529" t="str">
            <v>EST POLTRONA DORA (BAIXA) CAMURCA VANILLA - 0,76x0,83x0,7H</v>
          </cell>
          <cell r="Y2529">
            <v>0</v>
          </cell>
          <cell r="Z2529">
            <v>0.35</v>
          </cell>
          <cell r="AA2529">
            <v>0</v>
          </cell>
          <cell r="AB2529"/>
        </row>
        <row r="2530">
          <cell r="C2530">
            <v>0</v>
          </cell>
          <cell r="D2530">
            <v>0</v>
          </cell>
          <cell r="E2530">
            <v>0</v>
          </cell>
          <cell r="F2530">
            <v>0</v>
          </cell>
          <cell r="H2530">
            <v>1</v>
          </cell>
          <cell r="O2530">
            <v>221933</v>
          </cell>
          <cell r="P2530"/>
          <cell r="Q2530" t="str">
            <v>EST POLTRONA OSCAR JANTAR (TELA NATURAL) (MAD A COR 1)</v>
          </cell>
          <cell r="R2530"/>
          <cell r="S2530"/>
          <cell r="T2530">
            <v>0.7</v>
          </cell>
          <cell r="U2530">
            <v>0.61</v>
          </cell>
          <cell r="V2530">
            <v>0.85</v>
          </cell>
          <cell r="W2530">
            <v>0</v>
          </cell>
          <cell r="X2530" t="str">
            <v>EST POLTRONA OSCAR JANTAR (TELA NATURAL) (MAD A COR 1) - 0,7x0,61x0,85H</v>
          </cell>
          <cell r="Y2530">
            <v>0</v>
          </cell>
          <cell r="Z2530">
            <v>0.5</v>
          </cell>
          <cell r="AA2530">
            <v>0</v>
          </cell>
          <cell r="AB2530"/>
        </row>
        <row r="2531">
          <cell r="C2531">
            <v>0</v>
          </cell>
          <cell r="D2531">
            <v>0</v>
          </cell>
          <cell r="E2531">
            <v>0</v>
          </cell>
          <cell r="F2531">
            <v>0</v>
          </cell>
          <cell r="H2531">
            <v>0</v>
          </cell>
          <cell r="O2531">
            <v>221934</v>
          </cell>
          <cell r="P2531"/>
          <cell r="Q2531" t="str">
            <v>EST POLTRONA MOLECA (MAD B COR 03) COURO NOBUK 10</v>
          </cell>
          <cell r="R2531"/>
          <cell r="S2531"/>
          <cell r="T2531">
            <v>1.06</v>
          </cell>
          <cell r="U2531">
            <v>0.9</v>
          </cell>
          <cell r="V2531">
            <v>0.8</v>
          </cell>
          <cell r="W2531">
            <v>0</v>
          </cell>
          <cell r="X2531" t="str">
            <v>EST POLTRONA MOLECA (MAD B COR 03) COURO NOBUK 10 - 1,06x0,9x0,8H</v>
          </cell>
          <cell r="Y2531">
            <v>0</v>
          </cell>
          <cell r="Z2531">
            <v>0</v>
          </cell>
          <cell r="AA2531">
            <v>0</v>
          </cell>
          <cell r="AB2531"/>
        </row>
        <row r="2532">
          <cell r="C2532">
            <v>0</v>
          </cell>
          <cell r="D2532">
            <v>0</v>
          </cell>
          <cell r="E2532">
            <v>0</v>
          </cell>
          <cell r="F2532">
            <v>0</v>
          </cell>
          <cell r="H2532">
            <v>0</v>
          </cell>
          <cell r="O2532">
            <v>221935</v>
          </cell>
          <cell r="P2532"/>
          <cell r="Q2532" t="str">
            <v>EST BANQUETA MOLECA (MAD B COR 03) COURO NOBUK 10</v>
          </cell>
          <cell r="R2532"/>
          <cell r="S2532"/>
          <cell r="T2532">
            <v>0.81</v>
          </cell>
          <cell r="U2532">
            <v>0.52</v>
          </cell>
          <cell r="V2532">
            <v>0.43</v>
          </cell>
          <cell r="W2532">
            <v>0</v>
          </cell>
          <cell r="X2532" t="str">
            <v>EST BANQUETA MOLECA (MAD B COR 03) COURO NOBUK 10 - 0,81x0,52x0,43H</v>
          </cell>
          <cell r="Y2532">
            <v>0</v>
          </cell>
          <cell r="Z2532">
            <v>0</v>
          </cell>
          <cell r="AA2532">
            <v>0</v>
          </cell>
          <cell r="AB2532"/>
        </row>
        <row r="2533">
          <cell r="C2533">
            <v>0</v>
          </cell>
          <cell r="D2533">
            <v>0</v>
          </cell>
          <cell r="E2533">
            <v>0</v>
          </cell>
          <cell r="F2533">
            <v>0</v>
          </cell>
          <cell r="H2533">
            <v>1</v>
          </cell>
          <cell r="O2533">
            <v>222255</v>
          </cell>
          <cell r="P2533"/>
          <cell r="Q2533" t="str">
            <v>EST MESA LATERAL CAE (FREIJO TONALIZADO 2)</v>
          </cell>
          <cell r="R2533"/>
          <cell r="S2533"/>
          <cell r="T2533">
            <v>0.6</v>
          </cell>
          <cell r="U2533">
            <v>0.4</v>
          </cell>
          <cell r="V2533">
            <v>0.52</v>
          </cell>
          <cell r="W2533">
            <v>0</v>
          </cell>
          <cell r="X2533" t="str">
            <v>EST MESA LATERAL CAE (FREIJO TONALIZADO 2) - 0,6x0,4x0,52H</v>
          </cell>
          <cell r="Y2533">
            <v>0</v>
          </cell>
          <cell r="Z2533">
            <v>0</v>
          </cell>
          <cell r="AA2533">
            <v>0</v>
          </cell>
          <cell r="AB2533"/>
        </row>
        <row r="2534">
          <cell r="C2534">
            <v>0</v>
          </cell>
          <cell r="D2534">
            <v>0</v>
          </cell>
          <cell r="E2534">
            <v>0</v>
          </cell>
          <cell r="F2534">
            <v>0</v>
          </cell>
          <cell r="H2534">
            <v>2</v>
          </cell>
          <cell r="O2534">
            <v>222260</v>
          </cell>
          <cell r="P2534"/>
          <cell r="Q2534" t="str">
            <v>EST POLTRONA ANA (JEQUITIBA) COURO NOBUCK 10</v>
          </cell>
          <cell r="R2534"/>
          <cell r="S2534"/>
          <cell r="T2534">
            <v>0.74</v>
          </cell>
          <cell r="U2534">
            <v>0.83</v>
          </cell>
          <cell r="V2534">
            <v>1.01</v>
          </cell>
          <cell r="W2534">
            <v>0</v>
          </cell>
          <cell r="X2534" t="str">
            <v>EST POLTRONA ANA (JEQUITIBA) COURO NOBUCK 10 - 0,74x0,83x1,01H</v>
          </cell>
          <cell r="Y2534">
            <v>0</v>
          </cell>
          <cell r="Z2534">
            <v>0</v>
          </cell>
          <cell r="AA2534">
            <v>0</v>
          </cell>
          <cell r="AB2534"/>
        </row>
        <row r="2535">
          <cell r="C2535">
            <v>0</v>
          </cell>
          <cell r="D2535">
            <v>0</v>
          </cell>
          <cell r="E2535">
            <v>0</v>
          </cell>
          <cell r="F2535">
            <v>0</v>
          </cell>
          <cell r="H2535">
            <v>2</v>
          </cell>
          <cell r="O2535">
            <v>222261</v>
          </cell>
          <cell r="P2535"/>
          <cell r="Q2535" t="str">
            <v>EST BANQUETA ANA (JEQUITIBA) COURO NOBUCK 10</v>
          </cell>
          <cell r="R2535"/>
          <cell r="S2535"/>
          <cell r="T2535">
            <v>0.66</v>
          </cell>
          <cell r="U2535">
            <v>0.43</v>
          </cell>
          <cell r="V2535">
            <v>0.47</v>
          </cell>
          <cell r="W2535">
            <v>0</v>
          </cell>
          <cell r="X2535" t="str">
            <v>EST BANQUETA ANA (JEQUITIBA) COURO NOBUCK 10 - 0,66x0,43x0,47H</v>
          </cell>
          <cell r="Y2535">
            <v>0</v>
          </cell>
          <cell r="Z2535">
            <v>0</v>
          </cell>
          <cell r="AA2535">
            <v>0</v>
          </cell>
          <cell r="AB2535"/>
        </row>
        <row r="2536">
          <cell r="C2536">
            <v>0</v>
          </cell>
          <cell r="D2536">
            <v>0</v>
          </cell>
          <cell r="E2536">
            <v>0</v>
          </cell>
          <cell r="F2536">
            <v>0</v>
          </cell>
          <cell r="H2536">
            <v>0</v>
          </cell>
          <cell r="O2536">
            <v>222329</v>
          </cell>
          <cell r="P2536"/>
          <cell r="Q2536" t="str">
            <v>EST MOVEL AUXILIAR PINHIM 01 (1 PRT/1 PTA) (CATUABA VEIO PT)</v>
          </cell>
          <cell r="R2536"/>
          <cell r="S2536"/>
          <cell r="T2536">
            <v>0.55000000000000004</v>
          </cell>
          <cell r="U2536">
            <v>0.45</v>
          </cell>
          <cell r="V2536">
            <v>0.49</v>
          </cell>
          <cell r="W2536">
            <v>0</v>
          </cell>
          <cell r="X2536" t="str">
            <v>EST MOVEL AUXILIAR PINHIM 01 (1 PRT/1 PTA) (CATUABA VEIO PT) - 0,55x0,45x0,49H</v>
          </cell>
          <cell r="Y2536">
            <v>0</v>
          </cell>
          <cell r="Z2536">
            <v>0</v>
          </cell>
          <cell r="AA2536">
            <v>0</v>
          </cell>
          <cell r="AB2536"/>
        </row>
        <row r="2537">
          <cell r="C2537">
            <v>0</v>
          </cell>
          <cell r="D2537">
            <v>0</v>
          </cell>
          <cell r="E2537">
            <v>0</v>
          </cell>
          <cell r="F2537">
            <v>0</v>
          </cell>
          <cell r="H2537">
            <v>1</v>
          </cell>
          <cell r="O2537">
            <v>222392</v>
          </cell>
          <cell r="P2537"/>
          <cell r="Q2537" t="str">
            <v>EST MESA LATERAL BV (RESINA SAYERLACK K155) (FREIJO ESCURO)</v>
          </cell>
          <cell r="R2537"/>
          <cell r="S2537"/>
          <cell r="T2537">
            <v>0.65</v>
          </cell>
          <cell r="U2537">
            <v>0.25</v>
          </cell>
          <cell r="V2537">
            <v>0.4</v>
          </cell>
          <cell r="W2537">
            <v>0</v>
          </cell>
          <cell r="X2537" t="str">
            <v>EST MESA LATERAL BV (RESINA SAYERLACK K155) (FREIJO ESCURO) - 0,65x0,25x0,4H</v>
          </cell>
          <cell r="Y2537">
            <v>0</v>
          </cell>
          <cell r="Z2537">
            <v>0</v>
          </cell>
          <cell r="AA2537">
            <v>0</v>
          </cell>
          <cell r="AB2537"/>
        </row>
        <row r="2538">
          <cell r="C2538">
            <v>0</v>
          </cell>
          <cell r="D2538">
            <v>0</v>
          </cell>
          <cell r="E2538">
            <v>0</v>
          </cell>
          <cell r="F2538">
            <v>0</v>
          </cell>
          <cell r="H2538">
            <v>2</v>
          </cell>
          <cell r="O2538">
            <v>222594</v>
          </cell>
          <cell r="P2538"/>
          <cell r="Q2538" t="str">
            <v>EST CADEIRA ANEL (ACO CARBONO) (CAMURCA CARAMELO)</v>
          </cell>
          <cell r="R2538"/>
          <cell r="S2538"/>
          <cell r="T2538">
            <v>0.68</v>
          </cell>
          <cell r="U2538">
            <v>0</v>
          </cell>
          <cell r="V2538">
            <v>0.82</v>
          </cell>
          <cell r="W2538">
            <v>0.68</v>
          </cell>
          <cell r="X2538" t="str">
            <v>EST CADEIRA ANEL (ACO CARBONO) (CAMURCA CARAMELO) - Ø0,68x0,82H</v>
          </cell>
          <cell r="Y2538">
            <v>0</v>
          </cell>
          <cell r="Z2538">
            <v>0</v>
          </cell>
          <cell r="AA2538">
            <v>0</v>
          </cell>
          <cell r="AB2538"/>
        </row>
        <row r="2539">
          <cell r="C2539">
            <v>0</v>
          </cell>
          <cell r="D2539">
            <v>0</v>
          </cell>
          <cell r="E2539">
            <v>0</v>
          </cell>
          <cell r="F2539">
            <v>0</v>
          </cell>
          <cell r="H2539">
            <v>1</v>
          </cell>
          <cell r="O2539">
            <v>222688</v>
          </cell>
          <cell r="P2539"/>
          <cell r="Q2539" t="str">
            <v>EST CADEIRA LUCIO (TELA NATURAL) (MAD B COR 03)</v>
          </cell>
          <cell r="R2539"/>
          <cell r="S2539"/>
          <cell r="T2539">
            <v>0.48</v>
          </cell>
          <cell r="U2539">
            <v>0.49</v>
          </cell>
          <cell r="V2539">
            <v>0.81</v>
          </cell>
          <cell r="W2539">
            <v>0</v>
          </cell>
          <cell r="X2539" t="str">
            <v>EST CADEIRA LUCIO (TELA NATURAL) (MAD B COR 03) - 0,48x0,49x0,81H</v>
          </cell>
          <cell r="Y2539">
            <v>0</v>
          </cell>
          <cell r="Z2539">
            <v>0</v>
          </cell>
          <cell r="AA2539">
            <v>0</v>
          </cell>
          <cell r="AB2539"/>
        </row>
        <row r="2540">
          <cell r="C2540">
            <v>0</v>
          </cell>
          <cell r="D2540">
            <v>0</v>
          </cell>
          <cell r="E2540">
            <v>0</v>
          </cell>
          <cell r="F2540">
            <v>0</v>
          </cell>
          <cell r="H2540">
            <v>1</v>
          </cell>
          <cell r="O2540">
            <v>222691</v>
          </cell>
          <cell r="P2540"/>
          <cell r="Q2540" t="str">
            <v>EST BANQUETA VRONKA (MAD B COR 05) TC EL MEDA GREY</v>
          </cell>
          <cell r="R2540"/>
          <cell r="S2540"/>
          <cell r="T2540">
            <v>0.74</v>
          </cell>
          <cell r="U2540">
            <v>0.52</v>
          </cell>
          <cell r="V2540">
            <v>0.42</v>
          </cell>
          <cell r="W2540">
            <v>0</v>
          </cell>
          <cell r="X2540" t="str">
            <v>EST BANQUETA VRONKA (MAD B COR 05) TC EL MEDA GREY - 0,74x0,52x0,42H</v>
          </cell>
          <cell r="Y2540">
            <v>0</v>
          </cell>
          <cell r="Z2540">
            <v>0</v>
          </cell>
          <cell r="AA2540">
            <v>0</v>
          </cell>
          <cell r="AB2540"/>
        </row>
        <row r="2541">
          <cell r="C2541">
            <v>0</v>
          </cell>
          <cell r="D2541">
            <v>0</v>
          </cell>
          <cell r="E2541">
            <v>0</v>
          </cell>
          <cell r="F2541">
            <v>0</v>
          </cell>
          <cell r="H2541">
            <v>1</v>
          </cell>
          <cell r="O2541">
            <v>222692</v>
          </cell>
          <cell r="P2541"/>
          <cell r="Q2541" t="str">
            <v>EST POLTRONA VRONKA (MAD B COR 05) TC EL MEDA GREY</v>
          </cell>
          <cell r="R2541"/>
          <cell r="S2541"/>
          <cell r="T2541">
            <v>0.74</v>
          </cell>
          <cell r="U2541">
            <v>0.91</v>
          </cell>
          <cell r="V2541">
            <v>0.93</v>
          </cell>
          <cell r="W2541">
            <v>0</v>
          </cell>
          <cell r="X2541" t="str">
            <v>EST POLTRONA VRONKA (MAD B COR 05) TC EL MEDA GREY - 0,74x0,91x0,93H</v>
          </cell>
          <cell r="Y2541">
            <v>0</v>
          </cell>
          <cell r="Z2541">
            <v>0</v>
          </cell>
          <cell r="AA2541">
            <v>0</v>
          </cell>
          <cell r="AB2541"/>
        </row>
        <row r="2542">
          <cell r="C2542">
            <v>0</v>
          </cell>
          <cell r="D2542">
            <v>0</v>
          </cell>
          <cell r="E2542">
            <v>0</v>
          </cell>
          <cell r="F2542">
            <v>0</v>
          </cell>
          <cell r="H2542">
            <v>1</v>
          </cell>
          <cell r="O2542">
            <v>222880</v>
          </cell>
          <cell r="P2542"/>
          <cell r="Q2542" t="str">
            <v>EST BANCO DECK (GARAPEIRA STAIN ESCURO) S/ALMOFADA</v>
          </cell>
          <cell r="R2542"/>
          <cell r="S2542"/>
          <cell r="T2542">
            <v>1.85</v>
          </cell>
          <cell r="U2542">
            <v>0.85</v>
          </cell>
          <cell r="V2542">
            <v>0.28000000000000003</v>
          </cell>
          <cell r="W2542">
            <v>0</v>
          </cell>
          <cell r="X2542" t="str">
            <v>EST BANCO DECK (GARAPEIRA STAIN ESCURO) S/ALMOFADA - 1,85x0,85x0,28H</v>
          </cell>
          <cell r="Y2542">
            <v>0</v>
          </cell>
          <cell r="Z2542">
            <v>0</v>
          </cell>
          <cell r="AA2542">
            <v>0</v>
          </cell>
          <cell r="AB2542"/>
        </row>
        <row r="2543">
          <cell r="C2543">
            <v>0</v>
          </cell>
          <cell r="D2543">
            <v>0</v>
          </cell>
          <cell r="E2543">
            <v>0</v>
          </cell>
          <cell r="F2543">
            <v>0</v>
          </cell>
          <cell r="H2543">
            <v>0</v>
          </cell>
          <cell r="O2543">
            <v>222881</v>
          </cell>
          <cell r="P2543"/>
          <cell r="Q2543" t="str">
            <v>EST BASE JANTAR AERO (P/TP 3,00X1,10) (PRETO MTZ FSC)</v>
          </cell>
          <cell r="R2543"/>
          <cell r="S2543"/>
          <cell r="T2543">
            <v>3</v>
          </cell>
          <cell r="U2543">
            <v>1.1000000000000001</v>
          </cell>
          <cell r="V2543">
            <v>0.74</v>
          </cell>
          <cell r="W2543">
            <v>0</v>
          </cell>
          <cell r="X2543" t="str">
            <v>EST BASE JANTAR AERO (P/TP 3,00X1,10) (PRETO MTZ FSC) - 3x1,1x0,74H</v>
          </cell>
          <cell r="Y2543">
            <v>0</v>
          </cell>
          <cell r="Z2543">
            <v>0.5</v>
          </cell>
          <cell r="AA2543">
            <v>0</v>
          </cell>
          <cell r="AB2543"/>
        </row>
        <row r="2544">
          <cell r="C2544">
            <v>0</v>
          </cell>
          <cell r="D2544">
            <v>0</v>
          </cell>
          <cell r="E2544">
            <v>0</v>
          </cell>
          <cell r="F2544">
            <v>0</v>
          </cell>
          <cell r="H2544">
            <v>1</v>
          </cell>
          <cell r="O2544">
            <v>222970</v>
          </cell>
          <cell r="P2544"/>
          <cell r="Q2544" t="str">
            <v>EST ESCRIVANINHA LACERDA (S/VIDRO FREIJO NATURAL)</v>
          </cell>
          <cell r="R2544"/>
          <cell r="S2544"/>
          <cell r="T2544">
            <v>1.18</v>
          </cell>
          <cell r="U2544">
            <v>0.7</v>
          </cell>
          <cell r="V2544">
            <v>0.74</v>
          </cell>
          <cell r="W2544">
            <v>0</v>
          </cell>
          <cell r="X2544" t="str">
            <v>EST ESCRIVANINHA LACERDA (S/VIDRO FREIJO NATURAL) - 1,18x0,7x0,74H</v>
          </cell>
          <cell r="Y2544">
            <v>0</v>
          </cell>
          <cell r="Z2544">
            <v>0</v>
          </cell>
          <cell r="AA2544">
            <v>0</v>
          </cell>
          <cell r="AB2544"/>
        </row>
        <row r="2545">
          <cell r="C2545">
            <v>0</v>
          </cell>
          <cell r="D2545">
            <v>0</v>
          </cell>
          <cell r="E2545">
            <v>0</v>
          </cell>
          <cell r="F2545">
            <v>0</v>
          </cell>
          <cell r="H2545">
            <v>1</v>
          </cell>
          <cell r="O2545">
            <v>223100</v>
          </cell>
          <cell r="P2545"/>
          <cell r="Q2545" t="str">
            <v>EST CADEIRA GB01 RIPADA (JEQ 03) TC LINHO 501</v>
          </cell>
          <cell r="R2545"/>
          <cell r="S2545"/>
          <cell r="T2545">
            <v>0.45</v>
          </cell>
          <cell r="U2545">
            <v>0.48</v>
          </cell>
          <cell r="V2545">
            <v>0.85</v>
          </cell>
          <cell r="W2545">
            <v>0</v>
          </cell>
          <cell r="X2545" t="str">
            <v>EST CADEIRA GB01 RIPADA (JEQ 03) TC LINHO 501 - 0,45x0,48x0,85H</v>
          </cell>
          <cell r="Y2545">
            <v>0</v>
          </cell>
          <cell r="Z2545">
            <v>0</v>
          </cell>
          <cell r="AA2545">
            <v>0</v>
          </cell>
          <cell r="AB2545"/>
        </row>
        <row r="2546">
          <cell r="C2546">
            <v>0</v>
          </cell>
          <cell r="D2546">
            <v>0</v>
          </cell>
          <cell r="E2546">
            <v>0</v>
          </cell>
          <cell r="F2546">
            <v>0</v>
          </cell>
          <cell r="H2546">
            <v>1</v>
          </cell>
          <cell r="O2546">
            <v>223103</v>
          </cell>
          <cell r="P2546"/>
          <cell r="Q2546" t="str">
            <v>EST CADEIRA TIMBO (CUMARU POLIDO)</v>
          </cell>
          <cell r="R2546"/>
          <cell r="S2546"/>
          <cell r="T2546">
            <v>0.44</v>
          </cell>
          <cell r="U2546">
            <v>0.56999999999999995</v>
          </cell>
          <cell r="V2546">
            <v>0.87</v>
          </cell>
          <cell r="W2546">
            <v>0</v>
          </cell>
          <cell r="X2546" t="str">
            <v>EST CADEIRA TIMBO (CUMARU POLIDO) - 0,44x0,57x0,87H</v>
          </cell>
          <cell r="Y2546">
            <v>0</v>
          </cell>
          <cell r="Z2546">
            <v>0</v>
          </cell>
          <cell r="AA2546">
            <v>0</v>
          </cell>
          <cell r="AB2546"/>
        </row>
        <row r="2547">
          <cell r="C2547">
            <v>0</v>
          </cell>
          <cell r="D2547">
            <v>0</v>
          </cell>
          <cell r="E2547">
            <v>0</v>
          </cell>
          <cell r="F2547">
            <v>0</v>
          </cell>
          <cell r="H2547">
            <v>3</v>
          </cell>
          <cell r="O2547">
            <v>223231</v>
          </cell>
          <cell r="P2547"/>
          <cell r="Q2547" t="str">
            <v>EST BANCO DOMINO (6 LUG) (CILIN PINHO RIGA) (CONC NT) (INOX)</v>
          </cell>
          <cell r="R2547"/>
          <cell r="S2547"/>
          <cell r="T2547">
            <v>2.73</v>
          </cell>
          <cell r="U2547">
            <v>0.45</v>
          </cell>
          <cell r="V2547">
            <v>0.48</v>
          </cell>
          <cell r="W2547">
            <v>0</v>
          </cell>
          <cell r="X2547" t="str">
            <v>EST BANCO DOMINO (6 LUG) (CILIN PINHO RIGA) (CONC NT) (INOX) - 2,73x0,45x0,48H</v>
          </cell>
          <cell r="Y2547">
            <v>0</v>
          </cell>
          <cell r="Z2547">
            <v>0</v>
          </cell>
          <cell r="AA2547">
            <v>0</v>
          </cell>
          <cell r="AB2547"/>
        </row>
        <row r="2548">
          <cell r="C2548">
            <v>0</v>
          </cell>
          <cell r="D2548">
            <v>0</v>
          </cell>
          <cell r="E2548">
            <v>0</v>
          </cell>
          <cell r="F2548">
            <v>0</v>
          </cell>
          <cell r="H2548">
            <v>4</v>
          </cell>
          <cell r="O2548">
            <v>223657</v>
          </cell>
          <cell r="P2548"/>
          <cell r="Q2548" t="str">
            <v>EST CADEIRA MARESIAS S/BRACO (COURO MARROM) (CUMARU POLIDO)</v>
          </cell>
          <cell r="R2548"/>
          <cell r="S2548"/>
          <cell r="T2548">
            <v>0.52</v>
          </cell>
          <cell r="U2548">
            <v>0.55000000000000004</v>
          </cell>
          <cell r="V2548">
            <v>0.83</v>
          </cell>
          <cell r="W2548">
            <v>0</v>
          </cell>
          <cell r="X2548" t="str">
            <v>EST CADEIRA MARESIAS S/BRACO (COURO MARROM) (CUMARU POLIDO) - 0,52x0,55x0,83H</v>
          </cell>
          <cell r="Y2548">
            <v>0</v>
          </cell>
          <cell r="Z2548">
            <v>0</v>
          </cell>
          <cell r="AA2548">
            <v>0</v>
          </cell>
          <cell r="AB2548"/>
        </row>
        <row r="2549">
          <cell r="C2549">
            <v>0</v>
          </cell>
          <cell r="D2549">
            <v>0</v>
          </cell>
          <cell r="E2549">
            <v>0</v>
          </cell>
          <cell r="F2549">
            <v>0</v>
          </cell>
          <cell r="H2549">
            <v>2</v>
          </cell>
          <cell r="O2549">
            <v>223658</v>
          </cell>
          <cell r="P2549"/>
          <cell r="Q2549" t="str">
            <v>EST BANCO MARESIAS (NAUTICA PRETA) (CUMARU POLIDO)</v>
          </cell>
          <cell r="R2549"/>
          <cell r="S2549"/>
          <cell r="T2549">
            <v>0.49</v>
          </cell>
          <cell r="U2549">
            <v>0.4</v>
          </cell>
          <cell r="V2549">
            <v>0.45</v>
          </cell>
          <cell r="W2549">
            <v>0</v>
          </cell>
          <cell r="X2549" t="str">
            <v>EST BANCO MARESIAS (NAUTICA PRETA) (CUMARU POLIDO) - 0,49x0,4x0,45H</v>
          </cell>
          <cell r="Y2549">
            <v>0</v>
          </cell>
          <cell r="Z2549">
            <v>0</v>
          </cell>
          <cell r="AA2549">
            <v>0</v>
          </cell>
          <cell r="AB2549"/>
        </row>
        <row r="2550">
          <cell r="C2550">
            <v>0</v>
          </cell>
          <cell r="D2550">
            <v>0</v>
          </cell>
          <cell r="E2550">
            <v>0</v>
          </cell>
          <cell r="F2550">
            <v>0</v>
          </cell>
          <cell r="H2550">
            <v>2</v>
          </cell>
          <cell r="O2550">
            <v>223659</v>
          </cell>
          <cell r="P2550"/>
          <cell r="Q2550" t="str">
            <v>EST BANQUETA BAR MARESIAS (B) (NAUTICA PRETA CUMARU POL)</v>
          </cell>
          <cell r="R2550"/>
          <cell r="S2550"/>
          <cell r="T2550">
            <v>0.49</v>
          </cell>
          <cell r="U2550">
            <v>0.4</v>
          </cell>
          <cell r="V2550">
            <v>0.72</v>
          </cell>
          <cell r="W2550">
            <v>0</v>
          </cell>
          <cell r="X2550" t="str">
            <v>EST BANQUETA BAR MARESIAS (B) (NAUTICA PRETA CUMARU POL) - 0,49x0,4x0,72H</v>
          </cell>
          <cell r="Y2550">
            <v>0</v>
          </cell>
          <cell r="Z2550">
            <v>0</v>
          </cell>
          <cell r="AA2550">
            <v>0</v>
          </cell>
          <cell r="AB2550"/>
        </row>
        <row r="2551">
          <cell r="C2551">
            <v>0</v>
          </cell>
          <cell r="D2551">
            <v>0</v>
          </cell>
          <cell r="E2551">
            <v>0</v>
          </cell>
          <cell r="F2551">
            <v>0</v>
          </cell>
          <cell r="H2551">
            <v>1</v>
          </cell>
          <cell r="O2551">
            <v>223739</v>
          </cell>
          <cell r="P2551"/>
          <cell r="Q2551" t="str">
            <v>EST POLTRONA STELLA (BAIXA) (MAD A COR 01) TC EL MEDA AQUA</v>
          </cell>
          <cell r="R2551"/>
          <cell r="S2551"/>
          <cell r="T2551">
            <v>0.74</v>
          </cell>
          <cell r="U2551">
            <v>0.92</v>
          </cell>
          <cell r="V2551">
            <v>0.69</v>
          </cell>
          <cell r="W2551">
            <v>0</v>
          </cell>
          <cell r="X2551" t="str">
            <v>EST POLTRONA STELLA (BAIXA) (MAD A COR 01) TC EL MEDA AQUA - 0,74x0,92x0,69H</v>
          </cell>
          <cell r="Y2551">
            <v>0</v>
          </cell>
          <cell r="Z2551">
            <v>0</v>
          </cell>
          <cell r="AA2551">
            <v>0</v>
          </cell>
          <cell r="AB2551"/>
        </row>
        <row r="2552">
          <cell r="C2552">
            <v>0</v>
          </cell>
          <cell r="D2552">
            <v>0</v>
          </cell>
          <cell r="E2552">
            <v>0</v>
          </cell>
          <cell r="F2552">
            <v>0</v>
          </cell>
          <cell r="H2552">
            <v>1</v>
          </cell>
          <cell r="O2552">
            <v>224089</v>
          </cell>
          <cell r="P2552"/>
          <cell r="Q2552" t="str">
            <v>EST BASE JANTAR CONE (TAMPO FORN) (CONCRETO PRETO)</v>
          </cell>
          <cell r="R2552"/>
          <cell r="S2552"/>
          <cell r="T2552">
            <v>0.35</v>
          </cell>
          <cell r="U2552">
            <v>0</v>
          </cell>
          <cell r="V2552">
            <v>0.7</v>
          </cell>
          <cell r="W2552">
            <v>0</v>
          </cell>
          <cell r="X2552" t="str">
            <v>EST BASE JANTAR CONE (TAMPO FORN) (CONCRETO PRETO) - Ø0x0,7H</v>
          </cell>
          <cell r="Y2552">
            <v>0</v>
          </cell>
          <cell r="Z2552">
            <v>0.5</v>
          </cell>
          <cell r="AA2552">
            <v>0</v>
          </cell>
          <cell r="AB2552"/>
        </row>
        <row r="2553">
          <cell r="C2553">
            <v>0</v>
          </cell>
          <cell r="D2553">
            <v>0</v>
          </cell>
          <cell r="E2553">
            <v>0</v>
          </cell>
          <cell r="F2553">
            <v>0</v>
          </cell>
          <cell r="H2553">
            <v>0</v>
          </cell>
          <cell r="O2553">
            <v>224158</v>
          </cell>
          <cell r="P2553"/>
          <cell r="Q2553" t="str">
            <v>EST BASE CENTRO GELSOMINA (P) (SUCUPIRA)</v>
          </cell>
          <cell r="R2553"/>
          <cell r="S2553"/>
          <cell r="T2553">
            <v>1.34</v>
          </cell>
          <cell r="U2553">
            <v>0.63</v>
          </cell>
          <cell r="V2553">
            <v>0.33</v>
          </cell>
          <cell r="W2553">
            <v>0</v>
          </cell>
          <cell r="X2553" t="str">
            <v>EST BASE CENTRO GELSOMINA (P) (SUCUPIRA) - 1,34x0,63x0,33H</v>
          </cell>
          <cell r="Y2553">
            <v>0</v>
          </cell>
          <cell r="Z2553">
            <v>0</v>
          </cell>
          <cell r="AA2553">
            <v>0</v>
          </cell>
          <cell r="AB2553"/>
        </row>
        <row r="2554">
          <cell r="C2554">
            <v>0</v>
          </cell>
          <cell r="D2554">
            <v>1</v>
          </cell>
          <cell r="E2554">
            <v>0</v>
          </cell>
          <cell r="F2554">
            <v>0</v>
          </cell>
          <cell r="H2554">
            <v>0</v>
          </cell>
          <cell r="O2554">
            <v>224670</v>
          </cell>
          <cell r="P2554"/>
          <cell r="Q2554" t="str">
            <v>EST CADEIRA OMAR C/B ALT (MAD B LOURO ESP) TC EL MEDA WHITE</v>
          </cell>
          <cell r="R2554"/>
          <cell r="S2554"/>
          <cell r="T2554">
            <v>0.55000000000000004</v>
          </cell>
          <cell r="U2554">
            <v>0.55000000000000004</v>
          </cell>
          <cell r="V2554">
            <v>0.82</v>
          </cell>
          <cell r="W2554">
            <v>0</v>
          </cell>
          <cell r="X2554" t="str">
            <v>EST CADEIRA OMAR C/B ALT (MAD B LOURO ESP) TC EL MEDA WHITE - 0,55x0,55x0,82H</v>
          </cell>
          <cell r="Y2554">
            <v>0</v>
          </cell>
          <cell r="Z2554">
            <v>0</v>
          </cell>
          <cell r="AA2554">
            <v>0</v>
          </cell>
          <cell r="AB2554"/>
        </row>
        <row r="2555">
          <cell r="C2555">
            <v>0</v>
          </cell>
          <cell r="D2555">
            <v>0</v>
          </cell>
          <cell r="E2555">
            <v>0</v>
          </cell>
          <cell r="F2555">
            <v>0</v>
          </cell>
          <cell r="H2555">
            <v>1</v>
          </cell>
          <cell r="O2555">
            <v>224968</v>
          </cell>
          <cell r="P2555"/>
          <cell r="Q2555" t="str">
            <v>EST BUFFET OBLONGO (P FERRO CLARO) (PTO FSC SOLID)</v>
          </cell>
          <cell r="R2555"/>
          <cell r="S2555"/>
          <cell r="T2555">
            <v>2.5</v>
          </cell>
          <cell r="U2555">
            <v>0.5</v>
          </cell>
          <cell r="V2555">
            <v>0.74</v>
          </cell>
          <cell r="W2555">
            <v>0</v>
          </cell>
          <cell r="X2555" t="str">
            <v>EST BUFFET OBLONGO (P FERRO CLARO) (PTO FSC SOLID) - 2,5x0,5x0,74H</v>
          </cell>
          <cell r="Y2555">
            <v>0</v>
          </cell>
          <cell r="Z2555">
            <v>0</v>
          </cell>
          <cell r="AA2555">
            <v>0</v>
          </cell>
          <cell r="AB2555"/>
        </row>
        <row r="2556">
          <cell r="C2556">
            <v>0</v>
          </cell>
          <cell r="D2556">
            <v>0</v>
          </cell>
          <cell r="E2556">
            <v>0</v>
          </cell>
          <cell r="F2556">
            <v>0</v>
          </cell>
          <cell r="H2556">
            <v>1</v>
          </cell>
          <cell r="O2556">
            <v>225198</v>
          </cell>
          <cell r="P2556"/>
          <cell r="Q2556" t="str">
            <v>EST MESA JANTAR CONE (TPO PAU FERRO NT) CONCRETO PRETO</v>
          </cell>
          <cell r="R2556"/>
          <cell r="S2556"/>
          <cell r="T2556">
            <v>0</v>
          </cell>
          <cell r="U2556">
            <v>0</v>
          </cell>
          <cell r="V2556">
            <v>0.75</v>
          </cell>
          <cell r="W2556">
            <v>0</v>
          </cell>
          <cell r="X2556" t="str">
            <v>EST MESA JANTAR CONE (TPO PAU FERRO NT) CONCRETO PRETO - Ø0x0,75H</v>
          </cell>
          <cell r="Y2556">
            <v>0</v>
          </cell>
          <cell r="Z2556">
            <v>0</v>
          </cell>
          <cell r="AA2556">
            <v>0</v>
          </cell>
          <cell r="AB2556"/>
        </row>
        <row r="2557">
          <cell r="C2557">
            <v>0</v>
          </cell>
          <cell r="D2557">
            <v>0</v>
          </cell>
          <cell r="E2557">
            <v>0</v>
          </cell>
          <cell r="F2557">
            <v>0</v>
          </cell>
          <cell r="H2557">
            <v>2</v>
          </cell>
          <cell r="O2557">
            <v>225624</v>
          </cell>
          <cell r="P2557"/>
          <cell r="Q2557" t="str">
            <v>EST BANQUETA BAR TIAO H61 (MAD B COR 03) TC CHEVR LI1354 NT</v>
          </cell>
          <cell r="R2557"/>
          <cell r="S2557"/>
          <cell r="T2557">
            <v>0.48</v>
          </cell>
          <cell r="U2557">
            <v>0.52</v>
          </cell>
          <cell r="V2557">
            <v>0.91</v>
          </cell>
          <cell r="W2557">
            <v>0</v>
          </cell>
          <cell r="X2557" t="str">
            <v>EST BANQUETA BAR TIAO H61 (MAD B COR 03) TC CHEVR LI1354 NT - 0,48x0,52x0,91H</v>
          </cell>
          <cell r="Y2557">
            <v>0</v>
          </cell>
          <cell r="Z2557">
            <v>0.5</v>
          </cell>
          <cell r="AA2557">
            <v>0</v>
          </cell>
          <cell r="AB2557"/>
        </row>
        <row r="2558">
          <cell r="C2558">
            <v>0</v>
          </cell>
          <cell r="D2558">
            <v>0</v>
          </cell>
          <cell r="E2558">
            <v>0</v>
          </cell>
          <cell r="F2558">
            <v>0</v>
          </cell>
          <cell r="H2558">
            <v>4</v>
          </cell>
          <cell r="O2558">
            <v>225646</v>
          </cell>
          <cell r="P2558"/>
          <cell r="Q2558" t="str">
            <v>EST LUMINARIA XIBO (LATAO CROMADO) (FREIJO NATURAL)</v>
          </cell>
          <cell r="R2558"/>
          <cell r="S2558"/>
          <cell r="T2558">
            <v>0.46</v>
          </cell>
          <cell r="U2558">
            <v>0</v>
          </cell>
          <cell r="V2558">
            <v>0.63</v>
          </cell>
          <cell r="W2558">
            <v>0.46</v>
          </cell>
          <cell r="X2558" t="str">
            <v>EST LUMINARIA XIBO (LATAO CROMADO) (FREIJO NATURAL) - Ø0,46x0,63H</v>
          </cell>
          <cell r="Y2558">
            <v>0</v>
          </cell>
          <cell r="Z2558">
            <v>0</v>
          </cell>
          <cell r="AA2558">
            <v>0</v>
          </cell>
          <cell r="AB2558"/>
        </row>
        <row r="2559">
          <cell r="C2559">
            <v>0</v>
          </cell>
          <cell r="D2559">
            <v>0</v>
          </cell>
          <cell r="E2559">
            <v>0</v>
          </cell>
          <cell r="F2559">
            <v>0</v>
          </cell>
          <cell r="H2559">
            <v>8</v>
          </cell>
          <cell r="O2559">
            <v>225782</v>
          </cell>
          <cell r="P2559"/>
          <cell r="Q2559" t="str">
            <v>EST BANCO GB (TELA NAT) (SUCUPIRA) (ACO PTO)</v>
          </cell>
          <cell r="R2559"/>
          <cell r="S2559"/>
          <cell r="T2559">
            <v>0.42</v>
          </cell>
          <cell r="U2559">
            <v>0.42</v>
          </cell>
          <cell r="V2559">
            <v>0.45</v>
          </cell>
          <cell r="W2559">
            <v>0</v>
          </cell>
          <cell r="X2559" t="str">
            <v>EST BANCO GB (TELA NAT) (SUCUPIRA) (ACO PTO) - 0,42x0,42x0,45H</v>
          </cell>
          <cell r="Y2559">
            <v>0</v>
          </cell>
          <cell r="Z2559">
            <v>0</v>
          </cell>
          <cell r="AA2559">
            <v>0</v>
          </cell>
          <cell r="AB2559"/>
        </row>
        <row r="2560">
          <cell r="C2560">
            <v>0</v>
          </cell>
          <cell r="D2560">
            <v>0</v>
          </cell>
          <cell r="E2560">
            <v>0</v>
          </cell>
          <cell r="F2560">
            <v>0</v>
          </cell>
          <cell r="H2560">
            <v>1</v>
          </cell>
          <cell r="O2560">
            <v>225790</v>
          </cell>
          <cell r="P2560"/>
          <cell r="Q2560" t="str">
            <v>EST POLTRONA JULIA ESTAR (TELA NATURAL) (MAD A COR 01)</v>
          </cell>
          <cell r="R2560"/>
          <cell r="S2560"/>
          <cell r="T2560">
            <v>0.66</v>
          </cell>
          <cell r="U2560">
            <v>0.63</v>
          </cell>
          <cell r="V2560">
            <v>0.74</v>
          </cell>
          <cell r="W2560">
            <v>0</v>
          </cell>
          <cell r="X2560" t="str">
            <v>EST POLTRONA JULIA ESTAR (TELA NATURAL) (MAD A COR 01) - 0,66x0,63x0,74H</v>
          </cell>
          <cell r="Y2560">
            <v>0</v>
          </cell>
          <cell r="Z2560">
            <v>0</v>
          </cell>
          <cell r="AA2560">
            <v>0</v>
          </cell>
          <cell r="AB2560"/>
        </row>
        <row r="2561">
          <cell r="C2561">
            <v>0</v>
          </cell>
          <cell r="D2561">
            <v>0</v>
          </cell>
          <cell r="E2561">
            <v>0</v>
          </cell>
          <cell r="F2561">
            <v>0</v>
          </cell>
          <cell r="H2561">
            <v>1</v>
          </cell>
          <cell r="O2561">
            <v>225792</v>
          </cell>
          <cell r="P2561"/>
          <cell r="Q2561" t="str">
            <v>EST POLTRONA JULIA ESTAR (TELA NATURAL) (MAD B COR 03)</v>
          </cell>
          <cell r="R2561"/>
          <cell r="S2561"/>
          <cell r="T2561">
            <v>0.66</v>
          </cell>
          <cell r="U2561">
            <v>0.63</v>
          </cell>
          <cell r="V2561">
            <v>0.74</v>
          </cell>
          <cell r="W2561">
            <v>0</v>
          </cell>
          <cell r="X2561" t="str">
            <v>EST POLTRONA JULIA ESTAR (TELA NATURAL) (MAD B COR 03) - 0,66x0,63x0,74H</v>
          </cell>
          <cell r="Y2561">
            <v>0</v>
          </cell>
          <cell r="Z2561">
            <v>0</v>
          </cell>
          <cell r="AA2561">
            <v>0</v>
          </cell>
          <cell r="AB2561"/>
        </row>
        <row r="2562">
          <cell r="C2562">
            <v>0</v>
          </cell>
          <cell r="D2562">
            <v>0</v>
          </cell>
          <cell r="E2562">
            <v>0</v>
          </cell>
          <cell r="F2562">
            <v>0</v>
          </cell>
          <cell r="H2562">
            <v>0</v>
          </cell>
          <cell r="O2562">
            <v>225821</v>
          </cell>
          <cell r="P2562"/>
          <cell r="Q2562" t="str">
            <v>EST APARADOR CAICARA (IPE/IMBUIA) (CON)</v>
          </cell>
          <cell r="R2562"/>
          <cell r="S2562"/>
          <cell r="T2562">
            <v>2.9</v>
          </cell>
          <cell r="U2562">
            <v>0.46</v>
          </cell>
          <cell r="V2562">
            <v>0.9</v>
          </cell>
          <cell r="W2562">
            <v>0</v>
          </cell>
          <cell r="X2562" t="str">
            <v>EST APARADOR CAICARA (IPE/IMBUIA) (CON) - 2,9x0,46x0,9H</v>
          </cell>
          <cell r="Y2562">
            <v>0</v>
          </cell>
          <cell r="Z2562">
            <v>0</v>
          </cell>
          <cell r="AA2562">
            <v>0</v>
          </cell>
          <cell r="AB2562"/>
        </row>
        <row r="2563">
          <cell r="C2563">
            <v>0</v>
          </cell>
          <cell r="D2563">
            <v>0</v>
          </cell>
          <cell r="E2563">
            <v>0</v>
          </cell>
          <cell r="F2563">
            <v>0</v>
          </cell>
          <cell r="H2563">
            <v>1</v>
          </cell>
          <cell r="O2563">
            <v>225834</v>
          </cell>
          <cell r="P2563"/>
          <cell r="Q2563" t="str">
            <v>EST SOFA SOFT C/CAPA TC CAMBRAIA BRANCO/TC SAGG INDIGO</v>
          </cell>
          <cell r="R2563"/>
          <cell r="S2563"/>
          <cell r="T2563">
            <v>3</v>
          </cell>
          <cell r="U2563">
            <v>1.02</v>
          </cell>
          <cell r="V2563">
            <v>0.66</v>
          </cell>
          <cell r="W2563">
            <v>0</v>
          </cell>
          <cell r="X2563" t="str">
            <v>EST SOFA SOFT C/CAPA TC CAMBRAIA BRANCO/TC SAGG INDIGO - 3x1,02x0,66H</v>
          </cell>
          <cell r="Y2563">
            <v>0</v>
          </cell>
          <cell r="Z2563">
            <v>0</v>
          </cell>
          <cell r="AA2563">
            <v>0</v>
          </cell>
          <cell r="AB2563"/>
        </row>
        <row r="2564">
          <cell r="C2564">
            <v>0</v>
          </cell>
          <cell r="D2564">
            <v>0</v>
          </cell>
          <cell r="E2564">
            <v>0</v>
          </cell>
          <cell r="F2564">
            <v>0</v>
          </cell>
          <cell r="H2564">
            <v>8</v>
          </cell>
          <cell r="O2564">
            <v>225845</v>
          </cell>
          <cell r="P2564"/>
          <cell r="Q2564" t="str">
            <v>EST CADEIRA BOA (FREIJO NAT) 24401719 LISO SAG INDIGO</v>
          </cell>
          <cell r="R2564"/>
          <cell r="S2564"/>
          <cell r="T2564">
            <v>0.48</v>
          </cell>
          <cell r="U2564">
            <v>0.65</v>
          </cell>
          <cell r="V2564">
            <v>0.8</v>
          </cell>
          <cell r="W2564">
            <v>0</v>
          </cell>
          <cell r="X2564" t="str">
            <v>EST CADEIRA BOA (FREIJO NAT) 24401719 LISO SAG INDIGO - 0,48x0,65x0,8H</v>
          </cell>
          <cell r="Y2564">
            <v>0</v>
          </cell>
          <cell r="Z2564">
            <v>0</v>
          </cell>
          <cell r="AA2564">
            <v>0</v>
          </cell>
          <cell r="AB2564"/>
        </row>
        <row r="2565">
          <cell r="C2565">
            <v>0</v>
          </cell>
          <cell r="D2565">
            <v>0</v>
          </cell>
          <cell r="E2565">
            <v>0</v>
          </cell>
          <cell r="F2565">
            <v>0</v>
          </cell>
          <cell r="H2565">
            <v>1</v>
          </cell>
          <cell r="O2565">
            <v>225846</v>
          </cell>
          <cell r="P2565"/>
          <cell r="Q2565" t="str">
            <v>EST POLTRONA PREGUICA BAIXA (GIR) (SUCUPIRA) COURO PIG CAFE</v>
          </cell>
          <cell r="R2565"/>
          <cell r="S2565"/>
          <cell r="T2565">
            <v>0.66</v>
          </cell>
          <cell r="U2565">
            <v>0.9</v>
          </cell>
          <cell r="V2565">
            <v>0.78</v>
          </cell>
          <cell r="W2565">
            <v>0</v>
          </cell>
          <cell r="X2565" t="str">
            <v>EST POLTRONA PREGUICA BAIXA (GIR) (SUCUPIRA) COURO PIG CAFE - 0,66x0,9x0,78H</v>
          </cell>
          <cell r="Y2565">
            <v>0</v>
          </cell>
          <cell r="Z2565">
            <v>0.5</v>
          </cell>
          <cell r="AA2565">
            <v>0</v>
          </cell>
          <cell r="AB2565"/>
        </row>
        <row r="2566"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H2566">
            <v>0</v>
          </cell>
          <cell r="O2566">
            <v>225977</v>
          </cell>
          <cell r="P2566"/>
          <cell r="Q2566" t="str">
            <v>EST MOVEL AUXILIAR QUADRADINHO (1 PORTA) (PINHO DE RIGA)</v>
          </cell>
          <cell r="R2566"/>
          <cell r="S2566"/>
          <cell r="T2566">
            <v>0.52</v>
          </cell>
          <cell r="U2566">
            <v>0.55000000000000004</v>
          </cell>
          <cell r="V2566">
            <v>0.59</v>
          </cell>
          <cell r="W2566">
            <v>0</v>
          </cell>
          <cell r="X2566" t="str">
            <v>EST MOVEL AUXILIAR QUADRADINHO (1 PORTA) (PINHO DE RIGA) - 0,52x0,55x0,59H</v>
          </cell>
          <cell r="Y2566">
            <v>0</v>
          </cell>
          <cell r="Z2566">
            <v>0</v>
          </cell>
          <cell r="AA2566">
            <v>0</v>
          </cell>
          <cell r="AB2566"/>
        </row>
        <row r="2567">
          <cell r="C2567">
            <v>0</v>
          </cell>
          <cell r="D2567">
            <v>0</v>
          </cell>
          <cell r="E2567">
            <v>0</v>
          </cell>
          <cell r="F2567">
            <v>0</v>
          </cell>
          <cell r="H2567">
            <v>0</v>
          </cell>
          <cell r="O2567">
            <v>226040</v>
          </cell>
          <cell r="P2567"/>
          <cell r="Q2567" t="str">
            <v>EST ESCRIVANINHA DESQUI (IMBUIA)</v>
          </cell>
          <cell r="R2567"/>
          <cell r="S2567"/>
          <cell r="T2567">
            <v>1.92</v>
          </cell>
          <cell r="U2567">
            <v>0.76</v>
          </cell>
          <cell r="V2567">
            <v>0.75</v>
          </cell>
          <cell r="W2567">
            <v>0</v>
          </cell>
          <cell r="X2567" t="str">
            <v>EST ESCRIVANINHA DESQUI (IMBUIA) - 1,92x0,76x0,75H</v>
          </cell>
          <cell r="Y2567">
            <v>0</v>
          </cell>
          <cell r="Z2567">
            <v>0.5</v>
          </cell>
          <cell r="AA2567">
            <v>0</v>
          </cell>
          <cell r="AB2567"/>
        </row>
        <row r="2568">
          <cell r="C2568">
            <v>0</v>
          </cell>
          <cell r="D2568">
            <v>0</v>
          </cell>
          <cell r="E2568">
            <v>0</v>
          </cell>
          <cell r="F2568">
            <v>0</v>
          </cell>
          <cell r="H2568">
            <v>1</v>
          </cell>
          <cell r="O2568">
            <v>226059</v>
          </cell>
          <cell r="P2568"/>
          <cell r="Q2568" t="str">
            <v>EST BANQUETA BAR GUI H70 (SOLETA/CAMURA BG32.2) (PINTURA)</v>
          </cell>
          <cell r="R2568"/>
          <cell r="S2568"/>
          <cell r="T2568">
            <v>0.32</v>
          </cell>
          <cell r="U2568">
            <v>0.32</v>
          </cell>
          <cell r="V2568">
            <v>0.7</v>
          </cell>
          <cell r="W2568">
            <v>0</v>
          </cell>
          <cell r="X2568" t="str">
            <v>EST BANQUETA BAR GUI H70 (SOLETA/CAMURA BG32.2) (PINTURA) - 0,32x0,32x0,7H</v>
          </cell>
          <cell r="Y2568">
            <v>0</v>
          </cell>
          <cell r="Z2568">
            <v>0.5</v>
          </cell>
          <cell r="AA2568">
            <v>0</v>
          </cell>
          <cell r="AB2568"/>
        </row>
        <row r="2569">
          <cell r="C2569">
            <v>0</v>
          </cell>
          <cell r="D2569">
            <v>0</v>
          </cell>
          <cell r="E2569">
            <v>0</v>
          </cell>
          <cell r="F2569">
            <v>0</v>
          </cell>
          <cell r="H2569">
            <v>1</v>
          </cell>
          <cell r="O2569">
            <v>226060</v>
          </cell>
          <cell r="P2569"/>
          <cell r="Q2569" t="str">
            <v>EST BANQUETA BAR GUI H70 (SOLETA/CAMURA BG32.4)</v>
          </cell>
          <cell r="R2569"/>
          <cell r="S2569"/>
          <cell r="T2569">
            <v>0.32</v>
          </cell>
          <cell r="U2569">
            <v>0.32</v>
          </cell>
          <cell r="V2569">
            <v>0.7</v>
          </cell>
          <cell r="W2569">
            <v>0</v>
          </cell>
          <cell r="X2569" t="str">
            <v>EST BANQUETA BAR GUI H70 (SOLETA/CAMURA BG32.4) - 0,32x0,32x0,7H</v>
          </cell>
          <cell r="Y2569">
            <v>0</v>
          </cell>
          <cell r="Z2569">
            <v>0</v>
          </cell>
          <cell r="AA2569">
            <v>0</v>
          </cell>
          <cell r="AB2569"/>
        </row>
        <row r="2570">
          <cell r="C2570">
            <v>0</v>
          </cell>
          <cell r="D2570">
            <v>0</v>
          </cell>
          <cell r="E2570">
            <v>0</v>
          </cell>
          <cell r="F2570">
            <v>0</v>
          </cell>
          <cell r="H2570">
            <v>1</v>
          </cell>
          <cell r="O2570">
            <v>226061</v>
          </cell>
          <cell r="P2570"/>
          <cell r="Q2570" t="str">
            <v>EST BANCO GUI (01 ASS) (SOLETA CAMEL/BG48.4) (PINTURA) JEQ</v>
          </cell>
          <cell r="R2570"/>
          <cell r="S2570"/>
          <cell r="T2570">
            <v>0.48</v>
          </cell>
          <cell r="U2570">
            <v>0.48</v>
          </cell>
          <cell r="V2570">
            <v>0.16</v>
          </cell>
          <cell r="W2570">
            <v>0</v>
          </cell>
          <cell r="X2570" t="str">
            <v>EST BANCO GUI (01 ASS) (SOLETA CAMEL/BG48.4) (PINTURA) JEQ - 0,48x0,48x0,16H</v>
          </cell>
          <cell r="Y2570">
            <v>0</v>
          </cell>
          <cell r="Z2570">
            <v>0</v>
          </cell>
          <cell r="AA2570">
            <v>0</v>
          </cell>
          <cell r="AB2570"/>
        </row>
        <row r="2571">
          <cell r="C2571">
            <v>0</v>
          </cell>
          <cell r="D2571">
            <v>0</v>
          </cell>
          <cell r="E2571">
            <v>0</v>
          </cell>
          <cell r="F2571">
            <v>0</v>
          </cell>
          <cell r="H2571">
            <v>1</v>
          </cell>
          <cell r="O2571">
            <v>226062</v>
          </cell>
          <cell r="P2571"/>
          <cell r="Q2571" t="str">
            <v>EST BANCO GUI (01 ASS) (SOLETA CRU/BG48.5) (PINTURA) JEQ</v>
          </cell>
          <cell r="R2571"/>
          <cell r="S2571"/>
          <cell r="T2571">
            <v>0.48</v>
          </cell>
          <cell r="U2571">
            <v>0.48</v>
          </cell>
          <cell r="V2571">
            <v>0.16</v>
          </cell>
          <cell r="W2571">
            <v>0</v>
          </cell>
          <cell r="X2571" t="str">
            <v>EST BANCO GUI (01 ASS) (SOLETA CRU/BG48.5) (PINTURA) JEQ - 0,48x0,48x0,16H</v>
          </cell>
          <cell r="Y2571">
            <v>0</v>
          </cell>
          <cell r="Z2571">
            <v>0</v>
          </cell>
          <cell r="AA2571">
            <v>0</v>
          </cell>
          <cell r="AB2571"/>
        </row>
        <row r="2572">
          <cell r="C2572">
            <v>0</v>
          </cell>
          <cell r="D2572">
            <v>0</v>
          </cell>
          <cell r="E2572">
            <v>0</v>
          </cell>
          <cell r="F2572">
            <v>0</v>
          </cell>
          <cell r="H2572">
            <v>1</v>
          </cell>
          <cell r="O2572">
            <v>226063</v>
          </cell>
          <cell r="P2572"/>
          <cell r="Q2572" t="str">
            <v>EST BANCO GUI (01 ASS) (SOLETA PRETA/BG36.3) (PINTURA) JEQ</v>
          </cell>
          <cell r="R2572"/>
          <cell r="S2572"/>
          <cell r="T2572">
            <v>0.42</v>
          </cell>
          <cell r="U2572">
            <v>0.42</v>
          </cell>
          <cell r="V2572">
            <v>0.42</v>
          </cell>
          <cell r="W2572">
            <v>0</v>
          </cell>
          <cell r="X2572" t="str">
            <v>EST BANCO GUI (01 ASS) (SOLETA PRETA/BG36.3) (PINTURA) JEQ - 0,42x0,42x0,42H</v>
          </cell>
          <cell r="Y2572">
            <v>0</v>
          </cell>
          <cell r="Z2572">
            <v>0</v>
          </cell>
          <cell r="AA2572">
            <v>0</v>
          </cell>
          <cell r="AB2572"/>
        </row>
        <row r="2573">
          <cell r="C2573">
            <v>0</v>
          </cell>
          <cell r="D2573">
            <v>0</v>
          </cell>
          <cell r="E2573">
            <v>0</v>
          </cell>
          <cell r="F2573">
            <v>0</v>
          </cell>
          <cell r="H2573">
            <v>1</v>
          </cell>
          <cell r="O2573">
            <v>226064</v>
          </cell>
          <cell r="P2573"/>
          <cell r="Q2573" t="str">
            <v>EST BANCO GUI (01 ASS) (SOLETA BEGE/BG36.5) (PINTURA) JEQ</v>
          </cell>
          <cell r="R2573"/>
          <cell r="S2573"/>
          <cell r="T2573">
            <v>0.42</v>
          </cell>
          <cell r="U2573">
            <v>0.42</v>
          </cell>
          <cell r="V2573">
            <v>0.42</v>
          </cell>
          <cell r="W2573">
            <v>0</v>
          </cell>
          <cell r="X2573" t="str">
            <v>EST BANCO GUI (01 ASS) (SOLETA BEGE/BG36.5) (PINTURA) JEQ - 0,42x0,42x0,42H</v>
          </cell>
          <cell r="Y2573">
            <v>0</v>
          </cell>
          <cell r="Z2573">
            <v>0</v>
          </cell>
          <cell r="AA2573">
            <v>0</v>
          </cell>
          <cell r="AB2573"/>
        </row>
        <row r="2574">
          <cell r="C2574">
            <v>0</v>
          </cell>
          <cell r="D2574">
            <v>0</v>
          </cell>
          <cell r="E2574">
            <v>0</v>
          </cell>
          <cell r="F2574">
            <v>0</v>
          </cell>
          <cell r="H2574">
            <v>1</v>
          </cell>
          <cell r="O2574">
            <v>226443</v>
          </cell>
          <cell r="P2574"/>
          <cell r="Q2574" t="str">
            <v>EST SOFA SOFT C/CAPA TC ELVAS/TC CAMBRAIA OFF WHITE</v>
          </cell>
          <cell r="R2574"/>
          <cell r="S2574"/>
          <cell r="T2574">
            <v>3</v>
          </cell>
          <cell r="U2574">
            <v>1.02</v>
          </cell>
          <cell r="V2574">
            <v>0.66</v>
          </cell>
          <cell r="W2574">
            <v>0</v>
          </cell>
          <cell r="X2574" t="str">
            <v>EST SOFA SOFT C/CAPA TC ELVAS/TC CAMBRAIA OFF WHITE - 3x1,02x0,66H</v>
          </cell>
          <cell r="Y2574">
            <v>0</v>
          </cell>
          <cell r="Z2574">
            <v>0.5</v>
          </cell>
          <cell r="AA2574">
            <v>0</v>
          </cell>
          <cell r="AB2574"/>
        </row>
        <row r="2575">
          <cell r="C2575">
            <v>0</v>
          </cell>
          <cell r="D2575">
            <v>0</v>
          </cell>
          <cell r="E2575">
            <v>0</v>
          </cell>
          <cell r="F2575">
            <v>0</v>
          </cell>
          <cell r="H2575">
            <v>1</v>
          </cell>
          <cell r="O2575">
            <v>226959</v>
          </cell>
          <cell r="P2575"/>
          <cell r="Q2575" t="str">
            <v>EST POLTRONA ATOMO C/BRACO TC LONA STONE GRAFITE</v>
          </cell>
          <cell r="R2575"/>
          <cell r="S2575"/>
          <cell r="T2575">
            <v>0.9</v>
          </cell>
          <cell r="U2575">
            <v>0.76</v>
          </cell>
          <cell r="V2575">
            <v>0.82</v>
          </cell>
          <cell r="W2575">
            <v>0</v>
          </cell>
          <cell r="X2575" t="str">
            <v>EST POLTRONA ATOMO C/BRACO TC LONA STONE GRAFITE - 0,9x0,76x0,82H</v>
          </cell>
          <cell r="Y2575">
            <v>0</v>
          </cell>
          <cell r="Z2575">
            <v>0</v>
          </cell>
          <cell r="AA2575">
            <v>0</v>
          </cell>
          <cell r="AB2575"/>
        </row>
        <row r="2576">
          <cell r="C2576">
            <v>0</v>
          </cell>
          <cell r="D2576">
            <v>0</v>
          </cell>
          <cell r="E2576">
            <v>0</v>
          </cell>
          <cell r="F2576">
            <v>0</v>
          </cell>
          <cell r="H2576">
            <v>1</v>
          </cell>
          <cell r="O2576">
            <v>226960</v>
          </cell>
          <cell r="P2576"/>
          <cell r="Q2576" t="str">
            <v>EST BANQUETA ATOMO TC LO454 LONA STONE GUILHE GRAFITE</v>
          </cell>
          <cell r="R2576"/>
          <cell r="S2576"/>
          <cell r="T2576">
            <v>0.7</v>
          </cell>
          <cell r="U2576">
            <v>0.62</v>
          </cell>
          <cell r="V2576">
            <v>0.42</v>
          </cell>
          <cell r="W2576">
            <v>0</v>
          </cell>
          <cell r="X2576" t="str">
            <v>EST BANQUETA ATOMO TC LO454 LONA STONE GUILHE GRAFITE - 0,7x0,62x0,42H</v>
          </cell>
          <cell r="Y2576">
            <v>0</v>
          </cell>
          <cell r="Z2576">
            <v>0</v>
          </cell>
          <cell r="AA2576">
            <v>0</v>
          </cell>
          <cell r="AB2576"/>
        </row>
        <row r="2577">
          <cell r="C2577">
            <v>0</v>
          </cell>
          <cell r="D2577">
            <v>0</v>
          </cell>
          <cell r="E2577">
            <v>0</v>
          </cell>
          <cell r="F2577">
            <v>0</v>
          </cell>
          <cell r="H2577">
            <v>0</v>
          </cell>
          <cell r="O2577">
            <v>227073</v>
          </cell>
          <cell r="P2577"/>
          <cell r="Q2577" t="str">
            <v>EST BANCO TARIKI (COURO NOBUCK 10) PES PINTADO PRETO FSC</v>
          </cell>
          <cell r="R2577"/>
          <cell r="S2577"/>
          <cell r="T2577">
            <v>1.8</v>
          </cell>
          <cell r="U2577">
            <v>0.75</v>
          </cell>
          <cell r="V2577">
            <v>0.4</v>
          </cell>
          <cell r="W2577">
            <v>0</v>
          </cell>
          <cell r="X2577" t="str">
            <v>EST BANCO TARIKI (COURO NOBUCK 10) PES PINTADO PRETO FSC - 1,8x0,75x0,4H</v>
          </cell>
          <cell r="Y2577">
            <v>0</v>
          </cell>
          <cell r="Z2577">
            <v>0.5</v>
          </cell>
          <cell r="AA2577">
            <v>0</v>
          </cell>
          <cell r="AB2577"/>
        </row>
        <row r="2578">
          <cell r="C2578">
            <v>0</v>
          </cell>
          <cell r="D2578">
            <v>0</v>
          </cell>
          <cell r="E2578">
            <v>0</v>
          </cell>
          <cell r="F2578">
            <v>0</v>
          </cell>
          <cell r="H2578">
            <v>1</v>
          </cell>
          <cell r="O2578">
            <v>227123</v>
          </cell>
          <cell r="P2578"/>
          <cell r="Q2578" t="str">
            <v>EST CADEIRA JOHN GRAZ (PINHO DE RIGA) COURO MALTA 340 VERDE</v>
          </cell>
          <cell r="R2578"/>
          <cell r="S2578"/>
          <cell r="T2578">
            <v>0.48</v>
          </cell>
          <cell r="U2578">
            <v>0.53</v>
          </cell>
          <cell r="V2578">
            <v>0.82</v>
          </cell>
          <cell r="W2578">
            <v>0</v>
          </cell>
          <cell r="X2578" t="str">
            <v>EST CADEIRA JOHN GRAZ (PINHO DE RIGA) COURO MALTA 340 VERDE - 0,48x0,53x0,82H</v>
          </cell>
          <cell r="Y2578">
            <v>0</v>
          </cell>
          <cell r="Z2578">
            <v>0</v>
          </cell>
          <cell r="AA2578">
            <v>0</v>
          </cell>
          <cell r="AB2578"/>
        </row>
        <row r="2579">
          <cell r="C2579">
            <v>0</v>
          </cell>
          <cell r="D2579">
            <v>0</v>
          </cell>
          <cell r="E2579">
            <v>0</v>
          </cell>
          <cell r="F2579">
            <v>0</v>
          </cell>
          <cell r="H2579">
            <v>1</v>
          </cell>
          <cell r="O2579">
            <v>227190</v>
          </cell>
          <cell r="P2579"/>
          <cell r="Q2579" t="str">
            <v>EST POLTRONA NAVONA (FREIJO NT) COURO ANILINA PRETO</v>
          </cell>
          <cell r="R2579"/>
          <cell r="S2579"/>
          <cell r="T2579">
            <v>1.05</v>
          </cell>
          <cell r="U2579">
            <v>0.86</v>
          </cell>
          <cell r="V2579">
            <v>0.7</v>
          </cell>
          <cell r="W2579">
            <v>0</v>
          </cell>
          <cell r="X2579" t="str">
            <v>EST POLTRONA NAVONA (FREIJO NT) COURO ANILINA PRETO - 1,05x0,86x0,7H</v>
          </cell>
          <cell r="Y2579">
            <v>0</v>
          </cell>
          <cell r="Z2579">
            <v>0</v>
          </cell>
          <cell r="AA2579">
            <v>0</v>
          </cell>
          <cell r="AB2579"/>
        </row>
        <row r="2580">
          <cell r="C2580">
            <v>0</v>
          </cell>
          <cell r="D2580">
            <v>0</v>
          </cell>
          <cell r="E2580">
            <v>0</v>
          </cell>
          <cell r="F2580">
            <v>0</v>
          </cell>
          <cell r="H2580">
            <v>0</v>
          </cell>
          <cell r="O2580">
            <v>228057</v>
          </cell>
          <cell r="P2580"/>
          <cell r="Q2580" t="str">
            <v>EST SOFA AIR II (BASE PRETA) TC SAAG INDIGO (6 ALM DEC)</v>
          </cell>
          <cell r="R2580"/>
          <cell r="S2580"/>
          <cell r="T2580">
            <v>3.5</v>
          </cell>
          <cell r="U2580">
            <v>0.97</v>
          </cell>
          <cell r="V2580">
            <v>0.7</v>
          </cell>
          <cell r="W2580">
            <v>0</v>
          </cell>
          <cell r="X2580" t="str">
            <v>EST SOFA AIR II (BASE PRETA) TC SAAG INDIGO (6 ALM DEC) - 3,5x0,97x0,7H</v>
          </cell>
          <cell r="Y2580">
            <v>0</v>
          </cell>
          <cell r="Z2580">
            <v>0.5</v>
          </cell>
          <cell r="AA2580">
            <v>0</v>
          </cell>
          <cell r="AB2580"/>
        </row>
        <row r="2581">
          <cell r="C2581">
            <v>0</v>
          </cell>
          <cell r="D2581">
            <v>0</v>
          </cell>
          <cell r="E2581">
            <v>0</v>
          </cell>
          <cell r="F2581">
            <v>0</v>
          </cell>
          <cell r="H2581">
            <v>4</v>
          </cell>
          <cell r="O2581">
            <v>228444</v>
          </cell>
          <cell r="P2581"/>
          <cell r="Q2581" t="str">
            <v>EST LUMINARIA PAU DE LUZ MINI (LATAO) (FREIJO NATURAL) BIVOL</v>
          </cell>
          <cell r="R2581"/>
          <cell r="S2581"/>
          <cell r="T2581">
            <v>0.03</v>
          </cell>
          <cell r="U2581">
            <v>0.04</v>
          </cell>
          <cell r="V2581">
            <v>1.22</v>
          </cell>
          <cell r="W2581">
            <v>0</v>
          </cell>
          <cell r="X2581" t="str">
            <v>EST LUMINARIA PAU DE LUZ MINI (LATAO) (FREIJO NATURAL) BIVOL - 0,03x0,04x1,22H</v>
          </cell>
          <cell r="Y2581">
            <v>0</v>
          </cell>
          <cell r="Z2581">
            <v>0</v>
          </cell>
          <cell r="AA2581">
            <v>0</v>
          </cell>
          <cell r="AB2581"/>
        </row>
        <row r="2582">
          <cell r="C2582">
            <v>0</v>
          </cell>
          <cell r="D2582">
            <v>0</v>
          </cell>
          <cell r="E2582">
            <v>0</v>
          </cell>
          <cell r="F2582">
            <v>0</v>
          </cell>
          <cell r="H2582">
            <v>1</v>
          </cell>
          <cell r="O2582">
            <v>228509</v>
          </cell>
          <cell r="P2582"/>
          <cell r="Q2582" t="str">
            <v>EST BANCO DOMINO (4 LUG) (CILIN PINHO RIGA) (CONC NT) (INOX)</v>
          </cell>
          <cell r="R2582"/>
          <cell r="S2582"/>
          <cell r="T2582">
            <v>1.9</v>
          </cell>
          <cell r="U2582">
            <v>0.45</v>
          </cell>
          <cell r="V2582">
            <v>0.48</v>
          </cell>
          <cell r="W2582">
            <v>0</v>
          </cell>
          <cell r="X2582" t="str">
            <v>EST BANCO DOMINO (4 LUG) (CILIN PINHO RIGA) (CONC NT) (INOX) - 1,9x0,45x0,48H</v>
          </cell>
          <cell r="Y2582">
            <v>0</v>
          </cell>
          <cell r="Z2582">
            <v>0</v>
          </cell>
          <cell r="AA2582">
            <v>0</v>
          </cell>
          <cell r="AB2582"/>
        </row>
        <row r="2583">
          <cell r="C2583">
            <v>0</v>
          </cell>
          <cell r="D2583">
            <v>0</v>
          </cell>
          <cell r="E2583">
            <v>0</v>
          </cell>
          <cell r="F2583">
            <v>0</v>
          </cell>
          <cell r="H2583">
            <v>1</v>
          </cell>
          <cell r="O2583">
            <v>228547</v>
          </cell>
          <cell r="P2583"/>
          <cell r="Q2583" t="str">
            <v>EST GAVETEIRO GB UL24 (1 GAV) (METAL) (INTEIROPAU FERRO)</v>
          </cell>
          <cell r="R2583"/>
          <cell r="S2583"/>
          <cell r="T2583">
            <v>0.53</v>
          </cell>
          <cell r="U2583">
            <v>0.42</v>
          </cell>
          <cell r="V2583">
            <v>0.42</v>
          </cell>
          <cell r="W2583">
            <v>0</v>
          </cell>
          <cell r="X2583" t="str">
            <v>EST GAVETEIRO GB UL24 (1 GAV) (METAL) (INTEIROPAU FERRO) - 0,53x0,42x0,42H</v>
          </cell>
          <cell r="Y2583">
            <v>0</v>
          </cell>
          <cell r="Z2583">
            <v>0</v>
          </cell>
          <cell r="AA2583">
            <v>0</v>
          </cell>
          <cell r="AB2583"/>
        </row>
        <row r="2584">
          <cell r="C2584">
            <v>0</v>
          </cell>
          <cell r="D2584">
            <v>0</v>
          </cell>
          <cell r="E2584">
            <v>0</v>
          </cell>
          <cell r="F2584">
            <v>0</v>
          </cell>
          <cell r="H2584">
            <v>1</v>
          </cell>
          <cell r="O2584">
            <v>228577</v>
          </cell>
          <cell r="P2584"/>
          <cell r="Q2584" t="str">
            <v>EST BANQUETA BAR BOA ALTA S/BRACO H72 (TC SAGG INDIGO)</v>
          </cell>
          <cell r="R2584"/>
          <cell r="S2584"/>
          <cell r="T2584">
            <v>0.44</v>
          </cell>
          <cell r="U2584">
            <v>0.55000000000000004</v>
          </cell>
          <cell r="V2584">
            <v>1.01</v>
          </cell>
          <cell r="W2584">
            <v>0</v>
          </cell>
          <cell r="X2584" t="str">
            <v>EST BANQUETA BAR BOA ALTA S/BRACO H72 (TC SAGG INDIGO) - 0,44x0,55x1,01H</v>
          </cell>
          <cell r="Y2584">
            <v>0</v>
          </cell>
          <cell r="Z2584">
            <v>0</v>
          </cell>
          <cell r="AA2584">
            <v>0</v>
          </cell>
          <cell r="AB2584"/>
        </row>
        <row r="2585">
          <cell r="C2585">
            <v>0</v>
          </cell>
          <cell r="D2585">
            <v>0</v>
          </cell>
          <cell r="E2585">
            <v>0</v>
          </cell>
          <cell r="F2585">
            <v>0</v>
          </cell>
          <cell r="H2585">
            <v>9</v>
          </cell>
          <cell r="O2585">
            <v>228582</v>
          </cell>
          <cell r="P2585"/>
          <cell r="Q2585" t="str">
            <v>EST TAMPO MINI PICK (MODELO A) (RED DRAGON)</v>
          </cell>
          <cell r="R2585"/>
          <cell r="S2585"/>
          <cell r="T2585">
            <v>0.68</v>
          </cell>
          <cell r="U2585">
            <v>0.5</v>
          </cell>
          <cell r="V2585">
            <v>0.02</v>
          </cell>
          <cell r="W2585">
            <v>0</v>
          </cell>
          <cell r="X2585" t="str">
            <v>EST TAMPO MINI PICK (MODELO A) (RED DRAGON) - 0,68x0,5x0,02H</v>
          </cell>
          <cell r="Y2585">
            <v>0</v>
          </cell>
          <cell r="Z2585">
            <v>0.5</v>
          </cell>
          <cell r="AA2585">
            <v>0</v>
          </cell>
          <cell r="AB2585"/>
        </row>
        <row r="2586">
          <cell r="C2586">
            <v>0</v>
          </cell>
          <cell r="D2586">
            <v>0</v>
          </cell>
          <cell r="E2586">
            <v>0</v>
          </cell>
          <cell r="F2586">
            <v>0</v>
          </cell>
          <cell r="H2586">
            <v>2</v>
          </cell>
          <cell r="O2586">
            <v>228589</v>
          </cell>
          <cell r="P2586"/>
          <cell r="Q2586" t="str">
            <v>EST TAMPO MINI PICK (MODELO A) (BATEIG BLUE)</v>
          </cell>
          <cell r="R2586"/>
          <cell r="S2586"/>
          <cell r="T2586">
            <v>0.68</v>
          </cell>
          <cell r="U2586">
            <v>0.5</v>
          </cell>
          <cell r="V2586">
            <v>0.02</v>
          </cell>
          <cell r="W2586">
            <v>0</v>
          </cell>
          <cell r="X2586" t="str">
            <v>EST TAMPO MINI PICK (MODELO A) (BATEIG BLUE) - 0,68x0,5x0,02H</v>
          </cell>
          <cell r="Y2586">
            <v>0</v>
          </cell>
          <cell r="Z2586">
            <v>0.5</v>
          </cell>
          <cell r="AA2586">
            <v>0</v>
          </cell>
          <cell r="AB2586"/>
        </row>
        <row r="2587"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H2587">
            <v>5</v>
          </cell>
          <cell r="O2587">
            <v>228592</v>
          </cell>
          <cell r="P2587"/>
          <cell r="Q2587" t="str">
            <v>EST TAMPO MINI PICK (MODELO A) (BASALTINA)</v>
          </cell>
          <cell r="R2587"/>
          <cell r="S2587"/>
          <cell r="T2587">
            <v>0.68</v>
          </cell>
          <cell r="U2587">
            <v>0.5</v>
          </cell>
          <cell r="V2587">
            <v>0.02</v>
          </cell>
          <cell r="W2587">
            <v>0</v>
          </cell>
          <cell r="X2587" t="str">
            <v>EST TAMPO MINI PICK (MODELO A) (BASALTINA) - 0,68x0,5x0,02H</v>
          </cell>
          <cell r="Y2587">
            <v>0</v>
          </cell>
          <cell r="Z2587">
            <v>0.5</v>
          </cell>
          <cell r="AA2587">
            <v>0</v>
          </cell>
          <cell r="AB2587"/>
        </row>
        <row r="2588"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H2588">
            <v>8</v>
          </cell>
          <cell r="O2588">
            <v>229364</v>
          </cell>
          <cell r="P2588"/>
          <cell r="Q2588" t="str">
            <v>EST TAMPO MINI PICK (MODELO B) (BASALTINA)</v>
          </cell>
          <cell r="R2588"/>
          <cell r="S2588"/>
          <cell r="T2588">
            <v>0.8</v>
          </cell>
          <cell r="U2588">
            <v>0.5</v>
          </cell>
          <cell r="V2588">
            <v>0.02</v>
          </cell>
          <cell r="W2588">
            <v>0</v>
          </cell>
          <cell r="X2588" t="str">
            <v>EST TAMPO MINI PICK (MODELO B) (BASALTINA) - 0,8x0,5x0,02H</v>
          </cell>
          <cell r="Y2588">
            <v>0</v>
          </cell>
          <cell r="Z2588">
            <v>0.5</v>
          </cell>
          <cell r="AA2588">
            <v>0</v>
          </cell>
          <cell r="AB2588"/>
        </row>
        <row r="2589"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H2589">
            <v>1</v>
          </cell>
          <cell r="O2589">
            <v>229365</v>
          </cell>
          <cell r="P2589"/>
          <cell r="Q2589" t="str">
            <v>EST TAMPO MINI PICK (MODELO B) (BATEIG BLUE)</v>
          </cell>
          <cell r="R2589"/>
          <cell r="S2589"/>
          <cell r="T2589">
            <v>0.8</v>
          </cell>
          <cell r="U2589">
            <v>0.5</v>
          </cell>
          <cell r="V2589">
            <v>0.02</v>
          </cell>
          <cell r="W2589">
            <v>0</v>
          </cell>
          <cell r="X2589" t="str">
            <v>EST TAMPO MINI PICK (MODELO B) (BATEIG BLUE) - 0,8x0,5x0,02H</v>
          </cell>
          <cell r="Y2589">
            <v>0</v>
          </cell>
          <cell r="Z2589">
            <v>0.5</v>
          </cell>
          <cell r="AA2589">
            <v>0</v>
          </cell>
          <cell r="AB2589"/>
        </row>
        <row r="2590">
          <cell r="C2590">
            <v>0</v>
          </cell>
          <cell r="D2590">
            <v>0</v>
          </cell>
          <cell r="E2590">
            <v>0</v>
          </cell>
          <cell r="F2590">
            <v>0</v>
          </cell>
          <cell r="H2590">
            <v>6</v>
          </cell>
          <cell r="O2590">
            <v>229366</v>
          </cell>
          <cell r="P2590"/>
          <cell r="Q2590" t="str">
            <v>EST TAMPO MINI PICK (MODELO B) (RED DRAGON)</v>
          </cell>
          <cell r="R2590"/>
          <cell r="S2590"/>
          <cell r="T2590">
            <v>0.8</v>
          </cell>
          <cell r="U2590">
            <v>0.5</v>
          </cell>
          <cell r="V2590">
            <v>0.02</v>
          </cell>
          <cell r="W2590">
            <v>0</v>
          </cell>
          <cell r="X2590" t="str">
            <v>EST TAMPO MINI PICK (MODELO B) (RED DRAGON) - 0,8x0,5x0,02H</v>
          </cell>
          <cell r="Y2590">
            <v>0</v>
          </cell>
          <cell r="Z2590">
            <v>0.5</v>
          </cell>
          <cell r="AA2590">
            <v>0</v>
          </cell>
          <cell r="AB2590"/>
        </row>
        <row r="2591">
          <cell r="C2591">
            <v>0</v>
          </cell>
          <cell r="D2591">
            <v>0</v>
          </cell>
          <cell r="E2591">
            <v>0</v>
          </cell>
          <cell r="F2591">
            <v>0</v>
          </cell>
          <cell r="H2591">
            <v>0</v>
          </cell>
          <cell r="O2591">
            <v>229377</v>
          </cell>
          <cell r="P2591"/>
          <cell r="Q2591" t="str">
            <v>EST TAMPO MINI PICK (MODELO C) (RED DRAGON)</v>
          </cell>
          <cell r="R2591"/>
          <cell r="S2591"/>
          <cell r="T2591">
            <v>0.85</v>
          </cell>
          <cell r="U2591">
            <v>0.5</v>
          </cell>
          <cell r="V2591">
            <v>0.02</v>
          </cell>
          <cell r="W2591">
            <v>0</v>
          </cell>
          <cell r="X2591" t="str">
            <v>EST TAMPO MINI PICK (MODELO C) (RED DRAGON) - 0,85x0,5x0,02H</v>
          </cell>
          <cell r="Y2591">
            <v>0</v>
          </cell>
          <cell r="Z2591">
            <v>0.5</v>
          </cell>
          <cell r="AA2591">
            <v>0</v>
          </cell>
          <cell r="AB2591"/>
        </row>
        <row r="2592">
          <cell r="C2592">
            <v>0</v>
          </cell>
          <cell r="D2592">
            <v>0</v>
          </cell>
          <cell r="E2592">
            <v>0</v>
          </cell>
          <cell r="F2592">
            <v>0</v>
          </cell>
          <cell r="H2592">
            <v>4</v>
          </cell>
          <cell r="O2592">
            <v>229380</v>
          </cell>
          <cell r="P2592"/>
          <cell r="Q2592" t="str">
            <v>EST TAMPO MINI PICK (MODELO C) (BASALTINA)</v>
          </cell>
          <cell r="R2592"/>
          <cell r="S2592"/>
          <cell r="T2592">
            <v>0.85</v>
          </cell>
          <cell r="U2592">
            <v>0.4</v>
          </cell>
          <cell r="V2592">
            <v>0.02</v>
          </cell>
          <cell r="W2592">
            <v>0</v>
          </cell>
          <cell r="X2592" t="str">
            <v>EST TAMPO MINI PICK (MODELO C) (BASALTINA) - 0,85x0,4x0,02H</v>
          </cell>
          <cell r="Y2592">
            <v>0</v>
          </cell>
          <cell r="Z2592">
            <v>0.5</v>
          </cell>
          <cell r="AA2592">
            <v>0</v>
          </cell>
          <cell r="AB2592"/>
        </row>
        <row r="2593">
          <cell r="C2593">
            <v>0</v>
          </cell>
          <cell r="D2593">
            <v>0</v>
          </cell>
          <cell r="E2593">
            <v>0</v>
          </cell>
          <cell r="F2593">
            <v>0</v>
          </cell>
          <cell r="H2593">
            <v>3</v>
          </cell>
          <cell r="O2593">
            <v>229381</v>
          </cell>
          <cell r="P2593"/>
          <cell r="Q2593" t="str">
            <v>EST TAMPO MINI PICK (MODELO C) (BATEIG BLUE)</v>
          </cell>
          <cell r="R2593"/>
          <cell r="S2593"/>
          <cell r="T2593">
            <v>0.85</v>
          </cell>
          <cell r="U2593">
            <v>0.5</v>
          </cell>
          <cell r="V2593">
            <v>0.02</v>
          </cell>
          <cell r="W2593">
            <v>0</v>
          </cell>
          <cell r="X2593" t="str">
            <v>EST TAMPO MINI PICK (MODELO C) (BATEIG BLUE) - 0,85x0,5x0,02H</v>
          </cell>
          <cell r="Y2593">
            <v>0</v>
          </cell>
          <cell r="Z2593">
            <v>0.5</v>
          </cell>
          <cell r="AA2593">
            <v>0</v>
          </cell>
          <cell r="AB2593"/>
        </row>
        <row r="2594">
          <cell r="C2594">
            <v>0</v>
          </cell>
          <cell r="D2594">
            <v>0</v>
          </cell>
          <cell r="E2594">
            <v>0</v>
          </cell>
          <cell r="F2594">
            <v>0</v>
          </cell>
          <cell r="H2594">
            <v>3</v>
          </cell>
          <cell r="O2594">
            <v>229382</v>
          </cell>
          <cell r="P2594"/>
          <cell r="Q2594" t="str">
            <v>EST BASE CENTRO MINI PICK (A) (CONCRETO NATURAL)</v>
          </cell>
          <cell r="R2594"/>
          <cell r="S2594"/>
          <cell r="T2594">
            <v>0.68</v>
          </cell>
          <cell r="U2594">
            <v>0.5</v>
          </cell>
          <cell r="V2594">
            <v>0.33</v>
          </cell>
          <cell r="W2594">
            <v>0</v>
          </cell>
          <cell r="X2594" t="str">
            <v>EST BASE CENTRO MINI PICK (A) (CONCRETO NATURAL) - 0,68x0,5x0,33H</v>
          </cell>
          <cell r="Y2594">
            <v>0</v>
          </cell>
          <cell r="Z2594">
            <v>0</v>
          </cell>
          <cell r="AA2594">
            <v>0</v>
          </cell>
          <cell r="AB2594"/>
        </row>
        <row r="2595">
          <cell r="C2595">
            <v>0</v>
          </cell>
          <cell r="D2595">
            <v>0</v>
          </cell>
          <cell r="E2595">
            <v>0</v>
          </cell>
          <cell r="F2595">
            <v>0</v>
          </cell>
          <cell r="H2595">
            <v>7</v>
          </cell>
          <cell r="O2595">
            <v>229383</v>
          </cell>
          <cell r="P2595"/>
          <cell r="Q2595" t="str">
            <v>EST BASE CENTRO MINI PICK (A) (CONCRETO GOIABA)</v>
          </cell>
          <cell r="R2595"/>
          <cell r="S2595"/>
          <cell r="T2595">
            <v>0.68</v>
          </cell>
          <cell r="U2595">
            <v>0.5</v>
          </cell>
          <cell r="V2595">
            <v>0.33</v>
          </cell>
          <cell r="W2595">
            <v>0</v>
          </cell>
          <cell r="X2595" t="str">
            <v>EST BASE CENTRO MINI PICK (A) (CONCRETO GOIABA) - 0,68x0,5x0,33H</v>
          </cell>
          <cell r="Y2595">
            <v>0</v>
          </cell>
          <cell r="Z2595">
            <v>0.5</v>
          </cell>
          <cell r="AA2595">
            <v>0</v>
          </cell>
          <cell r="AB2595"/>
        </row>
        <row r="2596">
          <cell r="C2596">
            <v>0</v>
          </cell>
          <cell r="D2596">
            <v>0</v>
          </cell>
          <cell r="E2596">
            <v>0</v>
          </cell>
          <cell r="F2596">
            <v>0</v>
          </cell>
          <cell r="H2596">
            <v>7</v>
          </cell>
          <cell r="O2596">
            <v>229384</v>
          </cell>
          <cell r="P2596"/>
          <cell r="Q2596" t="str">
            <v>EST BASE CENTRO MINI PICK (A) (CONCRETO GRAFITE)</v>
          </cell>
          <cell r="R2596"/>
          <cell r="S2596"/>
          <cell r="T2596">
            <v>0.68</v>
          </cell>
          <cell r="U2596">
            <v>0.5</v>
          </cell>
          <cell r="V2596">
            <v>0.33</v>
          </cell>
          <cell r="W2596">
            <v>0</v>
          </cell>
          <cell r="X2596" t="str">
            <v>EST BASE CENTRO MINI PICK (A) (CONCRETO GRAFITE) - 0,68x0,5x0,33H</v>
          </cell>
          <cell r="Y2596">
            <v>0</v>
          </cell>
          <cell r="Z2596">
            <v>0.5</v>
          </cell>
          <cell r="AA2596">
            <v>0</v>
          </cell>
          <cell r="AB2596"/>
        </row>
        <row r="2597">
          <cell r="C2597">
            <v>0</v>
          </cell>
          <cell r="D2597">
            <v>0</v>
          </cell>
          <cell r="E2597">
            <v>0</v>
          </cell>
          <cell r="F2597">
            <v>0</v>
          </cell>
          <cell r="H2597">
            <v>6</v>
          </cell>
          <cell r="O2597">
            <v>229385</v>
          </cell>
          <cell r="P2597"/>
          <cell r="Q2597" t="str">
            <v>EST BASE CENTRO MINI PICK (B) (CONCRETO NATURAL)</v>
          </cell>
          <cell r="R2597"/>
          <cell r="S2597"/>
          <cell r="T2597">
            <v>0.8</v>
          </cell>
          <cell r="U2597">
            <v>0.5</v>
          </cell>
          <cell r="V2597">
            <v>0.33</v>
          </cell>
          <cell r="W2597">
            <v>0</v>
          </cell>
          <cell r="X2597" t="str">
            <v>EST BASE CENTRO MINI PICK (B) (CONCRETO NATURAL) - 0,8x0,5x0,33H</v>
          </cell>
          <cell r="Y2597">
            <v>0</v>
          </cell>
          <cell r="Z2597">
            <v>0.5</v>
          </cell>
          <cell r="AA2597">
            <v>0</v>
          </cell>
          <cell r="AB2597"/>
        </row>
        <row r="2598">
          <cell r="C2598">
            <v>0</v>
          </cell>
          <cell r="D2598">
            <v>0</v>
          </cell>
          <cell r="E2598">
            <v>0</v>
          </cell>
          <cell r="F2598">
            <v>0</v>
          </cell>
          <cell r="H2598">
            <v>5</v>
          </cell>
          <cell r="O2598">
            <v>229386</v>
          </cell>
          <cell r="P2598"/>
          <cell r="Q2598" t="str">
            <v>EST BASE CENTRO MINI PICK (B) (CONCRETO GOIABA)</v>
          </cell>
          <cell r="R2598"/>
          <cell r="S2598"/>
          <cell r="T2598">
            <v>0.8</v>
          </cell>
          <cell r="U2598">
            <v>0.5</v>
          </cell>
          <cell r="V2598">
            <v>0.33</v>
          </cell>
          <cell r="W2598">
            <v>0</v>
          </cell>
          <cell r="X2598" t="str">
            <v>EST BASE CENTRO MINI PICK (B) (CONCRETO GOIABA) - 0,8x0,5x0,33H</v>
          </cell>
          <cell r="Y2598">
            <v>0</v>
          </cell>
          <cell r="Z2598">
            <v>0.5</v>
          </cell>
          <cell r="AA2598">
            <v>0</v>
          </cell>
          <cell r="AB2598"/>
        </row>
        <row r="2599">
          <cell r="C2599">
            <v>0</v>
          </cell>
          <cell r="D2599">
            <v>0</v>
          </cell>
          <cell r="E2599">
            <v>0</v>
          </cell>
          <cell r="F2599">
            <v>0</v>
          </cell>
          <cell r="H2599">
            <v>6</v>
          </cell>
          <cell r="O2599">
            <v>229387</v>
          </cell>
          <cell r="P2599"/>
          <cell r="Q2599" t="str">
            <v>EST BASE CENTRO MINI PICK (B) (CONCRETO GRAFITE)</v>
          </cell>
          <cell r="R2599"/>
          <cell r="S2599"/>
          <cell r="T2599">
            <v>0.8</v>
          </cell>
          <cell r="U2599">
            <v>0.5</v>
          </cell>
          <cell r="V2599">
            <v>0.33</v>
          </cell>
          <cell r="W2599">
            <v>0</v>
          </cell>
          <cell r="X2599" t="str">
            <v>EST BASE CENTRO MINI PICK (B) (CONCRETO GRAFITE) - 0,8x0,5x0,33H</v>
          </cell>
          <cell r="Y2599">
            <v>0</v>
          </cell>
          <cell r="Z2599">
            <v>0.5</v>
          </cell>
          <cell r="AA2599">
            <v>0</v>
          </cell>
          <cell r="AB2599"/>
        </row>
        <row r="2600">
          <cell r="C2600">
            <v>0</v>
          </cell>
          <cell r="D2600">
            <v>0</v>
          </cell>
          <cell r="E2600">
            <v>0</v>
          </cell>
          <cell r="F2600">
            <v>0</v>
          </cell>
          <cell r="H2600">
            <v>0</v>
          </cell>
          <cell r="O2600">
            <v>229389</v>
          </cell>
          <cell r="P2600"/>
          <cell r="Q2600" t="str">
            <v>EST BASE CENTRO MINI PICK (C) (CONCRETO GOIABA)</v>
          </cell>
          <cell r="R2600"/>
          <cell r="S2600"/>
          <cell r="T2600">
            <v>0.85</v>
          </cell>
          <cell r="U2600">
            <v>0.5</v>
          </cell>
          <cell r="V2600">
            <v>0.33</v>
          </cell>
          <cell r="W2600">
            <v>0</v>
          </cell>
          <cell r="X2600" t="str">
            <v>EST BASE CENTRO MINI PICK (C) (CONCRETO GOIABA) - 0,85x0,5x0,33H</v>
          </cell>
          <cell r="Y2600">
            <v>0</v>
          </cell>
          <cell r="Z2600">
            <v>0.5</v>
          </cell>
          <cell r="AA2600">
            <v>0</v>
          </cell>
          <cell r="AB2600"/>
        </row>
        <row r="2601">
          <cell r="C2601">
            <v>0</v>
          </cell>
          <cell r="D2601">
            <v>0</v>
          </cell>
          <cell r="E2601">
            <v>0</v>
          </cell>
          <cell r="F2601">
            <v>0</v>
          </cell>
          <cell r="H2601">
            <v>5</v>
          </cell>
          <cell r="O2601">
            <v>229390</v>
          </cell>
          <cell r="P2601"/>
          <cell r="Q2601" t="str">
            <v>EST BASE CENTRO MINI PICK (C) (CONCRETO NATURAL)</v>
          </cell>
          <cell r="R2601"/>
          <cell r="S2601"/>
          <cell r="T2601">
            <v>0.85</v>
          </cell>
          <cell r="U2601">
            <v>0.5</v>
          </cell>
          <cell r="V2601">
            <v>0.33</v>
          </cell>
          <cell r="W2601">
            <v>0</v>
          </cell>
          <cell r="X2601" t="str">
            <v>EST BASE CENTRO MINI PICK (C) (CONCRETO NATURAL) - 0,85x0,5x0,33H</v>
          </cell>
          <cell r="Y2601">
            <v>0</v>
          </cell>
          <cell r="Z2601">
            <v>0.5</v>
          </cell>
          <cell r="AA2601">
            <v>0</v>
          </cell>
          <cell r="AB2601"/>
        </row>
        <row r="2602">
          <cell r="C2602">
            <v>0</v>
          </cell>
          <cell r="D2602">
            <v>0</v>
          </cell>
          <cell r="E2602">
            <v>0</v>
          </cell>
          <cell r="F2602">
            <v>0</v>
          </cell>
          <cell r="H2602">
            <v>4</v>
          </cell>
          <cell r="O2602">
            <v>229391</v>
          </cell>
          <cell r="P2602"/>
          <cell r="Q2602" t="str">
            <v>EST BASE CENTRO MINI PICK (C) (CONCRETO GRAFITE)</v>
          </cell>
          <cell r="R2602"/>
          <cell r="S2602"/>
          <cell r="T2602">
            <v>0.85</v>
          </cell>
          <cell r="U2602">
            <v>0.5</v>
          </cell>
          <cell r="V2602">
            <v>0.33</v>
          </cell>
          <cell r="W2602">
            <v>0</v>
          </cell>
          <cell r="X2602" t="str">
            <v>EST BASE CENTRO MINI PICK (C) (CONCRETO GRAFITE) - 0,85x0,5x0,33H</v>
          </cell>
          <cell r="Y2602">
            <v>0</v>
          </cell>
          <cell r="Z2602">
            <v>0.5</v>
          </cell>
          <cell r="AA2602">
            <v>0</v>
          </cell>
          <cell r="AB2602"/>
        </row>
        <row r="2603">
          <cell r="C2603">
            <v>0</v>
          </cell>
          <cell r="D2603">
            <v>0</v>
          </cell>
          <cell r="E2603">
            <v>0</v>
          </cell>
          <cell r="F2603">
            <v>0</v>
          </cell>
          <cell r="H2603">
            <v>1</v>
          </cell>
          <cell r="O2603">
            <v>229413</v>
          </cell>
          <cell r="P2603"/>
          <cell r="Q2603" t="str">
            <v>EST POLTRONA TETE (FREIJO NT) COURO WHINCESTER WHINCESTER</v>
          </cell>
          <cell r="R2603"/>
          <cell r="S2603"/>
          <cell r="T2603">
            <v>0.86</v>
          </cell>
          <cell r="U2603">
            <v>0.84</v>
          </cell>
          <cell r="V2603">
            <v>0.75</v>
          </cell>
          <cell r="W2603">
            <v>0</v>
          </cell>
          <cell r="X2603" t="str">
            <v>EST POLTRONA TETE (FREIJO NT) COURO WHINCESTER WHINCESTER - 0,86x0,84x0,75H</v>
          </cell>
          <cell r="Y2603">
            <v>0</v>
          </cell>
          <cell r="Z2603">
            <v>0</v>
          </cell>
          <cell r="AA2603">
            <v>0</v>
          </cell>
          <cell r="AB2603"/>
        </row>
        <row r="2604">
          <cell r="C2604">
            <v>0</v>
          </cell>
          <cell r="D2604">
            <v>0</v>
          </cell>
          <cell r="E2604">
            <v>0</v>
          </cell>
          <cell r="F2604">
            <v>0</v>
          </cell>
          <cell r="H2604">
            <v>1</v>
          </cell>
          <cell r="O2604">
            <v>229427</v>
          </cell>
          <cell r="P2604"/>
          <cell r="Q2604" t="str">
            <v>EST BANQUETA PREGUICA (PES EM X) (SUCUPIRA) COURO NOBUCK 70</v>
          </cell>
          <cell r="R2604"/>
          <cell r="S2604"/>
          <cell r="T2604">
            <v>0.49</v>
          </cell>
          <cell r="U2604">
            <v>0.45</v>
          </cell>
          <cell r="V2604">
            <v>0.37</v>
          </cell>
          <cell r="W2604">
            <v>0</v>
          </cell>
          <cell r="X2604" t="str">
            <v>EST BANQUETA PREGUICA (PES EM X) (SUCUPIRA) COURO NOBUCK 70 - 0,49x0,45x0,37H</v>
          </cell>
          <cell r="Y2604">
            <v>0</v>
          </cell>
          <cell r="Z2604">
            <v>0.5</v>
          </cell>
          <cell r="AA2604">
            <v>0</v>
          </cell>
          <cell r="AB2604"/>
        </row>
        <row r="2605">
          <cell r="C2605">
            <v>0</v>
          </cell>
          <cell r="D2605">
            <v>0</v>
          </cell>
          <cell r="E2605">
            <v>0</v>
          </cell>
          <cell r="F2605">
            <v>0</v>
          </cell>
          <cell r="H2605">
            <v>1</v>
          </cell>
          <cell r="O2605">
            <v>229541</v>
          </cell>
          <cell r="P2605"/>
          <cell r="Q2605" t="str">
            <v>EST REVISTEIRO VECCI (P) (MADEIRA IMBUIA)</v>
          </cell>
          <cell r="R2605"/>
          <cell r="S2605"/>
          <cell r="T2605">
            <v>0.38</v>
          </cell>
          <cell r="U2605">
            <v>0.34</v>
          </cell>
          <cell r="V2605">
            <v>0.9</v>
          </cell>
          <cell r="W2605">
            <v>0</v>
          </cell>
          <cell r="X2605" t="str">
            <v>EST REVISTEIRO VECCI (P) (MADEIRA IMBUIA) - 0,38x0,34x0,9H</v>
          </cell>
          <cell r="Y2605">
            <v>0</v>
          </cell>
          <cell r="Z2605">
            <v>0</v>
          </cell>
          <cell r="AA2605">
            <v>0</v>
          </cell>
          <cell r="AB2605"/>
        </row>
        <row r="2606">
          <cell r="C2606">
            <v>0</v>
          </cell>
          <cell r="D2606">
            <v>0</v>
          </cell>
          <cell r="E2606">
            <v>0</v>
          </cell>
          <cell r="F2606">
            <v>0</v>
          </cell>
          <cell r="H2606">
            <v>1</v>
          </cell>
          <cell r="O2606">
            <v>229542</v>
          </cell>
          <cell r="P2606"/>
          <cell r="Q2606" t="str">
            <v>EST REVISTEIRO VECCI (M) (MADEIRA IMBUIA)</v>
          </cell>
          <cell r="R2606"/>
          <cell r="S2606"/>
          <cell r="T2606">
            <v>0.38</v>
          </cell>
          <cell r="U2606">
            <v>0.34</v>
          </cell>
          <cell r="V2606">
            <v>1.4</v>
          </cell>
          <cell r="W2606">
            <v>0</v>
          </cell>
          <cell r="X2606" t="str">
            <v>EST REVISTEIRO VECCI (M) (MADEIRA IMBUIA) - 0,38x0,34x1,4H</v>
          </cell>
          <cell r="Y2606">
            <v>0</v>
          </cell>
          <cell r="Z2606">
            <v>0.5</v>
          </cell>
          <cell r="AA2606">
            <v>0</v>
          </cell>
          <cell r="AB2606"/>
        </row>
        <row r="2607">
          <cell r="C2607">
            <v>0</v>
          </cell>
          <cell r="D2607">
            <v>0</v>
          </cell>
          <cell r="E2607">
            <v>0</v>
          </cell>
          <cell r="F2607">
            <v>0</v>
          </cell>
          <cell r="H2607">
            <v>0</v>
          </cell>
          <cell r="O2607">
            <v>229545</v>
          </cell>
          <cell r="P2607"/>
          <cell r="Q2607" t="str">
            <v>EST MESA LATERAL JOALHERIA (ENCAIXE) (PAU FERRO)</v>
          </cell>
          <cell r="R2607"/>
          <cell r="S2607"/>
          <cell r="T2607">
            <v>0.6</v>
          </cell>
          <cell r="U2607">
            <v>0.37</v>
          </cell>
          <cell r="V2607">
            <v>0.55000000000000004</v>
          </cell>
          <cell r="W2607">
            <v>0</v>
          </cell>
          <cell r="X2607" t="str">
            <v>EST MESA LATERAL JOALHERIA (ENCAIXE) (PAU FERRO) - 0,6x0,37x0,55H</v>
          </cell>
          <cell r="Y2607">
            <v>0</v>
          </cell>
          <cell r="Z2607">
            <v>0.5</v>
          </cell>
          <cell r="AA2607">
            <v>0</v>
          </cell>
          <cell r="AB2607"/>
        </row>
        <row r="2608">
          <cell r="C2608">
            <v>0</v>
          </cell>
          <cell r="D2608">
            <v>0</v>
          </cell>
          <cell r="E2608">
            <v>0</v>
          </cell>
          <cell r="F2608">
            <v>0</v>
          </cell>
          <cell r="H2608">
            <v>0</v>
          </cell>
          <cell r="O2608">
            <v>230165</v>
          </cell>
          <cell r="P2608"/>
          <cell r="Q2608" t="str">
            <v>EST POLTRONA DRUMMOND (MAD B COR 3) TC VILLA OLMO NT</v>
          </cell>
          <cell r="R2608"/>
          <cell r="S2608"/>
          <cell r="T2608">
            <v>0.8</v>
          </cell>
          <cell r="U2608">
            <v>0.78</v>
          </cell>
          <cell r="V2608">
            <v>0.76</v>
          </cell>
          <cell r="W2608">
            <v>0</v>
          </cell>
          <cell r="X2608" t="str">
            <v>EST POLTRONA DRUMMOND (MAD B COR 3) TC VILLA OLMO NT - 0,8x0,78x0,76H</v>
          </cell>
          <cell r="Y2608">
            <v>0</v>
          </cell>
          <cell r="Z2608">
            <v>0.5</v>
          </cell>
          <cell r="AA2608">
            <v>0</v>
          </cell>
          <cell r="AB2608"/>
        </row>
        <row r="2609">
          <cell r="C2609">
            <v>0</v>
          </cell>
          <cell r="D2609">
            <v>0</v>
          </cell>
          <cell r="E2609">
            <v>0</v>
          </cell>
          <cell r="F2609">
            <v>0</v>
          </cell>
          <cell r="H2609">
            <v>2</v>
          </cell>
          <cell r="O2609">
            <v>230316</v>
          </cell>
          <cell r="P2609"/>
          <cell r="Q2609" t="str">
            <v>EST BANQUETA SENHOR (MAD B LOURO ESP) CAMURCA TABACO</v>
          </cell>
          <cell r="R2609"/>
          <cell r="S2609"/>
          <cell r="T2609">
            <v>0.77</v>
          </cell>
          <cell r="U2609">
            <v>0.49</v>
          </cell>
          <cell r="V2609">
            <v>0.36</v>
          </cell>
          <cell r="W2609">
            <v>0</v>
          </cell>
          <cell r="X2609" t="str">
            <v>EST BANQUETA SENHOR (MAD B LOURO ESP) CAMURCA TABACO - 0,77x0,49x0,36H</v>
          </cell>
          <cell r="Y2609">
            <v>0</v>
          </cell>
          <cell r="Z2609">
            <v>0</v>
          </cell>
          <cell r="AA2609">
            <v>0</v>
          </cell>
          <cell r="AB2609"/>
        </row>
        <row r="2610">
          <cell r="C2610">
            <v>0</v>
          </cell>
          <cell r="D2610">
            <v>0</v>
          </cell>
          <cell r="E2610">
            <v>0</v>
          </cell>
          <cell r="F2610">
            <v>0</v>
          </cell>
          <cell r="H2610">
            <v>1</v>
          </cell>
          <cell r="O2610">
            <v>230531</v>
          </cell>
          <cell r="P2610"/>
          <cell r="Q2610" t="str">
            <v>EST CADEIRA JOHN GRAZ (NOGUEIRA) COURO NOBUCK 70</v>
          </cell>
          <cell r="R2610"/>
          <cell r="S2610"/>
          <cell r="T2610">
            <v>0.48</v>
          </cell>
          <cell r="U2610">
            <v>0.53</v>
          </cell>
          <cell r="V2610">
            <v>0.82</v>
          </cell>
          <cell r="W2610">
            <v>0</v>
          </cell>
          <cell r="X2610" t="str">
            <v>EST CADEIRA JOHN GRAZ (NOGUEIRA) COURO NOBUCK 70 - 0,48x0,53x0,82H</v>
          </cell>
          <cell r="Y2610">
            <v>0</v>
          </cell>
          <cell r="Z2610">
            <v>0</v>
          </cell>
          <cell r="AA2610">
            <v>0</v>
          </cell>
          <cell r="AB2610"/>
        </row>
        <row r="2611">
          <cell r="C2611">
            <v>0</v>
          </cell>
          <cell r="D2611">
            <v>0</v>
          </cell>
          <cell r="E2611">
            <v>0</v>
          </cell>
          <cell r="F2611">
            <v>0</v>
          </cell>
          <cell r="H2611">
            <v>1</v>
          </cell>
          <cell r="O2611">
            <v>230532</v>
          </cell>
          <cell r="P2611"/>
          <cell r="Q2611" t="str">
            <v>EST CADEIRA JOHN GRAZ (PINHO DE RIGA) COURO NOBUCK 70</v>
          </cell>
          <cell r="R2611"/>
          <cell r="S2611"/>
          <cell r="T2611">
            <v>0.48</v>
          </cell>
          <cell r="U2611">
            <v>0.53</v>
          </cell>
          <cell r="V2611">
            <v>0.82</v>
          </cell>
          <cell r="W2611">
            <v>0</v>
          </cell>
          <cell r="X2611" t="str">
            <v>EST CADEIRA JOHN GRAZ (PINHO DE RIGA) COURO NOBUCK 70 - 0,48x0,53x0,82H</v>
          </cell>
          <cell r="Y2611">
            <v>0</v>
          </cell>
          <cell r="Z2611">
            <v>0</v>
          </cell>
          <cell r="AA2611">
            <v>0</v>
          </cell>
          <cell r="AB2611"/>
        </row>
        <row r="2612">
          <cell r="C2612">
            <v>0</v>
          </cell>
          <cell r="D2612">
            <v>0</v>
          </cell>
          <cell r="E2612">
            <v>0</v>
          </cell>
          <cell r="F2612">
            <v>0</v>
          </cell>
          <cell r="H2612">
            <v>1</v>
          </cell>
          <cell r="O2612">
            <v>230660</v>
          </cell>
          <cell r="P2612"/>
          <cell r="Q2612" t="str">
            <v>EST POLTRONA JULIA ESTAR (TELA NATURAL) (MAD IMBUIA STAIN)</v>
          </cell>
          <cell r="R2612"/>
          <cell r="S2612"/>
          <cell r="T2612">
            <v>0.66</v>
          </cell>
          <cell r="U2612">
            <v>0.63</v>
          </cell>
          <cell r="V2612">
            <v>0.74</v>
          </cell>
          <cell r="W2612">
            <v>0</v>
          </cell>
          <cell r="X2612" t="str">
            <v>EST POLTRONA JULIA ESTAR (TELA NATURAL) (MAD IMBUIA STAIN) - 0,66x0,63x0,74H</v>
          </cell>
          <cell r="Y2612">
            <v>0</v>
          </cell>
          <cell r="Z2612">
            <v>0.5</v>
          </cell>
          <cell r="AA2612">
            <v>0</v>
          </cell>
          <cell r="AB2612"/>
        </row>
        <row r="2613">
          <cell r="C2613">
            <v>0</v>
          </cell>
          <cell r="D2613">
            <v>0</v>
          </cell>
          <cell r="E2613">
            <v>0</v>
          </cell>
          <cell r="F2613">
            <v>0</v>
          </cell>
          <cell r="H2613">
            <v>6</v>
          </cell>
          <cell r="O2613">
            <v>230661</v>
          </cell>
          <cell r="P2613"/>
          <cell r="Q2613" t="str">
            <v>EST BANQUETA BAR NINE H73 (MAD B COR 03) VERNIZ 20% BRILHO</v>
          </cell>
          <cell r="R2613"/>
          <cell r="S2613"/>
          <cell r="T2613">
            <v>0.42</v>
          </cell>
          <cell r="U2613">
            <v>0.4</v>
          </cell>
          <cell r="V2613">
            <v>0.73</v>
          </cell>
          <cell r="W2613">
            <v>0</v>
          </cell>
          <cell r="X2613" t="str">
            <v>EST BANQUETA BAR NINE H73 (MAD B COR 03) VERNIZ 20% BRILHO - 0,42x0,4x0,73H</v>
          </cell>
          <cell r="Y2613">
            <v>0</v>
          </cell>
          <cell r="Z2613">
            <v>0</v>
          </cell>
          <cell r="AA2613">
            <v>0</v>
          </cell>
          <cell r="AB2613"/>
        </row>
        <row r="2614">
          <cell r="C2614">
            <v>0</v>
          </cell>
          <cell r="D2614">
            <v>0</v>
          </cell>
          <cell r="E2614">
            <v>0</v>
          </cell>
          <cell r="F2614">
            <v>0</v>
          </cell>
          <cell r="H2614">
            <v>1</v>
          </cell>
          <cell r="O2614">
            <v>230662</v>
          </cell>
          <cell r="P2614"/>
          <cell r="Q2614" t="str">
            <v>EST BANQUETA BAR NINE H80 (MAD B COR 03) VERNIZ 20% BRILHO</v>
          </cell>
          <cell r="R2614"/>
          <cell r="S2614"/>
          <cell r="T2614">
            <v>0.42</v>
          </cell>
          <cell r="U2614">
            <v>0.4</v>
          </cell>
          <cell r="V2614">
            <v>0.8</v>
          </cell>
          <cell r="W2614">
            <v>0</v>
          </cell>
          <cell r="X2614" t="str">
            <v>EST BANQUETA BAR NINE H80 (MAD B COR 03) VERNIZ 20% BRILHO - 0,42x0,4x0,8H</v>
          </cell>
          <cell r="Y2614">
            <v>0</v>
          </cell>
          <cell r="Z2614">
            <v>0</v>
          </cell>
          <cell r="AA2614">
            <v>0</v>
          </cell>
          <cell r="AB2614"/>
        </row>
        <row r="2615">
          <cell r="C2615">
            <v>0</v>
          </cell>
          <cell r="D2615">
            <v>0</v>
          </cell>
          <cell r="E2615">
            <v>0</v>
          </cell>
          <cell r="F2615">
            <v>0</v>
          </cell>
          <cell r="H2615">
            <v>1</v>
          </cell>
          <cell r="O2615">
            <v>230663</v>
          </cell>
          <cell r="P2615"/>
          <cell r="Q2615" t="str">
            <v>EST BANQUETA BAR NINE H60 (MAD B COR 03) VERNIZ 20% BRILHO</v>
          </cell>
          <cell r="R2615"/>
          <cell r="S2615"/>
          <cell r="T2615">
            <v>0.42</v>
          </cell>
          <cell r="U2615">
            <v>0.4</v>
          </cell>
          <cell r="V2615">
            <v>0.6</v>
          </cell>
          <cell r="W2615">
            <v>0</v>
          </cell>
          <cell r="X2615" t="str">
            <v>EST BANQUETA BAR NINE H60 (MAD B COR 03) VERNIZ 20% BRILHO - 0,42x0,4x0,6H</v>
          </cell>
          <cell r="Y2615">
            <v>0</v>
          </cell>
          <cell r="Z2615">
            <v>0.5</v>
          </cell>
          <cell r="AA2615">
            <v>0</v>
          </cell>
          <cell r="AB2615"/>
        </row>
        <row r="2616">
          <cell r="C2616">
            <v>0</v>
          </cell>
          <cell r="D2616">
            <v>0</v>
          </cell>
          <cell r="E2616">
            <v>0</v>
          </cell>
          <cell r="F2616">
            <v>0</v>
          </cell>
          <cell r="H2616">
            <v>1</v>
          </cell>
          <cell r="O2616">
            <v>231184</v>
          </cell>
          <cell r="P2616"/>
          <cell r="Q2616" t="str">
            <v>EST POLTRONA STELLA (BAIXA) (MAD B COR 02) TC EL MALIBU BLUE</v>
          </cell>
          <cell r="R2616"/>
          <cell r="S2616"/>
          <cell r="T2616">
            <v>0.74</v>
          </cell>
          <cell r="U2616">
            <v>0.92</v>
          </cell>
          <cell r="V2616">
            <v>0.69</v>
          </cell>
          <cell r="W2616">
            <v>0</v>
          </cell>
          <cell r="X2616" t="str">
            <v>EST POLTRONA STELLA (BAIXA) (MAD B COR 02) TC EL MALIBU BLUE - 0,74x0,92x0,69H</v>
          </cell>
          <cell r="Y2616">
            <v>0</v>
          </cell>
          <cell r="Z2616">
            <v>0.5</v>
          </cell>
          <cell r="AA2616">
            <v>0</v>
          </cell>
          <cell r="AB2616"/>
        </row>
        <row r="2617">
          <cell r="C2617">
            <v>0</v>
          </cell>
          <cell r="D2617">
            <v>0</v>
          </cell>
          <cell r="E2617">
            <v>0</v>
          </cell>
          <cell r="F2617">
            <v>0</v>
          </cell>
          <cell r="H2617">
            <v>2</v>
          </cell>
          <cell r="O2617">
            <v>231590</v>
          </cell>
          <cell r="P2617"/>
          <cell r="Q2617" t="str">
            <v>EST POLTRONA PORTUGUESA C/B (SOLTO) (FREIJO) CAMURCA TABACO</v>
          </cell>
          <cell r="R2617"/>
          <cell r="S2617"/>
          <cell r="T2617">
            <v>0.65</v>
          </cell>
          <cell r="U2617">
            <v>0.7</v>
          </cell>
          <cell r="V2617">
            <v>0.83</v>
          </cell>
          <cell r="W2617">
            <v>0</v>
          </cell>
          <cell r="X2617" t="str">
            <v>EST POLTRONA PORTUGUESA C/B (SOLTO) (FREIJO) CAMURCA TABACO - 0,65x0,7x0,83H</v>
          </cell>
          <cell r="Y2617">
            <v>0</v>
          </cell>
          <cell r="Z2617">
            <v>0</v>
          </cell>
          <cell r="AA2617">
            <v>0</v>
          </cell>
          <cell r="AB2617"/>
        </row>
        <row r="2618">
          <cell r="C2618">
            <v>0</v>
          </cell>
          <cell r="D2618">
            <v>0</v>
          </cell>
          <cell r="E2618">
            <v>0</v>
          </cell>
          <cell r="F2618">
            <v>0</v>
          </cell>
          <cell r="H2618">
            <v>4</v>
          </cell>
          <cell r="O2618">
            <v>231597</v>
          </cell>
          <cell r="P2618"/>
          <cell r="Q2618" t="str">
            <v>EST CAPA AVULSA ALMOFADA ENCOSTO SOFA SOFT CAMBRA OFF WHITE</v>
          </cell>
          <cell r="R2618"/>
          <cell r="S2618"/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 t="str">
            <v>EST CAPA AVULSA ALMOFADA ENCOSTO SOFA SOFT CAMBRA OFF WHITE - Ø0x0H</v>
          </cell>
          <cell r="Y2618">
            <v>0</v>
          </cell>
          <cell r="Z2618">
            <v>0.5</v>
          </cell>
          <cell r="AA2618">
            <v>0</v>
          </cell>
          <cell r="AB2618"/>
        </row>
        <row r="2619">
          <cell r="C2619">
            <v>0</v>
          </cell>
          <cell r="D2619">
            <v>0</v>
          </cell>
          <cell r="E2619">
            <v>0</v>
          </cell>
          <cell r="F2619">
            <v>0</v>
          </cell>
          <cell r="H2619">
            <v>0</v>
          </cell>
          <cell r="O2619">
            <v>231625</v>
          </cell>
          <cell r="P2619"/>
          <cell r="Q2619" t="str">
            <v>EST POLTRONA STELLA (ALTA)  (MAD B COR 03) TC EL MEDA AQUA</v>
          </cell>
          <cell r="R2619"/>
          <cell r="S2619"/>
          <cell r="T2619">
            <v>0.74</v>
          </cell>
          <cell r="U2619">
            <v>0.95</v>
          </cell>
          <cell r="V2619">
            <v>0.87</v>
          </cell>
          <cell r="W2619">
            <v>0</v>
          </cell>
          <cell r="X2619" t="str">
            <v>EST POLTRONA STELLA (ALTA)  (MAD B COR 03) TC EL MEDA AQUA - 0,74x0,95x0,87H</v>
          </cell>
          <cell r="Y2619">
            <v>0</v>
          </cell>
          <cell r="Z2619">
            <v>0</v>
          </cell>
          <cell r="AA2619">
            <v>0</v>
          </cell>
          <cell r="AB2619"/>
        </row>
        <row r="2620">
          <cell r="C2620">
            <v>0</v>
          </cell>
          <cell r="D2620">
            <v>0</v>
          </cell>
          <cell r="E2620">
            <v>0</v>
          </cell>
          <cell r="F2620">
            <v>0</v>
          </cell>
          <cell r="H2620">
            <v>1</v>
          </cell>
          <cell r="O2620">
            <v>231878</v>
          </cell>
          <cell r="P2620"/>
          <cell r="Q2620" t="str">
            <v>EST ESCRIVANINHA DESQUI (PAU FERRO) (PES EBANIZADOS)</v>
          </cell>
          <cell r="R2620"/>
          <cell r="S2620"/>
          <cell r="T2620">
            <v>1.92</v>
          </cell>
          <cell r="U2620">
            <v>0.76</v>
          </cell>
          <cell r="V2620">
            <v>0.75</v>
          </cell>
          <cell r="W2620">
            <v>0</v>
          </cell>
          <cell r="X2620" t="str">
            <v>EST ESCRIVANINHA DESQUI (PAU FERRO) (PES EBANIZADOS) - 1,92x0,76x0,75H</v>
          </cell>
          <cell r="Y2620">
            <v>0</v>
          </cell>
          <cell r="Z2620">
            <v>0</v>
          </cell>
          <cell r="AA2620">
            <v>0</v>
          </cell>
          <cell r="AB2620"/>
        </row>
        <row r="2621">
          <cell r="C2621">
            <v>0</v>
          </cell>
          <cell r="D2621">
            <v>0</v>
          </cell>
          <cell r="E2621">
            <v>0</v>
          </cell>
          <cell r="F2621">
            <v>0</v>
          </cell>
          <cell r="H2621">
            <v>2</v>
          </cell>
          <cell r="O2621">
            <v>232285</v>
          </cell>
          <cell r="P2621"/>
          <cell r="Q2621" t="str">
            <v>EST GAVETEIRO GB UL24 (1 GAV) (METAL) (IMBUIA/GAV BRANCAS)</v>
          </cell>
          <cell r="R2621"/>
          <cell r="S2621"/>
          <cell r="T2621">
            <v>0.53</v>
          </cell>
          <cell r="U2621">
            <v>0.42</v>
          </cell>
          <cell r="V2621">
            <v>0.42</v>
          </cell>
          <cell r="W2621">
            <v>0</v>
          </cell>
          <cell r="X2621" t="str">
            <v>EST GAVETEIRO GB UL24 (1 GAV) (METAL) (IMBUIA/GAV BRANCAS) - 0,53x0,42x0,42H</v>
          </cell>
          <cell r="Y2621">
            <v>0</v>
          </cell>
          <cell r="Z2621">
            <v>0.5</v>
          </cell>
          <cell r="AA2621">
            <v>0</v>
          </cell>
          <cell r="AB2621"/>
        </row>
        <row r="2622">
          <cell r="C2622">
            <v>0</v>
          </cell>
          <cell r="D2622">
            <v>0</v>
          </cell>
          <cell r="E2622">
            <v>0</v>
          </cell>
          <cell r="F2622">
            <v>0</v>
          </cell>
          <cell r="H2622">
            <v>2</v>
          </cell>
          <cell r="O2622">
            <v>232879</v>
          </cell>
          <cell r="P2622"/>
          <cell r="Q2622" t="str">
            <v>EST LUMINARIA J HIRTH (LATAO CROMADO) (FREIJO NATURAL)</v>
          </cell>
          <cell r="R2622"/>
          <cell r="S2622"/>
          <cell r="T2622">
            <v>0.45</v>
          </cell>
          <cell r="U2622">
            <v>0</v>
          </cell>
          <cell r="V2622">
            <v>0.96</v>
          </cell>
          <cell r="W2622">
            <v>0.45</v>
          </cell>
          <cell r="X2622" t="str">
            <v>EST LUMINARIA J HIRTH (LATAO CROMADO) (FREIJO NATURAL) - Ø0,45x0,96H</v>
          </cell>
          <cell r="Y2622">
            <v>0</v>
          </cell>
          <cell r="Z2622">
            <v>0</v>
          </cell>
          <cell r="AA2622">
            <v>0</v>
          </cell>
          <cell r="AB2622"/>
        </row>
        <row r="2623">
          <cell r="C2623">
            <v>0</v>
          </cell>
          <cell r="D2623">
            <v>0</v>
          </cell>
          <cell r="E2623">
            <v>0</v>
          </cell>
          <cell r="F2623">
            <v>0</v>
          </cell>
          <cell r="H2623">
            <v>1</v>
          </cell>
          <cell r="O2623">
            <v>232968</v>
          </cell>
          <cell r="P2623"/>
          <cell r="Q2623" t="str">
            <v>EST MESA JANTAR ABAPORU (SUCUPIRA NATURAL)</v>
          </cell>
          <cell r="R2623"/>
          <cell r="S2623"/>
          <cell r="T2623">
            <v>1.3</v>
          </cell>
          <cell r="U2623">
            <v>0</v>
          </cell>
          <cell r="V2623">
            <v>0.76</v>
          </cell>
          <cell r="W2623">
            <v>1.3</v>
          </cell>
          <cell r="X2623" t="str">
            <v>EST MESA JANTAR ABAPORU (SUCUPIRA NATURAL) - Ø1,3x0,76H</v>
          </cell>
          <cell r="Y2623">
            <v>0</v>
          </cell>
          <cell r="Z2623">
            <v>0</v>
          </cell>
          <cell r="AA2623">
            <v>0</v>
          </cell>
          <cell r="AB2623"/>
        </row>
        <row r="2624">
          <cell r="C2624">
            <v>0</v>
          </cell>
          <cell r="D2624">
            <v>0</v>
          </cell>
          <cell r="E2624">
            <v>0</v>
          </cell>
          <cell r="F2624">
            <v>0</v>
          </cell>
          <cell r="H2624">
            <v>2</v>
          </cell>
          <cell r="O2624">
            <v>232971</v>
          </cell>
          <cell r="P2624"/>
          <cell r="Q2624" t="str">
            <v>EST BANCO ABAPORU (S/AZULEJO) (SUCUPIRA NATURAL)</v>
          </cell>
          <cell r="R2624"/>
          <cell r="S2624"/>
          <cell r="T2624">
            <v>0.38</v>
          </cell>
          <cell r="U2624">
            <v>0</v>
          </cell>
          <cell r="V2624">
            <v>0.44</v>
          </cell>
          <cell r="W2624">
            <v>0.38</v>
          </cell>
          <cell r="X2624" t="str">
            <v>EST BANCO ABAPORU (S/AZULEJO) (SUCUPIRA NATURAL) - Ø0,38x0,44H</v>
          </cell>
          <cell r="Y2624">
            <v>0</v>
          </cell>
          <cell r="Z2624">
            <v>0</v>
          </cell>
          <cell r="AA2624">
            <v>0</v>
          </cell>
          <cell r="AB2624"/>
        </row>
        <row r="2625">
          <cell r="C2625">
            <v>0</v>
          </cell>
          <cell r="D2625">
            <v>0</v>
          </cell>
          <cell r="E2625">
            <v>0</v>
          </cell>
          <cell r="F2625">
            <v>0</v>
          </cell>
          <cell r="H2625">
            <v>5</v>
          </cell>
          <cell r="O2625">
            <v>232987</v>
          </cell>
          <cell r="P2625"/>
          <cell r="Q2625" t="str">
            <v>EST MANCEBO STAND BY (BASE CONCRETO NATURAL) (IMBUIA)</v>
          </cell>
          <cell r="R2625"/>
          <cell r="S2625"/>
          <cell r="T2625">
            <v>0.2</v>
          </cell>
          <cell r="U2625">
            <v>0.33</v>
          </cell>
          <cell r="V2625">
            <v>1.75</v>
          </cell>
          <cell r="W2625">
            <v>0</v>
          </cell>
          <cell r="X2625" t="str">
            <v>EST MANCEBO STAND BY (BASE CONCRETO NATURAL) (IMBUIA) - 0,2x0,33x1,75H</v>
          </cell>
          <cell r="Y2625">
            <v>0</v>
          </cell>
          <cell r="Z2625">
            <v>0</v>
          </cell>
          <cell r="AA2625">
            <v>0</v>
          </cell>
          <cell r="AB2625"/>
        </row>
        <row r="2626">
          <cell r="C2626">
            <v>0</v>
          </cell>
          <cell r="D2626">
            <v>0</v>
          </cell>
          <cell r="E2626">
            <v>0</v>
          </cell>
          <cell r="F2626">
            <v>0</v>
          </cell>
          <cell r="H2626">
            <v>2</v>
          </cell>
          <cell r="O2626">
            <v>233214</v>
          </cell>
          <cell r="P2626"/>
          <cell r="Q2626" t="str">
            <v>EST CADEIRA CANTU BAIXA (MAD B COR 03) COURO CH ENV 07</v>
          </cell>
          <cell r="R2626"/>
          <cell r="S2626"/>
          <cell r="T2626">
            <v>0.5</v>
          </cell>
          <cell r="U2626">
            <v>0.55000000000000004</v>
          </cell>
          <cell r="V2626">
            <v>0.81</v>
          </cell>
          <cell r="W2626">
            <v>0</v>
          </cell>
          <cell r="X2626" t="str">
            <v>EST CADEIRA CANTU BAIXA (MAD B COR 03) COURO CH ENV 07 - 0,5x0,55x0,81H</v>
          </cell>
          <cell r="Y2626">
            <v>0</v>
          </cell>
          <cell r="Z2626">
            <v>0</v>
          </cell>
          <cell r="AA2626">
            <v>0</v>
          </cell>
          <cell r="AB2626"/>
        </row>
        <row r="2627">
          <cell r="C2627">
            <v>0</v>
          </cell>
          <cell r="D2627">
            <v>0</v>
          </cell>
          <cell r="E2627">
            <v>0</v>
          </cell>
          <cell r="F2627">
            <v>0</v>
          </cell>
          <cell r="H2627">
            <v>0</v>
          </cell>
          <cell r="O2627">
            <v>233417</v>
          </cell>
          <cell r="P2627"/>
          <cell r="Q2627" t="str">
            <v>EST CADEIRA LUCIO (TELA NATURAL) (MAD A COR 02)</v>
          </cell>
          <cell r="R2627"/>
          <cell r="S2627"/>
          <cell r="T2627">
            <v>0.48</v>
          </cell>
          <cell r="U2627">
            <v>0.49</v>
          </cell>
          <cell r="V2627">
            <v>0.81</v>
          </cell>
          <cell r="W2627">
            <v>0</v>
          </cell>
          <cell r="X2627" t="str">
            <v>EST CADEIRA LUCIO (TELA NATURAL) (MAD A COR 02) - 0,48x0,49x0,81H</v>
          </cell>
          <cell r="Y2627">
            <v>0</v>
          </cell>
          <cell r="Z2627">
            <v>0.5</v>
          </cell>
          <cell r="AA2627">
            <v>0</v>
          </cell>
          <cell r="AB2627"/>
        </row>
        <row r="2628">
          <cell r="C2628">
            <v>0</v>
          </cell>
          <cell r="D2628">
            <v>0</v>
          </cell>
          <cell r="E2628">
            <v>0</v>
          </cell>
          <cell r="F2628">
            <v>0</v>
          </cell>
          <cell r="H2628">
            <v>0</v>
          </cell>
          <cell r="O2628">
            <v>234430</v>
          </cell>
          <cell r="P2628"/>
          <cell r="Q2628" t="str">
            <v>EST BANQUETA PORTUGUESA (SOLTO) (FREIJO) CAMURCA TABACO</v>
          </cell>
          <cell r="R2628"/>
          <cell r="S2628"/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 t="str">
            <v>EST BANQUETA PORTUGUESA (SOLTO) (FREIJO) CAMURCA TABACO - Ø0x0H</v>
          </cell>
          <cell r="Y2628">
            <v>0</v>
          </cell>
          <cell r="Z2628">
            <v>0.5</v>
          </cell>
          <cell r="AA2628">
            <v>0</v>
          </cell>
          <cell r="AB2628"/>
        </row>
        <row r="2629">
          <cell r="C2629">
            <v>0</v>
          </cell>
          <cell r="D2629">
            <v>0</v>
          </cell>
          <cell r="E2629">
            <v>0</v>
          </cell>
          <cell r="F2629">
            <v>0</v>
          </cell>
          <cell r="H2629">
            <v>1</v>
          </cell>
          <cell r="O2629">
            <v>234641</v>
          </cell>
          <cell r="P2629"/>
          <cell r="Q2629" t="str">
            <v>EST BANQUETA BAR OMAR C/B H75 (MAD B FREIJO NT) FIRENZE600</v>
          </cell>
          <cell r="R2629"/>
          <cell r="S2629"/>
          <cell r="T2629">
            <v>0.54</v>
          </cell>
          <cell r="U2629">
            <v>0.56000000000000005</v>
          </cell>
          <cell r="V2629">
            <v>1.06</v>
          </cell>
          <cell r="W2629">
            <v>0</v>
          </cell>
          <cell r="X2629" t="str">
            <v>EST BANQUETA BAR OMAR C/B H75 (MAD B FREIJO NT) FIRENZE600 - 0,54x0,56x1,06H</v>
          </cell>
          <cell r="Y2629">
            <v>0</v>
          </cell>
          <cell r="Z2629">
            <v>0</v>
          </cell>
          <cell r="AA2629">
            <v>0</v>
          </cell>
          <cell r="AB2629"/>
        </row>
        <row r="2630">
          <cell r="C2630">
            <v>0</v>
          </cell>
          <cell r="D2630">
            <v>0</v>
          </cell>
          <cell r="E2630">
            <v>0</v>
          </cell>
          <cell r="F2630">
            <v>0</v>
          </cell>
          <cell r="H2630">
            <v>1</v>
          </cell>
          <cell r="O2630">
            <v>234642</v>
          </cell>
          <cell r="P2630"/>
          <cell r="Q2630" t="str">
            <v>EST BANQUETA BAR ORQUIDEA H75 (MAD B LOURO ESP) FIRENZE600</v>
          </cell>
          <cell r="R2630"/>
          <cell r="S2630"/>
          <cell r="T2630">
            <v>0.48</v>
          </cell>
          <cell r="U2630">
            <v>0.55000000000000004</v>
          </cell>
          <cell r="V2630">
            <v>0.98</v>
          </cell>
          <cell r="W2630">
            <v>0</v>
          </cell>
          <cell r="X2630" t="str">
            <v>EST BANQUETA BAR ORQUIDEA H75 (MAD B LOURO ESP) FIRENZE600 - 0,48x0,55x0,98H</v>
          </cell>
          <cell r="Y2630">
            <v>0</v>
          </cell>
          <cell r="Z2630">
            <v>0</v>
          </cell>
          <cell r="AA2630">
            <v>0</v>
          </cell>
          <cell r="AB2630"/>
        </row>
        <row r="2631">
          <cell r="C2631">
            <v>0</v>
          </cell>
          <cell r="D2631">
            <v>0</v>
          </cell>
          <cell r="E2631">
            <v>0</v>
          </cell>
          <cell r="F2631">
            <v>0</v>
          </cell>
          <cell r="H2631">
            <v>1</v>
          </cell>
          <cell r="O2631">
            <v>234645</v>
          </cell>
          <cell r="P2631"/>
          <cell r="Q2631" t="str">
            <v>EST SOFA AIR II (BASE PRETA) COURO FIRENZE 600</v>
          </cell>
          <cell r="R2631"/>
          <cell r="S2631"/>
          <cell r="T2631">
            <v>3.5</v>
          </cell>
          <cell r="U2631">
            <v>0.97</v>
          </cell>
          <cell r="V2631">
            <v>0.7</v>
          </cell>
          <cell r="W2631">
            <v>0</v>
          </cell>
          <cell r="X2631" t="str">
            <v>EST SOFA AIR II (BASE PRETA) COURO FIRENZE 600 - 3,5x0,97x0,7H</v>
          </cell>
          <cell r="Y2631">
            <v>0</v>
          </cell>
          <cell r="Z2631">
            <v>0.5</v>
          </cell>
          <cell r="AA2631">
            <v>0</v>
          </cell>
          <cell r="AB2631"/>
        </row>
        <row r="2632">
          <cell r="C2632">
            <v>0</v>
          </cell>
          <cell r="D2632">
            <v>0</v>
          </cell>
          <cell r="E2632">
            <v>0</v>
          </cell>
          <cell r="F2632">
            <v>0</v>
          </cell>
          <cell r="H2632">
            <v>0</v>
          </cell>
          <cell r="O2632">
            <v>234724</v>
          </cell>
          <cell r="P2632"/>
          <cell r="Q2632" t="str">
            <v>EST CARRINHO BIRITINHA (PINHO DE RIGA)</v>
          </cell>
          <cell r="R2632"/>
          <cell r="S2632"/>
          <cell r="T2632">
            <v>1.1299999999999999</v>
          </cell>
          <cell r="U2632">
            <v>0.55000000000000004</v>
          </cell>
          <cell r="V2632">
            <v>0.75</v>
          </cell>
          <cell r="W2632">
            <v>0</v>
          </cell>
          <cell r="X2632" t="str">
            <v>EST CARRINHO BIRITINHA (PINHO DE RIGA) - 1,13x0,55x0,75H</v>
          </cell>
          <cell r="Y2632">
            <v>0</v>
          </cell>
          <cell r="Z2632">
            <v>0.5</v>
          </cell>
          <cell r="AA2632">
            <v>0</v>
          </cell>
          <cell r="AB2632"/>
        </row>
        <row r="2633">
          <cell r="C2633">
            <v>0</v>
          </cell>
          <cell r="D2633">
            <v>0</v>
          </cell>
          <cell r="E2633">
            <v>0</v>
          </cell>
          <cell r="F2633">
            <v>0</v>
          </cell>
          <cell r="H2633">
            <v>1</v>
          </cell>
          <cell r="O2633">
            <v>234745</v>
          </cell>
          <cell r="P2633"/>
          <cell r="Q2633" t="str">
            <v>EST SOFA PARATY (MAD B COR 03) TC MALIBU VELVET ROSE</v>
          </cell>
          <cell r="R2633"/>
          <cell r="S2633"/>
          <cell r="T2633">
            <v>1.43</v>
          </cell>
          <cell r="U2633">
            <v>0.81</v>
          </cell>
          <cell r="V2633">
            <v>0.73</v>
          </cell>
          <cell r="W2633">
            <v>0</v>
          </cell>
          <cell r="X2633" t="str">
            <v>EST SOFA PARATY (MAD B COR 03) TC MALIBU VELVET ROSE - 1,43x0,81x0,73H</v>
          </cell>
          <cell r="Y2633">
            <v>0</v>
          </cell>
          <cell r="Z2633">
            <v>0</v>
          </cell>
          <cell r="AA2633">
            <v>0</v>
          </cell>
          <cell r="AB2633"/>
        </row>
        <row r="2634">
          <cell r="C2634" t="e">
            <v>#N/A</v>
          </cell>
          <cell r="D2634" t="e">
            <v>#N/A</v>
          </cell>
          <cell r="E2634" t="e">
            <v>#N/A</v>
          </cell>
          <cell r="F2634" t="e">
            <v>#N/A</v>
          </cell>
          <cell r="H2634" t="e">
            <v>#N/A</v>
          </cell>
          <cell r="O2634">
            <v>234746</v>
          </cell>
          <cell r="P2634"/>
          <cell r="Q2634" t="e">
            <v>#N/A</v>
          </cell>
          <cell r="R2634"/>
          <cell r="S2634"/>
          <cell r="T2634" t="e">
            <v>#N/A</v>
          </cell>
          <cell r="U2634" t="e">
            <v>#N/A</v>
          </cell>
          <cell r="V2634" t="e">
            <v>#N/A</v>
          </cell>
          <cell r="W2634" t="e">
            <v>#N/A</v>
          </cell>
          <cell r="X2634" t="e">
            <v>#N/A</v>
          </cell>
          <cell r="Y2634">
            <v>0</v>
          </cell>
          <cell r="Z2634">
            <v>0</v>
          </cell>
          <cell r="AA2634">
            <v>0</v>
          </cell>
          <cell r="AB2634"/>
        </row>
        <row r="2635">
          <cell r="C2635">
            <v>0</v>
          </cell>
          <cell r="D2635">
            <v>0</v>
          </cell>
          <cell r="E2635">
            <v>0</v>
          </cell>
          <cell r="F2635">
            <v>0</v>
          </cell>
          <cell r="H2635">
            <v>7</v>
          </cell>
          <cell r="O2635">
            <v>234925</v>
          </cell>
          <cell r="P2635"/>
          <cell r="Q2635" t="str">
            <v>EST CADEIRA GB M110 (TELA NAT) (FREIJO) (ACO PTO)</v>
          </cell>
          <cell r="R2635"/>
          <cell r="S2635"/>
          <cell r="T2635">
            <v>0.45</v>
          </cell>
          <cell r="U2635">
            <v>0.5</v>
          </cell>
          <cell r="V2635">
            <v>0.84</v>
          </cell>
          <cell r="W2635">
            <v>0</v>
          </cell>
          <cell r="X2635" t="str">
            <v>EST CADEIRA GB M110 (TELA NAT) (FREIJO) (ACO PTO) - 0,45x0,5x0,84H</v>
          </cell>
          <cell r="Y2635">
            <v>0</v>
          </cell>
          <cell r="Z2635">
            <v>0.5</v>
          </cell>
          <cell r="AA2635">
            <v>0</v>
          </cell>
          <cell r="AB2635"/>
        </row>
        <row r="2636">
          <cell r="C2636">
            <v>0</v>
          </cell>
          <cell r="D2636">
            <v>0</v>
          </cell>
          <cell r="E2636">
            <v>0</v>
          </cell>
          <cell r="F2636">
            <v>0</v>
          </cell>
          <cell r="H2636">
            <v>1</v>
          </cell>
          <cell r="O2636">
            <v>235215</v>
          </cell>
          <cell r="P2636"/>
          <cell r="Q2636" t="str">
            <v>EST MESA LATERAL OBLONGO (CARVALHO NT) DIAGONAL CORTEN</v>
          </cell>
          <cell r="R2636"/>
          <cell r="S2636"/>
          <cell r="T2636">
            <v>0.7</v>
          </cell>
          <cell r="U2636">
            <v>0.7</v>
          </cell>
          <cell r="V2636">
            <v>0.55000000000000004</v>
          </cell>
          <cell r="W2636">
            <v>0</v>
          </cell>
          <cell r="X2636" t="str">
            <v>EST MESA LATERAL OBLONGO (CARVALHO NT) DIAGONAL CORTEN - 0,7x0,7x0,55H</v>
          </cell>
          <cell r="Y2636">
            <v>0</v>
          </cell>
          <cell r="Z2636">
            <v>0.5</v>
          </cell>
          <cell r="AA2636">
            <v>0</v>
          </cell>
          <cell r="AB2636"/>
        </row>
        <row r="2637">
          <cell r="C2637">
            <v>0</v>
          </cell>
          <cell r="D2637">
            <v>0</v>
          </cell>
          <cell r="E2637">
            <v>0</v>
          </cell>
          <cell r="F2637">
            <v>0</v>
          </cell>
          <cell r="H2637">
            <v>1</v>
          </cell>
          <cell r="O2637">
            <v>235961</v>
          </cell>
          <cell r="P2637"/>
          <cell r="Q2637" t="str">
            <v>EST SOFA AIR II (BASE PRETA) TC MAGNOLIA 1126 (6 ALM DEC)</v>
          </cell>
          <cell r="R2637"/>
          <cell r="S2637"/>
          <cell r="T2637">
            <v>2.8</v>
          </cell>
          <cell r="U2637">
            <v>0.97</v>
          </cell>
          <cell r="V2637">
            <v>0.68</v>
          </cell>
          <cell r="W2637">
            <v>0</v>
          </cell>
          <cell r="X2637" t="str">
            <v>EST SOFA AIR II (BASE PRETA) TC MAGNOLIA 1126 (6 ALM DEC) - 2,8x0,97x0,68H</v>
          </cell>
          <cell r="Y2637">
            <v>0</v>
          </cell>
          <cell r="Z2637">
            <v>0</v>
          </cell>
          <cell r="AA2637">
            <v>0</v>
          </cell>
          <cell r="AB2637"/>
        </row>
        <row r="2638">
          <cell r="C2638">
            <v>0</v>
          </cell>
          <cell r="D2638">
            <v>0</v>
          </cell>
          <cell r="E2638">
            <v>0</v>
          </cell>
          <cell r="F2638">
            <v>0</v>
          </cell>
          <cell r="H2638">
            <v>3</v>
          </cell>
          <cell r="O2638">
            <v>238298</v>
          </cell>
          <cell r="P2638"/>
          <cell r="Q2638" t="str">
            <v>EST BANCO MARCOS (TELA NATURAL) (FREIJO NATURAL)</v>
          </cell>
          <cell r="R2638"/>
          <cell r="S2638"/>
          <cell r="T2638">
            <v>0.45</v>
          </cell>
          <cell r="U2638">
            <v>0.45</v>
          </cell>
          <cell r="V2638">
            <v>0.42</v>
          </cell>
          <cell r="W2638">
            <v>0</v>
          </cell>
          <cell r="X2638" t="str">
            <v>EST BANCO MARCOS (TELA NATURAL) (FREIJO NATURAL) - 0,45x0,45x0,42H</v>
          </cell>
          <cell r="Y2638">
            <v>0</v>
          </cell>
          <cell r="Z2638">
            <v>0</v>
          </cell>
          <cell r="AA2638">
            <v>0</v>
          </cell>
          <cell r="AB2638"/>
        </row>
        <row r="2639">
          <cell r="C2639">
            <v>0</v>
          </cell>
          <cell r="D2639">
            <v>0</v>
          </cell>
          <cell r="E2639">
            <v>0</v>
          </cell>
          <cell r="F2639">
            <v>0</v>
          </cell>
          <cell r="H2639">
            <v>1</v>
          </cell>
          <cell r="O2639">
            <v>238331</v>
          </cell>
          <cell r="P2639"/>
          <cell r="Q2639" t="str">
            <v>EST BASE JANTAR AERO (P/TP Ø1,80) (PRETO MTZ FSC)</v>
          </cell>
          <cell r="R2639"/>
          <cell r="S2639"/>
          <cell r="T2639">
            <v>1.8</v>
          </cell>
          <cell r="U2639">
            <v>0</v>
          </cell>
          <cell r="V2639">
            <v>0.74</v>
          </cell>
          <cell r="W2639">
            <v>1.8</v>
          </cell>
          <cell r="X2639" t="str">
            <v>EST BASE JANTAR AERO (P/TP Ø1,80) (PRETO MTZ FSC) - Ø1,8x0,74H</v>
          </cell>
          <cell r="Y2639">
            <v>0</v>
          </cell>
          <cell r="Z2639">
            <v>0.5</v>
          </cell>
          <cell r="AA2639">
            <v>0</v>
          </cell>
          <cell r="AB2639"/>
        </row>
        <row r="2640">
          <cell r="C2640">
            <v>0</v>
          </cell>
          <cell r="D2640">
            <v>0</v>
          </cell>
          <cell r="E2640">
            <v>0</v>
          </cell>
          <cell r="F2640">
            <v>0</v>
          </cell>
          <cell r="H2640">
            <v>2</v>
          </cell>
          <cell r="O2640">
            <v>238343</v>
          </cell>
          <cell r="P2640"/>
          <cell r="Q2640" t="str">
            <v>EST BANQUETA BAR ZANINE X H63 (ALTO) (FREIJO NAT) (PIG 405)</v>
          </cell>
          <cell r="R2640"/>
          <cell r="S2640"/>
          <cell r="T2640">
            <v>0.5</v>
          </cell>
          <cell r="U2640">
            <v>0</v>
          </cell>
          <cell r="V2640">
            <v>0.63</v>
          </cell>
          <cell r="W2640">
            <v>0.5</v>
          </cell>
          <cell r="X2640" t="str">
            <v>EST BANQUETA BAR ZANINE X H63 (ALTO) (FREIJO NAT) (PIG 405) - Ø0,5x0,63H</v>
          </cell>
          <cell r="Y2640">
            <v>0</v>
          </cell>
          <cell r="Z2640">
            <v>0</v>
          </cell>
          <cell r="AA2640">
            <v>0</v>
          </cell>
          <cell r="AB2640"/>
        </row>
        <row r="2641">
          <cell r="C2641">
            <v>0</v>
          </cell>
          <cell r="D2641">
            <v>0</v>
          </cell>
          <cell r="E2641">
            <v>0</v>
          </cell>
          <cell r="F2641">
            <v>0</v>
          </cell>
          <cell r="H2641">
            <v>3</v>
          </cell>
          <cell r="O2641">
            <v>238944</v>
          </cell>
          <cell r="P2641"/>
          <cell r="Q2641" t="str">
            <v>EST CADEIRA CURVA (ALUMINIO BRANCO TXT) (MADEIRA CUMARU)</v>
          </cell>
          <cell r="R2641"/>
          <cell r="S2641"/>
          <cell r="T2641">
            <v>0.54</v>
          </cell>
          <cell r="U2641">
            <v>0.49</v>
          </cell>
          <cell r="V2641">
            <v>0.77</v>
          </cell>
          <cell r="W2641">
            <v>0</v>
          </cell>
          <cell r="X2641" t="str">
            <v>EST CADEIRA CURVA (ALUMINIO BRANCO TXT) (MADEIRA CUMARU) - 0,54x0,49x0,77H</v>
          </cell>
          <cell r="Y2641">
            <v>0</v>
          </cell>
          <cell r="Z2641">
            <v>0</v>
          </cell>
          <cell r="AA2641">
            <v>0</v>
          </cell>
          <cell r="AB2641"/>
        </row>
        <row r="2642">
          <cell r="C2642">
            <v>0</v>
          </cell>
          <cell r="D2642">
            <v>0</v>
          </cell>
          <cell r="E2642">
            <v>0</v>
          </cell>
          <cell r="F2642">
            <v>0</v>
          </cell>
          <cell r="H2642">
            <v>3</v>
          </cell>
          <cell r="O2642">
            <v>238945</v>
          </cell>
          <cell r="P2642"/>
          <cell r="Q2642" t="str">
            <v>EST CADEIRA CURVA (ALUMINIO CORTEN AL41) (MADEIRA CUMARU)</v>
          </cell>
          <cell r="R2642"/>
          <cell r="S2642"/>
          <cell r="T2642">
            <v>0.54</v>
          </cell>
          <cell r="U2642">
            <v>0.49</v>
          </cell>
          <cell r="V2642">
            <v>0.77</v>
          </cell>
          <cell r="W2642">
            <v>0</v>
          </cell>
          <cell r="X2642" t="str">
            <v>EST CADEIRA CURVA (ALUMINIO CORTEN AL41) (MADEIRA CUMARU) - 0,54x0,49x0,77H</v>
          </cell>
          <cell r="Y2642">
            <v>0</v>
          </cell>
          <cell r="Z2642">
            <v>0</v>
          </cell>
          <cell r="AA2642">
            <v>0</v>
          </cell>
          <cell r="AB2642"/>
        </row>
        <row r="2643">
          <cell r="C2643">
            <v>0</v>
          </cell>
          <cell r="D2643">
            <v>0</v>
          </cell>
          <cell r="E2643">
            <v>0</v>
          </cell>
          <cell r="F2643">
            <v>0</v>
          </cell>
          <cell r="H2643">
            <v>1</v>
          </cell>
          <cell r="O2643">
            <v>239026</v>
          </cell>
          <cell r="P2643"/>
          <cell r="Q2643" t="str">
            <v>EST MODULO BRACO ESQ CHAISE DECK (GARAPEIRA) TC LONA CRU</v>
          </cell>
          <cell r="R2643"/>
          <cell r="S2643"/>
          <cell r="T2643">
            <v>0.85</v>
          </cell>
          <cell r="U2643">
            <v>1.97</v>
          </cell>
          <cell r="V2643">
            <v>0.63</v>
          </cell>
          <cell r="W2643">
            <v>0</v>
          </cell>
          <cell r="X2643" t="str">
            <v>EST MODULO BRACO ESQ CHAISE DECK (GARAPEIRA) TC LONA CRU - 0,85x1,97x0,63H</v>
          </cell>
          <cell r="Y2643">
            <v>0</v>
          </cell>
          <cell r="Z2643">
            <v>0</v>
          </cell>
          <cell r="AA2643">
            <v>0</v>
          </cell>
          <cell r="AB2643"/>
        </row>
        <row r="2644">
          <cell r="C2644">
            <v>0</v>
          </cell>
          <cell r="D2644">
            <v>0</v>
          </cell>
          <cell r="E2644">
            <v>0</v>
          </cell>
          <cell r="F2644">
            <v>0</v>
          </cell>
          <cell r="H2644">
            <v>1</v>
          </cell>
          <cell r="O2644">
            <v>239203</v>
          </cell>
          <cell r="P2644"/>
          <cell r="Q2644" t="str">
            <v>EST BANCO DOMINO (4 LUG) (G1 - ALASKA) (INOX)</v>
          </cell>
          <cell r="R2644"/>
          <cell r="S2644"/>
          <cell r="T2644">
            <v>1.9</v>
          </cell>
          <cell r="U2644">
            <v>0.45</v>
          </cell>
          <cell r="V2644">
            <v>0.48</v>
          </cell>
          <cell r="W2644">
            <v>0</v>
          </cell>
          <cell r="X2644" t="str">
            <v>EST BANCO DOMINO (4 LUG) (G1 - ALASKA) (INOX) - 1,9x0,45x0,48H</v>
          </cell>
          <cell r="Y2644">
            <v>0</v>
          </cell>
          <cell r="Z2644">
            <v>0</v>
          </cell>
          <cell r="AA2644">
            <v>0</v>
          </cell>
          <cell r="AB2644"/>
        </row>
        <row r="2645">
          <cell r="C2645">
            <v>0</v>
          </cell>
          <cell r="D2645">
            <v>0</v>
          </cell>
          <cell r="E2645">
            <v>0</v>
          </cell>
          <cell r="F2645">
            <v>0</v>
          </cell>
          <cell r="H2645">
            <v>2</v>
          </cell>
          <cell r="O2645">
            <v>239204</v>
          </cell>
          <cell r="P2645"/>
          <cell r="Q2645" t="str">
            <v>EST MANCEBO STAND BY (IPE) (G2 - RAFAELLO)</v>
          </cell>
          <cell r="R2645"/>
          <cell r="S2645"/>
          <cell r="T2645">
            <v>0.2</v>
          </cell>
          <cell r="U2645">
            <v>0.33</v>
          </cell>
          <cell r="V2645">
            <v>1.75</v>
          </cell>
          <cell r="W2645">
            <v>0</v>
          </cell>
          <cell r="X2645" t="str">
            <v>EST MANCEBO STAND BY (IPE) (G2 - RAFAELLO) - 0,2x0,33x1,75H</v>
          </cell>
          <cell r="Y2645">
            <v>0</v>
          </cell>
          <cell r="Z2645">
            <v>0.5</v>
          </cell>
          <cell r="AA2645">
            <v>0</v>
          </cell>
          <cell r="AB2645"/>
        </row>
        <row r="2646">
          <cell r="C2646">
            <v>0</v>
          </cell>
          <cell r="D2646">
            <v>0</v>
          </cell>
          <cell r="E2646">
            <v>0</v>
          </cell>
          <cell r="F2646">
            <v>0</v>
          </cell>
          <cell r="H2646">
            <v>0</v>
          </cell>
          <cell r="O2646">
            <v>239240</v>
          </cell>
          <cell r="P2646"/>
          <cell r="Q2646" t="str">
            <v>EST BASE CENTRO GRAMPO (03 GRAMPOS) (MUIRACATIARA)</v>
          </cell>
          <cell r="R2646"/>
          <cell r="S2646"/>
          <cell r="T2646">
            <v>0</v>
          </cell>
          <cell r="U2646">
            <v>0</v>
          </cell>
          <cell r="V2646">
            <v>0.35</v>
          </cell>
          <cell r="W2646">
            <v>0</v>
          </cell>
          <cell r="X2646" t="str">
            <v>EST BASE CENTRO GRAMPO (03 GRAMPOS) (MUIRACATIARA) - Ø0x0,35H</v>
          </cell>
          <cell r="Y2646">
            <v>0</v>
          </cell>
          <cell r="Z2646">
            <v>0.35</v>
          </cell>
          <cell r="AA2646">
            <v>0</v>
          </cell>
          <cell r="AB2646"/>
        </row>
        <row r="2647">
          <cell r="C2647">
            <v>0</v>
          </cell>
          <cell r="D2647">
            <v>0</v>
          </cell>
          <cell r="E2647">
            <v>0</v>
          </cell>
          <cell r="F2647">
            <v>0</v>
          </cell>
          <cell r="H2647">
            <v>0</v>
          </cell>
          <cell r="O2647">
            <v>239242</v>
          </cell>
          <cell r="P2647"/>
          <cell r="Q2647" t="str">
            <v>EST POLTRONA VIVI (FREIJO NT) CAMURCA TAUPE/COURO CH 05</v>
          </cell>
          <cell r="R2647"/>
          <cell r="S2647"/>
          <cell r="T2647">
            <v>0.85</v>
          </cell>
          <cell r="U2647">
            <v>0.9</v>
          </cell>
          <cell r="V2647">
            <v>0.92</v>
          </cell>
          <cell r="W2647">
            <v>0</v>
          </cell>
          <cell r="X2647" t="str">
            <v>EST POLTRONA VIVI (FREIJO NT) CAMURCA TAUPE/COURO CH 05 - 0,85x0,9x0,92H</v>
          </cell>
          <cell r="Y2647">
            <v>0</v>
          </cell>
          <cell r="Z2647">
            <v>0.5</v>
          </cell>
          <cell r="AA2647">
            <v>0</v>
          </cell>
          <cell r="AB2647"/>
        </row>
        <row r="2648">
          <cell r="C2648">
            <v>0</v>
          </cell>
          <cell r="D2648">
            <v>0</v>
          </cell>
          <cell r="E2648">
            <v>0</v>
          </cell>
          <cell r="F2648">
            <v>0</v>
          </cell>
          <cell r="H2648">
            <v>0</v>
          </cell>
          <cell r="O2648">
            <v>239972</v>
          </cell>
          <cell r="P2648"/>
          <cell r="Q2648" t="str">
            <v>EST CADEIRA DE BALANCO (FREIJO NAT) LO27 CAM GELO</v>
          </cell>
          <cell r="R2648"/>
          <cell r="S2648"/>
          <cell r="T2648">
            <v>0.7</v>
          </cell>
          <cell r="U2648">
            <v>1.06</v>
          </cell>
          <cell r="V2648">
            <v>0.8</v>
          </cell>
          <cell r="W2648">
            <v>0</v>
          </cell>
          <cell r="X2648" t="str">
            <v>EST CADEIRA DE BALANCO (FREIJO NAT) LO27 CAM GELO - 0,7x1,06x0,8H</v>
          </cell>
          <cell r="Y2648">
            <v>0</v>
          </cell>
          <cell r="Z2648">
            <v>0</v>
          </cell>
          <cell r="AA2648">
            <v>0</v>
          </cell>
          <cell r="AB2648"/>
        </row>
        <row r="2649">
          <cell r="C2649">
            <v>0</v>
          </cell>
          <cell r="D2649">
            <v>0</v>
          </cell>
          <cell r="E2649">
            <v>0</v>
          </cell>
          <cell r="F2649">
            <v>0</v>
          </cell>
          <cell r="H2649">
            <v>0</v>
          </cell>
          <cell r="O2649">
            <v>240129</v>
          </cell>
          <cell r="P2649"/>
          <cell r="Q2649" t="str">
            <v>EST MESA JANTAR LITORAL (DAGUA) (MADEIRA SUCUPIRA NATURAL)</v>
          </cell>
          <cell r="R2649"/>
          <cell r="S2649"/>
          <cell r="T2649">
            <v>3.2</v>
          </cell>
          <cell r="U2649">
            <v>1.34</v>
          </cell>
          <cell r="V2649">
            <v>0.74</v>
          </cell>
          <cell r="W2649">
            <v>0</v>
          </cell>
          <cell r="X2649" t="str">
            <v>EST MESA JANTAR LITORAL (DAGUA) (MADEIRA SUCUPIRA NATURAL) - 3,2x1,34x0,74H</v>
          </cell>
          <cell r="Y2649">
            <v>0</v>
          </cell>
          <cell r="Z2649">
            <v>0.5</v>
          </cell>
          <cell r="AA2649">
            <v>0</v>
          </cell>
          <cell r="AB2649"/>
        </row>
        <row r="2650">
          <cell r="C2650">
            <v>0</v>
          </cell>
          <cell r="D2650">
            <v>0</v>
          </cell>
          <cell r="E2650">
            <v>0</v>
          </cell>
          <cell r="F2650">
            <v>0</v>
          </cell>
          <cell r="H2650">
            <v>0</v>
          </cell>
          <cell r="O2650">
            <v>240130</v>
          </cell>
          <cell r="P2650"/>
          <cell r="Q2650" t="str">
            <v>EST MESA CENTRO JOHN GRAZ (BS SUCUPIRA) (LC SAYERLACK VINHO)</v>
          </cell>
          <cell r="R2650"/>
          <cell r="S2650"/>
          <cell r="T2650">
            <v>1.7</v>
          </cell>
          <cell r="U2650">
            <v>0.77</v>
          </cell>
          <cell r="V2650">
            <v>0.31</v>
          </cell>
          <cell r="W2650">
            <v>0</v>
          </cell>
          <cell r="X2650" t="str">
            <v>EST MESA CENTRO JOHN GRAZ (BS SUCUPIRA) (LC SAYERLACK VINHO) - 1,7x0,77x0,31H</v>
          </cell>
          <cell r="Y2650">
            <v>0</v>
          </cell>
          <cell r="Z2650">
            <v>0.5</v>
          </cell>
          <cell r="AA2650">
            <v>0</v>
          </cell>
          <cell r="AB2650"/>
        </row>
        <row r="2651">
          <cell r="C2651">
            <v>0</v>
          </cell>
          <cell r="D2651">
            <v>0</v>
          </cell>
          <cell r="E2651">
            <v>0</v>
          </cell>
          <cell r="F2651">
            <v>0</v>
          </cell>
          <cell r="H2651">
            <v>0</v>
          </cell>
          <cell r="O2651">
            <v>242322</v>
          </cell>
          <cell r="P2651"/>
          <cell r="Q2651" t="str">
            <v>EST APARADOR U (EM BALANCO) (MAD B IMBUIA POMELE)</v>
          </cell>
          <cell r="R2651"/>
          <cell r="S2651"/>
          <cell r="T2651">
            <v>2.2000000000000002</v>
          </cell>
          <cell r="U2651">
            <v>0.7</v>
          </cell>
          <cell r="V2651">
            <v>0.85</v>
          </cell>
          <cell r="W2651">
            <v>0</v>
          </cell>
          <cell r="X2651" t="str">
            <v>EST APARADOR U (EM BALANCO) (MAD B IMBUIA POMELE) - 2,2x0,7x0,85H</v>
          </cell>
          <cell r="Y2651">
            <v>0</v>
          </cell>
          <cell r="Z2651">
            <v>0.5</v>
          </cell>
          <cell r="AA2651">
            <v>0</v>
          </cell>
          <cell r="AB2651"/>
        </row>
        <row r="2652">
          <cell r="C2652">
            <v>0</v>
          </cell>
          <cell r="D2652">
            <v>0</v>
          </cell>
          <cell r="E2652">
            <v>0</v>
          </cell>
          <cell r="F2652">
            <v>0</v>
          </cell>
          <cell r="H2652">
            <v>1</v>
          </cell>
          <cell r="O2652">
            <v>242356</v>
          </cell>
          <cell r="P2652"/>
          <cell r="Q2652" t="str">
            <v>EST POLTRONA OSCAR JANTAR (TELA NATURAL) (MAD IMBUIA STAIN)</v>
          </cell>
          <cell r="R2652"/>
          <cell r="S2652"/>
          <cell r="T2652">
            <v>0.7</v>
          </cell>
          <cell r="U2652">
            <v>0.61</v>
          </cell>
          <cell r="V2652">
            <v>0.85</v>
          </cell>
          <cell r="W2652">
            <v>0</v>
          </cell>
          <cell r="X2652" t="str">
            <v>EST POLTRONA OSCAR JANTAR (TELA NATURAL) (MAD IMBUIA STAIN) - 0,7x0,61x0,85H</v>
          </cell>
          <cell r="Y2652">
            <v>0</v>
          </cell>
          <cell r="Z2652">
            <v>0</v>
          </cell>
          <cell r="AA2652">
            <v>0</v>
          </cell>
          <cell r="AB2652"/>
        </row>
        <row r="2653">
          <cell r="C2653">
            <v>0</v>
          </cell>
          <cell r="D2653">
            <v>0</v>
          </cell>
          <cell r="E2653">
            <v>0</v>
          </cell>
          <cell r="F2653">
            <v>0</v>
          </cell>
          <cell r="H2653">
            <v>1</v>
          </cell>
          <cell r="O2653">
            <v>242685</v>
          </cell>
          <cell r="P2653"/>
          <cell r="Q2653" t="str">
            <v>EST DAYBED LUXOR (1 ALMF) (MAD IMBUIA STAIN) TC 244-01918 NT</v>
          </cell>
          <cell r="R2653"/>
          <cell r="S2653"/>
          <cell r="T2653">
            <v>2</v>
          </cell>
          <cell r="U2653">
            <v>0.7</v>
          </cell>
          <cell r="V2653">
            <v>0.4</v>
          </cell>
          <cell r="W2653">
            <v>0</v>
          </cell>
          <cell r="X2653" t="str">
            <v>EST DAYBED LUXOR (1 ALMF) (MAD IMBUIA STAIN) TC 244-01918 NT - 2x0,7x0,4H</v>
          </cell>
          <cell r="Y2653">
            <v>0</v>
          </cell>
          <cell r="Z2653">
            <v>0</v>
          </cell>
          <cell r="AA2653">
            <v>0</v>
          </cell>
          <cell r="AB2653"/>
        </row>
        <row r="2654">
          <cell r="C2654">
            <v>0</v>
          </cell>
          <cell r="D2654">
            <v>0</v>
          </cell>
          <cell r="E2654">
            <v>0</v>
          </cell>
          <cell r="F2654">
            <v>0</v>
          </cell>
          <cell r="H2654">
            <v>2</v>
          </cell>
          <cell r="O2654">
            <v>242912</v>
          </cell>
          <cell r="P2654"/>
          <cell r="Q2654" t="str">
            <v>EST MESA LATERAL CORINGA (FREIJO NATURAL)</v>
          </cell>
          <cell r="R2654"/>
          <cell r="S2654"/>
          <cell r="T2654">
            <v>0.7</v>
          </cell>
          <cell r="U2654">
            <v>0</v>
          </cell>
          <cell r="V2654">
            <v>0.45</v>
          </cell>
          <cell r="W2654">
            <v>0.7</v>
          </cell>
          <cell r="X2654" t="str">
            <v>EST MESA LATERAL CORINGA (FREIJO NATURAL) - Ø0,7x0,45H</v>
          </cell>
          <cell r="Y2654">
            <v>0</v>
          </cell>
          <cell r="Z2654">
            <v>0</v>
          </cell>
          <cell r="AA2654">
            <v>0</v>
          </cell>
          <cell r="AB2654"/>
        </row>
        <row r="2655">
          <cell r="C2655">
            <v>0</v>
          </cell>
          <cell r="D2655">
            <v>0</v>
          </cell>
          <cell r="E2655">
            <v>0</v>
          </cell>
          <cell r="F2655">
            <v>0</v>
          </cell>
          <cell r="H2655">
            <v>0</v>
          </cell>
          <cell r="O2655">
            <v>244138</v>
          </cell>
          <cell r="P2655"/>
          <cell r="Q2655" t="str">
            <v>EST MESA CENTRO OBLONGO (PAU FERRO CLARO) ALTERNADOS PT</v>
          </cell>
          <cell r="R2655"/>
          <cell r="S2655"/>
          <cell r="T2655">
            <v>1.8</v>
          </cell>
          <cell r="U2655">
            <v>0.8</v>
          </cell>
          <cell r="V2655">
            <v>0.3</v>
          </cell>
          <cell r="W2655">
            <v>0</v>
          </cell>
          <cell r="X2655" t="str">
            <v>EST MESA CENTRO OBLONGO (PAU FERRO CLARO) ALTERNADOS PT - 1,8x0,8x0,3H</v>
          </cell>
          <cell r="Y2655">
            <v>0</v>
          </cell>
          <cell r="Z2655">
            <v>0</v>
          </cell>
          <cell r="AA2655">
            <v>0</v>
          </cell>
          <cell r="AB2655"/>
        </row>
        <row r="2656">
          <cell r="C2656">
            <v>0</v>
          </cell>
          <cell r="D2656">
            <v>0</v>
          </cell>
          <cell r="E2656">
            <v>0</v>
          </cell>
          <cell r="F2656">
            <v>0</v>
          </cell>
          <cell r="H2656">
            <v>3</v>
          </cell>
          <cell r="O2656">
            <v>245146</v>
          </cell>
          <cell r="P2656"/>
          <cell r="Q2656" t="str">
            <v>EST SOFA SO FAR (FREIJO NATURAL) TC GALLIA NATURAL</v>
          </cell>
          <cell r="R2656"/>
          <cell r="S2656"/>
          <cell r="T2656">
            <v>3</v>
          </cell>
          <cell r="U2656">
            <v>0.95</v>
          </cell>
          <cell r="V2656">
            <v>0.7</v>
          </cell>
          <cell r="W2656">
            <v>0</v>
          </cell>
          <cell r="X2656" t="str">
            <v>EST SOFA SO FAR (FREIJO NATURAL) TC GALLIA NATURAL - 3x0,95x0,7H</v>
          </cell>
          <cell r="Y2656">
            <v>0</v>
          </cell>
          <cell r="Z2656">
            <v>0</v>
          </cell>
          <cell r="AA2656">
            <v>0</v>
          </cell>
          <cell r="AB2656"/>
        </row>
        <row r="2657">
          <cell r="C2657">
            <v>0</v>
          </cell>
          <cell r="D2657">
            <v>0</v>
          </cell>
          <cell r="E2657">
            <v>0</v>
          </cell>
          <cell r="F2657">
            <v>0</v>
          </cell>
          <cell r="H2657">
            <v>2</v>
          </cell>
          <cell r="O2657">
            <v>247581</v>
          </cell>
          <cell r="P2657"/>
          <cell r="Q2657" t="str">
            <v>EST BANCO DOMINO (4 LUG) (G3 - GREEN PEACE) (INOX)</v>
          </cell>
          <cell r="R2657"/>
          <cell r="S2657"/>
          <cell r="T2657">
            <v>1.9</v>
          </cell>
          <cell r="U2657">
            <v>0.45</v>
          </cell>
          <cell r="V2657">
            <v>0.48</v>
          </cell>
          <cell r="W2657">
            <v>0</v>
          </cell>
          <cell r="X2657" t="str">
            <v>EST BANCO DOMINO (4 LUG) (G3 - GREEN PEACE) (INOX) - 1,9x0,45x0,48H</v>
          </cell>
          <cell r="Y2657">
            <v>0</v>
          </cell>
          <cell r="Z2657">
            <v>0</v>
          </cell>
          <cell r="AA2657">
            <v>0</v>
          </cell>
          <cell r="AB2657"/>
        </row>
        <row r="2658">
          <cell r="C2658">
            <v>0</v>
          </cell>
          <cell r="D2658">
            <v>0</v>
          </cell>
          <cell r="E2658">
            <v>0</v>
          </cell>
          <cell r="F2658">
            <v>0</v>
          </cell>
          <cell r="H2658">
            <v>4</v>
          </cell>
          <cell r="O2658">
            <v>248112</v>
          </cell>
          <cell r="P2658"/>
          <cell r="Q2658" t="str">
            <v>EST ALMOFADA DECORATIVA AIR II (M) COURO FIRENZE 600</v>
          </cell>
          <cell r="R2658"/>
          <cell r="S2658"/>
          <cell r="T2658">
            <v>0.62</v>
          </cell>
          <cell r="U2658">
            <v>0.62</v>
          </cell>
          <cell r="V2658">
            <v>0</v>
          </cell>
          <cell r="W2658">
            <v>0</v>
          </cell>
          <cell r="X2658" t="str">
            <v>EST ALMOFADA DECORATIVA AIR II (M) COURO FIRENZE 600 - 0,62x0,62x0H</v>
          </cell>
          <cell r="Y2658">
            <v>0</v>
          </cell>
          <cell r="Z2658">
            <v>0.5</v>
          </cell>
          <cell r="AA2658">
            <v>0</v>
          </cell>
          <cell r="AB2658"/>
        </row>
        <row r="2659">
          <cell r="C2659">
            <v>0</v>
          </cell>
          <cell r="D2659">
            <v>0</v>
          </cell>
          <cell r="E2659">
            <v>0</v>
          </cell>
          <cell r="F2659">
            <v>0</v>
          </cell>
          <cell r="H2659">
            <v>1</v>
          </cell>
          <cell r="O2659">
            <v>248714</v>
          </cell>
          <cell r="P2659"/>
          <cell r="Q2659" t="str">
            <v>EST SOFA LONA (GARAPEIRA) TC DOUBLE TROUB NAVY MIX</v>
          </cell>
          <cell r="R2659"/>
          <cell r="S2659"/>
          <cell r="T2659">
            <v>3.35</v>
          </cell>
          <cell r="U2659">
            <v>0.85</v>
          </cell>
          <cell r="V2659">
            <v>0.73</v>
          </cell>
          <cell r="W2659">
            <v>0</v>
          </cell>
          <cell r="X2659" t="str">
            <v>EST SOFA LONA (GARAPEIRA) TC DOUBLE TROUB NAVY MIX - 3,35x0,85x0,73H</v>
          </cell>
          <cell r="Y2659">
            <v>0</v>
          </cell>
          <cell r="Z2659">
            <v>0</v>
          </cell>
          <cell r="AA2659">
            <v>0</v>
          </cell>
          <cell r="AB2659"/>
        </row>
        <row r="2660">
          <cell r="C2660">
            <v>0</v>
          </cell>
          <cell r="D2660">
            <v>0</v>
          </cell>
          <cell r="E2660">
            <v>0</v>
          </cell>
          <cell r="F2660">
            <v>0</v>
          </cell>
          <cell r="H2660">
            <v>1</v>
          </cell>
          <cell r="O2660">
            <v>248917</v>
          </cell>
          <cell r="P2660"/>
          <cell r="Q2660" t="str">
            <v>EST TAMPO MARMORE TRAVERTINO ROMANO BRUTO</v>
          </cell>
          <cell r="R2660"/>
          <cell r="S2660"/>
          <cell r="T2660">
            <v>1</v>
          </cell>
          <cell r="U2660">
            <v>0</v>
          </cell>
          <cell r="V2660">
            <v>0.2</v>
          </cell>
          <cell r="W2660">
            <v>1</v>
          </cell>
          <cell r="X2660" t="str">
            <v>EST TAMPO MARMORE TRAVERTINO ROMANO BRUTO - Ø1x0,2H</v>
          </cell>
          <cell r="Y2660">
            <v>0</v>
          </cell>
          <cell r="Z2660">
            <v>0</v>
          </cell>
          <cell r="AA2660">
            <v>0</v>
          </cell>
          <cell r="AB2660"/>
        </row>
        <row r="2661">
          <cell r="C2661">
            <v>0</v>
          </cell>
          <cell r="D2661">
            <v>0</v>
          </cell>
          <cell r="E2661">
            <v>0</v>
          </cell>
          <cell r="F2661">
            <v>0</v>
          </cell>
          <cell r="H2661">
            <v>0</v>
          </cell>
          <cell r="O2661">
            <v>249890</v>
          </cell>
          <cell r="P2661"/>
          <cell r="Q2661" t="str">
            <v>EST MANCEBO STAND BY (FREIJO) (G2 - RAFAELLO)</v>
          </cell>
          <cell r="R2661"/>
          <cell r="S2661"/>
          <cell r="T2661">
            <v>0.2</v>
          </cell>
          <cell r="U2661">
            <v>0.33</v>
          </cell>
          <cell r="V2661">
            <v>1.75</v>
          </cell>
          <cell r="W2661">
            <v>0</v>
          </cell>
          <cell r="X2661" t="str">
            <v>EST MANCEBO STAND BY (FREIJO) (G2 - RAFAELLO) - 0,2x0,33x1,75H</v>
          </cell>
          <cell r="Y2661">
            <v>0</v>
          </cell>
          <cell r="Z2661">
            <v>0</v>
          </cell>
          <cell r="AA2661">
            <v>0</v>
          </cell>
          <cell r="AB2661"/>
        </row>
        <row r="2662">
          <cell r="C2662">
            <v>0</v>
          </cell>
          <cell r="D2662">
            <v>0</v>
          </cell>
          <cell r="E2662">
            <v>0</v>
          </cell>
          <cell r="F2662">
            <v>0</v>
          </cell>
          <cell r="H2662">
            <v>2</v>
          </cell>
          <cell r="O2662">
            <v>249892</v>
          </cell>
          <cell r="P2662"/>
          <cell r="Q2662" t="str">
            <v>EST MANCEBO STAND BY (IPE) (G3 - GREEN PEACE)</v>
          </cell>
          <cell r="R2662"/>
          <cell r="S2662"/>
          <cell r="T2662">
            <v>0.2</v>
          </cell>
          <cell r="U2662">
            <v>0.33</v>
          </cell>
          <cell r="V2662">
            <v>1.75</v>
          </cell>
          <cell r="W2662">
            <v>0</v>
          </cell>
          <cell r="X2662" t="str">
            <v>EST MANCEBO STAND BY (IPE) (G3 - GREEN PEACE) - 0,2x0,33x1,75H</v>
          </cell>
          <cell r="Y2662">
            <v>0</v>
          </cell>
          <cell r="Z2662">
            <v>0.5</v>
          </cell>
          <cell r="AA2662">
            <v>0</v>
          </cell>
          <cell r="AB2662"/>
        </row>
        <row r="2663">
          <cell r="C2663">
            <v>0</v>
          </cell>
          <cell r="D2663">
            <v>0</v>
          </cell>
          <cell r="E2663">
            <v>0</v>
          </cell>
          <cell r="F2663">
            <v>0</v>
          </cell>
          <cell r="H2663">
            <v>4</v>
          </cell>
          <cell r="O2663">
            <v>249893</v>
          </cell>
          <cell r="P2663"/>
          <cell r="Q2663" t="str">
            <v>EST MANCEBO STAND BY (FREIJO) (G1 - ALASKA)</v>
          </cell>
          <cell r="R2663"/>
          <cell r="S2663"/>
          <cell r="T2663">
            <v>0.2</v>
          </cell>
          <cell r="U2663">
            <v>0.33</v>
          </cell>
          <cell r="V2663">
            <v>1.75</v>
          </cell>
          <cell r="W2663">
            <v>0</v>
          </cell>
          <cell r="X2663" t="str">
            <v>EST MANCEBO STAND BY (FREIJO) (G1 - ALASKA) - 0,2x0,33x1,75H</v>
          </cell>
          <cell r="Y2663">
            <v>0</v>
          </cell>
          <cell r="Z2663">
            <v>0.5</v>
          </cell>
          <cell r="AA2663">
            <v>0</v>
          </cell>
          <cell r="AB2663"/>
        </row>
        <row r="2664">
          <cell r="C2664">
            <v>0</v>
          </cell>
          <cell r="D2664">
            <v>0</v>
          </cell>
          <cell r="E2664">
            <v>0</v>
          </cell>
          <cell r="F2664">
            <v>0</v>
          </cell>
          <cell r="H2664">
            <v>3</v>
          </cell>
          <cell r="O2664">
            <v>250009</v>
          </cell>
          <cell r="P2664"/>
          <cell r="Q2664" t="str">
            <v>EST BANCO DOMINO (4 LUG) (G2 - RAFAELLO) (INOX)</v>
          </cell>
          <cell r="R2664"/>
          <cell r="S2664"/>
          <cell r="T2664">
            <v>1.9</v>
          </cell>
          <cell r="U2664">
            <v>0.45</v>
          </cell>
          <cell r="V2664">
            <v>0.48</v>
          </cell>
          <cell r="W2664">
            <v>0</v>
          </cell>
          <cell r="X2664" t="str">
            <v>EST BANCO DOMINO (4 LUG) (G2 - RAFAELLO) (INOX) - 1,9x0,45x0,48H</v>
          </cell>
          <cell r="Y2664">
            <v>0</v>
          </cell>
          <cell r="Z2664">
            <v>0</v>
          </cell>
          <cell r="AA2664">
            <v>0</v>
          </cell>
          <cell r="AB2664"/>
        </row>
        <row r="2665">
          <cell r="C2665">
            <v>0</v>
          </cell>
          <cell r="D2665">
            <v>0</v>
          </cell>
          <cell r="E2665">
            <v>0</v>
          </cell>
          <cell r="F2665">
            <v>0</v>
          </cell>
          <cell r="H2665">
            <v>11</v>
          </cell>
          <cell r="O2665">
            <v>250351</v>
          </cell>
          <cell r="P2665"/>
          <cell r="Q2665" t="str">
            <v>EST BANCO GB (TELA NAT) (FREIJO) (ACO PTO)</v>
          </cell>
          <cell r="R2665"/>
          <cell r="S2665"/>
          <cell r="T2665">
            <v>0.42</v>
          </cell>
          <cell r="U2665">
            <v>0.42</v>
          </cell>
          <cell r="V2665">
            <v>0.45</v>
          </cell>
          <cell r="W2665">
            <v>0</v>
          </cell>
          <cell r="X2665" t="str">
            <v>EST BANCO GB (TELA NAT) (FREIJO) (ACO PTO) - 0,42x0,42x0,45H</v>
          </cell>
          <cell r="Y2665">
            <v>0</v>
          </cell>
          <cell r="Z2665">
            <v>0</v>
          </cell>
          <cell r="AA2665">
            <v>0</v>
          </cell>
          <cell r="AB2665"/>
        </row>
        <row r="2666">
          <cell r="C2666">
            <v>0</v>
          </cell>
          <cell r="D2666">
            <v>0</v>
          </cell>
          <cell r="E2666">
            <v>0</v>
          </cell>
          <cell r="F2666">
            <v>0</v>
          </cell>
          <cell r="H2666">
            <v>3</v>
          </cell>
          <cell r="O2666">
            <v>250371</v>
          </cell>
          <cell r="P2666"/>
          <cell r="Q2666" t="str">
            <v>EST POLTRONA OSCAR ESTAR (TELA NATURAL) (MAD IMBUIA STAIN)</v>
          </cell>
          <cell r="R2666"/>
          <cell r="S2666"/>
          <cell r="T2666">
            <v>0.7</v>
          </cell>
          <cell r="U2666">
            <v>0.65</v>
          </cell>
          <cell r="V2666">
            <v>0.8</v>
          </cell>
          <cell r="W2666">
            <v>0</v>
          </cell>
          <cell r="X2666" t="str">
            <v>EST POLTRONA OSCAR ESTAR (TELA NATURAL) (MAD IMBUIA STAIN) - 0,7x0,65x0,8H</v>
          </cell>
          <cell r="Y2666">
            <v>0</v>
          </cell>
          <cell r="Z2666">
            <v>0.5</v>
          </cell>
          <cell r="AA2666">
            <v>0</v>
          </cell>
          <cell r="AB2666"/>
        </row>
        <row r="2667">
          <cell r="C2667">
            <v>0</v>
          </cell>
          <cell r="D2667">
            <v>0</v>
          </cell>
          <cell r="E2667">
            <v>0</v>
          </cell>
          <cell r="F2667">
            <v>0</v>
          </cell>
          <cell r="H2667">
            <v>1</v>
          </cell>
          <cell r="O2667">
            <v>250372</v>
          </cell>
          <cell r="P2667"/>
          <cell r="Q2667" t="str">
            <v>EST PUFF LONA (GARAPEIRA) DOUBLE TROUB NAVY MIX</v>
          </cell>
          <cell r="R2667"/>
          <cell r="S2667"/>
          <cell r="T2667">
            <v>0.86</v>
          </cell>
          <cell r="U2667">
            <v>0.86</v>
          </cell>
          <cell r="V2667">
            <v>0.38</v>
          </cell>
          <cell r="W2667">
            <v>0</v>
          </cell>
          <cell r="X2667" t="str">
            <v>EST PUFF LONA (GARAPEIRA) DOUBLE TROUB NAVY MIX - 0,86x0,86x0,38H</v>
          </cell>
          <cell r="Y2667">
            <v>0</v>
          </cell>
          <cell r="Z2667">
            <v>0</v>
          </cell>
          <cell r="AA2667">
            <v>0</v>
          </cell>
          <cell r="AB2667"/>
        </row>
        <row r="2668">
          <cell r="C2668">
            <v>0</v>
          </cell>
          <cell r="D2668">
            <v>0</v>
          </cell>
          <cell r="E2668">
            <v>0</v>
          </cell>
          <cell r="F2668">
            <v>0</v>
          </cell>
          <cell r="H2668">
            <v>2</v>
          </cell>
          <cell r="O2668">
            <v>250613</v>
          </cell>
          <cell r="P2668"/>
          <cell r="Q2668" t="str">
            <v>EST POLTRON LEME ALTA (ESTOF) (FREIJO NT) COURO FIRENZE 600</v>
          </cell>
          <cell r="R2668"/>
          <cell r="S2668"/>
          <cell r="T2668">
            <v>0.75</v>
          </cell>
          <cell r="U2668">
            <v>0.8</v>
          </cell>
          <cell r="V2668">
            <v>1.1499999999999999</v>
          </cell>
          <cell r="W2668">
            <v>0</v>
          </cell>
          <cell r="X2668" t="str">
            <v>EST POLTRON LEME ALTA (ESTOF) (FREIJO NT) COURO FIRENZE 600 - 0,75x0,8x1,15H</v>
          </cell>
          <cell r="Y2668">
            <v>0</v>
          </cell>
          <cell r="Z2668">
            <v>0</v>
          </cell>
          <cell r="AA2668">
            <v>0</v>
          </cell>
          <cell r="AB2668"/>
        </row>
        <row r="2669">
          <cell r="C2669">
            <v>0</v>
          </cell>
          <cell r="D2669">
            <v>0</v>
          </cell>
          <cell r="E2669">
            <v>0</v>
          </cell>
          <cell r="F2669">
            <v>0</v>
          </cell>
          <cell r="H2669">
            <v>4</v>
          </cell>
          <cell r="O2669">
            <v>250638</v>
          </cell>
          <cell r="P2669"/>
          <cell r="Q2669" t="str">
            <v>EST CADEIRA GB MTF600 (S/B) (KRAFT)</v>
          </cell>
          <cell r="R2669"/>
          <cell r="S2669"/>
          <cell r="T2669">
            <v>0.4</v>
          </cell>
          <cell r="U2669">
            <v>0.48</v>
          </cell>
          <cell r="V2669">
            <v>0.82</v>
          </cell>
          <cell r="W2669">
            <v>0</v>
          </cell>
          <cell r="X2669" t="str">
            <v>EST CADEIRA GB MTF600 (S/B) (KRAFT) - 0,4x0,48x0,82H</v>
          </cell>
          <cell r="Y2669">
            <v>0</v>
          </cell>
          <cell r="Z2669">
            <v>0</v>
          </cell>
          <cell r="AA2669">
            <v>0</v>
          </cell>
          <cell r="AB2669"/>
        </row>
        <row r="2670">
          <cell r="C2670">
            <v>0</v>
          </cell>
          <cell r="D2670">
            <v>0</v>
          </cell>
          <cell r="E2670">
            <v>0</v>
          </cell>
          <cell r="F2670">
            <v>0</v>
          </cell>
          <cell r="H2670">
            <v>0</v>
          </cell>
          <cell r="O2670">
            <v>250725</v>
          </cell>
          <cell r="P2670"/>
          <cell r="Q2670" t="str">
            <v>EST MANCEBO KBID (BASE CONCRETO NATURAL) (IPE)</v>
          </cell>
          <cell r="R2670"/>
          <cell r="S2670"/>
          <cell r="T2670">
            <v>0.47</v>
          </cell>
          <cell r="U2670">
            <v>0.16</v>
          </cell>
          <cell r="V2670">
            <v>1.35</v>
          </cell>
          <cell r="W2670">
            <v>0</v>
          </cell>
          <cell r="X2670" t="str">
            <v>EST MANCEBO KBID (BASE CONCRETO NATURAL) (IPE) - 0,47x0,16x1,35H</v>
          </cell>
          <cell r="Y2670">
            <v>0</v>
          </cell>
          <cell r="Z2670">
            <v>0</v>
          </cell>
          <cell r="AA2670">
            <v>0</v>
          </cell>
          <cell r="AB2670"/>
        </row>
        <row r="2671">
          <cell r="C2671">
            <v>0</v>
          </cell>
          <cell r="D2671">
            <v>0</v>
          </cell>
          <cell r="E2671">
            <v>0</v>
          </cell>
          <cell r="F2671">
            <v>0</v>
          </cell>
          <cell r="H2671">
            <v>1</v>
          </cell>
          <cell r="O2671">
            <v>250789</v>
          </cell>
          <cell r="P2671"/>
          <cell r="Q2671" t="str">
            <v>EST POLTRONA PORTUGUESA S/B (CORDA KRAFT) (IPE NT)</v>
          </cell>
          <cell r="R2671"/>
          <cell r="S2671"/>
          <cell r="T2671">
            <v>0.65</v>
          </cell>
          <cell r="U2671">
            <v>0.67</v>
          </cell>
          <cell r="V2671">
            <v>0.75</v>
          </cell>
          <cell r="W2671">
            <v>0</v>
          </cell>
          <cell r="X2671" t="str">
            <v>EST POLTRONA PORTUGUESA S/B (CORDA KRAFT) (IPE NT) - 0,65x0,67x0,75H</v>
          </cell>
          <cell r="Y2671">
            <v>0</v>
          </cell>
          <cell r="Z2671">
            <v>0.5</v>
          </cell>
          <cell r="AA2671">
            <v>0</v>
          </cell>
          <cell r="AB2671"/>
        </row>
        <row r="2672">
          <cell r="C2672">
            <v>0</v>
          </cell>
          <cell r="D2672">
            <v>0</v>
          </cell>
          <cell r="E2672">
            <v>0</v>
          </cell>
          <cell r="F2672">
            <v>0</v>
          </cell>
          <cell r="H2672">
            <v>2</v>
          </cell>
          <cell r="O2672">
            <v>250916</v>
          </cell>
          <cell r="P2672"/>
          <cell r="Q2672" t="str">
            <v>EST BANQUETA LEME (ESTOF) (FREIJO NT) COURO FIRENZE 600</v>
          </cell>
          <cell r="R2672"/>
          <cell r="S2672"/>
          <cell r="T2672">
            <v>0.75</v>
          </cell>
          <cell r="U2672">
            <v>0.45</v>
          </cell>
          <cell r="V2672">
            <v>0.4</v>
          </cell>
          <cell r="W2672">
            <v>0</v>
          </cell>
          <cell r="X2672" t="str">
            <v>EST BANQUETA LEME (ESTOF) (FREIJO NT) COURO FIRENZE 600 - 0,75x0,45x0,4H</v>
          </cell>
          <cell r="Y2672">
            <v>0</v>
          </cell>
          <cell r="Z2672">
            <v>0</v>
          </cell>
          <cell r="AA2672">
            <v>0</v>
          </cell>
          <cell r="AB2672"/>
        </row>
        <row r="2673">
          <cell r="C2673">
            <v>0</v>
          </cell>
          <cell r="D2673">
            <v>0</v>
          </cell>
          <cell r="E2673">
            <v>0</v>
          </cell>
          <cell r="F2673">
            <v>0</v>
          </cell>
          <cell r="H2673">
            <v>0</v>
          </cell>
          <cell r="O2673">
            <v>250959</v>
          </cell>
          <cell r="P2673"/>
          <cell r="Q2673" t="str">
            <v>EST ESPELHO PIRUETA (BASE METALICA) SUCUPIRA NATURAL</v>
          </cell>
          <cell r="R2673"/>
          <cell r="S2673"/>
          <cell r="T2673">
            <v>0.7</v>
          </cell>
          <cell r="U2673">
            <v>0.7</v>
          </cell>
          <cell r="V2673">
            <v>1.69</v>
          </cell>
          <cell r="W2673">
            <v>0</v>
          </cell>
          <cell r="X2673" t="str">
            <v>EST ESPELHO PIRUETA (BASE METALICA) SUCUPIRA NATURAL - 0,7x0,7x1,69H</v>
          </cell>
          <cell r="Y2673">
            <v>0</v>
          </cell>
          <cell r="Z2673">
            <v>0.5</v>
          </cell>
          <cell r="AA2673">
            <v>0</v>
          </cell>
          <cell r="AB2673"/>
        </row>
        <row r="2674">
          <cell r="C2674">
            <v>0</v>
          </cell>
          <cell r="D2674">
            <v>0</v>
          </cell>
          <cell r="E2674">
            <v>0</v>
          </cell>
          <cell r="F2674">
            <v>0</v>
          </cell>
          <cell r="H2674">
            <v>1</v>
          </cell>
          <cell r="O2674">
            <v>251318</v>
          </cell>
          <cell r="P2674"/>
          <cell r="Q2674" t="str">
            <v>EST LUMINARIA PAPIRO (CORIAN BRANCO)</v>
          </cell>
          <cell r="R2674"/>
          <cell r="S2674"/>
          <cell r="T2674">
            <v>0.19</v>
          </cell>
          <cell r="U2674">
            <v>0.41</v>
          </cell>
          <cell r="V2674">
            <v>0.65</v>
          </cell>
          <cell r="W2674">
            <v>0</v>
          </cell>
          <cell r="X2674" t="str">
            <v>EST LUMINARIA PAPIRO (CORIAN BRANCO) - 0,19x0,41x0,65H</v>
          </cell>
          <cell r="Y2674">
            <v>0</v>
          </cell>
          <cell r="Z2674">
            <v>0.5</v>
          </cell>
          <cell r="AA2674">
            <v>0</v>
          </cell>
          <cell r="AB2674"/>
        </row>
        <row r="2675">
          <cell r="C2675">
            <v>0</v>
          </cell>
          <cell r="D2675">
            <v>0</v>
          </cell>
          <cell r="E2675">
            <v>0</v>
          </cell>
          <cell r="F2675">
            <v>0</v>
          </cell>
          <cell r="H2675">
            <v>2</v>
          </cell>
          <cell r="O2675">
            <v>251928</v>
          </cell>
          <cell r="P2675"/>
          <cell r="Q2675" t="str">
            <v>EST CADEIRA BOA C/B (FREIJO) TC SAGG INDIGO</v>
          </cell>
          <cell r="R2675"/>
          <cell r="S2675"/>
          <cell r="T2675">
            <v>0.65</v>
          </cell>
          <cell r="U2675">
            <v>0.65</v>
          </cell>
          <cell r="V2675">
            <v>0.8</v>
          </cell>
          <cell r="W2675">
            <v>0</v>
          </cell>
          <cell r="X2675" t="str">
            <v>EST CADEIRA BOA C/B (FREIJO) TC SAGG INDIGO - 0,65x0,65x0,8H</v>
          </cell>
          <cell r="Y2675">
            <v>0</v>
          </cell>
          <cell r="Z2675">
            <v>0</v>
          </cell>
          <cell r="AA2675">
            <v>0</v>
          </cell>
          <cell r="AB2675"/>
        </row>
        <row r="2676">
          <cell r="C2676">
            <v>0</v>
          </cell>
          <cell r="D2676">
            <v>0</v>
          </cell>
          <cell r="E2676">
            <v>0</v>
          </cell>
          <cell r="F2676">
            <v>0</v>
          </cell>
          <cell r="H2676">
            <v>0</v>
          </cell>
          <cell r="O2676">
            <v>252166</v>
          </cell>
          <cell r="P2676"/>
          <cell r="Q2676" t="str">
            <v>EST MANCEBO KBID (FREIJO) (G3 - ROSSO FIORENTINO) INOX</v>
          </cell>
          <cell r="R2676"/>
          <cell r="S2676"/>
          <cell r="T2676">
            <v>0.47</v>
          </cell>
          <cell r="U2676">
            <v>0.16</v>
          </cell>
          <cell r="V2676">
            <v>1.35</v>
          </cell>
          <cell r="W2676">
            <v>0</v>
          </cell>
          <cell r="X2676" t="str">
            <v>EST MANCEBO KBID (FREIJO) (G3 - ROSSO FIORENTINO) INOX - 0,47x0,16x1,35H</v>
          </cell>
          <cell r="Y2676">
            <v>0</v>
          </cell>
          <cell r="Z2676">
            <v>0</v>
          </cell>
          <cell r="AA2676">
            <v>0</v>
          </cell>
          <cell r="AB2676"/>
        </row>
        <row r="2677">
          <cell r="C2677">
            <v>0</v>
          </cell>
          <cell r="D2677">
            <v>0</v>
          </cell>
          <cell r="E2677">
            <v>0</v>
          </cell>
          <cell r="F2677">
            <v>0</v>
          </cell>
          <cell r="H2677">
            <v>1</v>
          </cell>
          <cell r="O2677">
            <v>252234</v>
          </cell>
          <cell r="P2677"/>
          <cell r="Q2677" t="str">
            <v>EST BANCO DOMINO (4 LUG) (CILIN IPE) (CONC GOIABA) (CORTEN)</v>
          </cell>
          <cell r="R2677"/>
          <cell r="S2677"/>
          <cell r="T2677">
            <v>1.9</v>
          </cell>
          <cell r="U2677">
            <v>0.45</v>
          </cell>
          <cell r="V2677">
            <v>0.48</v>
          </cell>
          <cell r="W2677">
            <v>0</v>
          </cell>
          <cell r="X2677" t="str">
            <v>EST BANCO DOMINO (4 LUG) (CILIN IPE) (CONC GOIABA) (CORTEN) - 1,9x0,45x0,48H</v>
          </cell>
          <cell r="Y2677">
            <v>0</v>
          </cell>
          <cell r="Z2677">
            <v>0</v>
          </cell>
          <cell r="AA2677">
            <v>0</v>
          </cell>
          <cell r="AB2677"/>
        </row>
        <row r="2678">
          <cell r="C2678">
            <v>0</v>
          </cell>
          <cell r="D2678">
            <v>0</v>
          </cell>
          <cell r="E2678">
            <v>0</v>
          </cell>
          <cell r="F2678">
            <v>0</v>
          </cell>
          <cell r="H2678">
            <v>4</v>
          </cell>
          <cell r="O2678">
            <v>252235</v>
          </cell>
          <cell r="P2678"/>
          <cell r="Q2678" t="str">
            <v>EST BANQUETA PORTUGUESA (CORDA KRAFT) (IPE NATURAL)</v>
          </cell>
          <cell r="R2678"/>
          <cell r="S2678"/>
          <cell r="T2678">
            <v>0.65</v>
          </cell>
          <cell r="U2678">
            <v>0.45</v>
          </cell>
          <cell r="V2678">
            <v>0.39</v>
          </cell>
          <cell r="W2678">
            <v>0</v>
          </cell>
          <cell r="X2678" t="str">
            <v>EST BANQUETA PORTUGUESA (CORDA KRAFT) (IPE NATURAL) - 0,65x0,45x0,39H</v>
          </cell>
          <cell r="Y2678">
            <v>0</v>
          </cell>
          <cell r="Z2678">
            <v>0</v>
          </cell>
          <cell r="AA2678">
            <v>0</v>
          </cell>
          <cell r="AB2678"/>
        </row>
        <row r="2679">
          <cell r="C2679">
            <v>0</v>
          </cell>
          <cell r="D2679">
            <v>0</v>
          </cell>
          <cell r="E2679">
            <v>0</v>
          </cell>
          <cell r="F2679">
            <v>0</v>
          </cell>
          <cell r="H2679">
            <v>1</v>
          </cell>
          <cell r="O2679">
            <v>252274</v>
          </cell>
          <cell r="P2679"/>
          <cell r="Q2679" t="str">
            <v>EST POLTRONA CUCA (FREIJO NAT) TC EL SWISS VELVET BEIGE</v>
          </cell>
          <cell r="R2679"/>
          <cell r="S2679"/>
          <cell r="T2679">
            <v>0.63</v>
          </cell>
          <cell r="U2679">
            <v>0.9</v>
          </cell>
          <cell r="V2679">
            <v>0.89</v>
          </cell>
          <cell r="W2679">
            <v>0</v>
          </cell>
          <cell r="X2679" t="str">
            <v>EST POLTRONA CUCA (FREIJO NAT) TC EL SWISS VELVET BEIGE - 0,63x0,9x0,89H</v>
          </cell>
          <cell r="Y2679">
            <v>0</v>
          </cell>
          <cell r="Z2679">
            <v>0</v>
          </cell>
          <cell r="AA2679">
            <v>0</v>
          </cell>
          <cell r="AB2679"/>
        </row>
        <row r="2680">
          <cell r="C2680">
            <v>0</v>
          </cell>
          <cell r="D2680">
            <v>0</v>
          </cell>
          <cell r="E2680">
            <v>0</v>
          </cell>
          <cell r="F2680">
            <v>0</v>
          </cell>
          <cell r="H2680">
            <v>1</v>
          </cell>
          <cell r="O2680">
            <v>252275</v>
          </cell>
          <cell r="P2680"/>
          <cell r="Q2680" t="str">
            <v>EST BANQUETA CUCA (FREIJO NAT) TC EL SWISS VELVET BEIGE</v>
          </cell>
          <cell r="R2680"/>
          <cell r="S2680"/>
          <cell r="T2680">
            <v>0.51</v>
          </cell>
          <cell r="U2680">
            <v>0.4</v>
          </cell>
          <cell r="V2680">
            <v>0.39</v>
          </cell>
          <cell r="W2680">
            <v>0</v>
          </cell>
          <cell r="X2680" t="str">
            <v>EST BANQUETA CUCA (FREIJO NAT) TC EL SWISS VELVET BEIGE - 0,51x0,4x0,39H</v>
          </cell>
          <cell r="Y2680">
            <v>0</v>
          </cell>
          <cell r="Z2680">
            <v>0</v>
          </cell>
          <cell r="AA2680">
            <v>0</v>
          </cell>
          <cell r="AB2680"/>
        </row>
        <row r="2681">
          <cell r="C2681">
            <v>0</v>
          </cell>
          <cell r="D2681">
            <v>0</v>
          </cell>
          <cell r="E2681">
            <v>0</v>
          </cell>
          <cell r="F2681">
            <v>0</v>
          </cell>
          <cell r="H2681">
            <v>9</v>
          </cell>
          <cell r="O2681">
            <v>252417</v>
          </cell>
          <cell r="P2681"/>
          <cell r="Q2681" t="str">
            <v>EST CADEIRA GIRAFA (IPE)</v>
          </cell>
          <cell r="R2681"/>
          <cell r="S2681"/>
          <cell r="T2681">
            <v>0.39</v>
          </cell>
          <cell r="U2681">
            <v>0.43</v>
          </cell>
          <cell r="V2681">
            <v>0.79</v>
          </cell>
          <cell r="W2681">
            <v>0</v>
          </cell>
          <cell r="X2681" t="str">
            <v>EST CADEIRA GIRAFA (IPE) - 0,39x0,43x0,79H</v>
          </cell>
          <cell r="Y2681">
            <v>0</v>
          </cell>
          <cell r="Z2681">
            <v>0</v>
          </cell>
          <cell r="AA2681">
            <v>0</v>
          </cell>
          <cell r="AB2681"/>
        </row>
        <row r="2682">
          <cell r="C2682">
            <v>0</v>
          </cell>
          <cell r="D2682">
            <v>0</v>
          </cell>
          <cell r="E2682">
            <v>0</v>
          </cell>
          <cell r="F2682">
            <v>0</v>
          </cell>
          <cell r="H2682">
            <v>1</v>
          </cell>
          <cell r="O2682">
            <v>252418</v>
          </cell>
          <cell r="P2682"/>
          <cell r="Q2682" t="str">
            <v>EST CADEIRA GIRAFA BORDADEIRA (IPE)</v>
          </cell>
          <cell r="R2682"/>
          <cell r="S2682"/>
          <cell r="T2682">
            <v>0.39</v>
          </cell>
          <cell r="U2682">
            <v>0.42</v>
          </cell>
          <cell r="V2682">
            <v>0.65</v>
          </cell>
          <cell r="W2682">
            <v>0</v>
          </cell>
          <cell r="X2682" t="str">
            <v>EST CADEIRA GIRAFA BORDADEIRA (IPE) - 0,39x0,42x0,65H</v>
          </cell>
          <cell r="Y2682">
            <v>0</v>
          </cell>
          <cell r="Z2682">
            <v>0</v>
          </cell>
          <cell r="AA2682">
            <v>0</v>
          </cell>
          <cell r="AB2682"/>
        </row>
        <row r="2683">
          <cell r="C2683">
            <v>0</v>
          </cell>
          <cell r="D2683">
            <v>0</v>
          </cell>
          <cell r="E2683">
            <v>0</v>
          </cell>
          <cell r="F2683">
            <v>0</v>
          </cell>
          <cell r="H2683">
            <v>4</v>
          </cell>
          <cell r="O2683">
            <v>252538</v>
          </cell>
          <cell r="P2683"/>
          <cell r="Q2683" t="str">
            <v>EST CADEIRA JOHN GRAZ (TECA) CAMURCA TAUPE</v>
          </cell>
          <cell r="R2683"/>
          <cell r="S2683"/>
          <cell r="T2683">
            <v>0.48</v>
          </cell>
          <cell r="U2683">
            <v>0.53</v>
          </cell>
          <cell r="V2683">
            <v>0.82</v>
          </cell>
          <cell r="W2683">
            <v>0</v>
          </cell>
          <cell r="X2683" t="str">
            <v>EST CADEIRA JOHN GRAZ (TECA) CAMURCA TAUPE - 0,48x0,53x0,82H</v>
          </cell>
          <cell r="Y2683">
            <v>0</v>
          </cell>
          <cell r="Z2683">
            <v>0</v>
          </cell>
          <cell r="AA2683">
            <v>0</v>
          </cell>
          <cell r="AB2683"/>
        </row>
        <row r="2684">
          <cell r="C2684">
            <v>0</v>
          </cell>
          <cell r="D2684">
            <v>0</v>
          </cell>
          <cell r="E2684">
            <v>0</v>
          </cell>
          <cell r="F2684">
            <v>0</v>
          </cell>
          <cell r="H2684">
            <v>1</v>
          </cell>
          <cell r="O2684">
            <v>252613</v>
          </cell>
          <cell r="P2684"/>
          <cell r="Q2684" t="str">
            <v>EST BANQUETA STELLA (MAD B COR 03) TC EL MEDA AQUA</v>
          </cell>
          <cell r="R2684"/>
          <cell r="S2684"/>
          <cell r="T2684">
            <v>0.62</v>
          </cell>
          <cell r="U2684">
            <v>0.48</v>
          </cell>
          <cell r="V2684">
            <v>0.9</v>
          </cell>
          <cell r="W2684">
            <v>0</v>
          </cell>
          <cell r="X2684" t="str">
            <v>EST BANQUETA STELLA (MAD B COR 03) TC EL MEDA AQUA - 0,62x0,48x0,9H</v>
          </cell>
          <cell r="Y2684">
            <v>0</v>
          </cell>
          <cell r="Z2684">
            <v>0</v>
          </cell>
          <cell r="AA2684">
            <v>0</v>
          </cell>
          <cell r="AB2684"/>
        </row>
        <row r="2685">
          <cell r="C2685">
            <v>0</v>
          </cell>
          <cell r="D2685">
            <v>0</v>
          </cell>
          <cell r="E2685">
            <v>0</v>
          </cell>
          <cell r="F2685">
            <v>0</v>
          </cell>
          <cell r="H2685">
            <v>0</v>
          </cell>
          <cell r="O2685">
            <v>252906</v>
          </cell>
          <cell r="P2685"/>
          <cell r="Q2685" t="str">
            <v>EST BASE JANTAR GELSOMINA (OVAL) (FREIJO NATURAL)</v>
          </cell>
          <cell r="R2685"/>
          <cell r="S2685"/>
          <cell r="T2685">
            <v>1.36</v>
          </cell>
          <cell r="U2685">
            <v>0.77</v>
          </cell>
          <cell r="V2685">
            <v>0.73</v>
          </cell>
          <cell r="W2685">
            <v>0</v>
          </cell>
          <cell r="X2685" t="str">
            <v>EST BASE JANTAR GELSOMINA (OVAL) (FREIJO NATURAL) - 1,36x0,77x0,73H</v>
          </cell>
          <cell r="Y2685">
            <v>0</v>
          </cell>
          <cell r="Z2685">
            <v>0</v>
          </cell>
          <cell r="AA2685">
            <v>0</v>
          </cell>
          <cell r="AB2685"/>
        </row>
        <row r="2686">
          <cell r="C2686">
            <v>0</v>
          </cell>
          <cell r="D2686">
            <v>0</v>
          </cell>
          <cell r="E2686">
            <v>0</v>
          </cell>
          <cell r="F2686">
            <v>0</v>
          </cell>
          <cell r="H2686">
            <v>7</v>
          </cell>
          <cell r="O2686">
            <v>253292</v>
          </cell>
          <cell r="P2686"/>
          <cell r="Q2686" t="str">
            <v>EST CADEIRA LUCIO (TELA NATURAL) (IMBUIA STAIN)</v>
          </cell>
          <cell r="R2686"/>
          <cell r="S2686"/>
          <cell r="T2686">
            <v>0.48</v>
          </cell>
          <cell r="U2686">
            <v>0.49</v>
          </cell>
          <cell r="V2686">
            <v>0.81</v>
          </cell>
          <cell r="W2686">
            <v>0</v>
          </cell>
          <cell r="X2686" t="str">
            <v>EST CADEIRA LUCIO (TELA NATURAL) (IMBUIA STAIN) - 0,48x0,49x0,81H</v>
          </cell>
          <cell r="Y2686">
            <v>0</v>
          </cell>
          <cell r="Z2686">
            <v>0</v>
          </cell>
          <cell r="AA2686">
            <v>0</v>
          </cell>
          <cell r="AB2686"/>
        </row>
        <row r="2687">
          <cell r="C2687">
            <v>0</v>
          </cell>
          <cell r="D2687">
            <v>0</v>
          </cell>
          <cell r="E2687">
            <v>0</v>
          </cell>
          <cell r="F2687">
            <v>0</v>
          </cell>
          <cell r="H2687">
            <v>7</v>
          </cell>
          <cell r="O2687">
            <v>253797</v>
          </cell>
          <cell r="P2687"/>
          <cell r="Q2687" t="str">
            <v>EST MESA JANTAR GIRAFA (IPE)</v>
          </cell>
          <cell r="R2687"/>
          <cell r="S2687"/>
          <cell r="T2687">
            <v>0.7</v>
          </cell>
          <cell r="U2687">
            <v>0</v>
          </cell>
          <cell r="V2687">
            <v>0.76</v>
          </cell>
          <cell r="W2687">
            <v>0</v>
          </cell>
          <cell r="X2687" t="str">
            <v>EST MESA JANTAR GIRAFA (IPE) - Ø0x0,76H</v>
          </cell>
          <cell r="Y2687">
            <v>0</v>
          </cell>
          <cell r="Z2687">
            <v>0</v>
          </cell>
          <cell r="AA2687">
            <v>0</v>
          </cell>
          <cell r="AB2687"/>
        </row>
        <row r="2688">
          <cell r="C2688">
            <v>0</v>
          </cell>
          <cell r="D2688">
            <v>0</v>
          </cell>
          <cell r="E2688">
            <v>0</v>
          </cell>
          <cell r="F2688">
            <v>0</v>
          </cell>
          <cell r="H2688">
            <v>6</v>
          </cell>
          <cell r="O2688">
            <v>253800</v>
          </cell>
          <cell r="P2688"/>
          <cell r="Q2688" t="str">
            <v>EST BANCO GIRAFA (IPE)</v>
          </cell>
          <cell r="R2688"/>
          <cell r="S2688"/>
          <cell r="T2688">
            <v>0.38</v>
          </cell>
          <cell r="U2688">
            <v>0.34</v>
          </cell>
          <cell r="V2688">
            <v>0.48</v>
          </cell>
          <cell r="W2688">
            <v>0</v>
          </cell>
          <cell r="X2688" t="str">
            <v>EST BANCO GIRAFA (IPE) - 0,38x0,34x0,48H</v>
          </cell>
          <cell r="Y2688">
            <v>0</v>
          </cell>
          <cell r="Z2688">
            <v>0</v>
          </cell>
          <cell r="AA2688">
            <v>0</v>
          </cell>
          <cell r="AB2688"/>
        </row>
        <row r="2689">
          <cell r="C2689">
            <v>0</v>
          </cell>
          <cell r="D2689">
            <v>0</v>
          </cell>
          <cell r="E2689">
            <v>0</v>
          </cell>
          <cell r="F2689">
            <v>0</v>
          </cell>
          <cell r="H2689">
            <v>0</v>
          </cell>
          <cell r="O2689">
            <v>253802</v>
          </cell>
          <cell r="P2689"/>
          <cell r="Q2689" t="str">
            <v>EST BANQUETA BAR GIRAFA H62 (IPE)</v>
          </cell>
          <cell r="R2689"/>
          <cell r="S2689"/>
          <cell r="T2689">
            <v>0.39</v>
          </cell>
          <cell r="U2689">
            <v>0.46</v>
          </cell>
          <cell r="V2689">
            <v>0.86</v>
          </cell>
          <cell r="W2689">
            <v>0</v>
          </cell>
          <cell r="X2689" t="str">
            <v>EST BANQUETA BAR GIRAFA H62 (IPE) - 0,39x0,46x0,86H</v>
          </cell>
          <cell r="Y2689">
            <v>0</v>
          </cell>
          <cell r="Z2689">
            <v>0</v>
          </cell>
          <cell r="AA2689">
            <v>0</v>
          </cell>
          <cell r="AB2689"/>
        </row>
        <row r="2690">
          <cell r="C2690">
            <v>0</v>
          </cell>
          <cell r="D2690">
            <v>0</v>
          </cell>
          <cell r="E2690">
            <v>0</v>
          </cell>
          <cell r="F2690">
            <v>0</v>
          </cell>
          <cell r="H2690">
            <v>9</v>
          </cell>
          <cell r="O2690">
            <v>253807</v>
          </cell>
          <cell r="P2690"/>
          <cell r="Q2690" t="str">
            <v>EST BANQUETA BAR GIRAFA H76 (IPE)</v>
          </cell>
          <cell r="R2690"/>
          <cell r="S2690"/>
          <cell r="T2690">
            <v>0.39</v>
          </cell>
          <cell r="U2690">
            <v>0.46</v>
          </cell>
          <cell r="V2690">
            <v>1</v>
          </cell>
          <cell r="W2690">
            <v>0</v>
          </cell>
          <cell r="X2690" t="str">
            <v>EST BANQUETA BAR GIRAFA H76 (IPE) - 0,39x0,46x1H</v>
          </cell>
          <cell r="Y2690">
            <v>0</v>
          </cell>
          <cell r="Z2690">
            <v>0</v>
          </cell>
          <cell r="AA2690">
            <v>0</v>
          </cell>
          <cell r="AB2690"/>
        </row>
        <row r="2691">
          <cell r="C2691">
            <v>0</v>
          </cell>
          <cell r="D2691">
            <v>0</v>
          </cell>
          <cell r="E2691">
            <v>0</v>
          </cell>
          <cell r="F2691">
            <v>0</v>
          </cell>
          <cell r="H2691">
            <v>0</v>
          </cell>
          <cell r="O2691">
            <v>253967</v>
          </cell>
          <cell r="P2691"/>
          <cell r="Q2691" t="str">
            <v>EST TAMPO CRISTAL LAPIDADO (12MM) INCOLOR (CIRCULAR)</v>
          </cell>
          <cell r="R2691"/>
          <cell r="S2691"/>
          <cell r="T2691">
            <v>1.3</v>
          </cell>
          <cell r="U2691">
            <v>1.3</v>
          </cell>
          <cell r="V2691">
            <v>0.01</v>
          </cell>
          <cell r="W2691">
            <v>1.3</v>
          </cell>
          <cell r="X2691" t="str">
            <v>EST TAMPO CRISTAL LAPIDADO (12MM) INCOLOR (CIRCULAR) - 1,3x1,3x0,01H</v>
          </cell>
          <cell r="Y2691">
            <v>0</v>
          </cell>
          <cell r="Z2691">
            <v>0.5</v>
          </cell>
          <cell r="AA2691">
            <v>0</v>
          </cell>
          <cell r="AB2691"/>
        </row>
        <row r="2692">
          <cell r="C2692">
            <v>0</v>
          </cell>
          <cell r="D2692">
            <v>0</v>
          </cell>
          <cell r="E2692">
            <v>0</v>
          </cell>
          <cell r="F2692">
            <v>0</v>
          </cell>
          <cell r="H2692">
            <v>1</v>
          </cell>
          <cell r="O2692">
            <v>254391</v>
          </cell>
          <cell r="P2692"/>
          <cell r="Q2692" t="str">
            <v>EST POLTRONA STELLA (BAIXA) (MAD A COR 02) TC EL MALIBU GREY</v>
          </cell>
          <cell r="R2692"/>
          <cell r="S2692"/>
          <cell r="T2692">
            <v>0.74</v>
          </cell>
          <cell r="U2692">
            <v>0.92</v>
          </cell>
          <cell r="V2692">
            <v>0.69</v>
          </cell>
          <cell r="W2692">
            <v>0</v>
          </cell>
          <cell r="X2692" t="str">
            <v>EST POLTRONA STELLA (BAIXA) (MAD A COR 02) TC EL MALIBU GREY - 0,74x0,92x0,69H</v>
          </cell>
          <cell r="Y2692">
            <v>0</v>
          </cell>
          <cell r="Z2692">
            <v>0</v>
          </cell>
          <cell r="AA2692">
            <v>0</v>
          </cell>
          <cell r="AB2692"/>
        </row>
        <row r="2693">
          <cell r="C2693">
            <v>0</v>
          </cell>
          <cell r="D2693">
            <v>0</v>
          </cell>
          <cell r="E2693">
            <v>0</v>
          </cell>
          <cell r="F2693">
            <v>0</v>
          </cell>
          <cell r="H2693">
            <v>1</v>
          </cell>
          <cell r="O2693">
            <v>254549</v>
          </cell>
          <cell r="P2693"/>
          <cell r="Q2693" t="str">
            <v>EST CADEIRA GB01 MISTA (IMBUIA) (QUADRIC NT) TC CHEVRON 1354</v>
          </cell>
          <cell r="R2693"/>
          <cell r="S2693"/>
          <cell r="T2693">
            <v>0.45</v>
          </cell>
          <cell r="U2693">
            <v>0.48</v>
          </cell>
          <cell r="V2693">
            <v>0.85</v>
          </cell>
          <cell r="W2693">
            <v>0</v>
          </cell>
          <cell r="X2693" t="str">
            <v>EST CADEIRA GB01 MISTA (IMBUIA) (QUADRIC NT) TC CHEVRON 1354 - 0,45x0,48x0,85H</v>
          </cell>
          <cell r="Y2693">
            <v>0</v>
          </cell>
          <cell r="Z2693">
            <v>0.35</v>
          </cell>
          <cell r="AA2693">
            <v>0</v>
          </cell>
          <cell r="AB2693"/>
        </row>
        <row r="2694">
          <cell r="C2694">
            <v>0</v>
          </cell>
          <cell r="D2694">
            <v>0</v>
          </cell>
          <cell r="E2694">
            <v>0</v>
          </cell>
          <cell r="F2694">
            <v>0</v>
          </cell>
          <cell r="H2694">
            <v>2</v>
          </cell>
          <cell r="O2694">
            <v>254652</v>
          </cell>
          <cell r="P2694"/>
          <cell r="Q2694" t="str">
            <v>EST CADEIRA JOHN GRAZ (CEREJEIRA COR IMBUIA) CAMURCA GELO</v>
          </cell>
          <cell r="R2694"/>
          <cell r="S2694"/>
          <cell r="T2694">
            <v>0.48</v>
          </cell>
          <cell r="U2694">
            <v>0.53</v>
          </cell>
          <cell r="V2694">
            <v>0.82</v>
          </cell>
          <cell r="W2694">
            <v>0</v>
          </cell>
          <cell r="X2694" t="str">
            <v>EST CADEIRA JOHN GRAZ (CEREJEIRA COR IMBUIA) CAMURCA GELO - 0,48x0,53x0,82H</v>
          </cell>
          <cell r="Y2694">
            <v>0</v>
          </cell>
          <cell r="Z2694">
            <v>0</v>
          </cell>
          <cell r="AA2694">
            <v>0</v>
          </cell>
          <cell r="AB2694"/>
        </row>
        <row r="2695">
          <cell r="C2695">
            <v>0</v>
          </cell>
          <cell r="D2695">
            <v>0</v>
          </cell>
          <cell r="E2695">
            <v>0</v>
          </cell>
          <cell r="F2695">
            <v>0</v>
          </cell>
          <cell r="H2695">
            <v>5</v>
          </cell>
          <cell r="O2695">
            <v>254708</v>
          </cell>
          <cell r="P2695"/>
          <cell r="Q2695" t="str">
            <v>EST CADEIRA JOHN GRAZ (PINHO DE RIGA) CAMURCA TAUPE</v>
          </cell>
          <cell r="R2695"/>
          <cell r="S2695"/>
          <cell r="T2695">
            <v>0.48</v>
          </cell>
          <cell r="U2695">
            <v>0.53</v>
          </cell>
          <cell r="V2695">
            <v>0.82</v>
          </cell>
          <cell r="W2695">
            <v>0</v>
          </cell>
          <cell r="X2695" t="str">
            <v>EST CADEIRA JOHN GRAZ (PINHO DE RIGA) CAMURCA TAUPE - 0,48x0,53x0,82H</v>
          </cell>
          <cell r="Y2695">
            <v>0</v>
          </cell>
          <cell r="Z2695">
            <v>0</v>
          </cell>
          <cell r="AA2695">
            <v>0</v>
          </cell>
          <cell r="AB2695"/>
        </row>
        <row r="2696">
          <cell r="C2696">
            <v>0</v>
          </cell>
          <cell r="D2696">
            <v>0</v>
          </cell>
          <cell r="E2696">
            <v>0</v>
          </cell>
          <cell r="F2696">
            <v>0</v>
          </cell>
          <cell r="H2696">
            <v>0</v>
          </cell>
          <cell r="O2696">
            <v>255429</v>
          </cell>
          <cell r="P2696"/>
          <cell r="Q2696" t="str">
            <v>EST BANQUETA BAR GB MTF600 H73 TC LINHO CHEVRON NATURAL</v>
          </cell>
          <cell r="R2696"/>
          <cell r="S2696"/>
          <cell r="T2696">
            <v>0.35</v>
          </cell>
          <cell r="U2696">
            <v>0.4</v>
          </cell>
          <cell r="V2696">
            <v>0.83</v>
          </cell>
          <cell r="W2696">
            <v>0</v>
          </cell>
          <cell r="X2696" t="str">
            <v>EST BANQUETA BAR GB MTF600 H73 TC LINHO CHEVRON NATURAL - 0,35x0,4x0,83H</v>
          </cell>
          <cell r="Y2696">
            <v>0</v>
          </cell>
          <cell r="Z2696">
            <v>0</v>
          </cell>
          <cell r="AA2696">
            <v>0</v>
          </cell>
          <cell r="AB2696"/>
        </row>
        <row r="2697">
          <cell r="C2697">
            <v>0</v>
          </cell>
          <cell r="D2697">
            <v>0</v>
          </cell>
          <cell r="E2697">
            <v>0</v>
          </cell>
          <cell r="F2697">
            <v>0</v>
          </cell>
          <cell r="H2697">
            <v>1</v>
          </cell>
          <cell r="O2697">
            <v>255545</v>
          </cell>
          <cell r="P2697"/>
          <cell r="Q2697" t="str">
            <v>EST MESA JANTAR U (OVAL) (MADEIRA PEROBA MEDIA)</v>
          </cell>
          <cell r="R2697"/>
          <cell r="S2697"/>
          <cell r="T2697">
            <v>2.6</v>
          </cell>
          <cell r="U2697">
            <v>1.1000000000000001</v>
          </cell>
          <cell r="V2697">
            <v>0.74</v>
          </cell>
          <cell r="W2697">
            <v>0</v>
          </cell>
          <cell r="X2697" t="str">
            <v>EST MESA JANTAR U (OVAL) (MADEIRA PEROBA MEDIA) - 2,6x1,1x0,74H</v>
          </cell>
          <cell r="Y2697">
            <v>0</v>
          </cell>
          <cell r="Z2697">
            <v>0.5</v>
          </cell>
          <cell r="AA2697">
            <v>0</v>
          </cell>
          <cell r="AB2697"/>
        </row>
        <row r="2698">
          <cell r="C2698">
            <v>0</v>
          </cell>
          <cell r="D2698">
            <v>0</v>
          </cell>
          <cell r="E2698">
            <v>0</v>
          </cell>
          <cell r="F2698">
            <v>0</v>
          </cell>
          <cell r="H2698">
            <v>1</v>
          </cell>
          <cell r="O2698">
            <v>255786</v>
          </cell>
          <cell r="P2698"/>
          <cell r="Q2698" t="str">
            <v>EST LUMINARIA PAU DE LUZ (INOX) (SUCUPIRA NATURAL) BIVOLT</v>
          </cell>
          <cell r="R2698"/>
          <cell r="S2698"/>
          <cell r="T2698">
            <v>0.04</v>
          </cell>
          <cell r="U2698">
            <v>0.06</v>
          </cell>
          <cell r="V2698">
            <v>2.15</v>
          </cell>
          <cell r="W2698">
            <v>0</v>
          </cell>
          <cell r="X2698" t="str">
            <v>EST LUMINARIA PAU DE LUZ (INOX) (SUCUPIRA NATURAL) BIVOLT - 0,04x0,06x2,15H</v>
          </cell>
          <cell r="Y2698">
            <v>0</v>
          </cell>
          <cell r="Z2698">
            <v>0.5</v>
          </cell>
          <cell r="AA2698">
            <v>0</v>
          </cell>
          <cell r="AB2698"/>
        </row>
        <row r="2699">
          <cell r="C2699">
            <v>0</v>
          </cell>
          <cell r="D2699">
            <v>0</v>
          </cell>
          <cell r="E2699">
            <v>0</v>
          </cell>
          <cell r="F2699">
            <v>0</v>
          </cell>
          <cell r="H2699">
            <v>5</v>
          </cell>
          <cell r="O2699">
            <v>255953</v>
          </cell>
          <cell r="P2699"/>
          <cell r="Q2699" t="str">
            <v>EST BANCO GB (TELA NAT) (IMBUIA) (ACO PTO)</v>
          </cell>
          <cell r="R2699"/>
          <cell r="S2699"/>
          <cell r="T2699">
            <v>0.42</v>
          </cell>
          <cell r="U2699">
            <v>0.42</v>
          </cell>
          <cell r="V2699">
            <v>0.45</v>
          </cell>
          <cell r="W2699">
            <v>0</v>
          </cell>
          <cell r="X2699" t="str">
            <v>EST BANCO GB (TELA NAT) (IMBUIA) (ACO PTO) - 0,42x0,42x0,45H</v>
          </cell>
          <cell r="Y2699">
            <v>0</v>
          </cell>
          <cell r="Z2699">
            <v>0</v>
          </cell>
          <cell r="AA2699">
            <v>0</v>
          </cell>
          <cell r="AB2699"/>
        </row>
        <row r="2700">
          <cell r="C2700">
            <v>0</v>
          </cell>
          <cell r="D2700">
            <v>0</v>
          </cell>
          <cell r="E2700">
            <v>0</v>
          </cell>
          <cell r="F2700">
            <v>0</v>
          </cell>
          <cell r="H2700">
            <v>1</v>
          </cell>
          <cell r="O2700">
            <v>255954</v>
          </cell>
          <cell r="P2700"/>
          <cell r="Q2700" t="str">
            <v>EST BANQUETA BAR GB H72 (TELA) (IMBUIA) (ACO PRETO)</v>
          </cell>
          <cell r="R2700"/>
          <cell r="S2700"/>
          <cell r="T2700">
            <v>0.42</v>
          </cell>
          <cell r="U2700">
            <v>0.42</v>
          </cell>
          <cell r="V2700">
            <v>0.72</v>
          </cell>
          <cell r="W2700">
            <v>0</v>
          </cell>
          <cell r="X2700" t="str">
            <v>EST BANQUETA BAR GB H72 (TELA) (IMBUIA) (ACO PRETO) - 0,42x0,42x0,72H</v>
          </cell>
          <cell r="Y2700">
            <v>0</v>
          </cell>
          <cell r="Z2700">
            <v>0.5</v>
          </cell>
          <cell r="AA2700">
            <v>0</v>
          </cell>
          <cell r="AB2700"/>
        </row>
        <row r="2701">
          <cell r="C2701">
            <v>0</v>
          </cell>
          <cell r="D2701">
            <v>0</v>
          </cell>
          <cell r="E2701">
            <v>0</v>
          </cell>
          <cell r="F2701">
            <v>0</v>
          </cell>
          <cell r="H2701">
            <v>1</v>
          </cell>
          <cell r="O2701">
            <v>255999</v>
          </cell>
          <cell r="P2701"/>
          <cell r="Q2701" t="str">
            <v>EST POLTRONA RIO (MAD B LOURO ESP) TELA SEXTAVADA NATURAL</v>
          </cell>
          <cell r="R2701"/>
          <cell r="S2701"/>
          <cell r="T2701">
            <v>0.66</v>
          </cell>
          <cell r="U2701">
            <v>0.7</v>
          </cell>
          <cell r="V2701">
            <v>0.69</v>
          </cell>
          <cell r="W2701">
            <v>0</v>
          </cell>
          <cell r="X2701" t="str">
            <v>EST POLTRONA RIO (MAD B LOURO ESP) TELA SEXTAVADA NATURAL - 0,66x0,7x0,69H</v>
          </cell>
          <cell r="Y2701">
            <v>0</v>
          </cell>
          <cell r="Z2701">
            <v>0</v>
          </cell>
          <cell r="AA2701">
            <v>0</v>
          </cell>
          <cell r="AB2701"/>
        </row>
        <row r="2702">
          <cell r="C2702">
            <v>0</v>
          </cell>
          <cell r="D2702">
            <v>0</v>
          </cell>
          <cell r="E2702">
            <v>0</v>
          </cell>
          <cell r="F2702">
            <v>0</v>
          </cell>
          <cell r="H2702">
            <v>4</v>
          </cell>
          <cell r="O2702">
            <v>256816</v>
          </cell>
          <cell r="P2702"/>
          <cell r="Q2702" t="str">
            <v>EST POLTRONA DIZ (ESTOF S/FURO) (MAD B EBNZ) COURO PIG 100</v>
          </cell>
          <cell r="R2702"/>
          <cell r="S2702"/>
          <cell r="T2702">
            <v>0.78</v>
          </cell>
          <cell r="U2702">
            <v>0.89</v>
          </cell>
          <cell r="V2702">
            <v>0.71</v>
          </cell>
          <cell r="W2702">
            <v>0</v>
          </cell>
          <cell r="X2702" t="str">
            <v>EST POLTRONA DIZ (ESTOF S/FURO) (MAD B EBNZ) COURO PIG 100 - 0,78x0,89x0,71H</v>
          </cell>
          <cell r="Y2702">
            <v>0</v>
          </cell>
          <cell r="Z2702">
            <v>0</v>
          </cell>
          <cell r="AA2702">
            <v>0</v>
          </cell>
          <cell r="AB2702"/>
        </row>
        <row r="2703">
          <cell r="C2703" t="e">
            <v>#N/A</v>
          </cell>
          <cell r="D2703" t="e">
            <v>#N/A</v>
          </cell>
          <cell r="E2703" t="e">
            <v>#N/A</v>
          </cell>
          <cell r="F2703" t="e">
            <v>#N/A</v>
          </cell>
          <cell r="H2703" t="e">
            <v>#N/A</v>
          </cell>
          <cell r="O2703">
            <v>256995</v>
          </cell>
          <cell r="P2703"/>
          <cell r="Q2703" t="e">
            <v>#N/A</v>
          </cell>
          <cell r="R2703"/>
          <cell r="S2703"/>
          <cell r="T2703" t="e">
            <v>#N/A</v>
          </cell>
          <cell r="U2703" t="e">
            <v>#N/A</v>
          </cell>
          <cell r="V2703" t="e">
            <v>#N/A</v>
          </cell>
          <cell r="W2703" t="e">
            <v>#N/A</v>
          </cell>
          <cell r="X2703" t="e">
            <v>#N/A</v>
          </cell>
          <cell r="Y2703">
            <v>0</v>
          </cell>
          <cell r="Z2703">
            <v>0</v>
          </cell>
          <cell r="AA2703">
            <v>0</v>
          </cell>
          <cell r="AB2703"/>
        </row>
        <row r="2704">
          <cell r="C2704">
            <v>0</v>
          </cell>
          <cell r="D2704">
            <v>0</v>
          </cell>
          <cell r="E2704">
            <v>0</v>
          </cell>
          <cell r="F2704">
            <v>0</v>
          </cell>
          <cell r="H2704">
            <v>2</v>
          </cell>
          <cell r="O2704">
            <v>257000</v>
          </cell>
          <cell r="P2704"/>
          <cell r="Q2704" t="str">
            <v>EST MESA CENTRO JOHN GRAZ (BS IMBUIA) (SAYERLACK Y096 VERDE)</v>
          </cell>
          <cell r="R2704"/>
          <cell r="S2704"/>
          <cell r="T2704">
            <v>1.7</v>
          </cell>
          <cell r="U2704">
            <v>0.77</v>
          </cell>
          <cell r="V2704">
            <v>0.32</v>
          </cell>
          <cell r="W2704">
            <v>0</v>
          </cell>
          <cell r="X2704" t="str">
            <v>EST MESA CENTRO JOHN GRAZ (BS IMBUIA) (SAYERLACK Y096 VERDE) - 1,7x0,77x0,32H</v>
          </cell>
          <cell r="Y2704">
            <v>0</v>
          </cell>
          <cell r="Z2704">
            <v>0</v>
          </cell>
          <cell r="AA2704">
            <v>0</v>
          </cell>
          <cell r="AB2704"/>
        </row>
        <row r="2705">
          <cell r="C2705">
            <v>0</v>
          </cell>
          <cell r="D2705">
            <v>0</v>
          </cell>
          <cell r="E2705">
            <v>0</v>
          </cell>
          <cell r="F2705">
            <v>0</v>
          </cell>
          <cell r="H2705">
            <v>0</v>
          </cell>
          <cell r="O2705">
            <v>257003</v>
          </cell>
          <cell r="P2705"/>
          <cell r="Q2705" t="str">
            <v>EST MOVEL AUXILIAR QUADRADINHO (3 GAV) (FREIJO NATURAL)</v>
          </cell>
          <cell r="R2705"/>
          <cell r="S2705"/>
          <cell r="T2705">
            <v>0.52</v>
          </cell>
          <cell r="U2705">
            <v>0.55000000000000004</v>
          </cell>
          <cell r="V2705">
            <v>0.59</v>
          </cell>
          <cell r="W2705">
            <v>0</v>
          </cell>
          <cell r="X2705" t="str">
            <v>EST MOVEL AUXILIAR QUADRADINHO (3 GAV) (FREIJO NATURAL) - 0,52x0,55x0,59H</v>
          </cell>
          <cell r="Y2705">
            <v>0</v>
          </cell>
          <cell r="Z2705">
            <v>0.5</v>
          </cell>
          <cell r="AA2705">
            <v>0</v>
          </cell>
          <cell r="AB2705"/>
        </row>
        <row r="2706">
          <cell r="C2706">
            <v>0</v>
          </cell>
          <cell r="D2706">
            <v>0</v>
          </cell>
          <cell r="E2706">
            <v>0</v>
          </cell>
          <cell r="F2706">
            <v>0</v>
          </cell>
          <cell r="H2706">
            <v>0</v>
          </cell>
          <cell r="O2706">
            <v>257125</v>
          </cell>
          <cell r="P2706"/>
          <cell r="Q2706" t="str">
            <v>EST APARADOR GB 1013 (GAVETAS BRANCAS) (IMBUIA)</v>
          </cell>
          <cell r="R2706"/>
          <cell r="S2706"/>
          <cell r="T2706">
            <v>1.04</v>
          </cell>
          <cell r="U2706">
            <v>0.42</v>
          </cell>
          <cell r="V2706">
            <v>0.81</v>
          </cell>
          <cell r="W2706">
            <v>0</v>
          </cell>
          <cell r="X2706" t="str">
            <v>EST APARADOR GB 1013 (GAVETAS BRANCAS) (IMBUIA) - 1,04x0,42x0,81H</v>
          </cell>
          <cell r="Y2706">
            <v>0</v>
          </cell>
          <cell r="Z2706">
            <v>0</v>
          </cell>
          <cell r="AA2706">
            <v>0</v>
          </cell>
          <cell r="AB2706"/>
        </row>
        <row r="2707">
          <cell r="C2707">
            <v>0</v>
          </cell>
          <cell r="D2707">
            <v>0</v>
          </cell>
          <cell r="E2707">
            <v>0</v>
          </cell>
          <cell r="F2707">
            <v>0</v>
          </cell>
          <cell r="H2707">
            <v>2</v>
          </cell>
          <cell r="O2707">
            <v>257223</v>
          </cell>
          <cell r="P2707"/>
          <cell r="Q2707" t="str">
            <v>EST MESA JANTAR DINA (FREIJO NATURAL)</v>
          </cell>
          <cell r="R2707"/>
          <cell r="S2707"/>
          <cell r="T2707">
            <v>3.06</v>
          </cell>
          <cell r="U2707">
            <v>1.1000000000000001</v>
          </cell>
          <cell r="V2707">
            <v>0.74</v>
          </cell>
          <cell r="W2707">
            <v>0</v>
          </cell>
          <cell r="X2707" t="str">
            <v>EST MESA JANTAR DINA (FREIJO NATURAL) - 3,06x1,1x0,74H</v>
          </cell>
          <cell r="Y2707">
            <v>0</v>
          </cell>
          <cell r="Z2707">
            <v>0</v>
          </cell>
          <cell r="AA2707">
            <v>0</v>
          </cell>
          <cell r="AB2707"/>
        </row>
        <row r="2708">
          <cell r="C2708">
            <v>0</v>
          </cell>
          <cell r="D2708">
            <v>0</v>
          </cell>
          <cell r="E2708">
            <v>0</v>
          </cell>
          <cell r="F2708">
            <v>0</v>
          </cell>
          <cell r="H2708">
            <v>0</v>
          </cell>
          <cell r="O2708">
            <v>257486</v>
          </cell>
          <cell r="P2708"/>
          <cell r="Q2708" t="str">
            <v>EST SOFA AIR II (BASE PRETA) TC EL NOVE 04 GREY</v>
          </cell>
          <cell r="R2708"/>
          <cell r="S2708"/>
          <cell r="T2708">
            <v>3.5</v>
          </cell>
          <cell r="U2708">
            <v>0.97</v>
          </cell>
          <cell r="V2708">
            <v>0.7</v>
          </cell>
          <cell r="W2708">
            <v>0</v>
          </cell>
          <cell r="X2708" t="str">
            <v>EST SOFA AIR II (BASE PRETA) TC EL NOVE 04 GREY - 3,5x0,97x0,7H</v>
          </cell>
          <cell r="Y2708">
            <v>0</v>
          </cell>
          <cell r="Z2708">
            <v>0</v>
          </cell>
          <cell r="AA2708">
            <v>0</v>
          </cell>
          <cell r="AB2708"/>
        </row>
        <row r="2709">
          <cell r="C2709">
            <v>0</v>
          </cell>
          <cell r="D2709">
            <v>0</v>
          </cell>
          <cell r="E2709">
            <v>0</v>
          </cell>
          <cell r="F2709">
            <v>0</v>
          </cell>
          <cell r="H2709">
            <v>2</v>
          </cell>
          <cell r="O2709">
            <v>257773</v>
          </cell>
          <cell r="P2709"/>
          <cell r="Q2709" t="str">
            <v>EST CADEIRA FLEXA H45 (NAUTICA PRETA) (FAIA VERNIZ CONHAQUE)</v>
          </cell>
          <cell r="R2709"/>
          <cell r="S2709"/>
          <cell r="T2709">
            <v>0.52</v>
          </cell>
          <cell r="U2709">
            <v>0.64</v>
          </cell>
          <cell r="V2709">
            <v>0.87</v>
          </cell>
          <cell r="W2709">
            <v>0</v>
          </cell>
          <cell r="X2709" t="str">
            <v>EST CADEIRA FLEXA H45 (NAUTICA PRETA) (FAIA VERNIZ CONHAQUE) - 0,52x0,64x0,87H</v>
          </cell>
          <cell r="Y2709">
            <v>0</v>
          </cell>
          <cell r="Z2709">
            <v>0</v>
          </cell>
          <cell r="AA2709">
            <v>0</v>
          </cell>
          <cell r="AB2709"/>
        </row>
        <row r="2710">
          <cell r="C2710">
            <v>0</v>
          </cell>
          <cell r="D2710">
            <v>0</v>
          </cell>
          <cell r="E2710">
            <v>0</v>
          </cell>
          <cell r="F2710">
            <v>0</v>
          </cell>
          <cell r="H2710">
            <v>2</v>
          </cell>
          <cell r="O2710">
            <v>257774</v>
          </cell>
          <cell r="P2710"/>
          <cell r="Q2710" t="str">
            <v>EST BANQUETA FLEXA (COURO CASTOR) (FAIA VERNIZ HAVANA)</v>
          </cell>
          <cell r="R2710"/>
          <cell r="S2710"/>
          <cell r="T2710">
            <v>0.56000000000000005</v>
          </cell>
          <cell r="U2710">
            <v>0.35</v>
          </cell>
          <cell r="V2710">
            <v>0.35</v>
          </cell>
          <cell r="W2710">
            <v>0</v>
          </cell>
          <cell r="X2710" t="str">
            <v>EST BANQUETA FLEXA (COURO CASTOR) (FAIA VERNIZ HAVANA) - 0,56x0,35x0,35H</v>
          </cell>
          <cell r="Y2710">
            <v>0</v>
          </cell>
          <cell r="Z2710">
            <v>0</v>
          </cell>
          <cell r="AA2710">
            <v>0</v>
          </cell>
          <cell r="AB2710"/>
        </row>
        <row r="2711">
          <cell r="C2711">
            <v>0</v>
          </cell>
          <cell r="D2711">
            <v>0</v>
          </cell>
          <cell r="E2711">
            <v>0</v>
          </cell>
          <cell r="F2711">
            <v>0</v>
          </cell>
          <cell r="H2711">
            <v>2</v>
          </cell>
          <cell r="O2711">
            <v>257776</v>
          </cell>
          <cell r="P2711"/>
          <cell r="Q2711" t="str">
            <v>EST POLTRONA FLEXA LONGA (COURO CASTOR) (FAIA VERNIZ HAVANA)</v>
          </cell>
          <cell r="R2711"/>
          <cell r="S2711"/>
          <cell r="T2711">
            <v>0.56999999999999995</v>
          </cell>
          <cell r="U2711">
            <v>0.87</v>
          </cell>
          <cell r="V2711">
            <v>0.96</v>
          </cell>
          <cell r="W2711">
            <v>0</v>
          </cell>
          <cell r="X2711" t="str">
            <v>EST POLTRONA FLEXA LONGA (COURO CASTOR) (FAIA VERNIZ HAVANA) - 0,57x0,87x0,96H</v>
          </cell>
          <cell r="Y2711">
            <v>0</v>
          </cell>
          <cell r="Z2711">
            <v>0.5</v>
          </cell>
          <cell r="AA2711">
            <v>0</v>
          </cell>
          <cell r="AB2711"/>
        </row>
        <row r="2712">
          <cell r="C2712">
            <v>0</v>
          </cell>
          <cell r="D2712">
            <v>0</v>
          </cell>
          <cell r="E2712">
            <v>0</v>
          </cell>
          <cell r="F2712">
            <v>0</v>
          </cell>
          <cell r="H2712">
            <v>3</v>
          </cell>
          <cell r="O2712">
            <v>257778</v>
          </cell>
          <cell r="P2712"/>
          <cell r="Q2712" t="str">
            <v>EST POLTRONA FLEXA MEDIA (COURO CASTOR) (FAIA VERNIZ HAVANA)</v>
          </cell>
          <cell r="R2712"/>
          <cell r="S2712"/>
          <cell r="T2712">
            <v>0.56999999999999995</v>
          </cell>
          <cell r="U2712">
            <v>0.72</v>
          </cell>
          <cell r="V2712">
            <v>0.87</v>
          </cell>
          <cell r="W2712">
            <v>0</v>
          </cell>
          <cell r="X2712" t="str">
            <v>EST POLTRONA FLEXA MEDIA (COURO CASTOR) (FAIA VERNIZ HAVANA) - 0,57x0,72x0,87H</v>
          </cell>
          <cell r="Y2712">
            <v>0</v>
          </cell>
          <cell r="Z2712">
            <v>0.5</v>
          </cell>
          <cell r="AA2712">
            <v>0</v>
          </cell>
          <cell r="AB2712"/>
        </row>
        <row r="2713">
          <cell r="C2713">
            <v>0</v>
          </cell>
          <cell r="D2713">
            <v>0</v>
          </cell>
          <cell r="E2713">
            <v>0</v>
          </cell>
          <cell r="F2713">
            <v>0</v>
          </cell>
          <cell r="H2713">
            <v>2</v>
          </cell>
          <cell r="O2713">
            <v>257780</v>
          </cell>
          <cell r="P2713"/>
          <cell r="Q2713" t="str">
            <v>EST POLTRONA TAGUAIBA (FAIA VERNIZ CONHAQUE) CAMURCA BRONZE</v>
          </cell>
          <cell r="R2713"/>
          <cell r="S2713"/>
          <cell r="T2713">
            <v>0.92</v>
          </cell>
          <cell r="U2713">
            <v>0.78</v>
          </cell>
          <cell r="V2713">
            <v>0.84</v>
          </cell>
          <cell r="W2713">
            <v>0</v>
          </cell>
          <cell r="X2713" t="str">
            <v>EST POLTRONA TAGUAIBA (FAIA VERNIZ CONHAQUE) CAMURCA BRONZE - 0,92x0,78x0,84H</v>
          </cell>
          <cell r="Y2713">
            <v>0</v>
          </cell>
          <cell r="Z2713">
            <v>0</v>
          </cell>
          <cell r="AA2713">
            <v>0</v>
          </cell>
          <cell r="AB2713"/>
        </row>
        <row r="2714">
          <cell r="C2714">
            <v>0</v>
          </cell>
          <cell r="D2714">
            <v>0</v>
          </cell>
          <cell r="E2714">
            <v>0</v>
          </cell>
          <cell r="F2714">
            <v>0</v>
          </cell>
          <cell r="H2714">
            <v>4</v>
          </cell>
          <cell r="O2714">
            <v>257962</v>
          </cell>
          <cell r="P2714"/>
          <cell r="Q2714" t="str">
            <v>EST BANQUETA CAFE OMAR (MAD A CINAM EBNZ) TC M VELVET BLUE</v>
          </cell>
          <cell r="R2714"/>
          <cell r="S2714"/>
          <cell r="T2714">
            <v>0.54</v>
          </cell>
          <cell r="U2714">
            <v>0.56000000000000005</v>
          </cell>
          <cell r="V2714">
            <v>0.87</v>
          </cell>
          <cell r="W2714">
            <v>0</v>
          </cell>
          <cell r="X2714" t="str">
            <v>EST BANQUETA CAFE OMAR (MAD A CINAM EBNZ) TC M VELVET BLUE - 0,54x0,56x0,87H</v>
          </cell>
          <cell r="Y2714">
            <v>0</v>
          </cell>
          <cell r="Z2714">
            <v>0</v>
          </cell>
          <cell r="AA2714">
            <v>0</v>
          </cell>
          <cell r="AB2714"/>
        </row>
        <row r="2715">
          <cell r="C2715">
            <v>0</v>
          </cell>
          <cell r="D2715">
            <v>0</v>
          </cell>
          <cell r="E2715">
            <v>0</v>
          </cell>
          <cell r="F2715">
            <v>0</v>
          </cell>
          <cell r="H2715">
            <v>0</v>
          </cell>
          <cell r="O2715">
            <v>258631</v>
          </cell>
          <cell r="P2715"/>
          <cell r="Q2715" t="str">
            <v>EST POLTRONA RENATA (FREIJO NT) COURO CAMURCA VERDE</v>
          </cell>
          <cell r="R2715"/>
          <cell r="S2715"/>
          <cell r="T2715">
            <v>0.75</v>
          </cell>
          <cell r="U2715">
            <v>0.8</v>
          </cell>
          <cell r="V2715">
            <v>0.7</v>
          </cell>
          <cell r="W2715">
            <v>0</v>
          </cell>
          <cell r="X2715" t="str">
            <v>EST POLTRONA RENATA (FREIJO NT) COURO CAMURCA VERDE - 0,75x0,8x0,7H</v>
          </cell>
          <cell r="Y2715">
            <v>0</v>
          </cell>
          <cell r="Z2715">
            <v>0</v>
          </cell>
          <cell r="AA2715">
            <v>0</v>
          </cell>
          <cell r="AB2715"/>
        </row>
        <row r="2716">
          <cell r="C2716">
            <v>0</v>
          </cell>
          <cell r="D2716">
            <v>0</v>
          </cell>
          <cell r="E2716">
            <v>0</v>
          </cell>
          <cell r="F2716">
            <v>0</v>
          </cell>
          <cell r="H2716">
            <v>0</v>
          </cell>
          <cell r="O2716">
            <v>258975</v>
          </cell>
          <cell r="P2716"/>
          <cell r="Q2716" t="str">
            <v>EST GAVETEIRO GB UL25 (2 GAV) (METAL) (IMBUIA/GAV BRANCAS)</v>
          </cell>
          <cell r="R2716"/>
          <cell r="S2716"/>
          <cell r="T2716">
            <v>0.53</v>
          </cell>
          <cell r="U2716">
            <v>0.42</v>
          </cell>
          <cell r="V2716">
            <v>0.6</v>
          </cell>
          <cell r="W2716">
            <v>0</v>
          </cell>
          <cell r="X2716" t="str">
            <v>EST GAVETEIRO GB UL25 (2 GAV) (METAL) (IMBUIA/GAV BRANCAS) - 0,53x0,42x0,6H</v>
          </cell>
          <cell r="Y2716">
            <v>0</v>
          </cell>
          <cell r="Z2716">
            <v>0.5</v>
          </cell>
          <cell r="AA2716">
            <v>0</v>
          </cell>
          <cell r="AB2716"/>
        </row>
        <row r="2717">
          <cell r="C2717">
            <v>0</v>
          </cell>
          <cell r="D2717">
            <v>0</v>
          </cell>
          <cell r="E2717">
            <v>0</v>
          </cell>
          <cell r="F2717">
            <v>0</v>
          </cell>
          <cell r="H2717">
            <v>5</v>
          </cell>
          <cell r="O2717">
            <v>259046</v>
          </cell>
          <cell r="P2717"/>
          <cell r="Q2717" t="str">
            <v>EST BANCO GB (KRAFT) (ACO PRETO)</v>
          </cell>
          <cell r="R2717"/>
          <cell r="S2717"/>
          <cell r="T2717">
            <v>0.42</v>
          </cell>
          <cell r="U2717">
            <v>0.42</v>
          </cell>
          <cell r="V2717">
            <v>0.45</v>
          </cell>
          <cell r="W2717">
            <v>0</v>
          </cell>
          <cell r="X2717" t="str">
            <v>EST BANCO GB (KRAFT) (ACO PRETO) - 0,42x0,42x0,45H</v>
          </cell>
          <cell r="Y2717">
            <v>0</v>
          </cell>
          <cell r="Z2717">
            <v>0</v>
          </cell>
          <cell r="AA2717">
            <v>0</v>
          </cell>
          <cell r="AB2717"/>
        </row>
        <row r="2718">
          <cell r="C2718">
            <v>0</v>
          </cell>
          <cell r="D2718">
            <v>0</v>
          </cell>
          <cell r="E2718">
            <v>0</v>
          </cell>
          <cell r="F2718">
            <v>0</v>
          </cell>
          <cell r="H2718">
            <v>1</v>
          </cell>
          <cell r="O2718">
            <v>259237</v>
          </cell>
          <cell r="P2718"/>
          <cell r="Q2718" t="str">
            <v>EST POLTRONA PARATY (MAD B COR 03) EL NOVE 04 GREY</v>
          </cell>
          <cell r="R2718"/>
          <cell r="S2718"/>
          <cell r="T2718">
            <v>0.77</v>
          </cell>
          <cell r="U2718">
            <v>0.81</v>
          </cell>
          <cell r="V2718">
            <v>0.75</v>
          </cell>
          <cell r="W2718">
            <v>0</v>
          </cell>
          <cell r="X2718" t="str">
            <v>EST POLTRONA PARATY (MAD B COR 03) EL NOVE 04 GREY - 0,77x0,81x0,75H</v>
          </cell>
          <cell r="Y2718">
            <v>0</v>
          </cell>
          <cell r="Z2718">
            <v>0.5</v>
          </cell>
          <cell r="AA2718">
            <v>0</v>
          </cell>
          <cell r="AB2718"/>
        </row>
        <row r="2719">
          <cell r="C2719">
            <v>0</v>
          </cell>
          <cell r="D2719">
            <v>0</v>
          </cell>
          <cell r="E2719">
            <v>0</v>
          </cell>
          <cell r="F2719">
            <v>0</v>
          </cell>
          <cell r="H2719">
            <v>2</v>
          </cell>
          <cell r="O2719">
            <v>259531</v>
          </cell>
          <cell r="P2719"/>
          <cell r="Q2719" t="str">
            <v>EST POLTRONA GB UL19 (METAL) (IMBUIA) TC EL NOVE 04 GREY</v>
          </cell>
          <cell r="R2719"/>
          <cell r="S2719"/>
          <cell r="T2719">
            <v>0.62</v>
          </cell>
          <cell r="U2719">
            <v>0.69</v>
          </cell>
          <cell r="V2719">
            <v>0.74</v>
          </cell>
          <cell r="W2719">
            <v>0</v>
          </cell>
          <cell r="X2719" t="str">
            <v>EST POLTRONA GB UL19 (METAL) (IMBUIA) TC EL NOVE 04 GREY - 0,62x0,69x0,74H</v>
          </cell>
          <cell r="Y2719">
            <v>0</v>
          </cell>
          <cell r="Z2719">
            <v>0</v>
          </cell>
          <cell r="AA2719">
            <v>0</v>
          </cell>
          <cell r="AB2719"/>
        </row>
        <row r="2720">
          <cell r="C2720">
            <v>0</v>
          </cell>
          <cell r="D2720">
            <v>0</v>
          </cell>
          <cell r="E2720">
            <v>0</v>
          </cell>
          <cell r="F2720">
            <v>0</v>
          </cell>
          <cell r="H2720">
            <v>1</v>
          </cell>
          <cell r="O2720">
            <v>259776</v>
          </cell>
          <cell r="P2720"/>
          <cell r="Q2720" t="str">
            <v>EST BANQUETA PARATY (MAD B COR 03) EL NOVE 04 GREY</v>
          </cell>
          <cell r="R2720"/>
          <cell r="S2720"/>
          <cell r="T2720">
            <v>0.78</v>
          </cell>
          <cell r="U2720">
            <v>0.49</v>
          </cell>
          <cell r="V2720">
            <v>0.39</v>
          </cell>
          <cell r="W2720">
            <v>0</v>
          </cell>
          <cell r="X2720" t="str">
            <v>EST BANQUETA PARATY (MAD B COR 03) EL NOVE 04 GREY - 0,78x0,49x0,39H</v>
          </cell>
          <cell r="Y2720">
            <v>0</v>
          </cell>
          <cell r="Z2720">
            <v>0.5</v>
          </cell>
          <cell r="AA2720">
            <v>0</v>
          </cell>
          <cell r="AB2720"/>
        </row>
        <row r="2721">
          <cell r="C2721">
            <v>0</v>
          </cell>
          <cell r="D2721">
            <v>0</v>
          </cell>
          <cell r="E2721">
            <v>0</v>
          </cell>
          <cell r="F2721">
            <v>0</v>
          </cell>
          <cell r="H2721">
            <v>3</v>
          </cell>
          <cell r="O2721">
            <v>259779</v>
          </cell>
          <cell r="P2721"/>
          <cell r="Q2721" t="str">
            <v>EST BANQUETA BAR PORTUGUESA H71 (CORDA KRAFT) (IPE NATURAL)</v>
          </cell>
          <cell r="R2721"/>
          <cell r="S2721"/>
          <cell r="T2721">
            <v>0.5</v>
          </cell>
          <cell r="U2721">
            <v>0.45</v>
          </cell>
          <cell r="V2721">
            <v>0.71</v>
          </cell>
          <cell r="W2721">
            <v>0</v>
          </cell>
          <cell r="X2721" t="str">
            <v>EST BANQUETA BAR PORTUGUESA H71 (CORDA KRAFT) (IPE NATURAL) - 0,5x0,45x0,71H</v>
          </cell>
          <cell r="Y2721">
            <v>0</v>
          </cell>
          <cell r="Z2721">
            <v>0</v>
          </cell>
          <cell r="AA2721">
            <v>0</v>
          </cell>
          <cell r="AB2721"/>
        </row>
        <row r="2722">
          <cell r="C2722">
            <v>0</v>
          </cell>
          <cell r="D2722">
            <v>0</v>
          </cell>
          <cell r="E2722">
            <v>0</v>
          </cell>
          <cell r="F2722">
            <v>0</v>
          </cell>
          <cell r="H2722">
            <v>1</v>
          </cell>
          <cell r="O2722">
            <v>260568</v>
          </cell>
          <cell r="P2722"/>
          <cell r="Q2722" t="str">
            <v>EST POLTRONA ZANINE N (FREIJO NATURAL) TC TARENTO 12</v>
          </cell>
          <cell r="R2722"/>
          <cell r="S2722"/>
          <cell r="T2722">
            <v>0.71</v>
          </cell>
          <cell r="U2722">
            <v>0.67</v>
          </cell>
          <cell r="V2722">
            <v>0.7</v>
          </cell>
          <cell r="W2722">
            <v>0</v>
          </cell>
          <cell r="X2722" t="str">
            <v>EST POLTRONA ZANINE N (FREIJO NATURAL) TC TARENTO 12 - 0,71x0,67x0,7H</v>
          </cell>
          <cell r="Y2722">
            <v>0</v>
          </cell>
          <cell r="Z2722">
            <v>0.5</v>
          </cell>
          <cell r="AA2722">
            <v>0</v>
          </cell>
          <cell r="AB2722"/>
        </row>
        <row r="2723">
          <cell r="C2723">
            <v>0</v>
          </cell>
          <cell r="D2723">
            <v>0</v>
          </cell>
          <cell r="E2723">
            <v>0</v>
          </cell>
          <cell r="F2723">
            <v>0</v>
          </cell>
          <cell r="H2723">
            <v>0</v>
          </cell>
          <cell r="O2723">
            <v>260913</v>
          </cell>
          <cell r="P2723"/>
          <cell r="Q2723" t="str">
            <v>EST SOFA STELLA (MAD B COR 03) TC VILLA OLMO NATURAL</v>
          </cell>
          <cell r="R2723"/>
          <cell r="S2723"/>
          <cell r="T2723">
            <v>2.13</v>
          </cell>
          <cell r="U2723">
            <v>0.92</v>
          </cell>
          <cell r="V2723">
            <v>0.69</v>
          </cell>
          <cell r="W2723">
            <v>0</v>
          </cell>
          <cell r="X2723" t="str">
            <v>EST SOFA STELLA (MAD B COR 03) TC VILLA OLMO NATURAL - 2,13x0,92x0,69H</v>
          </cell>
          <cell r="Y2723">
            <v>0</v>
          </cell>
          <cell r="Z2723">
            <v>0</v>
          </cell>
          <cell r="AA2723">
            <v>0</v>
          </cell>
          <cell r="AB2723"/>
        </row>
        <row r="2724">
          <cell r="C2724">
            <v>0</v>
          </cell>
          <cell r="D2724">
            <v>0</v>
          </cell>
          <cell r="E2724">
            <v>0</v>
          </cell>
          <cell r="F2724">
            <v>0</v>
          </cell>
          <cell r="H2724">
            <v>0</v>
          </cell>
          <cell r="O2724">
            <v>261035</v>
          </cell>
          <cell r="P2724"/>
          <cell r="Q2724" t="str">
            <v>EST CADEIRA OMAR OFFICE C/R (MAD B FREIJO NT) COURO PIG 200</v>
          </cell>
          <cell r="R2724"/>
          <cell r="S2724"/>
          <cell r="T2724">
            <v>0.54</v>
          </cell>
          <cell r="U2724">
            <v>0.56999999999999995</v>
          </cell>
          <cell r="V2724">
            <v>0.83</v>
          </cell>
          <cell r="W2724">
            <v>0</v>
          </cell>
          <cell r="X2724" t="str">
            <v>EST CADEIRA OMAR OFFICE C/R (MAD B FREIJO NT) COURO PIG 200 - 0,54x0,57x0,83H</v>
          </cell>
          <cell r="Y2724">
            <v>0</v>
          </cell>
          <cell r="Z2724">
            <v>0</v>
          </cell>
          <cell r="AA2724">
            <v>0</v>
          </cell>
          <cell r="AB2724"/>
        </row>
        <row r="2725">
          <cell r="C2725">
            <v>0</v>
          </cell>
          <cell r="D2725">
            <v>0</v>
          </cell>
          <cell r="E2725">
            <v>0</v>
          </cell>
          <cell r="F2725">
            <v>0</v>
          </cell>
          <cell r="H2725">
            <v>7</v>
          </cell>
          <cell r="O2725">
            <v>261040</v>
          </cell>
          <cell r="P2725"/>
          <cell r="Q2725" t="str">
            <v>EST CADEIRA JOSEFINA (PINHO DE RIGA) COURO PIG 200 VERDE</v>
          </cell>
          <cell r="R2725"/>
          <cell r="S2725"/>
          <cell r="T2725">
            <v>0.56999999999999995</v>
          </cell>
          <cell r="U2725">
            <v>0.54</v>
          </cell>
          <cell r="V2725">
            <v>0.76</v>
          </cell>
          <cell r="W2725">
            <v>0</v>
          </cell>
          <cell r="X2725" t="str">
            <v>EST CADEIRA JOSEFINA (PINHO DE RIGA) COURO PIG 200 VERDE - 0,57x0,54x0,76H</v>
          </cell>
          <cell r="Y2725">
            <v>0</v>
          </cell>
          <cell r="Z2725">
            <v>0</v>
          </cell>
          <cell r="AA2725">
            <v>0</v>
          </cell>
          <cell r="AB2725"/>
        </row>
        <row r="2726">
          <cell r="C2726">
            <v>0</v>
          </cell>
          <cell r="D2726">
            <v>0</v>
          </cell>
          <cell r="E2726">
            <v>0</v>
          </cell>
          <cell r="F2726">
            <v>0</v>
          </cell>
          <cell r="H2726">
            <v>2</v>
          </cell>
          <cell r="O2726">
            <v>261041</v>
          </cell>
          <cell r="P2726"/>
          <cell r="Q2726" t="str">
            <v>EST CADEIRA JOSEFINA (IMBUIA) COURO CAMURCA GELO</v>
          </cell>
          <cell r="R2726"/>
          <cell r="S2726"/>
          <cell r="T2726">
            <v>0.56999999999999995</v>
          </cell>
          <cell r="U2726">
            <v>0.54</v>
          </cell>
          <cell r="V2726">
            <v>0.76</v>
          </cell>
          <cell r="W2726">
            <v>0</v>
          </cell>
          <cell r="X2726" t="str">
            <v>EST CADEIRA JOSEFINA (IMBUIA) COURO CAMURCA GELO - 0,57x0,54x0,76H</v>
          </cell>
          <cell r="Y2726">
            <v>0</v>
          </cell>
          <cell r="Z2726">
            <v>0</v>
          </cell>
          <cell r="AA2726">
            <v>0</v>
          </cell>
          <cell r="AB2726"/>
        </row>
        <row r="2727">
          <cell r="C2727">
            <v>0</v>
          </cell>
          <cell r="D2727">
            <v>0</v>
          </cell>
          <cell r="E2727">
            <v>0</v>
          </cell>
          <cell r="F2727">
            <v>0</v>
          </cell>
          <cell r="H2727">
            <v>1</v>
          </cell>
          <cell r="O2727">
            <v>261738</v>
          </cell>
          <cell r="P2727"/>
          <cell r="Q2727" t="str">
            <v>EST POLTRONA BEG (S/ROD) (MAD A COR 02) CAMURCA CASTANHO</v>
          </cell>
          <cell r="R2727"/>
          <cell r="S2727"/>
          <cell r="T2727">
            <v>0.65</v>
          </cell>
          <cell r="U2727">
            <v>0.63</v>
          </cell>
          <cell r="V2727">
            <v>0.77</v>
          </cell>
          <cell r="W2727">
            <v>0</v>
          </cell>
          <cell r="X2727" t="str">
            <v>EST POLTRONA BEG (S/ROD) (MAD A COR 02) CAMURCA CASTANHO - 0,65x0,63x0,77H</v>
          </cell>
          <cell r="Y2727">
            <v>0</v>
          </cell>
          <cell r="Z2727">
            <v>0</v>
          </cell>
          <cell r="AA2727">
            <v>0</v>
          </cell>
          <cell r="AB2727"/>
        </row>
        <row r="2728">
          <cell r="C2728">
            <v>0</v>
          </cell>
          <cell r="D2728">
            <v>0</v>
          </cell>
          <cell r="E2728">
            <v>0</v>
          </cell>
          <cell r="F2728">
            <v>0</v>
          </cell>
          <cell r="H2728">
            <v>0</v>
          </cell>
          <cell r="O2728">
            <v>262655</v>
          </cell>
          <cell r="P2728"/>
          <cell r="Q2728" t="str">
            <v>EST APARADOR GB 1013 (PORTAS BRANCAS) (IMBUIA)</v>
          </cell>
          <cell r="R2728"/>
          <cell r="S2728"/>
          <cell r="T2728">
            <v>1.04</v>
          </cell>
          <cell r="U2728">
            <v>0.39</v>
          </cell>
          <cell r="V2728">
            <v>0.82</v>
          </cell>
          <cell r="W2728">
            <v>0</v>
          </cell>
          <cell r="X2728" t="str">
            <v>EST APARADOR GB 1013 (PORTAS BRANCAS) (IMBUIA) - 1,04x0,39x0,82H</v>
          </cell>
          <cell r="Y2728">
            <v>0</v>
          </cell>
          <cell r="Z2728">
            <v>0.5</v>
          </cell>
          <cell r="AA2728">
            <v>0</v>
          </cell>
          <cell r="AB2728"/>
        </row>
        <row r="2729">
          <cell r="C2729">
            <v>0</v>
          </cell>
          <cell r="D2729">
            <v>0</v>
          </cell>
          <cell r="E2729">
            <v>0</v>
          </cell>
          <cell r="F2729">
            <v>0</v>
          </cell>
          <cell r="H2729">
            <v>1</v>
          </cell>
          <cell r="O2729">
            <v>263359</v>
          </cell>
          <cell r="P2729"/>
          <cell r="Q2729" t="str">
            <v>EST LUMINARIA TCHEKO (LATAO CROMADO) (FREIJO)</v>
          </cell>
          <cell r="R2729"/>
          <cell r="S2729"/>
          <cell r="T2729">
            <v>0.4</v>
          </cell>
          <cell r="U2729">
            <v>0.4</v>
          </cell>
          <cell r="V2729">
            <v>0.9</v>
          </cell>
          <cell r="W2729">
            <v>0</v>
          </cell>
          <cell r="X2729" t="str">
            <v>EST LUMINARIA TCHEKO (LATAO CROMADO) (FREIJO) - 0,4x0,4x0,9H</v>
          </cell>
          <cell r="Y2729">
            <v>0</v>
          </cell>
          <cell r="Z2729">
            <v>0</v>
          </cell>
          <cell r="AA2729">
            <v>0</v>
          </cell>
          <cell r="AB2729"/>
        </row>
        <row r="2730">
          <cell r="C2730">
            <v>0</v>
          </cell>
          <cell r="D2730">
            <v>0</v>
          </cell>
          <cell r="E2730">
            <v>0</v>
          </cell>
          <cell r="F2730">
            <v>0</v>
          </cell>
          <cell r="H2730">
            <v>1</v>
          </cell>
          <cell r="O2730">
            <v>263464</v>
          </cell>
          <cell r="P2730"/>
          <cell r="Q2730" t="str">
            <v>EST MANCEBO STAND BY (FREIJO) (G3 - GREEN PEACE)</v>
          </cell>
          <cell r="R2730"/>
          <cell r="S2730"/>
          <cell r="T2730">
            <v>0.2</v>
          </cell>
          <cell r="U2730">
            <v>0.33</v>
          </cell>
          <cell r="V2730">
            <v>1.75</v>
          </cell>
          <cell r="W2730">
            <v>0</v>
          </cell>
          <cell r="X2730" t="str">
            <v>EST MANCEBO STAND BY (FREIJO) (G3 - GREEN PEACE) - 0,2x0,33x1,75H</v>
          </cell>
          <cell r="Y2730">
            <v>0</v>
          </cell>
          <cell r="Z2730">
            <v>0</v>
          </cell>
          <cell r="AA2730">
            <v>0</v>
          </cell>
          <cell r="AB2730"/>
        </row>
        <row r="2731">
          <cell r="C2731">
            <v>0</v>
          </cell>
          <cell r="D2731">
            <v>0</v>
          </cell>
          <cell r="E2731">
            <v>0</v>
          </cell>
          <cell r="F2731">
            <v>0</v>
          </cell>
          <cell r="H2731">
            <v>0</v>
          </cell>
          <cell r="O2731">
            <v>264234</v>
          </cell>
          <cell r="P2731"/>
          <cell r="Q2731" t="str">
            <v>EST ALMOFADA DECORATIVA AIR II (M) TC EL NOVE 04 GREY</v>
          </cell>
          <cell r="R2731"/>
          <cell r="S2731"/>
          <cell r="T2731">
            <v>0.62</v>
          </cell>
          <cell r="U2731">
            <v>0.62</v>
          </cell>
          <cell r="V2731">
            <v>0</v>
          </cell>
          <cell r="W2731">
            <v>0</v>
          </cell>
          <cell r="X2731" t="str">
            <v>EST ALMOFADA DECORATIVA AIR II (M) TC EL NOVE 04 GREY - 0,62x0,62x0H</v>
          </cell>
          <cell r="Y2731">
            <v>0</v>
          </cell>
          <cell r="Z2731">
            <v>0</v>
          </cell>
          <cell r="AA2731">
            <v>0</v>
          </cell>
          <cell r="AB2731"/>
        </row>
        <row r="2732">
          <cell r="C2732">
            <v>0</v>
          </cell>
          <cell r="D2732">
            <v>0</v>
          </cell>
          <cell r="E2732">
            <v>0</v>
          </cell>
          <cell r="F2732">
            <v>0</v>
          </cell>
          <cell r="H2732">
            <v>1</v>
          </cell>
          <cell r="O2732">
            <v>264366</v>
          </cell>
          <cell r="P2732"/>
          <cell r="Q2732" t="str">
            <v>EST MESA JANTAR MAC (LAM ESPECIAL) (MAD IMBUIA STAIN)</v>
          </cell>
          <cell r="R2732"/>
          <cell r="S2732"/>
          <cell r="T2732">
            <v>1.2</v>
          </cell>
          <cell r="U2732">
            <v>0</v>
          </cell>
          <cell r="V2732">
            <v>0.75</v>
          </cell>
          <cell r="W2732">
            <v>1.2</v>
          </cell>
          <cell r="X2732" t="str">
            <v>EST MESA JANTAR MAC (LAM ESPECIAL) (MAD IMBUIA STAIN) - Ø1,2x0,75H</v>
          </cell>
          <cell r="Y2732">
            <v>0</v>
          </cell>
          <cell r="Z2732">
            <v>0</v>
          </cell>
          <cell r="AA2732">
            <v>0</v>
          </cell>
          <cell r="AB2732"/>
        </row>
        <row r="2733">
          <cell r="C2733">
            <v>0</v>
          </cell>
          <cell r="D2733">
            <v>0</v>
          </cell>
          <cell r="E2733">
            <v>0</v>
          </cell>
          <cell r="F2733">
            <v>0</v>
          </cell>
          <cell r="H2733">
            <v>0</v>
          </cell>
          <cell r="O2733">
            <v>264946</v>
          </cell>
          <cell r="P2733"/>
          <cell r="Q2733" t="str">
            <v>EST BUFFET CORTEN (4P/2G) (FREIJO) (ACO CORTEN)</v>
          </cell>
          <cell r="R2733"/>
          <cell r="S2733"/>
          <cell r="T2733">
            <v>2.7</v>
          </cell>
          <cell r="U2733">
            <v>0.5</v>
          </cell>
          <cell r="V2733">
            <v>0.73</v>
          </cell>
          <cell r="W2733">
            <v>0</v>
          </cell>
          <cell r="X2733" t="str">
            <v>EST BUFFET CORTEN (4P/2G) (FREIJO) (ACO CORTEN) - 2,7x0,5x0,73H</v>
          </cell>
          <cell r="Y2733">
            <v>0</v>
          </cell>
          <cell r="Z2733">
            <v>0</v>
          </cell>
          <cell r="AA2733">
            <v>0</v>
          </cell>
          <cell r="AB2733"/>
        </row>
        <row r="2734">
          <cell r="C2734">
            <v>0</v>
          </cell>
          <cell r="D2734">
            <v>0</v>
          </cell>
          <cell r="E2734">
            <v>0</v>
          </cell>
          <cell r="F2734">
            <v>0</v>
          </cell>
          <cell r="H2734">
            <v>1</v>
          </cell>
          <cell r="O2734">
            <v>265559</v>
          </cell>
          <cell r="P2734"/>
          <cell r="Q2734" t="str">
            <v>EST GAVETEIRO GB UL24 (1 GAV) (METAL) (INTEIRO IMBUIA)</v>
          </cell>
          <cell r="R2734"/>
          <cell r="S2734"/>
          <cell r="T2734">
            <v>0.53</v>
          </cell>
          <cell r="U2734">
            <v>0.42</v>
          </cell>
          <cell r="V2734">
            <v>0.42</v>
          </cell>
          <cell r="W2734">
            <v>0</v>
          </cell>
          <cell r="X2734" t="str">
            <v>EST GAVETEIRO GB UL24 (1 GAV) (METAL) (INTEIRO IMBUIA) - 0,53x0,42x0,42H</v>
          </cell>
          <cell r="Y2734">
            <v>0</v>
          </cell>
          <cell r="Z2734">
            <v>0</v>
          </cell>
          <cell r="AA2734">
            <v>0</v>
          </cell>
          <cell r="AB2734"/>
        </row>
        <row r="2735">
          <cell r="C2735">
            <v>0</v>
          </cell>
          <cell r="D2735">
            <v>0</v>
          </cell>
          <cell r="E2735">
            <v>0</v>
          </cell>
          <cell r="F2735">
            <v>0</v>
          </cell>
          <cell r="H2735">
            <v>2</v>
          </cell>
          <cell r="O2735">
            <v>265560</v>
          </cell>
          <cell r="P2735"/>
          <cell r="Q2735" t="str">
            <v>EST GAVETEIRO GB UL25 (2 GAV) (METAL) (INTEIRO IMBUIA)</v>
          </cell>
          <cell r="R2735"/>
          <cell r="S2735"/>
          <cell r="T2735">
            <v>0.53</v>
          </cell>
          <cell r="U2735">
            <v>0.42</v>
          </cell>
          <cell r="V2735">
            <v>0.6</v>
          </cell>
          <cell r="W2735">
            <v>0</v>
          </cell>
          <cell r="X2735" t="str">
            <v>EST GAVETEIRO GB UL25 (2 GAV) (METAL) (INTEIRO IMBUIA) - 0,53x0,42x0,6H</v>
          </cell>
          <cell r="Y2735">
            <v>0</v>
          </cell>
          <cell r="Z2735">
            <v>0</v>
          </cell>
          <cell r="AA2735">
            <v>0</v>
          </cell>
          <cell r="AB2735"/>
        </row>
        <row r="2736">
          <cell r="C2736">
            <v>0</v>
          </cell>
          <cell r="D2736">
            <v>0</v>
          </cell>
          <cell r="E2736">
            <v>0</v>
          </cell>
          <cell r="F2736">
            <v>0</v>
          </cell>
          <cell r="H2736">
            <v>0</v>
          </cell>
          <cell r="O2736">
            <v>265562</v>
          </cell>
          <cell r="P2736"/>
          <cell r="Q2736" t="str">
            <v>EST GAVETEIRO GB UL33 (6 GAV) (METAL) (IMBUIA/GAV BRANCAS)</v>
          </cell>
          <cell r="R2736"/>
          <cell r="S2736"/>
          <cell r="T2736">
            <v>1.04</v>
          </cell>
          <cell r="U2736">
            <v>0.42</v>
          </cell>
          <cell r="V2736">
            <v>0.77</v>
          </cell>
          <cell r="W2736">
            <v>0</v>
          </cell>
          <cell r="X2736" t="str">
            <v>EST GAVETEIRO GB UL33 (6 GAV) (METAL) (IMBUIA/GAV BRANCAS) - 1,04x0,42x0,77H</v>
          </cell>
          <cell r="Y2736">
            <v>0</v>
          </cell>
          <cell r="Z2736">
            <v>0</v>
          </cell>
          <cell r="AA2736">
            <v>0</v>
          </cell>
          <cell r="AB2736"/>
        </row>
        <row r="2737">
          <cell r="C2737">
            <v>0</v>
          </cell>
          <cell r="D2737">
            <v>0</v>
          </cell>
          <cell r="E2737">
            <v>0</v>
          </cell>
          <cell r="F2737">
            <v>0</v>
          </cell>
          <cell r="H2737">
            <v>1</v>
          </cell>
          <cell r="O2737">
            <v>265795</v>
          </cell>
          <cell r="P2737"/>
          <cell r="Q2737" t="str">
            <v>EST BANCO MUCKI (4 PES) (MAD B COR 3) VRNZ 20 BRILHO</v>
          </cell>
          <cell r="R2737"/>
          <cell r="S2737"/>
          <cell r="T2737">
            <v>2</v>
          </cell>
          <cell r="U2737">
            <v>0.62</v>
          </cell>
          <cell r="V2737">
            <v>0.4</v>
          </cell>
          <cell r="W2737">
            <v>0</v>
          </cell>
          <cell r="X2737" t="str">
            <v>EST BANCO MUCKI (4 PES) (MAD B COR 3) VRNZ 20 BRILHO - 2x0,62x0,4H</v>
          </cell>
          <cell r="Y2737">
            <v>0</v>
          </cell>
          <cell r="Z2737">
            <v>0</v>
          </cell>
          <cell r="AA2737">
            <v>0</v>
          </cell>
          <cell r="AB2737"/>
        </row>
        <row r="2738">
          <cell r="C2738" t="e">
            <v>#N/A</v>
          </cell>
          <cell r="D2738" t="e">
            <v>#N/A</v>
          </cell>
          <cell r="E2738" t="e">
            <v>#N/A</v>
          </cell>
          <cell r="F2738" t="e">
            <v>#N/A</v>
          </cell>
          <cell r="H2738" t="e">
            <v>#N/A</v>
          </cell>
          <cell r="O2738">
            <v>265997</v>
          </cell>
          <cell r="P2738"/>
          <cell r="Q2738" t="e">
            <v>#N/A</v>
          </cell>
          <cell r="R2738"/>
          <cell r="S2738"/>
          <cell r="T2738" t="e">
            <v>#N/A</v>
          </cell>
          <cell r="U2738" t="e">
            <v>#N/A</v>
          </cell>
          <cell r="V2738" t="e">
            <v>#N/A</v>
          </cell>
          <cell r="W2738" t="e">
            <v>#N/A</v>
          </cell>
          <cell r="X2738" t="e">
            <v>#N/A</v>
          </cell>
          <cell r="Y2738">
            <v>0</v>
          </cell>
          <cell r="Z2738">
            <v>0</v>
          </cell>
          <cell r="AA2738">
            <v>0</v>
          </cell>
          <cell r="AB2738"/>
        </row>
        <row r="2739">
          <cell r="C2739">
            <v>0</v>
          </cell>
          <cell r="D2739">
            <v>0</v>
          </cell>
          <cell r="E2739">
            <v>0</v>
          </cell>
          <cell r="F2739">
            <v>0</v>
          </cell>
          <cell r="H2739">
            <v>0</v>
          </cell>
          <cell r="O2739">
            <v>265998</v>
          </cell>
          <cell r="P2739"/>
          <cell r="Q2739" t="str">
            <v>EST POLTRONA BETO PU PRETO (MAD A COR 01) TC VILLA OLMO OCRE</v>
          </cell>
          <cell r="R2739"/>
          <cell r="S2739"/>
          <cell r="T2739">
            <v>0.84</v>
          </cell>
          <cell r="U2739">
            <v>0.75</v>
          </cell>
          <cell r="V2739">
            <v>0.71</v>
          </cell>
          <cell r="W2739">
            <v>0</v>
          </cell>
          <cell r="X2739" t="str">
            <v>EST POLTRONA BETO PU PRETO (MAD A COR 01) TC VILLA OLMO OCRE - 0,84x0,75x0,71H</v>
          </cell>
          <cell r="Y2739">
            <v>0</v>
          </cell>
          <cell r="Z2739">
            <v>0.5</v>
          </cell>
          <cell r="AA2739">
            <v>0</v>
          </cell>
          <cell r="AB2739"/>
        </row>
        <row r="2740">
          <cell r="C2740">
            <v>0</v>
          </cell>
          <cell r="D2740">
            <v>0</v>
          </cell>
          <cell r="E2740">
            <v>0</v>
          </cell>
          <cell r="F2740">
            <v>0</v>
          </cell>
          <cell r="H2740">
            <v>0</v>
          </cell>
          <cell r="O2740">
            <v>266050</v>
          </cell>
          <cell r="P2740"/>
          <cell r="Q2740" t="str">
            <v>EST BUFFET GAFANHOTO (SUPERIOR) (MADEIRA CABREUVA NATURAL)</v>
          </cell>
          <cell r="R2740"/>
          <cell r="S2740"/>
          <cell r="T2740">
            <v>2.88</v>
          </cell>
          <cell r="U2740">
            <v>0.5</v>
          </cell>
          <cell r="V2740">
            <v>0.89</v>
          </cell>
          <cell r="W2740">
            <v>0</v>
          </cell>
          <cell r="X2740" t="str">
            <v>EST BUFFET GAFANHOTO (SUPERIOR) (MADEIRA CABREUVA NATURAL) - 2,88x0,5x0,89H</v>
          </cell>
          <cell r="Y2740">
            <v>0</v>
          </cell>
          <cell r="Z2740">
            <v>0</v>
          </cell>
          <cell r="AA2740">
            <v>0</v>
          </cell>
          <cell r="AB2740"/>
        </row>
        <row r="2741">
          <cell r="C2741">
            <v>0</v>
          </cell>
          <cell r="D2741">
            <v>0</v>
          </cell>
          <cell r="E2741">
            <v>0</v>
          </cell>
          <cell r="F2741">
            <v>0</v>
          </cell>
          <cell r="H2741">
            <v>0</v>
          </cell>
          <cell r="O2741">
            <v>266051</v>
          </cell>
          <cell r="P2741"/>
          <cell r="Q2741" t="str">
            <v>EST BUFFET GAFANHOTO (INFERIOR) (MADEIRA CABREUVA NATURAL)</v>
          </cell>
          <cell r="R2741"/>
          <cell r="S2741"/>
          <cell r="T2741">
            <v>2.7</v>
          </cell>
          <cell r="U2741">
            <v>0.5</v>
          </cell>
          <cell r="V2741">
            <v>0.67</v>
          </cell>
          <cell r="W2741">
            <v>0</v>
          </cell>
          <cell r="X2741" t="str">
            <v>EST BUFFET GAFANHOTO (INFERIOR) (MADEIRA CABREUVA NATURAL) - 2,7x0,5x0,67H</v>
          </cell>
          <cell r="Y2741">
            <v>0</v>
          </cell>
          <cell r="Z2741">
            <v>0.5</v>
          </cell>
          <cell r="AA2741">
            <v>0</v>
          </cell>
          <cell r="AB2741"/>
        </row>
        <row r="2742">
          <cell r="C2742">
            <v>0</v>
          </cell>
          <cell r="D2742">
            <v>0</v>
          </cell>
          <cell r="E2742">
            <v>0</v>
          </cell>
          <cell r="F2742">
            <v>0</v>
          </cell>
          <cell r="H2742">
            <v>1</v>
          </cell>
          <cell r="O2742">
            <v>266156</v>
          </cell>
          <cell r="P2742"/>
          <cell r="Q2742" t="str">
            <v>EST SOFA DELEITE C/BRACO SUCUPIRA TC VILLA OLMO OCRE</v>
          </cell>
          <cell r="R2742"/>
          <cell r="S2742"/>
          <cell r="T2742">
            <v>2.0699999999999998</v>
          </cell>
          <cell r="U2742">
            <v>0.8</v>
          </cell>
          <cell r="V2742">
            <v>0.85</v>
          </cell>
          <cell r="W2742">
            <v>0</v>
          </cell>
          <cell r="X2742" t="str">
            <v>EST SOFA DELEITE C/BRACO SUCUPIRA TC VILLA OLMO OCRE - 2,07x0,8x0,85H</v>
          </cell>
          <cell r="Y2742">
            <v>0</v>
          </cell>
          <cell r="Z2742">
            <v>0</v>
          </cell>
          <cell r="AA2742">
            <v>0</v>
          </cell>
          <cell r="AB2742"/>
        </row>
        <row r="2743">
          <cell r="C2743">
            <v>0</v>
          </cell>
          <cell r="D2743">
            <v>0</v>
          </cell>
          <cell r="E2743">
            <v>0</v>
          </cell>
          <cell r="F2743">
            <v>0</v>
          </cell>
          <cell r="H2743">
            <v>1</v>
          </cell>
          <cell r="O2743">
            <v>266494</v>
          </cell>
          <cell r="P2743"/>
          <cell r="Q2743" t="str">
            <v>EST POLTRONA BEG (S/ROD) (MAD B COR 03) TC VILLA OLMO OCRE</v>
          </cell>
          <cell r="R2743"/>
          <cell r="S2743"/>
          <cell r="T2743">
            <v>0.65</v>
          </cell>
          <cell r="U2743">
            <v>0.63</v>
          </cell>
          <cell r="V2743">
            <v>0.77</v>
          </cell>
          <cell r="W2743">
            <v>0</v>
          </cell>
          <cell r="X2743" t="str">
            <v>EST POLTRONA BEG (S/ROD) (MAD B COR 03) TC VILLA OLMO OCRE - 0,65x0,63x0,77H</v>
          </cell>
          <cell r="Y2743">
            <v>0</v>
          </cell>
          <cell r="Z2743">
            <v>0</v>
          </cell>
          <cell r="AA2743">
            <v>0</v>
          </cell>
          <cell r="AB2743"/>
        </row>
        <row r="2744">
          <cell r="C2744">
            <v>0</v>
          </cell>
          <cell r="D2744">
            <v>0</v>
          </cell>
          <cell r="E2744">
            <v>0</v>
          </cell>
          <cell r="F2744">
            <v>0</v>
          </cell>
          <cell r="H2744">
            <v>1</v>
          </cell>
          <cell r="O2744">
            <v>266852</v>
          </cell>
          <cell r="P2744"/>
          <cell r="Q2744" t="str">
            <v>EST SOFA COZY (C/CP) (IMB) (BIP) TC LINEN NT/LINHO BLUE/LIST</v>
          </cell>
          <cell r="R2744"/>
          <cell r="S2744"/>
          <cell r="T2744">
            <v>3</v>
          </cell>
          <cell r="U2744">
            <v>1.03</v>
          </cell>
          <cell r="V2744">
            <v>0.89</v>
          </cell>
          <cell r="W2744">
            <v>0</v>
          </cell>
          <cell r="X2744" t="str">
            <v>EST SOFA COZY (C/CP) (IMB) (BIP) TC LINEN NT/LINHO BLUE/LIST - 3x1,03x0,89H</v>
          </cell>
          <cell r="Y2744">
            <v>0</v>
          </cell>
          <cell r="Z2744">
            <v>0</v>
          </cell>
          <cell r="AA2744">
            <v>0</v>
          </cell>
          <cell r="AB2744"/>
        </row>
        <row r="2745">
          <cell r="C2745">
            <v>0</v>
          </cell>
          <cell r="D2745">
            <v>0</v>
          </cell>
          <cell r="E2745">
            <v>0</v>
          </cell>
          <cell r="F2745">
            <v>0</v>
          </cell>
          <cell r="H2745">
            <v>6</v>
          </cell>
          <cell r="O2745">
            <v>267985</v>
          </cell>
          <cell r="P2745"/>
          <cell r="Q2745" t="str">
            <v>EST MANCEBO STAND BY (BASE CONCRETO GRAFITE) (IMBUIA)</v>
          </cell>
          <cell r="R2745"/>
          <cell r="S2745"/>
          <cell r="T2745">
            <v>0.2</v>
          </cell>
          <cell r="U2745">
            <v>0.33</v>
          </cell>
          <cell r="V2745">
            <v>1.75</v>
          </cell>
          <cell r="W2745">
            <v>0</v>
          </cell>
          <cell r="X2745" t="str">
            <v>EST MANCEBO STAND BY (BASE CONCRETO GRAFITE) (IMBUIA) - 0,2x0,33x1,75H</v>
          </cell>
          <cell r="Y2745">
            <v>0</v>
          </cell>
          <cell r="Z2745">
            <v>0.35</v>
          </cell>
          <cell r="AA2745">
            <v>0</v>
          </cell>
          <cell r="AB2745"/>
        </row>
        <row r="2746">
          <cell r="C2746">
            <v>0</v>
          </cell>
          <cell r="D2746">
            <v>0</v>
          </cell>
          <cell r="E2746">
            <v>0</v>
          </cell>
          <cell r="F2746">
            <v>0</v>
          </cell>
          <cell r="H2746">
            <v>2</v>
          </cell>
          <cell r="O2746">
            <v>268241</v>
          </cell>
          <cell r="P2746"/>
          <cell r="Q2746" t="str">
            <v>EST POLTRONA PORTUGUESA S/B (FIXO) (FREIJO) TC VILLA UMBER</v>
          </cell>
          <cell r="R2746"/>
          <cell r="S2746"/>
          <cell r="T2746">
            <v>0.65</v>
          </cell>
          <cell r="U2746">
            <v>0.67</v>
          </cell>
          <cell r="V2746">
            <v>0.75</v>
          </cell>
          <cell r="W2746">
            <v>0</v>
          </cell>
          <cell r="X2746" t="str">
            <v>EST POLTRONA PORTUGUESA S/B (FIXO) (FREIJO) TC VILLA UMBER - 0,65x0,67x0,75H</v>
          </cell>
          <cell r="Y2746">
            <v>0</v>
          </cell>
          <cell r="Z2746">
            <v>0</v>
          </cell>
          <cell r="AA2746">
            <v>0</v>
          </cell>
          <cell r="AB2746"/>
        </row>
        <row r="2747">
          <cell r="C2747">
            <v>0</v>
          </cell>
          <cell r="D2747">
            <v>0</v>
          </cell>
          <cell r="E2747">
            <v>0</v>
          </cell>
          <cell r="F2747">
            <v>0</v>
          </cell>
          <cell r="H2747">
            <v>1</v>
          </cell>
          <cell r="O2747">
            <v>268242</v>
          </cell>
          <cell r="P2747"/>
          <cell r="Q2747" t="str">
            <v>EST POLTRONA PORTUGUESA S/B (SOLTO) (IPE) CAMURCA TABACO</v>
          </cell>
          <cell r="R2747"/>
          <cell r="S2747"/>
          <cell r="T2747">
            <v>0.65</v>
          </cell>
          <cell r="U2747">
            <v>0.67</v>
          </cell>
          <cell r="V2747">
            <v>0.75</v>
          </cell>
          <cell r="W2747">
            <v>0</v>
          </cell>
          <cell r="X2747" t="str">
            <v>EST POLTRONA PORTUGUESA S/B (SOLTO) (IPE) CAMURCA TABACO - 0,65x0,67x0,75H</v>
          </cell>
          <cell r="Y2747" t="e">
            <v>#VALUE!</v>
          </cell>
          <cell r="Z2747">
            <v>0.35</v>
          </cell>
          <cell r="AA2747" t="e">
            <v>#VALUE!</v>
          </cell>
          <cell r="AB2747"/>
        </row>
        <row r="2748">
          <cell r="C2748">
            <v>0</v>
          </cell>
          <cell r="D2748">
            <v>0</v>
          </cell>
          <cell r="E2748">
            <v>0</v>
          </cell>
          <cell r="F2748">
            <v>0</v>
          </cell>
          <cell r="H2748">
            <v>2</v>
          </cell>
          <cell r="O2748">
            <v>268289</v>
          </cell>
          <cell r="P2748"/>
          <cell r="Q2748" t="str">
            <v>EST BANQUETA JOHN GRAZ (IMBUIA) TC INTRICATE- WHITELINEN</v>
          </cell>
          <cell r="R2748"/>
          <cell r="S2748"/>
          <cell r="T2748">
            <v>0.8</v>
          </cell>
          <cell r="U2748">
            <v>0.6</v>
          </cell>
          <cell r="V2748">
            <v>0.35</v>
          </cell>
          <cell r="W2748">
            <v>0</v>
          </cell>
          <cell r="X2748" t="str">
            <v>EST BANQUETA JOHN GRAZ (IMBUIA) TC INTRICATE- WHITELINEN - 0,8x0,6x0,35H</v>
          </cell>
          <cell r="Y2748">
            <v>0</v>
          </cell>
          <cell r="Z2748">
            <v>0</v>
          </cell>
          <cell r="AA2748">
            <v>0</v>
          </cell>
          <cell r="AB2748"/>
        </row>
        <row r="2749">
          <cell r="C2749">
            <v>0</v>
          </cell>
          <cell r="D2749">
            <v>0</v>
          </cell>
          <cell r="E2749">
            <v>0</v>
          </cell>
          <cell r="F2749">
            <v>0</v>
          </cell>
          <cell r="H2749">
            <v>1</v>
          </cell>
          <cell r="O2749">
            <v>268358</v>
          </cell>
          <cell r="P2749"/>
          <cell r="Q2749" t="str">
            <v>EST MESA CENTRO AZULEJO (DESENHO JOHN GRAZ) (B&amp;P)</v>
          </cell>
          <cell r="R2749"/>
          <cell r="S2749"/>
          <cell r="T2749">
            <v>1.57</v>
          </cell>
          <cell r="U2749">
            <v>0.63</v>
          </cell>
          <cell r="V2749">
            <v>0.2</v>
          </cell>
          <cell r="W2749">
            <v>0</v>
          </cell>
          <cell r="X2749" t="str">
            <v>EST MESA CENTRO AZULEJO (DESENHO JOHN GRAZ) (B&amp;P) - 1,57x0,63x0,2H</v>
          </cell>
          <cell r="Y2749">
            <v>0</v>
          </cell>
          <cell r="Z2749">
            <v>0.5</v>
          </cell>
          <cell r="AA2749">
            <v>0</v>
          </cell>
          <cell r="AB2749"/>
        </row>
        <row r="2750">
          <cell r="C2750">
            <v>0</v>
          </cell>
          <cell r="D2750">
            <v>0</v>
          </cell>
          <cell r="E2750">
            <v>0</v>
          </cell>
          <cell r="F2750">
            <v>0</v>
          </cell>
          <cell r="H2750">
            <v>3</v>
          </cell>
          <cell r="O2750">
            <v>268372</v>
          </cell>
          <cell r="P2750"/>
          <cell r="Q2750" t="str">
            <v>EST BANQUETA PORTUGUESA (SOLTO) (IPE) CAMURCA TABACO</v>
          </cell>
          <cell r="R2750"/>
          <cell r="S2750"/>
          <cell r="T2750">
            <v>0.65</v>
          </cell>
          <cell r="U2750">
            <v>0.45</v>
          </cell>
          <cell r="V2750">
            <v>0.39</v>
          </cell>
          <cell r="W2750">
            <v>0</v>
          </cell>
          <cell r="X2750" t="str">
            <v>EST BANQUETA PORTUGUESA (SOLTO) (IPE) CAMURCA TABACO - 0,65x0,45x0,39H</v>
          </cell>
          <cell r="Y2750">
            <v>0</v>
          </cell>
          <cell r="Z2750">
            <v>0</v>
          </cell>
          <cell r="AA2750">
            <v>0</v>
          </cell>
          <cell r="AB2750"/>
        </row>
        <row r="2751">
          <cell r="C2751">
            <v>0</v>
          </cell>
          <cell r="D2751">
            <v>0</v>
          </cell>
          <cell r="E2751">
            <v>0</v>
          </cell>
          <cell r="F2751">
            <v>0</v>
          </cell>
          <cell r="H2751">
            <v>1</v>
          </cell>
          <cell r="O2751">
            <v>268779</v>
          </cell>
          <cell r="P2751"/>
          <cell r="Q2751" t="str">
            <v>EST BASE CAVALETE MARISA (MAD IMBUIA STAIN) P/TPO 2,00X0,90</v>
          </cell>
          <cell r="R2751"/>
          <cell r="S2751"/>
          <cell r="T2751">
            <v>1.4</v>
          </cell>
          <cell r="U2751">
            <v>0.65</v>
          </cell>
          <cell r="V2751">
            <v>0.72</v>
          </cell>
          <cell r="W2751">
            <v>0</v>
          </cell>
          <cell r="X2751" t="str">
            <v>EST BASE CAVALETE MARISA (MAD IMBUIA STAIN) P/TPO 2,00X0,90 - 1,4x0,65x0,72H</v>
          </cell>
          <cell r="Y2751">
            <v>0</v>
          </cell>
          <cell r="Z2751">
            <v>0</v>
          </cell>
          <cell r="AA2751">
            <v>0</v>
          </cell>
          <cell r="AB2751"/>
        </row>
        <row r="2752">
          <cell r="C2752">
            <v>0</v>
          </cell>
          <cell r="D2752">
            <v>0</v>
          </cell>
          <cell r="E2752">
            <v>0</v>
          </cell>
          <cell r="F2752">
            <v>0</v>
          </cell>
          <cell r="H2752">
            <v>2</v>
          </cell>
          <cell r="O2752">
            <v>268886</v>
          </cell>
          <cell r="P2752"/>
          <cell r="Q2752" t="str">
            <v>EST POLTRONA PORTUGUESA S/B (CORDA KRAFT) (FREIJO)</v>
          </cell>
          <cell r="R2752"/>
          <cell r="S2752"/>
          <cell r="T2752">
            <v>0.65</v>
          </cell>
          <cell r="U2752">
            <v>0.67</v>
          </cell>
          <cell r="V2752">
            <v>0.75</v>
          </cell>
          <cell r="W2752">
            <v>0</v>
          </cell>
          <cell r="X2752" t="str">
            <v>EST POLTRONA PORTUGUESA S/B (CORDA KRAFT) (FREIJO) - 0,65x0,67x0,75H</v>
          </cell>
          <cell r="Y2752">
            <v>0</v>
          </cell>
          <cell r="Z2752">
            <v>0</v>
          </cell>
          <cell r="AA2752">
            <v>0</v>
          </cell>
          <cell r="AB2752"/>
        </row>
        <row r="2753">
          <cell r="C2753">
            <v>0</v>
          </cell>
          <cell r="D2753">
            <v>0</v>
          </cell>
          <cell r="E2753">
            <v>0</v>
          </cell>
          <cell r="F2753">
            <v>0</v>
          </cell>
          <cell r="H2753">
            <v>1</v>
          </cell>
          <cell r="O2753">
            <v>269165</v>
          </cell>
          <cell r="P2753"/>
          <cell r="Q2753" t="str">
            <v>EST CADEIRA ZANINE I (FREIJO NAT) TC JAVA FENNEL</v>
          </cell>
          <cell r="R2753"/>
          <cell r="S2753"/>
          <cell r="T2753">
            <v>0.46</v>
          </cell>
          <cell r="U2753">
            <v>0.56999999999999995</v>
          </cell>
          <cell r="V2753">
            <v>0.81</v>
          </cell>
          <cell r="W2753">
            <v>0</v>
          </cell>
          <cell r="X2753" t="str">
            <v>EST CADEIRA ZANINE I (FREIJO NAT) TC JAVA FENNEL - 0,46x0,57x0,81H</v>
          </cell>
          <cell r="Y2753">
            <v>0</v>
          </cell>
          <cell r="Z2753">
            <v>0</v>
          </cell>
          <cell r="AA2753">
            <v>0</v>
          </cell>
          <cell r="AB2753"/>
        </row>
        <row r="2754">
          <cell r="C2754">
            <v>0</v>
          </cell>
          <cell r="D2754">
            <v>0</v>
          </cell>
          <cell r="E2754">
            <v>0</v>
          </cell>
          <cell r="F2754">
            <v>0</v>
          </cell>
          <cell r="H2754">
            <v>0</v>
          </cell>
          <cell r="O2754">
            <v>269216</v>
          </cell>
          <cell r="P2754"/>
          <cell r="Q2754" t="str">
            <v>EST COMPONENTE ALMOFADA BANCO MOCHO COURO CAMURCA CASTANHO</v>
          </cell>
          <cell r="R2754"/>
          <cell r="S2754"/>
          <cell r="T2754">
            <v>0.4</v>
          </cell>
          <cell r="U2754">
            <v>0.4</v>
          </cell>
          <cell r="V2754">
            <v>0</v>
          </cell>
          <cell r="W2754">
            <v>0</v>
          </cell>
          <cell r="X2754" t="str">
            <v>EST COMPONENTE ALMOFADA BANCO MOCHO COURO CAMURCA CASTANHO - 0,4x0,4x0H</v>
          </cell>
          <cell r="Y2754">
            <v>0</v>
          </cell>
          <cell r="Z2754">
            <v>0.5</v>
          </cell>
          <cell r="AA2754">
            <v>0</v>
          </cell>
          <cell r="AB2754"/>
        </row>
        <row r="2755">
          <cell r="C2755">
            <v>0</v>
          </cell>
          <cell r="D2755">
            <v>0</v>
          </cell>
          <cell r="E2755">
            <v>0</v>
          </cell>
          <cell r="F2755">
            <v>0</v>
          </cell>
          <cell r="H2755">
            <v>0</v>
          </cell>
          <cell r="O2755">
            <v>269289</v>
          </cell>
          <cell r="P2755"/>
          <cell r="Q2755" t="str">
            <v>EST COMPONENTE ALMOFADA BANCO MOCHO TC EL MEDA AQUA</v>
          </cell>
          <cell r="R2755"/>
          <cell r="S2755"/>
          <cell r="T2755">
            <v>0.4</v>
          </cell>
          <cell r="U2755">
            <v>0.4</v>
          </cell>
          <cell r="V2755">
            <v>0</v>
          </cell>
          <cell r="W2755">
            <v>0</v>
          </cell>
          <cell r="X2755" t="str">
            <v>EST COMPONENTE ALMOFADA BANCO MOCHO TC EL MEDA AQUA - 0,4x0,4x0H</v>
          </cell>
          <cell r="Y2755">
            <v>0</v>
          </cell>
          <cell r="Z2755">
            <v>0.5</v>
          </cell>
          <cell r="AA2755">
            <v>0</v>
          </cell>
          <cell r="AB2755"/>
        </row>
        <row r="2756">
          <cell r="C2756">
            <v>0</v>
          </cell>
          <cell r="D2756">
            <v>0</v>
          </cell>
          <cell r="E2756">
            <v>0</v>
          </cell>
          <cell r="F2756">
            <v>0</v>
          </cell>
          <cell r="H2756">
            <v>0</v>
          </cell>
          <cell r="O2756">
            <v>269318</v>
          </cell>
          <cell r="P2756"/>
          <cell r="Q2756" t="str">
            <v>EST POLTRONA ZANINE N (FREIJO EBANIZADO) TC LINHO CINZA</v>
          </cell>
          <cell r="R2756"/>
          <cell r="S2756"/>
          <cell r="T2756">
            <v>0.71</v>
          </cell>
          <cell r="U2756">
            <v>0.67</v>
          </cell>
          <cell r="V2756">
            <v>0.7</v>
          </cell>
          <cell r="W2756">
            <v>0</v>
          </cell>
          <cell r="X2756" t="str">
            <v>EST POLTRONA ZANINE N (FREIJO EBANIZADO) TC LINHO CINZA - 0,71x0,67x0,7H</v>
          </cell>
          <cell r="Y2756">
            <v>0</v>
          </cell>
          <cell r="Z2756">
            <v>0.5</v>
          </cell>
          <cell r="AA2756">
            <v>0</v>
          </cell>
          <cell r="AB2756"/>
        </row>
        <row r="2757">
          <cell r="C2757">
            <v>0</v>
          </cell>
          <cell r="D2757">
            <v>0</v>
          </cell>
          <cell r="E2757">
            <v>0</v>
          </cell>
          <cell r="F2757">
            <v>0</v>
          </cell>
          <cell r="H2757">
            <v>1</v>
          </cell>
          <cell r="O2757">
            <v>270122</v>
          </cell>
          <cell r="P2757"/>
          <cell r="Q2757" t="str">
            <v>EST SOFA JOHN GRAZ (IMBUIA) TC ZEFIRO 158 VERDE</v>
          </cell>
          <cell r="R2757"/>
          <cell r="S2757"/>
          <cell r="T2757">
            <v>1.6</v>
          </cell>
          <cell r="U2757">
            <v>0.83</v>
          </cell>
          <cell r="V2757">
            <v>0.74</v>
          </cell>
          <cell r="W2757">
            <v>0</v>
          </cell>
          <cell r="X2757" t="str">
            <v>EST SOFA JOHN GRAZ (IMBUIA) TC ZEFIRO 158 VERDE - 1,6x0,83x0,74H</v>
          </cell>
          <cell r="Y2757">
            <v>0</v>
          </cell>
          <cell r="Z2757">
            <v>0</v>
          </cell>
          <cell r="AA2757">
            <v>0</v>
          </cell>
          <cell r="AB2757"/>
        </row>
        <row r="2758">
          <cell r="C2758">
            <v>0</v>
          </cell>
          <cell r="D2758">
            <v>0</v>
          </cell>
          <cell r="E2758">
            <v>0</v>
          </cell>
          <cell r="F2758">
            <v>0</v>
          </cell>
          <cell r="H2758">
            <v>0</v>
          </cell>
          <cell r="O2758">
            <v>270289</v>
          </cell>
          <cell r="P2758"/>
          <cell r="Q2758" t="str">
            <v>EST CADEIRA OMAR OFFICE C/R (MAD B FREIJO NT) COURO PIG 200</v>
          </cell>
          <cell r="R2758"/>
          <cell r="S2758"/>
          <cell r="T2758">
            <v>0.54</v>
          </cell>
          <cell r="U2758">
            <v>0.56999999999999995</v>
          </cell>
          <cell r="V2758">
            <v>0.83</v>
          </cell>
          <cell r="W2758">
            <v>0</v>
          </cell>
          <cell r="X2758" t="str">
            <v>EST CADEIRA OMAR OFFICE C/R (MAD B FREIJO NT) COURO PIG 200 - 0,54x0,57x0,83H</v>
          </cell>
          <cell r="Y2758">
            <v>0</v>
          </cell>
          <cell r="Z2758">
            <v>0.5</v>
          </cell>
          <cell r="AA2758">
            <v>0</v>
          </cell>
          <cell r="AB2758"/>
        </row>
        <row r="2759">
          <cell r="C2759">
            <v>0</v>
          </cell>
          <cell r="D2759">
            <v>0</v>
          </cell>
          <cell r="E2759">
            <v>0</v>
          </cell>
          <cell r="F2759">
            <v>0</v>
          </cell>
          <cell r="H2759">
            <v>3</v>
          </cell>
          <cell r="O2759">
            <v>270290</v>
          </cell>
          <cell r="P2759"/>
          <cell r="Q2759" t="str">
            <v>EST BANQUETA BAR GB H62 (KRAFT)</v>
          </cell>
          <cell r="R2759"/>
          <cell r="S2759"/>
          <cell r="T2759">
            <v>0.42</v>
          </cell>
          <cell r="U2759">
            <v>0.42</v>
          </cell>
          <cell r="V2759">
            <v>0.62</v>
          </cell>
          <cell r="W2759">
            <v>0</v>
          </cell>
          <cell r="X2759" t="str">
            <v>EST BANQUETA BAR GB H62 (KRAFT) - 0,42x0,42x0,62H</v>
          </cell>
          <cell r="Y2759">
            <v>0</v>
          </cell>
          <cell r="Z2759">
            <v>0.5</v>
          </cell>
          <cell r="AA2759">
            <v>0</v>
          </cell>
          <cell r="AB2759"/>
        </row>
        <row r="2760">
          <cell r="C2760">
            <v>0</v>
          </cell>
          <cell r="D2760">
            <v>0</v>
          </cell>
          <cell r="E2760">
            <v>0</v>
          </cell>
          <cell r="F2760">
            <v>0</v>
          </cell>
          <cell r="H2760">
            <v>2</v>
          </cell>
          <cell r="O2760">
            <v>270386</v>
          </cell>
          <cell r="P2760"/>
          <cell r="Q2760" t="str">
            <v>EST POLTRONA SENHOR (PINHAO) (MAD B LOURO ESP) CAMURCA TABAC</v>
          </cell>
          <cell r="R2760"/>
          <cell r="S2760"/>
          <cell r="T2760">
            <v>0.84</v>
          </cell>
          <cell r="U2760">
            <v>0.9</v>
          </cell>
          <cell r="V2760">
            <v>0.82</v>
          </cell>
          <cell r="W2760">
            <v>0</v>
          </cell>
          <cell r="X2760" t="str">
            <v>EST POLTRONA SENHOR (PINHAO) (MAD B LOURO ESP) CAMURCA TABAC - 0,84x0,9x0,82H</v>
          </cell>
          <cell r="Y2760">
            <v>0</v>
          </cell>
          <cell r="Z2760">
            <v>0</v>
          </cell>
          <cell r="AA2760">
            <v>0</v>
          </cell>
          <cell r="AB2760"/>
        </row>
        <row r="2761">
          <cell r="C2761">
            <v>0</v>
          </cell>
          <cell r="D2761">
            <v>0</v>
          </cell>
          <cell r="E2761">
            <v>0</v>
          </cell>
          <cell r="F2761">
            <v>0</v>
          </cell>
          <cell r="H2761">
            <v>1</v>
          </cell>
          <cell r="O2761">
            <v>270405</v>
          </cell>
          <cell r="P2761"/>
          <cell r="Q2761" t="str">
            <v>EST MESA JANTAR FREVO (PINHO DE RIGA)</v>
          </cell>
          <cell r="R2761"/>
          <cell r="S2761"/>
          <cell r="T2761">
            <v>3.2</v>
          </cell>
          <cell r="U2761">
            <v>1</v>
          </cell>
          <cell r="V2761">
            <v>0.75</v>
          </cell>
          <cell r="W2761">
            <v>0</v>
          </cell>
          <cell r="X2761" t="str">
            <v>EST MESA JANTAR FREVO (PINHO DE RIGA) - 3,2x1x0,75H</v>
          </cell>
          <cell r="Y2761">
            <v>0</v>
          </cell>
          <cell r="Z2761">
            <v>0.5</v>
          </cell>
          <cell r="AA2761">
            <v>0</v>
          </cell>
          <cell r="AB2761"/>
        </row>
        <row r="2762">
          <cell r="C2762" t="e">
            <v>#N/A</v>
          </cell>
          <cell r="D2762" t="e">
            <v>#N/A</v>
          </cell>
          <cell r="E2762" t="e">
            <v>#N/A</v>
          </cell>
          <cell r="F2762" t="e">
            <v>#N/A</v>
          </cell>
          <cell r="H2762" t="e">
            <v>#N/A</v>
          </cell>
          <cell r="O2762">
            <v>270406</v>
          </cell>
          <cell r="P2762"/>
          <cell r="Q2762" t="e">
            <v>#N/A</v>
          </cell>
          <cell r="R2762"/>
          <cell r="S2762"/>
          <cell r="T2762" t="e">
            <v>#N/A</v>
          </cell>
          <cell r="U2762" t="e">
            <v>#N/A</v>
          </cell>
          <cell r="V2762" t="e">
            <v>#N/A</v>
          </cell>
          <cell r="W2762" t="e">
            <v>#N/A</v>
          </cell>
          <cell r="X2762" t="e">
            <v>#N/A</v>
          </cell>
          <cell r="Y2762">
            <v>0</v>
          </cell>
          <cell r="Z2762">
            <v>0</v>
          </cell>
          <cell r="AA2762">
            <v>0</v>
          </cell>
          <cell r="AB2762"/>
        </row>
        <row r="2763">
          <cell r="C2763">
            <v>0</v>
          </cell>
          <cell r="D2763">
            <v>0</v>
          </cell>
          <cell r="E2763">
            <v>0</v>
          </cell>
          <cell r="F2763">
            <v>0</v>
          </cell>
          <cell r="H2763">
            <v>1</v>
          </cell>
          <cell r="O2763">
            <v>270745</v>
          </cell>
          <cell r="P2763"/>
          <cell r="Q2763" t="str">
            <v>EST BUFFET BENJAMIN (FREIJO LAVADO)</v>
          </cell>
          <cell r="R2763"/>
          <cell r="S2763"/>
          <cell r="T2763">
            <v>2.4</v>
          </cell>
          <cell r="U2763">
            <v>0.5</v>
          </cell>
          <cell r="V2763">
            <v>0.75</v>
          </cell>
          <cell r="W2763">
            <v>0</v>
          </cell>
          <cell r="X2763" t="str">
            <v>EST BUFFET BENJAMIN (FREIJO LAVADO) - 2,4x0,5x0,75H</v>
          </cell>
          <cell r="Y2763">
            <v>0</v>
          </cell>
          <cell r="Z2763">
            <v>0.5</v>
          </cell>
          <cell r="AA2763">
            <v>0</v>
          </cell>
          <cell r="AB2763"/>
        </row>
        <row r="2764">
          <cell r="C2764">
            <v>0</v>
          </cell>
          <cell r="D2764">
            <v>0</v>
          </cell>
          <cell r="E2764">
            <v>0</v>
          </cell>
          <cell r="F2764">
            <v>0</v>
          </cell>
          <cell r="H2764">
            <v>1</v>
          </cell>
          <cell r="O2764">
            <v>271167</v>
          </cell>
          <cell r="P2764"/>
          <cell r="Q2764" t="str">
            <v>EST SOFA AIR II (BASE PRETA) COURO NOBUCK 70 MARROM</v>
          </cell>
          <cell r="R2764"/>
          <cell r="S2764"/>
          <cell r="T2764">
            <v>3.27</v>
          </cell>
          <cell r="U2764">
            <v>0.97</v>
          </cell>
          <cell r="V2764">
            <v>0.7</v>
          </cell>
          <cell r="W2764">
            <v>0</v>
          </cell>
          <cell r="X2764" t="str">
            <v>EST SOFA AIR II (BASE PRETA) COURO NOBUCK 70 MARROM - 3,27x0,97x0,7H</v>
          </cell>
          <cell r="Y2764">
            <v>0</v>
          </cell>
          <cell r="Z2764">
            <v>0</v>
          </cell>
          <cell r="AA2764">
            <v>0</v>
          </cell>
          <cell r="AB2764"/>
        </row>
        <row r="2765">
          <cell r="C2765">
            <v>0</v>
          </cell>
          <cell r="D2765">
            <v>0</v>
          </cell>
          <cell r="E2765">
            <v>0</v>
          </cell>
          <cell r="F2765">
            <v>0</v>
          </cell>
          <cell r="H2765">
            <v>1</v>
          </cell>
          <cell r="O2765">
            <v>271168</v>
          </cell>
          <cell r="P2765"/>
          <cell r="Q2765" t="str">
            <v>EST MODULO BRACO ESQ C/PUFF AIR II (BS PTA) COURO NOBUCK 10</v>
          </cell>
          <cell r="R2765"/>
          <cell r="S2765"/>
          <cell r="T2765">
            <v>3.3</v>
          </cell>
          <cell r="U2765">
            <v>0.97</v>
          </cell>
          <cell r="V2765">
            <v>0.7</v>
          </cell>
          <cell r="W2765">
            <v>0</v>
          </cell>
          <cell r="X2765" t="str">
            <v>EST MODULO BRACO ESQ C/PUFF AIR II (BS PTA) COURO NOBUCK 10 - 3,3x0,97x0,7H</v>
          </cell>
          <cell r="Y2765">
            <v>0</v>
          </cell>
          <cell r="Z2765">
            <v>0</v>
          </cell>
          <cell r="AA2765">
            <v>0</v>
          </cell>
          <cell r="AB2765"/>
        </row>
        <row r="2766"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H2766">
            <v>1</v>
          </cell>
          <cell r="O2766">
            <v>271175</v>
          </cell>
          <cell r="P2766"/>
          <cell r="Q2766" t="str">
            <v>EST BUFFET BENJAMIN (FREIJO NATURAL)</v>
          </cell>
          <cell r="R2766"/>
          <cell r="S2766"/>
          <cell r="T2766">
            <v>2.4</v>
          </cell>
          <cell r="U2766">
            <v>0.5</v>
          </cell>
          <cell r="V2766">
            <v>0.75</v>
          </cell>
          <cell r="W2766">
            <v>0</v>
          </cell>
          <cell r="X2766" t="str">
            <v>EST BUFFET BENJAMIN (FREIJO NATURAL) - 2,4x0,5x0,75H</v>
          </cell>
          <cell r="Y2766">
            <v>0</v>
          </cell>
          <cell r="Z2766">
            <v>0</v>
          </cell>
          <cell r="AA2766">
            <v>0</v>
          </cell>
          <cell r="AB2766"/>
        </row>
        <row r="2767">
          <cell r="C2767">
            <v>0</v>
          </cell>
          <cell r="D2767">
            <v>0</v>
          </cell>
          <cell r="E2767">
            <v>0</v>
          </cell>
          <cell r="F2767">
            <v>0</v>
          </cell>
          <cell r="H2767">
            <v>0</v>
          </cell>
          <cell r="O2767">
            <v>271200</v>
          </cell>
          <cell r="P2767"/>
          <cell r="Q2767" t="str">
            <v>EST ALMOFADA DECORATIVA AIR II COURO NOBUCK 10</v>
          </cell>
          <cell r="R2767"/>
          <cell r="S2767"/>
          <cell r="T2767">
            <v>0.62</v>
          </cell>
          <cell r="U2767">
            <v>0.62</v>
          </cell>
          <cell r="V2767">
            <v>0</v>
          </cell>
          <cell r="W2767">
            <v>0</v>
          </cell>
          <cell r="X2767" t="str">
            <v>EST ALMOFADA DECORATIVA AIR II COURO NOBUCK 10 - 0,62x0,62x0H</v>
          </cell>
          <cell r="Y2767">
            <v>0</v>
          </cell>
          <cell r="Z2767">
            <v>0</v>
          </cell>
          <cell r="AA2767">
            <v>0</v>
          </cell>
          <cell r="AB2767"/>
        </row>
        <row r="2768">
          <cell r="C2768">
            <v>0</v>
          </cell>
          <cell r="D2768">
            <v>0</v>
          </cell>
          <cell r="E2768">
            <v>0</v>
          </cell>
          <cell r="F2768">
            <v>0</v>
          </cell>
          <cell r="H2768">
            <v>6</v>
          </cell>
          <cell r="O2768">
            <v>271201</v>
          </cell>
          <cell r="P2768"/>
          <cell r="Q2768" t="str">
            <v>EST ALMOFADA DECORATIVA AIR II (M) COURO NOBUCK 70 MARROM</v>
          </cell>
          <cell r="R2768"/>
          <cell r="S2768"/>
          <cell r="T2768">
            <v>0.62</v>
          </cell>
          <cell r="U2768">
            <v>0.62</v>
          </cell>
          <cell r="V2768">
            <v>0</v>
          </cell>
          <cell r="W2768">
            <v>0</v>
          </cell>
          <cell r="X2768" t="str">
            <v>EST ALMOFADA DECORATIVA AIR II (M) COURO NOBUCK 70 MARROM - 0,62x0,62x0H</v>
          </cell>
          <cell r="Y2768">
            <v>0</v>
          </cell>
          <cell r="Z2768">
            <v>0</v>
          </cell>
          <cell r="AA2768">
            <v>0</v>
          </cell>
          <cell r="AB2768"/>
        </row>
        <row r="2769">
          <cell r="C2769">
            <v>0</v>
          </cell>
          <cell r="D2769">
            <v>0</v>
          </cell>
          <cell r="E2769">
            <v>0</v>
          </cell>
          <cell r="F2769">
            <v>0</v>
          </cell>
          <cell r="H2769">
            <v>1</v>
          </cell>
          <cell r="O2769">
            <v>271338</v>
          </cell>
          <cell r="P2769"/>
          <cell r="Q2769" t="str">
            <v>EST TAMPO MESA JANTAR AERO (PAU FERRO CLARO)</v>
          </cell>
          <cell r="R2769"/>
          <cell r="S2769"/>
          <cell r="T2769">
            <v>1.8</v>
          </cell>
          <cell r="U2769">
            <v>0</v>
          </cell>
          <cell r="V2769">
            <v>0.03</v>
          </cell>
          <cell r="W2769">
            <v>0</v>
          </cell>
          <cell r="X2769" t="str">
            <v>EST TAMPO MESA JANTAR AERO (PAU FERRO CLARO) - Ø0x0,03H</v>
          </cell>
          <cell r="Y2769">
            <v>0</v>
          </cell>
          <cell r="Z2769">
            <v>0.5</v>
          </cell>
          <cell r="AA2769">
            <v>0</v>
          </cell>
          <cell r="AB2769"/>
        </row>
        <row r="2770">
          <cell r="C2770">
            <v>0</v>
          </cell>
          <cell r="D2770">
            <v>0</v>
          </cell>
          <cell r="E2770">
            <v>0</v>
          </cell>
          <cell r="F2770">
            <v>0</v>
          </cell>
          <cell r="H2770">
            <v>1</v>
          </cell>
          <cell r="O2770">
            <v>271524</v>
          </cell>
          <cell r="P2770"/>
          <cell r="Q2770" t="str">
            <v>EST BANQUETA BAR ABAPORU H73 (DET METAL PTO) (S/AZ) FREIJO</v>
          </cell>
          <cell r="R2770"/>
          <cell r="S2770"/>
          <cell r="T2770">
            <v>0.37</v>
          </cell>
          <cell r="U2770">
            <v>0</v>
          </cell>
          <cell r="V2770">
            <v>0.73</v>
          </cell>
          <cell r="W2770">
            <v>0</v>
          </cell>
          <cell r="X2770" t="str">
            <v>EST BANQUETA BAR ABAPORU H73 (DET METAL PTO) (S/AZ) FREIJO - Ø0x0,73H</v>
          </cell>
          <cell r="Y2770">
            <v>0</v>
          </cell>
          <cell r="Z2770">
            <v>0.5</v>
          </cell>
          <cell r="AA2770">
            <v>0</v>
          </cell>
          <cell r="AB2770"/>
        </row>
        <row r="2771">
          <cell r="C2771">
            <v>0</v>
          </cell>
          <cell r="D2771">
            <v>0</v>
          </cell>
          <cell r="E2771">
            <v>0</v>
          </cell>
          <cell r="F2771">
            <v>0</v>
          </cell>
          <cell r="H2771">
            <v>1</v>
          </cell>
          <cell r="O2771">
            <v>271776</v>
          </cell>
          <cell r="P2771"/>
          <cell r="Q2771" t="str">
            <v>EST TAMPO GELSOMINA (CIRCULAR) (G3-GREEN P LEVIG BORDA DUP)</v>
          </cell>
          <cell r="R2771"/>
          <cell r="S2771"/>
          <cell r="T2771">
            <v>1.2</v>
          </cell>
          <cell r="U2771">
            <v>0</v>
          </cell>
          <cell r="V2771">
            <v>0.02</v>
          </cell>
          <cell r="W2771">
            <v>1.2</v>
          </cell>
          <cell r="X2771" t="str">
            <v>EST TAMPO GELSOMINA (CIRCULAR) (G3-GREEN P LEVIG BORDA DUP) - Ø1,2x0,02H</v>
          </cell>
          <cell r="Y2771">
            <v>0</v>
          </cell>
          <cell r="Z2771">
            <v>0</v>
          </cell>
          <cell r="AA2771">
            <v>0</v>
          </cell>
          <cell r="AB2771"/>
        </row>
        <row r="2772">
          <cell r="C2772">
            <v>0</v>
          </cell>
          <cell r="D2772">
            <v>0</v>
          </cell>
          <cell r="E2772">
            <v>0</v>
          </cell>
          <cell r="F2772">
            <v>0</v>
          </cell>
          <cell r="H2772">
            <v>0</v>
          </cell>
          <cell r="O2772">
            <v>271829</v>
          </cell>
          <cell r="P2772"/>
          <cell r="Q2772" t="str">
            <v>EST CARRINHO BAR ANTONIO (CARRARA) (FREIJO NATURAL)</v>
          </cell>
          <cell r="R2772"/>
          <cell r="S2772"/>
          <cell r="T2772">
            <v>0.74</v>
          </cell>
          <cell r="U2772">
            <v>0.45</v>
          </cell>
          <cell r="V2772">
            <v>0.75</v>
          </cell>
          <cell r="W2772">
            <v>0</v>
          </cell>
          <cell r="X2772" t="str">
            <v>EST CARRINHO BAR ANTONIO (CARRARA) (FREIJO NATURAL) - 0,74x0,45x0,75H</v>
          </cell>
          <cell r="Y2772">
            <v>0</v>
          </cell>
          <cell r="Z2772">
            <v>0.5</v>
          </cell>
          <cell r="AA2772">
            <v>0</v>
          </cell>
          <cell r="AB2772"/>
        </row>
        <row r="2773">
          <cell r="C2773">
            <v>0</v>
          </cell>
          <cell r="D2773">
            <v>0</v>
          </cell>
          <cell r="E2773">
            <v>0</v>
          </cell>
          <cell r="F2773">
            <v>0</v>
          </cell>
          <cell r="H2773">
            <v>1</v>
          </cell>
          <cell r="O2773">
            <v>271830</v>
          </cell>
          <cell r="P2773"/>
          <cell r="Q2773" t="str">
            <v>EST CARRINHO BAR SOFIA (PRETO ABSOLUTO) FREIJO NATURAL</v>
          </cell>
          <cell r="R2773"/>
          <cell r="S2773"/>
          <cell r="T2773">
            <v>0.45</v>
          </cell>
          <cell r="U2773">
            <v>0</v>
          </cell>
          <cell r="V2773">
            <v>0.67</v>
          </cell>
          <cell r="W2773">
            <v>0.45</v>
          </cell>
          <cell r="X2773" t="str">
            <v>EST CARRINHO BAR SOFIA (PRETO ABSOLUTO) FREIJO NATURAL - Ø0,45x0,67H</v>
          </cell>
          <cell r="Y2773">
            <v>0</v>
          </cell>
          <cell r="Z2773">
            <v>0.5</v>
          </cell>
          <cell r="AA2773">
            <v>0</v>
          </cell>
          <cell r="AB2773"/>
        </row>
        <row r="2774">
          <cell r="C2774">
            <v>0</v>
          </cell>
          <cell r="D2774">
            <v>0</v>
          </cell>
          <cell r="E2774">
            <v>0</v>
          </cell>
          <cell r="F2774">
            <v>0</v>
          </cell>
          <cell r="H2774">
            <v>1</v>
          </cell>
          <cell r="O2774">
            <v>271931</v>
          </cell>
          <cell r="P2774"/>
          <cell r="Q2774" t="str">
            <v>EST SOFA HAUNER (MAD A COR 02) TC ZEFIRO 158 VERDE</v>
          </cell>
          <cell r="R2774"/>
          <cell r="S2774"/>
          <cell r="T2774">
            <v>1.8</v>
          </cell>
          <cell r="U2774">
            <v>1.02</v>
          </cell>
          <cell r="V2774">
            <v>0.72</v>
          </cell>
          <cell r="W2774">
            <v>0</v>
          </cell>
          <cell r="X2774" t="str">
            <v>EST SOFA HAUNER (MAD A COR 02) TC ZEFIRO 158 VERDE - 1,8x1,02x0,72H</v>
          </cell>
          <cell r="Y2774">
            <v>0</v>
          </cell>
          <cell r="Z2774">
            <v>0</v>
          </cell>
          <cell r="AA2774">
            <v>0</v>
          </cell>
          <cell r="AB2774"/>
        </row>
        <row r="2775">
          <cell r="C2775">
            <v>0</v>
          </cell>
          <cell r="D2775">
            <v>0</v>
          </cell>
          <cell r="E2775">
            <v>0</v>
          </cell>
          <cell r="F2775">
            <v>0</v>
          </cell>
          <cell r="H2775">
            <v>1</v>
          </cell>
          <cell r="O2775">
            <v>272033</v>
          </cell>
          <cell r="P2775"/>
          <cell r="Q2775" t="str">
            <v>EST CADEIRA ZANINE I (FREIJO NT) TC FLORENTINE CYPRESS</v>
          </cell>
          <cell r="R2775"/>
          <cell r="S2775"/>
          <cell r="T2775">
            <v>0.46</v>
          </cell>
          <cell r="U2775">
            <v>0.56999999999999995</v>
          </cell>
          <cell r="V2775">
            <v>0.81</v>
          </cell>
          <cell r="W2775">
            <v>0</v>
          </cell>
          <cell r="X2775" t="str">
            <v>EST CADEIRA ZANINE I (FREIJO NT) TC FLORENTINE CYPRESS - 0,46x0,57x0,81H</v>
          </cell>
          <cell r="Y2775">
            <v>0</v>
          </cell>
          <cell r="Z2775">
            <v>0</v>
          </cell>
          <cell r="AA2775">
            <v>0</v>
          </cell>
          <cell r="AB2775"/>
        </row>
        <row r="2776">
          <cell r="C2776">
            <v>0</v>
          </cell>
          <cell r="D2776">
            <v>0</v>
          </cell>
          <cell r="E2776">
            <v>0</v>
          </cell>
          <cell r="F2776">
            <v>0</v>
          </cell>
          <cell r="H2776">
            <v>0</v>
          </cell>
          <cell r="O2776">
            <v>273523</v>
          </cell>
          <cell r="P2776"/>
          <cell r="Q2776" t="str">
            <v>EST CAIXA C/ PUXADOR (CIRCULAR) FRONTAL (ROXINHO)</v>
          </cell>
          <cell r="R2776"/>
          <cell r="S2776"/>
          <cell r="T2776">
            <v>0.4</v>
          </cell>
          <cell r="U2776">
            <v>0.3</v>
          </cell>
          <cell r="V2776">
            <v>0.15</v>
          </cell>
          <cell r="W2776">
            <v>0</v>
          </cell>
          <cell r="X2776" t="str">
            <v>EST CAIXA C/ PUXADOR (CIRCULAR) FRONTAL (ROXINHO) - 0,4x0,3x0,15H</v>
          </cell>
          <cell r="Y2776">
            <v>0</v>
          </cell>
          <cell r="Z2776">
            <v>0.5</v>
          </cell>
          <cell r="AA2776">
            <v>0</v>
          </cell>
          <cell r="AB2776"/>
        </row>
        <row r="2777">
          <cell r="C2777">
            <v>0</v>
          </cell>
          <cell r="D2777">
            <v>0</v>
          </cell>
          <cell r="E2777">
            <v>0</v>
          </cell>
          <cell r="F2777">
            <v>0</v>
          </cell>
          <cell r="H2777">
            <v>1</v>
          </cell>
          <cell r="O2777">
            <v>273524</v>
          </cell>
          <cell r="P2777"/>
          <cell r="Q2777" t="str">
            <v>EST CAIXA C/ALCA SUPERIOR (ROXINHO/PEROBA)</v>
          </cell>
          <cell r="R2777"/>
          <cell r="S2777"/>
          <cell r="T2777">
            <v>0.4</v>
          </cell>
          <cell r="U2777">
            <v>0.3</v>
          </cell>
          <cell r="V2777">
            <v>0.15</v>
          </cell>
          <cell r="W2777">
            <v>0</v>
          </cell>
          <cell r="X2777" t="str">
            <v>EST CAIXA C/ALCA SUPERIOR (ROXINHO/PEROBA) - 0,4x0,3x0,15H</v>
          </cell>
          <cell r="Y2777">
            <v>0</v>
          </cell>
          <cell r="Z2777">
            <v>0.5</v>
          </cell>
          <cell r="AA2777">
            <v>0</v>
          </cell>
          <cell r="AB2777"/>
        </row>
        <row r="2778">
          <cell r="C2778">
            <v>0</v>
          </cell>
          <cell r="D2778">
            <v>0</v>
          </cell>
          <cell r="E2778">
            <v>0</v>
          </cell>
          <cell r="F2778">
            <v>0</v>
          </cell>
          <cell r="H2778">
            <v>1</v>
          </cell>
          <cell r="O2778">
            <v>273525</v>
          </cell>
          <cell r="P2778"/>
          <cell r="Q2778" t="str">
            <v>EST CAIXA C/PUXADOR HASTE FRONTAL TORNEADO (ROXINHO)</v>
          </cell>
          <cell r="R2778"/>
          <cell r="S2778"/>
          <cell r="T2778">
            <v>0.4</v>
          </cell>
          <cell r="U2778">
            <v>0.3</v>
          </cell>
          <cell r="V2778">
            <v>0.15</v>
          </cell>
          <cell r="W2778">
            <v>0</v>
          </cell>
          <cell r="X2778" t="str">
            <v>EST CAIXA C/PUXADOR HASTE FRONTAL TORNEADO (ROXINHO) - 0,4x0,3x0,15H</v>
          </cell>
          <cell r="Y2778">
            <v>0</v>
          </cell>
          <cell r="Z2778">
            <v>0.5</v>
          </cell>
          <cell r="AA2778">
            <v>0</v>
          </cell>
          <cell r="AB2778"/>
        </row>
        <row r="2779">
          <cell r="C2779">
            <v>0</v>
          </cell>
          <cell r="D2779">
            <v>0</v>
          </cell>
          <cell r="E2779">
            <v>0</v>
          </cell>
          <cell r="F2779">
            <v>0</v>
          </cell>
          <cell r="H2779">
            <v>0</v>
          </cell>
          <cell r="O2779">
            <v>273689</v>
          </cell>
          <cell r="P2779"/>
          <cell r="Q2779" t="str">
            <v>EST POLTRONA ZANINE N (FREIJO NATURAL) TC ZEFIRO 158 VERDE</v>
          </cell>
          <cell r="R2779"/>
          <cell r="S2779"/>
          <cell r="T2779">
            <v>0.71</v>
          </cell>
          <cell r="U2779">
            <v>0.67</v>
          </cell>
          <cell r="V2779">
            <v>0.7</v>
          </cell>
          <cell r="W2779">
            <v>0</v>
          </cell>
          <cell r="X2779" t="str">
            <v>EST POLTRONA ZANINE N (FREIJO NATURAL) TC ZEFIRO 158 VERDE - 0,71x0,67x0,7H</v>
          </cell>
          <cell r="Y2779">
            <v>0</v>
          </cell>
          <cell r="Z2779">
            <v>0</v>
          </cell>
          <cell r="AA2779">
            <v>0</v>
          </cell>
          <cell r="AB2779"/>
        </row>
        <row r="2780">
          <cell r="C2780">
            <v>0</v>
          </cell>
          <cell r="D2780">
            <v>0</v>
          </cell>
          <cell r="E2780">
            <v>0</v>
          </cell>
          <cell r="F2780">
            <v>0</v>
          </cell>
          <cell r="H2780">
            <v>0</v>
          </cell>
          <cell r="O2780">
            <v>273690</v>
          </cell>
          <cell r="P2780"/>
          <cell r="Q2780" t="str">
            <v>EST POLTRONA ZANINE N (FREIJO NATURAL) TC GRIGGIO COR 3 CRU</v>
          </cell>
          <cell r="R2780"/>
          <cell r="S2780"/>
          <cell r="T2780">
            <v>0.71</v>
          </cell>
          <cell r="U2780">
            <v>0.67</v>
          </cell>
          <cell r="V2780">
            <v>0.7</v>
          </cell>
          <cell r="W2780">
            <v>0</v>
          </cell>
          <cell r="X2780" t="str">
            <v>EST POLTRONA ZANINE N (FREIJO NATURAL) TC GRIGGIO COR 3 CRU - 0,71x0,67x0,7H</v>
          </cell>
          <cell r="Y2780">
            <v>0</v>
          </cell>
          <cell r="Z2780">
            <v>0</v>
          </cell>
          <cell r="AA2780">
            <v>0</v>
          </cell>
          <cell r="AB2780"/>
        </row>
        <row r="2781">
          <cell r="C2781">
            <v>0</v>
          </cell>
          <cell r="D2781">
            <v>0</v>
          </cell>
          <cell r="E2781">
            <v>0</v>
          </cell>
          <cell r="F2781">
            <v>0</v>
          </cell>
          <cell r="H2781">
            <v>2</v>
          </cell>
          <cell r="O2781">
            <v>273804</v>
          </cell>
          <cell r="P2781"/>
          <cell r="Q2781" t="str">
            <v>EST CARRINHO CHA VERTIS (FREIJO NATURAL)</v>
          </cell>
          <cell r="R2781"/>
          <cell r="S2781"/>
          <cell r="T2781">
            <v>0.7</v>
          </cell>
          <cell r="U2781">
            <v>0.44</v>
          </cell>
          <cell r="V2781">
            <v>0.78</v>
          </cell>
          <cell r="W2781">
            <v>0</v>
          </cell>
          <cell r="X2781" t="str">
            <v>EST CARRINHO CHA VERTIS (FREIJO NATURAL) - 0,7x0,44x0,78H</v>
          </cell>
          <cell r="Y2781">
            <v>0</v>
          </cell>
          <cell r="Z2781">
            <v>0</v>
          </cell>
          <cell r="AA2781">
            <v>0</v>
          </cell>
          <cell r="AB2781"/>
        </row>
        <row r="2782">
          <cell r="C2782">
            <v>0</v>
          </cell>
          <cell r="D2782">
            <v>0</v>
          </cell>
          <cell r="E2782">
            <v>0</v>
          </cell>
          <cell r="F2782">
            <v>0</v>
          </cell>
          <cell r="H2782">
            <v>2</v>
          </cell>
          <cell r="O2782">
            <v>273805</v>
          </cell>
          <cell r="P2782"/>
          <cell r="Q2782" t="str">
            <v>EST MESA JANTAR ROSSI (FREIJO NATURAL)</v>
          </cell>
          <cell r="R2782"/>
          <cell r="S2782"/>
          <cell r="T2782">
            <v>1.8</v>
          </cell>
          <cell r="U2782">
            <v>0.86</v>
          </cell>
          <cell r="V2782">
            <v>0.75</v>
          </cell>
          <cell r="W2782">
            <v>0</v>
          </cell>
          <cell r="X2782" t="str">
            <v>EST MESA JANTAR ROSSI (FREIJO NATURAL) - 1,8x0,86x0,75H</v>
          </cell>
          <cell r="Y2782">
            <v>0</v>
          </cell>
          <cell r="Z2782">
            <v>0</v>
          </cell>
          <cell r="AA2782">
            <v>0</v>
          </cell>
          <cell r="AB2782"/>
        </row>
        <row r="2783">
          <cell r="C2783">
            <v>0</v>
          </cell>
          <cell r="D2783">
            <v>0</v>
          </cell>
          <cell r="E2783">
            <v>0</v>
          </cell>
          <cell r="F2783">
            <v>0</v>
          </cell>
          <cell r="H2783">
            <v>2</v>
          </cell>
          <cell r="O2783">
            <v>273806</v>
          </cell>
          <cell r="P2783"/>
          <cell r="Q2783" t="str">
            <v>EST CADEIRA GAIA (FREIJO NATURAL)</v>
          </cell>
          <cell r="R2783"/>
          <cell r="S2783"/>
          <cell r="T2783">
            <v>0.48</v>
          </cell>
          <cell r="U2783">
            <v>0.54</v>
          </cell>
          <cell r="V2783">
            <v>0.75</v>
          </cell>
          <cell r="W2783">
            <v>0</v>
          </cell>
          <cell r="X2783" t="str">
            <v>EST CADEIRA GAIA (FREIJO NATURAL) - 0,48x0,54x0,75H</v>
          </cell>
          <cell r="Y2783">
            <v>0</v>
          </cell>
          <cell r="Z2783">
            <v>0.5</v>
          </cell>
          <cell r="AA2783">
            <v>0</v>
          </cell>
          <cell r="AB2783"/>
        </row>
        <row r="2784">
          <cell r="C2784">
            <v>0</v>
          </cell>
          <cell r="D2784">
            <v>0</v>
          </cell>
          <cell r="E2784">
            <v>0</v>
          </cell>
          <cell r="F2784">
            <v>0</v>
          </cell>
          <cell r="H2784">
            <v>1</v>
          </cell>
          <cell r="O2784">
            <v>273982</v>
          </cell>
          <cell r="P2784"/>
          <cell r="Q2784" t="str">
            <v>EST POLTRONA MOLECA (MAD A COR 02) COURO CAMURCA TABACO</v>
          </cell>
          <cell r="R2784"/>
          <cell r="S2784"/>
          <cell r="T2784">
            <v>1.06</v>
          </cell>
          <cell r="U2784">
            <v>0.9</v>
          </cell>
          <cell r="V2784">
            <v>0.8</v>
          </cell>
          <cell r="W2784">
            <v>0</v>
          </cell>
          <cell r="X2784" t="str">
            <v>EST POLTRONA MOLECA (MAD A COR 02) COURO CAMURCA TABACO - 1,06x0,9x0,8H</v>
          </cell>
          <cell r="Y2784">
            <v>0</v>
          </cell>
          <cell r="Z2784">
            <v>0</v>
          </cell>
          <cell r="AA2784">
            <v>0</v>
          </cell>
          <cell r="AB2784"/>
        </row>
        <row r="2785">
          <cell r="C2785">
            <v>0</v>
          </cell>
          <cell r="D2785">
            <v>0</v>
          </cell>
          <cell r="E2785">
            <v>0</v>
          </cell>
          <cell r="F2785">
            <v>0</v>
          </cell>
          <cell r="H2785">
            <v>1</v>
          </cell>
          <cell r="O2785">
            <v>273983</v>
          </cell>
          <cell r="P2785"/>
          <cell r="Q2785" t="str">
            <v>EST BANQUETA MOLECA (MAD A COR 02) COURO CAMURCA TABACO</v>
          </cell>
          <cell r="R2785"/>
          <cell r="S2785"/>
          <cell r="T2785">
            <v>0.81</v>
          </cell>
          <cell r="U2785">
            <v>0.52</v>
          </cell>
          <cell r="V2785">
            <v>0.43</v>
          </cell>
          <cell r="W2785">
            <v>0</v>
          </cell>
          <cell r="X2785" t="str">
            <v>EST BANQUETA MOLECA (MAD A COR 02) COURO CAMURCA TABACO - 0,81x0,52x0,43H</v>
          </cell>
          <cell r="Y2785">
            <v>0</v>
          </cell>
          <cell r="Z2785">
            <v>0</v>
          </cell>
          <cell r="AA2785">
            <v>0</v>
          </cell>
          <cell r="AB2785"/>
        </row>
        <row r="2786">
          <cell r="C2786">
            <v>0</v>
          </cell>
          <cell r="D2786">
            <v>0</v>
          </cell>
          <cell r="E2786">
            <v>0</v>
          </cell>
          <cell r="F2786">
            <v>0</v>
          </cell>
          <cell r="H2786">
            <v>1</v>
          </cell>
          <cell r="O2786">
            <v>273997</v>
          </cell>
          <cell r="P2786"/>
          <cell r="Q2786" t="str">
            <v>EST CADEIRA NIKOLAS (FREIJO NATURAL) COURO SOFT CARAMELO</v>
          </cell>
          <cell r="R2786"/>
          <cell r="S2786"/>
          <cell r="T2786">
            <v>0.6</v>
          </cell>
          <cell r="U2786">
            <v>0.52</v>
          </cell>
          <cell r="V2786">
            <v>0.83</v>
          </cell>
          <cell r="W2786">
            <v>0</v>
          </cell>
          <cell r="X2786" t="str">
            <v>EST CADEIRA NIKOLAS (FREIJO NATURAL) COURO SOFT CARAMELO - 0,6x0,52x0,83H</v>
          </cell>
          <cell r="Y2786">
            <v>0</v>
          </cell>
          <cell r="Z2786">
            <v>0</v>
          </cell>
          <cell r="AA2786">
            <v>0</v>
          </cell>
          <cell r="AB2786"/>
        </row>
        <row r="2787">
          <cell r="C2787">
            <v>0</v>
          </cell>
          <cell r="D2787">
            <v>0</v>
          </cell>
          <cell r="E2787">
            <v>0</v>
          </cell>
          <cell r="F2787">
            <v>0</v>
          </cell>
          <cell r="H2787">
            <v>3</v>
          </cell>
          <cell r="O2787">
            <v>274033</v>
          </cell>
          <cell r="P2787"/>
          <cell r="Q2787" t="str">
            <v>EST POLTRONA MOLECA (MAD A COR 02) TC ZEFIRO 158 VERDE</v>
          </cell>
          <cell r="R2787"/>
          <cell r="S2787"/>
          <cell r="T2787">
            <v>1.06</v>
          </cell>
          <cell r="U2787">
            <v>0.9</v>
          </cell>
          <cell r="V2787">
            <v>0.8</v>
          </cell>
          <cell r="W2787">
            <v>0</v>
          </cell>
          <cell r="X2787" t="str">
            <v>EST POLTRONA MOLECA (MAD A COR 02) TC ZEFIRO 158 VERDE - 1,06x0,9x0,8H</v>
          </cell>
          <cell r="Y2787">
            <v>0</v>
          </cell>
          <cell r="Z2787">
            <v>0</v>
          </cell>
          <cell r="AA2787">
            <v>0</v>
          </cell>
          <cell r="AB2787"/>
        </row>
        <row r="2788">
          <cell r="C2788">
            <v>0</v>
          </cell>
          <cell r="D2788">
            <v>0</v>
          </cell>
          <cell r="E2788">
            <v>0</v>
          </cell>
          <cell r="F2788">
            <v>0</v>
          </cell>
          <cell r="H2788">
            <v>3</v>
          </cell>
          <cell r="O2788">
            <v>274034</v>
          </cell>
          <cell r="P2788"/>
          <cell r="Q2788" t="str">
            <v>EST BANQUETA MOLECA (MAD A COR 02) TC ZEFIRO 158 VERDE</v>
          </cell>
          <cell r="R2788"/>
          <cell r="S2788"/>
          <cell r="T2788">
            <v>0.81</v>
          </cell>
          <cell r="U2788">
            <v>0.52</v>
          </cell>
          <cell r="V2788">
            <v>0.43</v>
          </cell>
          <cell r="W2788">
            <v>0</v>
          </cell>
          <cell r="X2788" t="str">
            <v>EST BANQUETA MOLECA (MAD A COR 02) TC ZEFIRO 158 VERDE - 0,81x0,52x0,43H</v>
          </cell>
          <cell r="Y2788">
            <v>0</v>
          </cell>
          <cell r="Z2788">
            <v>0</v>
          </cell>
          <cell r="AA2788">
            <v>0</v>
          </cell>
          <cell r="AB2788"/>
        </row>
        <row r="2789">
          <cell r="C2789">
            <v>0</v>
          </cell>
          <cell r="D2789">
            <v>0</v>
          </cell>
          <cell r="E2789">
            <v>0</v>
          </cell>
          <cell r="F2789">
            <v>0</v>
          </cell>
          <cell r="H2789">
            <v>3</v>
          </cell>
          <cell r="O2789">
            <v>274143</v>
          </cell>
          <cell r="P2789"/>
          <cell r="Q2789" t="str">
            <v>EST BANQUETA BAR OMAR C/B H75 (MAD B LOURO ESP VILLA UMBER)</v>
          </cell>
          <cell r="R2789"/>
          <cell r="S2789"/>
          <cell r="T2789">
            <v>0.54</v>
          </cell>
          <cell r="U2789">
            <v>0.56000000000000005</v>
          </cell>
          <cell r="V2789">
            <v>1.06</v>
          </cell>
          <cell r="W2789">
            <v>0</v>
          </cell>
          <cell r="X2789" t="str">
            <v>EST BANQUETA BAR OMAR C/B H75 (MAD B LOURO ESP VILLA UMBER) - 0,54x0,56x1,06H</v>
          </cell>
          <cell r="Y2789">
            <v>0</v>
          </cell>
          <cell r="Z2789">
            <v>0</v>
          </cell>
          <cell r="AA2789">
            <v>0</v>
          </cell>
          <cell r="AB2789"/>
        </row>
        <row r="2790">
          <cell r="C2790">
            <v>0</v>
          </cell>
          <cell r="D2790">
            <v>0</v>
          </cell>
          <cell r="E2790">
            <v>0</v>
          </cell>
          <cell r="F2790">
            <v>0</v>
          </cell>
          <cell r="H2790">
            <v>0</v>
          </cell>
          <cell r="O2790">
            <v>274146</v>
          </cell>
          <cell r="P2790"/>
          <cell r="Q2790" t="str">
            <v>EST POLTRONA SAND (MAD B FREIJO NT) TC ZEFIRO 158 VERDE</v>
          </cell>
          <cell r="R2790"/>
          <cell r="S2790"/>
          <cell r="T2790">
            <v>0.8</v>
          </cell>
          <cell r="U2790">
            <v>0.86</v>
          </cell>
          <cell r="V2790">
            <v>0.76</v>
          </cell>
          <cell r="W2790">
            <v>0</v>
          </cell>
          <cell r="X2790" t="str">
            <v>EST POLTRONA SAND (MAD B FREIJO NT) TC ZEFIRO 158 VERDE - 0,8x0,86x0,76H</v>
          </cell>
          <cell r="Y2790">
            <v>0</v>
          </cell>
          <cell r="Z2790">
            <v>0</v>
          </cell>
          <cell r="AA2790">
            <v>0</v>
          </cell>
          <cell r="AB2790"/>
        </row>
        <row r="2791">
          <cell r="C2791">
            <v>0</v>
          </cell>
          <cell r="D2791">
            <v>0</v>
          </cell>
          <cell r="E2791">
            <v>0</v>
          </cell>
          <cell r="F2791">
            <v>0</v>
          </cell>
          <cell r="H2791">
            <v>3</v>
          </cell>
          <cell r="O2791">
            <v>274148</v>
          </cell>
          <cell r="P2791"/>
          <cell r="Q2791" t="str">
            <v>EST BANQUETA BAR ORQUIDEA H75 (MAD B FREIJO NT) (PIG VERDE)</v>
          </cell>
          <cell r="R2791"/>
          <cell r="S2791"/>
          <cell r="T2791">
            <v>0.48</v>
          </cell>
          <cell r="U2791">
            <v>0.5</v>
          </cell>
          <cell r="V2791">
            <v>0.98</v>
          </cell>
          <cell r="W2791">
            <v>0</v>
          </cell>
          <cell r="X2791" t="str">
            <v>EST BANQUETA BAR ORQUIDEA H75 (MAD B FREIJO NT) (PIG VERDE) - 0,48x0,5x0,98H</v>
          </cell>
          <cell r="Y2791">
            <v>0</v>
          </cell>
          <cell r="Z2791">
            <v>0</v>
          </cell>
          <cell r="AA2791">
            <v>0</v>
          </cell>
          <cell r="AB2791"/>
        </row>
        <row r="2792">
          <cell r="C2792">
            <v>0</v>
          </cell>
          <cell r="D2792">
            <v>0</v>
          </cell>
          <cell r="E2792">
            <v>0</v>
          </cell>
          <cell r="F2792">
            <v>0</v>
          </cell>
          <cell r="H2792">
            <v>8</v>
          </cell>
          <cell r="O2792">
            <v>274149</v>
          </cell>
          <cell r="P2792"/>
          <cell r="Q2792" t="str">
            <v>EST CADEIRA ORQUIDEA (MAD B FREIJO NT) COURO FIRENZE 400</v>
          </cell>
          <cell r="R2792"/>
          <cell r="S2792"/>
          <cell r="T2792">
            <v>0.47</v>
          </cell>
          <cell r="U2792">
            <v>0.55000000000000004</v>
          </cell>
          <cell r="V2792">
            <v>0.79</v>
          </cell>
          <cell r="W2792">
            <v>0</v>
          </cell>
          <cell r="X2792" t="str">
            <v>EST CADEIRA ORQUIDEA (MAD B FREIJO NT) COURO FIRENZE 400 - 0,47x0,55x0,79H</v>
          </cell>
          <cell r="Y2792">
            <v>0</v>
          </cell>
          <cell r="Z2792">
            <v>0</v>
          </cell>
          <cell r="AA2792">
            <v>0</v>
          </cell>
          <cell r="AB2792"/>
        </row>
        <row r="2793">
          <cell r="C2793">
            <v>0</v>
          </cell>
          <cell r="D2793">
            <v>0</v>
          </cell>
          <cell r="E2793">
            <v>0</v>
          </cell>
          <cell r="F2793">
            <v>0</v>
          </cell>
          <cell r="H2793">
            <v>3</v>
          </cell>
          <cell r="O2793">
            <v>274150</v>
          </cell>
          <cell r="P2793"/>
          <cell r="Q2793" t="str">
            <v>EST CADEIRA ORQUIDEA (MAD B FREIJO NT) COURO PIG VERDE</v>
          </cell>
          <cell r="R2793"/>
          <cell r="S2793"/>
          <cell r="T2793">
            <v>0.47</v>
          </cell>
          <cell r="U2793">
            <v>0.55000000000000004</v>
          </cell>
          <cell r="V2793">
            <v>0.79</v>
          </cell>
          <cell r="W2793">
            <v>0</v>
          </cell>
          <cell r="X2793" t="str">
            <v>EST CADEIRA ORQUIDEA (MAD B FREIJO NT) COURO PIG VERDE - 0,47x0,55x0,79H</v>
          </cell>
          <cell r="Y2793">
            <v>0</v>
          </cell>
          <cell r="Z2793">
            <v>0</v>
          </cell>
          <cell r="AA2793">
            <v>0</v>
          </cell>
          <cell r="AB2793"/>
        </row>
        <row r="2794">
          <cell r="C2794">
            <v>0</v>
          </cell>
          <cell r="D2794">
            <v>0</v>
          </cell>
          <cell r="E2794">
            <v>0</v>
          </cell>
          <cell r="F2794">
            <v>0</v>
          </cell>
          <cell r="H2794">
            <v>4</v>
          </cell>
          <cell r="O2794">
            <v>274181</v>
          </cell>
          <cell r="P2794"/>
          <cell r="Q2794" t="str">
            <v>EST CADEIRA OMAR C/B BXO (MAD B LOURO ESP) COURO PIG VERDE</v>
          </cell>
          <cell r="R2794"/>
          <cell r="S2794"/>
          <cell r="T2794">
            <v>0.55000000000000004</v>
          </cell>
          <cell r="U2794">
            <v>0.55000000000000004</v>
          </cell>
          <cell r="V2794">
            <v>0.83</v>
          </cell>
          <cell r="W2794">
            <v>0</v>
          </cell>
          <cell r="X2794" t="str">
            <v>EST CADEIRA OMAR C/B BXO (MAD B LOURO ESP) COURO PIG VERDE - 0,55x0,55x0,83H</v>
          </cell>
          <cell r="Y2794">
            <v>0</v>
          </cell>
          <cell r="Z2794">
            <v>0</v>
          </cell>
          <cell r="AA2794">
            <v>0</v>
          </cell>
          <cell r="AB2794"/>
        </row>
        <row r="2795">
          <cell r="C2795">
            <v>0</v>
          </cell>
          <cell r="D2795">
            <v>0</v>
          </cell>
          <cell r="E2795">
            <v>0</v>
          </cell>
          <cell r="F2795">
            <v>0</v>
          </cell>
          <cell r="H2795">
            <v>0</v>
          </cell>
          <cell r="O2795">
            <v>274221</v>
          </cell>
          <cell r="P2795"/>
          <cell r="Q2795" t="str">
            <v>EST BANCO OTTO (PRETO FOSCO) (FREIJO) TC ZEFIRO 158 VERDE</v>
          </cell>
          <cell r="R2795"/>
          <cell r="S2795"/>
          <cell r="T2795">
            <v>1.81</v>
          </cell>
          <cell r="U2795">
            <v>0.62</v>
          </cell>
          <cell r="V2795">
            <v>0.35</v>
          </cell>
          <cell r="W2795">
            <v>0</v>
          </cell>
          <cell r="X2795" t="str">
            <v>EST BANCO OTTO (PRETO FOSCO) (FREIJO) TC ZEFIRO 158 VERDE - 1,81x0,62x0,35H</v>
          </cell>
          <cell r="Y2795">
            <v>0</v>
          </cell>
          <cell r="Z2795">
            <v>0.5</v>
          </cell>
          <cell r="AA2795">
            <v>0</v>
          </cell>
          <cell r="AB2795"/>
        </row>
        <row r="2796">
          <cell r="C2796">
            <v>0</v>
          </cell>
          <cell r="D2796">
            <v>0</v>
          </cell>
          <cell r="E2796">
            <v>0</v>
          </cell>
          <cell r="F2796">
            <v>0</v>
          </cell>
          <cell r="H2796">
            <v>4</v>
          </cell>
          <cell r="O2796">
            <v>274261</v>
          </cell>
          <cell r="P2796"/>
          <cell r="Q2796" t="str">
            <v>EST BANCO BANQUINHO (FREIJO NATURAL)</v>
          </cell>
          <cell r="R2796"/>
          <cell r="S2796"/>
          <cell r="T2796">
            <v>0.63</v>
          </cell>
          <cell r="U2796">
            <v>0.48</v>
          </cell>
          <cell r="V2796">
            <v>0.44</v>
          </cell>
          <cell r="W2796">
            <v>0</v>
          </cell>
          <cell r="X2796" t="str">
            <v>EST BANCO BANQUINHO (FREIJO NATURAL) - 0,63x0,48x0,44H</v>
          </cell>
          <cell r="Y2796">
            <v>0</v>
          </cell>
          <cell r="Z2796">
            <v>0</v>
          </cell>
          <cell r="AA2796">
            <v>0</v>
          </cell>
          <cell r="AB2796"/>
        </row>
        <row r="2797">
          <cell r="C2797">
            <v>0</v>
          </cell>
          <cell r="D2797">
            <v>0</v>
          </cell>
          <cell r="E2797">
            <v>0</v>
          </cell>
          <cell r="F2797">
            <v>0</v>
          </cell>
          <cell r="H2797">
            <v>4</v>
          </cell>
          <cell r="O2797">
            <v>274338</v>
          </cell>
          <cell r="P2797"/>
          <cell r="Q2797" t="str">
            <v>EST ALMOFADA DECORATIVA SO FAR (C/ABAS) TC GALLIA NATURAL</v>
          </cell>
          <cell r="R2797"/>
          <cell r="S2797"/>
          <cell r="T2797">
            <v>0.65</v>
          </cell>
          <cell r="U2797">
            <v>0.65</v>
          </cell>
          <cell r="V2797">
            <v>0</v>
          </cell>
          <cell r="W2797">
            <v>0</v>
          </cell>
          <cell r="X2797" t="str">
            <v>EST ALMOFADA DECORATIVA SO FAR (C/ABAS) TC GALLIA NATURAL - 0,65x0,65x0H</v>
          </cell>
          <cell r="Y2797">
            <v>0</v>
          </cell>
          <cell r="Z2797">
            <v>0.5</v>
          </cell>
          <cell r="AA2797">
            <v>0</v>
          </cell>
          <cell r="AB2797"/>
        </row>
        <row r="2798">
          <cell r="C2798">
            <v>0</v>
          </cell>
          <cell r="D2798">
            <v>0</v>
          </cell>
          <cell r="E2798">
            <v>0</v>
          </cell>
          <cell r="F2798">
            <v>0</v>
          </cell>
          <cell r="H2798">
            <v>6</v>
          </cell>
          <cell r="O2798">
            <v>274411</v>
          </cell>
          <cell r="P2798"/>
          <cell r="Q2798" t="str">
            <v>EST CADEIRA GB01 TELA (QUADRIC NT) (JEQ EBANO)</v>
          </cell>
          <cell r="R2798"/>
          <cell r="S2798"/>
          <cell r="T2798">
            <v>0.45</v>
          </cell>
          <cell r="U2798">
            <v>0.48</v>
          </cell>
          <cell r="V2798">
            <v>0.85</v>
          </cell>
          <cell r="W2798">
            <v>0</v>
          </cell>
          <cell r="X2798" t="str">
            <v>EST CADEIRA GB01 TELA (QUADRIC NT) (JEQ EBANO) - 0,45x0,48x0,85H</v>
          </cell>
          <cell r="Y2798">
            <v>0</v>
          </cell>
          <cell r="Z2798">
            <v>0</v>
          </cell>
          <cell r="AA2798">
            <v>0</v>
          </cell>
          <cell r="AB2798"/>
        </row>
        <row r="2799">
          <cell r="C2799">
            <v>0</v>
          </cell>
          <cell r="D2799">
            <v>0</v>
          </cell>
          <cell r="E2799">
            <v>0</v>
          </cell>
          <cell r="F2799">
            <v>0</v>
          </cell>
          <cell r="H2799">
            <v>7</v>
          </cell>
          <cell r="O2799">
            <v>274589</v>
          </cell>
          <cell r="P2799"/>
          <cell r="Q2799" t="str">
            <v>EST CADEIRA GB01 MISTA (IMBUIA) (QUADRIC NT) TC ZEFIRO 158</v>
          </cell>
          <cell r="R2799"/>
          <cell r="S2799"/>
          <cell r="T2799">
            <v>0.45</v>
          </cell>
          <cell r="U2799">
            <v>0.48</v>
          </cell>
          <cell r="V2799">
            <v>0.85</v>
          </cell>
          <cell r="W2799">
            <v>0</v>
          </cell>
          <cell r="X2799" t="str">
            <v>EST CADEIRA GB01 MISTA (IMBUIA) (QUADRIC NT) TC ZEFIRO 158 - 0,45x0,48x0,85H</v>
          </cell>
          <cell r="Y2799">
            <v>0</v>
          </cell>
          <cell r="Z2799">
            <v>0.5</v>
          </cell>
          <cell r="AA2799">
            <v>0</v>
          </cell>
          <cell r="AB2799"/>
        </row>
        <row r="2800">
          <cell r="C2800">
            <v>0</v>
          </cell>
          <cell r="D2800">
            <v>0</v>
          </cell>
          <cell r="E2800">
            <v>0</v>
          </cell>
          <cell r="F2800">
            <v>0</v>
          </cell>
          <cell r="H2800">
            <v>8</v>
          </cell>
          <cell r="O2800">
            <v>274590</v>
          </cell>
          <cell r="P2800"/>
          <cell r="Q2800" t="str">
            <v>EST CADEIRA GB01 MISTA (IMBUIA) (QUADRIC NT) TC GRIGGI CRU</v>
          </cell>
          <cell r="R2800"/>
          <cell r="S2800"/>
          <cell r="T2800">
            <v>0.45</v>
          </cell>
          <cell r="U2800">
            <v>0.48</v>
          </cell>
          <cell r="V2800">
            <v>0.85</v>
          </cell>
          <cell r="W2800">
            <v>0</v>
          </cell>
          <cell r="X2800" t="str">
            <v>EST CADEIRA GB01 MISTA (IMBUIA) (QUADRIC NT) TC GRIGGI CRU - 0,45x0,48x0,85H</v>
          </cell>
          <cell r="Y2800">
            <v>0</v>
          </cell>
          <cell r="Z2800">
            <v>0</v>
          </cell>
          <cell r="AA2800">
            <v>0</v>
          </cell>
          <cell r="AB2800"/>
        </row>
        <row r="2801">
          <cell r="C2801">
            <v>0</v>
          </cell>
          <cell r="D2801">
            <v>0</v>
          </cell>
          <cell r="E2801">
            <v>0</v>
          </cell>
          <cell r="F2801">
            <v>0</v>
          </cell>
          <cell r="H2801">
            <v>0</v>
          </cell>
          <cell r="O2801">
            <v>274601</v>
          </cell>
          <cell r="P2801"/>
          <cell r="Q2801" t="str">
            <v>EST POLTRONA CEGONHA (PRETO) (TAUARI NT) SOFT CARAMELO</v>
          </cell>
          <cell r="R2801"/>
          <cell r="S2801"/>
          <cell r="T2801">
            <v>0.71</v>
          </cell>
          <cell r="U2801">
            <v>0.88</v>
          </cell>
          <cell r="V2801">
            <v>0.94</v>
          </cell>
          <cell r="W2801">
            <v>0</v>
          </cell>
          <cell r="X2801" t="str">
            <v>EST POLTRONA CEGONHA (PRETO) (TAUARI NT) SOFT CARAMELO - 0,71x0,88x0,94H</v>
          </cell>
          <cell r="Y2801">
            <v>0</v>
          </cell>
          <cell r="Z2801">
            <v>0.5</v>
          </cell>
          <cell r="AA2801">
            <v>0</v>
          </cell>
          <cell r="AB2801"/>
        </row>
        <row r="2802">
          <cell r="C2802">
            <v>0</v>
          </cell>
          <cell r="D2802">
            <v>0</v>
          </cell>
          <cell r="E2802">
            <v>0</v>
          </cell>
          <cell r="F2802">
            <v>0</v>
          </cell>
          <cell r="H2802">
            <v>2</v>
          </cell>
          <cell r="O2802">
            <v>274849</v>
          </cell>
          <cell r="P2802"/>
          <cell r="Q2802" t="str">
            <v>EST BANCO MAGRINI (IMBUIA STAIN)</v>
          </cell>
          <cell r="R2802"/>
          <cell r="S2802"/>
          <cell r="T2802">
            <v>0.42</v>
          </cell>
          <cell r="U2802">
            <v>0.42</v>
          </cell>
          <cell r="V2802">
            <v>0.37</v>
          </cell>
          <cell r="W2802">
            <v>0</v>
          </cell>
          <cell r="X2802" t="str">
            <v>EST BANCO MAGRINI (IMBUIA STAIN) - 0,42x0,42x0,37H</v>
          </cell>
          <cell r="Y2802">
            <v>0</v>
          </cell>
          <cell r="Z2802">
            <v>0.5</v>
          </cell>
          <cell r="AA2802">
            <v>0</v>
          </cell>
          <cell r="AB2802"/>
        </row>
        <row r="2803">
          <cell r="C2803">
            <v>0</v>
          </cell>
          <cell r="D2803">
            <v>0</v>
          </cell>
          <cell r="E2803">
            <v>0</v>
          </cell>
          <cell r="F2803">
            <v>0</v>
          </cell>
          <cell r="H2803">
            <v>7</v>
          </cell>
          <cell r="O2803">
            <v>274867</v>
          </cell>
          <cell r="P2803"/>
          <cell r="Q2803" t="str">
            <v>EST POLTRONA KATITA (IMBUIA STAIN) TC TARENTO 12</v>
          </cell>
          <cell r="R2803"/>
          <cell r="S2803"/>
          <cell r="T2803">
            <v>0.68</v>
          </cell>
          <cell r="U2803">
            <v>0.63</v>
          </cell>
          <cell r="V2803">
            <v>0.77</v>
          </cell>
          <cell r="W2803">
            <v>0</v>
          </cell>
          <cell r="X2803" t="str">
            <v>EST POLTRONA KATITA (IMBUIA STAIN) TC TARENTO 12 - 0,68x0,63x0,77H</v>
          </cell>
          <cell r="Y2803">
            <v>0</v>
          </cell>
          <cell r="Z2803">
            <v>0</v>
          </cell>
          <cell r="AA2803">
            <v>0</v>
          </cell>
          <cell r="AB2803"/>
        </row>
        <row r="2804">
          <cell r="C2804">
            <v>0</v>
          </cell>
          <cell r="D2804">
            <v>0</v>
          </cell>
          <cell r="E2804">
            <v>0</v>
          </cell>
          <cell r="F2804">
            <v>0</v>
          </cell>
          <cell r="H2804">
            <v>2</v>
          </cell>
          <cell r="O2804">
            <v>274869</v>
          </cell>
          <cell r="P2804"/>
          <cell r="Q2804" t="str">
            <v>EST POLTRONA DRUMMOND (MAD A COR 01) TC VILLA OLMO COR OCRE</v>
          </cell>
          <cell r="R2804"/>
          <cell r="S2804"/>
          <cell r="T2804">
            <v>0.8</v>
          </cell>
          <cell r="U2804">
            <v>0.78</v>
          </cell>
          <cell r="V2804">
            <v>0.76</v>
          </cell>
          <cell r="W2804">
            <v>0</v>
          </cell>
          <cell r="X2804" t="str">
            <v>EST POLTRONA DRUMMOND (MAD A COR 01) TC VILLA OLMO COR OCRE - 0,8x0,78x0,76H</v>
          </cell>
          <cell r="Y2804">
            <v>0</v>
          </cell>
          <cell r="Z2804">
            <v>0</v>
          </cell>
          <cell r="AA2804">
            <v>0</v>
          </cell>
          <cell r="AB2804"/>
        </row>
        <row r="2805">
          <cell r="C2805">
            <v>0</v>
          </cell>
          <cell r="D2805">
            <v>0</v>
          </cell>
          <cell r="E2805">
            <v>0</v>
          </cell>
          <cell r="F2805">
            <v>0</v>
          </cell>
          <cell r="H2805">
            <v>2</v>
          </cell>
          <cell r="O2805">
            <v>274966</v>
          </cell>
          <cell r="P2805"/>
          <cell r="Q2805" t="str">
            <v>EST CADEIRA CANTU ALTA (MAD B COR 03) COURO NOBUCK 10</v>
          </cell>
          <cell r="R2805"/>
          <cell r="S2805"/>
          <cell r="T2805">
            <v>0.5</v>
          </cell>
          <cell r="U2805">
            <v>0.55000000000000004</v>
          </cell>
          <cell r="V2805">
            <v>1.01</v>
          </cell>
          <cell r="W2805">
            <v>0</v>
          </cell>
          <cell r="X2805" t="str">
            <v>EST CADEIRA CANTU ALTA (MAD B COR 03) COURO NOBUCK 10 - 0,5x0,55x1,01H</v>
          </cell>
          <cell r="Y2805">
            <v>0</v>
          </cell>
          <cell r="Z2805">
            <v>0</v>
          </cell>
          <cell r="AA2805">
            <v>0</v>
          </cell>
          <cell r="AB2805"/>
        </row>
        <row r="2806">
          <cell r="C2806">
            <v>0</v>
          </cell>
          <cell r="D2806">
            <v>0</v>
          </cell>
          <cell r="E2806">
            <v>0</v>
          </cell>
          <cell r="F2806">
            <v>0</v>
          </cell>
          <cell r="H2806">
            <v>3</v>
          </cell>
          <cell r="O2806">
            <v>275482</v>
          </cell>
          <cell r="P2806"/>
          <cell r="Q2806" t="str">
            <v>EST CADEIRA GB F61 (C/B) (ESTAR) TC EL NOVE 4 GREY</v>
          </cell>
          <cell r="R2806"/>
          <cell r="S2806"/>
          <cell r="T2806">
            <v>0.59</v>
          </cell>
          <cell r="U2806">
            <v>0.54</v>
          </cell>
          <cell r="V2806">
            <v>0.82</v>
          </cell>
          <cell r="W2806">
            <v>0</v>
          </cell>
          <cell r="X2806" t="str">
            <v>EST CADEIRA GB F61 (C/B) (ESTAR) TC EL NOVE 4 GREY - 0,59x0,54x0,82H</v>
          </cell>
          <cell r="Y2806">
            <v>0</v>
          </cell>
          <cell r="Z2806">
            <v>0</v>
          </cell>
          <cell r="AA2806">
            <v>0</v>
          </cell>
          <cell r="AB2806"/>
        </row>
        <row r="2807">
          <cell r="C2807">
            <v>0</v>
          </cell>
          <cell r="D2807">
            <v>0</v>
          </cell>
          <cell r="E2807">
            <v>0</v>
          </cell>
          <cell r="F2807">
            <v>0</v>
          </cell>
          <cell r="H2807">
            <v>6</v>
          </cell>
          <cell r="O2807">
            <v>275484</v>
          </cell>
          <cell r="P2807"/>
          <cell r="Q2807" t="str">
            <v>EST CADEIRA GB F61 (C/B) (JANTAR) TC VILLA OLMO NATURAL</v>
          </cell>
          <cell r="R2807"/>
          <cell r="S2807"/>
          <cell r="T2807">
            <v>0.59</v>
          </cell>
          <cell r="U2807">
            <v>0.54</v>
          </cell>
          <cell r="V2807">
            <v>0.85</v>
          </cell>
          <cell r="W2807">
            <v>0</v>
          </cell>
          <cell r="X2807" t="str">
            <v>EST CADEIRA GB F61 (C/B) (JANTAR) TC VILLA OLMO NATURAL - 0,59x0,54x0,85H</v>
          </cell>
          <cell r="Y2807">
            <v>0</v>
          </cell>
          <cell r="Z2807">
            <v>0</v>
          </cell>
          <cell r="AA2807">
            <v>0</v>
          </cell>
          <cell r="AB2807"/>
        </row>
        <row r="2808">
          <cell r="C2808">
            <v>0</v>
          </cell>
          <cell r="D2808">
            <v>0</v>
          </cell>
          <cell r="E2808">
            <v>0</v>
          </cell>
          <cell r="F2808">
            <v>0</v>
          </cell>
          <cell r="H2808">
            <v>0</v>
          </cell>
          <cell r="O2808">
            <v>275631</v>
          </cell>
          <cell r="P2808"/>
          <cell r="Q2808" t="str">
            <v>EST MESA JANTAR U (CIRCULAR) (MADEIRA CABREUVA)</v>
          </cell>
          <cell r="R2808"/>
          <cell r="S2808"/>
          <cell r="T2808">
            <v>1.3</v>
          </cell>
          <cell r="U2808">
            <v>0</v>
          </cell>
          <cell r="V2808">
            <v>0.74</v>
          </cell>
          <cell r="W2808">
            <v>1.3</v>
          </cell>
          <cell r="X2808" t="str">
            <v>EST MESA JANTAR U (CIRCULAR) (MADEIRA CABREUVA) - Ø1,3x0,74H</v>
          </cell>
          <cell r="Y2808">
            <v>0</v>
          </cell>
          <cell r="Z2808">
            <v>0</v>
          </cell>
          <cell r="AA2808">
            <v>0</v>
          </cell>
          <cell r="AB2808"/>
        </row>
        <row r="2809">
          <cell r="C2809">
            <v>0</v>
          </cell>
          <cell r="D2809">
            <v>0</v>
          </cell>
          <cell r="E2809">
            <v>0</v>
          </cell>
          <cell r="F2809">
            <v>0</v>
          </cell>
          <cell r="H2809">
            <v>2</v>
          </cell>
          <cell r="O2809">
            <v>276170</v>
          </cell>
          <cell r="P2809"/>
          <cell r="Q2809" t="str">
            <v>EST MESA LATERAL DAMA (FREIJO NATURAL)</v>
          </cell>
          <cell r="R2809"/>
          <cell r="S2809"/>
          <cell r="T2809">
            <v>0.7</v>
          </cell>
          <cell r="U2809">
            <v>0.35</v>
          </cell>
          <cell r="V2809">
            <v>0.45</v>
          </cell>
          <cell r="W2809">
            <v>0</v>
          </cell>
          <cell r="X2809" t="str">
            <v>EST MESA LATERAL DAMA (FREIJO NATURAL) - 0,7x0,35x0,45H</v>
          </cell>
          <cell r="Y2809">
            <v>0</v>
          </cell>
          <cell r="Z2809">
            <v>0</v>
          </cell>
          <cell r="AA2809">
            <v>0</v>
          </cell>
          <cell r="AB2809"/>
        </row>
        <row r="2810">
          <cell r="C2810">
            <v>0</v>
          </cell>
          <cell r="D2810">
            <v>0</v>
          </cell>
          <cell r="E2810">
            <v>0</v>
          </cell>
          <cell r="F2810">
            <v>0</v>
          </cell>
          <cell r="H2810">
            <v>2</v>
          </cell>
          <cell r="O2810">
            <v>276171</v>
          </cell>
          <cell r="P2810"/>
          <cell r="Q2810" t="str">
            <v>EST MESA LATERAL DAMA (FREIJO NATURAL)</v>
          </cell>
          <cell r="R2810"/>
          <cell r="S2810"/>
          <cell r="T2810">
            <v>0.5</v>
          </cell>
          <cell r="U2810">
            <v>0.3</v>
          </cell>
          <cell r="V2810">
            <v>0.45</v>
          </cell>
          <cell r="W2810">
            <v>0</v>
          </cell>
          <cell r="X2810" t="str">
            <v>EST MESA LATERAL DAMA (FREIJO NATURAL) - 0,5x0,3x0,45H</v>
          </cell>
          <cell r="Y2810">
            <v>0</v>
          </cell>
          <cell r="Z2810">
            <v>0</v>
          </cell>
          <cell r="AA2810">
            <v>0</v>
          </cell>
          <cell r="AB2810"/>
        </row>
        <row r="2811">
          <cell r="C2811">
            <v>0</v>
          </cell>
          <cell r="D2811">
            <v>0</v>
          </cell>
          <cell r="E2811">
            <v>0</v>
          </cell>
          <cell r="F2811">
            <v>0</v>
          </cell>
          <cell r="H2811">
            <v>2</v>
          </cell>
          <cell r="O2811">
            <v>276172</v>
          </cell>
          <cell r="P2811"/>
          <cell r="Q2811" t="str">
            <v>EST MESA LATERAL DAMA (FREIJO NATURAL)</v>
          </cell>
          <cell r="R2811"/>
          <cell r="S2811"/>
          <cell r="T2811">
            <v>0.4</v>
          </cell>
          <cell r="U2811">
            <v>0.4</v>
          </cell>
          <cell r="V2811">
            <v>0.45</v>
          </cell>
          <cell r="W2811">
            <v>0</v>
          </cell>
          <cell r="X2811" t="str">
            <v>EST MESA LATERAL DAMA (FREIJO NATURAL) - 0,4x0,4x0,45H</v>
          </cell>
          <cell r="Y2811">
            <v>0</v>
          </cell>
          <cell r="Z2811">
            <v>0</v>
          </cell>
          <cell r="AA2811">
            <v>0</v>
          </cell>
          <cell r="AB2811"/>
        </row>
        <row r="2812">
          <cell r="C2812">
            <v>0</v>
          </cell>
          <cell r="D2812">
            <v>0</v>
          </cell>
          <cell r="E2812">
            <v>0</v>
          </cell>
          <cell r="F2812">
            <v>0</v>
          </cell>
          <cell r="H2812">
            <v>1</v>
          </cell>
          <cell r="O2812">
            <v>276233</v>
          </cell>
          <cell r="P2812"/>
          <cell r="Q2812" t="str">
            <v>EST POLTRONA XIBO (FREIJO NAT) CABECEIRA CREME/SOLETA PRETA</v>
          </cell>
          <cell r="R2812"/>
          <cell r="S2812"/>
          <cell r="T2812">
            <v>0.8</v>
          </cell>
          <cell r="U2812">
            <v>0.8</v>
          </cell>
          <cell r="V2812">
            <v>1.1000000000000001</v>
          </cell>
          <cell r="W2812">
            <v>0</v>
          </cell>
          <cell r="X2812" t="str">
            <v>EST POLTRONA XIBO (FREIJO NAT) CABECEIRA CREME/SOLETA PRETA - 0,8x0,8x1,1H</v>
          </cell>
          <cell r="Y2812">
            <v>0</v>
          </cell>
          <cell r="Z2812">
            <v>0</v>
          </cell>
          <cell r="AA2812">
            <v>0</v>
          </cell>
          <cell r="AB2812"/>
        </row>
        <row r="2813">
          <cell r="C2813">
            <v>0</v>
          </cell>
          <cell r="D2813">
            <v>0</v>
          </cell>
          <cell r="E2813">
            <v>0</v>
          </cell>
          <cell r="F2813">
            <v>0</v>
          </cell>
          <cell r="H2813">
            <v>4</v>
          </cell>
          <cell r="O2813">
            <v>276336</v>
          </cell>
          <cell r="P2813"/>
          <cell r="Q2813" t="str">
            <v>EST CADEIRA JOATINGA (TECA NATURAL)</v>
          </cell>
          <cell r="R2813"/>
          <cell r="S2813"/>
          <cell r="T2813">
            <v>0.56000000000000005</v>
          </cell>
          <cell r="U2813">
            <v>0.59</v>
          </cell>
          <cell r="V2813">
            <v>0.75</v>
          </cell>
          <cell r="W2813">
            <v>0</v>
          </cell>
          <cell r="X2813" t="str">
            <v>EST CADEIRA JOATINGA (TECA NATURAL) - 0,56x0,59x0,75H</v>
          </cell>
          <cell r="Y2813">
            <v>0</v>
          </cell>
          <cell r="Z2813">
            <v>0</v>
          </cell>
          <cell r="AA2813">
            <v>0</v>
          </cell>
          <cell r="AB2813"/>
        </row>
        <row r="2814">
          <cell r="C2814">
            <v>0</v>
          </cell>
          <cell r="D2814">
            <v>0</v>
          </cell>
          <cell r="E2814">
            <v>0</v>
          </cell>
          <cell r="F2814">
            <v>0</v>
          </cell>
          <cell r="H2814">
            <v>2</v>
          </cell>
          <cell r="O2814">
            <v>276339</v>
          </cell>
          <cell r="P2814"/>
          <cell r="Q2814" t="str">
            <v>EST CADEIRA JOATINGA C/BRACO (TECA NATURAL)</v>
          </cell>
          <cell r="R2814"/>
          <cell r="S2814"/>
          <cell r="T2814">
            <v>0.62</v>
          </cell>
          <cell r="U2814">
            <v>0.64</v>
          </cell>
          <cell r="V2814">
            <v>0.75</v>
          </cell>
          <cell r="W2814">
            <v>0</v>
          </cell>
          <cell r="X2814" t="str">
            <v>EST CADEIRA JOATINGA C/BRACO (TECA NATURAL) - 0,62x0,64x0,75H</v>
          </cell>
          <cell r="Y2814">
            <v>0</v>
          </cell>
          <cell r="Z2814">
            <v>0</v>
          </cell>
          <cell r="AA2814">
            <v>0</v>
          </cell>
          <cell r="AB2814"/>
        </row>
        <row r="2815">
          <cell r="C2815">
            <v>0</v>
          </cell>
          <cell r="D2815">
            <v>0</v>
          </cell>
          <cell r="E2815">
            <v>0</v>
          </cell>
          <cell r="F2815">
            <v>0</v>
          </cell>
          <cell r="H2815">
            <v>0</v>
          </cell>
          <cell r="O2815">
            <v>276378</v>
          </cell>
          <cell r="P2815"/>
          <cell r="Q2815" t="str">
            <v>EST CADEIRA OMAR C/B (MAD A CINAM NT) TC VELUDO ROSE</v>
          </cell>
          <cell r="R2815"/>
          <cell r="S2815"/>
          <cell r="T2815">
            <v>0.55000000000000004</v>
          </cell>
          <cell r="U2815">
            <v>0.55000000000000004</v>
          </cell>
          <cell r="V2815">
            <v>0.83</v>
          </cell>
          <cell r="W2815">
            <v>0</v>
          </cell>
          <cell r="X2815" t="str">
            <v>EST CADEIRA OMAR C/B (MAD A CINAM NT) TC VELUDO ROSE - 0,55x0,55x0,83H</v>
          </cell>
          <cell r="Y2815">
            <v>0</v>
          </cell>
          <cell r="Z2815">
            <v>0.5</v>
          </cell>
          <cell r="AA2815">
            <v>0</v>
          </cell>
          <cell r="AB2815"/>
        </row>
        <row r="2816">
          <cell r="C2816">
            <v>0</v>
          </cell>
          <cell r="D2816">
            <v>0</v>
          </cell>
          <cell r="E2816">
            <v>0</v>
          </cell>
          <cell r="F2816">
            <v>0</v>
          </cell>
          <cell r="H2816">
            <v>1</v>
          </cell>
          <cell r="O2816">
            <v>276458</v>
          </cell>
          <cell r="P2816"/>
          <cell r="Q2816" t="str">
            <v>EST LUMINARIA FISSURA (CUPULA LAVAVEL) (MADEIRA FREIJO)</v>
          </cell>
          <cell r="R2816"/>
          <cell r="S2816"/>
          <cell r="T2816">
            <v>0.36</v>
          </cell>
          <cell r="U2816">
            <v>0.1</v>
          </cell>
          <cell r="V2816">
            <v>0.28000000000000003</v>
          </cell>
          <cell r="W2816">
            <v>0</v>
          </cell>
          <cell r="X2816" t="str">
            <v>EST LUMINARIA FISSURA (CUPULA LAVAVEL) (MADEIRA FREIJO) - 0,36x0,1x0,28H</v>
          </cell>
          <cell r="Y2816">
            <v>0</v>
          </cell>
          <cell r="Z2816">
            <v>0.5</v>
          </cell>
          <cell r="AA2816">
            <v>0</v>
          </cell>
          <cell r="AB2816"/>
        </row>
        <row r="2817">
          <cell r="C2817">
            <v>0</v>
          </cell>
          <cell r="D2817">
            <v>0</v>
          </cell>
          <cell r="E2817">
            <v>0</v>
          </cell>
          <cell r="F2817">
            <v>0</v>
          </cell>
          <cell r="H2817">
            <v>0</v>
          </cell>
          <cell r="O2817">
            <v>276478</v>
          </cell>
          <cell r="P2817"/>
          <cell r="Q2817" t="str">
            <v>EST LUMINARIA FISSURA (CUPULA LAVAVEL) (MADEIRA PAU FERRO)</v>
          </cell>
          <cell r="R2817"/>
          <cell r="S2817"/>
          <cell r="T2817">
            <v>0.36</v>
          </cell>
          <cell r="U2817">
            <v>0.1</v>
          </cell>
          <cell r="V2817">
            <v>0.28000000000000003</v>
          </cell>
          <cell r="W2817">
            <v>0</v>
          </cell>
          <cell r="X2817" t="str">
            <v>EST LUMINARIA FISSURA (CUPULA LAVAVEL) (MADEIRA PAU FERRO) - 0,36x0,1x0,28H</v>
          </cell>
          <cell r="Y2817">
            <v>0</v>
          </cell>
          <cell r="Z2817">
            <v>0.5</v>
          </cell>
          <cell r="AA2817">
            <v>0</v>
          </cell>
          <cell r="AB2817"/>
        </row>
        <row r="2818">
          <cell r="C2818">
            <v>0</v>
          </cell>
          <cell r="D2818">
            <v>0</v>
          </cell>
          <cell r="E2818">
            <v>0</v>
          </cell>
          <cell r="F2818">
            <v>0</v>
          </cell>
          <cell r="H2818">
            <v>1</v>
          </cell>
          <cell r="O2818">
            <v>276611</v>
          </cell>
          <cell r="P2818"/>
          <cell r="Q2818" t="str">
            <v>EST CADEIRA BOA C/B (C/ROD) (SUCUPIRA) TC RUSTIC BLUE</v>
          </cell>
          <cell r="R2818"/>
          <cell r="S2818"/>
          <cell r="T2818">
            <v>0.65</v>
          </cell>
          <cell r="U2818">
            <v>0.65</v>
          </cell>
          <cell r="V2818">
            <v>0.8</v>
          </cell>
          <cell r="W2818">
            <v>0</v>
          </cell>
          <cell r="X2818" t="str">
            <v>EST CADEIRA BOA C/B (C/ROD) (SUCUPIRA) TC RUSTIC BLUE - 0,65x0,65x0,8H</v>
          </cell>
          <cell r="Y2818">
            <v>0</v>
          </cell>
          <cell r="Z2818">
            <v>0.5</v>
          </cell>
          <cell r="AA2818">
            <v>0</v>
          </cell>
          <cell r="AB2818"/>
        </row>
        <row r="2819">
          <cell r="C2819" t="e">
            <v>#N/A</v>
          </cell>
          <cell r="D2819" t="e">
            <v>#N/A</v>
          </cell>
          <cell r="E2819" t="e">
            <v>#N/A</v>
          </cell>
          <cell r="F2819" t="e">
            <v>#N/A</v>
          </cell>
          <cell r="H2819" t="e">
            <v>#N/A</v>
          </cell>
          <cell r="O2819">
            <v>276618</v>
          </cell>
          <cell r="P2819"/>
          <cell r="Q2819" t="e">
            <v>#N/A</v>
          </cell>
          <cell r="R2819"/>
          <cell r="S2819"/>
          <cell r="T2819" t="e">
            <v>#N/A</v>
          </cell>
          <cell r="U2819" t="e">
            <v>#N/A</v>
          </cell>
          <cell r="V2819" t="e">
            <v>#N/A</v>
          </cell>
          <cell r="W2819" t="e">
            <v>#N/A</v>
          </cell>
          <cell r="X2819" t="e">
            <v>#N/A</v>
          </cell>
          <cell r="Y2819">
            <v>0</v>
          </cell>
          <cell r="Z2819">
            <v>0</v>
          </cell>
          <cell r="AA2819">
            <v>0</v>
          </cell>
          <cell r="AB2819"/>
        </row>
        <row r="2820">
          <cell r="C2820">
            <v>0</v>
          </cell>
          <cell r="D2820">
            <v>0</v>
          </cell>
          <cell r="E2820">
            <v>0</v>
          </cell>
          <cell r="F2820">
            <v>0</v>
          </cell>
          <cell r="H2820">
            <v>0</v>
          </cell>
          <cell r="O2820">
            <v>276626</v>
          </cell>
          <cell r="P2820"/>
          <cell r="Q2820" t="str">
            <v>EST POLTRONA TETE (FREIJO NT) COURO CAMURCA VERDE</v>
          </cell>
          <cell r="R2820"/>
          <cell r="S2820"/>
          <cell r="T2820">
            <v>0.86</v>
          </cell>
          <cell r="U2820">
            <v>0.84</v>
          </cell>
          <cell r="V2820">
            <v>0.75</v>
          </cell>
          <cell r="W2820">
            <v>0</v>
          </cell>
          <cell r="X2820" t="str">
            <v>EST POLTRONA TETE (FREIJO NT) COURO CAMURCA VERDE - 0,86x0,84x0,75H</v>
          </cell>
          <cell r="Y2820">
            <v>0</v>
          </cell>
          <cell r="Z2820">
            <v>0</v>
          </cell>
          <cell r="AA2820">
            <v>0</v>
          </cell>
          <cell r="AB2820"/>
        </row>
        <row r="2821">
          <cell r="C2821">
            <v>0</v>
          </cell>
          <cell r="D2821">
            <v>0</v>
          </cell>
          <cell r="E2821">
            <v>0</v>
          </cell>
          <cell r="F2821">
            <v>0</v>
          </cell>
          <cell r="H2821">
            <v>0</v>
          </cell>
          <cell r="O2821">
            <v>276628</v>
          </cell>
          <cell r="P2821"/>
          <cell r="Q2821" t="str">
            <v>EST POLTRONA BENJAMIN S/SELO (FREIJO NATURAL) COURO NOBUK10</v>
          </cell>
          <cell r="R2821"/>
          <cell r="S2821"/>
          <cell r="T2821">
            <v>0.92</v>
          </cell>
          <cell r="U2821">
            <v>0.9</v>
          </cell>
          <cell r="V2821">
            <v>0.92</v>
          </cell>
          <cell r="W2821">
            <v>0</v>
          </cell>
          <cell r="X2821" t="str">
            <v>EST POLTRONA BENJAMIN S/SELO (FREIJO NATURAL) COURO NOBUK10 - 0,92x0,9x0,92H</v>
          </cell>
          <cell r="Y2821">
            <v>0</v>
          </cell>
          <cell r="Z2821">
            <v>0.5</v>
          </cell>
          <cell r="AA2821">
            <v>0</v>
          </cell>
          <cell r="AB2821"/>
        </row>
        <row r="2822">
          <cell r="C2822">
            <v>0</v>
          </cell>
          <cell r="D2822">
            <v>0</v>
          </cell>
          <cell r="E2822">
            <v>0</v>
          </cell>
          <cell r="F2822">
            <v>0</v>
          </cell>
          <cell r="H2822">
            <v>0</v>
          </cell>
          <cell r="O2822">
            <v>276629</v>
          </cell>
          <cell r="P2822"/>
          <cell r="Q2822" t="str">
            <v>EST BANQUETA BENJAMIN (FREIJO NATURAL) COURO NOBUCK 10</v>
          </cell>
          <cell r="R2822"/>
          <cell r="S2822"/>
          <cell r="T2822">
            <v>0.8</v>
          </cell>
          <cell r="U2822">
            <v>0.6</v>
          </cell>
          <cell r="V2822">
            <v>0.38</v>
          </cell>
          <cell r="W2822">
            <v>0</v>
          </cell>
          <cell r="X2822" t="str">
            <v>EST BANQUETA BENJAMIN (FREIJO NATURAL) COURO NOBUCK 10 - 0,8x0,6x0,38H</v>
          </cell>
          <cell r="Y2822">
            <v>0</v>
          </cell>
          <cell r="Z2822">
            <v>0.5</v>
          </cell>
          <cell r="AA2822">
            <v>0</v>
          </cell>
          <cell r="AB2822"/>
        </row>
        <row r="2823">
          <cell r="C2823">
            <v>0</v>
          </cell>
          <cell r="D2823">
            <v>0</v>
          </cell>
          <cell r="E2823">
            <v>0</v>
          </cell>
          <cell r="F2823">
            <v>0</v>
          </cell>
          <cell r="H2823">
            <v>2</v>
          </cell>
          <cell r="O2823">
            <v>276632</v>
          </cell>
          <cell r="P2823"/>
          <cell r="Q2823" t="str">
            <v>EST POLTRONA TETE (FREIJO2) COURO FIRENZE DESERT/ALM MOSTARD</v>
          </cell>
          <cell r="R2823"/>
          <cell r="S2823"/>
          <cell r="T2823">
            <v>0.86</v>
          </cell>
          <cell r="U2823">
            <v>0.84</v>
          </cell>
          <cell r="V2823">
            <v>0.75</v>
          </cell>
          <cell r="W2823">
            <v>0</v>
          </cell>
          <cell r="X2823" t="str">
            <v>EST POLTRONA TETE (FREIJO2) COURO FIRENZE DESERT/ALM MOSTARD - 0,86x0,84x0,75H</v>
          </cell>
          <cell r="Y2823">
            <v>0</v>
          </cell>
          <cell r="Z2823">
            <v>0</v>
          </cell>
          <cell r="AA2823">
            <v>0</v>
          </cell>
          <cell r="AB2823"/>
        </row>
        <row r="2824">
          <cell r="C2824">
            <v>0</v>
          </cell>
          <cell r="D2824">
            <v>0</v>
          </cell>
          <cell r="E2824">
            <v>0</v>
          </cell>
          <cell r="F2824">
            <v>0</v>
          </cell>
          <cell r="H2824">
            <v>1</v>
          </cell>
          <cell r="O2824">
            <v>276656</v>
          </cell>
          <cell r="P2824"/>
          <cell r="Q2824" t="str">
            <v>EST POLTRONA BENJAMIN S/SELO (FREIJO COR 2) CAMURCA HAVANA</v>
          </cell>
          <cell r="R2824"/>
          <cell r="S2824"/>
          <cell r="T2824">
            <v>0.92</v>
          </cell>
          <cell r="U2824">
            <v>0.9</v>
          </cell>
          <cell r="V2824">
            <v>0.92</v>
          </cell>
          <cell r="W2824">
            <v>0</v>
          </cell>
          <cell r="X2824" t="str">
            <v>EST POLTRONA BENJAMIN S/SELO (FREIJO COR 2) CAMURCA HAVANA - 0,92x0,9x0,92H</v>
          </cell>
          <cell r="Y2824">
            <v>0</v>
          </cell>
          <cell r="Z2824">
            <v>0</v>
          </cell>
          <cell r="AA2824">
            <v>0</v>
          </cell>
          <cell r="AB2824"/>
        </row>
        <row r="2825">
          <cell r="C2825">
            <v>0</v>
          </cell>
          <cell r="D2825">
            <v>0</v>
          </cell>
          <cell r="E2825">
            <v>0</v>
          </cell>
          <cell r="F2825">
            <v>0</v>
          </cell>
          <cell r="H2825">
            <v>0</v>
          </cell>
          <cell r="O2825">
            <v>276708</v>
          </cell>
          <cell r="P2825"/>
          <cell r="Q2825" t="str">
            <v>EST MESA JANTAR CONE (TPO LAMINADO FREIJO) CONCRETO</v>
          </cell>
          <cell r="R2825"/>
          <cell r="S2825"/>
          <cell r="T2825">
            <v>1</v>
          </cell>
          <cell r="U2825">
            <v>0</v>
          </cell>
          <cell r="V2825">
            <v>0.75</v>
          </cell>
          <cell r="W2825">
            <v>0</v>
          </cell>
          <cell r="X2825" t="str">
            <v>EST MESA JANTAR CONE (TPO LAMINADO FREIJO) CONCRETO - Ø0x0,75H</v>
          </cell>
          <cell r="Y2825">
            <v>0</v>
          </cell>
          <cell r="Z2825">
            <v>0.5</v>
          </cell>
          <cell r="AA2825">
            <v>0</v>
          </cell>
          <cell r="AB2825"/>
        </row>
        <row r="2826">
          <cell r="C2826">
            <v>0</v>
          </cell>
          <cell r="D2826">
            <v>0</v>
          </cell>
          <cell r="E2826">
            <v>0</v>
          </cell>
          <cell r="F2826">
            <v>0</v>
          </cell>
          <cell r="H2826">
            <v>0</v>
          </cell>
          <cell r="O2826">
            <v>277587</v>
          </cell>
          <cell r="P2826"/>
          <cell r="Q2826" t="str">
            <v>EST TAMPO GELSOMINA (OVAL) (G3-GREEN P LEVIG) (BORDA DUP)</v>
          </cell>
          <cell r="R2826"/>
          <cell r="S2826"/>
          <cell r="T2826">
            <v>1.8</v>
          </cell>
          <cell r="U2826">
            <v>0.9</v>
          </cell>
          <cell r="V2826">
            <v>0</v>
          </cell>
          <cell r="W2826">
            <v>0</v>
          </cell>
          <cell r="X2826" t="str">
            <v>EST TAMPO GELSOMINA (OVAL) (G3-GREEN P LEVIG) (BORDA DUP) - 1,8x0,9x0H</v>
          </cell>
          <cell r="Y2826">
            <v>0</v>
          </cell>
          <cell r="Z2826">
            <v>0.5</v>
          </cell>
          <cell r="AA2826">
            <v>0</v>
          </cell>
          <cell r="AB2826"/>
        </row>
        <row r="2827">
          <cell r="C2827">
            <v>0</v>
          </cell>
          <cell r="D2827">
            <v>0</v>
          </cell>
          <cell r="E2827">
            <v>0</v>
          </cell>
          <cell r="F2827">
            <v>0</v>
          </cell>
          <cell r="H2827">
            <v>1</v>
          </cell>
          <cell r="O2827">
            <v>277815</v>
          </cell>
          <cell r="P2827"/>
          <cell r="Q2827" t="str">
            <v>EST POLTRONA TONICO (FREIJO NAT) COURO SOFT CARAMELO/CH 01</v>
          </cell>
          <cell r="R2827"/>
          <cell r="S2827"/>
          <cell r="T2827">
            <v>1.05</v>
          </cell>
          <cell r="U2827">
            <v>0.86</v>
          </cell>
          <cell r="V2827">
            <v>1.08</v>
          </cell>
          <cell r="W2827">
            <v>0</v>
          </cell>
          <cell r="X2827" t="str">
            <v>EST POLTRONA TONICO (FREIJO NAT) COURO SOFT CARAMELO/CH 01 - 1,05x0,86x1,08H</v>
          </cell>
          <cell r="Y2827">
            <v>0</v>
          </cell>
          <cell r="Z2827">
            <v>0.5</v>
          </cell>
          <cell r="AA2827">
            <v>0</v>
          </cell>
          <cell r="AB2827"/>
        </row>
        <row r="2828">
          <cell r="C2828">
            <v>0</v>
          </cell>
          <cell r="D2828">
            <v>0</v>
          </cell>
          <cell r="E2828">
            <v>0</v>
          </cell>
          <cell r="F2828">
            <v>0</v>
          </cell>
          <cell r="H2828">
            <v>1</v>
          </cell>
          <cell r="O2828">
            <v>277821</v>
          </cell>
          <cell r="P2828"/>
          <cell r="Q2828" t="str">
            <v>EST BANQUETA TONICO (FREIJO NAT) COURO SOFT CARAMELO</v>
          </cell>
          <cell r="R2828"/>
          <cell r="S2828"/>
          <cell r="T2828">
            <v>0.86</v>
          </cell>
          <cell r="U2828">
            <v>0.5</v>
          </cell>
          <cell r="V2828">
            <v>0.42</v>
          </cell>
          <cell r="W2828">
            <v>0</v>
          </cell>
          <cell r="X2828" t="str">
            <v>EST BANQUETA TONICO (FREIJO NAT) COURO SOFT CARAMELO - 0,86x0,5x0,42H</v>
          </cell>
          <cell r="Y2828">
            <v>0</v>
          </cell>
          <cell r="Z2828">
            <v>0.5</v>
          </cell>
          <cell r="AA2828">
            <v>0</v>
          </cell>
          <cell r="AB2828"/>
        </row>
        <row r="2829">
          <cell r="C2829">
            <v>0</v>
          </cell>
          <cell r="D2829">
            <v>0</v>
          </cell>
          <cell r="E2829">
            <v>0</v>
          </cell>
          <cell r="F2829">
            <v>0</v>
          </cell>
          <cell r="H2829">
            <v>2</v>
          </cell>
          <cell r="O2829">
            <v>277874</v>
          </cell>
          <cell r="P2829"/>
          <cell r="Q2829" t="str">
            <v>EST BASE CENTRO VITRINE (FREIJO NATURAL) (FUNDO BRANCO)</v>
          </cell>
          <cell r="R2829"/>
          <cell r="S2829"/>
          <cell r="T2829">
            <v>1.6</v>
          </cell>
          <cell r="U2829">
            <v>0.8</v>
          </cell>
          <cell r="V2829">
            <v>0.38</v>
          </cell>
          <cell r="W2829">
            <v>0</v>
          </cell>
          <cell r="X2829" t="str">
            <v>EST BASE CENTRO VITRINE (FREIJO NATURAL) (FUNDO BRANCO) - 1,6x0,8x0,38H</v>
          </cell>
          <cell r="Y2829">
            <v>0</v>
          </cell>
          <cell r="Z2829">
            <v>0.5</v>
          </cell>
          <cell r="AA2829">
            <v>0</v>
          </cell>
          <cell r="AB2829"/>
        </row>
        <row r="2830">
          <cell r="C2830">
            <v>0</v>
          </cell>
          <cell r="D2830">
            <v>0</v>
          </cell>
          <cell r="E2830">
            <v>0</v>
          </cell>
          <cell r="F2830">
            <v>0</v>
          </cell>
          <cell r="H2830">
            <v>0</v>
          </cell>
          <cell r="O2830">
            <v>277886</v>
          </cell>
          <cell r="P2830"/>
          <cell r="Q2830" t="str">
            <v>EST MODULO CAIXA ESTANTE BF (IMBUIA) INTERIOR F100</v>
          </cell>
          <cell r="R2830"/>
          <cell r="S2830"/>
          <cell r="T2830">
            <v>1.9</v>
          </cell>
          <cell r="U2830">
            <v>0.43</v>
          </cell>
          <cell r="V2830">
            <v>0.47</v>
          </cell>
          <cell r="W2830">
            <v>0</v>
          </cell>
          <cell r="X2830" t="str">
            <v>EST MODULO CAIXA ESTANTE BF (IMBUIA) INTERIOR F100 - 1,9x0,43x0,47H</v>
          </cell>
          <cell r="Y2830">
            <v>0</v>
          </cell>
          <cell r="Z2830">
            <v>0.5</v>
          </cell>
          <cell r="AA2830">
            <v>0</v>
          </cell>
          <cell r="AB2830"/>
        </row>
        <row r="2831">
          <cell r="C2831">
            <v>0</v>
          </cell>
          <cell r="D2831">
            <v>0</v>
          </cell>
          <cell r="E2831">
            <v>0</v>
          </cell>
          <cell r="F2831">
            <v>0</v>
          </cell>
          <cell r="H2831">
            <v>0</v>
          </cell>
          <cell r="O2831">
            <v>277887</v>
          </cell>
          <cell r="P2831"/>
          <cell r="Q2831" t="str">
            <v>EST MODULO CAIXA ESTANTE BF (IMBUIA) INTERIOR F100</v>
          </cell>
          <cell r="R2831"/>
          <cell r="S2831"/>
          <cell r="T2831">
            <v>0.9</v>
          </cell>
          <cell r="U2831">
            <v>0.43</v>
          </cell>
          <cell r="V2831">
            <v>0.47</v>
          </cell>
          <cell r="W2831">
            <v>0</v>
          </cell>
          <cell r="X2831" t="str">
            <v>EST MODULO CAIXA ESTANTE BF (IMBUIA) INTERIOR F100 - 0,9x0,43x0,47H</v>
          </cell>
          <cell r="Y2831">
            <v>0</v>
          </cell>
          <cell r="Z2831">
            <v>0.5</v>
          </cell>
          <cell r="AA2831">
            <v>0</v>
          </cell>
          <cell r="AB2831"/>
        </row>
        <row r="2832">
          <cell r="C2832">
            <v>0</v>
          </cell>
          <cell r="D2832">
            <v>0</v>
          </cell>
          <cell r="E2832">
            <v>0</v>
          </cell>
          <cell r="F2832">
            <v>0</v>
          </cell>
          <cell r="H2832">
            <v>0</v>
          </cell>
          <cell r="O2832">
            <v>277888</v>
          </cell>
          <cell r="P2832"/>
          <cell r="Q2832" t="str">
            <v>EST MODULO COLUNA ESTANTE BF (IMBUIA)</v>
          </cell>
          <cell r="R2832"/>
          <cell r="S2832"/>
          <cell r="T2832">
            <v>0.14000000000000001</v>
          </cell>
          <cell r="U2832">
            <v>0.04</v>
          </cell>
          <cell r="V2832">
            <v>2.11</v>
          </cell>
          <cell r="W2832">
            <v>0</v>
          </cell>
          <cell r="X2832" t="str">
            <v>EST MODULO COLUNA ESTANTE BF (IMBUIA) - 0,14x0,04x2,11H</v>
          </cell>
          <cell r="Y2832">
            <v>0</v>
          </cell>
          <cell r="Z2832">
            <v>0.5</v>
          </cell>
          <cell r="AA2832">
            <v>0</v>
          </cell>
          <cell r="AB2832"/>
        </row>
        <row r="2833">
          <cell r="C2833">
            <v>0</v>
          </cell>
          <cell r="D2833">
            <v>0</v>
          </cell>
          <cell r="E2833">
            <v>0</v>
          </cell>
          <cell r="F2833">
            <v>0</v>
          </cell>
          <cell r="H2833">
            <v>0</v>
          </cell>
          <cell r="O2833">
            <v>277889</v>
          </cell>
          <cell r="P2833"/>
          <cell r="Q2833" t="str">
            <v>EST MODULO PRATELEIRA ESTANTE BF (IMBUIA)</v>
          </cell>
          <cell r="R2833"/>
          <cell r="S2833"/>
          <cell r="T2833">
            <v>0.9</v>
          </cell>
          <cell r="U2833">
            <v>0.32</v>
          </cell>
          <cell r="V2833">
            <v>0.09</v>
          </cell>
          <cell r="W2833">
            <v>0</v>
          </cell>
          <cell r="X2833" t="str">
            <v>EST MODULO PRATELEIRA ESTANTE BF (IMBUIA) - 0,9x0,32x0,09H</v>
          </cell>
          <cell r="Y2833">
            <v>0</v>
          </cell>
          <cell r="Z2833">
            <v>0.5</v>
          </cell>
          <cell r="AA2833">
            <v>0</v>
          </cell>
          <cell r="AB2833"/>
        </row>
        <row r="2834">
          <cell r="C2834">
            <v>0</v>
          </cell>
          <cell r="D2834">
            <v>0</v>
          </cell>
          <cell r="E2834">
            <v>0</v>
          </cell>
          <cell r="F2834">
            <v>0</v>
          </cell>
          <cell r="H2834">
            <v>0</v>
          </cell>
          <cell r="O2834">
            <v>277927</v>
          </cell>
          <cell r="P2834"/>
          <cell r="Q2834" t="str">
            <v>EST MODULO COLUNA ESTANTE BF (IMBUIA)</v>
          </cell>
          <cell r="R2834"/>
          <cell r="S2834"/>
          <cell r="T2834">
            <v>0.14000000000000001</v>
          </cell>
          <cell r="U2834">
            <v>0.04</v>
          </cell>
          <cell r="V2834">
            <v>2.38</v>
          </cell>
          <cell r="W2834">
            <v>0</v>
          </cell>
          <cell r="X2834" t="str">
            <v>EST MODULO COLUNA ESTANTE BF (IMBUIA) - 0,14x0,04x2,38H</v>
          </cell>
          <cell r="Y2834">
            <v>0</v>
          </cell>
          <cell r="Z2834">
            <v>0.5</v>
          </cell>
          <cell r="AA2834">
            <v>0</v>
          </cell>
          <cell r="AB2834"/>
        </row>
        <row r="2835">
          <cell r="C2835">
            <v>0</v>
          </cell>
          <cell r="D2835">
            <v>0</v>
          </cell>
          <cell r="E2835">
            <v>0</v>
          </cell>
          <cell r="F2835">
            <v>0</v>
          </cell>
          <cell r="H2835">
            <v>2</v>
          </cell>
          <cell r="O2835">
            <v>278031</v>
          </cell>
          <cell r="P2835"/>
          <cell r="Q2835" t="str">
            <v>EST ESTANTE GB MF710 (C) (TRIPLA) (IMBUIA)</v>
          </cell>
          <cell r="R2835"/>
          <cell r="S2835"/>
          <cell r="T2835">
            <v>1.55</v>
          </cell>
          <cell r="U2835">
            <v>0.42</v>
          </cell>
          <cell r="V2835">
            <v>2</v>
          </cell>
          <cell r="W2835">
            <v>0</v>
          </cell>
          <cell r="X2835" t="str">
            <v>EST ESTANTE GB MF710 (C) (TRIPLA) (IMBUIA) - 1,55x0,42x2H</v>
          </cell>
          <cell r="Y2835">
            <v>0</v>
          </cell>
          <cell r="Z2835">
            <v>0.5</v>
          </cell>
          <cell r="AA2835">
            <v>0</v>
          </cell>
          <cell r="AB2835"/>
        </row>
        <row r="2836">
          <cell r="C2836">
            <v>0</v>
          </cell>
          <cell r="D2836">
            <v>0</v>
          </cell>
          <cell r="E2836">
            <v>0</v>
          </cell>
          <cell r="F2836">
            <v>0</v>
          </cell>
          <cell r="H2836">
            <v>0</v>
          </cell>
          <cell r="O2836">
            <v>278032</v>
          </cell>
          <cell r="P2836"/>
          <cell r="Q2836" t="str">
            <v>EST ESTANTE GB MF710 (D) (TRIPLA) (IMBUIA)</v>
          </cell>
          <cell r="R2836"/>
          <cell r="S2836"/>
          <cell r="T2836">
            <v>1.55</v>
          </cell>
          <cell r="U2836">
            <v>0.42</v>
          </cell>
          <cell r="V2836">
            <v>2</v>
          </cell>
          <cell r="W2836">
            <v>0</v>
          </cell>
          <cell r="X2836" t="str">
            <v>EST ESTANTE GB MF710 (D) (TRIPLA) (IMBUIA) - 1,55x0,42x2H</v>
          </cell>
          <cell r="Y2836">
            <v>0</v>
          </cell>
          <cell r="Z2836">
            <v>0.5</v>
          </cell>
          <cell r="AA2836">
            <v>0</v>
          </cell>
          <cell r="AB2836"/>
        </row>
        <row r="2837">
          <cell r="C2837">
            <v>0</v>
          </cell>
          <cell r="D2837">
            <v>0</v>
          </cell>
          <cell r="E2837">
            <v>0</v>
          </cell>
          <cell r="F2837">
            <v>0</v>
          </cell>
          <cell r="H2837">
            <v>0</v>
          </cell>
          <cell r="O2837">
            <v>278060</v>
          </cell>
          <cell r="P2837"/>
          <cell r="Q2837" t="str">
            <v>EST ESTANTE GB MF710 (C) (QUADRUPLA) (IMBUIA)</v>
          </cell>
          <cell r="R2837"/>
          <cell r="S2837"/>
          <cell r="T2837">
            <v>2.06</v>
          </cell>
          <cell r="U2837">
            <v>0.42</v>
          </cell>
          <cell r="V2837">
            <v>2</v>
          </cell>
          <cell r="W2837">
            <v>0</v>
          </cell>
          <cell r="X2837" t="str">
            <v>EST ESTANTE GB MF710 (C) (QUADRUPLA) (IMBUIA) - 2,06x0,42x2H</v>
          </cell>
          <cell r="Y2837">
            <v>0</v>
          </cell>
          <cell r="Z2837">
            <v>0.5</v>
          </cell>
          <cell r="AA2837">
            <v>0</v>
          </cell>
          <cell r="AB2837"/>
        </row>
        <row r="2838">
          <cell r="C2838">
            <v>0</v>
          </cell>
          <cell r="D2838">
            <v>0</v>
          </cell>
          <cell r="E2838">
            <v>0</v>
          </cell>
          <cell r="F2838">
            <v>0</v>
          </cell>
          <cell r="H2838">
            <v>1</v>
          </cell>
          <cell r="O2838">
            <v>278111</v>
          </cell>
          <cell r="P2838"/>
          <cell r="Q2838" t="str">
            <v>EST BANQUETA BAR ESTRIBO H72 (ACO PT CAMURCA TABACO FREIJO)</v>
          </cell>
          <cell r="R2838"/>
          <cell r="S2838"/>
          <cell r="T2838">
            <v>0.44</v>
          </cell>
          <cell r="U2838">
            <v>0.57999999999999996</v>
          </cell>
          <cell r="V2838">
            <v>1.06</v>
          </cell>
          <cell r="W2838">
            <v>0</v>
          </cell>
          <cell r="X2838" t="str">
            <v>EST BANQUETA BAR ESTRIBO H72 (ACO PT CAMURCA TABACO FREIJO) - 0,44x0,58x1,06H</v>
          </cell>
          <cell r="Y2838">
            <v>0</v>
          </cell>
          <cell r="Z2838">
            <v>0</v>
          </cell>
          <cell r="AA2838">
            <v>0</v>
          </cell>
          <cell r="AB2838"/>
        </row>
        <row r="2839">
          <cell r="C2839">
            <v>0</v>
          </cell>
          <cell r="D2839">
            <v>0</v>
          </cell>
          <cell r="E2839">
            <v>0</v>
          </cell>
          <cell r="F2839">
            <v>0</v>
          </cell>
          <cell r="H2839">
            <v>1</v>
          </cell>
          <cell r="O2839">
            <v>278112</v>
          </cell>
          <cell r="P2839"/>
          <cell r="Q2839" t="str">
            <v>EST BANQUETA BAR ESTRIBO H72 (ACO PT) NOBUCK 98 (SUCUPIRA)</v>
          </cell>
          <cell r="R2839"/>
          <cell r="S2839"/>
          <cell r="T2839">
            <v>0.44</v>
          </cell>
          <cell r="U2839">
            <v>0.57999999999999996</v>
          </cell>
          <cell r="V2839">
            <v>1.06</v>
          </cell>
          <cell r="W2839">
            <v>0</v>
          </cell>
          <cell r="X2839" t="str">
            <v>EST BANQUETA BAR ESTRIBO H72 (ACO PT) NOBUCK 98 (SUCUPIRA) - 0,44x0,58x1,06H</v>
          </cell>
          <cell r="Y2839">
            <v>0</v>
          </cell>
          <cell r="Z2839">
            <v>0</v>
          </cell>
          <cell r="AA2839">
            <v>0</v>
          </cell>
          <cell r="AB2839"/>
        </row>
        <row r="2840">
          <cell r="C2840">
            <v>0</v>
          </cell>
          <cell r="D2840">
            <v>0</v>
          </cell>
          <cell r="E2840">
            <v>0</v>
          </cell>
          <cell r="F2840">
            <v>0</v>
          </cell>
          <cell r="H2840">
            <v>0</v>
          </cell>
          <cell r="O2840">
            <v>278285</v>
          </cell>
          <cell r="P2840"/>
          <cell r="Q2840" t="str">
            <v>EST BASE JANTAR LITORAL (CAB ARRED) (MADEIRA PEROBA MEDIA)</v>
          </cell>
          <cell r="R2840"/>
          <cell r="S2840"/>
          <cell r="T2840">
            <v>3</v>
          </cell>
          <cell r="U2840">
            <v>1</v>
          </cell>
          <cell r="V2840">
            <v>0.72</v>
          </cell>
          <cell r="W2840">
            <v>0</v>
          </cell>
          <cell r="X2840" t="str">
            <v>EST BASE JANTAR LITORAL (CAB ARRED) (MADEIRA PEROBA MEDIA) - 3x1x0,72H</v>
          </cell>
          <cell r="Y2840">
            <v>0</v>
          </cell>
          <cell r="Z2840">
            <v>0.5</v>
          </cell>
          <cell r="AA2840">
            <v>0</v>
          </cell>
          <cell r="AB2840"/>
        </row>
        <row r="2841">
          <cell r="C2841">
            <v>0</v>
          </cell>
          <cell r="D2841">
            <v>0</v>
          </cell>
          <cell r="E2841">
            <v>0</v>
          </cell>
          <cell r="F2841">
            <v>0</v>
          </cell>
          <cell r="H2841">
            <v>1</v>
          </cell>
          <cell r="O2841">
            <v>278470</v>
          </cell>
          <cell r="P2841"/>
          <cell r="Q2841" t="str">
            <v>EST REVISTEIRO BO CHAO (LAMINA IMBUIA NATURAL)</v>
          </cell>
          <cell r="R2841"/>
          <cell r="S2841"/>
          <cell r="T2841">
            <v>0.45</v>
          </cell>
          <cell r="U2841">
            <v>0.33</v>
          </cell>
          <cell r="V2841">
            <v>1.8</v>
          </cell>
          <cell r="W2841">
            <v>0</v>
          </cell>
          <cell r="X2841" t="str">
            <v>EST REVISTEIRO BO CHAO (LAMINA IMBUIA NATURAL) - 0,45x0,33x1,8H</v>
          </cell>
          <cell r="Y2841">
            <v>0</v>
          </cell>
          <cell r="Z2841">
            <v>0</v>
          </cell>
          <cell r="AA2841">
            <v>0</v>
          </cell>
          <cell r="AB2841"/>
        </row>
        <row r="2842">
          <cell r="C2842">
            <v>0</v>
          </cell>
          <cell r="D2842">
            <v>0</v>
          </cell>
          <cell r="E2842">
            <v>0</v>
          </cell>
          <cell r="F2842">
            <v>0</v>
          </cell>
          <cell r="H2842">
            <v>2</v>
          </cell>
          <cell r="O2842">
            <v>278504</v>
          </cell>
          <cell r="P2842"/>
          <cell r="Q2842" t="str">
            <v>EST POLTRONA LACUNA (IPE) TC LONA GUILHE MUSGO</v>
          </cell>
          <cell r="R2842"/>
          <cell r="S2842"/>
          <cell r="T2842">
            <v>0.67</v>
          </cell>
          <cell r="U2842">
            <v>0.8</v>
          </cell>
          <cell r="V2842">
            <v>0.64</v>
          </cell>
          <cell r="W2842">
            <v>0</v>
          </cell>
          <cell r="X2842" t="str">
            <v>EST POLTRONA LACUNA (IPE) TC LONA GUILHE MUSGO - 0,67x0,8x0,64H</v>
          </cell>
          <cell r="Y2842">
            <v>0</v>
          </cell>
          <cell r="Z2842">
            <v>0</v>
          </cell>
          <cell r="AA2842">
            <v>0</v>
          </cell>
          <cell r="AB2842"/>
        </row>
        <row r="2843">
          <cell r="C2843">
            <v>0</v>
          </cell>
          <cell r="D2843">
            <v>0</v>
          </cell>
          <cell r="E2843">
            <v>0</v>
          </cell>
          <cell r="F2843">
            <v>0</v>
          </cell>
          <cell r="H2843">
            <v>2</v>
          </cell>
          <cell r="O2843">
            <v>278506</v>
          </cell>
          <cell r="P2843"/>
          <cell r="Q2843" t="str">
            <v>EST POLTRONA LACUNA (IPE) TC PORTLAND (SAGE) AZUL</v>
          </cell>
          <cell r="R2843"/>
          <cell r="S2843"/>
          <cell r="T2843">
            <v>0.67</v>
          </cell>
          <cell r="U2843">
            <v>0.8</v>
          </cell>
          <cell r="V2843">
            <v>0.64</v>
          </cell>
          <cell r="W2843">
            <v>0</v>
          </cell>
          <cell r="X2843" t="str">
            <v>EST POLTRONA LACUNA (IPE) TC PORTLAND (SAGE) AZUL - 0,67x0,8x0,64H</v>
          </cell>
          <cell r="Y2843">
            <v>0</v>
          </cell>
          <cell r="Z2843">
            <v>0.5</v>
          </cell>
          <cell r="AA2843">
            <v>0</v>
          </cell>
          <cell r="AB2843"/>
        </row>
        <row r="2844">
          <cell r="C2844">
            <v>0</v>
          </cell>
          <cell r="D2844">
            <v>0</v>
          </cell>
          <cell r="E2844">
            <v>0</v>
          </cell>
          <cell r="F2844">
            <v>0</v>
          </cell>
          <cell r="H2844">
            <v>1</v>
          </cell>
          <cell r="O2844">
            <v>278509</v>
          </cell>
          <cell r="P2844"/>
          <cell r="Q2844" t="str">
            <v>EST SOFA MOLE (3L) (MAD B COR 03) COURO WINCHESTER 98</v>
          </cell>
          <cell r="R2844"/>
          <cell r="S2844"/>
          <cell r="T2844">
            <v>2.2000000000000002</v>
          </cell>
          <cell r="U2844">
            <v>1.1000000000000001</v>
          </cell>
          <cell r="V2844">
            <v>0.82</v>
          </cell>
          <cell r="W2844">
            <v>0</v>
          </cell>
          <cell r="X2844" t="str">
            <v>EST SOFA MOLE (3L) (MAD B COR 03) COURO WINCHESTER 98 - 2,2x1,1x0,82H</v>
          </cell>
          <cell r="Y2844">
            <v>0</v>
          </cell>
          <cell r="Z2844">
            <v>0</v>
          </cell>
          <cell r="AA2844">
            <v>0</v>
          </cell>
          <cell r="AB2844"/>
        </row>
        <row r="2845">
          <cell r="C2845">
            <v>0</v>
          </cell>
          <cell r="D2845">
            <v>0</v>
          </cell>
          <cell r="E2845">
            <v>0</v>
          </cell>
          <cell r="F2845">
            <v>0</v>
          </cell>
          <cell r="H2845">
            <v>0</v>
          </cell>
          <cell r="O2845">
            <v>278534</v>
          </cell>
          <cell r="P2845"/>
          <cell r="Q2845" t="str">
            <v>EST DAYBED LUXOR (3 ALMF) (MAD IMBUIA STAIN) TC EL NOVE GREY</v>
          </cell>
          <cell r="R2845"/>
          <cell r="S2845"/>
          <cell r="T2845">
            <v>2</v>
          </cell>
          <cell r="U2845">
            <v>0.7</v>
          </cell>
          <cell r="V2845">
            <v>0.4</v>
          </cell>
          <cell r="W2845">
            <v>0</v>
          </cell>
          <cell r="X2845" t="str">
            <v>EST DAYBED LUXOR (3 ALMF) (MAD IMBUIA STAIN) TC EL NOVE GREY - 2x0,7x0,4H</v>
          </cell>
          <cell r="Y2845">
            <v>0</v>
          </cell>
          <cell r="Z2845">
            <v>0</v>
          </cell>
          <cell r="AA2845">
            <v>0</v>
          </cell>
          <cell r="AB2845"/>
        </row>
        <row r="2846">
          <cell r="C2846">
            <v>0</v>
          </cell>
          <cell r="D2846">
            <v>0</v>
          </cell>
          <cell r="E2846">
            <v>0</v>
          </cell>
          <cell r="F2846">
            <v>0</v>
          </cell>
          <cell r="H2846">
            <v>4</v>
          </cell>
          <cell r="O2846">
            <v>278535</v>
          </cell>
          <cell r="P2846"/>
          <cell r="Q2846" t="str">
            <v>EST CADEIRA CANTU BAIXA (MAD B COR 03) TC EL NOVE 4 GREY</v>
          </cell>
          <cell r="R2846"/>
          <cell r="S2846"/>
          <cell r="T2846">
            <v>0.5</v>
          </cell>
          <cell r="U2846">
            <v>0.56000000000000005</v>
          </cell>
          <cell r="V2846">
            <v>0.81</v>
          </cell>
          <cell r="W2846">
            <v>0</v>
          </cell>
          <cell r="X2846" t="str">
            <v>EST CADEIRA CANTU BAIXA (MAD B COR 03) TC EL NOVE 4 GREY - 0,5x0,56x0,81H</v>
          </cell>
          <cell r="Y2846">
            <v>0</v>
          </cell>
          <cell r="Z2846">
            <v>0</v>
          </cell>
          <cell r="AA2846">
            <v>0</v>
          </cell>
          <cell r="AB2846"/>
        </row>
        <row r="2847">
          <cell r="C2847">
            <v>0</v>
          </cell>
          <cell r="D2847">
            <v>0</v>
          </cell>
          <cell r="E2847">
            <v>0</v>
          </cell>
          <cell r="F2847">
            <v>0</v>
          </cell>
          <cell r="H2847">
            <v>5</v>
          </cell>
          <cell r="O2847">
            <v>278551</v>
          </cell>
          <cell r="P2847"/>
          <cell r="Q2847" t="str">
            <v>EST CADEIRA TIAO (IMBUIA STAIN) EL NOVE 04 COR GREY</v>
          </cell>
          <cell r="R2847"/>
          <cell r="S2847"/>
          <cell r="T2847">
            <v>0.47</v>
          </cell>
          <cell r="U2847">
            <v>0.54</v>
          </cell>
          <cell r="V2847">
            <v>0.75</v>
          </cell>
          <cell r="W2847">
            <v>0</v>
          </cell>
          <cell r="X2847" t="str">
            <v>EST CADEIRA TIAO (IMBUIA STAIN) EL NOVE 04 COR GREY - 0,47x0,54x0,75H</v>
          </cell>
          <cell r="Y2847">
            <v>0</v>
          </cell>
          <cell r="Z2847">
            <v>0</v>
          </cell>
          <cell r="AA2847">
            <v>0</v>
          </cell>
          <cell r="AB2847"/>
        </row>
        <row r="2848">
          <cell r="C2848">
            <v>0</v>
          </cell>
          <cell r="D2848">
            <v>0</v>
          </cell>
          <cell r="E2848">
            <v>0</v>
          </cell>
          <cell r="F2848">
            <v>0</v>
          </cell>
          <cell r="H2848">
            <v>2</v>
          </cell>
          <cell r="O2848">
            <v>278552</v>
          </cell>
          <cell r="P2848"/>
          <cell r="Q2848" t="str">
            <v>EST CADEIRA CANTU ALTA (MAD B COR 03) TC EL NOVE 4 GREY</v>
          </cell>
          <cell r="R2848"/>
          <cell r="S2848"/>
          <cell r="T2848">
            <v>0.5</v>
          </cell>
          <cell r="U2848">
            <v>0.56000000000000005</v>
          </cell>
          <cell r="V2848">
            <v>1.01</v>
          </cell>
          <cell r="W2848">
            <v>0</v>
          </cell>
          <cell r="X2848" t="str">
            <v>EST CADEIRA CANTU ALTA (MAD B COR 03) TC EL NOVE 4 GREY - 0,5x0,56x1,01H</v>
          </cell>
          <cell r="Y2848">
            <v>0</v>
          </cell>
          <cell r="Z2848">
            <v>0.5</v>
          </cell>
          <cell r="AA2848">
            <v>0</v>
          </cell>
          <cell r="AB2848"/>
        </row>
        <row r="2849">
          <cell r="C2849">
            <v>0</v>
          </cell>
          <cell r="D2849">
            <v>0</v>
          </cell>
          <cell r="E2849">
            <v>0</v>
          </cell>
          <cell r="F2849">
            <v>0</v>
          </cell>
          <cell r="H2849">
            <v>1</v>
          </cell>
          <cell r="O2849">
            <v>278565</v>
          </cell>
          <cell r="P2849"/>
          <cell r="Q2849" t="str">
            <v>EST POLTRONA BEG (S/ROD) (MAD B COR 03) TC VILLA OLMO UMBER</v>
          </cell>
          <cell r="R2849"/>
          <cell r="S2849"/>
          <cell r="T2849">
            <v>0.65</v>
          </cell>
          <cell r="U2849">
            <v>0.63</v>
          </cell>
          <cell r="V2849">
            <v>0.77</v>
          </cell>
          <cell r="W2849">
            <v>0</v>
          </cell>
          <cell r="X2849" t="str">
            <v>EST POLTRONA BEG (S/ROD) (MAD B COR 03) TC VILLA OLMO UMBER - 0,65x0,63x0,77H</v>
          </cell>
          <cell r="Y2849">
            <v>0</v>
          </cell>
          <cell r="Z2849">
            <v>0.5</v>
          </cell>
          <cell r="AA2849">
            <v>0</v>
          </cell>
          <cell r="AB2849"/>
        </row>
        <row r="2850">
          <cell r="C2850">
            <v>0</v>
          </cell>
          <cell r="D2850">
            <v>0</v>
          </cell>
          <cell r="E2850">
            <v>0</v>
          </cell>
          <cell r="F2850">
            <v>0</v>
          </cell>
          <cell r="H2850">
            <v>0</v>
          </cell>
          <cell r="O2850">
            <v>278566</v>
          </cell>
          <cell r="P2850"/>
          <cell r="Q2850" t="str">
            <v>EST POLTRONA BEG (S/ROD) (MAD A COR 02) TC VILLA NATURAL</v>
          </cell>
          <cell r="R2850"/>
          <cell r="S2850"/>
          <cell r="T2850">
            <v>0.65</v>
          </cell>
          <cell r="U2850">
            <v>0.63</v>
          </cell>
          <cell r="V2850">
            <v>0.77</v>
          </cell>
          <cell r="W2850">
            <v>0</v>
          </cell>
          <cell r="X2850" t="str">
            <v>EST POLTRONA BEG (S/ROD) (MAD A COR 02) TC VILLA NATURAL - 0,65x0,63x0,77H</v>
          </cell>
          <cell r="Y2850">
            <v>0</v>
          </cell>
          <cell r="Z2850">
            <v>0</v>
          </cell>
          <cell r="AA2850">
            <v>0</v>
          </cell>
          <cell r="AB2850"/>
        </row>
        <row r="2851">
          <cell r="C2851">
            <v>0</v>
          </cell>
          <cell r="D2851">
            <v>0</v>
          </cell>
          <cell r="E2851">
            <v>0</v>
          </cell>
          <cell r="F2851">
            <v>0</v>
          </cell>
          <cell r="H2851">
            <v>1</v>
          </cell>
          <cell r="O2851">
            <v>278567</v>
          </cell>
          <cell r="P2851"/>
          <cell r="Q2851" t="str">
            <v>EST POLTRONA BEG (S/ROD) (MAD IMBUIA STAIN) TC VILLA NATURAL</v>
          </cell>
          <cell r="R2851"/>
          <cell r="S2851"/>
          <cell r="T2851">
            <v>0.65</v>
          </cell>
          <cell r="U2851">
            <v>0.63</v>
          </cell>
          <cell r="V2851">
            <v>0.77</v>
          </cell>
          <cell r="W2851">
            <v>0</v>
          </cell>
          <cell r="X2851" t="str">
            <v>EST POLTRONA BEG (S/ROD) (MAD IMBUIA STAIN) TC VILLA NATURAL - 0,65x0,63x0,77H</v>
          </cell>
          <cell r="Y2851">
            <v>0</v>
          </cell>
          <cell r="Z2851">
            <v>0.5</v>
          </cell>
          <cell r="AA2851">
            <v>0</v>
          </cell>
          <cell r="AB2851"/>
        </row>
        <row r="2852">
          <cell r="C2852">
            <v>0</v>
          </cell>
          <cell r="D2852">
            <v>0</v>
          </cell>
          <cell r="E2852">
            <v>0</v>
          </cell>
          <cell r="F2852">
            <v>0</v>
          </cell>
          <cell r="H2852">
            <v>1</v>
          </cell>
          <cell r="O2852">
            <v>278568</v>
          </cell>
          <cell r="P2852"/>
          <cell r="Q2852" t="str">
            <v>EST CADEIRA TIAO C/BRACO (MAD IMBUIA STAIN) LINHO 403 W 611</v>
          </cell>
          <cell r="R2852"/>
          <cell r="S2852"/>
          <cell r="T2852">
            <v>0.61</v>
          </cell>
          <cell r="U2852">
            <v>0.62</v>
          </cell>
          <cell r="V2852">
            <v>0.78</v>
          </cell>
          <cell r="W2852">
            <v>0</v>
          </cell>
          <cell r="X2852" t="str">
            <v>EST CADEIRA TIAO C/BRACO (MAD IMBUIA STAIN) LINHO 403 W 611 - 0,61x0,62x0,78H</v>
          </cell>
          <cell r="Y2852">
            <v>0</v>
          </cell>
          <cell r="Z2852">
            <v>0</v>
          </cell>
          <cell r="AA2852">
            <v>0</v>
          </cell>
          <cell r="AB2852"/>
        </row>
        <row r="2853">
          <cell r="C2853">
            <v>0</v>
          </cell>
          <cell r="D2853">
            <v>0</v>
          </cell>
          <cell r="E2853">
            <v>0</v>
          </cell>
          <cell r="F2853">
            <v>0</v>
          </cell>
          <cell r="H2853">
            <v>2</v>
          </cell>
          <cell r="O2853">
            <v>278569</v>
          </cell>
          <cell r="P2853"/>
          <cell r="Q2853" t="str">
            <v>EST CADEIRA TIAO C/BRACO (IMBUIA STAIN) EL NOVE 04 COR GREY</v>
          </cell>
          <cell r="R2853"/>
          <cell r="S2853"/>
          <cell r="T2853">
            <v>0.61</v>
          </cell>
          <cell r="U2853">
            <v>0.62</v>
          </cell>
          <cell r="V2853">
            <v>0.78</v>
          </cell>
          <cell r="W2853">
            <v>0</v>
          </cell>
          <cell r="X2853" t="str">
            <v>EST CADEIRA TIAO C/BRACO (IMBUIA STAIN) EL NOVE 04 COR GREY - 0,61x0,62x0,78H</v>
          </cell>
          <cell r="Y2853">
            <v>0</v>
          </cell>
          <cell r="Z2853">
            <v>0</v>
          </cell>
          <cell r="AA2853">
            <v>0</v>
          </cell>
          <cell r="AB2853"/>
        </row>
        <row r="2854">
          <cell r="C2854">
            <v>0</v>
          </cell>
          <cell r="D2854">
            <v>0</v>
          </cell>
          <cell r="E2854">
            <v>0</v>
          </cell>
          <cell r="F2854">
            <v>0</v>
          </cell>
          <cell r="H2854">
            <v>1</v>
          </cell>
          <cell r="O2854">
            <v>278837</v>
          </cell>
          <cell r="P2854"/>
          <cell r="Q2854" t="str">
            <v>EST POLTRONA PARATY (MAD B COR 03) TC EL NOVE 04 GOLD</v>
          </cell>
          <cell r="R2854"/>
          <cell r="S2854"/>
          <cell r="T2854">
            <v>0.77</v>
          </cell>
          <cell r="U2854">
            <v>0.81</v>
          </cell>
          <cell r="V2854">
            <v>0.75</v>
          </cell>
          <cell r="W2854">
            <v>0</v>
          </cell>
          <cell r="X2854" t="str">
            <v>EST POLTRONA PARATY (MAD B COR 03) TC EL NOVE 04 GOLD - 0,77x0,81x0,75H</v>
          </cell>
          <cell r="Y2854">
            <v>0</v>
          </cell>
          <cell r="Z2854">
            <v>0</v>
          </cell>
          <cell r="AA2854">
            <v>0</v>
          </cell>
          <cell r="AB2854"/>
        </row>
        <row r="2855">
          <cell r="C2855">
            <v>0</v>
          </cell>
          <cell r="D2855">
            <v>0</v>
          </cell>
          <cell r="E2855">
            <v>0</v>
          </cell>
          <cell r="F2855">
            <v>0</v>
          </cell>
          <cell r="H2855">
            <v>2</v>
          </cell>
          <cell r="O2855">
            <v>278838</v>
          </cell>
          <cell r="P2855"/>
          <cell r="Q2855" t="str">
            <v>EST BANQUETA PARATY (MAD B COR 03) TC EL NOVE 04 GOLD</v>
          </cell>
          <cell r="R2855"/>
          <cell r="S2855"/>
          <cell r="T2855">
            <v>0.78</v>
          </cell>
          <cell r="U2855">
            <v>0.49</v>
          </cell>
          <cell r="V2855">
            <v>0.39</v>
          </cell>
          <cell r="W2855">
            <v>0</v>
          </cell>
          <cell r="X2855" t="str">
            <v>EST BANQUETA PARATY (MAD B COR 03) TC EL NOVE 04 GOLD - 0,78x0,49x0,39H</v>
          </cell>
          <cell r="Y2855">
            <v>0</v>
          </cell>
          <cell r="Z2855">
            <v>0</v>
          </cell>
          <cell r="AA2855">
            <v>0</v>
          </cell>
          <cell r="AB2855"/>
        </row>
        <row r="2856">
          <cell r="C2856">
            <v>0</v>
          </cell>
          <cell r="D2856">
            <v>0</v>
          </cell>
          <cell r="E2856">
            <v>0</v>
          </cell>
          <cell r="F2856">
            <v>0</v>
          </cell>
          <cell r="H2856">
            <v>1</v>
          </cell>
          <cell r="O2856">
            <v>279164</v>
          </cell>
          <cell r="P2856"/>
          <cell r="Q2856" t="str">
            <v>EST CADEIRA GOUTHIER (FREIJO NATURAL) COURO ENV CH 18</v>
          </cell>
          <cell r="R2856"/>
          <cell r="S2856"/>
          <cell r="T2856">
            <v>0.62</v>
          </cell>
          <cell r="U2856">
            <v>0.62</v>
          </cell>
          <cell r="V2856">
            <v>0.78</v>
          </cell>
          <cell r="W2856">
            <v>0</v>
          </cell>
          <cell r="X2856" t="str">
            <v>EST CADEIRA GOUTHIER (FREIJO NATURAL) COURO ENV CH 18 - 0,62x0,62x0,78H</v>
          </cell>
          <cell r="Y2856">
            <v>0</v>
          </cell>
          <cell r="Z2856">
            <v>0</v>
          </cell>
          <cell r="AA2856">
            <v>0</v>
          </cell>
          <cell r="AB2856"/>
        </row>
        <row r="2857">
          <cell r="C2857">
            <v>0</v>
          </cell>
          <cell r="D2857">
            <v>0</v>
          </cell>
          <cell r="E2857">
            <v>0</v>
          </cell>
          <cell r="F2857">
            <v>0</v>
          </cell>
          <cell r="H2857">
            <v>1</v>
          </cell>
          <cell r="O2857">
            <v>279240</v>
          </cell>
          <cell r="P2857"/>
          <cell r="Q2857" t="str">
            <v>EST BANCO SUTRA (MADEIRA FREIJO NATURAL) CAMURCA TABACO</v>
          </cell>
          <cell r="R2857"/>
          <cell r="S2857"/>
          <cell r="T2857">
            <v>2</v>
          </cell>
          <cell r="U2857">
            <v>0.6</v>
          </cell>
          <cell r="V2857">
            <v>0.6</v>
          </cell>
          <cell r="W2857">
            <v>0</v>
          </cell>
          <cell r="X2857" t="str">
            <v>EST BANCO SUTRA (MADEIRA FREIJO NATURAL) CAMURCA TABACO - 2x0,6x0,6H</v>
          </cell>
          <cell r="Y2857">
            <v>0</v>
          </cell>
          <cell r="Z2857">
            <v>0</v>
          </cell>
          <cell r="AA2857">
            <v>0</v>
          </cell>
          <cell r="AB2857"/>
        </row>
        <row r="2858"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H2858">
            <v>1</v>
          </cell>
          <cell r="O2858">
            <v>279256</v>
          </cell>
          <cell r="P2858"/>
          <cell r="Q2858" t="str">
            <v>EST MESA CENTRO FONTANA (FREIJO NATURAL)</v>
          </cell>
          <cell r="R2858"/>
          <cell r="S2858"/>
          <cell r="T2858">
            <v>1.8</v>
          </cell>
          <cell r="U2858">
            <v>0.8</v>
          </cell>
          <cell r="V2858">
            <v>0.3</v>
          </cell>
          <cell r="W2858">
            <v>0</v>
          </cell>
          <cell r="X2858" t="str">
            <v>EST MESA CENTRO FONTANA (FREIJO NATURAL) - 1,8x0,8x0,3H</v>
          </cell>
          <cell r="Y2858">
            <v>0</v>
          </cell>
          <cell r="Z2858">
            <v>0</v>
          </cell>
          <cell r="AA2858">
            <v>0</v>
          </cell>
          <cell r="AB2858"/>
        </row>
        <row r="2859">
          <cell r="C2859">
            <v>0</v>
          </cell>
          <cell r="D2859">
            <v>0</v>
          </cell>
          <cell r="E2859">
            <v>0</v>
          </cell>
          <cell r="F2859">
            <v>0</v>
          </cell>
          <cell r="H2859">
            <v>1</v>
          </cell>
          <cell r="O2859">
            <v>279627</v>
          </cell>
          <cell r="P2859"/>
          <cell r="Q2859" t="str">
            <v>EST MESA LATERAL STAN (TAMPO TAUARI TONALIZADO COR 03)</v>
          </cell>
          <cell r="R2859"/>
          <cell r="S2859"/>
          <cell r="T2859">
            <v>0.4</v>
          </cell>
          <cell r="U2859">
            <v>0</v>
          </cell>
          <cell r="V2859">
            <v>0.6</v>
          </cell>
          <cell r="W2859">
            <v>0.4</v>
          </cell>
          <cell r="X2859" t="str">
            <v>EST MESA LATERAL STAN (TAMPO TAUARI TONALIZADO COR 03) - Ø0,4x0,6H</v>
          </cell>
          <cell r="Y2859">
            <v>0</v>
          </cell>
          <cell r="Z2859">
            <v>0.5</v>
          </cell>
          <cell r="AA2859">
            <v>0</v>
          </cell>
          <cell r="AB2859"/>
        </row>
        <row r="2860">
          <cell r="C2860">
            <v>0</v>
          </cell>
          <cell r="D2860">
            <v>0</v>
          </cell>
          <cell r="E2860">
            <v>0</v>
          </cell>
          <cell r="F2860">
            <v>0</v>
          </cell>
          <cell r="H2860">
            <v>12</v>
          </cell>
          <cell r="O2860">
            <v>279631</v>
          </cell>
          <cell r="P2860"/>
          <cell r="Q2860" t="str">
            <v>EST MESA LATERAL STAN (TAMPO FREIJO NATURAL)</v>
          </cell>
          <cell r="R2860"/>
          <cell r="S2860"/>
          <cell r="T2860">
            <v>0.4</v>
          </cell>
          <cell r="U2860">
            <v>0</v>
          </cell>
          <cell r="V2860">
            <v>0.6</v>
          </cell>
          <cell r="W2860">
            <v>0.4</v>
          </cell>
          <cell r="X2860" t="str">
            <v>EST MESA LATERAL STAN (TAMPO FREIJO NATURAL) - Ø0,4x0,6H</v>
          </cell>
          <cell r="Y2860">
            <v>0</v>
          </cell>
          <cell r="Z2860">
            <v>0.5</v>
          </cell>
          <cell r="AA2860">
            <v>0</v>
          </cell>
          <cell r="AB2860"/>
        </row>
        <row r="2861">
          <cell r="C2861">
            <v>0</v>
          </cell>
          <cell r="D2861">
            <v>0</v>
          </cell>
          <cell r="E2861">
            <v>0</v>
          </cell>
          <cell r="F2861">
            <v>0</v>
          </cell>
          <cell r="H2861">
            <v>9</v>
          </cell>
          <cell r="O2861">
            <v>279685</v>
          </cell>
          <cell r="P2861"/>
          <cell r="Q2861" t="str">
            <v>EST MESA LATERAL STAN JR (TAMPO FREIJO NATURAL)</v>
          </cell>
          <cell r="R2861"/>
          <cell r="S2861"/>
          <cell r="T2861">
            <v>0.3</v>
          </cell>
          <cell r="U2861">
            <v>0</v>
          </cell>
          <cell r="V2861">
            <v>0.55000000000000004</v>
          </cell>
          <cell r="W2861">
            <v>0.3</v>
          </cell>
          <cell r="X2861" t="str">
            <v>EST MESA LATERAL STAN JR (TAMPO FREIJO NATURAL) - Ø0,3x0,55H</v>
          </cell>
          <cell r="Y2861">
            <v>0</v>
          </cell>
          <cell r="Z2861">
            <v>0.5</v>
          </cell>
          <cell r="AA2861">
            <v>0</v>
          </cell>
          <cell r="AB2861"/>
        </row>
        <row r="2862">
          <cell r="C2862">
            <v>0</v>
          </cell>
          <cell r="D2862">
            <v>0</v>
          </cell>
          <cell r="E2862">
            <v>0</v>
          </cell>
          <cell r="F2862">
            <v>0</v>
          </cell>
          <cell r="H2862">
            <v>2</v>
          </cell>
          <cell r="O2862">
            <v>280385</v>
          </cell>
          <cell r="P2862"/>
          <cell r="Q2862" t="str">
            <v>EST MESA LATERAL STAN JR (MARMORE MARROM IMPERIAL)</v>
          </cell>
          <cell r="R2862"/>
          <cell r="S2862"/>
          <cell r="T2862">
            <v>0.3</v>
          </cell>
          <cell r="U2862">
            <v>0</v>
          </cell>
          <cell r="V2862">
            <v>0.55000000000000004</v>
          </cell>
          <cell r="W2862">
            <v>0.3</v>
          </cell>
          <cell r="X2862" t="str">
            <v>EST MESA LATERAL STAN JR (MARMORE MARROM IMPERIAL) - Ø0,3x0,55H</v>
          </cell>
          <cell r="Y2862">
            <v>0</v>
          </cell>
          <cell r="Z2862">
            <v>0.5</v>
          </cell>
          <cell r="AA2862">
            <v>0</v>
          </cell>
          <cell r="AB2862"/>
        </row>
        <row r="2863">
          <cell r="C2863">
            <v>0</v>
          </cell>
          <cell r="D2863">
            <v>0</v>
          </cell>
          <cell r="E2863">
            <v>0</v>
          </cell>
          <cell r="F2863">
            <v>0</v>
          </cell>
          <cell r="H2863">
            <v>1</v>
          </cell>
          <cell r="O2863">
            <v>280685</v>
          </cell>
          <cell r="P2863"/>
          <cell r="Q2863" t="str">
            <v>EST CADEIRA OMAR OFFICE S/R (MAD A CINAM EBNZ) COURO CH PTO</v>
          </cell>
          <cell r="R2863"/>
          <cell r="S2863"/>
          <cell r="T2863">
            <v>0.54</v>
          </cell>
          <cell r="U2863">
            <v>0.56999999999999995</v>
          </cell>
          <cell r="V2863">
            <v>0.83</v>
          </cell>
          <cell r="W2863">
            <v>0</v>
          </cell>
          <cell r="X2863" t="str">
            <v>EST CADEIRA OMAR OFFICE S/R (MAD A CINAM EBNZ) COURO CH PTO - 0,54x0,57x0,83H</v>
          </cell>
          <cell r="Y2863">
            <v>0</v>
          </cell>
          <cell r="Z2863">
            <v>0</v>
          </cell>
          <cell r="AA2863">
            <v>0</v>
          </cell>
          <cell r="AB2863"/>
        </row>
        <row r="2864">
          <cell r="C2864">
            <v>0</v>
          </cell>
          <cell r="D2864">
            <v>0</v>
          </cell>
          <cell r="E2864">
            <v>0</v>
          </cell>
          <cell r="F2864">
            <v>0</v>
          </cell>
          <cell r="H2864">
            <v>5</v>
          </cell>
          <cell r="O2864">
            <v>280848</v>
          </cell>
          <cell r="P2864"/>
          <cell r="Q2864" t="str">
            <v>EST CADEIRA ORQUIDEA (MAD B FREIJO NT) COURO NOBUCK 98</v>
          </cell>
          <cell r="R2864"/>
          <cell r="S2864"/>
          <cell r="T2864">
            <v>0.47</v>
          </cell>
          <cell r="U2864">
            <v>0.55000000000000004</v>
          </cell>
          <cell r="V2864">
            <v>0.79</v>
          </cell>
          <cell r="W2864">
            <v>0</v>
          </cell>
          <cell r="X2864" t="str">
            <v>EST CADEIRA ORQUIDEA (MAD B FREIJO NT) COURO NOBUCK 98 - 0,47x0,55x0,79H</v>
          </cell>
          <cell r="Y2864">
            <v>0</v>
          </cell>
          <cell r="Z2864">
            <v>0</v>
          </cell>
          <cell r="AA2864">
            <v>0</v>
          </cell>
          <cell r="AB2864"/>
        </row>
        <row r="2865">
          <cell r="C2865">
            <v>0</v>
          </cell>
          <cell r="D2865">
            <v>0</v>
          </cell>
          <cell r="E2865">
            <v>0</v>
          </cell>
          <cell r="F2865">
            <v>0</v>
          </cell>
          <cell r="H2865">
            <v>1</v>
          </cell>
          <cell r="O2865">
            <v>281308</v>
          </cell>
          <cell r="P2865"/>
          <cell r="Q2865" t="str">
            <v>EST CADEIRA ORQUIDEA (MAD B FREIJO NT) TC FOLHAGEM VERDE</v>
          </cell>
          <cell r="R2865"/>
          <cell r="S2865"/>
          <cell r="T2865">
            <v>0.47</v>
          </cell>
          <cell r="U2865">
            <v>0.55000000000000004</v>
          </cell>
          <cell r="V2865">
            <v>0.79</v>
          </cell>
          <cell r="W2865">
            <v>0</v>
          </cell>
          <cell r="X2865" t="str">
            <v>EST CADEIRA ORQUIDEA (MAD B FREIJO NT) TC FOLHAGEM VERDE - 0,47x0,55x0,79H</v>
          </cell>
          <cell r="Y2865">
            <v>0</v>
          </cell>
          <cell r="Z2865">
            <v>0</v>
          </cell>
          <cell r="AA2865">
            <v>0</v>
          </cell>
          <cell r="AB2865"/>
        </row>
        <row r="2866">
          <cell r="C2866">
            <v>0</v>
          </cell>
          <cell r="D2866">
            <v>0</v>
          </cell>
          <cell r="E2866">
            <v>0</v>
          </cell>
          <cell r="F2866">
            <v>0</v>
          </cell>
          <cell r="H2866">
            <v>0</v>
          </cell>
          <cell r="O2866">
            <v>281448</v>
          </cell>
          <cell r="P2866"/>
          <cell r="Q2866" t="str">
            <v>EST MODULO CHAISE BRACO ESQ LONA MAIS TC PERFECTION NEUTRAL</v>
          </cell>
          <cell r="R2866"/>
          <cell r="S2866"/>
          <cell r="T2866">
            <v>1.6</v>
          </cell>
          <cell r="U2866">
            <v>1.2</v>
          </cell>
          <cell r="V2866">
            <v>0.73</v>
          </cell>
          <cell r="W2866">
            <v>0</v>
          </cell>
          <cell r="X2866" t="str">
            <v>EST MODULO CHAISE BRACO ESQ LONA MAIS TC PERFECTION NEUTRAL - 1,6x1,2x0,73H</v>
          </cell>
          <cell r="Y2866">
            <v>0</v>
          </cell>
          <cell r="Z2866">
            <v>0</v>
          </cell>
          <cell r="AA2866">
            <v>0</v>
          </cell>
          <cell r="AB2866"/>
        </row>
        <row r="2867">
          <cell r="C2867">
            <v>0</v>
          </cell>
          <cell r="D2867">
            <v>0</v>
          </cell>
          <cell r="E2867">
            <v>0</v>
          </cell>
          <cell r="F2867">
            <v>0</v>
          </cell>
          <cell r="H2867">
            <v>0</v>
          </cell>
          <cell r="O2867">
            <v>281449</v>
          </cell>
          <cell r="P2867"/>
          <cell r="Q2867" t="str">
            <v>EST MODULO BRACO DIR LONA MAIS TC PERFECTION NEUTRAL</v>
          </cell>
          <cell r="R2867"/>
          <cell r="S2867"/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 t="str">
            <v>EST MODULO BRACO DIR LONA MAIS TC PERFECTION NEUTRAL - Ø0x0H</v>
          </cell>
          <cell r="Y2867">
            <v>0</v>
          </cell>
          <cell r="Z2867">
            <v>0.5</v>
          </cell>
          <cell r="AA2867">
            <v>0</v>
          </cell>
          <cell r="AB2867"/>
        </row>
        <row r="2868">
          <cell r="C2868">
            <v>0</v>
          </cell>
          <cell r="D2868">
            <v>0</v>
          </cell>
          <cell r="E2868">
            <v>0</v>
          </cell>
          <cell r="F2868">
            <v>0</v>
          </cell>
          <cell r="H2868">
            <v>0</v>
          </cell>
          <cell r="O2868">
            <v>281450</v>
          </cell>
          <cell r="P2868"/>
          <cell r="Q2868" t="str">
            <v>EST MODULO CHAISE S/BRACO LONA MAIS TC PERFECTION NEUTRAL</v>
          </cell>
          <cell r="R2868"/>
          <cell r="S2868"/>
          <cell r="T2868">
            <v>0.95</v>
          </cell>
          <cell r="U2868">
            <v>1.2</v>
          </cell>
          <cell r="V2868">
            <v>0.73</v>
          </cell>
          <cell r="W2868">
            <v>0</v>
          </cell>
          <cell r="X2868" t="str">
            <v>EST MODULO CHAISE S/BRACO LONA MAIS TC PERFECTION NEUTRAL - 0,95x1,2x0,73H</v>
          </cell>
          <cell r="Y2868">
            <v>0</v>
          </cell>
          <cell r="Z2868">
            <v>0</v>
          </cell>
          <cell r="AA2868">
            <v>0</v>
          </cell>
          <cell r="AB2868"/>
        </row>
        <row r="2869">
          <cell r="C2869">
            <v>0</v>
          </cell>
          <cell r="D2869">
            <v>0</v>
          </cell>
          <cell r="E2869">
            <v>0</v>
          </cell>
          <cell r="F2869">
            <v>0</v>
          </cell>
          <cell r="H2869">
            <v>0</v>
          </cell>
          <cell r="O2869">
            <v>281452</v>
          </cell>
          <cell r="P2869"/>
          <cell r="Q2869" t="str">
            <v>EST MODULO S/BRACO LONA MAIS TC PERFECTION NEUTRAL</v>
          </cell>
          <cell r="R2869"/>
          <cell r="S2869"/>
          <cell r="T2869">
            <v>0.95</v>
          </cell>
          <cell r="U2869">
            <v>0.95</v>
          </cell>
          <cell r="V2869">
            <v>0.73</v>
          </cell>
          <cell r="W2869">
            <v>0</v>
          </cell>
          <cell r="X2869" t="str">
            <v>EST MODULO S/BRACO LONA MAIS TC PERFECTION NEUTRAL - 0,95x0,95x0,73H</v>
          </cell>
          <cell r="Y2869">
            <v>0</v>
          </cell>
          <cell r="Z2869">
            <v>0</v>
          </cell>
          <cell r="AA2869">
            <v>0</v>
          </cell>
          <cell r="AB2869"/>
        </row>
        <row r="2870">
          <cell r="C2870">
            <v>0</v>
          </cell>
          <cell r="D2870">
            <v>0</v>
          </cell>
          <cell r="E2870">
            <v>0</v>
          </cell>
          <cell r="F2870">
            <v>0</v>
          </cell>
          <cell r="H2870">
            <v>0</v>
          </cell>
          <cell r="O2870">
            <v>281453</v>
          </cell>
          <cell r="P2870"/>
          <cell r="Q2870" t="str">
            <v>EST PUFF LONA MAIS TC PERFECTION NEUTRAL</v>
          </cell>
          <cell r="R2870"/>
          <cell r="S2870"/>
          <cell r="T2870">
            <v>0.95</v>
          </cell>
          <cell r="U2870">
            <v>0.95</v>
          </cell>
          <cell r="V2870">
            <v>0.4</v>
          </cell>
          <cell r="W2870">
            <v>0</v>
          </cell>
          <cell r="X2870" t="str">
            <v>EST PUFF LONA MAIS TC PERFECTION NEUTRAL - 0,95x0,95x0,4H</v>
          </cell>
          <cell r="Y2870">
            <v>0</v>
          </cell>
          <cell r="Z2870">
            <v>0</v>
          </cell>
          <cell r="AA2870">
            <v>0</v>
          </cell>
          <cell r="AB2870"/>
        </row>
        <row r="2871">
          <cell r="C2871">
            <v>0</v>
          </cell>
          <cell r="D2871">
            <v>0</v>
          </cell>
          <cell r="E2871">
            <v>0</v>
          </cell>
          <cell r="F2871">
            <v>0</v>
          </cell>
          <cell r="H2871">
            <v>0</v>
          </cell>
          <cell r="O2871">
            <v>281454</v>
          </cell>
          <cell r="P2871"/>
          <cell r="Q2871" t="str">
            <v>EST MODULO CHAISE BRACO ESQ LONA MAIS TC PERFECTION NEUTRAL</v>
          </cell>
          <cell r="R2871"/>
          <cell r="S2871"/>
          <cell r="T2871">
            <v>1.2</v>
          </cell>
          <cell r="U2871">
            <v>1.2</v>
          </cell>
          <cell r="V2871">
            <v>0.73</v>
          </cell>
          <cell r="W2871">
            <v>0</v>
          </cell>
          <cell r="X2871" t="str">
            <v>EST MODULO CHAISE BRACO ESQ LONA MAIS TC PERFECTION NEUTRAL - 1,2x1,2x0,73H</v>
          </cell>
          <cell r="Y2871">
            <v>0</v>
          </cell>
          <cell r="Z2871">
            <v>0.5</v>
          </cell>
          <cell r="AA2871">
            <v>0</v>
          </cell>
          <cell r="AB2871"/>
        </row>
        <row r="2872">
          <cell r="C2872">
            <v>0</v>
          </cell>
          <cell r="D2872">
            <v>0</v>
          </cell>
          <cell r="E2872">
            <v>0</v>
          </cell>
          <cell r="F2872">
            <v>0</v>
          </cell>
          <cell r="H2872">
            <v>0</v>
          </cell>
          <cell r="O2872">
            <v>281466</v>
          </cell>
          <cell r="P2872"/>
          <cell r="Q2872" t="str">
            <v>EST ALMOFADA DECORATIVA LONA MAIS TC GALLIA 7888 CAFE</v>
          </cell>
          <cell r="R2872"/>
          <cell r="S2872"/>
          <cell r="T2872">
            <v>0.6</v>
          </cell>
          <cell r="U2872">
            <v>0.6</v>
          </cell>
          <cell r="V2872">
            <v>0</v>
          </cell>
          <cell r="W2872">
            <v>0</v>
          </cell>
          <cell r="X2872" t="str">
            <v>EST ALMOFADA DECORATIVA LONA MAIS TC GALLIA 7888 CAFE - 0,6x0,6x0H</v>
          </cell>
          <cell r="Y2872">
            <v>0</v>
          </cell>
          <cell r="Z2872">
            <v>0</v>
          </cell>
          <cell r="AA2872">
            <v>0</v>
          </cell>
          <cell r="AB2872"/>
        </row>
        <row r="2873">
          <cell r="C2873">
            <v>0</v>
          </cell>
          <cell r="D2873">
            <v>0</v>
          </cell>
          <cell r="E2873">
            <v>0</v>
          </cell>
          <cell r="F2873">
            <v>0</v>
          </cell>
          <cell r="H2873">
            <v>0</v>
          </cell>
          <cell r="O2873">
            <v>281467</v>
          </cell>
          <cell r="P2873"/>
          <cell r="Q2873" t="str">
            <v>EST ALMOFADA DECORATIVA LONA MAIS (RIM) TC GIRONA 7770</v>
          </cell>
          <cell r="R2873"/>
          <cell r="S2873"/>
          <cell r="T2873">
            <v>0.6</v>
          </cell>
          <cell r="U2873">
            <v>0.3</v>
          </cell>
          <cell r="V2873">
            <v>0</v>
          </cell>
          <cell r="W2873">
            <v>0</v>
          </cell>
          <cell r="X2873" t="str">
            <v>EST ALMOFADA DECORATIVA LONA MAIS (RIM) TC GIRONA 7770 - 0,6x0,3x0H</v>
          </cell>
          <cell r="Y2873">
            <v>0</v>
          </cell>
          <cell r="Z2873">
            <v>0</v>
          </cell>
          <cell r="AA2873">
            <v>0</v>
          </cell>
          <cell r="AB2873"/>
        </row>
        <row r="2874">
          <cell r="C2874">
            <v>0</v>
          </cell>
          <cell r="D2874">
            <v>0</v>
          </cell>
          <cell r="E2874">
            <v>0</v>
          </cell>
          <cell r="F2874">
            <v>0</v>
          </cell>
          <cell r="H2874">
            <v>7</v>
          </cell>
          <cell r="O2874">
            <v>281470</v>
          </cell>
          <cell r="P2874"/>
          <cell r="Q2874" t="str">
            <v>EST CADEIRA ESSA (JEQ TABACO) TC PERFECTION NEUTRAL</v>
          </cell>
          <cell r="R2874"/>
          <cell r="S2874"/>
          <cell r="T2874">
            <v>0.56000000000000005</v>
          </cell>
          <cell r="U2874">
            <v>0.59</v>
          </cell>
          <cell r="V2874">
            <v>0.8</v>
          </cell>
          <cell r="W2874">
            <v>0</v>
          </cell>
          <cell r="X2874" t="str">
            <v>EST CADEIRA ESSA (JEQ TABACO) TC PERFECTION NEUTRAL - 0,56x0,59x0,8H</v>
          </cell>
          <cell r="Y2874">
            <v>0</v>
          </cell>
          <cell r="Z2874">
            <v>0.5</v>
          </cell>
          <cell r="AA2874">
            <v>0</v>
          </cell>
          <cell r="AB2874"/>
        </row>
        <row r="2875">
          <cell r="C2875">
            <v>0</v>
          </cell>
          <cell r="D2875">
            <v>0</v>
          </cell>
          <cell r="E2875">
            <v>0</v>
          </cell>
          <cell r="F2875">
            <v>0</v>
          </cell>
          <cell r="H2875">
            <v>6</v>
          </cell>
          <cell r="O2875">
            <v>281472</v>
          </cell>
          <cell r="P2875"/>
          <cell r="Q2875" t="str">
            <v>EST CADEIRA ESSA (MAD A JEQ 03) TC GALLIA MUSGO</v>
          </cell>
          <cell r="R2875"/>
          <cell r="S2875"/>
          <cell r="T2875">
            <v>0.56000000000000005</v>
          </cell>
          <cell r="U2875">
            <v>0.59</v>
          </cell>
          <cell r="V2875">
            <v>0.8</v>
          </cell>
          <cell r="W2875">
            <v>0</v>
          </cell>
          <cell r="X2875" t="str">
            <v>EST CADEIRA ESSA (MAD A JEQ 03) TC GALLIA MUSGO - 0,56x0,59x0,8H</v>
          </cell>
          <cell r="Y2875">
            <v>0</v>
          </cell>
          <cell r="Z2875">
            <v>0</v>
          </cell>
          <cell r="AA2875">
            <v>0</v>
          </cell>
          <cell r="AB2875"/>
        </row>
        <row r="2876">
          <cell r="C2876">
            <v>0</v>
          </cell>
          <cell r="D2876">
            <v>0</v>
          </cell>
          <cell r="E2876">
            <v>0</v>
          </cell>
          <cell r="F2876">
            <v>0</v>
          </cell>
          <cell r="H2876">
            <v>1</v>
          </cell>
          <cell r="O2876">
            <v>281544</v>
          </cell>
          <cell r="P2876"/>
          <cell r="Q2876" t="str">
            <v>EST SOFA OLIVO (ACO PRETO) TC XADREZ SUECIA (PEWTER)</v>
          </cell>
          <cell r="R2876"/>
          <cell r="S2876"/>
          <cell r="T2876">
            <v>2.4500000000000002</v>
          </cell>
          <cell r="U2876">
            <v>0.84</v>
          </cell>
          <cell r="V2876">
            <v>0.7</v>
          </cell>
          <cell r="W2876">
            <v>0</v>
          </cell>
          <cell r="X2876" t="str">
            <v>EST SOFA OLIVO (ACO PRETO) TC XADREZ SUECIA (PEWTER) - 2,45x0,84x0,7H</v>
          </cell>
          <cell r="Y2876">
            <v>0</v>
          </cell>
          <cell r="Z2876">
            <v>0</v>
          </cell>
          <cell r="AA2876">
            <v>0</v>
          </cell>
          <cell r="AB2876"/>
        </row>
        <row r="2877">
          <cell r="C2877">
            <v>0</v>
          </cell>
          <cell r="D2877">
            <v>0</v>
          </cell>
          <cell r="E2877">
            <v>0</v>
          </cell>
          <cell r="F2877">
            <v>0</v>
          </cell>
          <cell r="H2877">
            <v>1</v>
          </cell>
          <cell r="O2877">
            <v>291201</v>
          </cell>
          <cell r="P2877"/>
          <cell r="Q2877" t="str">
            <v>EST SOFA SOFT C/CAPA TC LINHO SAFARI CORES MUSGO/ALM NEUTRO</v>
          </cell>
          <cell r="R2877"/>
          <cell r="S2877"/>
          <cell r="T2877">
            <v>3</v>
          </cell>
          <cell r="U2877">
            <v>1.02</v>
          </cell>
          <cell r="V2877">
            <v>0</v>
          </cell>
          <cell r="W2877">
            <v>0</v>
          </cell>
          <cell r="X2877" t="str">
            <v>EST SOFA SOFT C/CAPA TC LINHO SAFARI CORES MUSGO/ALM NEUTRO - 3x1,02x0H</v>
          </cell>
          <cell r="Y2877">
            <v>0</v>
          </cell>
          <cell r="Z2877">
            <v>0</v>
          </cell>
          <cell r="AA2877">
            <v>0</v>
          </cell>
          <cell r="AB2877"/>
        </row>
        <row r="2878">
          <cell r="C2878">
            <v>0</v>
          </cell>
          <cell r="D2878">
            <v>0</v>
          </cell>
          <cell r="E2878">
            <v>0</v>
          </cell>
          <cell r="F2878">
            <v>0</v>
          </cell>
          <cell r="H2878">
            <v>1</v>
          </cell>
          <cell r="O2878">
            <v>291214</v>
          </cell>
          <cell r="P2878"/>
          <cell r="Q2878" t="str">
            <v>EST MODULO CHAISE BRACO DIR LONA MAIS TC PERFECTION NEUTRAL</v>
          </cell>
          <cell r="R2878"/>
          <cell r="S2878"/>
          <cell r="T2878">
            <v>1.2</v>
          </cell>
          <cell r="U2878">
            <v>1.2</v>
          </cell>
          <cell r="V2878">
            <v>0.73</v>
          </cell>
          <cell r="W2878">
            <v>0</v>
          </cell>
          <cell r="X2878" t="str">
            <v>EST MODULO CHAISE BRACO DIR LONA MAIS TC PERFECTION NEUTRAL - 1,2x1,2x0,73H</v>
          </cell>
          <cell r="Y2878">
            <v>0</v>
          </cell>
          <cell r="Z2878">
            <v>0</v>
          </cell>
          <cell r="AA2878">
            <v>0</v>
          </cell>
          <cell r="AB2878"/>
        </row>
        <row r="2879">
          <cell r="C2879">
            <v>0</v>
          </cell>
          <cell r="D2879">
            <v>0</v>
          </cell>
          <cell r="E2879">
            <v>0</v>
          </cell>
          <cell r="F2879">
            <v>0</v>
          </cell>
          <cell r="H2879">
            <v>1</v>
          </cell>
          <cell r="O2879">
            <v>292815</v>
          </cell>
          <cell r="P2879"/>
          <cell r="Q2879" t="str">
            <v>EST ESCRIVANINHA MARINA (PAU FERRO NATURAL 1) COURO CH 42</v>
          </cell>
          <cell r="R2879"/>
          <cell r="S2879"/>
          <cell r="T2879">
            <v>1.8</v>
          </cell>
          <cell r="U2879">
            <v>0.7</v>
          </cell>
          <cell r="V2879">
            <v>0.75</v>
          </cell>
          <cell r="W2879">
            <v>0</v>
          </cell>
          <cell r="X2879" t="str">
            <v>EST ESCRIVANINHA MARINA (PAU FERRO NATURAL 1) COURO CH 42 - 1,8x0,7x0,75H</v>
          </cell>
          <cell r="Y2879">
            <v>0</v>
          </cell>
          <cell r="Z2879">
            <v>0.5</v>
          </cell>
          <cell r="AA2879">
            <v>0</v>
          </cell>
          <cell r="AB2879"/>
        </row>
        <row r="2880"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H2880">
            <v>1</v>
          </cell>
          <cell r="O2880">
            <v>296319</v>
          </cell>
          <cell r="P2880"/>
          <cell r="Q2880" t="str">
            <v>EST BASE JANTAR GELSOMINA (FREIJO TONALIZADO)</v>
          </cell>
          <cell r="R2880"/>
          <cell r="S2880"/>
          <cell r="T2880">
            <v>0.9</v>
          </cell>
          <cell r="U2880">
            <v>0</v>
          </cell>
          <cell r="V2880">
            <v>0.73</v>
          </cell>
          <cell r="W2880">
            <v>0</v>
          </cell>
          <cell r="X2880" t="str">
            <v>EST BASE JANTAR GELSOMINA (FREIJO TONALIZADO) - Ø0x0,73H</v>
          </cell>
          <cell r="Y2880">
            <v>0</v>
          </cell>
          <cell r="Z2880">
            <v>0</v>
          </cell>
          <cell r="AA2880">
            <v>0</v>
          </cell>
          <cell r="AB2880"/>
        </row>
        <row r="2881">
          <cell r="C2881">
            <v>0</v>
          </cell>
          <cell r="D2881">
            <v>0</v>
          </cell>
          <cell r="E2881">
            <v>0</v>
          </cell>
          <cell r="F2881">
            <v>0</v>
          </cell>
          <cell r="H2881">
            <v>4</v>
          </cell>
          <cell r="O2881">
            <v>297947</v>
          </cell>
          <cell r="P2881"/>
          <cell r="Q2881" t="str">
            <v>EST CADEIRA GB01 TELA (QUADRIC NT) (JEQ 03)</v>
          </cell>
          <cell r="R2881"/>
          <cell r="S2881"/>
          <cell r="T2881">
            <v>0.45</v>
          </cell>
          <cell r="U2881">
            <v>0.48</v>
          </cell>
          <cell r="V2881">
            <v>0.85</v>
          </cell>
          <cell r="W2881">
            <v>0</v>
          </cell>
          <cell r="X2881" t="str">
            <v>EST CADEIRA GB01 TELA (QUADRIC NT) (JEQ 03) - 0,45x0,48x0,85H</v>
          </cell>
          <cell r="Y2881">
            <v>0</v>
          </cell>
          <cell r="Z2881">
            <v>0.5</v>
          </cell>
          <cell r="AA2881">
            <v>0</v>
          </cell>
          <cell r="AB2881"/>
        </row>
        <row r="2882">
          <cell r="C2882">
            <v>0</v>
          </cell>
          <cell r="D2882">
            <v>0</v>
          </cell>
          <cell r="E2882">
            <v>0</v>
          </cell>
          <cell r="F2882">
            <v>0</v>
          </cell>
          <cell r="H2882">
            <v>2</v>
          </cell>
          <cell r="O2882">
            <v>299179</v>
          </cell>
          <cell r="P2882"/>
          <cell r="Q2882" t="str">
            <v>EST BASE JANTAR KAYA (P/ TP 3,00X1,20) (FREIJO NATURAL)</v>
          </cell>
          <cell r="R2882"/>
          <cell r="S2882"/>
          <cell r="T2882">
            <v>2.6</v>
          </cell>
          <cell r="U2882">
            <v>0.8</v>
          </cell>
          <cell r="V2882">
            <v>0.72</v>
          </cell>
          <cell r="W2882">
            <v>0</v>
          </cell>
          <cell r="X2882" t="str">
            <v>EST BASE JANTAR KAYA (P/ TP 3,00X1,20) (FREIJO NATURAL) - 2,6x0,8x0,72H</v>
          </cell>
          <cell r="Y2882">
            <v>0</v>
          </cell>
          <cell r="Z2882">
            <v>0.5</v>
          </cell>
          <cell r="AA2882">
            <v>0</v>
          </cell>
          <cell r="AB2882"/>
        </row>
        <row r="2883">
          <cell r="C2883">
            <v>0</v>
          </cell>
          <cell r="D2883">
            <v>0</v>
          </cell>
          <cell r="E2883">
            <v>0</v>
          </cell>
          <cell r="F2883">
            <v>0</v>
          </cell>
          <cell r="H2883">
            <v>1</v>
          </cell>
          <cell r="O2883">
            <v>299316</v>
          </cell>
          <cell r="P2883"/>
          <cell r="Q2883" t="str">
            <v>EST POLTRONA MOLECA (MAD A COR 102) TC GALLIA NATURAL</v>
          </cell>
          <cell r="R2883"/>
          <cell r="S2883"/>
          <cell r="T2883">
            <v>1.06</v>
          </cell>
          <cell r="U2883">
            <v>0.9</v>
          </cell>
          <cell r="V2883">
            <v>0.8</v>
          </cell>
          <cell r="W2883">
            <v>0</v>
          </cell>
          <cell r="X2883" t="str">
            <v>EST POLTRONA MOLECA (MAD A COR 102) TC GALLIA NATURAL - 1,06x0,9x0,8H</v>
          </cell>
          <cell r="Y2883">
            <v>0</v>
          </cell>
          <cell r="Z2883">
            <v>0</v>
          </cell>
          <cell r="AA2883">
            <v>0</v>
          </cell>
          <cell r="AB2883"/>
        </row>
        <row r="2884">
          <cell r="C2884">
            <v>0</v>
          </cell>
          <cell r="D2884">
            <v>0</v>
          </cell>
          <cell r="E2884">
            <v>0</v>
          </cell>
          <cell r="F2884">
            <v>0</v>
          </cell>
          <cell r="H2884">
            <v>1</v>
          </cell>
          <cell r="O2884">
            <v>299317</v>
          </cell>
          <cell r="P2884"/>
          <cell r="Q2884" t="str">
            <v>EST BANQUETA MOLECA (MAD A COR 102) TC GALLIA NATURAL</v>
          </cell>
          <cell r="R2884"/>
          <cell r="S2884"/>
          <cell r="T2884">
            <v>0.81</v>
          </cell>
          <cell r="U2884">
            <v>0.52</v>
          </cell>
          <cell r="V2884">
            <v>0.43</v>
          </cell>
          <cell r="W2884">
            <v>0</v>
          </cell>
          <cell r="X2884" t="str">
            <v>EST BANQUETA MOLECA (MAD A COR 102) TC GALLIA NATURAL - 0,81x0,52x0,43H</v>
          </cell>
          <cell r="Y2884">
            <v>0</v>
          </cell>
          <cell r="Z2884">
            <v>0</v>
          </cell>
          <cell r="AA2884">
            <v>0</v>
          </cell>
          <cell r="AB2884"/>
        </row>
        <row r="2885">
          <cell r="C2885">
            <v>0</v>
          </cell>
          <cell r="D2885">
            <v>0</v>
          </cell>
          <cell r="E2885">
            <v>0</v>
          </cell>
          <cell r="F2885">
            <v>0</v>
          </cell>
          <cell r="H2885">
            <v>1</v>
          </cell>
          <cell r="O2885">
            <v>300030</v>
          </cell>
          <cell r="P2885"/>
          <cell r="Q2885" t="str">
            <v>EST POLTRONA PORTUGUESA S/B (SOLTO) (IPE) CAMURCA TABACO</v>
          </cell>
          <cell r="R2885"/>
          <cell r="S2885"/>
          <cell r="T2885">
            <v>0.65</v>
          </cell>
          <cell r="U2885">
            <v>0.67</v>
          </cell>
          <cell r="V2885">
            <v>0.75</v>
          </cell>
          <cell r="W2885">
            <v>0</v>
          </cell>
          <cell r="X2885" t="str">
            <v>EST POLTRONA PORTUGUESA S/B (SOLTO) (IPE) CAMURCA TABACO - 0,65x0,67x0,75H</v>
          </cell>
          <cell r="Y2885">
            <v>0</v>
          </cell>
          <cell r="Z2885">
            <v>0</v>
          </cell>
          <cell r="AA2885">
            <v>0</v>
          </cell>
          <cell r="AB2885"/>
        </row>
        <row r="2886">
          <cell r="C2886">
            <v>0</v>
          </cell>
          <cell r="D2886">
            <v>0</v>
          </cell>
          <cell r="E2886">
            <v>0</v>
          </cell>
          <cell r="F2886">
            <v>0</v>
          </cell>
          <cell r="H2886">
            <v>1</v>
          </cell>
          <cell r="O2886">
            <v>300462</v>
          </cell>
          <cell r="P2886"/>
          <cell r="Q2886" t="str">
            <v>EST MESA JANTAR DINA (FREIJO NATURAL)</v>
          </cell>
          <cell r="R2886"/>
          <cell r="S2886"/>
          <cell r="T2886">
            <v>3.5</v>
          </cell>
          <cell r="U2886">
            <v>1.2</v>
          </cell>
          <cell r="V2886">
            <v>0.75</v>
          </cell>
          <cell r="W2886">
            <v>0</v>
          </cell>
          <cell r="X2886" t="str">
            <v>EST MESA JANTAR DINA (FREIJO NATURAL) - 3,5x1,2x0,75H</v>
          </cell>
          <cell r="Y2886">
            <v>0</v>
          </cell>
          <cell r="Z2886">
            <v>0.5</v>
          </cell>
          <cell r="AA2886">
            <v>0</v>
          </cell>
          <cell r="AB2886"/>
        </row>
        <row r="2887">
          <cell r="C2887">
            <v>0</v>
          </cell>
          <cell r="D2887">
            <v>0</v>
          </cell>
          <cell r="E2887">
            <v>0</v>
          </cell>
          <cell r="F2887">
            <v>0</v>
          </cell>
          <cell r="H2887">
            <v>2</v>
          </cell>
          <cell r="O2887">
            <v>300674</v>
          </cell>
          <cell r="P2887"/>
          <cell r="Q2887" t="str">
            <v>EST BANCO FREVO (PINHO DE RIGA)</v>
          </cell>
          <cell r="R2887"/>
          <cell r="S2887"/>
          <cell r="T2887">
            <v>2.2000000000000002</v>
          </cell>
          <cell r="U2887">
            <v>0.5</v>
          </cell>
          <cell r="V2887">
            <v>0.45</v>
          </cell>
          <cell r="W2887">
            <v>0</v>
          </cell>
          <cell r="X2887" t="str">
            <v>EST BANCO FREVO (PINHO DE RIGA) - 2,2x0,5x0,45H</v>
          </cell>
          <cell r="Y2887">
            <v>0</v>
          </cell>
          <cell r="Z2887">
            <v>0.5</v>
          </cell>
          <cell r="AA2887">
            <v>0</v>
          </cell>
          <cell r="AB2887"/>
        </row>
        <row r="2888">
          <cell r="C2888">
            <v>0</v>
          </cell>
          <cell r="D2888">
            <v>0</v>
          </cell>
          <cell r="E2888">
            <v>0</v>
          </cell>
          <cell r="F2888">
            <v>0</v>
          </cell>
          <cell r="H2888">
            <v>2</v>
          </cell>
          <cell r="O2888">
            <v>300675</v>
          </cell>
          <cell r="P2888"/>
          <cell r="Q2888" t="str">
            <v>EST BANCO FREVO (FREIJO)</v>
          </cell>
          <cell r="R2888"/>
          <cell r="S2888"/>
          <cell r="T2888">
            <v>2.2000000000000002</v>
          </cell>
          <cell r="U2888">
            <v>0.5</v>
          </cell>
          <cell r="V2888">
            <v>0.45</v>
          </cell>
          <cell r="W2888">
            <v>0</v>
          </cell>
          <cell r="X2888" t="str">
            <v>EST BANCO FREVO (FREIJO) - 2,2x0,5x0,45H</v>
          </cell>
          <cell r="Y2888">
            <v>0</v>
          </cell>
          <cell r="Z2888">
            <v>0</v>
          </cell>
          <cell r="AA2888">
            <v>0</v>
          </cell>
          <cell r="AB2888"/>
        </row>
        <row r="2889">
          <cell r="C2889">
            <v>0</v>
          </cell>
          <cell r="D2889">
            <v>0</v>
          </cell>
          <cell r="E2889">
            <v>0</v>
          </cell>
          <cell r="F2889">
            <v>0</v>
          </cell>
          <cell r="H2889">
            <v>2</v>
          </cell>
          <cell r="O2889">
            <v>300799</v>
          </cell>
          <cell r="P2889"/>
          <cell r="Q2889" t="str">
            <v>EST POLTRONA MILLOR (FREIJO NATURAL) TC PERFECTION NEUTRAL</v>
          </cell>
          <cell r="R2889"/>
          <cell r="S2889"/>
          <cell r="T2889">
            <v>1</v>
          </cell>
          <cell r="U2889">
            <v>0.92</v>
          </cell>
          <cell r="V2889">
            <v>0.7</v>
          </cell>
          <cell r="W2889">
            <v>0</v>
          </cell>
          <cell r="X2889" t="str">
            <v>EST POLTRONA MILLOR (FREIJO NATURAL) TC PERFECTION NEUTRAL - 1x0,92x0,7H</v>
          </cell>
          <cell r="Y2889">
            <v>0</v>
          </cell>
          <cell r="Z2889">
            <v>0</v>
          </cell>
          <cell r="AA2889">
            <v>0</v>
          </cell>
          <cell r="AB2889"/>
        </row>
        <row r="2890">
          <cell r="C2890">
            <v>0</v>
          </cell>
          <cell r="D2890">
            <v>0</v>
          </cell>
          <cell r="E2890">
            <v>0</v>
          </cell>
          <cell r="F2890">
            <v>0</v>
          </cell>
          <cell r="H2890">
            <v>4</v>
          </cell>
          <cell r="O2890">
            <v>301227</v>
          </cell>
          <cell r="P2890"/>
          <cell r="Q2890" t="str">
            <v>EST BANCO BANQUINHO (IMBUIA)</v>
          </cell>
          <cell r="R2890"/>
          <cell r="S2890"/>
          <cell r="T2890">
            <v>0.63</v>
          </cell>
          <cell r="U2890">
            <v>0.48</v>
          </cell>
          <cell r="V2890">
            <v>0.44</v>
          </cell>
          <cell r="W2890">
            <v>0</v>
          </cell>
          <cell r="X2890" t="str">
            <v>EST BANCO BANQUINHO (IMBUIA) - 0,63x0,48x0,44H</v>
          </cell>
          <cell r="Y2890">
            <v>0</v>
          </cell>
          <cell r="Z2890">
            <v>0</v>
          </cell>
          <cell r="AA2890">
            <v>0</v>
          </cell>
          <cell r="AB2890"/>
        </row>
        <row r="2891">
          <cell r="C2891">
            <v>0</v>
          </cell>
          <cell r="D2891">
            <v>0</v>
          </cell>
          <cell r="E2891">
            <v>0</v>
          </cell>
          <cell r="F2891">
            <v>0</v>
          </cell>
          <cell r="H2891">
            <v>13</v>
          </cell>
          <cell r="O2891">
            <v>302807</v>
          </cell>
          <cell r="P2891"/>
          <cell r="Q2891" t="str">
            <v>EST MESA LATERAL SOLO (MOD 1) (BASE TAIPA) (TP FREIJO)</v>
          </cell>
          <cell r="R2891"/>
          <cell r="S2891"/>
          <cell r="T2891">
            <v>0.3</v>
          </cell>
          <cell r="U2891">
            <v>0.2</v>
          </cell>
          <cell r="V2891">
            <v>0.56000000000000005</v>
          </cell>
          <cell r="W2891">
            <v>0</v>
          </cell>
          <cell r="X2891" t="str">
            <v>EST MESA LATERAL SOLO (MOD 1) (BASE TAIPA) (TP FREIJO) - 0,3x0,2x0,56H</v>
          </cell>
          <cell r="Y2891">
            <v>0</v>
          </cell>
          <cell r="Z2891">
            <v>0.5</v>
          </cell>
          <cell r="AA2891">
            <v>0</v>
          </cell>
          <cell r="AB2891"/>
        </row>
        <row r="2892">
          <cell r="C2892">
            <v>0</v>
          </cell>
          <cell r="D2892">
            <v>0</v>
          </cell>
          <cell r="E2892">
            <v>0</v>
          </cell>
          <cell r="F2892">
            <v>0</v>
          </cell>
          <cell r="H2892">
            <v>13</v>
          </cell>
          <cell r="O2892">
            <v>302809</v>
          </cell>
          <cell r="P2892"/>
          <cell r="Q2892" t="str">
            <v>EST MESA LATERAL SOLO (MOD 1) (BASE TAIPA) (TP IMBUIA)</v>
          </cell>
          <cell r="R2892"/>
          <cell r="S2892"/>
          <cell r="T2892">
            <v>0.3</v>
          </cell>
          <cell r="U2892">
            <v>0.2</v>
          </cell>
          <cell r="V2892">
            <v>0.56000000000000005</v>
          </cell>
          <cell r="W2892">
            <v>0</v>
          </cell>
          <cell r="X2892" t="str">
            <v>EST MESA LATERAL SOLO (MOD 1) (BASE TAIPA) (TP IMBUIA) - 0,3x0,2x0,56H</v>
          </cell>
          <cell r="Y2892">
            <v>0</v>
          </cell>
          <cell r="Z2892">
            <v>0.5</v>
          </cell>
          <cell r="AA2892">
            <v>0</v>
          </cell>
          <cell r="AB2892"/>
        </row>
        <row r="2893">
          <cell r="C2893">
            <v>0</v>
          </cell>
          <cell r="D2893">
            <v>0</v>
          </cell>
          <cell r="E2893">
            <v>0</v>
          </cell>
          <cell r="F2893">
            <v>0</v>
          </cell>
          <cell r="H2893">
            <v>18</v>
          </cell>
          <cell r="O2893">
            <v>302810</v>
          </cell>
          <cell r="P2893"/>
          <cell r="Q2893" t="str">
            <v>EST MESA LATERAL SOLO (MOD 2) (BASE TAIPA) (TP IMBUIA)</v>
          </cell>
          <cell r="R2893"/>
          <cell r="S2893"/>
          <cell r="T2893">
            <v>0.35</v>
          </cell>
          <cell r="U2893">
            <v>0.25</v>
          </cell>
          <cell r="V2893">
            <v>0.62</v>
          </cell>
          <cell r="W2893">
            <v>0</v>
          </cell>
          <cell r="X2893" t="str">
            <v>EST MESA LATERAL SOLO (MOD 2) (BASE TAIPA) (TP IMBUIA) - 0,35x0,25x0,62H</v>
          </cell>
          <cell r="Y2893">
            <v>0</v>
          </cell>
          <cell r="Z2893">
            <v>0.35</v>
          </cell>
          <cell r="AA2893">
            <v>0</v>
          </cell>
          <cell r="AB2893"/>
        </row>
        <row r="2894">
          <cell r="C2894">
            <v>0</v>
          </cell>
          <cell r="D2894">
            <v>0</v>
          </cell>
          <cell r="E2894">
            <v>0</v>
          </cell>
          <cell r="F2894">
            <v>0</v>
          </cell>
          <cell r="H2894">
            <v>14</v>
          </cell>
          <cell r="O2894">
            <v>302811</v>
          </cell>
          <cell r="P2894"/>
          <cell r="Q2894" t="str">
            <v>EST MESA LATERAL SOLO (MOD 2) (BASE TAIPA) (TP FREIJO)</v>
          </cell>
          <cell r="R2894"/>
          <cell r="S2894"/>
          <cell r="T2894">
            <v>0.35</v>
          </cell>
          <cell r="U2894">
            <v>0.25</v>
          </cell>
          <cell r="V2894">
            <v>0.62</v>
          </cell>
          <cell r="W2894">
            <v>0</v>
          </cell>
          <cell r="X2894" t="str">
            <v>EST MESA LATERAL SOLO (MOD 2) (BASE TAIPA) (TP FREIJO) - 0,35x0,25x0,62H</v>
          </cell>
          <cell r="Y2894">
            <v>0</v>
          </cell>
          <cell r="Z2894">
            <v>0.5</v>
          </cell>
          <cell r="AA2894">
            <v>0</v>
          </cell>
          <cell r="AB2894"/>
        </row>
        <row r="2895">
          <cell r="C2895">
            <v>0</v>
          </cell>
          <cell r="D2895">
            <v>0</v>
          </cell>
          <cell r="E2895">
            <v>0</v>
          </cell>
          <cell r="F2895">
            <v>0</v>
          </cell>
          <cell r="H2895">
            <v>5</v>
          </cell>
          <cell r="O2895">
            <v>302821</v>
          </cell>
          <cell r="P2895"/>
          <cell r="Q2895" t="str">
            <v>EST CABIDEIRO SOLO (BASE TAIPA) (HASTE FREIJO)</v>
          </cell>
          <cell r="R2895"/>
          <cell r="S2895"/>
          <cell r="T2895">
            <v>0.36</v>
          </cell>
          <cell r="U2895">
            <v>0.15</v>
          </cell>
          <cell r="V2895">
            <v>0.96</v>
          </cell>
          <cell r="W2895">
            <v>0</v>
          </cell>
          <cell r="X2895" t="str">
            <v>EST CABIDEIRO SOLO (BASE TAIPA) (HASTE FREIJO) - 0,36x0,15x0,96H</v>
          </cell>
          <cell r="Y2895">
            <v>0</v>
          </cell>
          <cell r="Z2895">
            <v>0.5</v>
          </cell>
          <cell r="AA2895">
            <v>0</v>
          </cell>
          <cell r="AB2895"/>
        </row>
        <row r="2896">
          <cell r="C2896">
            <v>0</v>
          </cell>
          <cell r="D2896">
            <v>0</v>
          </cell>
          <cell r="E2896">
            <v>0</v>
          </cell>
          <cell r="F2896">
            <v>0</v>
          </cell>
          <cell r="H2896">
            <v>1</v>
          </cell>
          <cell r="O2896">
            <v>302822</v>
          </cell>
          <cell r="P2896"/>
          <cell r="Q2896" t="str">
            <v>EST CABIDEIRO SOLO (BASE TAIPA) (HASTE IMBUIA)</v>
          </cell>
          <cell r="R2896"/>
          <cell r="S2896"/>
          <cell r="T2896">
            <v>0.36</v>
          </cell>
          <cell r="U2896">
            <v>0.15</v>
          </cell>
          <cell r="V2896">
            <v>0.96</v>
          </cell>
          <cell r="W2896">
            <v>0</v>
          </cell>
          <cell r="X2896" t="str">
            <v>EST CABIDEIRO SOLO (BASE TAIPA) (HASTE IMBUIA) - 0,36x0,15x0,96H</v>
          </cell>
          <cell r="Y2896">
            <v>0</v>
          </cell>
          <cell r="Z2896">
            <v>0.5</v>
          </cell>
          <cell r="AA2896">
            <v>0</v>
          </cell>
          <cell r="AB2896"/>
        </row>
        <row r="2897">
          <cell r="C2897">
            <v>0</v>
          </cell>
          <cell r="D2897">
            <v>0</v>
          </cell>
          <cell r="E2897">
            <v>0</v>
          </cell>
          <cell r="F2897">
            <v>0</v>
          </cell>
          <cell r="H2897">
            <v>1</v>
          </cell>
          <cell r="O2897">
            <v>303855</v>
          </cell>
          <cell r="P2897"/>
          <cell r="Q2897" t="str">
            <v>EST TAMPO GELSOMINA (CIRCULAR) (G3-GREEN P BORDA DUP)</v>
          </cell>
          <cell r="R2897"/>
          <cell r="S2897"/>
          <cell r="T2897">
            <v>1.6</v>
          </cell>
          <cell r="U2897">
            <v>0</v>
          </cell>
          <cell r="V2897">
            <v>0.02</v>
          </cell>
          <cell r="W2897">
            <v>1.6</v>
          </cell>
          <cell r="X2897" t="str">
            <v>EST TAMPO GELSOMINA (CIRCULAR) (G3-GREEN P BORDA DUP) - Ø1,6x0,02H</v>
          </cell>
          <cell r="Y2897">
            <v>0</v>
          </cell>
          <cell r="Z2897">
            <v>0.35</v>
          </cell>
          <cell r="AA2897">
            <v>0</v>
          </cell>
          <cell r="AB2897"/>
        </row>
        <row r="2898">
          <cell r="C2898">
            <v>0</v>
          </cell>
          <cell r="D2898">
            <v>0</v>
          </cell>
          <cell r="E2898">
            <v>0</v>
          </cell>
          <cell r="F2898">
            <v>0</v>
          </cell>
          <cell r="H2898">
            <v>1</v>
          </cell>
          <cell r="O2898">
            <v>304384</v>
          </cell>
          <cell r="P2898"/>
          <cell r="Q2898" t="str">
            <v>EST SOFA AIR II (BASE PRETA) TC PERFECTION NEUTRAL</v>
          </cell>
          <cell r="R2898"/>
          <cell r="S2898"/>
          <cell r="T2898">
            <v>3</v>
          </cell>
          <cell r="U2898">
            <v>0.97</v>
          </cell>
          <cell r="V2898">
            <v>0.7</v>
          </cell>
          <cell r="W2898">
            <v>0</v>
          </cell>
          <cell r="X2898" t="str">
            <v>EST SOFA AIR II (BASE PRETA) TC PERFECTION NEUTRAL - 3x0,97x0,7H</v>
          </cell>
          <cell r="Y2898">
            <v>0</v>
          </cell>
          <cell r="Z2898">
            <v>0</v>
          </cell>
          <cell r="AA2898">
            <v>0</v>
          </cell>
          <cell r="AB2898"/>
        </row>
        <row r="2899">
          <cell r="C2899">
            <v>0</v>
          </cell>
          <cell r="D2899">
            <v>0</v>
          </cell>
          <cell r="E2899">
            <v>0</v>
          </cell>
          <cell r="F2899">
            <v>0</v>
          </cell>
          <cell r="H2899">
            <v>1</v>
          </cell>
          <cell r="O2899">
            <v>307682</v>
          </cell>
          <cell r="P2899"/>
          <cell r="Q2899" t="str">
            <v>EST MESA LATERAL CONINHA (JEQUITIBA NT) (TPO METAL PTO FSC)</v>
          </cell>
          <cell r="R2899"/>
          <cell r="S2899"/>
          <cell r="T2899">
            <v>0.35</v>
          </cell>
          <cell r="U2899">
            <v>0</v>
          </cell>
          <cell r="V2899">
            <v>0.5</v>
          </cell>
          <cell r="W2899">
            <v>0.35</v>
          </cell>
          <cell r="X2899" t="str">
            <v>EST MESA LATERAL CONINHA (JEQUITIBA NT) (TPO METAL PTO FSC) - Ø0,35x0,5H</v>
          </cell>
          <cell r="Y2899">
            <v>0</v>
          </cell>
          <cell r="Z2899">
            <v>0</v>
          </cell>
          <cell r="AA2899">
            <v>0</v>
          </cell>
          <cell r="AB2899"/>
        </row>
        <row r="2900">
          <cell r="C2900">
            <v>0</v>
          </cell>
          <cell r="D2900">
            <v>0</v>
          </cell>
          <cell r="E2900">
            <v>0</v>
          </cell>
          <cell r="F2900">
            <v>0</v>
          </cell>
          <cell r="H2900">
            <v>1</v>
          </cell>
          <cell r="O2900">
            <v>307712</v>
          </cell>
          <cell r="P2900"/>
          <cell r="Q2900" t="str">
            <v>EST MESA LATERAL CHEGA AQUI (LISA) (SUCUPIRA) BS PRETA FSC</v>
          </cell>
          <cell r="R2900"/>
          <cell r="S2900"/>
          <cell r="T2900">
            <v>0.41</v>
          </cell>
          <cell r="U2900">
            <v>0</v>
          </cell>
          <cell r="V2900">
            <v>0.7</v>
          </cell>
          <cell r="W2900">
            <v>0.41</v>
          </cell>
          <cell r="X2900" t="str">
            <v>EST MESA LATERAL CHEGA AQUI (LISA) (SUCUPIRA) BS PRETA FSC - Ø0,41x0,7H</v>
          </cell>
          <cell r="Y2900">
            <v>0</v>
          </cell>
          <cell r="Z2900">
            <v>0</v>
          </cell>
          <cell r="AA2900">
            <v>0</v>
          </cell>
          <cell r="AB2900"/>
        </row>
        <row r="2901">
          <cell r="C2901">
            <v>0</v>
          </cell>
          <cell r="D2901">
            <v>0</v>
          </cell>
          <cell r="E2901">
            <v>0</v>
          </cell>
          <cell r="F2901">
            <v>0</v>
          </cell>
          <cell r="H2901">
            <v>1</v>
          </cell>
          <cell r="O2901">
            <v>307724</v>
          </cell>
          <cell r="P2901"/>
          <cell r="Q2901" t="str">
            <v>EST MESA LATERAL CONINHA (BASE CONCRETO) (TPO METAL PTO FSC)</v>
          </cell>
          <cell r="R2901"/>
          <cell r="S2901"/>
          <cell r="T2901">
            <v>0.35</v>
          </cell>
          <cell r="U2901">
            <v>0</v>
          </cell>
          <cell r="V2901">
            <v>0.48</v>
          </cell>
          <cell r="W2901">
            <v>0.35</v>
          </cell>
          <cell r="X2901" t="str">
            <v>EST MESA LATERAL CONINHA (BASE CONCRETO) (TPO METAL PTO FSC) - Ø0,35x0,48H</v>
          </cell>
          <cell r="Y2901">
            <v>0</v>
          </cell>
          <cell r="Z2901">
            <v>0</v>
          </cell>
          <cell r="AA2901">
            <v>0</v>
          </cell>
          <cell r="AB2901"/>
        </row>
        <row r="2902">
          <cell r="C2902">
            <v>0</v>
          </cell>
          <cell r="D2902">
            <v>0</v>
          </cell>
          <cell r="E2902">
            <v>0</v>
          </cell>
          <cell r="F2902">
            <v>0</v>
          </cell>
          <cell r="H2902">
            <v>6</v>
          </cell>
          <cell r="O2902">
            <v>307864</v>
          </cell>
          <cell r="P2902"/>
          <cell r="Q2902" t="str">
            <v>EST CADEIRA GB01 MISTA (JEQ 03) (SEXT NT) TC MAGNOL 112</v>
          </cell>
          <cell r="R2902"/>
          <cell r="S2902"/>
          <cell r="T2902">
            <v>0.45</v>
          </cell>
          <cell r="U2902">
            <v>0.48</v>
          </cell>
          <cell r="V2902">
            <v>0</v>
          </cell>
          <cell r="W2902">
            <v>0</v>
          </cell>
          <cell r="X2902" t="str">
            <v>EST CADEIRA GB01 MISTA (JEQ 03) (SEXT NT) TC MAGNOL 112 - 0,45x0,48x0H</v>
          </cell>
          <cell r="Y2902">
            <v>0</v>
          </cell>
          <cell r="Z2902">
            <v>0</v>
          </cell>
          <cell r="AA2902">
            <v>0</v>
          </cell>
          <cell r="AB2902"/>
        </row>
        <row r="2903">
          <cell r="C2903">
            <v>0</v>
          </cell>
          <cell r="D2903">
            <v>0</v>
          </cell>
          <cell r="E2903">
            <v>0</v>
          </cell>
          <cell r="F2903">
            <v>0</v>
          </cell>
          <cell r="H2903">
            <v>1</v>
          </cell>
          <cell r="O2903">
            <v>307969</v>
          </cell>
          <cell r="P2903"/>
          <cell r="Q2903" t="str">
            <v>EST SOFA OLIVO (ACO PRETO) TC LINHO FREIXO (PEWTER)</v>
          </cell>
          <cell r="R2903"/>
          <cell r="S2903"/>
          <cell r="T2903">
            <v>2.4500000000000002</v>
          </cell>
          <cell r="U2903">
            <v>0.84</v>
          </cell>
          <cell r="V2903">
            <v>0.7</v>
          </cell>
          <cell r="W2903">
            <v>0</v>
          </cell>
          <cell r="X2903" t="str">
            <v>EST SOFA OLIVO (ACO PRETO) TC LINHO FREIXO (PEWTER) - 2,45x0,84x0,7H</v>
          </cell>
          <cell r="Y2903">
            <v>0</v>
          </cell>
          <cell r="Z2903">
            <v>0</v>
          </cell>
          <cell r="AA2903">
            <v>0</v>
          </cell>
          <cell r="AB2903"/>
        </row>
        <row r="2904">
          <cell r="C2904">
            <v>0</v>
          </cell>
          <cell r="D2904">
            <v>0</v>
          </cell>
          <cell r="E2904">
            <v>0</v>
          </cell>
          <cell r="F2904">
            <v>0</v>
          </cell>
          <cell r="H2904">
            <v>1</v>
          </cell>
          <cell r="O2904">
            <v>307970</v>
          </cell>
          <cell r="P2904"/>
          <cell r="Q2904" t="str">
            <v>EST SOFA OLIVO (ACO PRETO) TC LINHO FREIXO (SILVER)</v>
          </cell>
          <cell r="R2904"/>
          <cell r="S2904"/>
          <cell r="T2904">
            <v>1.85</v>
          </cell>
          <cell r="U2904">
            <v>0.84</v>
          </cell>
          <cell r="V2904">
            <v>0.7</v>
          </cell>
          <cell r="W2904">
            <v>0</v>
          </cell>
          <cell r="X2904" t="str">
            <v>EST SOFA OLIVO (ACO PRETO) TC LINHO FREIXO (SILVER) - 1,85x0,84x0,7H</v>
          </cell>
          <cell r="Y2904">
            <v>0</v>
          </cell>
          <cell r="Z2904">
            <v>0</v>
          </cell>
          <cell r="AA2904">
            <v>0</v>
          </cell>
          <cell r="AB2904"/>
        </row>
        <row r="2905">
          <cell r="C2905">
            <v>0</v>
          </cell>
          <cell r="D2905">
            <v>0</v>
          </cell>
          <cell r="E2905">
            <v>0</v>
          </cell>
          <cell r="F2905">
            <v>0</v>
          </cell>
          <cell r="H2905">
            <v>0</v>
          </cell>
          <cell r="O2905">
            <v>308019</v>
          </cell>
          <cell r="P2905"/>
          <cell r="Q2905" t="str">
            <v>EST ESTANTE GB 02 (DUPLA) (PINHO NATURAL)</v>
          </cell>
          <cell r="R2905"/>
          <cell r="S2905"/>
          <cell r="T2905">
            <v>2.7</v>
          </cell>
          <cell r="U2905">
            <v>0.4</v>
          </cell>
          <cell r="V2905">
            <v>2.15</v>
          </cell>
          <cell r="W2905">
            <v>0</v>
          </cell>
          <cell r="X2905" t="str">
            <v>EST ESTANTE GB 02 (DUPLA) (PINHO NATURAL) - 2,7x0,4x2,15H</v>
          </cell>
          <cell r="Y2905">
            <v>0</v>
          </cell>
          <cell r="Z2905">
            <v>0.5</v>
          </cell>
          <cell r="AA2905">
            <v>0</v>
          </cell>
          <cell r="AB2905"/>
        </row>
        <row r="2906">
          <cell r="C2906">
            <v>0</v>
          </cell>
          <cell r="D2906">
            <v>0</v>
          </cell>
          <cell r="E2906">
            <v>0</v>
          </cell>
          <cell r="F2906">
            <v>0</v>
          </cell>
          <cell r="H2906">
            <v>1</v>
          </cell>
          <cell r="O2906">
            <v>308717</v>
          </cell>
          <cell r="P2906"/>
          <cell r="Q2906" t="str">
            <v>EST MESA JANTAR U (CIRCULAR) (MADEIRA CARVALHO NATURAL)</v>
          </cell>
          <cell r="R2906"/>
          <cell r="S2906"/>
          <cell r="T2906">
            <v>1.5</v>
          </cell>
          <cell r="U2906">
            <v>0</v>
          </cell>
          <cell r="V2906">
            <v>0.74</v>
          </cell>
          <cell r="W2906">
            <v>1.5</v>
          </cell>
          <cell r="X2906" t="str">
            <v>EST MESA JANTAR U (CIRCULAR) (MADEIRA CARVALHO NATURAL) - Ø1,5x0,74H</v>
          </cell>
          <cell r="Y2906">
            <v>0</v>
          </cell>
          <cell r="Z2906">
            <v>0</v>
          </cell>
          <cell r="AA2906">
            <v>0</v>
          </cell>
          <cell r="AB2906"/>
        </row>
        <row r="2907">
          <cell r="C2907">
            <v>0</v>
          </cell>
          <cell r="D2907">
            <v>0</v>
          </cell>
          <cell r="E2907">
            <v>0</v>
          </cell>
          <cell r="F2907">
            <v>0</v>
          </cell>
          <cell r="H2907">
            <v>1</v>
          </cell>
          <cell r="O2907">
            <v>308774</v>
          </cell>
          <cell r="P2907"/>
          <cell r="Q2907" t="str">
            <v>EST POLTRONA MOLE (MAD B COR 03) COURO CAMURCA MOSTARDA</v>
          </cell>
          <cell r="R2907"/>
          <cell r="S2907"/>
          <cell r="T2907">
            <v>1.2</v>
          </cell>
          <cell r="U2907">
            <v>1.05</v>
          </cell>
          <cell r="V2907">
            <v>0.82</v>
          </cell>
          <cell r="W2907">
            <v>0</v>
          </cell>
          <cell r="X2907" t="str">
            <v>EST POLTRONA MOLE (MAD B COR 03) COURO CAMURCA MOSTARDA - 1,2x1,05x0,82H</v>
          </cell>
          <cell r="Y2907">
            <v>0</v>
          </cell>
          <cell r="Z2907">
            <v>0.5</v>
          </cell>
          <cell r="AA2907">
            <v>0</v>
          </cell>
          <cell r="AB2907"/>
        </row>
        <row r="2908">
          <cell r="C2908">
            <v>0</v>
          </cell>
          <cell r="D2908">
            <v>0</v>
          </cell>
          <cell r="E2908">
            <v>0</v>
          </cell>
          <cell r="F2908">
            <v>0</v>
          </cell>
          <cell r="H2908">
            <v>1</v>
          </cell>
          <cell r="O2908">
            <v>308775</v>
          </cell>
          <cell r="P2908"/>
          <cell r="Q2908" t="str">
            <v>EST BANQUETA MOLE (MAD B COR 03) COURO CAMURCA MOSTARDA</v>
          </cell>
          <cell r="R2908"/>
          <cell r="S2908"/>
          <cell r="T2908">
            <v>0.82</v>
          </cell>
          <cell r="U2908">
            <v>0.59</v>
          </cell>
          <cell r="V2908">
            <v>0.45</v>
          </cell>
          <cell r="W2908">
            <v>0</v>
          </cell>
          <cell r="X2908" t="str">
            <v>EST BANQUETA MOLE (MAD B COR 03) COURO CAMURCA MOSTARDA - 0,82x0,59x0,45H</v>
          </cell>
          <cell r="Y2908">
            <v>0</v>
          </cell>
          <cell r="Z2908">
            <v>0.5</v>
          </cell>
          <cell r="AA2908">
            <v>0</v>
          </cell>
          <cell r="AB2908"/>
        </row>
        <row r="2909">
          <cell r="C2909">
            <v>0</v>
          </cell>
          <cell r="D2909">
            <v>0</v>
          </cell>
          <cell r="E2909">
            <v>0</v>
          </cell>
          <cell r="F2909">
            <v>0</v>
          </cell>
          <cell r="H2909">
            <v>2</v>
          </cell>
          <cell r="O2909">
            <v>309402</v>
          </cell>
          <cell r="P2909"/>
          <cell r="Q2909" t="str">
            <v>EST POLTRONA MOLECA (MAD A COR 02) COURO NOBUCK 10</v>
          </cell>
          <cell r="R2909"/>
          <cell r="S2909"/>
          <cell r="T2909">
            <v>1.06</v>
          </cell>
          <cell r="U2909">
            <v>0.9</v>
          </cell>
          <cell r="V2909">
            <v>0.8</v>
          </cell>
          <cell r="W2909">
            <v>0</v>
          </cell>
          <cell r="X2909" t="str">
            <v>EST POLTRONA MOLECA (MAD A COR 02) COURO NOBUCK 10 - 1,06x0,9x0,8H</v>
          </cell>
          <cell r="Y2909">
            <v>0</v>
          </cell>
          <cell r="Z2909">
            <v>0</v>
          </cell>
          <cell r="AA2909">
            <v>0</v>
          </cell>
          <cell r="AB2909"/>
        </row>
        <row r="2910">
          <cell r="C2910">
            <v>0</v>
          </cell>
          <cell r="D2910">
            <v>0</v>
          </cell>
          <cell r="E2910">
            <v>0</v>
          </cell>
          <cell r="F2910">
            <v>0</v>
          </cell>
          <cell r="H2910">
            <v>2</v>
          </cell>
          <cell r="O2910">
            <v>309403</v>
          </cell>
          <cell r="P2910"/>
          <cell r="Q2910" t="str">
            <v>EST BANQUETA MOLECA (MAD A COR 02) COURO NOBUK 10</v>
          </cell>
          <cell r="R2910"/>
          <cell r="S2910"/>
          <cell r="T2910">
            <v>0.81</v>
          </cell>
          <cell r="U2910">
            <v>0.52</v>
          </cell>
          <cell r="V2910">
            <v>0.43</v>
          </cell>
          <cell r="W2910">
            <v>0</v>
          </cell>
          <cell r="X2910" t="str">
            <v>EST BANQUETA MOLECA (MAD A COR 02) COURO NOBUK 10 - 0,81x0,52x0,43H</v>
          </cell>
          <cell r="Y2910">
            <v>0</v>
          </cell>
          <cell r="Z2910">
            <v>0</v>
          </cell>
          <cell r="AA2910">
            <v>0</v>
          </cell>
          <cell r="AB2910"/>
        </row>
        <row r="2911">
          <cell r="C2911">
            <v>0</v>
          </cell>
          <cell r="D2911">
            <v>0</v>
          </cell>
          <cell r="E2911">
            <v>0</v>
          </cell>
          <cell r="F2911">
            <v>0</v>
          </cell>
          <cell r="H2911">
            <v>9</v>
          </cell>
          <cell r="O2911">
            <v>309887</v>
          </cell>
          <cell r="P2911"/>
          <cell r="Q2911" t="str">
            <v>EST MESA LATERAL STAN JR (MARMORE CARRARA)</v>
          </cell>
          <cell r="R2911"/>
          <cell r="S2911"/>
          <cell r="T2911">
            <v>0.3</v>
          </cell>
          <cell r="U2911">
            <v>0</v>
          </cell>
          <cell r="V2911">
            <v>0.55000000000000004</v>
          </cell>
          <cell r="W2911">
            <v>0.3</v>
          </cell>
          <cell r="X2911" t="str">
            <v>EST MESA LATERAL STAN JR (MARMORE CARRARA) - Ø0,3x0,55H</v>
          </cell>
          <cell r="Y2911">
            <v>0</v>
          </cell>
          <cell r="Z2911">
            <v>0.5</v>
          </cell>
          <cell r="AA2911">
            <v>0</v>
          </cell>
          <cell r="AB2911"/>
        </row>
        <row r="2912">
          <cell r="C2912">
            <v>0</v>
          </cell>
          <cell r="D2912">
            <v>0</v>
          </cell>
          <cell r="E2912">
            <v>0</v>
          </cell>
          <cell r="F2912">
            <v>0</v>
          </cell>
          <cell r="H2912">
            <v>6</v>
          </cell>
          <cell r="O2912">
            <v>309888</v>
          </cell>
          <cell r="P2912"/>
          <cell r="Q2912" t="str">
            <v>EST MESA LATERAL STAN JR (MARMORE VERDE ALPI)</v>
          </cell>
          <cell r="R2912"/>
          <cell r="S2912"/>
          <cell r="T2912">
            <v>0.3</v>
          </cell>
          <cell r="U2912">
            <v>0</v>
          </cell>
          <cell r="V2912">
            <v>0.55000000000000004</v>
          </cell>
          <cell r="W2912">
            <v>0.3</v>
          </cell>
          <cell r="X2912" t="str">
            <v>EST MESA LATERAL STAN JR (MARMORE VERDE ALPI) - Ø0,3x0,55H</v>
          </cell>
          <cell r="Y2912">
            <v>0</v>
          </cell>
          <cell r="Z2912">
            <v>0.5</v>
          </cell>
          <cell r="AA2912">
            <v>0</v>
          </cell>
          <cell r="AB2912"/>
        </row>
        <row r="2913">
          <cell r="C2913">
            <v>0</v>
          </cell>
          <cell r="D2913">
            <v>0</v>
          </cell>
          <cell r="E2913">
            <v>0</v>
          </cell>
          <cell r="F2913">
            <v>0</v>
          </cell>
          <cell r="H2913">
            <v>1</v>
          </cell>
          <cell r="O2913">
            <v>309930</v>
          </cell>
          <cell r="P2913"/>
          <cell r="Q2913" t="str">
            <v>EST BANCO OSSO (INTEIRO MADEIRA CEDRO)</v>
          </cell>
          <cell r="R2913"/>
          <cell r="S2913"/>
          <cell r="T2913">
            <v>2</v>
          </cell>
          <cell r="U2913">
            <v>0.5</v>
          </cell>
          <cell r="V2913">
            <v>0.4</v>
          </cell>
          <cell r="W2913">
            <v>0</v>
          </cell>
          <cell r="X2913" t="str">
            <v>EST BANCO OSSO (INTEIRO MADEIRA CEDRO) - 2x0,5x0,4H</v>
          </cell>
          <cell r="Y2913">
            <v>0</v>
          </cell>
          <cell r="Z2913">
            <v>0</v>
          </cell>
          <cell r="AA2913">
            <v>0</v>
          </cell>
          <cell r="AB2913"/>
        </row>
        <row r="2914">
          <cell r="C2914">
            <v>0</v>
          </cell>
          <cell r="D2914">
            <v>0</v>
          </cell>
          <cell r="E2914">
            <v>0</v>
          </cell>
          <cell r="F2914">
            <v>0</v>
          </cell>
          <cell r="H2914">
            <v>4</v>
          </cell>
          <cell r="O2914">
            <v>309932</v>
          </cell>
          <cell r="P2914"/>
          <cell r="Q2914" t="str">
            <v>EST MESA LATERAL STAN (MARMORE CARRARA)</v>
          </cell>
          <cell r="R2914"/>
          <cell r="S2914"/>
          <cell r="T2914">
            <v>0.4</v>
          </cell>
          <cell r="U2914">
            <v>0</v>
          </cell>
          <cell r="V2914">
            <v>0.6</v>
          </cell>
          <cell r="W2914">
            <v>0.4</v>
          </cell>
          <cell r="X2914" t="str">
            <v>EST MESA LATERAL STAN (MARMORE CARRARA) - Ø0,4x0,6H</v>
          </cell>
          <cell r="Y2914">
            <v>0</v>
          </cell>
          <cell r="Z2914">
            <v>0.5</v>
          </cell>
          <cell r="AA2914">
            <v>0</v>
          </cell>
          <cell r="AB2914"/>
        </row>
        <row r="2915">
          <cell r="C2915">
            <v>0</v>
          </cell>
          <cell r="D2915">
            <v>0</v>
          </cell>
          <cell r="E2915">
            <v>0</v>
          </cell>
          <cell r="F2915">
            <v>0</v>
          </cell>
          <cell r="H2915">
            <v>4</v>
          </cell>
          <cell r="O2915">
            <v>309935</v>
          </cell>
          <cell r="P2915"/>
          <cell r="Q2915" t="str">
            <v>EST MESA LATERAL STAN (MARMORE VERDE ALPI)</v>
          </cell>
          <cell r="R2915"/>
          <cell r="S2915"/>
          <cell r="T2915">
            <v>0.4</v>
          </cell>
          <cell r="U2915">
            <v>0</v>
          </cell>
          <cell r="V2915">
            <v>0.6</v>
          </cell>
          <cell r="W2915">
            <v>0.4</v>
          </cell>
          <cell r="X2915" t="str">
            <v>EST MESA LATERAL STAN (MARMORE VERDE ALPI) - Ø0,4x0,6H</v>
          </cell>
          <cell r="Y2915">
            <v>0</v>
          </cell>
          <cell r="Z2915">
            <v>0.5</v>
          </cell>
          <cell r="AA2915">
            <v>0</v>
          </cell>
          <cell r="AB2915"/>
        </row>
        <row r="2916">
          <cell r="C2916">
            <v>0</v>
          </cell>
          <cell r="D2916">
            <v>0</v>
          </cell>
          <cell r="E2916">
            <v>0</v>
          </cell>
          <cell r="F2916">
            <v>0</v>
          </cell>
          <cell r="H2916">
            <v>3</v>
          </cell>
          <cell r="O2916">
            <v>309936</v>
          </cell>
          <cell r="P2916"/>
          <cell r="Q2916" t="str">
            <v>EST MESA LATERAL STAN (MARMORE MARROM IMPERIAL)</v>
          </cell>
          <cell r="R2916"/>
          <cell r="S2916"/>
          <cell r="T2916">
            <v>0.4</v>
          </cell>
          <cell r="U2916">
            <v>0</v>
          </cell>
          <cell r="V2916">
            <v>0.6</v>
          </cell>
          <cell r="W2916">
            <v>0.4</v>
          </cell>
          <cell r="X2916" t="str">
            <v>EST MESA LATERAL STAN (MARMORE MARROM IMPERIAL) - Ø0,4x0,6H</v>
          </cell>
          <cell r="Y2916">
            <v>0</v>
          </cell>
          <cell r="Z2916">
            <v>0.5</v>
          </cell>
          <cell r="AA2916">
            <v>0</v>
          </cell>
          <cell r="AB2916"/>
        </row>
        <row r="2917">
          <cell r="C2917">
            <v>0</v>
          </cell>
          <cell r="D2917">
            <v>0</v>
          </cell>
          <cell r="E2917">
            <v>0</v>
          </cell>
          <cell r="F2917">
            <v>0</v>
          </cell>
          <cell r="H2917">
            <v>1</v>
          </cell>
          <cell r="O2917">
            <v>312382</v>
          </cell>
          <cell r="P2917"/>
          <cell r="Q2917" t="str">
            <v>EST POLTRONA RIO (IMBUIA) (TELA NATURAL)</v>
          </cell>
          <cell r="R2917"/>
          <cell r="S2917"/>
          <cell r="T2917">
            <v>0.66</v>
          </cell>
          <cell r="U2917">
            <v>0.7</v>
          </cell>
          <cell r="V2917">
            <v>0.69</v>
          </cell>
          <cell r="W2917">
            <v>0</v>
          </cell>
          <cell r="X2917" t="str">
            <v>EST POLTRONA RIO (IMBUIA) (TELA NATURAL) - 0,66x0,7x0,69H</v>
          </cell>
          <cell r="Y2917">
            <v>0</v>
          </cell>
          <cell r="Z2917">
            <v>0</v>
          </cell>
          <cell r="AA2917">
            <v>0</v>
          </cell>
          <cell r="AB2917"/>
        </row>
        <row r="2918">
          <cell r="C2918">
            <v>0</v>
          </cell>
          <cell r="D2918">
            <v>0</v>
          </cell>
          <cell r="E2918">
            <v>0</v>
          </cell>
          <cell r="F2918">
            <v>0</v>
          </cell>
          <cell r="H2918">
            <v>2</v>
          </cell>
          <cell r="O2918">
            <v>314630</v>
          </cell>
          <cell r="P2918"/>
          <cell r="Q2918" t="str">
            <v>EST POLTRONA LEVE (MAD B LOURO ESP) COURO NOBUCK VERDE</v>
          </cell>
          <cell r="R2918"/>
          <cell r="S2918"/>
          <cell r="T2918">
            <v>0.76</v>
          </cell>
          <cell r="U2918">
            <v>0.87</v>
          </cell>
          <cell r="V2918">
            <v>0.85</v>
          </cell>
          <cell r="W2918">
            <v>0</v>
          </cell>
          <cell r="X2918" t="str">
            <v>EST POLTRONA LEVE (MAD B LOURO ESP) COURO NOBUCK VERDE - 0,76x0,87x0,85H</v>
          </cell>
          <cell r="Y2918">
            <v>0</v>
          </cell>
          <cell r="Z2918">
            <v>0</v>
          </cell>
          <cell r="AA2918">
            <v>0</v>
          </cell>
          <cell r="AB2918"/>
        </row>
        <row r="2919">
          <cell r="C2919">
            <v>0</v>
          </cell>
          <cell r="D2919">
            <v>0</v>
          </cell>
          <cell r="E2919">
            <v>0</v>
          </cell>
          <cell r="F2919">
            <v>0</v>
          </cell>
          <cell r="H2919">
            <v>5</v>
          </cell>
          <cell r="O2919">
            <v>314631</v>
          </cell>
          <cell r="P2919"/>
          <cell r="Q2919" t="str">
            <v>EST POLTRONA MILHAZES (IMBUIA) COURO IMPORT 300</v>
          </cell>
          <cell r="R2919"/>
          <cell r="S2919"/>
          <cell r="T2919">
            <v>0.62</v>
          </cell>
          <cell r="U2919">
            <v>0.65</v>
          </cell>
          <cell r="V2919">
            <v>0.8</v>
          </cell>
          <cell r="W2919">
            <v>0</v>
          </cell>
          <cell r="X2919" t="str">
            <v>EST POLTRONA MILHAZES (IMBUIA) COURO IMPORT 300 - 0,62x0,65x0,8H</v>
          </cell>
          <cell r="Y2919">
            <v>0</v>
          </cell>
          <cell r="Z2919">
            <v>0.5</v>
          </cell>
          <cell r="AA2919">
            <v>0</v>
          </cell>
          <cell r="AB2919"/>
        </row>
        <row r="2920">
          <cell r="C2920">
            <v>0</v>
          </cell>
          <cell r="D2920">
            <v>0</v>
          </cell>
          <cell r="E2920">
            <v>0</v>
          </cell>
          <cell r="F2920">
            <v>0</v>
          </cell>
          <cell r="H2920">
            <v>0</v>
          </cell>
          <cell r="O2920">
            <v>314637</v>
          </cell>
          <cell r="P2920"/>
          <cell r="Q2920" t="str">
            <v>EST POLTRONA TETE (FREIJO NT) COURO NOBUK 98 /ALM AVESSO</v>
          </cell>
          <cell r="R2920"/>
          <cell r="S2920"/>
          <cell r="T2920">
            <v>0.86</v>
          </cell>
          <cell r="U2920">
            <v>0.84</v>
          </cell>
          <cell r="V2920">
            <v>0.75</v>
          </cell>
          <cell r="W2920">
            <v>0</v>
          </cell>
          <cell r="X2920" t="str">
            <v>EST POLTRONA TETE (FREIJO NT) COURO NOBUK 98 /ALM AVESSO - 0,86x0,84x0,75H</v>
          </cell>
          <cell r="Y2920">
            <v>0</v>
          </cell>
          <cell r="Z2920">
            <v>0.5</v>
          </cell>
          <cell r="AA2920">
            <v>0</v>
          </cell>
          <cell r="AB2920"/>
        </row>
        <row r="2921">
          <cell r="C2921">
            <v>0</v>
          </cell>
          <cell r="D2921">
            <v>0</v>
          </cell>
          <cell r="E2921">
            <v>0</v>
          </cell>
          <cell r="F2921">
            <v>0</v>
          </cell>
          <cell r="H2921">
            <v>0</v>
          </cell>
          <cell r="O2921">
            <v>316517</v>
          </cell>
          <cell r="P2921"/>
          <cell r="Q2921" t="str">
            <v>EST MESA LATERAL KATI (FREIJO NATURAL)</v>
          </cell>
          <cell r="R2921"/>
          <cell r="S2921"/>
          <cell r="T2921">
            <v>0.6</v>
          </cell>
          <cell r="U2921">
            <v>0</v>
          </cell>
          <cell r="V2921">
            <v>0.45</v>
          </cell>
          <cell r="W2921">
            <v>0.6</v>
          </cell>
          <cell r="X2921" t="str">
            <v>EST MESA LATERAL KATI (FREIJO NATURAL) - Ø0,6x0,45H</v>
          </cell>
          <cell r="Y2921">
            <v>0</v>
          </cell>
          <cell r="Z2921">
            <v>0.5</v>
          </cell>
          <cell r="AA2921">
            <v>0</v>
          </cell>
          <cell r="AB2921"/>
        </row>
        <row r="2922">
          <cell r="C2922">
            <v>0</v>
          </cell>
          <cell r="D2922">
            <v>0</v>
          </cell>
          <cell r="E2922">
            <v>0</v>
          </cell>
          <cell r="F2922">
            <v>0</v>
          </cell>
          <cell r="H2922">
            <v>3</v>
          </cell>
          <cell r="O2922">
            <v>316550</v>
          </cell>
          <cell r="P2922"/>
          <cell r="Q2922" t="str">
            <v>EST MESA LATERAL OLIVER (MARMORE MARROM IMPERIAL)</v>
          </cell>
          <cell r="R2922"/>
          <cell r="S2922"/>
          <cell r="T2922">
            <v>0.5</v>
          </cell>
          <cell r="U2922">
            <v>0</v>
          </cell>
          <cell r="V2922">
            <v>0.45</v>
          </cell>
          <cell r="W2922">
            <v>0.5</v>
          </cell>
          <cell r="X2922" t="str">
            <v>EST MESA LATERAL OLIVER (MARMORE MARROM IMPERIAL) - Ø0,5x0,45H</v>
          </cell>
          <cell r="Y2922">
            <v>0</v>
          </cell>
          <cell r="Z2922">
            <v>0.5</v>
          </cell>
          <cell r="AA2922">
            <v>0</v>
          </cell>
          <cell r="AB2922"/>
        </row>
        <row r="2923">
          <cell r="C2923">
            <v>0</v>
          </cell>
          <cell r="D2923">
            <v>0</v>
          </cell>
          <cell r="E2923">
            <v>0</v>
          </cell>
          <cell r="F2923">
            <v>0</v>
          </cell>
          <cell r="H2923">
            <v>2</v>
          </cell>
          <cell r="O2923">
            <v>316551</v>
          </cell>
          <cell r="P2923"/>
          <cell r="Q2923" t="str">
            <v>EST MESA LATERAL OLIVER (MARMORE CARRARA)</v>
          </cell>
          <cell r="R2923"/>
          <cell r="S2923"/>
          <cell r="T2923">
            <v>0.5</v>
          </cell>
          <cell r="U2923">
            <v>0</v>
          </cell>
          <cell r="V2923">
            <v>0.45</v>
          </cell>
          <cell r="W2923">
            <v>0.5</v>
          </cell>
          <cell r="X2923" t="str">
            <v>EST MESA LATERAL OLIVER (MARMORE CARRARA) - Ø0,5x0,45H</v>
          </cell>
          <cell r="Y2923">
            <v>0</v>
          </cell>
          <cell r="Z2923">
            <v>0.5</v>
          </cell>
          <cell r="AA2923">
            <v>0</v>
          </cell>
          <cell r="AB2923"/>
        </row>
        <row r="2924">
          <cell r="C2924">
            <v>0</v>
          </cell>
          <cell r="D2924">
            <v>0</v>
          </cell>
          <cell r="E2924">
            <v>0</v>
          </cell>
          <cell r="F2924">
            <v>0</v>
          </cell>
          <cell r="H2924">
            <v>1</v>
          </cell>
          <cell r="O2924">
            <v>316552</v>
          </cell>
          <cell r="P2924"/>
          <cell r="Q2924" t="str">
            <v>EST MESA LATERAL OLIVER (MARMORE VERDE ALPI)</v>
          </cell>
          <cell r="R2924"/>
          <cell r="S2924"/>
          <cell r="T2924">
            <v>0.5</v>
          </cell>
          <cell r="U2924">
            <v>0</v>
          </cell>
          <cell r="V2924">
            <v>0.45</v>
          </cell>
          <cell r="W2924">
            <v>0.5</v>
          </cell>
          <cell r="X2924" t="str">
            <v>EST MESA LATERAL OLIVER (MARMORE VERDE ALPI) - Ø0,5x0,45H</v>
          </cell>
          <cell r="Y2924">
            <v>0</v>
          </cell>
          <cell r="Z2924">
            <v>0.5</v>
          </cell>
          <cell r="AA2924">
            <v>0</v>
          </cell>
          <cell r="AB2924"/>
        </row>
        <row r="2925">
          <cell r="C2925">
            <v>0</v>
          </cell>
          <cell r="D2925">
            <v>0</v>
          </cell>
          <cell r="E2925">
            <v>0</v>
          </cell>
          <cell r="F2925">
            <v>0</v>
          </cell>
          <cell r="H2925">
            <v>5</v>
          </cell>
          <cell r="O2925">
            <v>316553</v>
          </cell>
          <cell r="P2925"/>
          <cell r="Q2925" t="str">
            <v>EST MESA LATERAL OLIVER (MARMORE NERO MARQUINA)</v>
          </cell>
          <cell r="R2925"/>
          <cell r="S2925"/>
          <cell r="T2925">
            <v>0.5</v>
          </cell>
          <cell r="U2925">
            <v>0</v>
          </cell>
          <cell r="V2925">
            <v>0.45</v>
          </cell>
          <cell r="W2925">
            <v>0.5</v>
          </cell>
          <cell r="X2925" t="str">
            <v>EST MESA LATERAL OLIVER (MARMORE NERO MARQUINA) - Ø0,5x0,45H</v>
          </cell>
          <cell r="Y2925">
            <v>0</v>
          </cell>
          <cell r="Z2925">
            <v>0.5</v>
          </cell>
          <cell r="AA2925">
            <v>0</v>
          </cell>
          <cell r="AB2925"/>
        </row>
        <row r="2926">
          <cell r="C2926">
            <v>0</v>
          </cell>
          <cell r="D2926">
            <v>0</v>
          </cell>
          <cell r="E2926">
            <v>0</v>
          </cell>
          <cell r="F2926">
            <v>0</v>
          </cell>
          <cell r="H2926">
            <v>2</v>
          </cell>
          <cell r="O2926">
            <v>316986</v>
          </cell>
          <cell r="P2926"/>
          <cell r="Q2926" t="str">
            <v>EST TAMPO KAYA (CARRARA GIOIA)</v>
          </cell>
          <cell r="R2926"/>
          <cell r="S2926"/>
          <cell r="T2926">
            <v>3</v>
          </cell>
          <cell r="U2926">
            <v>1.2</v>
          </cell>
          <cell r="V2926">
            <v>0.02</v>
          </cell>
          <cell r="W2926">
            <v>0</v>
          </cell>
          <cell r="X2926" t="str">
            <v>EST TAMPO KAYA (CARRARA GIOIA) - 3x1,2x0,02H</v>
          </cell>
          <cell r="Y2926">
            <v>0</v>
          </cell>
          <cell r="Z2926">
            <v>0.5</v>
          </cell>
          <cell r="AA2926">
            <v>0</v>
          </cell>
          <cell r="AB2926"/>
        </row>
        <row r="2927">
          <cell r="C2927">
            <v>0</v>
          </cell>
          <cell r="D2927">
            <v>0</v>
          </cell>
          <cell r="E2927">
            <v>0</v>
          </cell>
          <cell r="F2927">
            <v>0</v>
          </cell>
          <cell r="H2927">
            <v>0</v>
          </cell>
          <cell r="O2927">
            <v>317438</v>
          </cell>
          <cell r="P2927"/>
          <cell r="Q2927" t="str">
            <v>EST CADEIRA OMAR OFFICE (C/RODIZ) (FREIJO ENV) COURO PIG 393</v>
          </cell>
          <cell r="R2927"/>
          <cell r="S2927"/>
          <cell r="T2927">
            <v>0.54</v>
          </cell>
          <cell r="U2927">
            <v>0.56999999999999995</v>
          </cell>
          <cell r="V2927">
            <v>0.83</v>
          </cell>
          <cell r="W2927">
            <v>0</v>
          </cell>
          <cell r="X2927" t="str">
            <v>EST CADEIRA OMAR OFFICE (C/RODIZ) (FREIJO ENV) COURO PIG 393 - 0,54x0,57x0,83H</v>
          </cell>
          <cell r="Y2927">
            <v>0</v>
          </cell>
          <cell r="Z2927">
            <v>0.5</v>
          </cell>
          <cell r="AA2927">
            <v>0</v>
          </cell>
          <cell r="AB2927"/>
        </row>
        <row r="2928">
          <cell r="C2928" t="e">
            <v>#N/A</v>
          </cell>
          <cell r="D2928" t="e">
            <v>#N/A</v>
          </cell>
          <cell r="E2928" t="e">
            <v>#N/A</v>
          </cell>
          <cell r="F2928" t="e">
            <v>#N/A</v>
          </cell>
          <cell r="H2928" t="e">
            <v>#N/A</v>
          </cell>
          <cell r="O2928">
            <v>317527</v>
          </cell>
          <cell r="P2928"/>
          <cell r="Q2928" t="e">
            <v>#N/A</v>
          </cell>
          <cell r="R2928"/>
          <cell r="S2928"/>
          <cell r="T2928" t="e">
            <v>#N/A</v>
          </cell>
          <cell r="U2928" t="e">
            <v>#N/A</v>
          </cell>
          <cell r="V2928" t="e">
            <v>#N/A</v>
          </cell>
          <cell r="W2928" t="e">
            <v>#N/A</v>
          </cell>
          <cell r="X2928" t="e">
            <v>#N/A</v>
          </cell>
          <cell r="Y2928">
            <v>0</v>
          </cell>
          <cell r="Z2928">
            <v>0</v>
          </cell>
          <cell r="AA2928">
            <v>0</v>
          </cell>
          <cell r="AB2928"/>
        </row>
        <row r="2929">
          <cell r="C2929">
            <v>0</v>
          </cell>
          <cell r="D2929">
            <v>0</v>
          </cell>
          <cell r="E2929">
            <v>0</v>
          </cell>
          <cell r="F2929">
            <v>0</v>
          </cell>
          <cell r="H2929">
            <v>1</v>
          </cell>
          <cell r="O2929">
            <v>317546</v>
          </cell>
          <cell r="P2929"/>
          <cell r="Q2929" t="str">
            <v>EST MESA JANTAR FLAT (MADEIRA D CARVALHO NATURAL BRILHO 0%)</v>
          </cell>
          <cell r="R2929"/>
          <cell r="S2929"/>
          <cell r="T2929">
            <v>3</v>
          </cell>
          <cell r="U2929">
            <v>1.1000000000000001</v>
          </cell>
          <cell r="V2929">
            <v>0.75</v>
          </cell>
          <cell r="W2929">
            <v>0</v>
          </cell>
          <cell r="X2929" t="str">
            <v>EST MESA JANTAR FLAT (MADEIRA D CARVALHO NATURAL BRILHO 0%) - 3x1,1x0,75H</v>
          </cell>
          <cell r="Y2929">
            <v>0</v>
          </cell>
          <cell r="Z2929">
            <v>0</v>
          </cell>
          <cell r="AA2929">
            <v>0</v>
          </cell>
          <cell r="AB2929"/>
        </row>
        <row r="2930">
          <cell r="C2930">
            <v>0</v>
          </cell>
          <cell r="D2930">
            <v>0</v>
          </cell>
          <cell r="E2930">
            <v>0</v>
          </cell>
          <cell r="F2930">
            <v>0</v>
          </cell>
          <cell r="H2930">
            <v>3</v>
          </cell>
          <cell r="O2930">
            <v>317574</v>
          </cell>
          <cell r="P2930"/>
          <cell r="Q2930" t="str">
            <v>EST CADEIRA LUCIO (TELA NATURAL) (MAD IMBUIA STAIN)</v>
          </cell>
          <cell r="R2930"/>
          <cell r="S2930"/>
          <cell r="T2930">
            <v>0.48</v>
          </cell>
          <cell r="U2930">
            <v>0.49</v>
          </cell>
          <cell r="V2930">
            <v>0.83</v>
          </cell>
          <cell r="W2930">
            <v>0</v>
          </cell>
          <cell r="X2930" t="str">
            <v>EST CADEIRA LUCIO (TELA NATURAL) (MAD IMBUIA STAIN) - 0,48x0,49x0,83H</v>
          </cell>
          <cell r="Y2930">
            <v>0</v>
          </cell>
          <cell r="Z2930">
            <v>0</v>
          </cell>
          <cell r="AA2930">
            <v>0</v>
          </cell>
          <cell r="AB2930"/>
        </row>
        <row r="2931">
          <cell r="C2931">
            <v>0</v>
          </cell>
          <cell r="D2931">
            <v>0</v>
          </cell>
          <cell r="E2931">
            <v>0</v>
          </cell>
          <cell r="F2931">
            <v>0</v>
          </cell>
          <cell r="H2931">
            <v>8</v>
          </cell>
          <cell r="O2931">
            <v>317578</v>
          </cell>
          <cell r="P2931"/>
          <cell r="Q2931" t="str">
            <v>EST CADEIRA PRIMA (LOURO ESPECIAL) TC JAVA FENEL</v>
          </cell>
          <cell r="R2931"/>
          <cell r="S2931"/>
          <cell r="T2931">
            <v>0.53</v>
          </cell>
          <cell r="U2931">
            <v>0.59</v>
          </cell>
          <cell r="V2931">
            <v>0.83</v>
          </cell>
          <cell r="W2931">
            <v>0</v>
          </cell>
          <cell r="X2931" t="str">
            <v>EST CADEIRA PRIMA (LOURO ESPECIAL) TC JAVA FENEL - 0,53x0,59x0,83H</v>
          </cell>
          <cell r="Y2931">
            <v>0</v>
          </cell>
          <cell r="Z2931">
            <v>0</v>
          </cell>
          <cell r="AA2931">
            <v>0</v>
          </cell>
          <cell r="AB2931"/>
        </row>
        <row r="2932">
          <cell r="C2932">
            <v>0</v>
          </cell>
          <cell r="D2932">
            <v>0</v>
          </cell>
          <cell r="E2932">
            <v>0</v>
          </cell>
          <cell r="F2932">
            <v>0</v>
          </cell>
          <cell r="H2932">
            <v>3</v>
          </cell>
          <cell r="O2932">
            <v>317579</v>
          </cell>
          <cell r="P2932"/>
          <cell r="Q2932" t="str">
            <v>EST CADEIRA PRIMA (IMBUIA) TC PERFECTION NEUTRAL</v>
          </cell>
          <cell r="R2932"/>
          <cell r="S2932"/>
          <cell r="T2932">
            <v>0.53</v>
          </cell>
          <cell r="U2932">
            <v>0.59</v>
          </cell>
          <cell r="V2932">
            <v>0.83</v>
          </cell>
          <cell r="W2932">
            <v>0</v>
          </cell>
          <cell r="X2932" t="str">
            <v>EST CADEIRA PRIMA (IMBUIA) TC PERFECTION NEUTRAL - 0,53x0,59x0,83H</v>
          </cell>
          <cell r="Y2932">
            <v>0</v>
          </cell>
          <cell r="Z2932">
            <v>0</v>
          </cell>
          <cell r="AA2932">
            <v>0</v>
          </cell>
          <cell r="AB2932"/>
        </row>
        <row r="2933">
          <cell r="C2933">
            <v>0</v>
          </cell>
          <cell r="D2933">
            <v>0</v>
          </cell>
          <cell r="E2933">
            <v>0</v>
          </cell>
          <cell r="F2933">
            <v>0</v>
          </cell>
          <cell r="H2933">
            <v>0</v>
          </cell>
          <cell r="O2933">
            <v>318488</v>
          </cell>
          <cell r="P2933"/>
          <cell r="Q2933" t="str">
            <v>EST MODULO PUFF COZY (S/CAPA) (IMBUIA) TC VILLA OLMO OCRE</v>
          </cell>
          <cell r="R2933"/>
          <cell r="S2933"/>
          <cell r="T2933">
            <v>1.03</v>
          </cell>
          <cell r="U2933">
            <v>0.8</v>
          </cell>
          <cell r="V2933">
            <v>0.46</v>
          </cell>
          <cell r="W2933">
            <v>0</v>
          </cell>
          <cell r="X2933" t="str">
            <v>EST MODULO PUFF COZY (S/CAPA) (IMBUIA) TC VILLA OLMO OCRE - 1,03x0,8x0,46H</v>
          </cell>
          <cell r="Y2933">
            <v>0</v>
          </cell>
          <cell r="Z2933">
            <v>0.5</v>
          </cell>
          <cell r="AA2933">
            <v>0</v>
          </cell>
          <cell r="AB2933"/>
        </row>
        <row r="2934">
          <cell r="C2934">
            <v>0</v>
          </cell>
          <cell r="D2934">
            <v>0</v>
          </cell>
          <cell r="E2934">
            <v>0</v>
          </cell>
          <cell r="F2934">
            <v>0</v>
          </cell>
          <cell r="H2934">
            <v>0</v>
          </cell>
          <cell r="O2934">
            <v>318489</v>
          </cell>
          <cell r="P2934"/>
          <cell r="Q2934" t="str">
            <v>EST MODULO CANTO DIR COZY (S/CP) TC VILA OLMO OCHRE/NATURAL</v>
          </cell>
          <cell r="R2934"/>
          <cell r="S2934"/>
          <cell r="T2934">
            <v>2</v>
          </cell>
          <cell r="U2934">
            <v>1.02</v>
          </cell>
          <cell r="V2934">
            <v>0.84</v>
          </cell>
          <cell r="W2934">
            <v>0</v>
          </cell>
          <cell r="X2934" t="str">
            <v>EST MODULO CANTO DIR COZY (S/CP) TC VILA OLMO OCHRE/NATURAL - 2x1,02x0,84H</v>
          </cell>
          <cell r="Y2934">
            <v>0</v>
          </cell>
          <cell r="Z2934">
            <v>0.5</v>
          </cell>
          <cell r="AA2934">
            <v>0</v>
          </cell>
          <cell r="AB2934"/>
        </row>
        <row r="2935">
          <cell r="C2935">
            <v>0</v>
          </cell>
          <cell r="D2935">
            <v>0</v>
          </cell>
          <cell r="E2935">
            <v>0</v>
          </cell>
          <cell r="F2935">
            <v>0</v>
          </cell>
          <cell r="H2935">
            <v>0</v>
          </cell>
          <cell r="O2935">
            <v>318490</v>
          </cell>
          <cell r="P2935"/>
          <cell r="Q2935" t="str">
            <v>EST MODULO BRACO DIR COZY (S/CP) TC VILLA OLMO OCRE/NATURAL</v>
          </cell>
          <cell r="R2935"/>
          <cell r="S2935"/>
          <cell r="T2935">
            <v>3</v>
          </cell>
          <cell r="U2935">
            <v>1.03</v>
          </cell>
          <cell r="V2935">
            <v>0.84</v>
          </cell>
          <cell r="W2935">
            <v>0</v>
          </cell>
          <cell r="X2935" t="str">
            <v>EST MODULO BRACO DIR COZY (S/CP) TC VILLA OLMO OCRE/NATURAL - 3x1,03x0,84H</v>
          </cell>
          <cell r="Y2935">
            <v>0</v>
          </cell>
          <cell r="Z2935">
            <v>0.5</v>
          </cell>
          <cell r="AA2935">
            <v>0</v>
          </cell>
          <cell r="AB2935"/>
        </row>
        <row r="2936">
          <cell r="C2936">
            <v>0</v>
          </cell>
          <cell r="D2936">
            <v>0</v>
          </cell>
          <cell r="E2936">
            <v>0</v>
          </cell>
          <cell r="F2936">
            <v>0</v>
          </cell>
          <cell r="H2936">
            <v>0</v>
          </cell>
          <cell r="O2936">
            <v>318611</v>
          </cell>
          <cell r="P2936"/>
          <cell r="Q2936" t="str">
            <v>EST MESA JANTAR ECO (MADEIRA CANELA NATURAL)</v>
          </cell>
          <cell r="R2936"/>
          <cell r="S2936"/>
          <cell r="T2936">
            <v>3.2</v>
          </cell>
          <cell r="U2936">
            <v>1.2</v>
          </cell>
          <cell r="V2936">
            <v>0.74</v>
          </cell>
          <cell r="W2936">
            <v>0</v>
          </cell>
          <cell r="X2936" t="str">
            <v>EST MESA JANTAR ECO (MADEIRA CANELA NATURAL) - 3,2x1,2x0,74H</v>
          </cell>
          <cell r="Y2936">
            <v>0</v>
          </cell>
          <cell r="Z2936">
            <v>0.5</v>
          </cell>
          <cell r="AA2936">
            <v>0</v>
          </cell>
          <cell r="AB2936"/>
        </row>
        <row r="2937">
          <cell r="C2937">
            <v>0</v>
          </cell>
          <cell r="D2937">
            <v>0</v>
          </cell>
          <cell r="E2937">
            <v>0</v>
          </cell>
          <cell r="F2937">
            <v>0</v>
          </cell>
          <cell r="H2937">
            <v>2</v>
          </cell>
          <cell r="O2937">
            <v>318617</v>
          </cell>
          <cell r="P2937"/>
          <cell r="Q2937" t="str">
            <v>EST BANCO ATABAQUE (01 ASSENTO) (MADEIRA CANELA NATURAL)</v>
          </cell>
          <cell r="R2937"/>
          <cell r="S2937"/>
          <cell r="T2937">
            <v>0.55000000000000004</v>
          </cell>
          <cell r="U2937">
            <v>0.41</v>
          </cell>
          <cell r="V2937">
            <v>0.43</v>
          </cell>
          <cell r="W2937">
            <v>0</v>
          </cell>
          <cell r="X2937" t="str">
            <v>EST BANCO ATABAQUE (01 ASSENTO) (MADEIRA CANELA NATURAL) - 0,55x0,41x0,43H</v>
          </cell>
          <cell r="Y2937">
            <v>0</v>
          </cell>
          <cell r="Z2937">
            <v>0</v>
          </cell>
          <cell r="AA2937">
            <v>0</v>
          </cell>
          <cell r="AB2937"/>
        </row>
        <row r="2938">
          <cell r="C2938">
            <v>0</v>
          </cell>
          <cell r="D2938">
            <v>0</v>
          </cell>
          <cell r="E2938">
            <v>0</v>
          </cell>
          <cell r="F2938">
            <v>0</v>
          </cell>
          <cell r="H2938">
            <v>1</v>
          </cell>
          <cell r="O2938">
            <v>318618</v>
          </cell>
          <cell r="P2938"/>
          <cell r="Q2938" t="str">
            <v>EST BANCO ATABAQUE (01 ASSENTO) (MADEIRA CANELA NATURAL)</v>
          </cell>
          <cell r="R2938"/>
          <cell r="S2938"/>
          <cell r="T2938">
            <v>0.55000000000000004</v>
          </cell>
          <cell r="U2938">
            <v>0.41</v>
          </cell>
          <cell r="V2938">
            <v>0.48</v>
          </cell>
          <cell r="W2938">
            <v>0</v>
          </cell>
          <cell r="X2938" t="str">
            <v>EST BANCO ATABAQUE (01 ASSENTO) (MADEIRA CANELA NATURAL) - 0,55x0,41x0,48H</v>
          </cell>
          <cell r="Y2938">
            <v>0</v>
          </cell>
          <cell r="Z2938">
            <v>0</v>
          </cell>
          <cell r="AA2938">
            <v>0</v>
          </cell>
          <cell r="AB2938"/>
        </row>
        <row r="2939">
          <cell r="C2939">
            <v>0</v>
          </cell>
          <cell r="D2939">
            <v>0</v>
          </cell>
          <cell r="E2939">
            <v>0</v>
          </cell>
          <cell r="F2939">
            <v>0</v>
          </cell>
          <cell r="H2939">
            <v>1</v>
          </cell>
          <cell r="O2939">
            <v>318619</v>
          </cell>
          <cell r="P2939"/>
          <cell r="Q2939" t="str">
            <v>EST BANCO ATABAQUE (01 ASSENTO) (MADEIRA FREIJO NATURAL)</v>
          </cell>
          <cell r="R2939"/>
          <cell r="S2939"/>
          <cell r="T2939">
            <v>0.55000000000000004</v>
          </cell>
          <cell r="U2939">
            <v>0.41</v>
          </cell>
          <cell r="V2939">
            <v>0.43</v>
          </cell>
          <cell r="W2939">
            <v>0</v>
          </cell>
          <cell r="X2939" t="str">
            <v>EST BANCO ATABAQUE (01 ASSENTO) (MADEIRA FREIJO NATURAL) - 0,55x0,41x0,43H</v>
          </cell>
          <cell r="Y2939">
            <v>0</v>
          </cell>
          <cell r="Z2939">
            <v>0</v>
          </cell>
          <cell r="AA2939">
            <v>0</v>
          </cell>
          <cell r="AB2939"/>
        </row>
        <row r="2940">
          <cell r="C2940">
            <v>0</v>
          </cell>
          <cell r="D2940">
            <v>0</v>
          </cell>
          <cell r="E2940">
            <v>0</v>
          </cell>
          <cell r="F2940">
            <v>0</v>
          </cell>
          <cell r="H2940">
            <v>1</v>
          </cell>
          <cell r="O2940">
            <v>318620</v>
          </cell>
          <cell r="P2940"/>
          <cell r="Q2940" t="str">
            <v>EST BANCO ATABAQUE (03 ASSENTOS) (MADEIRA CANELA NATURAL)</v>
          </cell>
          <cell r="R2940"/>
          <cell r="S2940"/>
          <cell r="T2940">
            <v>1.65</v>
          </cell>
          <cell r="U2940">
            <v>0.41</v>
          </cell>
          <cell r="V2940">
            <v>0.43</v>
          </cell>
          <cell r="W2940">
            <v>0</v>
          </cell>
          <cell r="X2940" t="str">
            <v>EST BANCO ATABAQUE (03 ASSENTOS) (MADEIRA CANELA NATURAL) - 1,65x0,41x0,43H</v>
          </cell>
          <cell r="Y2940">
            <v>0</v>
          </cell>
          <cell r="Z2940">
            <v>0</v>
          </cell>
          <cell r="AA2940">
            <v>0</v>
          </cell>
          <cell r="AB2940"/>
        </row>
        <row r="2941">
          <cell r="C2941">
            <v>0</v>
          </cell>
          <cell r="D2941">
            <v>0</v>
          </cell>
          <cell r="E2941">
            <v>0</v>
          </cell>
          <cell r="F2941">
            <v>0</v>
          </cell>
          <cell r="H2941">
            <v>0</v>
          </cell>
          <cell r="O2941">
            <v>319811</v>
          </cell>
          <cell r="P2941"/>
          <cell r="Q2941" t="str">
            <v>EST SOFA FINO (BASE PRETA) TC EL RAVENNA 03 PLATINUM</v>
          </cell>
          <cell r="R2941"/>
          <cell r="S2941"/>
          <cell r="T2941">
            <v>3.15</v>
          </cell>
          <cell r="U2941">
            <v>0.95</v>
          </cell>
          <cell r="V2941">
            <v>0</v>
          </cell>
          <cell r="W2941">
            <v>0</v>
          </cell>
          <cell r="X2941" t="str">
            <v>EST SOFA FINO (BASE PRETA) TC EL RAVENNA 03 PLATINUM - 3,15x0,95x0H</v>
          </cell>
          <cell r="Y2941">
            <v>0</v>
          </cell>
          <cell r="Z2941">
            <v>0.5</v>
          </cell>
          <cell r="AA2941">
            <v>0</v>
          </cell>
          <cell r="AB2941"/>
        </row>
        <row r="2942">
          <cell r="C2942">
            <v>0</v>
          </cell>
          <cell r="D2942">
            <v>0</v>
          </cell>
          <cell r="E2942">
            <v>0</v>
          </cell>
          <cell r="F2942">
            <v>0</v>
          </cell>
          <cell r="H2942">
            <v>6</v>
          </cell>
          <cell r="O2942">
            <v>319898</v>
          </cell>
          <cell r="P2942"/>
          <cell r="Q2942" t="str">
            <v>EST MESA LATERAL STAN JR (MARMORE NERO MARQUINA)</v>
          </cell>
          <cell r="R2942"/>
          <cell r="S2942"/>
          <cell r="T2942">
            <v>0.3</v>
          </cell>
          <cell r="U2942">
            <v>0</v>
          </cell>
          <cell r="V2942">
            <v>0.55000000000000004</v>
          </cell>
          <cell r="W2942">
            <v>0.3</v>
          </cell>
          <cell r="X2942" t="str">
            <v>EST MESA LATERAL STAN JR (MARMORE NERO MARQUINA) - Ø0,3x0,55H</v>
          </cell>
          <cell r="Y2942">
            <v>0</v>
          </cell>
          <cell r="Z2942">
            <v>0</v>
          </cell>
          <cell r="AA2942">
            <v>0</v>
          </cell>
          <cell r="AB2942"/>
        </row>
        <row r="2943">
          <cell r="C2943">
            <v>0</v>
          </cell>
          <cell r="D2943">
            <v>0</v>
          </cell>
          <cell r="E2943">
            <v>0</v>
          </cell>
          <cell r="F2943">
            <v>0</v>
          </cell>
          <cell r="H2943">
            <v>1</v>
          </cell>
          <cell r="O2943">
            <v>319913</v>
          </cell>
          <cell r="P2943"/>
          <cell r="Q2943" t="str">
            <v>EST POLTRONA PITU (JEQ NT) (LONA OLIVA) (LONA OLIVA)</v>
          </cell>
          <cell r="R2943"/>
          <cell r="S2943"/>
          <cell r="T2943">
            <v>0.78</v>
          </cell>
          <cell r="U2943">
            <v>0.84</v>
          </cell>
          <cell r="V2943">
            <v>0.83</v>
          </cell>
          <cell r="W2943">
            <v>0</v>
          </cell>
          <cell r="X2943" t="str">
            <v>EST POLTRONA PITU (JEQ NT) (LONA OLIVA) (LONA OLIVA) - 0,78x0,84x0,83H</v>
          </cell>
          <cell r="Y2943">
            <v>0</v>
          </cell>
          <cell r="Z2943">
            <v>0</v>
          </cell>
          <cell r="AA2943">
            <v>0</v>
          </cell>
          <cell r="AB2943"/>
        </row>
        <row r="2944">
          <cell r="C2944">
            <v>0</v>
          </cell>
          <cell r="D2944">
            <v>0</v>
          </cell>
          <cell r="E2944">
            <v>0</v>
          </cell>
          <cell r="F2944">
            <v>0</v>
          </cell>
          <cell r="H2944">
            <v>1</v>
          </cell>
          <cell r="O2944">
            <v>319914</v>
          </cell>
          <cell r="P2944"/>
          <cell r="Q2944" t="str">
            <v>EST BANQUETA PITU (JEQ NT) (LONA OLIVA) (LONA OLIVA)</v>
          </cell>
          <cell r="R2944"/>
          <cell r="S2944"/>
          <cell r="T2944">
            <v>0.72</v>
          </cell>
          <cell r="U2944">
            <v>0.46</v>
          </cell>
          <cell r="V2944">
            <v>0.47</v>
          </cell>
          <cell r="W2944">
            <v>0</v>
          </cell>
          <cell r="X2944" t="str">
            <v>EST BANQUETA PITU (JEQ NT) (LONA OLIVA) (LONA OLIVA) - 0,72x0,46x0,47H</v>
          </cell>
          <cell r="Y2944">
            <v>0</v>
          </cell>
          <cell r="Z2944">
            <v>0</v>
          </cell>
          <cell r="AA2944">
            <v>0</v>
          </cell>
          <cell r="AB2944"/>
        </row>
        <row r="2945">
          <cell r="C2945">
            <v>0</v>
          </cell>
          <cell r="D2945">
            <v>0</v>
          </cell>
          <cell r="E2945">
            <v>0</v>
          </cell>
          <cell r="F2945">
            <v>0</v>
          </cell>
          <cell r="H2945">
            <v>2</v>
          </cell>
          <cell r="O2945">
            <v>320799</v>
          </cell>
          <cell r="P2945"/>
          <cell r="Q2945" t="str">
            <v>EST ALMOFADA DECORATIVA AIR II (M) TC VILLA OLMO NATURAL</v>
          </cell>
          <cell r="R2945"/>
          <cell r="S2945"/>
          <cell r="T2945">
            <v>0.62</v>
          </cell>
          <cell r="U2945">
            <v>0.62</v>
          </cell>
          <cell r="V2945">
            <v>0</v>
          </cell>
          <cell r="W2945">
            <v>0</v>
          </cell>
          <cell r="X2945" t="str">
            <v>EST ALMOFADA DECORATIVA AIR II (M) TC VILLA OLMO NATURAL - 0,62x0,62x0H</v>
          </cell>
          <cell r="Y2945">
            <v>0</v>
          </cell>
          <cell r="Z2945">
            <v>0</v>
          </cell>
          <cell r="AA2945">
            <v>0</v>
          </cell>
          <cell r="AB2945"/>
        </row>
        <row r="2946">
          <cell r="C2946">
            <v>0</v>
          </cell>
          <cell r="D2946">
            <v>0</v>
          </cell>
          <cell r="E2946">
            <v>0</v>
          </cell>
          <cell r="F2946">
            <v>0</v>
          </cell>
          <cell r="H2946">
            <v>6</v>
          </cell>
          <cell r="O2946">
            <v>323906</v>
          </cell>
          <cell r="P2946"/>
          <cell r="Q2946" t="str">
            <v>EST MESA LATERAL STAN (MARMORE NERO MARQUINA)</v>
          </cell>
          <cell r="R2946"/>
          <cell r="S2946"/>
          <cell r="T2946">
            <v>0.4</v>
          </cell>
          <cell r="U2946">
            <v>0</v>
          </cell>
          <cell r="V2946">
            <v>0.6</v>
          </cell>
          <cell r="W2946">
            <v>0.4</v>
          </cell>
          <cell r="X2946" t="str">
            <v>EST MESA LATERAL STAN (MARMORE NERO MARQUINA) - Ø0,4x0,6H</v>
          </cell>
          <cell r="Y2946">
            <v>0</v>
          </cell>
          <cell r="Z2946">
            <v>0.5</v>
          </cell>
          <cell r="AA2946">
            <v>0</v>
          </cell>
          <cell r="AB2946"/>
        </row>
        <row r="2947">
          <cell r="C2947">
            <v>0</v>
          </cell>
          <cell r="D2947">
            <v>0</v>
          </cell>
          <cell r="E2947">
            <v>0</v>
          </cell>
          <cell r="F2947">
            <v>0</v>
          </cell>
          <cell r="H2947">
            <v>1</v>
          </cell>
          <cell r="O2947">
            <v>323921</v>
          </cell>
          <cell r="P2947"/>
          <cell r="Q2947" t="str">
            <v>EST MESA LATERAL CAVA (G2 - VITTORIA LEVIGADO)</v>
          </cell>
          <cell r="R2947"/>
          <cell r="S2947"/>
          <cell r="T2947">
            <v>0.6</v>
          </cell>
          <cell r="U2947">
            <v>0</v>
          </cell>
          <cell r="V2947">
            <v>0.6</v>
          </cell>
          <cell r="W2947">
            <v>0.6</v>
          </cell>
          <cell r="X2947" t="str">
            <v>EST MESA LATERAL CAVA (G2 - VITTORIA LEVIGADO) - Ø0,6x0,6H</v>
          </cell>
          <cell r="Y2947">
            <v>0</v>
          </cell>
          <cell r="Z2947">
            <v>0</v>
          </cell>
          <cell r="AA2947">
            <v>0</v>
          </cell>
          <cell r="AB2947"/>
        </row>
        <row r="2948">
          <cell r="C2948">
            <v>0</v>
          </cell>
          <cell r="D2948">
            <v>0</v>
          </cell>
          <cell r="E2948">
            <v>0</v>
          </cell>
          <cell r="F2948">
            <v>0</v>
          </cell>
          <cell r="H2948">
            <v>0</v>
          </cell>
          <cell r="O2948">
            <v>324239</v>
          </cell>
          <cell r="P2948"/>
          <cell r="Q2948" t="str">
            <v>EST POLTRONA JOSEFA (IMBUIA) COURO NOBUCK VERDE</v>
          </cell>
          <cell r="R2948"/>
          <cell r="S2948"/>
          <cell r="T2948">
            <v>0.68</v>
          </cell>
          <cell r="U2948">
            <v>0.65</v>
          </cell>
          <cell r="V2948">
            <v>0.68</v>
          </cell>
          <cell r="W2948">
            <v>0</v>
          </cell>
          <cell r="X2948" t="str">
            <v>EST POLTRONA JOSEFA (IMBUIA) COURO NOBUCK VERDE - 0,68x0,65x0,68H</v>
          </cell>
          <cell r="Y2948">
            <v>0</v>
          </cell>
          <cell r="Z2948">
            <v>0</v>
          </cell>
          <cell r="AA2948">
            <v>0</v>
          </cell>
          <cell r="AB2948"/>
        </row>
        <row r="2949">
          <cell r="C2949">
            <v>0</v>
          </cell>
          <cell r="D2949">
            <v>0</v>
          </cell>
          <cell r="E2949">
            <v>0</v>
          </cell>
          <cell r="F2949">
            <v>0</v>
          </cell>
          <cell r="H2949">
            <v>1</v>
          </cell>
          <cell r="O2949">
            <v>324240</v>
          </cell>
          <cell r="P2949"/>
          <cell r="Q2949" t="str">
            <v>EST BANQUETA JOSEFA (IMBUIA) COURO NOBUCK VERDE</v>
          </cell>
          <cell r="R2949"/>
          <cell r="S2949"/>
          <cell r="T2949">
            <v>0.68</v>
          </cell>
          <cell r="U2949">
            <v>0.52</v>
          </cell>
          <cell r="V2949">
            <v>0.39</v>
          </cell>
          <cell r="W2949">
            <v>0</v>
          </cell>
          <cell r="X2949" t="str">
            <v>EST BANQUETA JOSEFA (IMBUIA) COURO NOBUCK VERDE - 0,68x0,52x0,39H</v>
          </cell>
          <cell r="Y2949">
            <v>0</v>
          </cell>
          <cell r="Z2949">
            <v>0</v>
          </cell>
          <cell r="AA2949">
            <v>0</v>
          </cell>
          <cell r="AB2949"/>
        </row>
        <row r="2950">
          <cell r="C2950">
            <v>0</v>
          </cell>
          <cell r="D2950">
            <v>0</v>
          </cell>
          <cell r="E2950">
            <v>0</v>
          </cell>
          <cell r="F2950">
            <v>0</v>
          </cell>
          <cell r="H2950">
            <v>1</v>
          </cell>
          <cell r="O2950">
            <v>324247</v>
          </cell>
          <cell r="P2950"/>
          <cell r="Q2950" t="str">
            <v>EST MESA LATERAL CAVA (G2 - RAFAELLO LEVIGADO)</v>
          </cell>
          <cell r="R2950"/>
          <cell r="S2950"/>
          <cell r="T2950">
            <v>0.6</v>
          </cell>
          <cell r="U2950">
            <v>0</v>
          </cell>
          <cell r="V2950">
            <v>0.6</v>
          </cell>
          <cell r="W2950">
            <v>0</v>
          </cell>
          <cell r="X2950" t="str">
            <v>EST MESA LATERAL CAVA (G2 - RAFAELLO LEVIGADO) - Ø0x0,6H</v>
          </cell>
          <cell r="Y2950">
            <v>0</v>
          </cell>
          <cell r="Z2950">
            <v>0.5</v>
          </cell>
          <cell r="AA2950">
            <v>0</v>
          </cell>
          <cell r="AB2950"/>
        </row>
        <row r="2951">
          <cell r="C2951">
            <v>0</v>
          </cell>
          <cell r="D2951">
            <v>0</v>
          </cell>
          <cell r="E2951">
            <v>0</v>
          </cell>
          <cell r="F2951">
            <v>0</v>
          </cell>
          <cell r="H2951">
            <v>1</v>
          </cell>
          <cell r="O2951">
            <v>324517</v>
          </cell>
          <cell r="P2951"/>
          <cell r="Q2951" t="str">
            <v>EST MESA JANTAR DINA (FREIJO NATURAL)</v>
          </cell>
          <cell r="R2951"/>
          <cell r="S2951"/>
          <cell r="T2951">
            <v>3</v>
          </cell>
          <cell r="U2951">
            <v>1.2</v>
          </cell>
          <cell r="V2951">
            <v>0.75</v>
          </cell>
          <cell r="W2951">
            <v>0</v>
          </cell>
          <cell r="X2951" t="str">
            <v>EST MESA JANTAR DINA (FREIJO NATURAL) - 3x1,2x0,75H</v>
          </cell>
          <cell r="Y2951">
            <v>0</v>
          </cell>
          <cell r="Z2951">
            <v>0</v>
          </cell>
          <cell r="AA2951">
            <v>0</v>
          </cell>
          <cell r="AB2951"/>
        </row>
        <row r="2952">
          <cell r="C2952">
            <v>0</v>
          </cell>
          <cell r="D2952">
            <v>0</v>
          </cell>
          <cell r="E2952">
            <v>0</v>
          </cell>
          <cell r="F2952">
            <v>0</v>
          </cell>
          <cell r="H2952">
            <v>1</v>
          </cell>
          <cell r="O2952">
            <v>324908</v>
          </cell>
          <cell r="P2952"/>
          <cell r="Q2952" t="str">
            <v>EST SOFA CONVERSADEIRA (IMBUIA) TC GALLIA NAT/SAFARARI NAT</v>
          </cell>
          <cell r="R2952"/>
          <cell r="S2952"/>
          <cell r="T2952">
            <v>2.4</v>
          </cell>
          <cell r="U2952">
            <v>0.79</v>
          </cell>
          <cell r="V2952">
            <v>0.74</v>
          </cell>
          <cell r="W2952">
            <v>0</v>
          </cell>
          <cell r="X2952" t="str">
            <v>EST SOFA CONVERSADEIRA (IMBUIA) TC GALLIA NAT/SAFARARI NAT - 2,4x0,79x0,74H</v>
          </cell>
          <cell r="Y2952">
            <v>0</v>
          </cell>
          <cell r="Z2952">
            <v>0</v>
          </cell>
          <cell r="AA2952">
            <v>0</v>
          </cell>
          <cell r="AB2952"/>
        </row>
        <row r="2953">
          <cell r="C2953">
            <v>0</v>
          </cell>
          <cell r="D2953">
            <v>0</v>
          </cell>
          <cell r="E2953">
            <v>0</v>
          </cell>
          <cell r="F2953">
            <v>0</v>
          </cell>
          <cell r="H2953">
            <v>0</v>
          </cell>
          <cell r="O2953">
            <v>326753</v>
          </cell>
          <cell r="P2953"/>
          <cell r="Q2953" t="str">
            <v>EST TAMPO JANTAR LITORAL (G3-GREEN P LEVIG) (ARRED) (TRIP)</v>
          </cell>
          <cell r="R2953"/>
          <cell r="S2953"/>
          <cell r="T2953">
            <v>3.2</v>
          </cell>
          <cell r="U2953">
            <v>1.2</v>
          </cell>
          <cell r="V2953">
            <v>0.02</v>
          </cell>
          <cell r="W2953">
            <v>0</v>
          </cell>
          <cell r="X2953" t="str">
            <v>EST TAMPO JANTAR LITORAL (G3-GREEN P LEVIG) (ARRED) (TRIP) - 3,2x1,2x0,02H</v>
          </cell>
          <cell r="Y2953">
            <v>0</v>
          </cell>
          <cell r="Z2953">
            <v>0.5</v>
          </cell>
          <cell r="AA2953">
            <v>0</v>
          </cell>
          <cell r="AB2953"/>
        </row>
        <row r="2954">
          <cell r="C2954">
            <v>0</v>
          </cell>
          <cell r="D2954">
            <v>0</v>
          </cell>
          <cell r="E2954">
            <v>0</v>
          </cell>
          <cell r="F2954">
            <v>0</v>
          </cell>
          <cell r="H2954">
            <v>0</v>
          </cell>
          <cell r="O2954">
            <v>326872</v>
          </cell>
          <cell r="P2954"/>
          <cell r="Q2954" t="str">
            <v>EST BUFFET PINHIM (FREIJO) VEIOS COR MADEIRA</v>
          </cell>
          <cell r="R2954"/>
          <cell r="S2954"/>
          <cell r="T2954">
            <v>2.5299999999999998</v>
          </cell>
          <cell r="U2954">
            <v>0.55000000000000004</v>
          </cell>
          <cell r="V2954">
            <v>0.8</v>
          </cell>
          <cell r="W2954">
            <v>0</v>
          </cell>
          <cell r="X2954" t="str">
            <v>EST BUFFET PINHIM (FREIJO) VEIOS COR MADEIRA - 2,53x0,55x0,8H</v>
          </cell>
          <cell r="Y2954">
            <v>0</v>
          </cell>
          <cell r="Z2954">
            <v>0</v>
          </cell>
          <cell r="AA2954">
            <v>0</v>
          </cell>
          <cell r="AB2954"/>
        </row>
        <row r="2955">
          <cell r="C2955">
            <v>0</v>
          </cell>
          <cell r="D2955">
            <v>0</v>
          </cell>
          <cell r="E2955">
            <v>0</v>
          </cell>
          <cell r="F2955">
            <v>0</v>
          </cell>
          <cell r="H2955">
            <v>0</v>
          </cell>
          <cell r="O2955">
            <v>326873</v>
          </cell>
          <cell r="P2955"/>
          <cell r="Q2955" t="str">
            <v>EST BUFFET PINHIM (SUCUPIRA VEIOS COR MADEIRA)</v>
          </cell>
          <cell r="R2955"/>
          <cell r="S2955"/>
          <cell r="T2955">
            <v>2.5299999999999998</v>
          </cell>
          <cell r="U2955">
            <v>0.55000000000000004</v>
          </cell>
          <cell r="V2955">
            <v>0.8</v>
          </cell>
          <cell r="W2955">
            <v>0</v>
          </cell>
          <cell r="X2955" t="str">
            <v>EST BUFFET PINHIM (SUCUPIRA VEIOS COR MADEIRA) - 2,53x0,55x0,8H</v>
          </cell>
          <cell r="Y2955">
            <v>0</v>
          </cell>
          <cell r="Z2955">
            <v>0.5</v>
          </cell>
          <cell r="AA2955">
            <v>0</v>
          </cell>
          <cell r="AB2955"/>
        </row>
        <row r="2956">
          <cell r="C2956">
            <v>0</v>
          </cell>
          <cell r="D2956">
            <v>0</v>
          </cell>
          <cell r="E2956">
            <v>0</v>
          </cell>
          <cell r="F2956">
            <v>0</v>
          </cell>
          <cell r="H2956">
            <v>0</v>
          </cell>
          <cell r="O2956">
            <v>326906</v>
          </cell>
          <cell r="P2956"/>
          <cell r="Q2956" t="str">
            <v>EST MESA LATERAL OBLONGO (PAU FERRO CLARO) DIAGONAL PT FSC</v>
          </cell>
          <cell r="R2956"/>
          <cell r="S2956"/>
          <cell r="T2956">
            <v>0.7</v>
          </cell>
          <cell r="U2956">
            <v>0.7</v>
          </cell>
          <cell r="V2956">
            <v>0.55000000000000004</v>
          </cell>
          <cell r="W2956">
            <v>0</v>
          </cell>
          <cell r="X2956" t="str">
            <v>EST MESA LATERAL OBLONGO (PAU FERRO CLARO) DIAGONAL PT FSC - 0,7x0,7x0,55H</v>
          </cell>
          <cell r="Y2956">
            <v>0</v>
          </cell>
          <cell r="Z2956">
            <v>0.5</v>
          </cell>
          <cell r="AA2956">
            <v>0</v>
          </cell>
          <cell r="AB2956"/>
        </row>
        <row r="2957">
          <cell r="C2957">
            <v>0</v>
          </cell>
          <cell r="D2957">
            <v>0</v>
          </cell>
          <cell r="E2957">
            <v>0</v>
          </cell>
          <cell r="F2957">
            <v>0</v>
          </cell>
          <cell r="H2957">
            <v>1</v>
          </cell>
          <cell r="O2957">
            <v>327012</v>
          </cell>
          <cell r="P2957"/>
          <cell r="Q2957" t="str">
            <v>EST MESA JANTAR FLAT (MADEIRA C - FREIJO NATURAL)</v>
          </cell>
          <cell r="R2957"/>
          <cell r="S2957"/>
          <cell r="T2957">
            <v>3</v>
          </cell>
          <cell r="U2957">
            <v>1.1000000000000001</v>
          </cell>
          <cell r="V2957">
            <v>0.75</v>
          </cell>
          <cell r="W2957">
            <v>0</v>
          </cell>
          <cell r="X2957" t="str">
            <v>EST MESA JANTAR FLAT (MADEIRA C - FREIJO NATURAL) - 3x1,1x0,75H</v>
          </cell>
          <cell r="Y2957">
            <v>0</v>
          </cell>
          <cell r="Z2957">
            <v>0</v>
          </cell>
          <cell r="AA2957">
            <v>0</v>
          </cell>
          <cell r="AB2957"/>
        </row>
        <row r="2958">
          <cell r="C2958">
            <v>0</v>
          </cell>
          <cell r="D2958">
            <v>0</v>
          </cell>
          <cell r="E2958">
            <v>0</v>
          </cell>
          <cell r="F2958">
            <v>0</v>
          </cell>
          <cell r="H2958">
            <v>0</v>
          </cell>
          <cell r="O2958">
            <v>327180</v>
          </cell>
          <cell r="P2958"/>
          <cell r="Q2958" t="str">
            <v>EST POLTRONA PREGUICA ALTA (GIR) (FREIJO NT) COURO FIRENZE12</v>
          </cell>
          <cell r="R2958"/>
          <cell r="S2958"/>
          <cell r="T2958">
            <v>0.66</v>
          </cell>
          <cell r="U2958">
            <v>0.94</v>
          </cell>
          <cell r="V2958">
            <v>0.96</v>
          </cell>
          <cell r="W2958">
            <v>0</v>
          </cell>
          <cell r="X2958" t="str">
            <v>EST POLTRONA PREGUICA ALTA (GIR) (FREIJO NT) COURO FIRENZE12 - 0,66x0,94x0,96H</v>
          </cell>
          <cell r="Y2958">
            <v>0</v>
          </cell>
          <cell r="Z2958">
            <v>0.5</v>
          </cell>
          <cell r="AA2958">
            <v>0</v>
          </cell>
          <cell r="AB2958"/>
        </row>
        <row r="2959">
          <cell r="C2959">
            <v>0</v>
          </cell>
          <cell r="D2959">
            <v>0</v>
          </cell>
          <cell r="E2959">
            <v>0</v>
          </cell>
          <cell r="F2959">
            <v>0</v>
          </cell>
          <cell r="H2959">
            <v>0</v>
          </cell>
          <cell r="O2959">
            <v>327182</v>
          </cell>
          <cell r="P2959"/>
          <cell r="Q2959" t="str">
            <v>EST BANQUETA PREGUICA (PES EM X) (FREIJ NT) COURO FIRENZE 12</v>
          </cell>
          <cell r="R2959"/>
          <cell r="S2959"/>
          <cell r="T2959">
            <v>0.49</v>
          </cell>
          <cell r="U2959">
            <v>0.45</v>
          </cell>
          <cell r="V2959">
            <v>0.37</v>
          </cell>
          <cell r="W2959">
            <v>0</v>
          </cell>
          <cell r="X2959" t="str">
            <v>EST BANQUETA PREGUICA (PES EM X) (FREIJ NT) COURO FIRENZE 12 - 0,49x0,45x0,37H</v>
          </cell>
          <cell r="Y2959">
            <v>0</v>
          </cell>
          <cell r="Z2959">
            <v>0.5</v>
          </cell>
          <cell r="AA2959">
            <v>0</v>
          </cell>
          <cell r="AB2959"/>
        </row>
        <row r="2960">
          <cell r="C2960">
            <v>0</v>
          </cell>
          <cell r="D2960">
            <v>0</v>
          </cell>
          <cell r="E2960">
            <v>0</v>
          </cell>
          <cell r="F2960">
            <v>0</v>
          </cell>
          <cell r="H2960">
            <v>1</v>
          </cell>
          <cell r="O2960">
            <v>327235</v>
          </cell>
          <cell r="P2960"/>
          <cell r="Q2960" t="str">
            <v>EST MESA JANTAR OBLONGO (PAU FERRO CLARO) ALTERNADO PTO FSC</v>
          </cell>
          <cell r="R2960"/>
          <cell r="S2960"/>
          <cell r="T2960">
            <v>3</v>
          </cell>
          <cell r="U2960">
            <v>1.1000000000000001</v>
          </cell>
          <cell r="V2960">
            <v>0.74</v>
          </cell>
          <cell r="W2960">
            <v>0</v>
          </cell>
          <cell r="X2960" t="str">
            <v>EST MESA JANTAR OBLONGO (PAU FERRO CLARO) ALTERNADO PTO FSC - 3x1,1x0,74H</v>
          </cell>
          <cell r="Y2960">
            <v>0</v>
          </cell>
          <cell r="Z2960">
            <v>0</v>
          </cell>
          <cell r="AA2960">
            <v>0</v>
          </cell>
          <cell r="AB2960"/>
        </row>
        <row r="2961">
          <cell r="C2961">
            <v>0</v>
          </cell>
          <cell r="D2961">
            <v>0</v>
          </cell>
          <cell r="E2961">
            <v>0</v>
          </cell>
          <cell r="F2961">
            <v>0</v>
          </cell>
          <cell r="H2961">
            <v>2</v>
          </cell>
          <cell r="O2961">
            <v>327246</v>
          </cell>
          <cell r="P2961"/>
          <cell r="Q2961" t="str">
            <v>EST MESA LATERAL ALEX (FREIJO TONALIZADO 1)</v>
          </cell>
          <cell r="R2961"/>
          <cell r="S2961"/>
          <cell r="T2961">
            <v>0.7</v>
          </cell>
          <cell r="U2961">
            <v>0</v>
          </cell>
          <cell r="V2961">
            <v>0.5</v>
          </cell>
          <cell r="W2961">
            <v>0.7</v>
          </cell>
          <cell r="X2961" t="str">
            <v>EST MESA LATERAL ALEX (FREIJO TONALIZADO 1) - Ø0,7x0,5H</v>
          </cell>
          <cell r="Y2961">
            <v>0</v>
          </cell>
          <cell r="Z2961">
            <v>0</v>
          </cell>
          <cell r="AA2961">
            <v>0</v>
          </cell>
          <cell r="AB2961"/>
        </row>
        <row r="2962">
          <cell r="C2962">
            <v>0</v>
          </cell>
          <cell r="D2962">
            <v>0</v>
          </cell>
          <cell r="E2962">
            <v>0</v>
          </cell>
          <cell r="F2962">
            <v>0</v>
          </cell>
          <cell r="H2962">
            <v>0</v>
          </cell>
          <cell r="O2962">
            <v>327392</v>
          </cell>
          <cell r="P2962"/>
          <cell r="Q2962" t="str">
            <v>EST SOFA FINO (BASE PRETA) COURO IMPORT 55</v>
          </cell>
          <cell r="R2962"/>
          <cell r="S2962"/>
          <cell r="T2962">
            <v>3.1</v>
          </cell>
          <cell r="U2962">
            <v>0.95</v>
          </cell>
          <cell r="V2962">
            <v>0.68</v>
          </cell>
          <cell r="W2962">
            <v>0</v>
          </cell>
          <cell r="X2962" t="str">
            <v>EST SOFA FINO (BASE PRETA) COURO IMPORT 55 - 3,1x0,95x0,68H</v>
          </cell>
          <cell r="Y2962">
            <v>0</v>
          </cell>
          <cell r="Z2962">
            <v>0</v>
          </cell>
          <cell r="AA2962">
            <v>0</v>
          </cell>
          <cell r="AB2962"/>
        </row>
        <row r="2963">
          <cell r="C2963">
            <v>0</v>
          </cell>
          <cell r="D2963">
            <v>0</v>
          </cell>
          <cell r="E2963">
            <v>0</v>
          </cell>
          <cell r="F2963">
            <v>0</v>
          </cell>
          <cell r="H2963">
            <v>0</v>
          </cell>
          <cell r="O2963">
            <v>327394</v>
          </cell>
          <cell r="P2963"/>
          <cell r="Q2963" t="str">
            <v>EST ALMOFADA DECORATIVA FINO TC EL RAVENNA 03 PLATINUM</v>
          </cell>
          <cell r="R2963"/>
          <cell r="S2963"/>
          <cell r="T2963">
            <v>0.6</v>
          </cell>
          <cell r="U2963">
            <v>0.6</v>
          </cell>
          <cell r="V2963">
            <v>0</v>
          </cell>
          <cell r="W2963">
            <v>0</v>
          </cell>
          <cell r="X2963" t="str">
            <v>EST ALMOFADA DECORATIVA FINO TC EL RAVENNA 03 PLATINUM - 0,6x0,6x0H</v>
          </cell>
          <cell r="Y2963">
            <v>0</v>
          </cell>
          <cell r="Z2963">
            <v>0.5</v>
          </cell>
          <cell r="AA2963">
            <v>0</v>
          </cell>
          <cell r="AB2963"/>
        </row>
        <row r="2964">
          <cell r="C2964">
            <v>0</v>
          </cell>
          <cell r="D2964">
            <v>0</v>
          </cell>
          <cell r="E2964">
            <v>0</v>
          </cell>
          <cell r="F2964">
            <v>0</v>
          </cell>
          <cell r="H2964">
            <v>0</v>
          </cell>
          <cell r="O2964">
            <v>327573</v>
          </cell>
          <cell r="P2964"/>
          <cell r="Q2964" t="str">
            <v>EST ALMOFADA DECORATIVA FINO COURO IMPORT 55</v>
          </cell>
          <cell r="R2964"/>
          <cell r="S2964"/>
          <cell r="T2964">
            <v>0.6</v>
          </cell>
          <cell r="U2964">
            <v>0.6</v>
          </cell>
          <cell r="V2964">
            <v>0</v>
          </cell>
          <cell r="W2964">
            <v>0</v>
          </cell>
          <cell r="X2964" t="str">
            <v>EST ALMOFADA DECORATIVA FINO COURO IMPORT 55 - 0,6x0,6x0H</v>
          </cell>
          <cell r="Y2964">
            <v>0</v>
          </cell>
          <cell r="Z2964">
            <v>0</v>
          </cell>
          <cell r="AA2964">
            <v>0</v>
          </cell>
          <cell r="AB2964"/>
        </row>
        <row r="2965">
          <cell r="C2965">
            <v>0</v>
          </cell>
          <cell r="D2965">
            <v>0</v>
          </cell>
          <cell r="E2965">
            <v>0</v>
          </cell>
          <cell r="F2965">
            <v>0</v>
          </cell>
          <cell r="H2965">
            <v>6</v>
          </cell>
          <cell r="O2965">
            <v>327647</v>
          </cell>
          <cell r="P2965"/>
          <cell r="Q2965" t="str">
            <v>EST MESA LATERAL STAN (MARMORE GREEN PEACE)</v>
          </cell>
          <cell r="R2965"/>
          <cell r="S2965"/>
          <cell r="T2965">
            <v>0.4</v>
          </cell>
          <cell r="U2965">
            <v>0</v>
          </cell>
          <cell r="V2965">
            <v>0.6</v>
          </cell>
          <cell r="W2965">
            <v>0.4</v>
          </cell>
          <cell r="X2965" t="str">
            <v>EST MESA LATERAL STAN (MARMORE GREEN PEACE) - Ø0,4x0,6H</v>
          </cell>
          <cell r="Y2965">
            <v>0</v>
          </cell>
          <cell r="Z2965">
            <v>0</v>
          </cell>
          <cell r="AA2965">
            <v>0</v>
          </cell>
          <cell r="AB2965"/>
        </row>
        <row r="2966">
          <cell r="C2966">
            <v>0</v>
          </cell>
          <cell r="D2966">
            <v>0</v>
          </cell>
          <cell r="E2966">
            <v>0</v>
          </cell>
          <cell r="F2966">
            <v>0</v>
          </cell>
          <cell r="H2966">
            <v>7</v>
          </cell>
          <cell r="O2966">
            <v>327648</v>
          </cell>
          <cell r="P2966"/>
          <cell r="Q2966" t="str">
            <v>EST MESA LATERAL STAN JR (MARMORE GREEN PEACE)</v>
          </cell>
          <cell r="R2966"/>
          <cell r="S2966"/>
          <cell r="T2966">
            <v>0.3</v>
          </cell>
          <cell r="U2966">
            <v>0</v>
          </cell>
          <cell r="V2966">
            <v>0.55000000000000004</v>
          </cell>
          <cell r="W2966">
            <v>0.3</v>
          </cell>
          <cell r="X2966" t="str">
            <v>EST MESA LATERAL STAN JR (MARMORE GREEN PEACE) - Ø0,3x0,55H</v>
          </cell>
          <cell r="Y2966">
            <v>0</v>
          </cell>
          <cell r="Z2966">
            <v>0.5</v>
          </cell>
          <cell r="AA2966">
            <v>0</v>
          </cell>
          <cell r="AB2966"/>
        </row>
        <row r="2967">
          <cell r="C2967">
            <v>0</v>
          </cell>
          <cell r="D2967">
            <v>0</v>
          </cell>
          <cell r="E2967">
            <v>0</v>
          </cell>
          <cell r="F2967">
            <v>0</v>
          </cell>
          <cell r="H2967">
            <v>5</v>
          </cell>
          <cell r="O2967">
            <v>327649</v>
          </cell>
          <cell r="P2967"/>
          <cell r="Q2967" t="str">
            <v>EST MESA LATERAL OLIVER (MARMORE GREEN PEACE)</v>
          </cell>
          <cell r="R2967"/>
          <cell r="S2967"/>
          <cell r="T2967">
            <v>0.5</v>
          </cell>
          <cell r="U2967">
            <v>0</v>
          </cell>
          <cell r="V2967">
            <v>0.45</v>
          </cell>
          <cell r="W2967">
            <v>0.5</v>
          </cell>
          <cell r="X2967" t="str">
            <v>EST MESA LATERAL OLIVER (MARMORE GREEN PEACE) - Ø0,5x0,45H</v>
          </cell>
          <cell r="Y2967">
            <v>0</v>
          </cell>
          <cell r="Z2967">
            <v>0.5</v>
          </cell>
          <cell r="AA2967">
            <v>0</v>
          </cell>
          <cell r="AB2967"/>
        </row>
        <row r="2968">
          <cell r="C2968">
            <v>0</v>
          </cell>
          <cell r="D2968">
            <v>0</v>
          </cell>
          <cell r="E2968">
            <v>0</v>
          </cell>
          <cell r="F2968">
            <v>0</v>
          </cell>
          <cell r="H2968">
            <v>2</v>
          </cell>
          <cell r="O2968">
            <v>327825</v>
          </cell>
          <cell r="P2968"/>
          <cell r="Q2968" t="str">
            <v>EST LUMINARIA MINI PAU DE LUZ (INOX) (FREIJO NATURAL) BIVOLT</v>
          </cell>
          <cell r="R2968"/>
          <cell r="S2968"/>
          <cell r="T2968">
            <v>0.03</v>
          </cell>
          <cell r="U2968">
            <v>0.04</v>
          </cell>
          <cell r="V2968">
            <v>1.22</v>
          </cell>
          <cell r="W2968">
            <v>0</v>
          </cell>
          <cell r="X2968" t="str">
            <v>EST LUMINARIA MINI PAU DE LUZ (INOX) (FREIJO NATURAL) BIVOLT - 0,03x0,04x1,22H</v>
          </cell>
          <cell r="Y2968">
            <v>0</v>
          </cell>
          <cell r="Z2968">
            <v>0.5</v>
          </cell>
          <cell r="AA2968">
            <v>0</v>
          </cell>
          <cell r="AB2968"/>
        </row>
        <row r="2969">
          <cell r="C2969">
            <v>0</v>
          </cell>
          <cell r="D2969">
            <v>0</v>
          </cell>
          <cell r="E2969">
            <v>0</v>
          </cell>
          <cell r="F2969">
            <v>0</v>
          </cell>
          <cell r="H2969">
            <v>0</v>
          </cell>
          <cell r="O2969">
            <v>327826</v>
          </cell>
          <cell r="P2969"/>
          <cell r="Q2969" t="str">
            <v>EST BUFFET MUXARABI (5 PORTAS) (FREIJO NATURAL)</v>
          </cell>
          <cell r="R2969"/>
          <cell r="S2969"/>
          <cell r="T2969">
            <v>2.81</v>
          </cell>
          <cell r="U2969">
            <v>0.55000000000000004</v>
          </cell>
          <cell r="V2969">
            <v>0.75</v>
          </cell>
          <cell r="W2969">
            <v>0</v>
          </cell>
          <cell r="X2969" t="str">
            <v>EST BUFFET MUXARABI (5 PORTAS) (FREIJO NATURAL) - 2,81x0,55x0,75H</v>
          </cell>
          <cell r="Y2969">
            <v>0</v>
          </cell>
          <cell r="Z2969">
            <v>0.5</v>
          </cell>
          <cell r="AA2969">
            <v>0</v>
          </cell>
          <cell r="AB2969"/>
        </row>
        <row r="2970">
          <cell r="C2970">
            <v>0</v>
          </cell>
          <cell r="D2970">
            <v>0</v>
          </cell>
          <cell r="E2970">
            <v>0</v>
          </cell>
          <cell r="F2970">
            <v>0</v>
          </cell>
          <cell r="H2970">
            <v>2</v>
          </cell>
          <cell r="O2970">
            <v>327986</v>
          </cell>
          <cell r="P2970"/>
          <cell r="Q2970" t="str">
            <v>EST BANQUETA BAR GB MTF600 H63 TC VILLA OLMO NATURAL</v>
          </cell>
          <cell r="R2970"/>
          <cell r="S2970"/>
          <cell r="T2970">
            <v>0.35</v>
          </cell>
          <cell r="U2970">
            <v>0.4</v>
          </cell>
          <cell r="V2970">
            <v>0.73</v>
          </cell>
          <cell r="W2970">
            <v>0</v>
          </cell>
          <cell r="X2970" t="str">
            <v>EST BANQUETA BAR GB MTF600 H63 TC VILLA OLMO NATURAL - 0,35x0,4x0,73H</v>
          </cell>
          <cell r="Y2970">
            <v>0</v>
          </cell>
          <cell r="Z2970">
            <v>0</v>
          </cell>
          <cell r="AA2970">
            <v>0</v>
          </cell>
          <cell r="AB2970"/>
        </row>
        <row r="2971">
          <cell r="C2971">
            <v>0</v>
          </cell>
          <cell r="D2971">
            <v>0</v>
          </cell>
          <cell r="E2971">
            <v>0</v>
          </cell>
          <cell r="F2971">
            <v>0</v>
          </cell>
          <cell r="H2971">
            <v>5</v>
          </cell>
          <cell r="O2971">
            <v>327989</v>
          </cell>
          <cell r="P2971"/>
          <cell r="Q2971" t="str">
            <v>EST BANCO IRENE (FREIJO NATURAL)</v>
          </cell>
          <cell r="R2971"/>
          <cell r="S2971"/>
          <cell r="T2971">
            <v>0.38</v>
          </cell>
          <cell r="U2971">
            <v>0</v>
          </cell>
          <cell r="V2971">
            <v>0.51</v>
          </cell>
          <cell r="W2971">
            <v>0.38</v>
          </cell>
          <cell r="X2971" t="str">
            <v>EST BANCO IRENE (FREIJO NATURAL) - Ø0,38x0,51H</v>
          </cell>
          <cell r="Y2971">
            <v>0</v>
          </cell>
          <cell r="Z2971">
            <v>0</v>
          </cell>
          <cell r="AA2971">
            <v>0</v>
          </cell>
          <cell r="AB2971"/>
        </row>
        <row r="2972">
          <cell r="C2972">
            <v>0</v>
          </cell>
          <cell r="D2972">
            <v>0</v>
          </cell>
          <cell r="E2972">
            <v>0</v>
          </cell>
          <cell r="F2972">
            <v>0</v>
          </cell>
          <cell r="H2972">
            <v>1</v>
          </cell>
          <cell r="O2972">
            <v>327990</v>
          </cell>
          <cell r="P2972"/>
          <cell r="Q2972" t="str">
            <v>EST POLTRONA CUIABA (FREIJO TONALIZ 01) CAMURCA CASTANHO</v>
          </cell>
          <cell r="R2972"/>
          <cell r="S2972"/>
          <cell r="T2972">
            <v>0.62</v>
          </cell>
          <cell r="U2972">
            <v>0.7</v>
          </cell>
          <cell r="V2972">
            <v>0.72</v>
          </cell>
          <cell r="W2972">
            <v>0</v>
          </cell>
          <cell r="X2972" t="str">
            <v>EST POLTRONA CUIABA (FREIJO TONALIZ 01) CAMURCA CASTANHO - 0,62x0,7x0,72H</v>
          </cell>
          <cell r="Y2972">
            <v>0</v>
          </cell>
          <cell r="Z2972">
            <v>0.5</v>
          </cell>
          <cell r="AA2972">
            <v>0</v>
          </cell>
          <cell r="AB2972"/>
        </row>
        <row r="2973">
          <cell r="C2973">
            <v>0</v>
          </cell>
          <cell r="D2973">
            <v>0</v>
          </cell>
          <cell r="E2973">
            <v>0</v>
          </cell>
          <cell r="F2973">
            <v>0</v>
          </cell>
          <cell r="H2973">
            <v>1</v>
          </cell>
          <cell r="O2973">
            <v>327993</v>
          </cell>
          <cell r="P2973"/>
          <cell r="Q2973" t="str">
            <v>EST BANQUETA CUIABA (FREIJO TNZ 01) CAMURCA CASTANHO</v>
          </cell>
          <cell r="R2973"/>
          <cell r="S2973"/>
          <cell r="T2973">
            <v>0.54</v>
          </cell>
          <cell r="U2973">
            <v>0.47</v>
          </cell>
          <cell r="V2973">
            <v>0.4</v>
          </cell>
          <cell r="W2973">
            <v>0</v>
          </cell>
          <cell r="X2973" t="str">
            <v>EST BANQUETA CUIABA (FREIJO TNZ 01) CAMURCA CASTANHO - 0,54x0,47x0,4H</v>
          </cell>
          <cell r="Y2973">
            <v>0</v>
          </cell>
          <cell r="Z2973">
            <v>0.5</v>
          </cell>
          <cell r="AA2973">
            <v>0</v>
          </cell>
          <cell r="AB2973"/>
        </row>
        <row r="2974">
          <cell r="C2974">
            <v>0</v>
          </cell>
          <cell r="D2974">
            <v>0</v>
          </cell>
          <cell r="E2974">
            <v>0</v>
          </cell>
          <cell r="F2974">
            <v>0</v>
          </cell>
          <cell r="H2974">
            <v>5</v>
          </cell>
          <cell r="O2974">
            <v>328006</v>
          </cell>
          <cell r="P2974"/>
          <cell r="Q2974" t="str">
            <v>EST LUMINARIA CURCUMA LIGHT (PEROBA ROSA) LINHO CRU</v>
          </cell>
          <cell r="R2974"/>
          <cell r="S2974"/>
          <cell r="T2974">
            <v>0.22</v>
          </cell>
          <cell r="U2974">
            <v>0</v>
          </cell>
          <cell r="V2974">
            <v>0.62</v>
          </cell>
          <cell r="W2974">
            <v>0.22</v>
          </cell>
          <cell r="X2974" t="str">
            <v>EST LUMINARIA CURCUMA LIGHT (PEROBA ROSA) LINHO CRU - Ø0,22x0,62H</v>
          </cell>
          <cell r="Y2974">
            <v>0</v>
          </cell>
          <cell r="Z2974">
            <v>0.5</v>
          </cell>
          <cell r="AA2974">
            <v>0</v>
          </cell>
          <cell r="AB2974"/>
        </row>
        <row r="2975">
          <cell r="C2975">
            <v>0</v>
          </cell>
          <cell r="D2975">
            <v>0</v>
          </cell>
          <cell r="E2975">
            <v>0</v>
          </cell>
          <cell r="F2975">
            <v>0</v>
          </cell>
          <cell r="H2975">
            <v>4</v>
          </cell>
          <cell r="O2975">
            <v>328007</v>
          </cell>
          <cell r="P2975"/>
          <cell r="Q2975" t="str">
            <v>EST LUMINARIA CURCUMA MEDIA BAIXA (PEROBA ROSA) LINHO CRU</v>
          </cell>
          <cell r="R2975"/>
          <cell r="S2975"/>
          <cell r="T2975">
            <v>0.22</v>
          </cell>
          <cell r="U2975">
            <v>0</v>
          </cell>
          <cell r="V2975">
            <v>0.65</v>
          </cell>
          <cell r="W2975">
            <v>0.22</v>
          </cell>
          <cell r="X2975" t="str">
            <v>EST LUMINARIA CURCUMA MEDIA BAIXA (PEROBA ROSA) LINHO CRU - Ø0,22x0,65H</v>
          </cell>
          <cell r="Y2975">
            <v>0</v>
          </cell>
          <cell r="Z2975">
            <v>0.5</v>
          </cell>
          <cell r="AA2975">
            <v>0</v>
          </cell>
          <cell r="AB2975"/>
        </row>
        <row r="2976">
          <cell r="C2976">
            <v>0</v>
          </cell>
          <cell r="D2976">
            <v>0</v>
          </cell>
          <cell r="E2976">
            <v>0</v>
          </cell>
          <cell r="F2976">
            <v>0</v>
          </cell>
          <cell r="H2976">
            <v>2</v>
          </cell>
          <cell r="O2976">
            <v>328008</v>
          </cell>
          <cell r="P2976"/>
          <cell r="Q2976" t="str">
            <v>EST LUMINARIA CURCUMA BOLD MAX (PEROBA ROSA) LINHO CRU</v>
          </cell>
          <cell r="R2976"/>
          <cell r="S2976"/>
          <cell r="T2976">
            <v>0.48</v>
          </cell>
          <cell r="U2976">
            <v>0</v>
          </cell>
          <cell r="V2976">
            <v>0.78</v>
          </cell>
          <cell r="W2976">
            <v>0.48</v>
          </cell>
          <cell r="X2976" t="str">
            <v>EST LUMINARIA CURCUMA BOLD MAX (PEROBA ROSA) LINHO CRU - Ø0,48x0,78H</v>
          </cell>
          <cell r="Y2976">
            <v>0</v>
          </cell>
          <cell r="Z2976">
            <v>0.5</v>
          </cell>
          <cell r="AA2976">
            <v>0</v>
          </cell>
          <cell r="AB2976"/>
        </row>
        <row r="2977">
          <cell r="C2977">
            <v>0</v>
          </cell>
          <cell r="D2977">
            <v>0</v>
          </cell>
          <cell r="E2977">
            <v>0</v>
          </cell>
          <cell r="F2977">
            <v>0</v>
          </cell>
          <cell r="H2977">
            <v>2</v>
          </cell>
          <cell r="O2977">
            <v>328012</v>
          </cell>
          <cell r="P2977"/>
          <cell r="Q2977" t="str">
            <v>EST LUMINARIA CURCUMA BOLD (BRONZE) LINHO CRU</v>
          </cell>
          <cell r="R2977"/>
          <cell r="S2977"/>
          <cell r="T2977">
            <v>0.38</v>
          </cell>
          <cell r="U2977">
            <v>0</v>
          </cell>
          <cell r="V2977">
            <v>0.76</v>
          </cell>
          <cell r="W2977">
            <v>0.38</v>
          </cell>
          <cell r="X2977" t="str">
            <v>EST LUMINARIA CURCUMA BOLD (BRONZE) LINHO CRU - Ø0,38x0,76H</v>
          </cell>
          <cell r="Y2977">
            <v>0</v>
          </cell>
          <cell r="Z2977">
            <v>0.5</v>
          </cell>
          <cell r="AA2977">
            <v>0</v>
          </cell>
          <cell r="AB2977"/>
        </row>
        <row r="2978">
          <cell r="C2978">
            <v>0</v>
          </cell>
          <cell r="D2978">
            <v>0</v>
          </cell>
          <cell r="E2978">
            <v>0</v>
          </cell>
          <cell r="F2978">
            <v>0</v>
          </cell>
          <cell r="H2978">
            <v>2</v>
          </cell>
          <cell r="O2978">
            <v>328013</v>
          </cell>
          <cell r="P2978"/>
          <cell r="Q2978" t="str">
            <v>EST LUMINARIA CURCUMA BOLD MAX (BRONZE) LINHO CRU</v>
          </cell>
          <cell r="R2978"/>
          <cell r="S2978"/>
          <cell r="T2978">
            <v>0.38</v>
          </cell>
          <cell r="U2978">
            <v>0</v>
          </cell>
          <cell r="V2978">
            <v>0.8</v>
          </cell>
          <cell r="W2978">
            <v>0.38</v>
          </cell>
          <cell r="X2978" t="str">
            <v>EST LUMINARIA CURCUMA BOLD MAX (BRONZE) LINHO CRU - Ø0,38x0,8H</v>
          </cell>
          <cell r="Y2978">
            <v>0</v>
          </cell>
          <cell r="Z2978">
            <v>0.5</v>
          </cell>
          <cell r="AA2978">
            <v>0</v>
          </cell>
          <cell r="AB2978"/>
        </row>
        <row r="2979">
          <cell r="C2979">
            <v>0</v>
          </cell>
          <cell r="D2979">
            <v>0</v>
          </cell>
          <cell r="E2979">
            <v>0</v>
          </cell>
          <cell r="F2979">
            <v>0</v>
          </cell>
          <cell r="H2979">
            <v>2</v>
          </cell>
          <cell r="O2979">
            <v>328015</v>
          </cell>
          <cell r="P2979"/>
          <cell r="Q2979" t="str">
            <v>EST LUMINARIA CURCUMA LIGHT ALTA (BRONZE) LINHO CRU</v>
          </cell>
          <cell r="R2979"/>
          <cell r="S2979"/>
          <cell r="T2979">
            <v>0.32</v>
          </cell>
          <cell r="U2979">
            <v>0</v>
          </cell>
          <cell r="V2979">
            <v>0.74</v>
          </cell>
          <cell r="W2979">
            <v>0.32</v>
          </cell>
          <cell r="X2979" t="str">
            <v>EST LUMINARIA CURCUMA LIGHT ALTA (BRONZE) LINHO CRU - Ø0,32x0,74H</v>
          </cell>
          <cell r="Y2979">
            <v>0</v>
          </cell>
          <cell r="Z2979">
            <v>0.5</v>
          </cell>
          <cell r="AA2979">
            <v>0</v>
          </cell>
          <cell r="AB2979"/>
        </row>
        <row r="2980">
          <cell r="C2980">
            <v>0</v>
          </cell>
          <cell r="D2980">
            <v>0</v>
          </cell>
          <cell r="E2980">
            <v>0</v>
          </cell>
          <cell r="F2980">
            <v>0</v>
          </cell>
          <cell r="H2980">
            <v>2</v>
          </cell>
          <cell r="O2980">
            <v>328016</v>
          </cell>
          <cell r="P2980"/>
          <cell r="Q2980" t="str">
            <v>EST LUMINARIA CURCUMA MEDIA BAIXA (BRONZE) LINHO CRU</v>
          </cell>
          <cell r="R2980"/>
          <cell r="S2980"/>
          <cell r="T2980">
            <v>0.22</v>
          </cell>
          <cell r="U2980">
            <v>0</v>
          </cell>
          <cell r="V2980">
            <v>0.65</v>
          </cell>
          <cell r="W2980">
            <v>0.22</v>
          </cell>
          <cell r="X2980" t="str">
            <v>EST LUMINARIA CURCUMA MEDIA BAIXA (BRONZE) LINHO CRU - Ø0,22x0,65H</v>
          </cell>
          <cell r="Y2980">
            <v>0</v>
          </cell>
          <cell r="Z2980">
            <v>0.5</v>
          </cell>
          <cell r="AA2980">
            <v>0</v>
          </cell>
          <cell r="AB2980"/>
        </row>
        <row r="2981">
          <cell r="C2981">
            <v>0</v>
          </cell>
          <cell r="D2981">
            <v>0</v>
          </cell>
          <cell r="E2981">
            <v>0</v>
          </cell>
          <cell r="F2981">
            <v>0</v>
          </cell>
          <cell r="H2981">
            <v>2</v>
          </cell>
          <cell r="O2981">
            <v>328017</v>
          </cell>
          <cell r="P2981"/>
          <cell r="Q2981" t="str">
            <v>EST LUMINARIA CURCUMA MEDIA ALTA (BRONZE) LINHO CRU</v>
          </cell>
          <cell r="R2981"/>
          <cell r="S2981"/>
          <cell r="T2981">
            <v>0.32</v>
          </cell>
          <cell r="U2981">
            <v>0</v>
          </cell>
          <cell r="V2981">
            <v>0.74</v>
          </cell>
          <cell r="W2981">
            <v>0.32</v>
          </cell>
          <cell r="X2981" t="str">
            <v>EST LUMINARIA CURCUMA MEDIA ALTA (BRONZE) LINHO CRU - Ø0,32x0,74H</v>
          </cell>
          <cell r="Y2981">
            <v>0</v>
          </cell>
          <cell r="Z2981">
            <v>0.5</v>
          </cell>
          <cell r="AA2981">
            <v>0</v>
          </cell>
          <cell r="AB2981"/>
        </row>
        <row r="2982">
          <cell r="C2982">
            <v>0</v>
          </cell>
          <cell r="D2982">
            <v>0</v>
          </cell>
          <cell r="E2982">
            <v>0</v>
          </cell>
          <cell r="F2982">
            <v>0</v>
          </cell>
          <cell r="H2982">
            <v>1</v>
          </cell>
          <cell r="O2982">
            <v>328018</v>
          </cell>
          <cell r="P2982"/>
          <cell r="Q2982" t="str">
            <v>EST MESA LATERAL CURCUMA BOLD MAX (BRONZE) (TP FOLHA AMEBA)</v>
          </cell>
          <cell r="R2982"/>
          <cell r="S2982"/>
          <cell r="T2982">
            <v>0.39</v>
          </cell>
          <cell r="U2982">
            <v>0</v>
          </cell>
          <cell r="V2982">
            <v>0.53</v>
          </cell>
          <cell r="W2982">
            <v>0.39</v>
          </cell>
          <cell r="X2982" t="str">
            <v>EST MESA LATERAL CURCUMA BOLD MAX (BRONZE) (TP FOLHA AMEBA) - Ø0,39x0,53H</v>
          </cell>
          <cell r="Y2982">
            <v>0</v>
          </cell>
          <cell r="Z2982">
            <v>0</v>
          </cell>
          <cell r="AA2982">
            <v>0</v>
          </cell>
          <cell r="AB2982"/>
        </row>
        <row r="2983">
          <cell r="C2983">
            <v>0</v>
          </cell>
          <cell r="D2983">
            <v>0</v>
          </cell>
          <cell r="E2983">
            <v>0</v>
          </cell>
          <cell r="F2983">
            <v>0</v>
          </cell>
          <cell r="H2983">
            <v>2</v>
          </cell>
          <cell r="O2983">
            <v>328019</v>
          </cell>
          <cell r="P2983"/>
          <cell r="Q2983" t="str">
            <v>EST MESA LATERAL CURCUMA BOLD (BRONZE) (TP FOLHA AMEBA)</v>
          </cell>
          <cell r="R2983"/>
          <cell r="S2983"/>
          <cell r="T2983">
            <v>0.39</v>
          </cell>
          <cell r="U2983">
            <v>0</v>
          </cell>
          <cell r="V2983">
            <v>0.53</v>
          </cell>
          <cell r="W2983">
            <v>0.39</v>
          </cell>
          <cell r="X2983" t="str">
            <v>EST MESA LATERAL CURCUMA BOLD (BRONZE) (TP FOLHA AMEBA) - Ø0,39x0,53H</v>
          </cell>
          <cell r="Y2983">
            <v>0</v>
          </cell>
          <cell r="Z2983">
            <v>0</v>
          </cell>
          <cell r="AA2983">
            <v>0</v>
          </cell>
          <cell r="AB2983"/>
        </row>
        <row r="2984">
          <cell r="C2984">
            <v>0</v>
          </cell>
          <cell r="D2984">
            <v>0</v>
          </cell>
          <cell r="E2984">
            <v>0</v>
          </cell>
          <cell r="F2984">
            <v>0</v>
          </cell>
          <cell r="H2984">
            <v>0</v>
          </cell>
          <cell r="O2984">
            <v>328043</v>
          </cell>
          <cell r="P2984"/>
          <cell r="Q2984" t="str">
            <v>EST POLTRONA DIZ (ESTOF S/FURO) (MAD IMBUIA) COURO IMPORT 51</v>
          </cell>
          <cell r="R2984"/>
          <cell r="S2984"/>
          <cell r="T2984">
            <v>0.78</v>
          </cell>
          <cell r="U2984">
            <v>0.89</v>
          </cell>
          <cell r="V2984">
            <v>0.71</v>
          </cell>
          <cell r="W2984">
            <v>0</v>
          </cell>
          <cell r="X2984" t="str">
            <v>EST POLTRONA DIZ (ESTOF S/FURO) (MAD IMBUIA) COURO IMPORT 51 - 0,78x0,89x0,71H</v>
          </cell>
          <cell r="Y2984">
            <v>0</v>
          </cell>
          <cell r="Z2984">
            <v>0</v>
          </cell>
          <cell r="AA2984">
            <v>0</v>
          </cell>
          <cell r="AB2984"/>
        </row>
        <row r="2985">
          <cell r="C2985">
            <v>0</v>
          </cell>
          <cell r="D2985">
            <v>0</v>
          </cell>
          <cell r="E2985">
            <v>0</v>
          </cell>
          <cell r="F2985">
            <v>0</v>
          </cell>
          <cell r="H2985">
            <v>0</v>
          </cell>
          <cell r="O2985">
            <v>328441</v>
          </cell>
          <cell r="P2985"/>
          <cell r="Q2985" t="str">
            <v>EST MESA CENTRO JOALHERIA (PAU FERRO) BS PRETO FOSCO</v>
          </cell>
          <cell r="R2985"/>
          <cell r="S2985"/>
          <cell r="T2985">
            <v>1.61</v>
          </cell>
          <cell r="U2985">
            <v>0.52</v>
          </cell>
          <cell r="V2985">
            <v>0.37</v>
          </cell>
          <cell r="W2985">
            <v>0</v>
          </cell>
          <cell r="X2985" t="str">
            <v>EST MESA CENTRO JOALHERIA (PAU FERRO) BS PRETO FOSCO - 1,61x0,52x0,37H</v>
          </cell>
          <cell r="Y2985">
            <v>0</v>
          </cell>
          <cell r="Z2985">
            <v>0.5</v>
          </cell>
          <cell r="AA2985">
            <v>0</v>
          </cell>
          <cell r="AB2985"/>
        </row>
        <row r="2986">
          <cell r="C2986">
            <v>0</v>
          </cell>
          <cell r="D2986">
            <v>0</v>
          </cell>
          <cell r="E2986">
            <v>0</v>
          </cell>
          <cell r="F2986">
            <v>0</v>
          </cell>
          <cell r="H2986">
            <v>0</v>
          </cell>
          <cell r="O2986">
            <v>328442</v>
          </cell>
          <cell r="P2986"/>
          <cell r="Q2986" t="str">
            <v>EST MESA CENTRO JOALHERIA (PAU FERRO) BS PRETO FOSCO</v>
          </cell>
          <cell r="R2986"/>
          <cell r="S2986"/>
          <cell r="T2986">
            <v>0.78</v>
          </cell>
          <cell r="U2986">
            <v>0.52</v>
          </cell>
          <cell r="V2986">
            <v>0.37</v>
          </cell>
          <cell r="W2986">
            <v>0</v>
          </cell>
          <cell r="X2986" t="str">
            <v>EST MESA CENTRO JOALHERIA (PAU FERRO) BS PRETO FOSCO - 0,78x0,52x0,37H</v>
          </cell>
          <cell r="Y2986">
            <v>0</v>
          </cell>
          <cell r="Z2986">
            <v>0</v>
          </cell>
          <cell r="AA2986">
            <v>0</v>
          </cell>
          <cell r="AB2986"/>
        </row>
        <row r="2987">
          <cell r="C2987">
            <v>0</v>
          </cell>
          <cell r="D2987">
            <v>0</v>
          </cell>
          <cell r="E2987">
            <v>0</v>
          </cell>
          <cell r="F2987">
            <v>0</v>
          </cell>
          <cell r="H2987">
            <v>1</v>
          </cell>
          <cell r="O2987">
            <v>328443</v>
          </cell>
          <cell r="P2987"/>
          <cell r="Q2987" t="str">
            <v>EST MESA CENTRO JOALHERIA (PAU FERRO) BS PRETO FOSCO</v>
          </cell>
          <cell r="R2987"/>
          <cell r="S2987"/>
          <cell r="T2987">
            <v>0.82</v>
          </cell>
          <cell r="U2987">
            <v>0.69</v>
          </cell>
          <cell r="V2987">
            <v>0.37</v>
          </cell>
          <cell r="W2987">
            <v>0</v>
          </cell>
          <cell r="X2987" t="str">
            <v>EST MESA CENTRO JOALHERIA (PAU FERRO) BS PRETO FOSCO - 0,82x0,69x0,37H</v>
          </cell>
          <cell r="Y2987">
            <v>0</v>
          </cell>
          <cell r="Z2987">
            <v>0</v>
          </cell>
          <cell r="AA2987">
            <v>0</v>
          </cell>
          <cell r="AB2987"/>
        </row>
        <row r="2988">
          <cell r="C2988">
            <v>0</v>
          </cell>
          <cell r="D2988">
            <v>0</v>
          </cell>
          <cell r="E2988">
            <v>0</v>
          </cell>
          <cell r="F2988">
            <v>0</v>
          </cell>
          <cell r="H2988">
            <v>1</v>
          </cell>
          <cell r="O2988">
            <v>328630</v>
          </cell>
          <cell r="P2988"/>
          <cell r="Q2988" t="str">
            <v>EST APARADOR GB 1013 (PORTAS BRANCAS) (PAU FERRO)</v>
          </cell>
          <cell r="R2988"/>
          <cell r="S2988"/>
          <cell r="T2988">
            <v>1.04</v>
          </cell>
          <cell r="U2988">
            <v>0.39</v>
          </cell>
          <cell r="V2988">
            <v>0.82</v>
          </cell>
          <cell r="W2988">
            <v>0</v>
          </cell>
          <cell r="X2988" t="str">
            <v>EST APARADOR GB 1013 (PORTAS BRANCAS) (PAU FERRO) - 1,04x0,39x0,82H</v>
          </cell>
          <cell r="Y2988">
            <v>0</v>
          </cell>
          <cell r="Z2988">
            <v>0.5</v>
          </cell>
          <cell r="AA2988">
            <v>0</v>
          </cell>
          <cell r="AB2988"/>
        </row>
        <row r="2989">
          <cell r="C2989" t="e">
            <v>#N/A</v>
          </cell>
          <cell r="D2989" t="e">
            <v>#N/A</v>
          </cell>
          <cell r="E2989" t="e">
            <v>#N/A</v>
          </cell>
          <cell r="F2989" t="e">
            <v>#N/A</v>
          </cell>
          <cell r="H2989" t="e">
            <v>#N/A</v>
          </cell>
          <cell r="O2989">
            <v>328634</v>
          </cell>
          <cell r="P2989"/>
          <cell r="Q2989" t="e">
            <v>#N/A</v>
          </cell>
          <cell r="R2989"/>
          <cell r="S2989"/>
          <cell r="T2989" t="e">
            <v>#N/A</v>
          </cell>
          <cell r="U2989" t="e">
            <v>#N/A</v>
          </cell>
          <cell r="V2989" t="e">
            <v>#N/A</v>
          </cell>
          <cell r="W2989" t="e">
            <v>#N/A</v>
          </cell>
          <cell r="X2989" t="e">
            <v>#N/A</v>
          </cell>
          <cell r="Y2989">
            <v>0</v>
          </cell>
          <cell r="Z2989">
            <v>0</v>
          </cell>
          <cell r="AA2989">
            <v>0</v>
          </cell>
          <cell r="AB2989"/>
        </row>
        <row r="2990">
          <cell r="C2990">
            <v>0</v>
          </cell>
          <cell r="D2990">
            <v>0</v>
          </cell>
          <cell r="E2990">
            <v>0</v>
          </cell>
          <cell r="F2990">
            <v>0</v>
          </cell>
          <cell r="H2990">
            <v>0</v>
          </cell>
          <cell r="O2990">
            <v>328637</v>
          </cell>
          <cell r="P2990"/>
          <cell r="Q2990" t="str">
            <v>EST ESCRIVANINHA GB 1015 (PAU FERRO) (GAV ESQ LC BRANCA)</v>
          </cell>
          <cell r="R2990"/>
          <cell r="S2990"/>
          <cell r="T2990">
            <v>1.1000000000000001</v>
          </cell>
          <cell r="U2990">
            <v>0.53</v>
          </cell>
          <cell r="V2990">
            <v>0.75</v>
          </cell>
          <cell r="W2990">
            <v>0</v>
          </cell>
          <cell r="X2990" t="str">
            <v>EST ESCRIVANINHA GB 1015 (PAU FERRO) (GAV ESQ LC BRANCA) - 1,1x0,53x0,75H</v>
          </cell>
          <cell r="Y2990">
            <v>0</v>
          </cell>
          <cell r="Z2990">
            <v>0.5</v>
          </cell>
          <cell r="AA2990">
            <v>0</v>
          </cell>
          <cell r="AB2990"/>
        </row>
        <row r="2991">
          <cell r="C2991">
            <v>0</v>
          </cell>
          <cell r="D2991">
            <v>0</v>
          </cell>
          <cell r="E2991">
            <v>0</v>
          </cell>
          <cell r="F2991">
            <v>0</v>
          </cell>
          <cell r="H2991">
            <v>3</v>
          </cell>
          <cell r="O2991">
            <v>328943</v>
          </cell>
          <cell r="P2991"/>
          <cell r="Q2991" t="str">
            <v>EST POLTRONA ESTICADA (PALANTI) (IMBUIA) (SOLETA MARROM)</v>
          </cell>
          <cell r="R2991"/>
          <cell r="S2991"/>
          <cell r="T2991">
            <v>0.55000000000000004</v>
          </cell>
          <cell r="U2991">
            <v>0.7</v>
          </cell>
          <cell r="V2991">
            <v>0.88</v>
          </cell>
          <cell r="W2991">
            <v>0</v>
          </cell>
          <cell r="X2991" t="str">
            <v>EST POLTRONA ESTICADA (PALANTI) (IMBUIA) (SOLETA MARROM) - 0,55x0,7x0,88H</v>
          </cell>
          <cell r="Y2991">
            <v>0</v>
          </cell>
          <cell r="Z2991">
            <v>0</v>
          </cell>
          <cell r="AA2991">
            <v>0</v>
          </cell>
          <cell r="AB2991"/>
        </row>
        <row r="2992">
          <cell r="C2992">
            <v>0</v>
          </cell>
          <cell r="D2992">
            <v>0</v>
          </cell>
          <cell r="E2992">
            <v>0</v>
          </cell>
          <cell r="F2992">
            <v>0</v>
          </cell>
          <cell r="H2992">
            <v>3</v>
          </cell>
          <cell r="O2992">
            <v>328949</v>
          </cell>
          <cell r="P2992"/>
          <cell r="Q2992" t="str">
            <v>EST POLTRONA TUBIM (ACO PRETO TXT) COURO IMPORT 55</v>
          </cell>
          <cell r="R2992"/>
          <cell r="S2992"/>
          <cell r="T2992">
            <v>0.62</v>
          </cell>
          <cell r="U2992">
            <v>0.73</v>
          </cell>
          <cell r="V2992">
            <v>0.76</v>
          </cell>
          <cell r="W2992">
            <v>0</v>
          </cell>
          <cell r="X2992" t="str">
            <v>EST POLTRONA TUBIM (ACO PRETO TXT) COURO IMPORT 55 - 0,62x0,73x0,76H</v>
          </cell>
          <cell r="Y2992">
            <v>0</v>
          </cell>
          <cell r="Z2992">
            <v>0</v>
          </cell>
          <cell r="AA2992">
            <v>0</v>
          </cell>
          <cell r="AB2992"/>
        </row>
        <row r="2993">
          <cell r="C2993">
            <v>0</v>
          </cell>
          <cell r="D2993">
            <v>0</v>
          </cell>
          <cell r="E2993">
            <v>0</v>
          </cell>
          <cell r="F2993">
            <v>0</v>
          </cell>
          <cell r="H2993">
            <v>1</v>
          </cell>
          <cell r="O2993">
            <v>328950</v>
          </cell>
          <cell r="P2993"/>
          <cell r="Q2993" t="str">
            <v>EST POLTRONA TUBIM (ACO PRETO TXT) COURO SOFT CARAMELO</v>
          </cell>
          <cell r="R2993"/>
          <cell r="S2993"/>
          <cell r="T2993">
            <v>0.62</v>
          </cell>
          <cell r="U2993">
            <v>0.73</v>
          </cell>
          <cell r="V2993">
            <v>0.76</v>
          </cell>
          <cell r="W2993">
            <v>0</v>
          </cell>
          <cell r="X2993" t="str">
            <v>EST POLTRONA TUBIM (ACO PRETO TXT) COURO SOFT CARAMELO - 0,62x0,73x0,76H</v>
          </cell>
          <cell r="Y2993">
            <v>0</v>
          </cell>
          <cell r="Z2993">
            <v>0</v>
          </cell>
          <cell r="AA2993">
            <v>0</v>
          </cell>
          <cell r="AB2993"/>
        </row>
        <row r="2994">
          <cell r="C2994">
            <v>0</v>
          </cell>
          <cell r="D2994">
            <v>0</v>
          </cell>
          <cell r="E2994">
            <v>0</v>
          </cell>
          <cell r="F2994">
            <v>0</v>
          </cell>
          <cell r="H2994">
            <v>1</v>
          </cell>
          <cell r="O2994">
            <v>330545</v>
          </cell>
          <cell r="P2994"/>
          <cell r="Q2994" t="str">
            <v>EST MESA LATERAL STAN (MARMORE ROSA PARANA FOSCO)</v>
          </cell>
          <cell r="R2994"/>
          <cell r="S2994"/>
          <cell r="T2994">
            <v>0.4</v>
          </cell>
          <cell r="U2994">
            <v>0</v>
          </cell>
          <cell r="V2994">
            <v>0.6</v>
          </cell>
          <cell r="W2994">
            <v>0.4</v>
          </cell>
          <cell r="X2994" t="str">
            <v>EST MESA LATERAL STAN (MARMORE ROSA PARANA FOSCO) - Ø0,4x0,6H</v>
          </cell>
          <cell r="Y2994">
            <v>0</v>
          </cell>
          <cell r="Z2994">
            <v>0.5</v>
          </cell>
          <cell r="AA2994">
            <v>0</v>
          </cell>
          <cell r="AB2994"/>
        </row>
        <row r="2995">
          <cell r="C2995">
            <v>0</v>
          </cell>
          <cell r="D2995">
            <v>0</v>
          </cell>
          <cell r="E2995">
            <v>0</v>
          </cell>
          <cell r="F2995">
            <v>0</v>
          </cell>
          <cell r="H2995">
            <v>1</v>
          </cell>
          <cell r="O2995">
            <v>330547</v>
          </cell>
          <cell r="P2995"/>
          <cell r="Q2995" t="str">
            <v>EST MESA LATERAL OLIVER (MARMORE ROSA PARANA FOSCO)</v>
          </cell>
          <cell r="R2995"/>
          <cell r="S2995"/>
          <cell r="T2995">
            <v>0.5</v>
          </cell>
          <cell r="U2995">
            <v>0</v>
          </cell>
          <cell r="V2995">
            <v>0.45</v>
          </cell>
          <cell r="W2995">
            <v>0.5</v>
          </cell>
          <cell r="X2995" t="str">
            <v>EST MESA LATERAL OLIVER (MARMORE ROSA PARANA FOSCO) - Ø0,5x0,45H</v>
          </cell>
          <cell r="Y2995">
            <v>0</v>
          </cell>
          <cell r="Z2995">
            <v>0.5</v>
          </cell>
          <cell r="AA2995">
            <v>0</v>
          </cell>
          <cell r="AB2995"/>
        </row>
        <row r="2996">
          <cell r="C2996">
            <v>0</v>
          </cell>
          <cell r="D2996">
            <v>0</v>
          </cell>
          <cell r="E2996">
            <v>0</v>
          </cell>
          <cell r="F2996">
            <v>0</v>
          </cell>
          <cell r="H2996">
            <v>1</v>
          </cell>
          <cell r="O2996">
            <v>330550</v>
          </cell>
          <cell r="P2996"/>
          <cell r="Q2996" t="str">
            <v>EST MESA CENTRO JOA (MAD B LOURO ESPECIAL)</v>
          </cell>
          <cell r="R2996"/>
          <cell r="S2996"/>
          <cell r="T2996">
            <v>1.4</v>
          </cell>
          <cell r="U2996">
            <v>0</v>
          </cell>
          <cell r="V2996">
            <v>0.3</v>
          </cell>
          <cell r="W2996">
            <v>0</v>
          </cell>
          <cell r="X2996" t="str">
            <v>EST MESA CENTRO JOA (MAD B LOURO ESPECIAL) - Ø0x0,3H</v>
          </cell>
          <cell r="Y2996">
            <v>0</v>
          </cell>
          <cell r="Z2996">
            <v>0</v>
          </cell>
          <cell r="AA2996">
            <v>0</v>
          </cell>
          <cell r="AB2996"/>
        </row>
        <row r="2997">
          <cell r="C2997">
            <v>0</v>
          </cell>
          <cell r="D2997">
            <v>0</v>
          </cell>
          <cell r="E2997">
            <v>0</v>
          </cell>
          <cell r="F2997">
            <v>0</v>
          </cell>
          <cell r="H2997">
            <v>2</v>
          </cell>
          <cell r="O2997">
            <v>330551</v>
          </cell>
          <cell r="P2997"/>
          <cell r="Q2997" t="str">
            <v>EST MESA LATERAL LEBLON (MAD B FREIJO NT)</v>
          </cell>
          <cell r="R2997"/>
          <cell r="S2997"/>
          <cell r="T2997">
            <v>0.71</v>
          </cell>
          <cell r="U2997">
            <v>0</v>
          </cell>
          <cell r="V2997">
            <v>0.56000000000000005</v>
          </cell>
          <cell r="W2997">
            <v>0</v>
          </cell>
          <cell r="X2997" t="str">
            <v>EST MESA LATERAL LEBLON (MAD B FREIJO NT) - Ø0x0,56H</v>
          </cell>
          <cell r="Y2997">
            <v>0</v>
          </cell>
          <cell r="Z2997">
            <v>0</v>
          </cell>
          <cell r="AA2997">
            <v>0</v>
          </cell>
          <cell r="AB2997"/>
        </row>
        <row r="2998"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H2998">
            <v>4</v>
          </cell>
          <cell r="O2998">
            <v>332033</v>
          </cell>
          <cell r="P2998"/>
          <cell r="Q2998" t="str">
            <v>EST POLTRONA CARIOCA (SOLETA DPOT PINHAO) (MAD B LOURO ESP)</v>
          </cell>
          <cell r="R2998"/>
          <cell r="S2998"/>
          <cell r="T2998">
            <v>0.6</v>
          </cell>
          <cell r="U2998">
            <v>0.74</v>
          </cell>
          <cell r="V2998">
            <v>0.82</v>
          </cell>
          <cell r="W2998">
            <v>0</v>
          </cell>
          <cell r="X2998" t="str">
            <v>EST POLTRONA CARIOCA (SOLETA DPOT PINHAO) (MAD B LOURO ESP) - 0,6x0,74x0,82H</v>
          </cell>
          <cell r="Y2998">
            <v>0</v>
          </cell>
          <cell r="Z2998">
            <v>0</v>
          </cell>
          <cell r="AA2998">
            <v>0</v>
          </cell>
          <cell r="AB2998"/>
        </row>
        <row r="2999"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H2999">
            <v>1</v>
          </cell>
          <cell r="O2999">
            <v>334696</v>
          </cell>
          <cell r="P2999"/>
          <cell r="Q2999" t="str">
            <v>EST BANQUETA BENJAMIN (FREIJO NATURAL) CAMURCA TABACO</v>
          </cell>
          <cell r="R2999"/>
          <cell r="S2999"/>
          <cell r="T2999">
            <v>0.8</v>
          </cell>
          <cell r="U2999">
            <v>0.6</v>
          </cell>
          <cell r="V2999">
            <v>0.38</v>
          </cell>
          <cell r="W2999">
            <v>0</v>
          </cell>
          <cell r="X2999" t="str">
            <v>EST BANQUETA BENJAMIN (FREIJO NATURAL) CAMURCA TABACO - 0,8x0,6x0,38H</v>
          </cell>
          <cell r="Y2999">
            <v>0</v>
          </cell>
          <cell r="Z2999">
            <v>0</v>
          </cell>
          <cell r="AA2999">
            <v>0</v>
          </cell>
          <cell r="AB2999"/>
        </row>
        <row r="3000"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H3000">
            <v>0</v>
          </cell>
          <cell r="O3000">
            <v>335131</v>
          </cell>
          <cell r="P3000"/>
          <cell r="Q3000" t="str">
            <v>EST MESA CENTRO TAPI (SUCUPIRA NATURAL) (CAMURCA TAUPE)</v>
          </cell>
          <cell r="R3000"/>
          <cell r="S3000"/>
          <cell r="T3000">
            <v>1.8</v>
          </cell>
          <cell r="U3000">
            <v>0.9</v>
          </cell>
          <cell r="V3000">
            <v>0.3</v>
          </cell>
          <cell r="W3000">
            <v>0</v>
          </cell>
          <cell r="X3000" t="str">
            <v>EST MESA CENTRO TAPI (SUCUPIRA NATURAL) (CAMURCA TAUPE) - 1,8x0,9x0,3H</v>
          </cell>
          <cell r="Y3000">
            <v>0</v>
          </cell>
          <cell r="Z3000">
            <v>0.5</v>
          </cell>
          <cell r="AA3000">
            <v>0</v>
          </cell>
          <cell r="AB3000"/>
        </row>
        <row r="3001"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H3001">
            <v>8</v>
          </cell>
          <cell r="O3001">
            <v>335240</v>
          </cell>
          <cell r="P3001"/>
          <cell r="Q3001" t="str">
            <v>EST CADEIRA PORTUGUESA S/BRACO (FREIJO) TC GALLIA NATURAL</v>
          </cell>
          <cell r="R3001"/>
          <cell r="S3001"/>
          <cell r="T3001">
            <v>0.53</v>
          </cell>
          <cell r="U3001">
            <v>0.56000000000000005</v>
          </cell>
          <cell r="V3001">
            <v>0.88</v>
          </cell>
          <cell r="W3001">
            <v>0</v>
          </cell>
          <cell r="X3001" t="str">
            <v>EST CADEIRA PORTUGUESA S/BRACO (FREIJO) TC GALLIA NATURAL - 0,53x0,56x0,88H</v>
          </cell>
          <cell r="Y3001">
            <v>0</v>
          </cell>
          <cell r="Z3001">
            <v>0</v>
          </cell>
          <cell r="AA3001">
            <v>0</v>
          </cell>
          <cell r="AB3001"/>
        </row>
        <row r="3002"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H3002">
            <v>7</v>
          </cell>
          <cell r="O3002">
            <v>335241</v>
          </cell>
          <cell r="P3002"/>
          <cell r="Q3002" t="str">
            <v>EST CADEIRA PORTUGUESA S/BRACO (FREIJO) CAMURCA TAUPE</v>
          </cell>
          <cell r="R3002"/>
          <cell r="S3002"/>
          <cell r="T3002">
            <v>0.53</v>
          </cell>
          <cell r="U3002">
            <v>0.56000000000000005</v>
          </cell>
          <cell r="V3002">
            <v>0.88</v>
          </cell>
          <cell r="W3002">
            <v>0</v>
          </cell>
          <cell r="X3002" t="str">
            <v>EST CADEIRA PORTUGUESA S/BRACO (FREIJO) CAMURCA TAUPE - 0,53x0,56x0,88H</v>
          </cell>
          <cell r="Y3002">
            <v>0</v>
          </cell>
          <cell r="Z3002">
            <v>0</v>
          </cell>
          <cell r="AA3002">
            <v>0</v>
          </cell>
          <cell r="AB3002"/>
        </row>
        <row r="3003"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H3003">
            <v>3</v>
          </cell>
          <cell r="O3003">
            <v>335245</v>
          </cell>
          <cell r="P3003"/>
          <cell r="Q3003" t="str">
            <v>EST CADEIRA PORTUGUESA C/BRACO (FREIJO) CAMURCA TAUPE</v>
          </cell>
          <cell r="R3003"/>
          <cell r="S3003"/>
          <cell r="T3003">
            <v>0.59</v>
          </cell>
          <cell r="U3003">
            <v>0.56000000000000005</v>
          </cell>
          <cell r="V3003">
            <v>0.88</v>
          </cell>
          <cell r="W3003">
            <v>0</v>
          </cell>
          <cell r="X3003" t="str">
            <v>EST CADEIRA PORTUGUESA C/BRACO (FREIJO) CAMURCA TAUPE - 0,59x0,56x0,88H</v>
          </cell>
          <cell r="Y3003">
            <v>0</v>
          </cell>
          <cell r="Z3003">
            <v>0</v>
          </cell>
          <cell r="AA3003">
            <v>0</v>
          </cell>
          <cell r="AB3003"/>
        </row>
        <row r="3004"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H3004">
            <v>8</v>
          </cell>
          <cell r="O3004">
            <v>335249</v>
          </cell>
          <cell r="P3004"/>
          <cell r="Q3004" t="str">
            <v>EST CADEIRA PORTUGUESA S/BRACO (FREIJO) TC GALLIA MUSGO</v>
          </cell>
          <cell r="R3004"/>
          <cell r="S3004"/>
          <cell r="T3004">
            <v>0.53</v>
          </cell>
          <cell r="U3004">
            <v>0.56000000000000005</v>
          </cell>
          <cell r="V3004">
            <v>0.88</v>
          </cell>
          <cell r="W3004">
            <v>0</v>
          </cell>
          <cell r="X3004" t="str">
            <v>EST CADEIRA PORTUGUESA S/BRACO (FREIJO) TC GALLIA MUSGO - 0,53x0,56x0,88H</v>
          </cell>
          <cell r="Y3004">
            <v>0</v>
          </cell>
          <cell r="Z3004">
            <v>0</v>
          </cell>
          <cell r="AA3004">
            <v>0</v>
          </cell>
          <cell r="AB3004"/>
        </row>
        <row r="3005"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H3005">
            <v>4</v>
          </cell>
          <cell r="O3005">
            <v>335252</v>
          </cell>
          <cell r="P3005"/>
          <cell r="Q3005" t="str">
            <v>EST CADEIRA PORTUGUESA C/BRACO (FREIJO) TC GALLIA NATURAL</v>
          </cell>
          <cell r="R3005"/>
          <cell r="S3005"/>
          <cell r="T3005">
            <v>0.59</v>
          </cell>
          <cell r="U3005">
            <v>0.56000000000000005</v>
          </cell>
          <cell r="V3005">
            <v>0.88</v>
          </cell>
          <cell r="W3005">
            <v>0</v>
          </cell>
          <cell r="X3005" t="str">
            <v>EST CADEIRA PORTUGUESA C/BRACO (FREIJO) TC GALLIA NATURAL - 0,59x0,56x0,88H</v>
          </cell>
          <cell r="Y3005">
            <v>0</v>
          </cell>
          <cell r="Z3005">
            <v>0</v>
          </cell>
          <cell r="AA3005">
            <v>0</v>
          </cell>
          <cell r="AB3005"/>
        </row>
        <row r="3006"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H3006">
            <v>2</v>
          </cell>
          <cell r="O3006">
            <v>335262</v>
          </cell>
          <cell r="P3006"/>
          <cell r="Q3006" t="str">
            <v>EST CADEIRA ESSA (JEQ NATURAL) COURO FIRENZE AVESSO VERMELHO</v>
          </cell>
          <cell r="R3006"/>
          <cell r="S3006"/>
          <cell r="T3006">
            <v>0.56000000000000005</v>
          </cell>
          <cell r="U3006">
            <v>0.59</v>
          </cell>
          <cell r="V3006">
            <v>0.8</v>
          </cell>
          <cell r="W3006">
            <v>0</v>
          </cell>
          <cell r="X3006" t="str">
            <v>EST CADEIRA ESSA (JEQ NATURAL) COURO FIRENZE AVESSO VERMELHO - 0,56x0,59x0,8H</v>
          </cell>
          <cell r="Y3006">
            <v>0</v>
          </cell>
          <cell r="Z3006">
            <v>0</v>
          </cell>
          <cell r="AA3006">
            <v>0</v>
          </cell>
          <cell r="AB3006"/>
        </row>
        <row r="3007"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H3007">
            <v>2</v>
          </cell>
          <cell r="O3007">
            <v>335263</v>
          </cell>
          <cell r="P3007"/>
          <cell r="Q3007" t="str">
            <v>EST CADEIRA GB F61 (C/B) (JANTAR) COURO NOBUCK 98/TC RED</v>
          </cell>
          <cell r="R3007"/>
          <cell r="S3007"/>
          <cell r="T3007">
            <v>0.59</v>
          </cell>
          <cell r="U3007">
            <v>0.54</v>
          </cell>
          <cell r="V3007">
            <v>0.85</v>
          </cell>
          <cell r="W3007">
            <v>0</v>
          </cell>
          <cell r="X3007" t="str">
            <v>EST CADEIRA GB F61 (C/B) (JANTAR) COURO NOBUCK 98/TC RED - 0,59x0,54x0,85H</v>
          </cell>
          <cell r="Y3007">
            <v>0</v>
          </cell>
          <cell r="Z3007">
            <v>0</v>
          </cell>
          <cell r="AA3007">
            <v>0</v>
          </cell>
          <cell r="AB3007"/>
        </row>
        <row r="3008"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H3008">
            <v>2</v>
          </cell>
          <cell r="O3008">
            <v>335314</v>
          </cell>
          <cell r="P3008"/>
          <cell r="Q3008" t="str">
            <v>EST CADEIRA OMAR C/B ALT (MAD A CINAM NT) TC XENON BEIGE</v>
          </cell>
          <cell r="R3008"/>
          <cell r="S3008"/>
          <cell r="T3008">
            <v>0.55000000000000004</v>
          </cell>
          <cell r="U3008">
            <v>0.55000000000000004</v>
          </cell>
          <cell r="V3008">
            <v>0.83</v>
          </cell>
          <cell r="W3008">
            <v>0</v>
          </cell>
          <cell r="X3008" t="str">
            <v>EST CADEIRA OMAR C/B ALT (MAD A CINAM NT) TC XENON BEIGE - 0,55x0,55x0,83H</v>
          </cell>
          <cell r="Y3008">
            <v>0</v>
          </cell>
          <cell r="Z3008">
            <v>0</v>
          </cell>
          <cell r="AA3008">
            <v>0</v>
          </cell>
          <cell r="AB3008"/>
        </row>
        <row r="3009"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H3009">
            <v>2</v>
          </cell>
          <cell r="O3009">
            <v>335943</v>
          </cell>
          <cell r="P3009"/>
          <cell r="Q3009" t="str">
            <v>EST SOFA DIANA TC GIRONA NEUTRO/ALMF FLORAL MIRAGE AZUL</v>
          </cell>
          <cell r="R3009"/>
          <cell r="S3009"/>
          <cell r="T3009">
            <v>3</v>
          </cell>
          <cell r="U3009">
            <v>1.03</v>
          </cell>
          <cell r="V3009">
            <v>0.63</v>
          </cell>
          <cell r="W3009">
            <v>0</v>
          </cell>
          <cell r="X3009" t="str">
            <v>EST SOFA DIANA TC GIRONA NEUTRO/ALMF FLORAL MIRAGE AZUL - 3x1,03x0,63H</v>
          </cell>
          <cell r="Y3009">
            <v>0</v>
          </cell>
          <cell r="Z3009">
            <v>0</v>
          </cell>
          <cell r="AA3009">
            <v>0</v>
          </cell>
          <cell r="AB3009"/>
        </row>
        <row r="3010"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H3010">
            <v>1</v>
          </cell>
          <cell r="O3010">
            <v>336614</v>
          </cell>
          <cell r="P3010"/>
          <cell r="Q3010" t="str">
            <v>EST MESA CENTRO MAIS (S/ABAS) (CARVALHO NT)</v>
          </cell>
          <cell r="R3010"/>
          <cell r="S3010"/>
          <cell r="T3010">
            <v>1.67</v>
          </cell>
          <cell r="U3010">
            <v>1.67</v>
          </cell>
          <cell r="V3010">
            <v>0.27</v>
          </cell>
          <cell r="W3010">
            <v>0</v>
          </cell>
          <cell r="X3010" t="str">
            <v>EST MESA CENTRO MAIS (S/ABAS) (CARVALHO NT) - 1,67x1,67x0,27H</v>
          </cell>
          <cell r="Y3010">
            <v>0</v>
          </cell>
          <cell r="Z3010">
            <v>0</v>
          </cell>
          <cell r="AA3010">
            <v>0</v>
          </cell>
          <cell r="AB3010"/>
        </row>
        <row r="3011"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H3011">
            <v>0</v>
          </cell>
          <cell r="O3011">
            <v>336709</v>
          </cell>
          <cell r="P3011"/>
          <cell r="Q3011" t="str">
            <v>EST MESA LATERAL STAN (MARMORE CARRARA)</v>
          </cell>
          <cell r="R3011"/>
          <cell r="S3011"/>
          <cell r="T3011">
            <v>0.4</v>
          </cell>
          <cell r="U3011">
            <v>0</v>
          </cell>
          <cell r="V3011">
            <v>0.6</v>
          </cell>
          <cell r="W3011">
            <v>0.4</v>
          </cell>
          <cell r="X3011" t="str">
            <v>EST MESA LATERAL STAN (MARMORE CARRARA) - Ø0,4x0,6H</v>
          </cell>
          <cell r="Y3011">
            <v>0</v>
          </cell>
          <cell r="Z3011">
            <v>0.5</v>
          </cell>
          <cell r="AA3011">
            <v>0</v>
          </cell>
          <cell r="AB3011"/>
        </row>
        <row r="3012"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H3012">
            <v>0</v>
          </cell>
          <cell r="O3012">
            <v>336710</v>
          </cell>
          <cell r="P3012"/>
          <cell r="Q3012" t="str">
            <v>EST MESA LATERAL STAN JR (MARMORE CARRARA)</v>
          </cell>
          <cell r="R3012"/>
          <cell r="S3012"/>
          <cell r="T3012">
            <v>0.3</v>
          </cell>
          <cell r="U3012">
            <v>0</v>
          </cell>
          <cell r="V3012">
            <v>0.55000000000000004</v>
          </cell>
          <cell r="W3012">
            <v>0.3</v>
          </cell>
          <cell r="X3012" t="str">
            <v>EST MESA LATERAL STAN JR (MARMORE CARRARA) - Ø0,3x0,55H</v>
          </cell>
          <cell r="Y3012">
            <v>0</v>
          </cell>
          <cell r="Z3012">
            <v>0.5</v>
          </cell>
          <cell r="AA3012">
            <v>0</v>
          </cell>
          <cell r="AB3012"/>
        </row>
        <row r="3013">
          <cell r="C3013" t="e">
            <v>#N/A</v>
          </cell>
          <cell r="D3013" t="e">
            <v>#N/A</v>
          </cell>
          <cell r="E3013" t="e">
            <v>#N/A</v>
          </cell>
          <cell r="F3013" t="e">
            <v>#N/A</v>
          </cell>
          <cell r="H3013" t="e">
            <v>#N/A</v>
          </cell>
          <cell r="O3013">
            <v>336724</v>
          </cell>
          <cell r="P3013"/>
          <cell r="Q3013" t="e">
            <v>#N/A</v>
          </cell>
          <cell r="R3013"/>
          <cell r="S3013"/>
          <cell r="T3013" t="e">
            <v>#N/A</v>
          </cell>
          <cell r="U3013" t="e">
            <v>#N/A</v>
          </cell>
          <cell r="V3013" t="e">
            <v>#N/A</v>
          </cell>
          <cell r="W3013" t="e">
            <v>#N/A</v>
          </cell>
          <cell r="X3013" t="e">
            <v>#N/A</v>
          </cell>
          <cell r="Y3013">
            <v>0</v>
          </cell>
          <cell r="Z3013">
            <v>0.5</v>
          </cell>
          <cell r="AA3013">
            <v>0</v>
          </cell>
          <cell r="AB3013"/>
        </row>
        <row r="3014"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H3014">
            <v>1</v>
          </cell>
          <cell r="O3014">
            <v>336727</v>
          </cell>
          <cell r="P3014"/>
          <cell r="Q3014" t="str">
            <v>EST MESA LATERAL STAN JR HASTE PRETA (TP MARMORE VERDE ALPI)</v>
          </cell>
          <cell r="R3014"/>
          <cell r="S3014"/>
          <cell r="T3014">
            <v>0.3</v>
          </cell>
          <cell r="U3014">
            <v>0</v>
          </cell>
          <cell r="V3014">
            <v>0.55000000000000004</v>
          </cell>
          <cell r="W3014">
            <v>0.3</v>
          </cell>
          <cell r="X3014" t="str">
            <v>EST MESA LATERAL STAN JR HASTE PRETA (TP MARMORE VERDE ALPI) - Ø0,3x0,55H</v>
          </cell>
          <cell r="Y3014">
            <v>0</v>
          </cell>
          <cell r="Z3014">
            <v>0.5</v>
          </cell>
          <cell r="AA3014">
            <v>0</v>
          </cell>
          <cell r="AB3014"/>
        </row>
        <row r="3015"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H3015">
            <v>10</v>
          </cell>
          <cell r="O3015">
            <v>337378</v>
          </cell>
          <cell r="P3015"/>
          <cell r="Q3015" t="str">
            <v>EST BANQUETA BAR GIRAFA H62 (CUMARU)</v>
          </cell>
          <cell r="R3015"/>
          <cell r="S3015"/>
          <cell r="T3015">
            <v>0.39</v>
          </cell>
          <cell r="U3015">
            <v>0.46</v>
          </cell>
          <cell r="V3015">
            <v>0.86</v>
          </cell>
          <cell r="W3015">
            <v>0</v>
          </cell>
          <cell r="X3015" t="str">
            <v>EST BANQUETA BAR GIRAFA H62 (CUMARU) - 0,39x0,46x0,86H</v>
          </cell>
          <cell r="Y3015">
            <v>0</v>
          </cell>
          <cell r="Z3015">
            <v>0.5</v>
          </cell>
          <cell r="AA3015">
            <v>0</v>
          </cell>
          <cell r="AB3015"/>
        </row>
        <row r="3016"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H3016">
            <v>20</v>
          </cell>
          <cell r="O3016">
            <v>337379</v>
          </cell>
          <cell r="P3016"/>
          <cell r="Q3016" t="str">
            <v>EST BANQUETA BAR GIRAFA H76 (CUMARU)</v>
          </cell>
          <cell r="R3016"/>
          <cell r="S3016"/>
          <cell r="T3016">
            <v>0.39</v>
          </cell>
          <cell r="U3016">
            <v>0.46</v>
          </cell>
          <cell r="V3016">
            <v>1</v>
          </cell>
          <cell r="W3016">
            <v>0</v>
          </cell>
          <cell r="X3016" t="str">
            <v>EST BANQUETA BAR GIRAFA H76 (CUMARU) - 0,39x0,46x1H</v>
          </cell>
          <cell r="Y3016">
            <v>0</v>
          </cell>
          <cell r="Z3016">
            <v>0</v>
          </cell>
          <cell r="AA3016">
            <v>0</v>
          </cell>
          <cell r="AB3016"/>
        </row>
        <row r="3017"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H3017">
            <v>19</v>
          </cell>
          <cell r="O3017">
            <v>337380</v>
          </cell>
          <cell r="P3017"/>
          <cell r="Q3017" t="str">
            <v>EST CADEIRA GIRAFA (CUMARU)</v>
          </cell>
          <cell r="R3017"/>
          <cell r="S3017"/>
          <cell r="T3017">
            <v>0.39</v>
          </cell>
          <cell r="U3017">
            <v>0.43</v>
          </cell>
          <cell r="V3017">
            <v>0.79</v>
          </cell>
          <cell r="W3017">
            <v>0</v>
          </cell>
          <cell r="X3017" t="str">
            <v>EST CADEIRA GIRAFA (CUMARU) - 0,39x0,43x0,79H</v>
          </cell>
          <cell r="Y3017">
            <v>0</v>
          </cell>
          <cell r="Z3017">
            <v>0.5</v>
          </cell>
          <cell r="AA3017">
            <v>0</v>
          </cell>
          <cell r="AB3017"/>
        </row>
        <row r="3018"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H3018">
            <v>8</v>
          </cell>
          <cell r="O3018">
            <v>337395</v>
          </cell>
          <cell r="P3018"/>
          <cell r="Q3018" t="str">
            <v>EST BANCO GIRAFA (CUMARU)</v>
          </cell>
          <cell r="R3018"/>
          <cell r="S3018"/>
          <cell r="T3018">
            <v>0.38</v>
          </cell>
          <cell r="U3018">
            <v>0.34</v>
          </cell>
          <cell r="V3018">
            <v>0.48</v>
          </cell>
          <cell r="W3018">
            <v>0</v>
          </cell>
          <cell r="X3018" t="str">
            <v>EST BANCO GIRAFA (CUMARU) - 0,38x0,34x0,48H</v>
          </cell>
          <cell r="Y3018">
            <v>0</v>
          </cell>
          <cell r="Z3018">
            <v>0</v>
          </cell>
          <cell r="AA3018">
            <v>0</v>
          </cell>
          <cell r="AB3018"/>
        </row>
        <row r="3019"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H3019">
            <v>5</v>
          </cell>
          <cell r="O3019">
            <v>337396</v>
          </cell>
          <cell r="P3019"/>
          <cell r="Q3019" t="str">
            <v>EST MESA JANTAR GIRAFA (CUMARU)</v>
          </cell>
          <cell r="R3019"/>
          <cell r="S3019"/>
          <cell r="T3019">
            <v>0.7</v>
          </cell>
          <cell r="U3019">
            <v>0</v>
          </cell>
          <cell r="V3019">
            <v>0.76</v>
          </cell>
          <cell r="W3019">
            <v>0</v>
          </cell>
          <cell r="X3019" t="str">
            <v>EST MESA JANTAR GIRAFA (CUMARU) - Ø0x0,76H</v>
          </cell>
          <cell r="Y3019">
            <v>0</v>
          </cell>
          <cell r="Z3019">
            <v>0.5</v>
          </cell>
          <cell r="AA3019">
            <v>0</v>
          </cell>
          <cell r="AB3019"/>
        </row>
        <row r="3020"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H3020">
            <v>2</v>
          </cell>
          <cell r="O3020">
            <v>337397</v>
          </cell>
          <cell r="P3020"/>
          <cell r="Q3020" t="str">
            <v>EST CADEIRA GIRAFA BORDADEIRA (CUMARU)</v>
          </cell>
          <cell r="R3020"/>
          <cell r="S3020"/>
          <cell r="T3020">
            <v>0.39</v>
          </cell>
          <cell r="U3020">
            <v>0.42</v>
          </cell>
          <cell r="V3020">
            <v>0.65</v>
          </cell>
          <cell r="W3020">
            <v>0</v>
          </cell>
          <cell r="X3020" t="str">
            <v>EST CADEIRA GIRAFA BORDADEIRA (CUMARU) - 0,39x0,42x0,65H</v>
          </cell>
          <cell r="Y3020">
            <v>0</v>
          </cell>
          <cell r="Z3020">
            <v>0</v>
          </cell>
          <cell r="AA3020">
            <v>0</v>
          </cell>
          <cell r="AB3020"/>
        </row>
        <row r="3021"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H3021">
            <v>1</v>
          </cell>
          <cell r="O3021">
            <v>337571</v>
          </cell>
          <cell r="P3021"/>
          <cell r="Q3021" t="str">
            <v>EST POLTRONA ZECA (FREIJO NATURAL) TC EL CLASSIC COR STONE</v>
          </cell>
          <cell r="R3021"/>
          <cell r="S3021"/>
          <cell r="T3021">
            <v>0.69</v>
          </cell>
          <cell r="U3021">
            <v>0.76</v>
          </cell>
          <cell r="V3021">
            <v>0.77</v>
          </cell>
          <cell r="W3021">
            <v>0</v>
          </cell>
          <cell r="X3021" t="str">
            <v>EST POLTRONA ZECA (FREIJO NATURAL) TC EL CLASSIC COR STONE - 0,69x0,76x0,77H</v>
          </cell>
          <cell r="Y3021">
            <v>0</v>
          </cell>
          <cell r="Z3021">
            <v>0.5</v>
          </cell>
          <cell r="AA3021">
            <v>0</v>
          </cell>
          <cell r="AB3021"/>
        </row>
        <row r="3022"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H3022">
            <v>1</v>
          </cell>
          <cell r="O3022">
            <v>338024</v>
          </cell>
          <cell r="P3022"/>
          <cell r="Q3022" t="str">
            <v>EST MESA LATERAL STAN (TAMPO TAUARI TONALIZADO COR 02)</v>
          </cell>
          <cell r="R3022"/>
          <cell r="S3022"/>
          <cell r="T3022">
            <v>0.4</v>
          </cell>
          <cell r="U3022">
            <v>0</v>
          </cell>
          <cell r="V3022">
            <v>0.6</v>
          </cell>
          <cell r="W3022">
            <v>0.4</v>
          </cell>
          <cell r="X3022" t="str">
            <v>EST MESA LATERAL STAN (TAMPO TAUARI TONALIZADO COR 02) - Ø0,4x0,6H</v>
          </cell>
          <cell r="Y3022">
            <v>0</v>
          </cell>
          <cell r="Z3022">
            <v>0.5</v>
          </cell>
          <cell r="AA3022">
            <v>0</v>
          </cell>
          <cell r="AB3022"/>
        </row>
        <row r="3023"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H3023">
            <v>2</v>
          </cell>
          <cell r="O3023">
            <v>338025</v>
          </cell>
          <cell r="P3023"/>
          <cell r="Q3023" t="str">
            <v>EST MESA LATERAL STAN JR (TAMPO TAUARI TONALIZADO COR 02)</v>
          </cell>
          <cell r="R3023"/>
          <cell r="S3023"/>
          <cell r="T3023">
            <v>0.3</v>
          </cell>
          <cell r="U3023">
            <v>0</v>
          </cell>
          <cell r="V3023">
            <v>0.55000000000000004</v>
          </cell>
          <cell r="W3023">
            <v>0.3</v>
          </cell>
          <cell r="X3023" t="str">
            <v>EST MESA LATERAL STAN JR (TAMPO TAUARI TONALIZADO COR 02) - Ø0,3x0,55H</v>
          </cell>
          <cell r="Y3023">
            <v>0</v>
          </cell>
          <cell r="Z3023">
            <v>0.5</v>
          </cell>
          <cell r="AA3023">
            <v>0</v>
          </cell>
          <cell r="AB3023"/>
        </row>
        <row r="3024"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H3024">
            <v>4</v>
          </cell>
          <cell r="O3024">
            <v>338033</v>
          </cell>
          <cell r="P3024"/>
          <cell r="Q3024" t="str">
            <v>EST MESA LATERAL SOLO (MOD 1) (BASE TAIPA) (TP IMBUIA)</v>
          </cell>
          <cell r="R3024"/>
          <cell r="S3024"/>
          <cell r="T3024">
            <v>0.3</v>
          </cell>
          <cell r="U3024">
            <v>0.2</v>
          </cell>
          <cell r="V3024">
            <v>0.56000000000000005</v>
          </cell>
          <cell r="W3024">
            <v>0</v>
          </cell>
          <cell r="X3024" t="str">
            <v>EST MESA LATERAL SOLO (MOD 1) (BASE TAIPA) (TP IMBUIA) - 0,3x0,2x0,56H</v>
          </cell>
          <cell r="Y3024">
            <v>0</v>
          </cell>
          <cell r="Z3024">
            <v>0</v>
          </cell>
          <cell r="AA3024">
            <v>0</v>
          </cell>
          <cell r="AB3024"/>
        </row>
        <row r="3025"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H3025">
            <v>4</v>
          </cell>
          <cell r="O3025">
            <v>338035</v>
          </cell>
          <cell r="P3025"/>
          <cell r="Q3025" t="str">
            <v>EST MESA LATERAL SOLO (MOD 2) (BASE TAIPA) (TP IMBUIA)</v>
          </cell>
          <cell r="R3025"/>
          <cell r="S3025"/>
          <cell r="T3025">
            <v>0.35</v>
          </cell>
          <cell r="U3025">
            <v>0.25</v>
          </cell>
          <cell r="V3025">
            <v>0.62</v>
          </cell>
          <cell r="W3025">
            <v>0</v>
          </cell>
          <cell r="X3025" t="str">
            <v>EST MESA LATERAL SOLO (MOD 2) (BASE TAIPA) (TP IMBUIA) - 0,35x0,25x0,62H</v>
          </cell>
          <cell r="Y3025">
            <v>0</v>
          </cell>
          <cell r="Z3025">
            <v>0</v>
          </cell>
          <cell r="AA3025">
            <v>0</v>
          </cell>
          <cell r="AB3025"/>
        </row>
        <row r="3026"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H3026">
            <v>0</v>
          </cell>
          <cell r="O3026">
            <v>338119</v>
          </cell>
          <cell r="P3026"/>
          <cell r="Q3026" t="str">
            <v>EST MESA LATERAL OLIVER (TAMPO TAUARI TONALIZADO COR 02)</v>
          </cell>
          <cell r="R3026"/>
          <cell r="S3026"/>
          <cell r="T3026">
            <v>0.5</v>
          </cell>
          <cell r="U3026">
            <v>0</v>
          </cell>
          <cell r="V3026">
            <v>0.45</v>
          </cell>
          <cell r="W3026">
            <v>0.5</v>
          </cell>
          <cell r="X3026" t="str">
            <v>EST MESA LATERAL OLIVER (TAMPO TAUARI TONALIZADO COR 02) - Ø0,5x0,45H</v>
          </cell>
          <cell r="Y3026">
            <v>0</v>
          </cell>
          <cell r="Z3026">
            <v>0.5</v>
          </cell>
          <cell r="AA3026">
            <v>0</v>
          </cell>
          <cell r="AB3026"/>
        </row>
        <row r="3027"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H3027">
            <v>1</v>
          </cell>
          <cell r="O3027">
            <v>339729</v>
          </cell>
          <cell r="P3027"/>
          <cell r="Q3027" t="str">
            <v>EST BUFFET GAFANHOTO (INFERIOR) (MADEIRA PEROBA CLARA)</v>
          </cell>
          <cell r="R3027"/>
          <cell r="S3027"/>
          <cell r="T3027">
            <v>2.7</v>
          </cell>
          <cell r="U3027">
            <v>0.5</v>
          </cell>
          <cell r="V3027">
            <v>0.67</v>
          </cell>
          <cell r="W3027">
            <v>0</v>
          </cell>
          <cell r="X3027" t="str">
            <v>EST BUFFET GAFANHOTO (INFERIOR) (MADEIRA PEROBA CLARA) - 2,7x0,5x0,67H</v>
          </cell>
          <cell r="Y3027">
            <v>0</v>
          </cell>
          <cell r="Z3027">
            <v>0</v>
          </cell>
          <cell r="AA3027">
            <v>0</v>
          </cell>
          <cell r="AB3027"/>
        </row>
        <row r="3028"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H3028">
            <v>1</v>
          </cell>
          <cell r="O3028">
            <v>340574</v>
          </cell>
          <cell r="P3028"/>
          <cell r="Q3028" t="str">
            <v>EST LUMINARIA GUICO (LATAO CROMADO) (FREIJO NATURAL)</v>
          </cell>
          <cell r="R3028"/>
          <cell r="S3028"/>
          <cell r="T3028">
            <v>0.45</v>
          </cell>
          <cell r="U3028">
            <v>0</v>
          </cell>
          <cell r="V3028">
            <v>0.9</v>
          </cell>
          <cell r="W3028">
            <v>0.45</v>
          </cell>
          <cell r="X3028" t="str">
            <v>EST LUMINARIA GUICO (LATAO CROMADO) (FREIJO NATURAL) - Ø0,45x0,9H</v>
          </cell>
          <cell r="Y3028">
            <v>0</v>
          </cell>
          <cell r="Z3028">
            <v>0.5</v>
          </cell>
          <cell r="AA3028">
            <v>0</v>
          </cell>
          <cell r="AB3028"/>
        </row>
        <row r="3029"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H3029">
            <v>1</v>
          </cell>
          <cell r="O3029">
            <v>341214</v>
          </cell>
          <cell r="P3029"/>
          <cell r="Q3029" t="str">
            <v>EST BANQUETA JOSEFA (NOGUEIRA) COURO IMPORT 300</v>
          </cell>
          <cell r="R3029"/>
          <cell r="S3029"/>
          <cell r="T3029">
            <v>0.68</v>
          </cell>
          <cell r="U3029">
            <v>0.52</v>
          </cell>
          <cell r="V3029">
            <v>0.39</v>
          </cell>
          <cell r="W3029">
            <v>0</v>
          </cell>
          <cell r="X3029" t="str">
            <v>EST BANQUETA JOSEFA (NOGUEIRA) COURO IMPORT 300 - 0,68x0,52x0,39H</v>
          </cell>
          <cell r="Y3029">
            <v>0</v>
          </cell>
          <cell r="Z3029">
            <v>0.5</v>
          </cell>
          <cell r="AA3029">
            <v>0</v>
          </cell>
          <cell r="AB3029"/>
        </row>
        <row r="3030"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H3030">
            <v>1</v>
          </cell>
          <cell r="O3030">
            <v>341215</v>
          </cell>
          <cell r="P3030"/>
          <cell r="Q3030" t="str">
            <v>EST BANQUETA JOSEFA (FREIJO NATURAL) COURO NOBUCK 10</v>
          </cell>
          <cell r="R3030"/>
          <cell r="S3030"/>
          <cell r="T3030">
            <v>0.68</v>
          </cell>
          <cell r="U3030">
            <v>0.52</v>
          </cell>
          <cell r="V3030">
            <v>0.39</v>
          </cell>
          <cell r="W3030">
            <v>0</v>
          </cell>
          <cell r="X3030" t="str">
            <v>EST BANQUETA JOSEFA (FREIJO NATURAL) COURO NOBUCK 10 - 0,68x0,52x0,39H</v>
          </cell>
          <cell r="Y3030">
            <v>0</v>
          </cell>
          <cell r="Z3030">
            <v>0</v>
          </cell>
          <cell r="AA3030">
            <v>0</v>
          </cell>
          <cell r="AB3030"/>
        </row>
        <row r="3031">
          <cell r="C3031" t="e">
            <v>#N/A</v>
          </cell>
          <cell r="D3031" t="e">
            <v>#N/A</v>
          </cell>
          <cell r="E3031" t="e">
            <v>#N/A</v>
          </cell>
          <cell r="F3031" t="e">
            <v>#N/A</v>
          </cell>
          <cell r="H3031" t="e">
            <v>#N/A</v>
          </cell>
          <cell r="O3031">
            <v>341235</v>
          </cell>
          <cell r="P3031"/>
          <cell r="Q3031" t="e">
            <v>#N/A</v>
          </cell>
          <cell r="R3031"/>
          <cell r="S3031"/>
          <cell r="T3031" t="e">
            <v>#N/A</v>
          </cell>
          <cell r="U3031" t="e">
            <v>#N/A</v>
          </cell>
          <cell r="V3031" t="e">
            <v>#N/A</v>
          </cell>
          <cell r="W3031" t="e">
            <v>#N/A</v>
          </cell>
          <cell r="X3031" t="e">
            <v>#N/A</v>
          </cell>
          <cell r="Y3031">
            <v>0</v>
          </cell>
          <cell r="Z3031">
            <v>0</v>
          </cell>
          <cell r="AA3031">
            <v>0</v>
          </cell>
          <cell r="AB3031"/>
        </row>
        <row r="3032"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H3032">
            <v>0</v>
          </cell>
          <cell r="O3032">
            <v>349526</v>
          </cell>
          <cell r="P3032"/>
          <cell r="Q3032" t="str">
            <v>EST POLTRONA  JIMI (MAD A COR 01) TC ELB LUDA 129 COR GREY</v>
          </cell>
          <cell r="R3032"/>
          <cell r="S3032"/>
          <cell r="T3032">
            <v>0.71</v>
          </cell>
          <cell r="U3032">
            <v>0.8</v>
          </cell>
          <cell r="V3032">
            <v>0.75</v>
          </cell>
          <cell r="W3032">
            <v>0</v>
          </cell>
          <cell r="X3032" t="str">
            <v>EST POLTRONA  JIMI (MAD A COR 01) TC ELB LUDA 129 COR GREY - 0,71x0,8x0,75H</v>
          </cell>
          <cell r="Y3032">
            <v>0</v>
          </cell>
          <cell r="Z3032">
            <v>0</v>
          </cell>
          <cell r="AA3032">
            <v>0</v>
          </cell>
          <cell r="AB3032"/>
        </row>
        <row r="3033"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H3033">
            <v>2</v>
          </cell>
          <cell r="O3033">
            <v>349550</v>
          </cell>
          <cell r="P3033"/>
          <cell r="Q3033" t="str">
            <v>EST POLTRONA BESOURO (FREIJO NATURAL) COURO IMPORT 300</v>
          </cell>
          <cell r="R3033"/>
          <cell r="S3033"/>
          <cell r="T3033">
            <v>0.68</v>
          </cell>
          <cell r="U3033">
            <v>0.65</v>
          </cell>
          <cell r="V3033">
            <v>0.69</v>
          </cell>
          <cell r="W3033">
            <v>0</v>
          </cell>
          <cell r="X3033" t="str">
            <v>EST POLTRONA BESOURO (FREIJO NATURAL) COURO IMPORT 300 - 0,68x0,65x0,69H</v>
          </cell>
          <cell r="Y3033">
            <v>0</v>
          </cell>
          <cell r="Z3033">
            <v>0</v>
          </cell>
          <cell r="AA3033">
            <v>0</v>
          </cell>
          <cell r="AB3033"/>
        </row>
        <row r="3034"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H3034">
            <v>1</v>
          </cell>
          <cell r="O3034">
            <v>349923</v>
          </cell>
          <cell r="P3034"/>
          <cell r="Q3034" t="str">
            <v>EST CADEIRA TAMBORIM (TELA SEXT NAT) (MAD B IMBUIA)</v>
          </cell>
          <cell r="R3034"/>
          <cell r="S3034"/>
          <cell r="T3034">
            <v>0.59</v>
          </cell>
          <cell r="U3034">
            <v>0.47</v>
          </cell>
          <cell r="V3034">
            <v>0.84</v>
          </cell>
          <cell r="W3034">
            <v>0</v>
          </cell>
          <cell r="X3034" t="str">
            <v>EST CADEIRA TAMBORIM (TELA SEXT NAT) (MAD B IMBUIA) - 0,59x0,47x0,84H</v>
          </cell>
          <cell r="Y3034">
            <v>0</v>
          </cell>
          <cell r="Z3034">
            <v>0</v>
          </cell>
          <cell r="AA3034">
            <v>0</v>
          </cell>
          <cell r="AB3034"/>
        </row>
        <row r="3035"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H3035">
            <v>2</v>
          </cell>
          <cell r="O3035">
            <v>350019</v>
          </cell>
          <cell r="P3035"/>
          <cell r="Q3035" t="str">
            <v>EST POLTRONA JULIA JANTAR (TELA NATURAL) (MAD IMBUIA STAIN)</v>
          </cell>
          <cell r="R3035"/>
          <cell r="S3035"/>
          <cell r="T3035">
            <v>0.66</v>
          </cell>
          <cell r="U3035">
            <v>0.63</v>
          </cell>
          <cell r="V3035">
            <v>0.79</v>
          </cell>
          <cell r="W3035">
            <v>0</v>
          </cell>
          <cell r="X3035" t="str">
            <v>EST POLTRONA JULIA JANTAR (TELA NATURAL) (MAD IMBUIA STAIN) - 0,66x0,63x0,79H</v>
          </cell>
          <cell r="Y3035">
            <v>0</v>
          </cell>
          <cell r="Z3035">
            <v>0.5</v>
          </cell>
          <cell r="AA3035">
            <v>0</v>
          </cell>
          <cell r="AB3035"/>
        </row>
        <row r="3036"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H3036">
            <v>1</v>
          </cell>
          <cell r="O3036">
            <v>351042</v>
          </cell>
          <cell r="P3036"/>
          <cell r="Q3036" t="str">
            <v>EST BASE JANTAR AERO (P/TP 3,00X1,40) (PRETO SOLIDO)</v>
          </cell>
          <cell r="R3036"/>
          <cell r="S3036"/>
          <cell r="T3036">
            <v>3</v>
          </cell>
          <cell r="U3036">
            <v>1.4</v>
          </cell>
          <cell r="V3036">
            <v>0.74</v>
          </cell>
          <cell r="W3036">
            <v>0</v>
          </cell>
          <cell r="X3036" t="str">
            <v>EST BASE JANTAR AERO (P/TP 3,00X1,40) (PRETO SOLIDO) - 3x1,4x0,74H</v>
          </cell>
          <cell r="Y3036">
            <v>0</v>
          </cell>
          <cell r="Z3036">
            <v>0.5</v>
          </cell>
          <cell r="AA3036">
            <v>0</v>
          </cell>
          <cell r="AB3036"/>
        </row>
        <row r="3037">
          <cell r="C3037">
            <v>0</v>
          </cell>
          <cell r="D3037">
            <v>0</v>
          </cell>
          <cell r="E3037">
            <v>0</v>
          </cell>
          <cell r="F3037">
            <v>0</v>
          </cell>
          <cell r="H3037">
            <v>3</v>
          </cell>
          <cell r="O3037">
            <v>351178</v>
          </cell>
          <cell r="P3037"/>
          <cell r="Q3037" t="str">
            <v>EST CADEIRA ESSA C/BRACO (MAD A JEQ TABACO) TC HEART HUNTER</v>
          </cell>
          <cell r="R3037"/>
          <cell r="S3037"/>
          <cell r="T3037">
            <v>0.6</v>
          </cell>
          <cell r="U3037">
            <v>0.56999999999999995</v>
          </cell>
          <cell r="V3037">
            <v>0.81</v>
          </cell>
          <cell r="W3037">
            <v>0</v>
          </cell>
          <cell r="X3037" t="str">
            <v>EST CADEIRA ESSA C/BRACO (MAD A JEQ TABACO) TC HEART HUNTER - 0,6x0,57x0,81H</v>
          </cell>
          <cell r="Y3037">
            <v>0</v>
          </cell>
          <cell r="Z3037">
            <v>0</v>
          </cell>
          <cell r="AA3037">
            <v>0</v>
          </cell>
          <cell r="AB3037"/>
        </row>
        <row r="3038">
          <cell r="C3038">
            <v>0</v>
          </cell>
          <cell r="D3038">
            <v>0</v>
          </cell>
          <cell r="E3038">
            <v>0</v>
          </cell>
          <cell r="F3038">
            <v>0</v>
          </cell>
          <cell r="H3038">
            <v>0</v>
          </cell>
          <cell r="O3038">
            <v>351206</v>
          </cell>
          <cell r="P3038"/>
          <cell r="Q3038" t="str">
            <v>EST MESA CENTRO ATLAS (C/AZULEJOS ALVORADA AZUL) (SUCUPIRA)</v>
          </cell>
          <cell r="R3038"/>
          <cell r="S3038"/>
          <cell r="T3038">
            <v>1.76</v>
          </cell>
          <cell r="U3038">
            <v>0.96</v>
          </cell>
          <cell r="V3038">
            <v>0.3</v>
          </cell>
          <cell r="W3038">
            <v>0</v>
          </cell>
          <cell r="X3038" t="str">
            <v>EST MESA CENTRO ATLAS (C/AZULEJOS ALVORADA AZUL) (SUCUPIRA) - 1,76x0,96x0,3H</v>
          </cell>
          <cell r="Y3038">
            <v>0</v>
          </cell>
          <cell r="Z3038">
            <v>0.5</v>
          </cell>
          <cell r="AA3038">
            <v>0</v>
          </cell>
          <cell r="AB3038"/>
        </row>
        <row r="3039">
          <cell r="C3039">
            <v>0</v>
          </cell>
          <cell r="D3039">
            <v>0</v>
          </cell>
          <cell r="E3039">
            <v>0</v>
          </cell>
          <cell r="F3039">
            <v>0</v>
          </cell>
          <cell r="H3039">
            <v>1</v>
          </cell>
          <cell r="O3039">
            <v>351208</v>
          </cell>
          <cell r="P3039"/>
          <cell r="Q3039" t="str">
            <v>EST SOFA BOLD (BASE PRETA) TC EL ANGOLA BEIGE</v>
          </cell>
          <cell r="R3039"/>
          <cell r="S3039"/>
          <cell r="T3039">
            <v>3</v>
          </cell>
          <cell r="U3039">
            <v>1.05</v>
          </cell>
          <cell r="V3039">
            <v>0.7</v>
          </cell>
          <cell r="W3039">
            <v>0</v>
          </cell>
          <cell r="X3039" t="str">
            <v>EST SOFA BOLD (BASE PRETA) TC EL ANGOLA BEIGE - 3x1,05x0,7H</v>
          </cell>
          <cell r="Y3039">
            <v>0</v>
          </cell>
          <cell r="Z3039">
            <v>0.5</v>
          </cell>
          <cell r="AA3039">
            <v>0</v>
          </cell>
          <cell r="AB3039"/>
        </row>
        <row r="3040">
          <cell r="C3040">
            <v>0</v>
          </cell>
          <cell r="D3040">
            <v>0</v>
          </cell>
          <cell r="E3040">
            <v>0</v>
          </cell>
          <cell r="F3040">
            <v>0</v>
          </cell>
          <cell r="H3040">
            <v>0</v>
          </cell>
          <cell r="O3040">
            <v>353146</v>
          </cell>
          <cell r="P3040"/>
          <cell r="Q3040" t="str">
            <v>EST BANCO DOMINO (6 LUG) (CILIN IPE) (CONC GOIABA) (CORTEN)</v>
          </cell>
          <cell r="R3040"/>
          <cell r="S3040"/>
          <cell r="T3040">
            <v>2.73</v>
          </cell>
          <cell r="U3040">
            <v>0.45</v>
          </cell>
          <cell r="V3040">
            <v>0.48</v>
          </cell>
          <cell r="W3040">
            <v>0</v>
          </cell>
          <cell r="X3040" t="str">
            <v>EST BANCO DOMINO (6 LUG) (CILIN IPE) (CONC GOIABA) (CORTEN) - 2,73x0,45x0,48H</v>
          </cell>
          <cell r="Y3040">
            <v>0</v>
          </cell>
          <cell r="Z3040">
            <v>0.5</v>
          </cell>
          <cell r="AA3040">
            <v>0</v>
          </cell>
          <cell r="AB3040"/>
        </row>
        <row r="3041">
          <cell r="C3041">
            <v>0</v>
          </cell>
          <cell r="D3041">
            <v>0</v>
          </cell>
          <cell r="E3041">
            <v>0</v>
          </cell>
          <cell r="F3041">
            <v>0</v>
          </cell>
          <cell r="H3041">
            <v>0</v>
          </cell>
          <cell r="O3041">
            <v>353153</v>
          </cell>
          <cell r="P3041"/>
          <cell r="Q3041" t="str">
            <v>EST POLTRONA ESTICADA (PALANTI) (PAU MARFIM) (SOLETA PRETA)</v>
          </cell>
          <cell r="R3041"/>
          <cell r="S3041"/>
          <cell r="T3041">
            <v>0.55000000000000004</v>
          </cell>
          <cell r="U3041">
            <v>0.7</v>
          </cell>
          <cell r="V3041">
            <v>0.88</v>
          </cell>
          <cell r="W3041">
            <v>0</v>
          </cell>
          <cell r="X3041" t="str">
            <v>EST POLTRONA ESTICADA (PALANTI) (PAU MARFIM) (SOLETA PRETA) - 0,55x0,7x0,88H</v>
          </cell>
          <cell r="Y3041">
            <v>0</v>
          </cell>
          <cell r="Z3041">
            <v>0.5</v>
          </cell>
          <cell r="AA3041">
            <v>0</v>
          </cell>
          <cell r="AB3041"/>
        </row>
        <row r="3042">
          <cell r="C3042">
            <v>0</v>
          </cell>
          <cell r="D3042">
            <v>0</v>
          </cell>
          <cell r="E3042">
            <v>0</v>
          </cell>
          <cell r="F3042">
            <v>0</v>
          </cell>
          <cell r="H3042">
            <v>1</v>
          </cell>
          <cell r="O3042">
            <v>353154</v>
          </cell>
          <cell r="P3042"/>
          <cell r="Q3042" t="str">
            <v>EST POLTRONA ESTICADA (PALANTI) (LOURO) (SOLETA MARROM)</v>
          </cell>
          <cell r="R3042"/>
          <cell r="S3042"/>
          <cell r="T3042">
            <v>0.55000000000000004</v>
          </cell>
          <cell r="U3042">
            <v>0.7</v>
          </cell>
          <cell r="V3042">
            <v>0.88</v>
          </cell>
          <cell r="W3042">
            <v>0</v>
          </cell>
          <cell r="X3042" t="str">
            <v>EST POLTRONA ESTICADA (PALANTI) (LOURO) (SOLETA MARROM) - 0,55x0,7x0,88H</v>
          </cell>
          <cell r="Y3042">
            <v>0</v>
          </cell>
          <cell r="Z3042">
            <v>0.5</v>
          </cell>
          <cell r="AA3042">
            <v>0</v>
          </cell>
          <cell r="AB3042"/>
        </row>
        <row r="3043">
          <cell r="C3043">
            <v>0</v>
          </cell>
          <cell r="D3043">
            <v>0</v>
          </cell>
          <cell r="E3043">
            <v>0</v>
          </cell>
          <cell r="F3043">
            <v>0</v>
          </cell>
          <cell r="H3043">
            <v>1</v>
          </cell>
          <cell r="O3043">
            <v>353176</v>
          </cell>
          <cell r="P3043"/>
          <cell r="Q3043" t="str">
            <v>EST APARADOR MALHETADO (PES RECUADOS) (PINNUS)</v>
          </cell>
          <cell r="R3043"/>
          <cell r="S3043"/>
          <cell r="T3043">
            <v>1.8</v>
          </cell>
          <cell r="U3043">
            <v>0.91</v>
          </cell>
          <cell r="V3043">
            <v>0.75</v>
          </cell>
          <cell r="W3043">
            <v>0</v>
          </cell>
          <cell r="X3043" t="str">
            <v>EST APARADOR MALHETADO (PES RECUADOS) (PINNUS) - 1,8x0,91x0,75H</v>
          </cell>
          <cell r="Y3043">
            <v>0</v>
          </cell>
          <cell r="Z3043">
            <v>0</v>
          </cell>
          <cell r="AA3043">
            <v>0</v>
          </cell>
          <cell r="AB3043"/>
        </row>
        <row r="3044">
          <cell r="C3044">
            <v>0</v>
          </cell>
          <cell r="D3044">
            <v>0</v>
          </cell>
          <cell r="E3044">
            <v>0</v>
          </cell>
          <cell r="F3044">
            <v>0</v>
          </cell>
          <cell r="H3044">
            <v>2</v>
          </cell>
          <cell r="O3044">
            <v>353604</v>
          </cell>
          <cell r="P3044"/>
          <cell r="Q3044" t="str">
            <v>EST MODULO BRACO LONA TC SUNBRELLA CINZA</v>
          </cell>
          <cell r="R3044"/>
          <cell r="S3044"/>
          <cell r="T3044">
            <v>0.45</v>
          </cell>
          <cell r="U3044">
            <v>0.5</v>
          </cell>
          <cell r="V3044">
            <v>0.6</v>
          </cell>
          <cell r="W3044">
            <v>0</v>
          </cell>
          <cell r="X3044" t="str">
            <v>EST MODULO BRACO LONA TC SUNBRELLA CINZA - 0,45x0,5x0,6H</v>
          </cell>
          <cell r="Y3044">
            <v>0</v>
          </cell>
          <cell r="Z3044">
            <v>0</v>
          </cell>
          <cell r="AA3044">
            <v>0</v>
          </cell>
          <cell r="AB3044"/>
        </row>
        <row r="3045">
          <cell r="C3045">
            <v>0</v>
          </cell>
          <cell r="D3045">
            <v>0</v>
          </cell>
          <cell r="E3045">
            <v>0</v>
          </cell>
          <cell r="F3045">
            <v>0</v>
          </cell>
          <cell r="H3045">
            <v>3</v>
          </cell>
          <cell r="O3045">
            <v>353605</v>
          </cell>
          <cell r="P3045"/>
          <cell r="Q3045" t="str">
            <v>EST MODULO S/BRACO LONA (GARAPEIRA) TC SUNBRELLA CINZA</v>
          </cell>
          <cell r="R3045"/>
          <cell r="S3045"/>
          <cell r="T3045">
            <v>0.86</v>
          </cell>
          <cell r="U3045">
            <v>0.86</v>
          </cell>
          <cell r="V3045">
            <v>0.73</v>
          </cell>
          <cell r="W3045">
            <v>0</v>
          </cell>
          <cell r="X3045" t="str">
            <v>EST MODULO S/BRACO LONA (GARAPEIRA) TC SUNBRELLA CINZA - 0,86x0,86x0,73H</v>
          </cell>
          <cell r="Y3045">
            <v>0</v>
          </cell>
          <cell r="Z3045">
            <v>0</v>
          </cell>
          <cell r="AA3045">
            <v>0</v>
          </cell>
          <cell r="AB3045"/>
        </row>
        <row r="3046">
          <cell r="C3046">
            <v>0</v>
          </cell>
          <cell r="D3046">
            <v>0</v>
          </cell>
          <cell r="E3046">
            <v>0</v>
          </cell>
          <cell r="F3046">
            <v>0</v>
          </cell>
          <cell r="H3046">
            <v>1</v>
          </cell>
          <cell r="O3046">
            <v>353613</v>
          </cell>
          <cell r="P3046"/>
          <cell r="Q3046" t="str">
            <v>EST MESA LATERAL 60 (TAUARI NOG) (VIDRO 12MM)</v>
          </cell>
          <cell r="R3046"/>
          <cell r="S3046"/>
          <cell r="T3046">
            <v>0.6</v>
          </cell>
          <cell r="U3046">
            <v>0.6</v>
          </cell>
          <cell r="V3046">
            <v>0.6</v>
          </cell>
          <cell r="W3046">
            <v>0</v>
          </cell>
          <cell r="X3046" t="str">
            <v>EST MESA LATERAL 60 (TAUARI NOG) (VIDRO 12MM) - 0,6x0,6x0,6H</v>
          </cell>
          <cell r="Y3046">
            <v>0</v>
          </cell>
          <cell r="Z3046">
            <v>0</v>
          </cell>
          <cell r="AA3046">
            <v>0</v>
          </cell>
          <cell r="AB3046"/>
        </row>
        <row r="3047">
          <cell r="C3047">
            <v>0</v>
          </cell>
          <cell r="D3047">
            <v>0</v>
          </cell>
          <cell r="E3047">
            <v>0</v>
          </cell>
          <cell r="F3047">
            <v>0</v>
          </cell>
          <cell r="H3047">
            <v>6</v>
          </cell>
          <cell r="O3047">
            <v>353964</v>
          </cell>
          <cell r="P3047"/>
          <cell r="Q3047" t="str">
            <v>EST COMPONENTE PRATELEIRA GB 02 (TECA)</v>
          </cell>
          <cell r="R3047"/>
          <cell r="S3047"/>
          <cell r="T3047">
            <v>2.2000000000000002</v>
          </cell>
          <cell r="U3047">
            <v>0.35</v>
          </cell>
          <cell r="V3047">
            <v>0.03</v>
          </cell>
          <cell r="W3047">
            <v>0</v>
          </cell>
          <cell r="X3047" t="str">
            <v>EST COMPONENTE PRATELEIRA GB 02 (TECA) - 2,2x0,35x0,03H</v>
          </cell>
          <cell r="Y3047">
            <v>0</v>
          </cell>
          <cell r="Z3047">
            <v>0.5</v>
          </cell>
          <cell r="AA3047">
            <v>0</v>
          </cell>
          <cell r="AB3047"/>
        </row>
        <row r="3048">
          <cell r="C3048">
            <v>0</v>
          </cell>
          <cell r="D3048">
            <v>0</v>
          </cell>
          <cell r="E3048">
            <v>0</v>
          </cell>
          <cell r="F3048">
            <v>0</v>
          </cell>
          <cell r="H3048">
            <v>2</v>
          </cell>
          <cell r="O3048">
            <v>354323</v>
          </cell>
          <cell r="P3048"/>
          <cell r="Q3048" t="str">
            <v>EST BANCO ATABAQUE (CORIAN BRANCO)</v>
          </cell>
          <cell r="R3048"/>
          <cell r="S3048"/>
          <cell r="T3048">
            <v>0.55000000000000004</v>
          </cell>
          <cell r="U3048">
            <v>0.41</v>
          </cell>
          <cell r="V3048">
            <v>0.43</v>
          </cell>
          <cell r="W3048">
            <v>0</v>
          </cell>
          <cell r="X3048" t="str">
            <v>EST BANCO ATABAQUE (CORIAN BRANCO) - 0,55x0,41x0,43H</v>
          </cell>
          <cell r="Y3048">
            <v>0</v>
          </cell>
          <cell r="Z3048">
            <v>0</v>
          </cell>
          <cell r="AA3048">
            <v>0</v>
          </cell>
          <cell r="AB3048"/>
        </row>
        <row r="3049">
          <cell r="C3049">
            <v>0</v>
          </cell>
          <cell r="D3049">
            <v>0</v>
          </cell>
          <cell r="E3049">
            <v>0</v>
          </cell>
          <cell r="F3049">
            <v>0</v>
          </cell>
          <cell r="H3049">
            <v>1</v>
          </cell>
          <cell r="O3049">
            <v>354583</v>
          </cell>
          <cell r="P3049"/>
          <cell r="Q3049" t="str">
            <v>EST MESA CENTRO CAVA (G3 - GREEN PEACE LEVIGADO)</v>
          </cell>
          <cell r="R3049"/>
          <cell r="S3049"/>
          <cell r="T3049">
            <v>1.3</v>
          </cell>
          <cell r="U3049">
            <v>0</v>
          </cell>
          <cell r="V3049">
            <v>0.25</v>
          </cell>
          <cell r="W3049">
            <v>1.3</v>
          </cell>
          <cell r="X3049" t="str">
            <v>EST MESA CENTRO CAVA (G3 - GREEN PEACE LEVIGADO) - Ø1,3x0,25H</v>
          </cell>
          <cell r="Y3049">
            <v>0</v>
          </cell>
          <cell r="Z3049">
            <v>0.5</v>
          </cell>
          <cell r="AA3049">
            <v>0</v>
          </cell>
          <cell r="AB3049"/>
        </row>
        <row r="3050">
          <cell r="C3050">
            <v>0</v>
          </cell>
          <cell r="D3050">
            <v>0</v>
          </cell>
          <cell r="E3050">
            <v>0</v>
          </cell>
          <cell r="F3050">
            <v>0</v>
          </cell>
          <cell r="H3050">
            <v>1</v>
          </cell>
          <cell r="O3050">
            <v>354757</v>
          </cell>
          <cell r="P3050"/>
          <cell r="Q3050" t="str">
            <v>EST CARRINHO GB (PAU FERRO) (FORMICA BRANCA)</v>
          </cell>
          <cell r="R3050"/>
          <cell r="S3050"/>
          <cell r="T3050">
            <v>0.73</v>
          </cell>
          <cell r="U3050">
            <v>0.48</v>
          </cell>
          <cell r="V3050">
            <v>0.8</v>
          </cell>
          <cell r="W3050">
            <v>0</v>
          </cell>
          <cell r="X3050" t="str">
            <v>EST CARRINHO GB (PAU FERRO) (FORMICA BRANCA) - 0,73x0,48x0,8H</v>
          </cell>
          <cell r="Y3050">
            <v>0</v>
          </cell>
          <cell r="Z3050">
            <v>0</v>
          </cell>
          <cell r="AA3050">
            <v>0</v>
          </cell>
          <cell r="AB3050"/>
        </row>
        <row r="3051">
          <cell r="C3051">
            <v>0</v>
          </cell>
          <cell r="D3051">
            <v>0</v>
          </cell>
          <cell r="E3051">
            <v>0</v>
          </cell>
          <cell r="F3051">
            <v>0</v>
          </cell>
          <cell r="H3051">
            <v>0</v>
          </cell>
          <cell r="O3051">
            <v>354908</v>
          </cell>
          <cell r="P3051"/>
          <cell r="Q3051" t="str">
            <v>EST CADEIRA OMAR C/B BXO (MAD A CINAM ENV) COURO IMPO 300</v>
          </cell>
          <cell r="R3051"/>
          <cell r="S3051"/>
          <cell r="T3051">
            <v>0.55000000000000004</v>
          </cell>
          <cell r="U3051">
            <v>0.55000000000000004</v>
          </cell>
          <cell r="V3051">
            <v>0.83</v>
          </cell>
          <cell r="W3051">
            <v>0</v>
          </cell>
          <cell r="X3051" t="str">
            <v>EST CADEIRA OMAR C/B BXO (MAD A CINAM ENV) COURO IMPO 300 - 0,55x0,55x0,83H</v>
          </cell>
          <cell r="Y3051">
            <v>0</v>
          </cell>
          <cell r="Z3051">
            <v>0.5</v>
          </cell>
          <cell r="AA3051">
            <v>0</v>
          </cell>
          <cell r="AB3051"/>
        </row>
        <row r="3052"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H3052">
            <v>1</v>
          </cell>
          <cell r="O3052">
            <v>354976</v>
          </cell>
          <cell r="P3052"/>
          <cell r="Q3052" t="str">
            <v>EST SOFA DECK (BIPARTIDO) (GARAPEIRA) TC GALLIA MARINHO</v>
          </cell>
          <cell r="R3052"/>
          <cell r="S3052"/>
          <cell r="T3052">
            <v>3</v>
          </cell>
          <cell r="U3052">
            <v>0.85</v>
          </cell>
          <cell r="V3052">
            <v>0.63</v>
          </cell>
          <cell r="W3052">
            <v>0</v>
          </cell>
          <cell r="X3052" t="str">
            <v>EST SOFA DECK (BIPARTIDO) (GARAPEIRA) TC GALLIA MARINHO - 3x0,85x0,63H</v>
          </cell>
          <cell r="Y3052">
            <v>0</v>
          </cell>
          <cell r="Z3052">
            <v>0</v>
          </cell>
          <cell r="AA3052">
            <v>0</v>
          </cell>
          <cell r="AB3052"/>
        </row>
        <row r="3053">
          <cell r="C3053">
            <v>0</v>
          </cell>
          <cell r="D3053">
            <v>0</v>
          </cell>
          <cell r="E3053">
            <v>0</v>
          </cell>
          <cell r="F3053">
            <v>0</v>
          </cell>
          <cell r="H3053">
            <v>1</v>
          </cell>
          <cell r="O3053">
            <v>355669</v>
          </cell>
          <cell r="P3053"/>
          <cell r="Q3053" t="str">
            <v>EST MESA LATERAL JANETE (FREIJO NATURAL)</v>
          </cell>
          <cell r="R3053"/>
          <cell r="S3053"/>
          <cell r="T3053">
            <v>0.6</v>
          </cell>
          <cell r="U3053">
            <v>0</v>
          </cell>
          <cell r="V3053">
            <v>0.6</v>
          </cell>
          <cell r="W3053">
            <v>0.6</v>
          </cell>
          <cell r="X3053" t="str">
            <v>EST MESA LATERAL JANETE (FREIJO NATURAL) - Ø0,6x0,6H</v>
          </cell>
          <cell r="Y3053">
            <v>0</v>
          </cell>
          <cell r="Z3053">
            <v>0</v>
          </cell>
          <cell r="AA3053">
            <v>0</v>
          </cell>
          <cell r="AB3053"/>
        </row>
        <row r="3054">
          <cell r="C3054">
            <v>0</v>
          </cell>
          <cell r="D3054">
            <v>0</v>
          </cell>
          <cell r="E3054">
            <v>0</v>
          </cell>
          <cell r="F3054">
            <v>0</v>
          </cell>
          <cell r="H3054">
            <v>2</v>
          </cell>
          <cell r="O3054">
            <v>356403</v>
          </cell>
          <cell r="P3054"/>
          <cell r="Q3054" t="str">
            <v>EST POLTRONA TETE (FREIJO NT) COURO IMPORT 53/ALM NOBUCK 10</v>
          </cell>
          <cell r="R3054"/>
          <cell r="S3054"/>
          <cell r="T3054">
            <v>0.86</v>
          </cell>
          <cell r="U3054">
            <v>0.84</v>
          </cell>
          <cell r="V3054">
            <v>0.75</v>
          </cell>
          <cell r="W3054">
            <v>0</v>
          </cell>
          <cell r="X3054" t="str">
            <v>EST POLTRONA TETE (FREIJO NT) COURO IMPORT 53/ALM NOBUCK 10 - 0,86x0,84x0,75H</v>
          </cell>
          <cell r="Y3054">
            <v>0</v>
          </cell>
          <cell r="Z3054">
            <v>0</v>
          </cell>
          <cell r="AA3054">
            <v>0</v>
          </cell>
          <cell r="AB3054"/>
        </row>
        <row r="3055">
          <cell r="C3055">
            <v>0</v>
          </cell>
          <cell r="D3055">
            <v>0</v>
          </cell>
          <cell r="E3055">
            <v>0</v>
          </cell>
          <cell r="F3055">
            <v>0</v>
          </cell>
          <cell r="H3055">
            <v>5</v>
          </cell>
          <cell r="O3055">
            <v>357016</v>
          </cell>
          <cell r="P3055"/>
          <cell r="Q3055" t="str">
            <v>EST ALMOFADA DECORATIVA BOLD S/ABAS TC EL ANGOLA BEIGE</v>
          </cell>
          <cell r="R3055"/>
          <cell r="S3055"/>
          <cell r="T3055">
            <v>0.6</v>
          </cell>
          <cell r="U3055">
            <v>0.6</v>
          </cell>
          <cell r="V3055">
            <v>0</v>
          </cell>
          <cell r="W3055">
            <v>0</v>
          </cell>
          <cell r="X3055" t="str">
            <v>EST ALMOFADA DECORATIVA BOLD S/ABAS TC EL ANGOLA BEIGE - 0,6x0,6x0H</v>
          </cell>
          <cell r="Y3055">
            <v>0</v>
          </cell>
          <cell r="Z3055">
            <v>0.5</v>
          </cell>
          <cell r="AA3055">
            <v>0</v>
          </cell>
          <cell r="AB3055"/>
        </row>
        <row r="3056">
          <cell r="C3056">
            <v>0</v>
          </cell>
          <cell r="D3056">
            <v>0</v>
          </cell>
          <cell r="E3056">
            <v>0</v>
          </cell>
          <cell r="F3056">
            <v>0</v>
          </cell>
          <cell r="H3056">
            <v>0</v>
          </cell>
          <cell r="O3056">
            <v>359544</v>
          </cell>
          <cell r="P3056"/>
          <cell r="Q3056" t="str">
            <v>EST BANCO KATINSKY (ACO CARB PRETO) COURO CH CASTOR</v>
          </cell>
          <cell r="R3056"/>
          <cell r="S3056"/>
          <cell r="T3056">
            <v>0.41</v>
          </cell>
          <cell r="U3056">
            <v>0.41</v>
          </cell>
          <cell r="V3056">
            <v>0.42</v>
          </cell>
          <cell r="W3056">
            <v>0</v>
          </cell>
          <cell r="X3056" t="str">
            <v>EST BANCO KATINSKY (ACO CARB PRETO) COURO CH CASTOR - 0,41x0,41x0,42H</v>
          </cell>
          <cell r="Y3056">
            <v>0</v>
          </cell>
          <cell r="Z3056">
            <v>0.5</v>
          </cell>
          <cell r="AA3056">
            <v>0</v>
          </cell>
          <cell r="AB3056"/>
        </row>
        <row r="3057">
          <cell r="C3057">
            <v>0</v>
          </cell>
          <cell r="D3057">
            <v>0</v>
          </cell>
          <cell r="E3057">
            <v>0</v>
          </cell>
          <cell r="F3057">
            <v>0</v>
          </cell>
          <cell r="H3057">
            <v>2</v>
          </cell>
          <cell r="O3057">
            <v>359554</v>
          </cell>
          <cell r="P3057"/>
          <cell r="Q3057" t="str">
            <v>EST MESA CENTRO JOHN GRAZ (BS IMBUIA) (TRAV YELLOW POLIDO)</v>
          </cell>
          <cell r="R3057"/>
          <cell r="S3057"/>
          <cell r="T3057">
            <v>1.7</v>
          </cell>
          <cell r="U3057">
            <v>0.77</v>
          </cell>
          <cell r="V3057">
            <v>0.32</v>
          </cell>
          <cell r="W3057">
            <v>0</v>
          </cell>
          <cell r="X3057" t="str">
            <v>EST MESA CENTRO JOHN GRAZ (BS IMBUIA) (TRAV YELLOW POLIDO) - 1,7x0,77x0,32H</v>
          </cell>
          <cell r="Y3057">
            <v>0</v>
          </cell>
          <cell r="Z3057">
            <v>0.5</v>
          </cell>
          <cell r="AA3057">
            <v>0</v>
          </cell>
          <cell r="AB3057"/>
        </row>
        <row r="3058">
          <cell r="C3058">
            <v>0</v>
          </cell>
          <cell r="D3058">
            <v>0</v>
          </cell>
          <cell r="E3058">
            <v>0</v>
          </cell>
          <cell r="F3058">
            <v>0</v>
          </cell>
          <cell r="H3058">
            <v>1</v>
          </cell>
          <cell r="O3058">
            <v>359565</v>
          </cell>
          <cell r="P3058"/>
          <cell r="Q3058" t="str">
            <v>EST CADEIRA GB01 TELA (QUADRIC NT) (JEQ 01)</v>
          </cell>
          <cell r="R3058"/>
          <cell r="S3058"/>
          <cell r="T3058">
            <v>0.45</v>
          </cell>
          <cell r="U3058">
            <v>0.48</v>
          </cell>
          <cell r="V3058">
            <v>0.85</v>
          </cell>
          <cell r="W3058">
            <v>0</v>
          </cell>
          <cell r="X3058" t="str">
            <v>EST CADEIRA GB01 TELA (QUADRIC NT) (JEQ 01) - 0,45x0,48x0,85H</v>
          </cell>
          <cell r="Y3058">
            <v>0</v>
          </cell>
          <cell r="Z3058">
            <v>0</v>
          </cell>
          <cell r="AA3058">
            <v>0</v>
          </cell>
          <cell r="AB3058"/>
        </row>
        <row r="3059">
          <cell r="C3059">
            <v>0</v>
          </cell>
          <cell r="D3059">
            <v>0</v>
          </cell>
          <cell r="E3059">
            <v>0</v>
          </cell>
          <cell r="F3059">
            <v>0</v>
          </cell>
          <cell r="H3059">
            <v>2</v>
          </cell>
          <cell r="O3059">
            <v>359705</v>
          </cell>
          <cell r="P3059"/>
          <cell r="Q3059" t="str">
            <v>EST POLTRONA BESOURO (FREIJO NATURAL) COURO NOBUCK 10</v>
          </cell>
          <cell r="R3059"/>
          <cell r="S3059"/>
          <cell r="T3059">
            <v>0.68</v>
          </cell>
          <cell r="U3059">
            <v>0.65</v>
          </cell>
          <cell r="V3059">
            <v>0.69</v>
          </cell>
          <cell r="W3059">
            <v>0</v>
          </cell>
          <cell r="X3059" t="str">
            <v>EST POLTRONA BESOURO (FREIJO NATURAL) COURO NOBUCK 10 - 0,68x0,65x0,69H</v>
          </cell>
          <cell r="Y3059">
            <v>0</v>
          </cell>
          <cell r="Z3059">
            <v>0</v>
          </cell>
          <cell r="AA3059">
            <v>0</v>
          </cell>
          <cell r="AB3059"/>
        </row>
        <row r="3060">
          <cell r="C3060">
            <v>0</v>
          </cell>
          <cell r="D3060">
            <v>0</v>
          </cell>
          <cell r="E3060">
            <v>0</v>
          </cell>
          <cell r="F3060">
            <v>0</v>
          </cell>
          <cell r="H3060">
            <v>1</v>
          </cell>
          <cell r="O3060">
            <v>359739</v>
          </cell>
          <cell r="P3060"/>
          <cell r="Q3060" t="str">
            <v>EST MESA LATERAL DAMA (FREIJO NATURAL)</v>
          </cell>
          <cell r="R3060"/>
          <cell r="S3060"/>
          <cell r="T3060">
            <v>0.5</v>
          </cell>
          <cell r="U3060">
            <v>0.3</v>
          </cell>
          <cell r="V3060">
            <v>0.45</v>
          </cell>
          <cell r="W3060">
            <v>0</v>
          </cell>
          <cell r="X3060" t="str">
            <v>EST MESA LATERAL DAMA (FREIJO NATURAL) - 0,5x0,3x0,45H</v>
          </cell>
          <cell r="Y3060">
            <v>0</v>
          </cell>
          <cell r="Z3060">
            <v>0</v>
          </cell>
          <cell r="AA3060">
            <v>0</v>
          </cell>
          <cell r="AB3060"/>
        </row>
        <row r="3061">
          <cell r="C3061">
            <v>0</v>
          </cell>
          <cell r="D3061">
            <v>0</v>
          </cell>
          <cell r="E3061">
            <v>0</v>
          </cell>
          <cell r="F3061">
            <v>0</v>
          </cell>
          <cell r="H3061">
            <v>1</v>
          </cell>
          <cell r="O3061">
            <v>360310</v>
          </cell>
          <cell r="P3061"/>
          <cell r="Q3061" t="str">
            <v>EST BANQUETA BAR GB H62 (TELA NAT) (SUCUPIRA) (ACO PTO)</v>
          </cell>
          <cell r="R3061"/>
          <cell r="S3061"/>
          <cell r="T3061">
            <v>0.42</v>
          </cell>
          <cell r="U3061">
            <v>0.42</v>
          </cell>
          <cell r="V3061">
            <v>0.62</v>
          </cell>
          <cell r="W3061">
            <v>0</v>
          </cell>
          <cell r="X3061" t="str">
            <v>EST BANQUETA BAR GB H62 (TELA NAT) (SUCUPIRA) (ACO PTO) - 0,42x0,42x0,62H</v>
          </cell>
          <cell r="Y3061">
            <v>0</v>
          </cell>
          <cell r="Z3061">
            <v>0</v>
          </cell>
          <cell r="AA3061">
            <v>0</v>
          </cell>
          <cell r="AB3061"/>
        </row>
        <row r="3062">
          <cell r="C3062">
            <v>0</v>
          </cell>
          <cell r="D3062">
            <v>0</v>
          </cell>
          <cell r="E3062">
            <v>0</v>
          </cell>
          <cell r="F3062">
            <v>0</v>
          </cell>
          <cell r="H3062">
            <v>1</v>
          </cell>
          <cell r="O3062">
            <v>361259</v>
          </cell>
          <cell r="P3062"/>
          <cell r="Q3062" t="str">
            <v>EST MESA LATERAL BRINCO (TRELICA CEDRO) (BS FREIJO) (ACO PT)</v>
          </cell>
          <cell r="R3062"/>
          <cell r="S3062"/>
          <cell r="T3062">
            <v>0.23</v>
          </cell>
          <cell r="U3062">
            <v>0</v>
          </cell>
          <cell r="V3062">
            <v>0.5</v>
          </cell>
          <cell r="W3062">
            <v>0.23</v>
          </cell>
          <cell r="X3062" t="str">
            <v>EST MESA LATERAL BRINCO (TRELICA CEDRO) (BS FREIJO) (ACO PT) - Ø0,23x0,5H</v>
          </cell>
          <cell r="Y3062">
            <v>0</v>
          </cell>
          <cell r="Z3062">
            <v>0.5</v>
          </cell>
          <cell r="AA3062">
            <v>0</v>
          </cell>
          <cell r="AB3062"/>
        </row>
        <row r="3063">
          <cell r="C3063">
            <v>0</v>
          </cell>
          <cell r="D3063">
            <v>0</v>
          </cell>
          <cell r="E3063">
            <v>0</v>
          </cell>
          <cell r="F3063">
            <v>0</v>
          </cell>
          <cell r="H3063">
            <v>1</v>
          </cell>
          <cell r="O3063">
            <v>361573</v>
          </cell>
          <cell r="P3063"/>
          <cell r="Q3063" t="str">
            <v>EST CADEIRA JOHN GRAZ (PINHO DE RIGA) TC VERDE OLIVA</v>
          </cell>
          <cell r="R3063"/>
          <cell r="S3063"/>
          <cell r="T3063">
            <v>0.48</v>
          </cell>
          <cell r="U3063">
            <v>0.53</v>
          </cell>
          <cell r="V3063">
            <v>0.82</v>
          </cell>
          <cell r="W3063">
            <v>0</v>
          </cell>
          <cell r="X3063" t="str">
            <v>EST CADEIRA JOHN GRAZ (PINHO DE RIGA) TC VERDE OLIVA - 0,48x0,53x0,82H</v>
          </cell>
          <cell r="Y3063">
            <v>0</v>
          </cell>
          <cell r="Z3063">
            <v>0</v>
          </cell>
          <cell r="AA3063">
            <v>0</v>
          </cell>
          <cell r="AB3063"/>
        </row>
        <row r="3064">
          <cell r="C3064">
            <v>0</v>
          </cell>
          <cell r="D3064">
            <v>0</v>
          </cell>
          <cell r="E3064">
            <v>0</v>
          </cell>
          <cell r="F3064">
            <v>0</v>
          </cell>
          <cell r="H3064">
            <v>0</v>
          </cell>
          <cell r="O3064">
            <v>361714</v>
          </cell>
          <cell r="P3064"/>
          <cell r="Q3064" t="str">
            <v>EST BASE CENTRO LITORAL (DAGUA) (MADEIRA FREIJO NATURAL)</v>
          </cell>
          <cell r="R3064"/>
          <cell r="S3064"/>
          <cell r="T3064">
            <v>1.3</v>
          </cell>
          <cell r="U3064">
            <v>1.17</v>
          </cell>
          <cell r="V3064">
            <v>0.28000000000000003</v>
          </cell>
          <cell r="W3064">
            <v>0</v>
          </cell>
          <cell r="X3064" t="str">
            <v>EST BASE CENTRO LITORAL (DAGUA) (MADEIRA FREIJO NATURAL) - 1,3x1,17x0,28H</v>
          </cell>
          <cell r="Y3064">
            <v>0</v>
          </cell>
          <cell r="Z3064">
            <v>0.5</v>
          </cell>
          <cell r="AA3064">
            <v>0</v>
          </cell>
          <cell r="AB3064"/>
        </row>
        <row r="3065">
          <cell r="C3065">
            <v>0</v>
          </cell>
          <cell r="D3065">
            <v>0</v>
          </cell>
          <cell r="E3065">
            <v>0</v>
          </cell>
          <cell r="F3065">
            <v>0</v>
          </cell>
          <cell r="H3065">
            <v>0</v>
          </cell>
          <cell r="O3065">
            <v>361796</v>
          </cell>
          <cell r="P3065"/>
          <cell r="Q3065" t="str">
            <v>EST TAMPO CENTRO LITORAL (DAGUA) (MARMORE ROSA PARANA)</v>
          </cell>
          <cell r="R3065"/>
          <cell r="S3065"/>
          <cell r="T3065">
            <v>1.5</v>
          </cell>
          <cell r="U3065">
            <v>1.37</v>
          </cell>
          <cell r="V3065">
            <v>0.02</v>
          </cell>
          <cell r="W3065">
            <v>0</v>
          </cell>
          <cell r="X3065" t="str">
            <v>EST TAMPO CENTRO LITORAL (DAGUA) (MARMORE ROSA PARANA) - 1,5x1,37x0,02H</v>
          </cell>
          <cell r="Y3065">
            <v>0</v>
          </cell>
          <cell r="Z3065">
            <v>0.5</v>
          </cell>
          <cell r="AA3065">
            <v>0</v>
          </cell>
          <cell r="AB3065"/>
        </row>
        <row r="3066">
          <cell r="C3066">
            <v>0</v>
          </cell>
          <cell r="D3066">
            <v>0</v>
          </cell>
          <cell r="E3066">
            <v>0</v>
          </cell>
          <cell r="F3066">
            <v>0</v>
          </cell>
          <cell r="H3066">
            <v>0</v>
          </cell>
          <cell r="O3066">
            <v>361819</v>
          </cell>
          <cell r="P3066"/>
          <cell r="Q3066" t="str">
            <v>EST POLTRONA CUCA (FREIJO ENVELHECIDO) COURO NOBUCK 75</v>
          </cell>
          <cell r="R3066"/>
          <cell r="S3066"/>
          <cell r="T3066">
            <v>0.63</v>
          </cell>
          <cell r="U3066">
            <v>0.9</v>
          </cell>
          <cell r="V3066">
            <v>0.89</v>
          </cell>
          <cell r="W3066">
            <v>0</v>
          </cell>
          <cell r="X3066" t="str">
            <v>EST POLTRONA CUCA (FREIJO ENVELHECIDO) COURO NOBUCK 75 - 0,63x0,9x0,89H</v>
          </cell>
          <cell r="Y3066">
            <v>0</v>
          </cell>
          <cell r="Z3066">
            <v>0.5</v>
          </cell>
          <cell r="AA3066">
            <v>0</v>
          </cell>
          <cell r="AB3066"/>
        </row>
        <row r="3067">
          <cell r="C3067">
            <v>0</v>
          </cell>
          <cell r="D3067">
            <v>0</v>
          </cell>
          <cell r="E3067">
            <v>0</v>
          </cell>
          <cell r="F3067">
            <v>0</v>
          </cell>
          <cell r="H3067">
            <v>0</v>
          </cell>
          <cell r="O3067">
            <v>361820</v>
          </cell>
          <cell r="P3067"/>
          <cell r="Q3067" t="str">
            <v>EST BANQUETA CUCA (FREIJO ENVELHECIDO) COURO NOBUCK 75</v>
          </cell>
          <cell r="R3067"/>
          <cell r="S3067"/>
          <cell r="T3067">
            <v>0.51</v>
          </cell>
          <cell r="U3067">
            <v>0.4</v>
          </cell>
          <cell r="V3067">
            <v>0.39</v>
          </cell>
          <cell r="W3067">
            <v>0</v>
          </cell>
          <cell r="X3067" t="str">
            <v>EST BANQUETA CUCA (FREIJO ENVELHECIDO) COURO NOBUCK 75 - 0,51x0,4x0,39H</v>
          </cell>
          <cell r="Y3067">
            <v>0</v>
          </cell>
          <cell r="Z3067">
            <v>0.5</v>
          </cell>
          <cell r="AA3067">
            <v>0</v>
          </cell>
          <cell r="AB3067"/>
        </row>
        <row r="3068">
          <cell r="C3068">
            <v>0</v>
          </cell>
          <cell r="D3068">
            <v>0</v>
          </cell>
          <cell r="E3068">
            <v>0</v>
          </cell>
          <cell r="F3068">
            <v>0</v>
          </cell>
          <cell r="H3068">
            <v>1</v>
          </cell>
          <cell r="O3068">
            <v>362396</v>
          </cell>
          <cell r="P3068"/>
          <cell r="Q3068" t="str">
            <v>EST MANCEBO STAND BY (CATUABA) (G2 - RAFAELLO)</v>
          </cell>
          <cell r="R3068"/>
          <cell r="S3068"/>
          <cell r="T3068">
            <v>0.2</v>
          </cell>
          <cell r="U3068">
            <v>0.33</v>
          </cell>
          <cell r="V3068">
            <v>1.75</v>
          </cell>
          <cell r="W3068">
            <v>0</v>
          </cell>
          <cell r="X3068" t="str">
            <v>EST MANCEBO STAND BY (CATUABA) (G2 - RAFAELLO) - 0,2x0,33x1,75H</v>
          </cell>
          <cell r="Y3068">
            <v>0</v>
          </cell>
          <cell r="Z3068">
            <v>0.5</v>
          </cell>
          <cell r="AA3068">
            <v>0</v>
          </cell>
          <cell r="AB3068"/>
        </row>
        <row r="3069">
          <cell r="C3069">
            <v>0</v>
          </cell>
          <cell r="D3069">
            <v>0</v>
          </cell>
          <cell r="E3069">
            <v>0</v>
          </cell>
          <cell r="F3069">
            <v>0</v>
          </cell>
          <cell r="H3069">
            <v>0</v>
          </cell>
          <cell r="O3069">
            <v>362530</v>
          </cell>
          <cell r="P3069"/>
          <cell r="Q3069" t="str">
            <v>EST HOME THOMAS (FREIJO NATURAL)</v>
          </cell>
          <cell r="R3069"/>
          <cell r="S3069"/>
          <cell r="T3069">
            <v>2.7</v>
          </cell>
          <cell r="U3069">
            <v>0.45</v>
          </cell>
          <cell r="V3069">
            <v>0.63</v>
          </cell>
          <cell r="W3069">
            <v>0</v>
          </cell>
          <cell r="X3069" t="str">
            <v>EST HOME THOMAS (FREIJO NATURAL) - 2,7x0,45x0,63H</v>
          </cell>
          <cell r="Y3069">
            <v>0</v>
          </cell>
          <cell r="Z3069">
            <v>0</v>
          </cell>
          <cell r="AA3069">
            <v>0</v>
          </cell>
          <cell r="AB3069"/>
        </row>
        <row r="3070">
          <cell r="C3070">
            <v>0</v>
          </cell>
          <cell r="D3070">
            <v>0</v>
          </cell>
          <cell r="E3070">
            <v>0</v>
          </cell>
          <cell r="F3070">
            <v>0</v>
          </cell>
          <cell r="H3070">
            <v>1</v>
          </cell>
          <cell r="O3070">
            <v>362531</v>
          </cell>
          <cell r="P3070"/>
          <cell r="Q3070" t="str">
            <v>EST MESA LATERAL VERAO (C/GAVETA) (FREIJO NATURAL)</v>
          </cell>
          <cell r="R3070"/>
          <cell r="S3070"/>
          <cell r="T3070">
            <v>0.6</v>
          </cell>
          <cell r="U3070">
            <v>0.6</v>
          </cell>
          <cell r="V3070">
            <v>0.55000000000000004</v>
          </cell>
          <cell r="W3070">
            <v>0</v>
          </cell>
          <cell r="X3070" t="str">
            <v>EST MESA LATERAL VERAO (C/GAVETA) (FREIJO NATURAL) - 0,6x0,6x0,55H</v>
          </cell>
          <cell r="Y3070">
            <v>0</v>
          </cell>
          <cell r="Z3070">
            <v>0.5</v>
          </cell>
          <cell r="AA3070">
            <v>0</v>
          </cell>
          <cell r="AB3070"/>
        </row>
        <row r="3071">
          <cell r="C3071">
            <v>0</v>
          </cell>
          <cell r="D3071">
            <v>0</v>
          </cell>
          <cell r="E3071">
            <v>0</v>
          </cell>
          <cell r="F3071">
            <v>0</v>
          </cell>
          <cell r="H3071">
            <v>1</v>
          </cell>
          <cell r="O3071">
            <v>362532</v>
          </cell>
          <cell r="P3071"/>
          <cell r="Q3071" t="str">
            <v>EST MESA LATERAL INVERNO (FREIJO NATURAL)</v>
          </cell>
          <cell r="R3071"/>
          <cell r="S3071"/>
          <cell r="T3071">
            <v>0.4</v>
          </cell>
          <cell r="U3071">
            <v>0.4</v>
          </cell>
          <cell r="V3071">
            <v>0.4</v>
          </cell>
          <cell r="W3071">
            <v>0</v>
          </cell>
          <cell r="X3071" t="str">
            <v>EST MESA LATERAL INVERNO (FREIJO NATURAL) - 0,4x0,4x0,4H</v>
          </cell>
          <cell r="Y3071">
            <v>0</v>
          </cell>
          <cell r="Z3071">
            <v>0.5</v>
          </cell>
          <cell r="AA3071">
            <v>0</v>
          </cell>
          <cell r="AB3071"/>
        </row>
        <row r="3072">
          <cell r="C3072">
            <v>0</v>
          </cell>
          <cell r="D3072">
            <v>0</v>
          </cell>
          <cell r="E3072">
            <v>0</v>
          </cell>
          <cell r="F3072">
            <v>0</v>
          </cell>
          <cell r="H3072">
            <v>0</v>
          </cell>
          <cell r="O3072">
            <v>362533</v>
          </cell>
          <cell r="P3072"/>
          <cell r="Q3072" t="str">
            <v>EST BUFFET ITA (4P/2G) (M2 V LACTEA) (P FERRO) (PTO MTZ FSC)</v>
          </cell>
          <cell r="R3072"/>
          <cell r="S3072"/>
          <cell r="T3072">
            <v>2.7</v>
          </cell>
          <cell r="U3072">
            <v>0.5</v>
          </cell>
          <cell r="V3072">
            <v>0.78</v>
          </cell>
          <cell r="W3072">
            <v>0</v>
          </cell>
          <cell r="X3072" t="str">
            <v>EST BUFFET ITA (4P/2G) (M2 V LACTEA) (P FERRO) (PTO MTZ FSC) - 2,7x0,5x0,78H</v>
          </cell>
          <cell r="Y3072">
            <v>0</v>
          </cell>
          <cell r="Z3072">
            <v>0.5</v>
          </cell>
          <cell r="AA3072">
            <v>0</v>
          </cell>
          <cell r="AB3072"/>
        </row>
        <row r="3073">
          <cell r="C3073">
            <v>0</v>
          </cell>
          <cell r="D3073">
            <v>0</v>
          </cell>
          <cell r="E3073">
            <v>0</v>
          </cell>
          <cell r="F3073">
            <v>0</v>
          </cell>
          <cell r="H3073">
            <v>1</v>
          </cell>
          <cell r="O3073">
            <v>362535</v>
          </cell>
          <cell r="P3073"/>
          <cell r="Q3073" t="str">
            <v>EST MESA JANTAR ITA (B CIRCULAR) (M3 MATARAZZO/COBRE ANTIGO)</v>
          </cell>
          <cell r="R3073"/>
          <cell r="S3073"/>
          <cell r="T3073">
            <v>3</v>
          </cell>
          <cell r="U3073">
            <v>1.2</v>
          </cell>
          <cell r="V3073">
            <v>0.74</v>
          </cell>
          <cell r="W3073">
            <v>0</v>
          </cell>
          <cell r="X3073" t="str">
            <v>EST MESA JANTAR ITA (B CIRCULAR) (M3 MATARAZZO/COBRE ANTIGO) - 3x1,2x0,74H</v>
          </cell>
          <cell r="Y3073">
            <v>0</v>
          </cell>
          <cell r="Z3073">
            <v>0.5</v>
          </cell>
          <cell r="AA3073">
            <v>0</v>
          </cell>
          <cell r="AB3073"/>
        </row>
        <row r="3074">
          <cell r="C3074">
            <v>0</v>
          </cell>
          <cell r="D3074">
            <v>0</v>
          </cell>
          <cell r="E3074">
            <v>0</v>
          </cell>
          <cell r="F3074">
            <v>0</v>
          </cell>
          <cell r="H3074">
            <v>1</v>
          </cell>
          <cell r="O3074">
            <v>362537</v>
          </cell>
          <cell r="P3074"/>
          <cell r="Q3074" t="str">
            <v>EST APARADOR ITA (M1 BC CHAMP) (FREIJO LAVADO/COBRE ANTIGO)</v>
          </cell>
          <cell r="R3074"/>
          <cell r="S3074"/>
          <cell r="T3074">
            <v>2.7</v>
          </cell>
          <cell r="U3074">
            <v>0.5</v>
          </cell>
          <cell r="V3074">
            <v>0.78</v>
          </cell>
          <cell r="W3074">
            <v>0</v>
          </cell>
          <cell r="X3074" t="str">
            <v>EST APARADOR ITA (M1 BC CHAMP) (FREIJO LAVADO/COBRE ANTIGO) - 2,7x0,5x0,78H</v>
          </cell>
          <cell r="Y3074">
            <v>0</v>
          </cell>
          <cell r="Z3074">
            <v>0.5</v>
          </cell>
          <cell r="AA3074">
            <v>0</v>
          </cell>
          <cell r="AB3074"/>
        </row>
        <row r="3075">
          <cell r="C3075">
            <v>0</v>
          </cell>
          <cell r="D3075">
            <v>0</v>
          </cell>
          <cell r="E3075">
            <v>0</v>
          </cell>
          <cell r="F3075">
            <v>0</v>
          </cell>
          <cell r="H3075">
            <v>0</v>
          </cell>
          <cell r="O3075">
            <v>362538</v>
          </cell>
          <cell r="P3075"/>
          <cell r="Q3075" t="str">
            <v>EST ESCRIVANINHA ITA (1 GAV) (FREIJO/PTO MTZ FSC)</v>
          </cell>
          <cell r="R3075"/>
          <cell r="S3075"/>
          <cell r="T3075">
            <v>1.8</v>
          </cell>
          <cell r="U3075">
            <v>0.8</v>
          </cell>
          <cell r="V3075">
            <v>0.74</v>
          </cell>
          <cell r="W3075">
            <v>0</v>
          </cell>
          <cell r="X3075" t="str">
            <v>EST ESCRIVANINHA ITA (1 GAV) (FREIJO/PTO MTZ FSC) - 1,8x0,8x0,74H</v>
          </cell>
          <cell r="Y3075">
            <v>0</v>
          </cell>
          <cell r="Z3075">
            <v>0</v>
          </cell>
          <cell r="AA3075">
            <v>0</v>
          </cell>
          <cell r="AB3075"/>
        </row>
        <row r="3076">
          <cell r="C3076">
            <v>0</v>
          </cell>
          <cell r="D3076">
            <v>0</v>
          </cell>
          <cell r="E3076">
            <v>0</v>
          </cell>
          <cell r="F3076">
            <v>0</v>
          </cell>
          <cell r="H3076">
            <v>0</v>
          </cell>
          <cell r="O3076">
            <v>362567</v>
          </cell>
          <cell r="P3076"/>
          <cell r="Q3076" t="str">
            <v>EST MESA JANTAR ITA (M3 MATARAZZO/COBRE ANTIGO) Ø</v>
          </cell>
          <cell r="R3076"/>
          <cell r="S3076"/>
          <cell r="T3076">
            <v>1.3</v>
          </cell>
          <cell r="U3076">
            <v>0</v>
          </cell>
          <cell r="V3076">
            <v>0.74</v>
          </cell>
          <cell r="W3076">
            <v>1.3</v>
          </cell>
          <cell r="X3076" t="str">
            <v>EST MESA JANTAR ITA (M3 MATARAZZO/COBRE ANTIGO) Ø - Ø1,3x0,74H</v>
          </cell>
          <cell r="Y3076">
            <v>0</v>
          </cell>
          <cell r="Z3076">
            <v>0.5</v>
          </cell>
          <cell r="AA3076">
            <v>0</v>
          </cell>
          <cell r="AB3076"/>
        </row>
        <row r="3077">
          <cell r="C3077">
            <v>0</v>
          </cell>
          <cell r="D3077">
            <v>0</v>
          </cell>
          <cell r="E3077">
            <v>0</v>
          </cell>
          <cell r="F3077">
            <v>0</v>
          </cell>
          <cell r="H3077">
            <v>2</v>
          </cell>
          <cell r="O3077">
            <v>362569</v>
          </cell>
          <cell r="P3077"/>
          <cell r="Q3077" t="str">
            <v>EST CADEIRA MARESIAS C/B (NAUTICA AZUL) (CUMARU EPS)</v>
          </cell>
          <cell r="R3077"/>
          <cell r="S3077"/>
          <cell r="T3077">
            <v>0.59</v>
          </cell>
          <cell r="U3077">
            <v>0.55000000000000004</v>
          </cell>
          <cell r="V3077">
            <v>0.82</v>
          </cell>
          <cell r="W3077">
            <v>0</v>
          </cell>
          <cell r="X3077" t="str">
            <v>EST CADEIRA MARESIAS C/B (NAUTICA AZUL) (CUMARU EPS) - 0,59x0,55x0,82H</v>
          </cell>
          <cell r="Y3077">
            <v>0</v>
          </cell>
          <cell r="Z3077">
            <v>0.5</v>
          </cell>
          <cell r="AA3077">
            <v>0</v>
          </cell>
          <cell r="AB3077"/>
        </row>
        <row r="3078">
          <cell r="C3078">
            <v>0</v>
          </cell>
          <cell r="D3078">
            <v>0</v>
          </cell>
          <cell r="E3078">
            <v>0</v>
          </cell>
          <cell r="F3078">
            <v>0</v>
          </cell>
          <cell r="H3078">
            <v>0</v>
          </cell>
          <cell r="O3078">
            <v>362687</v>
          </cell>
          <cell r="P3078"/>
          <cell r="Q3078" t="str">
            <v>EST POLTRONA SPOT (CUMARU)</v>
          </cell>
          <cell r="R3078"/>
          <cell r="S3078"/>
          <cell r="T3078">
            <v>0.7</v>
          </cell>
          <cell r="U3078">
            <v>0.64</v>
          </cell>
          <cell r="V3078">
            <v>0.74</v>
          </cell>
          <cell r="W3078">
            <v>0</v>
          </cell>
          <cell r="X3078" t="str">
            <v>EST POLTRONA SPOT (CUMARU) - 0,7x0,64x0,74H</v>
          </cell>
          <cell r="Y3078">
            <v>0</v>
          </cell>
          <cell r="Z3078">
            <v>0</v>
          </cell>
          <cell r="AA3078">
            <v>0</v>
          </cell>
          <cell r="AB3078"/>
        </row>
        <row r="3079">
          <cell r="C3079">
            <v>0</v>
          </cell>
          <cell r="D3079">
            <v>0</v>
          </cell>
          <cell r="E3079">
            <v>0</v>
          </cell>
          <cell r="F3079">
            <v>0</v>
          </cell>
          <cell r="H3079">
            <v>0</v>
          </cell>
          <cell r="O3079">
            <v>363887</v>
          </cell>
          <cell r="P3079"/>
          <cell r="Q3079" t="str">
            <v>EST SOFA SO FAR (INTEIRO) (FREIJO NAT) TC VILLA OLMO NATURAL</v>
          </cell>
          <cell r="R3079"/>
          <cell r="S3079"/>
          <cell r="T3079">
            <v>3</v>
          </cell>
          <cell r="U3079">
            <v>0.95</v>
          </cell>
          <cell r="V3079">
            <v>0.7</v>
          </cell>
          <cell r="W3079">
            <v>0</v>
          </cell>
          <cell r="X3079" t="str">
            <v>EST SOFA SO FAR (INTEIRO) (FREIJO NAT) TC VILLA OLMO NATURAL - 3x0,95x0,7H</v>
          </cell>
          <cell r="Y3079">
            <v>0</v>
          </cell>
          <cell r="Z3079">
            <v>0</v>
          </cell>
          <cell r="AA3079">
            <v>0</v>
          </cell>
          <cell r="AB3079"/>
        </row>
        <row r="3080">
          <cell r="C3080">
            <v>0</v>
          </cell>
          <cell r="D3080">
            <v>0</v>
          </cell>
          <cell r="E3080">
            <v>0</v>
          </cell>
          <cell r="F3080">
            <v>0</v>
          </cell>
          <cell r="H3080">
            <v>0</v>
          </cell>
          <cell r="O3080">
            <v>363888</v>
          </cell>
          <cell r="P3080"/>
          <cell r="Q3080" t="str">
            <v>EST ALMOFADA DECORATIVA SO FAR (C/ABAS) TC VILLA OLMO NT</v>
          </cell>
          <cell r="R3080"/>
          <cell r="S3080"/>
          <cell r="T3080">
            <v>0.65</v>
          </cell>
          <cell r="U3080">
            <v>0.65</v>
          </cell>
          <cell r="V3080">
            <v>0</v>
          </cell>
          <cell r="W3080">
            <v>0</v>
          </cell>
          <cell r="X3080" t="str">
            <v>EST ALMOFADA DECORATIVA SO FAR (C/ABAS) TC VILLA OLMO NT - 0,65x0,65x0H</v>
          </cell>
          <cell r="Y3080">
            <v>0</v>
          </cell>
          <cell r="Z3080">
            <v>0</v>
          </cell>
          <cell r="AA3080">
            <v>0</v>
          </cell>
          <cell r="AB3080"/>
        </row>
        <row r="3081">
          <cell r="C3081">
            <v>0</v>
          </cell>
          <cell r="D3081">
            <v>0</v>
          </cell>
          <cell r="E3081">
            <v>0</v>
          </cell>
          <cell r="F3081">
            <v>0</v>
          </cell>
          <cell r="H3081">
            <v>3</v>
          </cell>
          <cell r="O3081">
            <v>364563</v>
          </cell>
          <cell r="P3081"/>
          <cell r="Q3081" t="str">
            <v>EST CADEIRA CORDA (PALANTI) (LAMINA FREIJO) (ALGODAO)</v>
          </cell>
          <cell r="R3081"/>
          <cell r="S3081"/>
          <cell r="T3081">
            <v>0.53</v>
          </cell>
          <cell r="U3081">
            <v>0.63</v>
          </cell>
          <cell r="V3081">
            <v>0.85</v>
          </cell>
          <cell r="W3081">
            <v>0</v>
          </cell>
          <cell r="X3081" t="str">
            <v>EST CADEIRA CORDA (PALANTI) (LAMINA FREIJO) (ALGODAO) - 0,53x0,63x0,85H</v>
          </cell>
          <cell r="Y3081">
            <v>0</v>
          </cell>
          <cell r="Z3081">
            <v>0</v>
          </cell>
          <cell r="AA3081">
            <v>0</v>
          </cell>
          <cell r="AB3081"/>
        </row>
        <row r="3082">
          <cell r="C3082">
            <v>0</v>
          </cell>
          <cell r="D3082">
            <v>0</v>
          </cell>
          <cell r="E3082">
            <v>0</v>
          </cell>
          <cell r="F3082">
            <v>0</v>
          </cell>
          <cell r="H3082">
            <v>0</v>
          </cell>
          <cell r="O3082">
            <v>364706</v>
          </cell>
          <cell r="P3082"/>
          <cell r="Q3082" t="str">
            <v>EST CHAISE PITU (JEQ NT) (LONA PAPIRO) (COURO PAPIRO)</v>
          </cell>
          <cell r="R3082"/>
          <cell r="S3082"/>
          <cell r="T3082">
            <v>0.94</v>
          </cell>
          <cell r="U3082">
            <v>0.76</v>
          </cell>
          <cell r="V3082">
            <v>0.8</v>
          </cell>
          <cell r="W3082">
            <v>0</v>
          </cell>
          <cell r="X3082" t="str">
            <v>EST CHAISE PITU (JEQ NT) (LONA PAPIRO) (COURO PAPIRO) - 0,94x0,76x0,8H</v>
          </cell>
          <cell r="Y3082">
            <v>0</v>
          </cell>
          <cell r="Z3082">
            <v>0</v>
          </cell>
          <cell r="AA3082">
            <v>0</v>
          </cell>
          <cell r="AB3082"/>
        </row>
        <row r="3083">
          <cell r="C3083">
            <v>0</v>
          </cell>
          <cell r="D3083">
            <v>0</v>
          </cell>
          <cell r="E3083">
            <v>0</v>
          </cell>
          <cell r="F3083">
            <v>0</v>
          </cell>
          <cell r="H3083">
            <v>0</v>
          </cell>
          <cell r="O3083">
            <v>364707</v>
          </cell>
          <cell r="P3083"/>
          <cell r="Q3083" t="str">
            <v>EST BANQUETA PITU (JEQ NT) (LONA PAPIRO) (COURO PAPIRO)</v>
          </cell>
          <cell r="R3083"/>
          <cell r="S3083"/>
          <cell r="T3083">
            <v>0.72</v>
          </cell>
          <cell r="U3083">
            <v>0.46</v>
          </cell>
          <cell r="V3083">
            <v>0.47</v>
          </cell>
          <cell r="W3083">
            <v>0</v>
          </cell>
          <cell r="X3083" t="str">
            <v>EST BANQUETA PITU (JEQ NT) (LONA PAPIRO) (COURO PAPIRO) - 0,72x0,46x0,47H</v>
          </cell>
          <cell r="Y3083">
            <v>0</v>
          </cell>
          <cell r="Z3083">
            <v>0</v>
          </cell>
          <cell r="AA3083">
            <v>0</v>
          </cell>
          <cell r="AB3083"/>
        </row>
        <row r="3084">
          <cell r="C3084">
            <v>0</v>
          </cell>
          <cell r="D3084">
            <v>0</v>
          </cell>
          <cell r="E3084">
            <v>0</v>
          </cell>
          <cell r="F3084">
            <v>0</v>
          </cell>
          <cell r="H3084">
            <v>0</v>
          </cell>
          <cell r="O3084">
            <v>365359</v>
          </cell>
          <cell r="P3084"/>
          <cell r="Q3084" t="str">
            <v>EST POLTRONA VAIVEM (FIXA) (IMBUIA) TC EL NOVE GREY</v>
          </cell>
          <cell r="R3084"/>
          <cell r="S3084"/>
          <cell r="T3084">
            <v>0.83</v>
          </cell>
          <cell r="U3084">
            <v>0.8</v>
          </cell>
          <cell r="V3084">
            <v>0.82</v>
          </cell>
          <cell r="W3084">
            <v>0</v>
          </cell>
          <cell r="X3084" t="str">
            <v>EST POLTRONA VAIVEM (FIXA) (IMBUIA) TC EL NOVE GREY - 0,83x0,8x0,82H</v>
          </cell>
          <cell r="Y3084">
            <v>0</v>
          </cell>
          <cell r="Z3084">
            <v>0.5</v>
          </cell>
          <cell r="AA3084">
            <v>0</v>
          </cell>
          <cell r="AB3084"/>
        </row>
        <row r="3085">
          <cell r="C3085">
            <v>0</v>
          </cell>
          <cell r="D3085">
            <v>0</v>
          </cell>
          <cell r="E3085">
            <v>0</v>
          </cell>
          <cell r="F3085">
            <v>0</v>
          </cell>
          <cell r="H3085">
            <v>1</v>
          </cell>
          <cell r="O3085">
            <v>365363</v>
          </cell>
          <cell r="P3085"/>
          <cell r="Q3085" t="str">
            <v>EST BANQUETA VAIVEM (IMBUIA) TC EL NOVE GREY</v>
          </cell>
          <cell r="R3085"/>
          <cell r="S3085"/>
          <cell r="T3085">
            <v>0.74</v>
          </cell>
          <cell r="U3085">
            <v>0.48</v>
          </cell>
          <cell r="V3085">
            <v>0.37</v>
          </cell>
          <cell r="W3085">
            <v>0</v>
          </cell>
          <cell r="X3085" t="str">
            <v>EST BANQUETA VAIVEM (IMBUIA) TC EL NOVE GREY - 0,74x0,48x0,37H</v>
          </cell>
          <cell r="Y3085">
            <v>0</v>
          </cell>
          <cell r="Z3085">
            <v>0</v>
          </cell>
          <cell r="AA3085">
            <v>0</v>
          </cell>
          <cell r="AB3085"/>
        </row>
        <row r="3086">
          <cell r="C3086">
            <v>0</v>
          </cell>
          <cell r="D3086">
            <v>0</v>
          </cell>
          <cell r="E3086">
            <v>0</v>
          </cell>
          <cell r="F3086">
            <v>0</v>
          </cell>
          <cell r="H3086">
            <v>1</v>
          </cell>
          <cell r="O3086">
            <v>365405</v>
          </cell>
          <cell r="P3086"/>
          <cell r="Q3086" t="str">
            <v>EST CADEIRA BOA C/B (C/ROD) (FREIJO) TC SAAG INDIGO</v>
          </cell>
          <cell r="R3086"/>
          <cell r="S3086"/>
          <cell r="T3086">
            <v>0.65</v>
          </cell>
          <cell r="U3086">
            <v>0.65</v>
          </cell>
          <cell r="V3086">
            <v>0.8</v>
          </cell>
          <cell r="W3086">
            <v>0</v>
          </cell>
          <cell r="X3086" t="str">
            <v>EST CADEIRA BOA C/B (C/ROD) (FREIJO) TC SAAG INDIGO - 0,65x0,65x0,8H</v>
          </cell>
          <cell r="Y3086">
            <v>0</v>
          </cell>
          <cell r="Z3086">
            <v>0</v>
          </cell>
          <cell r="AA3086">
            <v>0</v>
          </cell>
          <cell r="AB3086"/>
        </row>
        <row r="3087">
          <cell r="C3087">
            <v>0</v>
          </cell>
          <cell r="D3087">
            <v>0</v>
          </cell>
          <cell r="E3087">
            <v>0</v>
          </cell>
          <cell r="F3087">
            <v>0</v>
          </cell>
          <cell r="H3087">
            <v>1</v>
          </cell>
          <cell r="O3087">
            <v>365416</v>
          </cell>
          <cell r="P3087"/>
          <cell r="Q3087" t="str">
            <v>EST POLTRONA CEGONHA (PRETO) (TAUARI NT) COURO IMPORT 300</v>
          </cell>
          <cell r="R3087"/>
          <cell r="S3087"/>
          <cell r="T3087">
            <v>0.71</v>
          </cell>
          <cell r="U3087">
            <v>0.88</v>
          </cell>
          <cell r="V3087">
            <v>0.94</v>
          </cell>
          <cell r="W3087">
            <v>0</v>
          </cell>
          <cell r="X3087" t="str">
            <v>EST POLTRONA CEGONHA (PRETO) (TAUARI NT) COURO IMPORT 300 - 0,71x0,88x0,94H</v>
          </cell>
          <cell r="Y3087">
            <v>0</v>
          </cell>
          <cell r="Z3087">
            <v>0.5</v>
          </cell>
          <cell r="AA3087">
            <v>0</v>
          </cell>
          <cell r="AB3087"/>
        </row>
        <row r="3088">
          <cell r="C3088">
            <v>0</v>
          </cell>
          <cell r="D3088">
            <v>0</v>
          </cell>
          <cell r="E3088">
            <v>0</v>
          </cell>
          <cell r="F3088">
            <v>0</v>
          </cell>
          <cell r="H3088">
            <v>0</v>
          </cell>
          <cell r="O3088">
            <v>365452</v>
          </cell>
          <cell r="P3088"/>
          <cell r="Q3088" t="str">
            <v>EST CADEIRA JOHN GRAZ (NOGUEIRA) COURO IMPORT 300</v>
          </cell>
          <cell r="R3088"/>
          <cell r="S3088"/>
          <cell r="T3088">
            <v>0.48</v>
          </cell>
          <cell r="U3088">
            <v>0.53</v>
          </cell>
          <cell r="V3088">
            <v>0.82</v>
          </cell>
          <cell r="W3088">
            <v>0</v>
          </cell>
          <cell r="X3088" t="str">
            <v>EST CADEIRA JOHN GRAZ (NOGUEIRA) COURO IMPORT 300 - 0,48x0,53x0,82H</v>
          </cell>
          <cell r="Y3088">
            <v>0</v>
          </cell>
          <cell r="Z3088">
            <v>0</v>
          </cell>
          <cell r="AA3088">
            <v>0</v>
          </cell>
          <cell r="AB3088"/>
        </row>
        <row r="3089">
          <cell r="C3089">
            <v>0</v>
          </cell>
          <cell r="D3089">
            <v>0</v>
          </cell>
          <cell r="E3089">
            <v>0</v>
          </cell>
          <cell r="F3089">
            <v>0</v>
          </cell>
          <cell r="H3089">
            <v>1</v>
          </cell>
          <cell r="O3089">
            <v>365703</v>
          </cell>
          <cell r="P3089"/>
          <cell r="Q3089" t="str">
            <v>EST MESA LATERAL CHEGA AQUI (LEQUE) (FREIJO) BS PRETA FSC</v>
          </cell>
          <cell r="R3089"/>
          <cell r="S3089"/>
          <cell r="T3089">
            <v>0.41</v>
          </cell>
          <cell r="U3089">
            <v>0</v>
          </cell>
          <cell r="V3089">
            <v>0.64</v>
          </cell>
          <cell r="W3089">
            <v>0.41</v>
          </cell>
          <cell r="X3089" t="str">
            <v>EST MESA LATERAL CHEGA AQUI (LEQUE) (FREIJO) BS PRETA FSC - Ø0,41x0,64H</v>
          </cell>
          <cell r="Y3089">
            <v>0</v>
          </cell>
          <cell r="Z3089">
            <v>0.5</v>
          </cell>
          <cell r="AA3089">
            <v>0</v>
          </cell>
          <cell r="AB3089"/>
        </row>
        <row r="3090">
          <cell r="C3090">
            <v>0</v>
          </cell>
          <cell r="D3090">
            <v>0</v>
          </cell>
          <cell r="E3090">
            <v>0</v>
          </cell>
          <cell r="F3090">
            <v>0</v>
          </cell>
          <cell r="H3090">
            <v>1</v>
          </cell>
          <cell r="O3090">
            <v>365964</v>
          </cell>
          <cell r="P3090"/>
          <cell r="Q3090" t="str">
            <v>EST POLTRONA JOHN GRAZ (IMBUIA) TC MIKA CAMEL</v>
          </cell>
          <cell r="R3090"/>
          <cell r="S3090"/>
          <cell r="T3090">
            <v>0.8</v>
          </cell>
          <cell r="U3090">
            <v>0.83</v>
          </cell>
          <cell r="V3090">
            <v>0.74</v>
          </cell>
          <cell r="W3090">
            <v>0</v>
          </cell>
          <cell r="X3090" t="str">
            <v>EST POLTRONA JOHN GRAZ (IMBUIA) TC MIKA CAMEL - 0,8x0,83x0,74H</v>
          </cell>
          <cell r="Y3090">
            <v>0</v>
          </cell>
          <cell r="Z3090">
            <v>0</v>
          </cell>
          <cell r="AA3090">
            <v>0</v>
          </cell>
          <cell r="AB3090"/>
        </row>
        <row r="3091">
          <cell r="C3091">
            <v>0</v>
          </cell>
          <cell r="D3091">
            <v>0</v>
          </cell>
          <cell r="E3091">
            <v>0</v>
          </cell>
          <cell r="F3091">
            <v>0</v>
          </cell>
          <cell r="H3091">
            <v>1</v>
          </cell>
          <cell r="O3091">
            <v>365965</v>
          </cell>
          <cell r="P3091"/>
          <cell r="Q3091" t="str">
            <v>EST BANQUETA JOHN GRAZ (IMBUIA) TC MIKA CAMEL</v>
          </cell>
          <cell r="R3091"/>
          <cell r="S3091"/>
          <cell r="T3091">
            <v>0.8</v>
          </cell>
          <cell r="U3091">
            <v>0.6</v>
          </cell>
          <cell r="V3091">
            <v>0.35</v>
          </cell>
          <cell r="W3091">
            <v>0</v>
          </cell>
          <cell r="X3091" t="str">
            <v>EST BANQUETA JOHN GRAZ (IMBUIA) TC MIKA CAMEL - 0,8x0,6x0,35H</v>
          </cell>
          <cell r="Y3091">
            <v>0</v>
          </cell>
          <cell r="Z3091">
            <v>0</v>
          </cell>
          <cell r="AA3091">
            <v>0</v>
          </cell>
          <cell r="AB3091"/>
        </row>
        <row r="3092">
          <cell r="C3092">
            <v>0</v>
          </cell>
          <cell r="D3092">
            <v>0</v>
          </cell>
          <cell r="E3092">
            <v>0</v>
          </cell>
          <cell r="F3092">
            <v>0</v>
          </cell>
          <cell r="H3092">
            <v>0</v>
          </cell>
          <cell r="O3092">
            <v>365969</v>
          </cell>
          <cell r="P3092"/>
          <cell r="Q3092" t="str">
            <v>EST MESA CENTRO SAMBURA (TAMPO CIMENTICIO) BASE PRETA</v>
          </cell>
          <cell r="R3092"/>
          <cell r="S3092"/>
          <cell r="T3092">
            <v>1.2</v>
          </cell>
          <cell r="U3092">
            <v>0</v>
          </cell>
          <cell r="V3092">
            <v>0.3</v>
          </cell>
          <cell r="W3092">
            <v>1.2</v>
          </cell>
          <cell r="X3092" t="str">
            <v>EST MESA CENTRO SAMBURA (TAMPO CIMENTICIO) BASE PRETA - Ø1,2x0,3H</v>
          </cell>
          <cell r="Y3092">
            <v>0</v>
          </cell>
          <cell r="Z3092">
            <v>0.5</v>
          </cell>
          <cell r="AA3092">
            <v>0</v>
          </cell>
          <cell r="AB3092"/>
        </row>
        <row r="3093">
          <cell r="C3093">
            <v>0</v>
          </cell>
          <cell r="D3093">
            <v>0</v>
          </cell>
          <cell r="E3093">
            <v>0</v>
          </cell>
          <cell r="F3093">
            <v>0</v>
          </cell>
          <cell r="H3093">
            <v>3</v>
          </cell>
          <cell r="O3093">
            <v>365980</v>
          </cell>
          <cell r="P3093"/>
          <cell r="Q3093" t="str">
            <v>EST CADEIRA ORQUIDEA (MAD B FREIJO NT) TC SAFARI SUM TELHA</v>
          </cell>
          <cell r="R3093"/>
          <cell r="S3093"/>
          <cell r="T3093">
            <v>0.47</v>
          </cell>
          <cell r="U3093">
            <v>0.55000000000000004</v>
          </cell>
          <cell r="V3093">
            <v>0.79</v>
          </cell>
          <cell r="W3093">
            <v>0</v>
          </cell>
          <cell r="X3093" t="str">
            <v>EST CADEIRA ORQUIDEA (MAD B FREIJO NT) TC SAFARI SUM TELHA - 0,47x0,55x0,79H</v>
          </cell>
          <cell r="Y3093">
            <v>0</v>
          </cell>
          <cell r="Z3093">
            <v>0</v>
          </cell>
          <cell r="AA3093">
            <v>0</v>
          </cell>
          <cell r="AB3093"/>
        </row>
        <row r="3094">
          <cell r="C3094">
            <v>0</v>
          </cell>
          <cell r="D3094">
            <v>0</v>
          </cell>
          <cell r="E3094">
            <v>0</v>
          </cell>
          <cell r="F3094">
            <v>0</v>
          </cell>
          <cell r="H3094">
            <v>0</v>
          </cell>
          <cell r="O3094">
            <v>366432</v>
          </cell>
          <cell r="P3094"/>
          <cell r="Q3094" t="str">
            <v>EST BANQUETA MOLECA (MAD CEREJEIRA) TC VILLA OLMO NATURAL</v>
          </cell>
          <cell r="R3094"/>
          <cell r="S3094"/>
          <cell r="T3094">
            <v>0.81</v>
          </cell>
          <cell r="U3094">
            <v>0.52</v>
          </cell>
          <cell r="V3094">
            <v>0.43</v>
          </cell>
          <cell r="W3094">
            <v>0</v>
          </cell>
          <cell r="X3094" t="str">
            <v>EST BANQUETA MOLECA (MAD CEREJEIRA) TC VILLA OLMO NATURAL - 0,81x0,52x0,43H</v>
          </cell>
          <cell r="Y3094">
            <v>0</v>
          </cell>
          <cell r="Z3094">
            <v>0</v>
          </cell>
          <cell r="AA3094">
            <v>0</v>
          </cell>
          <cell r="AB3094"/>
        </row>
        <row r="3095">
          <cell r="C3095">
            <v>0</v>
          </cell>
          <cell r="D3095">
            <v>0</v>
          </cell>
          <cell r="E3095">
            <v>0</v>
          </cell>
          <cell r="F3095">
            <v>0</v>
          </cell>
          <cell r="H3095">
            <v>0</v>
          </cell>
          <cell r="O3095">
            <v>366433</v>
          </cell>
          <cell r="P3095"/>
          <cell r="Q3095" t="str">
            <v>EST POLTRONA MOLECA (MAD CEREJEIRA) TC VILLA OLMO NATURAL</v>
          </cell>
          <cell r="R3095"/>
          <cell r="S3095"/>
          <cell r="T3095">
            <v>1.06</v>
          </cell>
          <cell r="U3095">
            <v>0.9</v>
          </cell>
          <cell r="V3095">
            <v>0.8</v>
          </cell>
          <cell r="W3095">
            <v>0</v>
          </cell>
          <cell r="X3095" t="str">
            <v>EST POLTRONA MOLECA (MAD CEREJEIRA) TC VILLA OLMO NATURAL - 1,06x0,9x0,8H</v>
          </cell>
          <cell r="Y3095">
            <v>0</v>
          </cell>
          <cell r="Z3095">
            <v>0</v>
          </cell>
          <cell r="AA3095">
            <v>0</v>
          </cell>
          <cell r="AB3095"/>
        </row>
        <row r="3096">
          <cell r="C3096">
            <v>0</v>
          </cell>
          <cell r="D3096">
            <v>0</v>
          </cell>
          <cell r="E3096">
            <v>0</v>
          </cell>
          <cell r="F3096">
            <v>0</v>
          </cell>
          <cell r="H3096">
            <v>2</v>
          </cell>
          <cell r="O3096">
            <v>366434</v>
          </cell>
          <cell r="P3096"/>
          <cell r="Q3096" t="str">
            <v>EST CADEIRA GB F61 (C/B) (JANTAR) TC EL ANGOLA COOPER</v>
          </cell>
          <cell r="R3096"/>
          <cell r="S3096"/>
          <cell r="T3096">
            <v>0.59</v>
          </cell>
          <cell r="U3096">
            <v>0.54</v>
          </cell>
          <cell r="V3096">
            <v>0.85</v>
          </cell>
          <cell r="W3096">
            <v>0</v>
          </cell>
          <cell r="X3096" t="str">
            <v>EST CADEIRA GB F61 (C/B) (JANTAR) TC EL ANGOLA COOPER - 0,59x0,54x0,85H</v>
          </cell>
          <cell r="Y3096">
            <v>0</v>
          </cell>
          <cell r="Z3096">
            <v>0</v>
          </cell>
          <cell r="AA3096">
            <v>0</v>
          </cell>
          <cell r="AB3096"/>
        </row>
        <row r="3097">
          <cell r="C3097" t="e">
            <v>#N/A</v>
          </cell>
          <cell r="D3097" t="e">
            <v>#N/A</v>
          </cell>
          <cell r="E3097" t="e">
            <v>#N/A</v>
          </cell>
          <cell r="F3097" t="e">
            <v>#N/A</v>
          </cell>
          <cell r="H3097" t="e">
            <v>#N/A</v>
          </cell>
          <cell r="O3097">
            <v>366486</v>
          </cell>
          <cell r="P3097"/>
          <cell r="Q3097" t="e">
            <v>#N/A</v>
          </cell>
          <cell r="R3097"/>
          <cell r="S3097"/>
          <cell r="T3097" t="e">
            <v>#N/A</v>
          </cell>
          <cell r="U3097" t="e">
            <v>#N/A</v>
          </cell>
          <cell r="V3097" t="e">
            <v>#N/A</v>
          </cell>
          <cell r="W3097" t="e">
            <v>#N/A</v>
          </cell>
          <cell r="X3097" t="e">
            <v>#N/A</v>
          </cell>
          <cell r="Y3097">
            <v>0</v>
          </cell>
          <cell r="Z3097">
            <v>0.5</v>
          </cell>
          <cell r="AA3097">
            <v>0</v>
          </cell>
          <cell r="AB3097"/>
        </row>
        <row r="3098">
          <cell r="C3098">
            <v>0</v>
          </cell>
          <cell r="D3098">
            <v>0</v>
          </cell>
          <cell r="E3098">
            <v>0</v>
          </cell>
          <cell r="F3098">
            <v>0</v>
          </cell>
          <cell r="H3098">
            <v>0</v>
          </cell>
          <cell r="O3098">
            <v>366489</v>
          </cell>
          <cell r="P3098"/>
          <cell r="Q3098" t="str">
            <v>EST MESA CENTRO JOHN GRAZ (LC FSC VERMELHA) (BRANCO PARANA)</v>
          </cell>
          <cell r="R3098"/>
          <cell r="S3098"/>
          <cell r="T3098">
            <v>1.7</v>
          </cell>
          <cell r="U3098">
            <v>0.77</v>
          </cell>
          <cell r="V3098">
            <v>0.32</v>
          </cell>
          <cell r="W3098">
            <v>0</v>
          </cell>
          <cell r="X3098" t="str">
            <v>EST MESA CENTRO JOHN GRAZ (LC FSC VERMELHA) (BRANCO PARANA) - 1,7x0,77x0,32H</v>
          </cell>
          <cell r="Y3098">
            <v>0</v>
          </cell>
          <cell r="Z3098">
            <v>0</v>
          </cell>
          <cell r="AA3098">
            <v>0</v>
          </cell>
          <cell r="AB3098"/>
        </row>
        <row r="3099">
          <cell r="C3099">
            <v>0</v>
          </cell>
          <cell r="D3099">
            <v>0</v>
          </cell>
          <cell r="E3099">
            <v>0</v>
          </cell>
          <cell r="F3099">
            <v>0</v>
          </cell>
          <cell r="H3099">
            <v>1</v>
          </cell>
          <cell r="O3099">
            <v>366527</v>
          </cell>
          <cell r="P3099"/>
          <cell r="Q3099" t="str">
            <v>EST BANQUETA STELLA (MAD A COR 02) TC HEARTLAND COR HUNTER</v>
          </cell>
          <cell r="R3099"/>
          <cell r="S3099"/>
          <cell r="T3099">
            <v>0.62</v>
          </cell>
          <cell r="U3099">
            <v>0.48</v>
          </cell>
          <cell r="V3099">
            <v>0.39</v>
          </cell>
          <cell r="W3099">
            <v>0</v>
          </cell>
          <cell r="X3099" t="str">
            <v>EST BANQUETA STELLA (MAD A COR 02) TC HEARTLAND COR HUNTER - 0,62x0,48x0,39H</v>
          </cell>
          <cell r="Y3099">
            <v>0</v>
          </cell>
          <cell r="Z3099">
            <v>0</v>
          </cell>
          <cell r="AA3099">
            <v>0</v>
          </cell>
          <cell r="AB3099"/>
        </row>
        <row r="3100">
          <cell r="C3100">
            <v>0</v>
          </cell>
          <cell r="D3100">
            <v>0</v>
          </cell>
          <cell r="E3100">
            <v>0</v>
          </cell>
          <cell r="F3100">
            <v>0</v>
          </cell>
          <cell r="H3100">
            <v>0</v>
          </cell>
          <cell r="O3100">
            <v>366528</v>
          </cell>
          <cell r="P3100"/>
          <cell r="Q3100" t="str">
            <v>EST POLTRONA STELLA (ALTA) (MAD A COR 02) TC HEART HUNTER</v>
          </cell>
          <cell r="R3100"/>
          <cell r="S3100"/>
          <cell r="T3100">
            <v>0.74</v>
          </cell>
          <cell r="U3100">
            <v>0.95</v>
          </cell>
          <cell r="V3100">
            <v>0.87</v>
          </cell>
          <cell r="W3100">
            <v>0</v>
          </cell>
          <cell r="X3100" t="str">
            <v>EST POLTRONA STELLA (ALTA) (MAD A COR 02) TC HEART HUNTER - 0,74x0,95x0,87H</v>
          </cell>
          <cell r="Y3100">
            <v>0</v>
          </cell>
          <cell r="Z3100">
            <v>0.5</v>
          </cell>
          <cell r="AA3100">
            <v>0</v>
          </cell>
          <cell r="AB3100"/>
        </row>
        <row r="3101">
          <cell r="C3101">
            <v>0</v>
          </cell>
          <cell r="D3101">
            <v>0</v>
          </cell>
          <cell r="E3101">
            <v>0</v>
          </cell>
          <cell r="F3101">
            <v>0</v>
          </cell>
          <cell r="H3101">
            <v>0</v>
          </cell>
          <cell r="O3101">
            <v>366530</v>
          </cell>
          <cell r="P3101"/>
          <cell r="Q3101" t="str">
            <v>EST SOFA CACO (BRANQUILHO) TC MAURITIUS CB-279</v>
          </cell>
          <cell r="R3101"/>
          <cell r="S3101"/>
          <cell r="T3101">
            <v>4.1500000000000004</v>
          </cell>
          <cell r="U3101">
            <v>1.45</v>
          </cell>
          <cell r="V3101">
            <v>0.74</v>
          </cell>
          <cell r="W3101">
            <v>0</v>
          </cell>
          <cell r="X3101" t="str">
            <v>EST SOFA CACO (BRANQUILHO) TC MAURITIUS CB-279 - 4,15x1,45x0,74H</v>
          </cell>
          <cell r="Y3101">
            <v>0</v>
          </cell>
          <cell r="Z3101">
            <v>0.5</v>
          </cell>
          <cell r="AA3101">
            <v>0</v>
          </cell>
          <cell r="AB3101"/>
        </row>
        <row r="3102">
          <cell r="C3102">
            <v>0</v>
          </cell>
          <cell r="D3102">
            <v>0</v>
          </cell>
          <cell r="E3102">
            <v>0</v>
          </cell>
          <cell r="F3102">
            <v>0</v>
          </cell>
          <cell r="H3102">
            <v>0</v>
          </cell>
          <cell r="O3102">
            <v>366802</v>
          </cell>
          <cell r="P3102"/>
          <cell r="Q3102" t="str">
            <v>EST MESA JANTAR TAL (AREA COBERTA) (IPE) CONCRETO GOIABA</v>
          </cell>
          <cell r="R3102"/>
          <cell r="S3102"/>
          <cell r="T3102">
            <v>3.2</v>
          </cell>
          <cell r="U3102">
            <v>1.1000000000000001</v>
          </cell>
          <cell r="V3102">
            <v>0.74</v>
          </cell>
          <cell r="W3102">
            <v>0</v>
          </cell>
          <cell r="X3102" t="str">
            <v>EST MESA JANTAR TAL (AREA COBERTA) (IPE) CONCRETO GOIABA - 3,2x1,1x0,74H</v>
          </cell>
          <cell r="Y3102">
            <v>0</v>
          </cell>
          <cell r="Z3102">
            <v>0.5</v>
          </cell>
          <cell r="AA3102">
            <v>0</v>
          </cell>
          <cell r="AB3102"/>
        </row>
        <row r="3103">
          <cell r="C3103">
            <v>0</v>
          </cell>
          <cell r="D3103">
            <v>0</v>
          </cell>
          <cell r="E3103">
            <v>0</v>
          </cell>
          <cell r="F3103">
            <v>0</v>
          </cell>
          <cell r="H3103">
            <v>0</v>
          </cell>
          <cell r="O3103">
            <v>367087</v>
          </cell>
          <cell r="P3103"/>
          <cell r="Q3103" t="str">
            <v>EST POLTRONA SOBREIRO (CAMPANA) (CORTICA)</v>
          </cell>
          <cell r="R3103"/>
          <cell r="S3103"/>
          <cell r="T3103">
            <v>0.75</v>
          </cell>
          <cell r="U3103">
            <v>0.6</v>
          </cell>
          <cell r="V3103">
            <v>0.75</v>
          </cell>
          <cell r="W3103">
            <v>0</v>
          </cell>
          <cell r="X3103" t="str">
            <v>EST POLTRONA SOBREIRO (CAMPANA) (CORTICA) - 0,75x0,6x0,75H</v>
          </cell>
          <cell r="Y3103">
            <v>0</v>
          </cell>
          <cell r="Z3103">
            <v>0.5</v>
          </cell>
          <cell r="AA3103">
            <v>0</v>
          </cell>
          <cell r="AB3103"/>
        </row>
        <row r="3104">
          <cell r="C3104">
            <v>0</v>
          </cell>
          <cell r="D3104">
            <v>0</v>
          </cell>
          <cell r="E3104">
            <v>0</v>
          </cell>
          <cell r="F3104">
            <v>0</v>
          </cell>
          <cell r="H3104">
            <v>0</v>
          </cell>
          <cell r="O3104">
            <v>369043</v>
          </cell>
          <cell r="P3104"/>
          <cell r="Q3104" t="str">
            <v>EST SOFA FINO (BASE PRETA) COURO NOBUCK VERDE</v>
          </cell>
          <cell r="R3104"/>
          <cell r="S3104"/>
          <cell r="T3104">
            <v>3.1</v>
          </cell>
          <cell r="U3104">
            <v>0.95</v>
          </cell>
          <cell r="V3104">
            <v>0.68</v>
          </cell>
          <cell r="W3104">
            <v>0</v>
          </cell>
          <cell r="X3104" t="str">
            <v>EST SOFA FINO (BASE PRETA) COURO NOBUCK VERDE - 3,1x0,95x0,68H</v>
          </cell>
          <cell r="Y3104">
            <v>0</v>
          </cell>
          <cell r="Z3104">
            <v>0.5</v>
          </cell>
          <cell r="AA3104">
            <v>0</v>
          </cell>
          <cell r="AB3104"/>
        </row>
        <row r="3105">
          <cell r="C3105">
            <v>0</v>
          </cell>
          <cell r="D3105">
            <v>0</v>
          </cell>
          <cell r="E3105">
            <v>0</v>
          </cell>
          <cell r="F3105">
            <v>0</v>
          </cell>
          <cell r="H3105">
            <v>0</v>
          </cell>
          <cell r="O3105">
            <v>369136</v>
          </cell>
          <cell r="P3105"/>
          <cell r="Q3105" t="str">
            <v>EST ALMOFADA DECORATIVA FINO COURO NOBUCK VERDE</v>
          </cell>
          <cell r="R3105"/>
          <cell r="S3105"/>
          <cell r="T3105">
            <v>0.6</v>
          </cell>
          <cell r="U3105">
            <v>0.6</v>
          </cell>
          <cell r="V3105">
            <v>0</v>
          </cell>
          <cell r="W3105">
            <v>0</v>
          </cell>
          <cell r="X3105" t="str">
            <v>EST ALMOFADA DECORATIVA FINO COURO NOBUCK VERDE - 0,6x0,6x0H</v>
          </cell>
          <cell r="Y3105">
            <v>0</v>
          </cell>
          <cell r="Z3105">
            <v>0.5</v>
          </cell>
          <cell r="AA3105">
            <v>0</v>
          </cell>
          <cell r="AB3105"/>
        </row>
        <row r="3106">
          <cell r="C3106">
            <v>0</v>
          </cell>
          <cell r="D3106">
            <v>0</v>
          </cell>
          <cell r="E3106">
            <v>0</v>
          </cell>
          <cell r="F3106">
            <v>0</v>
          </cell>
          <cell r="H3106">
            <v>0</v>
          </cell>
          <cell r="O3106">
            <v>370368</v>
          </cell>
          <cell r="P3106"/>
          <cell r="Q3106" t="str">
            <v>EST CADEIRA TAJA (TECA VRNZ FSC) (AREA COB) EMPARELHADA</v>
          </cell>
          <cell r="R3106"/>
          <cell r="S3106"/>
          <cell r="T3106">
            <v>0.43</v>
          </cell>
          <cell r="U3106">
            <v>0.46</v>
          </cell>
          <cell r="V3106">
            <v>0.73</v>
          </cell>
          <cell r="W3106">
            <v>0</v>
          </cell>
          <cell r="X3106" t="str">
            <v>EST CADEIRA TAJA (TECA VRNZ FSC) (AREA COB) EMPARELHADA - 0,43x0,46x0,73H</v>
          </cell>
          <cell r="Y3106">
            <v>0</v>
          </cell>
          <cell r="Z3106">
            <v>0.5</v>
          </cell>
          <cell r="AA3106">
            <v>0</v>
          </cell>
          <cell r="AB3106"/>
        </row>
        <row r="3107">
          <cell r="C3107">
            <v>0</v>
          </cell>
          <cell r="D3107">
            <v>0</v>
          </cell>
          <cell r="E3107">
            <v>0</v>
          </cell>
          <cell r="F3107">
            <v>0</v>
          </cell>
          <cell r="H3107">
            <v>0</v>
          </cell>
          <cell r="O3107">
            <v>370369</v>
          </cell>
          <cell r="P3107"/>
          <cell r="Q3107" t="str">
            <v>EST BANQUETA BAR TAJA H70 (TECA VRNZ FSC) (AREA COB) EMP</v>
          </cell>
          <cell r="R3107"/>
          <cell r="S3107"/>
          <cell r="T3107">
            <v>0.48</v>
          </cell>
          <cell r="U3107">
            <v>0.46</v>
          </cell>
          <cell r="V3107">
            <v>0.98</v>
          </cell>
          <cell r="W3107">
            <v>0</v>
          </cell>
          <cell r="X3107" t="str">
            <v>EST BANQUETA BAR TAJA H70 (TECA VRNZ FSC) (AREA COB) EMP - 0,48x0,46x0,98H</v>
          </cell>
          <cell r="Y3107">
            <v>0</v>
          </cell>
          <cell r="Z3107">
            <v>0.5</v>
          </cell>
          <cell r="AA3107">
            <v>0</v>
          </cell>
          <cell r="AB3107"/>
        </row>
        <row r="3108">
          <cell r="C3108">
            <v>0</v>
          </cell>
          <cell r="D3108">
            <v>0</v>
          </cell>
          <cell r="E3108">
            <v>0</v>
          </cell>
          <cell r="F3108">
            <v>0</v>
          </cell>
          <cell r="H3108">
            <v>1</v>
          </cell>
          <cell r="O3108">
            <v>370371</v>
          </cell>
          <cell r="P3108"/>
          <cell r="Q3108" t="str">
            <v>EST NAMORADEIRA TAJA (TECA VRNZ FSC) (AREA COB) EMPARELHADA</v>
          </cell>
          <cell r="R3108"/>
          <cell r="S3108"/>
          <cell r="T3108">
            <v>1.1299999999999999</v>
          </cell>
          <cell r="U3108">
            <v>0.66</v>
          </cell>
          <cell r="V3108">
            <v>0.75</v>
          </cell>
          <cell r="W3108">
            <v>0</v>
          </cell>
          <cell r="X3108" t="str">
            <v>EST NAMORADEIRA TAJA (TECA VRNZ FSC) (AREA COB) EMPARELHADA - 1,13x0,66x0,75H</v>
          </cell>
          <cell r="Y3108">
            <v>0</v>
          </cell>
          <cell r="Z3108">
            <v>0</v>
          </cell>
          <cell r="AA3108">
            <v>0</v>
          </cell>
          <cell r="AB3108"/>
        </row>
        <row r="3109">
          <cell r="C3109">
            <v>0</v>
          </cell>
          <cell r="D3109">
            <v>0</v>
          </cell>
          <cell r="E3109">
            <v>0</v>
          </cell>
          <cell r="F3109">
            <v>0</v>
          </cell>
          <cell r="H3109">
            <v>1</v>
          </cell>
          <cell r="O3109">
            <v>370669</v>
          </cell>
          <cell r="P3109"/>
          <cell r="Q3109" t="str">
            <v>EST SOFA PLATAFORMA (SUCUPIRA) ELB LUDA LINEN/SILVER/GREY</v>
          </cell>
          <cell r="R3109"/>
          <cell r="S3109"/>
          <cell r="T3109">
            <v>2.7</v>
          </cell>
          <cell r="U3109">
            <v>0.9</v>
          </cell>
          <cell r="V3109">
            <v>0.8</v>
          </cell>
          <cell r="W3109">
            <v>0</v>
          </cell>
          <cell r="X3109" t="str">
            <v>EST SOFA PLATAFORMA (SUCUPIRA) ELB LUDA LINEN/SILVER/GREY - 2,7x0,9x0,8H</v>
          </cell>
          <cell r="Y3109">
            <v>0</v>
          </cell>
          <cell r="Z3109">
            <v>0</v>
          </cell>
          <cell r="AA3109">
            <v>0</v>
          </cell>
          <cell r="AB3109"/>
        </row>
        <row r="3110">
          <cell r="C3110">
            <v>0</v>
          </cell>
          <cell r="D3110">
            <v>0</v>
          </cell>
          <cell r="E3110">
            <v>0</v>
          </cell>
          <cell r="F3110">
            <v>0</v>
          </cell>
          <cell r="H3110">
            <v>0</v>
          </cell>
          <cell r="O3110">
            <v>370670</v>
          </cell>
          <cell r="P3110"/>
          <cell r="Q3110" t="str">
            <v>EST SOFA PLATAFORMA (SUCUPIRA) ELB LUDA LINEN/SILVER/GREY</v>
          </cell>
          <cell r="R3110"/>
          <cell r="S3110"/>
          <cell r="T3110">
            <v>3.6</v>
          </cell>
          <cell r="U3110">
            <v>0.9</v>
          </cell>
          <cell r="V3110">
            <v>0.8</v>
          </cell>
          <cell r="W3110">
            <v>0</v>
          </cell>
          <cell r="X3110" t="str">
            <v>EST SOFA PLATAFORMA (SUCUPIRA) ELB LUDA LINEN/SILVER/GREY - 3,6x0,9x0,8H</v>
          </cell>
          <cell r="Y3110">
            <v>0</v>
          </cell>
          <cell r="Z3110">
            <v>0.5</v>
          </cell>
          <cell r="AA3110">
            <v>0</v>
          </cell>
          <cell r="AB3110"/>
        </row>
        <row r="3111">
          <cell r="C3111">
            <v>0</v>
          </cell>
          <cell r="D3111">
            <v>0</v>
          </cell>
          <cell r="E3111">
            <v>0</v>
          </cell>
          <cell r="F3111">
            <v>0</v>
          </cell>
          <cell r="H3111">
            <v>2</v>
          </cell>
          <cell r="O3111">
            <v>370672</v>
          </cell>
          <cell r="P3111"/>
          <cell r="Q3111" t="str">
            <v>EST POLTRONA ESSA (MAD B TECA TING IMBUIA) TC ELB LUD AQUA</v>
          </cell>
          <cell r="R3111"/>
          <cell r="S3111"/>
          <cell r="T3111">
            <v>0.72</v>
          </cell>
          <cell r="U3111">
            <v>0.88</v>
          </cell>
          <cell r="V3111">
            <v>0.98</v>
          </cell>
          <cell r="W3111">
            <v>0</v>
          </cell>
          <cell r="X3111" t="str">
            <v>EST POLTRONA ESSA (MAD B TECA TING IMBUIA) TC ELB LUD AQUA - 0,72x0,88x0,98H</v>
          </cell>
          <cell r="Y3111">
            <v>0</v>
          </cell>
          <cell r="Z3111">
            <v>0</v>
          </cell>
          <cell r="AA3111">
            <v>0</v>
          </cell>
          <cell r="AB3111"/>
        </row>
        <row r="3112">
          <cell r="C3112">
            <v>0</v>
          </cell>
          <cell r="D3112">
            <v>0</v>
          </cell>
          <cell r="E3112">
            <v>0</v>
          </cell>
          <cell r="F3112">
            <v>0</v>
          </cell>
          <cell r="H3112">
            <v>1</v>
          </cell>
          <cell r="O3112">
            <v>370673</v>
          </cell>
          <cell r="P3112"/>
          <cell r="Q3112" t="str">
            <v>EST POLTRONA ESSA (MAD B TECA TING IMBUIA) TC ELB LUD CHERRY</v>
          </cell>
          <cell r="R3112"/>
          <cell r="S3112"/>
          <cell r="T3112">
            <v>0.72</v>
          </cell>
          <cell r="U3112">
            <v>0.88</v>
          </cell>
          <cell r="V3112">
            <v>0.98</v>
          </cell>
          <cell r="W3112">
            <v>0</v>
          </cell>
          <cell r="X3112" t="str">
            <v>EST POLTRONA ESSA (MAD B TECA TING IMBUIA) TC ELB LUD CHERRY - 0,72x0,88x0,98H</v>
          </cell>
          <cell r="Y3112">
            <v>0</v>
          </cell>
          <cell r="Z3112">
            <v>0.5</v>
          </cell>
          <cell r="AA3112">
            <v>0</v>
          </cell>
          <cell r="AB3112"/>
        </row>
        <row r="3113"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H3113">
            <v>1</v>
          </cell>
          <cell r="O3113">
            <v>370690</v>
          </cell>
          <cell r="P3113"/>
          <cell r="Q3113" t="str">
            <v>EST SOFA PLATAFORMA (SUCUPIRA) COURO NOBUCK VERDE</v>
          </cell>
          <cell r="R3113"/>
          <cell r="S3113"/>
          <cell r="T3113">
            <v>1.8</v>
          </cell>
          <cell r="U3113">
            <v>0.9</v>
          </cell>
          <cell r="V3113">
            <v>0.8</v>
          </cell>
          <cell r="W3113">
            <v>0</v>
          </cell>
          <cell r="X3113" t="str">
            <v>EST SOFA PLATAFORMA (SUCUPIRA) COURO NOBUCK VERDE - 1,8x0,9x0,8H</v>
          </cell>
          <cell r="Y3113">
            <v>0</v>
          </cell>
          <cell r="Z3113">
            <v>0</v>
          </cell>
          <cell r="AA3113">
            <v>0</v>
          </cell>
          <cell r="AB3113"/>
        </row>
        <row r="3114">
          <cell r="C3114">
            <v>0</v>
          </cell>
          <cell r="D3114">
            <v>0</v>
          </cell>
          <cell r="E3114">
            <v>0</v>
          </cell>
          <cell r="F3114">
            <v>0</v>
          </cell>
          <cell r="H3114">
            <v>2</v>
          </cell>
          <cell r="O3114">
            <v>370716</v>
          </cell>
          <cell r="P3114"/>
          <cell r="Q3114" t="str">
            <v>EST BANQUETA ESSA (MAD B TECA TING IMBUIA) TC ELB LUDA AQUA</v>
          </cell>
          <cell r="R3114"/>
          <cell r="S3114"/>
          <cell r="T3114">
            <v>0.56000000000000005</v>
          </cell>
          <cell r="U3114">
            <v>0.46</v>
          </cell>
          <cell r="V3114">
            <v>0.38</v>
          </cell>
          <cell r="W3114">
            <v>0</v>
          </cell>
          <cell r="X3114" t="str">
            <v>EST BANQUETA ESSA (MAD B TECA TING IMBUIA) TC ELB LUDA AQUA - 0,56x0,46x0,38H</v>
          </cell>
          <cell r="Y3114">
            <v>0</v>
          </cell>
          <cell r="Z3114">
            <v>0</v>
          </cell>
          <cell r="AA3114">
            <v>0</v>
          </cell>
          <cell r="AB3114"/>
        </row>
        <row r="3115">
          <cell r="C3115">
            <v>0</v>
          </cell>
          <cell r="D3115">
            <v>0</v>
          </cell>
          <cell r="E3115">
            <v>0</v>
          </cell>
          <cell r="F3115">
            <v>0</v>
          </cell>
          <cell r="H3115">
            <v>3</v>
          </cell>
          <cell r="O3115">
            <v>370760</v>
          </cell>
          <cell r="P3115"/>
          <cell r="Q3115" t="str">
            <v>EST CADEIRA BENJAMIN (IMBUIA) (TELA NATURAL)</v>
          </cell>
          <cell r="R3115"/>
          <cell r="S3115"/>
          <cell r="T3115">
            <v>0.62</v>
          </cell>
          <cell r="U3115">
            <v>0.54</v>
          </cell>
          <cell r="V3115">
            <v>0.78</v>
          </cell>
          <cell r="W3115">
            <v>0</v>
          </cell>
          <cell r="X3115" t="str">
            <v>EST CADEIRA BENJAMIN (IMBUIA) (TELA NATURAL) - 0,62x0,54x0,78H</v>
          </cell>
          <cell r="Y3115">
            <v>10928.66</v>
          </cell>
          <cell r="Z3115">
            <v>0</v>
          </cell>
          <cell r="AA3115">
            <v>10928.66</v>
          </cell>
          <cell r="AB3115"/>
        </row>
        <row r="3116">
          <cell r="C3116">
            <v>0</v>
          </cell>
          <cell r="D3116">
            <v>0</v>
          </cell>
          <cell r="E3116">
            <v>0</v>
          </cell>
          <cell r="F3116">
            <v>0</v>
          </cell>
          <cell r="H3116">
            <v>1</v>
          </cell>
          <cell r="O3116">
            <v>370775</v>
          </cell>
          <cell r="P3116"/>
          <cell r="Q3116" t="str">
            <v>EST BANQUETA ESSA (IMBUIA) TC ELB LUDA CHERRY</v>
          </cell>
          <cell r="R3116"/>
          <cell r="S3116"/>
          <cell r="T3116">
            <v>0.56000000000000005</v>
          </cell>
          <cell r="U3116">
            <v>0.46</v>
          </cell>
          <cell r="V3116">
            <v>0.38</v>
          </cell>
          <cell r="W3116">
            <v>0</v>
          </cell>
          <cell r="X3116" t="str">
            <v>EST BANQUETA ESSA (IMBUIA) TC ELB LUDA CHERRY - 0,56x0,46x0,38H</v>
          </cell>
          <cell r="Y3116">
            <v>0</v>
          </cell>
          <cell r="Z3116">
            <v>0.5</v>
          </cell>
          <cell r="AA3116">
            <v>0</v>
          </cell>
          <cell r="AB3116"/>
        </row>
        <row r="3117">
          <cell r="C3117">
            <v>0</v>
          </cell>
          <cell r="D3117">
            <v>0</v>
          </cell>
          <cell r="E3117">
            <v>0</v>
          </cell>
          <cell r="F3117">
            <v>0</v>
          </cell>
          <cell r="H3117">
            <v>0</v>
          </cell>
          <cell r="O3117">
            <v>370777</v>
          </cell>
          <cell r="P3117"/>
          <cell r="Q3117" t="str">
            <v>EST CADEIRA RE (FREIJO) COURO CAMURCA VERDE</v>
          </cell>
          <cell r="R3117"/>
          <cell r="S3117"/>
          <cell r="T3117">
            <v>0.55000000000000004</v>
          </cell>
          <cell r="U3117">
            <v>0.5</v>
          </cell>
          <cell r="V3117">
            <v>0.78</v>
          </cell>
          <cell r="W3117">
            <v>0</v>
          </cell>
          <cell r="X3117" t="str">
            <v>EST CADEIRA RE (FREIJO) COURO CAMURCA VERDE - 0,55x0,5x0,78H</v>
          </cell>
          <cell r="Y3117">
            <v>0</v>
          </cell>
          <cell r="Z3117">
            <v>0.5</v>
          </cell>
          <cell r="AA3117">
            <v>0</v>
          </cell>
          <cell r="AB3117"/>
        </row>
        <row r="3118">
          <cell r="C3118">
            <v>0</v>
          </cell>
          <cell r="D3118">
            <v>0</v>
          </cell>
          <cell r="E3118">
            <v>0</v>
          </cell>
          <cell r="F3118">
            <v>0</v>
          </cell>
          <cell r="H3118">
            <v>0</v>
          </cell>
          <cell r="O3118">
            <v>370823</v>
          </cell>
          <cell r="P3118"/>
          <cell r="Q3118" t="str">
            <v>EST MESA CENTRO CAVA (G3 - NEGRONI LEVIGADO)</v>
          </cell>
          <cell r="R3118"/>
          <cell r="S3118"/>
          <cell r="T3118">
            <v>1.3</v>
          </cell>
          <cell r="U3118">
            <v>0</v>
          </cell>
          <cell r="V3118">
            <v>0.25</v>
          </cell>
          <cell r="W3118">
            <v>0</v>
          </cell>
          <cell r="X3118" t="str">
            <v>EST MESA CENTRO CAVA (G3 - NEGRONI LEVIGADO) - Ø0x0,25H</v>
          </cell>
          <cell r="Y3118">
            <v>0</v>
          </cell>
          <cell r="Z3118">
            <v>0</v>
          </cell>
          <cell r="AA3118">
            <v>0</v>
          </cell>
          <cell r="AB3118"/>
        </row>
        <row r="3119">
          <cell r="C3119">
            <v>0</v>
          </cell>
          <cell r="D3119">
            <v>0</v>
          </cell>
          <cell r="E3119">
            <v>0</v>
          </cell>
          <cell r="F3119">
            <v>0</v>
          </cell>
          <cell r="H3119">
            <v>0</v>
          </cell>
          <cell r="O3119">
            <v>370824</v>
          </cell>
          <cell r="P3119"/>
          <cell r="Q3119" t="str">
            <v>EST MESA CENTRO CAVA (G3 - NEGRONI LEVIGADO)</v>
          </cell>
          <cell r="R3119"/>
          <cell r="S3119"/>
          <cell r="T3119">
            <v>0.8</v>
          </cell>
          <cell r="U3119">
            <v>0</v>
          </cell>
          <cell r="V3119">
            <v>0.3</v>
          </cell>
          <cell r="W3119">
            <v>0</v>
          </cell>
          <cell r="X3119" t="str">
            <v>EST MESA CENTRO CAVA (G3 - NEGRONI LEVIGADO) - Ø0x0,3H</v>
          </cell>
          <cell r="Y3119">
            <v>0</v>
          </cell>
          <cell r="Z3119">
            <v>0</v>
          </cell>
          <cell r="AA3119">
            <v>0</v>
          </cell>
          <cell r="AB3119"/>
        </row>
        <row r="3120">
          <cell r="C3120" t="e">
            <v>#N/A</v>
          </cell>
          <cell r="D3120" t="e">
            <v>#N/A</v>
          </cell>
          <cell r="E3120" t="e">
            <v>#N/A</v>
          </cell>
          <cell r="F3120" t="e">
            <v>#N/A</v>
          </cell>
          <cell r="H3120" t="e">
            <v>#N/A</v>
          </cell>
          <cell r="O3120">
            <v>370838</v>
          </cell>
          <cell r="P3120"/>
          <cell r="Q3120" t="e">
            <v>#N/A</v>
          </cell>
          <cell r="R3120"/>
          <cell r="S3120"/>
          <cell r="T3120" t="e">
            <v>#N/A</v>
          </cell>
          <cell r="U3120" t="e">
            <v>#N/A</v>
          </cell>
          <cell r="V3120" t="e">
            <v>#N/A</v>
          </cell>
          <cell r="W3120" t="e">
            <v>#N/A</v>
          </cell>
          <cell r="X3120" t="e">
            <v>#N/A</v>
          </cell>
          <cell r="Y3120">
            <v>0</v>
          </cell>
          <cell r="Z3120">
            <v>0</v>
          </cell>
          <cell r="AA3120">
            <v>0</v>
          </cell>
          <cell r="AB3120"/>
        </row>
        <row r="3121">
          <cell r="C3121">
            <v>0</v>
          </cell>
          <cell r="D3121">
            <v>0</v>
          </cell>
          <cell r="E3121">
            <v>0</v>
          </cell>
          <cell r="F3121">
            <v>0</v>
          </cell>
          <cell r="H3121">
            <v>4</v>
          </cell>
          <cell r="O3121">
            <v>370843</v>
          </cell>
          <cell r="P3121"/>
          <cell r="Q3121" t="str">
            <v>EST POLTRONA RESGATE C/BRACO (PEROBA ROSA) (S/ALMOFADA)</v>
          </cell>
          <cell r="R3121"/>
          <cell r="S3121"/>
          <cell r="T3121">
            <v>1.1000000000000001</v>
          </cell>
          <cell r="U3121">
            <v>0.84</v>
          </cell>
          <cell r="V3121">
            <v>0.82</v>
          </cell>
          <cell r="W3121">
            <v>0</v>
          </cell>
          <cell r="X3121" t="str">
            <v>EST POLTRONA RESGATE C/BRACO (PEROBA ROSA) (S/ALMOFADA) - 1,1x0,84x0,82H</v>
          </cell>
          <cell r="Y3121">
            <v>0</v>
          </cell>
          <cell r="Z3121">
            <v>0.5</v>
          </cell>
          <cell r="AA3121">
            <v>0</v>
          </cell>
          <cell r="AB3121"/>
        </row>
        <row r="3122">
          <cell r="C3122">
            <v>0</v>
          </cell>
          <cell r="D3122">
            <v>0</v>
          </cell>
          <cell r="E3122">
            <v>0</v>
          </cell>
          <cell r="F3122">
            <v>0</v>
          </cell>
          <cell r="H3122">
            <v>2</v>
          </cell>
          <cell r="O3122">
            <v>370844</v>
          </cell>
          <cell r="P3122"/>
          <cell r="Q3122" t="str">
            <v>EST POLTRONA RESGATE S/BRACO (JATOBA) (S/ALMOFADA)</v>
          </cell>
          <cell r="R3122"/>
          <cell r="S3122"/>
          <cell r="T3122">
            <v>1.1000000000000001</v>
          </cell>
          <cell r="U3122">
            <v>0.84</v>
          </cell>
          <cell r="V3122">
            <v>0.82</v>
          </cell>
          <cell r="W3122">
            <v>0</v>
          </cell>
          <cell r="X3122" t="str">
            <v>EST POLTRONA RESGATE S/BRACO (JATOBA) (S/ALMOFADA) - 1,1x0,84x0,82H</v>
          </cell>
          <cell r="Y3122">
            <v>0</v>
          </cell>
          <cell r="Z3122">
            <v>0.5</v>
          </cell>
          <cell r="AA3122">
            <v>0</v>
          </cell>
          <cell r="AB3122"/>
        </row>
        <row r="3123">
          <cell r="C3123">
            <v>0</v>
          </cell>
          <cell r="D3123">
            <v>0</v>
          </cell>
          <cell r="E3123">
            <v>0</v>
          </cell>
          <cell r="F3123">
            <v>0</v>
          </cell>
          <cell r="H3123">
            <v>1</v>
          </cell>
          <cell r="O3123">
            <v>370973</v>
          </cell>
          <cell r="P3123"/>
          <cell r="Q3123" t="str">
            <v>EST LUMINARIA LICEU (1) (PINHO DE RIGA)</v>
          </cell>
          <cell r="R3123"/>
          <cell r="S3123"/>
          <cell r="T3123">
            <v>0.22</v>
          </cell>
          <cell r="U3123">
            <v>0.28999999999999998</v>
          </cell>
          <cell r="V3123">
            <v>1.57</v>
          </cell>
          <cell r="W3123">
            <v>0</v>
          </cell>
          <cell r="X3123" t="str">
            <v>EST LUMINARIA LICEU (1) (PINHO DE RIGA) - 0,22x0,29x1,57H</v>
          </cell>
          <cell r="Y3123">
            <v>0</v>
          </cell>
          <cell r="Z3123">
            <v>0</v>
          </cell>
          <cell r="AA3123">
            <v>0</v>
          </cell>
          <cell r="AB3123"/>
        </row>
        <row r="3124">
          <cell r="C3124">
            <v>0</v>
          </cell>
          <cell r="D3124">
            <v>0</v>
          </cell>
          <cell r="E3124">
            <v>0</v>
          </cell>
          <cell r="F3124">
            <v>0</v>
          </cell>
          <cell r="H3124">
            <v>0</v>
          </cell>
          <cell r="O3124">
            <v>370975</v>
          </cell>
          <cell r="P3124"/>
          <cell r="Q3124" t="str">
            <v>EST LUMINARIA LICEU (3) (PINHO DE RIGA)</v>
          </cell>
          <cell r="R3124"/>
          <cell r="S3124"/>
          <cell r="T3124">
            <v>0.22</v>
          </cell>
          <cell r="U3124">
            <v>0.28999999999999998</v>
          </cell>
          <cell r="V3124">
            <v>1.57</v>
          </cell>
          <cell r="W3124">
            <v>0</v>
          </cell>
          <cell r="X3124" t="str">
            <v>EST LUMINARIA LICEU (3) (PINHO DE RIGA) - 0,22x0,29x1,57H</v>
          </cell>
          <cell r="Y3124">
            <v>0</v>
          </cell>
          <cell r="Z3124">
            <v>0</v>
          </cell>
          <cell r="AA3124">
            <v>0</v>
          </cell>
          <cell r="AB3124"/>
        </row>
        <row r="3125">
          <cell r="C3125">
            <v>0</v>
          </cell>
          <cell r="D3125">
            <v>0</v>
          </cell>
          <cell r="E3125">
            <v>0</v>
          </cell>
          <cell r="F3125">
            <v>0</v>
          </cell>
          <cell r="H3125">
            <v>1</v>
          </cell>
          <cell r="O3125">
            <v>370976</v>
          </cell>
          <cell r="P3125"/>
          <cell r="Q3125" t="str">
            <v>EST LUMINARIA LICEU (4) (PINHO DE RIGA)</v>
          </cell>
          <cell r="R3125"/>
          <cell r="S3125"/>
          <cell r="T3125">
            <v>0.22</v>
          </cell>
          <cell r="U3125">
            <v>0.28999999999999998</v>
          </cell>
          <cell r="V3125">
            <v>1.57</v>
          </cell>
          <cell r="W3125">
            <v>0</v>
          </cell>
          <cell r="X3125" t="str">
            <v>EST LUMINARIA LICEU (4) (PINHO DE RIGA) - 0,22x0,29x1,57H</v>
          </cell>
          <cell r="Y3125">
            <v>0</v>
          </cell>
          <cell r="Z3125">
            <v>0</v>
          </cell>
          <cell r="AA3125">
            <v>0</v>
          </cell>
          <cell r="AB3125"/>
        </row>
        <row r="3126">
          <cell r="C3126">
            <v>0</v>
          </cell>
          <cell r="D3126">
            <v>0</v>
          </cell>
          <cell r="E3126">
            <v>0</v>
          </cell>
          <cell r="F3126">
            <v>0</v>
          </cell>
          <cell r="H3126">
            <v>1</v>
          </cell>
          <cell r="O3126">
            <v>370977</v>
          </cell>
          <cell r="P3126"/>
          <cell r="Q3126" t="str">
            <v>EST LUMINARIA LICEU (5) (PINHO DE RIGA)</v>
          </cell>
          <cell r="R3126"/>
          <cell r="S3126"/>
          <cell r="T3126">
            <v>0.22</v>
          </cell>
          <cell r="U3126">
            <v>0.38</v>
          </cell>
          <cell r="V3126">
            <v>1.55</v>
          </cell>
          <cell r="W3126">
            <v>0</v>
          </cell>
          <cell r="X3126" t="str">
            <v>EST LUMINARIA LICEU (5) (PINHO DE RIGA) - 0,22x0,38x1,55H</v>
          </cell>
          <cell r="Y3126">
            <v>0</v>
          </cell>
          <cell r="Z3126">
            <v>0</v>
          </cell>
          <cell r="AA3126">
            <v>0</v>
          </cell>
          <cell r="AB3126"/>
        </row>
        <row r="3127">
          <cell r="C3127">
            <v>0</v>
          </cell>
          <cell r="D3127">
            <v>0</v>
          </cell>
          <cell r="E3127">
            <v>0</v>
          </cell>
          <cell r="F3127">
            <v>0</v>
          </cell>
          <cell r="H3127">
            <v>1</v>
          </cell>
          <cell r="O3127">
            <v>370978</v>
          </cell>
          <cell r="P3127"/>
          <cell r="Q3127" t="str">
            <v>EST LUMINARIA LICEU (6) (PINHO DE RIGA)</v>
          </cell>
          <cell r="R3127"/>
          <cell r="S3127"/>
          <cell r="T3127">
            <v>0.22</v>
          </cell>
          <cell r="U3127">
            <v>0.38</v>
          </cell>
          <cell r="V3127">
            <v>1.55</v>
          </cell>
          <cell r="W3127">
            <v>0</v>
          </cell>
          <cell r="X3127" t="str">
            <v>EST LUMINARIA LICEU (6) (PINHO DE RIGA) - 0,22x0,38x1,55H</v>
          </cell>
          <cell r="Y3127">
            <v>0</v>
          </cell>
          <cell r="Z3127">
            <v>0</v>
          </cell>
          <cell r="AA3127">
            <v>0</v>
          </cell>
          <cell r="AB3127"/>
        </row>
        <row r="3128">
          <cell r="C3128">
            <v>0</v>
          </cell>
          <cell r="D3128">
            <v>0</v>
          </cell>
          <cell r="E3128">
            <v>0</v>
          </cell>
          <cell r="F3128">
            <v>0</v>
          </cell>
          <cell r="H3128">
            <v>1</v>
          </cell>
          <cell r="O3128">
            <v>370979</v>
          </cell>
          <cell r="P3128"/>
          <cell r="Q3128" t="str">
            <v>EST LUMINARIA LICEU (7) (PINHO DE RIGA)</v>
          </cell>
          <cell r="R3128"/>
          <cell r="S3128"/>
          <cell r="T3128">
            <v>0.22</v>
          </cell>
          <cell r="U3128">
            <v>0.38</v>
          </cell>
          <cell r="V3128">
            <v>1.55</v>
          </cell>
          <cell r="W3128">
            <v>0</v>
          </cell>
          <cell r="X3128" t="str">
            <v>EST LUMINARIA LICEU (7) (PINHO DE RIGA) - 0,22x0,38x1,55H</v>
          </cell>
          <cell r="Y3128">
            <v>0</v>
          </cell>
          <cell r="Z3128">
            <v>0</v>
          </cell>
          <cell r="AA3128">
            <v>0</v>
          </cell>
          <cell r="AB3128"/>
        </row>
        <row r="3129">
          <cell r="C3129">
            <v>0</v>
          </cell>
          <cell r="D3129">
            <v>0</v>
          </cell>
          <cell r="E3129">
            <v>0</v>
          </cell>
          <cell r="F3129">
            <v>0</v>
          </cell>
          <cell r="H3129">
            <v>1</v>
          </cell>
          <cell r="O3129">
            <v>370981</v>
          </cell>
          <cell r="P3129"/>
          <cell r="Q3129" t="str">
            <v>EST LUMINARIA LICEU (10) (PINHO DE RIGA)</v>
          </cell>
          <cell r="R3129"/>
          <cell r="S3129"/>
          <cell r="T3129">
            <v>0.22</v>
          </cell>
          <cell r="U3129">
            <v>0.38</v>
          </cell>
          <cell r="V3129">
            <v>1.55</v>
          </cell>
          <cell r="W3129">
            <v>0</v>
          </cell>
          <cell r="X3129" t="str">
            <v>EST LUMINARIA LICEU (10) (PINHO DE RIGA) - 0,22x0,38x1,55H</v>
          </cell>
          <cell r="Y3129">
            <v>0</v>
          </cell>
          <cell r="Z3129">
            <v>0.35</v>
          </cell>
          <cell r="AA3129">
            <v>0</v>
          </cell>
          <cell r="AB3129"/>
        </row>
        <row r="3130">
          <cell r="C3130">
            <v>0</v>
          </cell>
          <cell r="D3130">
            <v>0</v>
          </cell>
          <cell r="E3130">
            <v>0</v>
          </cell>
          <cell r="F3130">
            <v>0</v>
          </cell>
          <cell r="H3130">
            <v>1</v>
          </cell>
          <cell r="O3130">
            <v>370982</v>
          </cell>
          <cell r="P3130"/>
          <cell r="Q3130" t="str">
            <v>EST LUMINARIA LICEU (11) (PINHO DE RIGA)</v>
          </cell>
          <cell r="R3130"/>
          <cell r="S3130"/>
          <cell r="T3130">
            <v>0.22</v>
          </cell>
          <cell r="U3130">
            <v>0.38</v>
          </cell>
          <cell r="V3130">
            <v>1.55</v>
          </cell>
          <cell r="W3130">
            <v>0</v>
          </cell>
          <cell r="X3130" t="str">
            <v>EST LUMINARIA LICEU (11) (PINHO DE RIGA) - 0,22x0,38x1,55H</v>
          </cell>
          <cell r="Y3130">
            <v>0</v>
          </cell>
          <cell r="Z3130">
            <v>0.35</v>
          </cell>
          <cell r="AA3130">
            <v>0</v>
          </cell>
          <cell r="AB3130"/>
        </row>
        <row r="3131">
          <cell r="C3131">
            <v>0</v>
          </cell>
          <cell r="D3131">
            <v>0</v>
          </cell>
          <cell r="E3131">
            <v>0</v>
          </cell>
          <cell r="F3131">
            <v>0</v>
          </cell>
          <cell r="H3131">
            <v>1</v>
          </cell>
          <cell r="O3131">
            <v>370983</v>
          </cell>
          <cell r="P3131"/>
          <cell r="Q3131" t="str">
            <v>EST LUMINARIA LICEU (12) (PINHO DE RIGA)</v>
          </cell>
          <cell r="R3131"/>
          <cell r="S3131"/>
          <cell r="T3131">
            <v>0.22</v>
          </cell>
          <cell r="U3131">
            <v>0.38</v>
          </cell>
          <cell r="V3131">
            <v>1.55</v>
          </cell>
          <cell r="W3131">
            <v>0</v>
          </cell>
          <cell r="X3131" t="str">
            <v>EST LUMINARIA LICEU (12) (PINHO DE RIGA) - 0,22x0,38x1,55H</v>
          </cell>
          <cell r="Y3131">
            <v>0</v>
          </cell>
          <cell r="Z3131">
            <v>0.35</v>
          </cell>
          <cell r="AA3131">
            <v>0</v>
          </cell>
          <cell r="AB3131"/>
        </row>
        <row r="3132">
          <cell r="C3132">
            <v>0</v>
          </cell>
          <cell r="D3132">
            <v>0</v>
          </cell>
          <cell r="E3132">
            <v>0</v>
          </cell>
          <cell r="F3132">
            <v>0</v>
          </cell>
          <cell r="H3132">
            <v>1</v>
          </cell>
          <cell r="O3132">
            <v>370985</v>
          </cell>
          <cell r="P3132"/>
          <cell r="Q3132" t="str">
            <v>EST LUMINARIA LICEU (9) (PINHO DE RIGA)</v>
          </cell>
          <cell r="R3132"/>
          <cell r="S3132"/>
          <cell r="T3132">
            <v>0.22</v>
          </cell>
          <cell r="U3132">
            <v>0.38</v>
          </cell>
          <cell r="V3132">
            <v>1.55</v>
          </cell>
          <cell r="W3132">
            <v>0</v>
          </cell>
          <cell r="X3132" t="str">
            <v>EST LUMINARIA LICEU (9) (PINHO DE RIGA) - 0,22x0,38x1,55H</v>
          </cell>
          <cell r="Y3132">
            <v>0</v>
          </cell>
          <cell r="Z3132">
            <v>0.35</v>
          </cell>
          <cell r="AA3132">
            <v>0</v>
          </cell>
          <cell r="AB3132"/>
        </row>
        <row r="3133">
          <cell r="C3133">
            <v>0</v>
          </cell>
          <cell r="D3133">
            <v>0</v>
          </cell>
          <cell r="E3133">
            <v>0</v>
          </cell>
          <cell r="F3133">
            <v>0</v>
          </cell>
          <cell r="H3133">
            <v>2</v>
          </cell>
          <cell r="O3133">
            <v>371299</v>
          </cell>
          <cell r="P3133"/>
          <cell r="Q3133" t="str">
            <v>EST POLTRONA KILIN (SOLETA PRETA) (MAD A COR1)</v>
          </cell>
          <cell r="R3133"/>
          <cell r="S3133"/>
          <cell r="T3133">
            <v>0.68</v>
          </cell>
          <cell r="U3133">
            <v>0.63</v>
          </cell>
          <cell r="V3133">
            <v>0.69</v>
          </cell>
          <cell r="W3133">
            <v>0</v>
          </cell>
          <cell r="X3133" t="str">
            <v>EST POLTRONA KILIN (SOLETA PRETA) (MAD A COR1) - 0,68x0,63x0,69H</v>
          </cell>
          <cell r="Y3133">
            <v>0</v>
          </cell>
          <cell r="Z3133">
            <v>0.35</v>
          </cell>
          <cell r="AA3133">
            <v>0</v>
          </cell>
          <cell r="AB3133"/>
        </row>
        <row r="3134">
          <cell r="C3134">
            <v>0</v>
          </cell>
          <cell r="D3134">
            <v>0</v>
          </cell>
          <cell r="E3134">
            <v>0</v>
          </cell>
          <cell r="F3134">
            <v>0</v>
          </cell>
          <cell r="H3134">
            <v>1</v>
          </cell>
          <cell r="O3134">
            <v>371379</v>
          </cell>
          <cell r="P3134"/>
          <cell r="Q3134" t="str">
            <v>EST MESA LATERAL LEVE (BASE ACO INOX) (TPO AZULEJO COLORIDO)</v>
          </cell>
          <cell r="R3134"/>
          <cell r="S3134"/>
          <cell r="T3134">
            <v>0.62</v>
          </cell>
          <cell r="U3134">
            <v>0.62</v>
          </cell>
          <cell r="V3134">
            <v>0.6</v>
          </cell>
          <cell r="W3134">
            <v>0</v>
          </cell>
          <cell r="X3134" t="str">
            <v>EST MESA LATERAL LEVE (BASE ACO INOX) (TPO AZULEJO COLORIDO) - 0,62x0,62x0,6H</v>
          </cell>
          <cell r="Y3134">
            <v>0</v>
          </cell>
          <cell r="Z3134">
            <v>0.35</v>
          </cell>
          <cell r="AA3134">
            <v>0</v>
          </cell>
          <cell r="AB3134"/>
        </row>
        <row r="3135">
          <cell r="C3135">
            <v>0</v>
          </cell>
          <cell r="D3135">
            <v>0</v>
          </cell>
          <cell r="E3135">
            <v>0</v>
          </cell>
          <cell r="F3135">
            <v>0</v>
          </cell>
          <cell r="H3135">
            <v>1</v>
          </cell>
          <cell r="O3135">
            <v>371380</v>
          </cell>
          <cell r="P3135"/>
          <cell r="Q3135" t="str">
            <v>EST MESA LATERAL LEVE (BASE ACO INOX) (TPO AZULEJO COLORIDO)</v>
          </cell>
          <cell r="R3135"/>
          <cell r="S3135"/>
          <cell r="T3135">
            <v>0.47</v>
          </cell>
          <cell r="U3135">
            <v>0.47</v>
          </cell>
          <cell r="V3135">
            <v>0.5</v>
          </cell>
          <cell r="W3135">
            <v>0</v>
          </cell>
          <cell r="X3135" t="str">
            <v>EST MESA LATERAL LEVE (BASE ACO INOX) (TPO AZULEJO COLORIDO) - 0,47x0,47x0,5H</v>
          </cell>
          <cell r="Y3135">
            <v>0</v>
          </cell>
          <cell r="Z3135">
            <v>0</v>
          </cell>
          <cell r="AA3135">
            <v>0</v>
          </cell>
          <cell r="AB3135"/>
        </row>
        <row r="3136">
          <cell r="C3136">
            <v>0</v>
          </cell>
          <cell r="D3136">
            <v>0</v>
          </cell>
          <cell r="E3136">
            <v>0</v>
          </cell>
          <cell r="F3136">
            <v>0</v>
          </cell>
          <cell r="H3136">
            <v>1</v>
          </cell>
          <cell r="O3136">
            <v>371381</v>
          </cell>
          <cell r="P3136"/>
          <cell r="Q3136" t="str">
            <v>EST CADEIRA ANGELA ESTAR (TELA NATURAL) (FREIJO NATURAL)</v>
          </cell>
          <cell r="R3136"/>
          <cell r="S3136"/>
          <cell r="T3136">
            <v>0.54</v>
          </cell>
          <cell r="U3136">
            <v>0.56000000000000005</v>
          </cell>
          <cell r="V3136">
            <v>0.84</v>
          </cell>
          <cell r="W3136">
            <v>0</v>
          </cell>
          <cell r="X3136" t="str">
            <v>EST CADEIRA ANGELA ESTAR (TELA NATURAL) (FREIJO NATURAL) - 0,54x0,56x0,84H</v>
          </cell>
          <cell r="Y3136">
            <v>0</v>
          </cell>
          <cell r="Z3136">
            <v>0</v>
          </cell>
          <cell r="AA3136">
            <v>0</v>
          </cell>
          <cell r="AB3136"/>
        </row>
        <row r="3137">
          <cell r="C3137">
            <v>0</v>
          </cell>
          <cell r="D3137">
            <v>0</v>
          </cell>
          <cell r="E3137">
            <v>0</v>
          </cell>
          <cell r="F3137">
            <v>0</v>
          </cell>
          <cell r="H3137">
            <v>0</v>
          </cell>
          <cell r="O3137">
            <v>371404</v>
          </cell>
          <cell r="P3137"/>
          <cell r="Q3137" t="str">
            <v>EST CHAISE TIMBO (ESTRUTURA) (CUMARU VERNIZ EPS)</v>
          </cell>
          <cell r="R3137"/>
          <cell r="S3137"/>
          <cell r="T3137">
            <v>2.02</v>
          </cell>
          <cell r="U3137">
            <v>0.9</v>
          </cell>
          <cell r="V3137">
            <v>0.25</v>
          </cell>
          <cell r="W3137">
            <v>0</v>
          </cell>
          <cell r="X3137" t="str">
            <v>EST CHAISE TIMBO (ESTRUTURA) (CUMARU VERNIZ EPS) - 2,02x0,9x0,25H</v>
          </cell>
          <cell r="Y3137">
            <v>0</v>
          </cell>
          <cell r="Z3137">
            <v>0</v>
          </cell>
          <cell r="AA3137">
            <v>0</v>
          </cell>
          <cell r="AB3137"/>
        </row>
        <row r="3138">
          <cell r="C3138">
            <v>0</v>
          </cell>
          <cell r="D3138">
            <v>0</v>
          </cell>
          <cell r="E3138">
            <v>0</v>
          </cell>
          <cell r="F3138">
            <v>0</v>
          </cell>
          <cell r="H3138">
            <v>0</v>
          </cell>
          <cell r="O3138">
            <v>371405</v>
          </cell>
          <cell r="P3138"/>
          <cell r="Q3138" t="str">
            <v>EST CHAISE MARESIAS (NAUTICA PRETA) (CUMARU VERNIZ EPS)</v>
          </cell>
          <cell r="R3138"/>
          <cell r="S3138"/>
          <cell r="T3138">
            <v>2.0299999999999998</v>
          </cell>
          <cell r="U3138">
            <v>0.65</v>
          </cell>
          <cell r="V3138">
            <v>0.93</v>
          </cell>
          <cell r="W3138">
            <v>0</v>
          </cell>
          <cell r="X3138" t="str">
            <v>EST CHAISE MARESIAS (NAUTICA PRETA) (CUMARU VERNIZ EPS) - 2,03x0,65x0,93H</v>
          </cell>
          <cell r="Y3138">
            <v>0</v>
          </cell>
          <cell r="Z3138">
            <v>0.5</v>
          </cell>
          <cell r="AA3138">
            <v>0</v>
          </cell>
          <cell r="AB3138"/>
        </row>
        <row r="3139">
          <cell r="C3139">
            <v>0</v>
          </cell>
          <cell r="D3139">
            <v>0</v>
          </cell>
          <cell r="E3139">
            <v>0</v>
          </cell>
          <cell r="F3139">
            <v>0</v>
          </cell>
          <cell r="H3139">
            <v>1</v>
          </cell>
          <cell r="O3139">
            <v>371421</v>
          </cell>
          <cell r="P3139"/>
          <cell r="Q3139" t="str">
            <v>EST POLTRONA VAIVEM (BALANCO) (IMBUIA) (EL NOVE GREY)</v>
          </cell>
          <cell r="R3139"/>
          <cell r="S3139"/>
          <cell r="T3139">
            <v>0.83</v>
          </cell>
          <cell r="U3139">
            <v>0.85</v>
          </cell>
          <cell r="V3139">
            <v>0.79</v>
          </cell>
          <cell r="W3139">
            <v>0</v>
          </cell>
          <cell r="X3139" t="str">
            <v>EST POLTRONA VAIVEM (BALANCO) (IMBUIA) (EL NOVE GREY) - 0,83x0,85x0,79H</v>
          </cell>
          <cell r="Y3139">
            <v>0</v>
          </cell>
          <cell r="Z3139">
            <v>0.35</v>
          </cell>
          <cell r="AA3139">
            <v>0</v>
          </cell>
          <cell r="AB3139"/>
        </row>
        <row r="3140">
          <cell r="C3140">
            <v>0</v>
          </cell>
          <cell r="D3140">
            <v>0</v>
          </cell>
          <cell r="E3140">
            <v>0</v>
          </cell>
          <cell r="F3140">
            <v>0</v>
          </cell>
          <cell r="H3140">
            <v>1</v>
          </cell>
          <cell r="O3140">
            <v>371554</v>
          </cell>
          <cell r="P3140"/>
          <cell r="Q3140" t="str">
            <v>EST MESA JANTAR VENTURA (IMBUIA)</v>
          </cell>
          <cell r="R3140"/>
          <cell r="S3140"/>
          <cell r="T3140">
            <v>1.5</v>
          </cell>
          <cell r="U3140">
            <v>0</v>
          </cell>
          <cell r="V3140">
            <v>0.75</v>
          </cell>
          <cell r="W3140">
            <v>1.5</v>
          </cell>
          <cell r="X3140" t="str">
            <v>EST MESA JANTAR VENTURA (IMBUIA) - Ø1,5x0,75H</v>
          </cell>
          <cell r="Y3140">
            <v>0</v>
          </cell>
          <cell r="Z3140">
            <v>0.35</v>
          </cell>
          <cell r="AA3140">
            <v>0</v>
          </cell>
          <cell r="AB3140"/>
        </row>
        <row r="3141">
          <cell r="C3141">
            <v>0</v>
          </cell>
          <cell r="D3141">
            <v>0</v>
          </cell>
          <cell r="E3141">
            <v>0</v>
          </cell>
          <cell r="F3141">
            <v>0</v>
          </cell>
          <cell r="H3141">
            <v>0</v>
          </cell>
          <cell r="O3141">
            <v>371555</v>
          </cell>
          <cell r="P3141"/>
          <cell r="Q3141" t="str">
            <v>EST MESA CENTRO VENTURA (PEROBA)</v>
          </cell>
          <cell r="R3141"/>
          <cell r="S3141"/>
          <cell r="T3141">
            <v>1.2</v>
          </cell>
          <cell r="U3141">
            <v>1.2</v>
          </cell>
          <cell r="V3141">
            <v>0.28000000000000003</v>
          </cell>
          <cell r="W3141">
            <v>0</v>
          </cell>
          <cell r="X3141" t="str">
            <v>EST MESA CENTRO VENTURA (PEROBA) - 1,2x1,2x0,28H</v>
          </cell>
          <cell r="Y3141">
            <v>0</v>
          </cell>
          <cell r="Z3141">
            <v>0.35</v>
          </cell>
          <cell r="AA3141">
            <v>0</v>
          </cell>
          <cell r="AB3141"/>
        </row>
        <row r="3142">
          <cell r="C3142">
            <v>0</v>
          </cell>
          <cell r="D3142">
            <v>0</v>
          </cell>
          <cell r="E3142">
            <v>0</v>
          </cell>
          <cell r="F3142">
            <v>0</v>
          </cell>
          <cell r="H3142">
            <v>1</v>
          </cell>
          <cell r="O3142">
            <v>371556</v>
          </cell>
          <cell r="P3142"/>
          <cell r="Q3142" t="str">
            <v>EST MESA CENTRO VENTURA (IMBUIA)</v>
          </cell>
          <cell r="R3142"/>
          <cell r="S3142"/>
          <cell r="T3142">
            <v>1.6</v>
          </cell>
          <cell r="U3142">
            <v>0</v>
          </cell>
          <cell r="V3142">
            <v>0.35</v>
          </cell>
          <cell r="W3142">
            <v>1.6</v>
          </cell>
          <cell r="X3142" t="str">
            <v>EST MESA CENTRO VENTURA (IMBUIA) - Ø1,6x0,35H</v>
          </cell>
          <cell r="Y3142">
            <v>0</v>
          </cell>
          <cell r="Z3142">
            <v>0.35</v>
          </cell>
          <cell r="AA3142">
            <v>0</v>
          </cell>
          <cell r="AB3142"/>
        </row>
        <row r="3143">
          <cell r="C3143">
            <v>0</v>
          </cell>
          <cell r="D3143">
            <v>0</v>
          </cell>
          <cell r="E3143">
            <v>0</v>
          </cell>
          <cell r="F3143">
            <v>0</v>
          </cell>
          <cell r="H3143">
            <v>2</v>
          </cell>
          <cell r="O3143">
            <v>371558</v>
          </cell>
          <cell r="P3143"/>
          <cell r="Q3143" t="str">
            <v>EST MESA LATERAL ORELHA DE PAU (IMBUIA) (PEROBA DO CAMPO)</v>
          </cell>
          <cell r="R3143"/>
          <cell r="S3143"/>
          <cell r="T3143">
            <v>0.5</v>
          </cell>
          <cell r="U3143">
            <v>0.5</v>
          </cell>
          <cell r="V3143">
            <v>0.7</v>
          </cell>
          <cell r="W3143">
            <v>0</v>
          </cell>
          <cell r="X3143" t="str">
            <v>EST MESA LATERAL ORELHA DE PAU (IMBUIA) (PEROBA DO CAMPO) - 0,5x0,5x0,7H</v>
          </cell>
          <cell r="Y3143">
            <v>0</v>
          </cell>
          <cell r="Z3143">
            <v>0</v>
          </cell>
          <cell r="AA3143">
            <v>0</v>
          </cell>
          <cell r="AB3143"/>
        </row>
        <row r="3144">
          <cell r="C3144">
            <v>0</v>
          </cell>
          <cell r="D3144">
            <v>0</v>
          </cell>
          <cell r="E3144">
            <v>0</v>
          </cell>
          <cell r="F3144">
            <v>0</v>
          </cell>
          <cell r="H3144">
            <v>0</v>
          </cell>
          <cell r="O3144">
            <v>371722</v>
          </cell>
          <cell r="P3144"/>
          <cell r="Q3144" t="str">
            <v>EST CADEIRA RE (PEROBA DO CAMPO) COURO CAMURCA VERDE</v>
          </cell>
          <cell r="R3144"/>
          <cell r="S3144"/>
          <cell r="T3144">
            <v>0.55000000000000004</v>
          </cell>
          <cell r="U3144">
            <v>0.5</v>
          </cell>
          <cell r="V3144">
            <v>0.78</v>
          </cell>
          <cell r="W3144">
            <v>0</v>
          </cell>
          <cell r="X3144" t="str">
            <v>EST CADEIRA RE (PEROBA DO CAMPO) COURO CAMURCA VERDE - 0,55x0,5x0,78H</v>
          </cell>
          <cell r="Y3144">
            <v>0</v>
          </cell>
          <cell r="Z3144">
            <v>0</v>
          </cell>
          <cell r="AA3144">
            <v>0</v>
          </cell>
          <cell r="AB3144"/>
        </row>
        <row r="3145">
          <cell r="C3145">
            <v>0</v>
          </cell>
          <cell r="D3145">
            <v>0</v>
          </cell>
          <cell r="E3145">
            <v>0</v>
          </cell>
          <cell r="F3145">
            <v>0</v>
          </cell>
          <cell r="H3145">
            <v>1</v>
          </cell>
          <cell r="O3145">
            <v>371724</v>
          </cell>
          <cell r="P3145"/>
          <cell r="Q3145" t="str">
            <v>EST POLTRONA DINA (FREIJO NATURAL) COURO CAMURCA VERDE</v>
          </cell>
          <cell r="R3145"/>
          <cell r="S3145"/>
          <cell r="T3145">
            <v>0.65</v>
          </cell>
          <cell r="U3145">
            <v>0.75</v>
          </cell>
          <cell r="V3145">
            <v>0.67</v>
          </cell>
          <cell r="W3145">
            <v>0</v>
          </cell>
          <cell r="X3145" t="str">
            <v>EST POLTRONA DINA (FREIJO NATURAL) COURO CAMURCA VERDE - 0,65x0,75x0,67H</v>
          </cell>
          <cell r="Y3145">
            <v>0</v>
          </cell>
          <cell r="Z3145">
            <v>0</v>
          </cell>
          <cell r="AA3145">
            <v>0</v>
          </cell>
          <cell r="AB3145"/>
        </row>
        <row r="3146">
          <cell r="C3146">
            <v>0</v>
          </cell>
          <cell r="D3146">
            <v>0</v>
          </cell>
          <cell r="E3146">
            <v>0</v>
          </cell>
          <cell r="F3146">
            <v>0</v>
          </cell>
          <cell r="H3146">
            <v>4</v>
          </cell>
          <cell r="O3146">
            <v>371727</v>
          </cell>
          <cell r="P3146"/>
          <cell r="Q3146" t="str">
            <v>EST CADEIRA PATIO (MAD B IMBUIA) COURO IMPORT 55</v>
          </cell>
          <cell r="R3146"/>
          <cell r="S3146"/>
          <cell r="T3146">
            <v>0.51</v>
          </cell>
          <cell r="U3146">
            <v>0.46</v>
          </cell>
          <cell r="V3146">
            <v>0.78</v>
          </cell>
          <cell r="W3146">
            <v>0</v>
          </cell>
          <cell r="X3146" t="str">
            <v>EST CADEIRA PATIO (MAD B IMBUIA) COURO IMPORT 55 - 0,51x0,46x0,78H</v>
          </cell>
          <cell r="Y3146">
            <v>0</v>
          </cell>
          <cell r="Z3146">
            <v>0.5</v>
          </cell>
          <cell r="AA3146">
            <v>0</v>
          </cell>
          <cell r="AB3146"/>
        </row>
        <row r="3147">
          <cell r="C3147">
            <v>0</v>
          </cell>
          <cell r="D3147">
            <v>0</v>
          </cell>
          <cell r="E3147">
            <v>0</v>
          </cell>
          <cell r="F3147">
            <v>0</v>
          </cell>
          <cell r="H3147">
            <v>4</v>
          </cell>
          <cell r="O3147">
            <v>371728</v>
          </cell>
          <cell r="P3147"/>
          <cell r="Q3147" t="str">
            <v>EST CADEIRA PRIMA (MAD A TAUARI POA) COURO CAMURCA CASTANHO</v>
          </cell>
          <cell r="R3147"/>
          <cell r="S3147"/>
          <cell r="T3147">
            <v>0.53</v>
          </cell>
          <cell r="U3147">
            <v>0.59</v>
          </cell>
          <cell r="V3147">
            <v>0.63</v>
          </cell>
          <cell r="W3147">
            <v>0</v>
          </cell>
          <cell r="X3147" t="str">
            <v>EST CADEIRA PRIMA (MAD A TAUARI POA) COURO CAMURCA CASTANHO - 0,53x0,59x0,63H</v>
          </cell>
          <cell r="Y3147">
            <v>0</v>
          </cell>
          <cell r="Z3147">
            <v>0</v>
          </cell>
          <cell r="AA3147">
            <v>0</v>
          </cell>
          <cell r="AB3147"/>
        </row>
        <row r="3148">
          <cell r="C3148">
            <v>0</v>
          </cell>
          <cell r="D3148">
            <v>0</v>
          </cell>
          <cell r="E3148">
            <v>0</v>
          </cell>
          <cell r="F3148">
            <v>0</v>
          </cell>
          <cell r="H3148">
            <v>0</v>
          </cell>
          <cell r="O3148">
            <v>372491</v>
          </cell>
          <cell r="P3148"/>
          <cell r="Q3148" t="str">
            <v>EST TAMPO GELSOMINA OVAL (G3-YUMA LEVIG) (BORDA DUP)</v>
          </cell>
          <cell r="R3148"/>
          <cell r="S3148"/>
          <cell r="T3148">
            <v>2.6</v>
          </cell>
          <cell r="U3148">
            <v>1.2</v>
          </cell>
          <cell r="V3148">
            <v>0.02</v>
          </cell>
          <cell r="W3148">
            <v>0</v>
          </cell>
          <cell r="X3148" t="str">
            <v>EST TAMPO GELSOMINA OVAL (G3-YUMA LEVIG) (BORDA DUP) - 2,6x1,2x0,02H</v>
          </cell>
          <cell r="Y3148">
            <v>0</v>
          </cell>
          <cell r="Z3148">
            <v>0</v>
          </cell>
          <cell r="AA3148">
            <v>0</v>
          </cell>
          <cell r="AB3148"/>
        </row>
        <row r="3149">
          <cell r="C3149">
            <v>0</v>
          </cell>
          <cell r="D3149">
            <v>0</v>
          </cell>
          <cell r="E3149">
            <v>0</v>
          </cell>
          <cell r="F3149">
            <v>0</v>
          </cell>
          <cell r="H3149">
            <v>0</v>
          </cell>
          <cell r="O3149">
            <v>372570</v>
          </cell>
          <cell r="P3149"/>
          <cell r="Q3149" t="str">
            <v>EST BANCO OTTO (PRETO FOSCO) (FREIJO) TC EL LUDA 09 LINEN</v>
          </cell>
          <cell r="R3149"/>
          <cell r="S3149"/>
          <cell r="T3149">
            <v>1.81</v>
          </cell>
          <cell r="U3149">
            <v>0.62</v>
          </cell>
          <cell r="V3149">
            <v>0.4</v>
          </cell>
          <cell r="W3149">
            <v>0</v>
          </cell>
          <cell r="X3149" t="str">
            <v>EST BANCO OTTO (PRETO FOSCO) (FREIJO) TC EL LUDA 09 LINEN - 1,81x0,62x0,4H</v>
          </cell>
          <cell r="Y3149">
            <v>0</v>
          </cell>
          <cell r="Z3149">
            <v>0</v>
          </cell>
          <cell r="AA3149">
            <v>0</v>
          </cell>
          <cell r="AB3149"/>
        </row>
        <row r="3150">
          <cell r="C3150">
            <v>0</v>
          </cell>
          <cell r="D3150">
            <v>0</v>
          </cell>
          <cell r="E3150">
            <v>0</v>
          </cell>
          <cell r="F3150">
            <v>0</v>
          </cell>
          <cell r="H3150">
            <v>0</v>
          </cell>
          <cell r="O3150">
            <v>372587</v>
          </cell>
          <cell r="P3150"/>
          <cell r="Q3150" t="str">
            <v>EST TAMPO CRISTAL LAPIDADO (10MM) INCOLOR RETILINEO</v>
          </cell>
          <cell r="R3150"/>
          <cell r="S3150"/>
          <cell r="T3150">
            <v>1.6</v>
          </cell>
          <cell r="U3150">
            <v>0.8</v>
          </cell>
          <cell r="V3150">
            <v>0.01</v>
          </cell>
          <cell r="W3150">
            <v>0</v>
          </cell>
          <cell r="X3150" t="str">
            <v>EST TAMPO CRISTAL LAPIDADO (10MM) INCOLOR RETILINEO - 1,6x0,8x0,01H</v>
          </cell>
          <cell r="Y3150">
            <v>0</v>
          </cell>
          <cell r="Z3150">
            <v>0.5</v>
          </cell>
          <cell r="AA3150">
            <v>0</v>
          </cell>
          <cell r="AB3150"/>
        </row>
        <row r="3151">
          <cell r="C3151">
            <v>0</v>
          </cell>
          <cell r="D3151">
            <v>0</v>
          </cell>
          <cell r="E3151">
            <v>0</v>
          </cell>
          <cell r="F3151">
            <v>0</v>
          </cell>
          <cell r="H3151">
            <v>2</v>
          </cell>
          <cell r="O3151">
            <v>372918</v>
          </cell>
          <cell r="P3151"/>
          <cell r="Q3151" t="str">
            <v>EST POLTRONA DODO BAIXA (FREIJO NATURAL) (COURO IMPORT 68)</v>
          </cell>
          <cell r="R3151"/>
          <cell r="S3151"/>
          <cell r="T3151">
            <v>0.72</v>
          </cell>
          <cell r="U3151">
            <v>0.96</v>
          </cell>
          <cell r="V3151">
            <v>0.75</v>
          </cell>
          <cell r="W3151">
            <v>0</v>
          </cell>
          <cell r="X3151" t="str">
            <v>EST POLTRONA DODO BAIXA (FREIJO NATURAL) (COURO IMPORT 68) - 0,72x0,96x0,75H</v>
          </cell>
          <cell r="Y3151">
            <v>0</v>
          </cell>
          <cell r="Z3151">
            <v>0</v>
          </cell>
          <cell r="AA3151">
            <v>0</v>
          </cell>
          <cell r="AB3151"/>
        </row>
        <row r="3152">
          <cell r="C3152">
            <v>0</v>
          </cell>
          <cell r="D3152">
            <v>0</v>
          </cell>
          <cell r="E3152">
            <v>0</v>
          </cell>
          <cell r="F3152">
            <v>0</v>
          </cell>
          <cell r="H3152">
            <v>1</v>
          </cell>
          <cell r="O3152">
            <v>373242</v>
          </cell>
          <cell r="P3152"/>
          <cell r="Q3152" t="str">
            <v>EST MODULO MESA LATERAL PLATAFORMA (PT FSC) BC 15CM</v>
          </cell>
          <cell r="R3152"/>
          <cell r="S3152"/>
          <cell r="T3152">
            <v>0.45</v>
          </cell>
          <cell r="U3152">
            <v>0</v>
          </cell>
          <cell r="V3152">
            <v>0.56000000000000005</v>
          </cell>
          <cell r="W3152">
            <v>0.45</v>
          </cell>
          <cell r="X3152" t="str">
            <v>EST MODULO MESA LATERAL PLATAFORMA (PT FSC) BC 15CM - Ø0,45x0,56H</v>
          </cell>
          <cell r="Y3152">
            <v>0</v>
          </cell>
          <cell r="Z3152">
            <v>0.5</v>
          </cell>
          <cell r="AA3152">
            <v>0</v>
          </cell>
          <cell r="AB3152"/>
        </row>
        <row r="3153">
          <cell r="C3153">
            <v>0</v>
          </cell>
          <cell r="D3153">
            <v>0</v>
          </cell>
          <cell r="E3153">
            <v>0</v>
          </cell>
          <cell r="F3153">
            <v>0</v>
          </cell>
          <cell r="H3153">
            <v>2</v>
          </cell>
          <cell r="O3153">
            <v>373243</v>
          </cell>
          <cell r="P3153"/>
          <cell r="Q3153" t="str">
            <v>EST MODULO MESA LATERAL PLATAFORMA (PT FSC) BC 20CM</v>
          </cell>
          <cell r="R3153"/>
          <cell r="S3153"/>
          <cell r="T3153">
            <v>0.45</v>
          </cell>
          <cell r="U3153">
            <v>0</v>
          </cell>
          <cell r="V3153">
            <v>0.56000000000000005</v>
          </cell>
          <cell r="W3153">
            <v>0.45</v>
          </cell>
          <cell r="X3153" t="str">
            <v>EST MODULO MESA LATERAL PLATAFORMA (PT FSC) BC 20CM - Ø0,45x0,56H</v>
          </cell>
          <cell r="Y3153">
            <v>0</v>
          </cell>
          <cell r="Z3153">
            <v>0.5</v>
          </cell>
          <cell r="AA3153">
            <v>0</v>
          </cell>
          <cell r="AB3153"/>
        </row>
        <row r="3154">
          <cell r="C3154">
            <v>0</v>
          </cell>
          <cell r="D3154">
            <v>0</v>
          </cell>
          <cell r="E3154">
            <v>0</v>
          </cell>
          <cell r="F3154">
            <v>0</v>
          </cell>
          <cell r="H3154">
            <v>3</v>
          </cell>
          <cell r="O3154">
            <v>373244</v>
          </cell>
          <cell r="P3154"/>
          <cell r="Q3154" t="str">
            <v>EST MODULO LUMINARIA PLATAFORMA (PT FSC) (GLOBO JATEADO)</v>
          </cell>
          <cell r="R3154"/>
          <cell r="S3154"/>
          <cell r="T3154">
            <v>0.32</v>
          </cell>
          <cell r="U3154">
            <v>0.2</v>
          </cell>
          <cell r="V3154">
            <v>1.65</v>
          </cell>
          <cell r="W3154">
            <v>0</v>
          </cell>
          <cell r="X3154" t="str">
            <v>EST MODULO LUMINARIA PLATAFORMA (PT FSC) (GLOBO JATEADO) - 0,32x0,2x1,65H</v>
          </cell>
          <cell r="Y3154">
            <v>0</v>
          </cell>
          <cell r="Z3154">
            <v>0.5</v>
          </cell>
          <cell r="AA3154">
            <v>0</v>
          </cell>
          <cell r="AB3154"/>
        </row>
        <row r="3155">
          <cell r="C3155">
            <v>0</v>
          </cell>
          <cell r="D3155">
            <v>0</v>
          </cell>
          <cell r="E3155">
            <v>0</v>
          </cell>
          <cell r="F3155">
            <v>0</v>
          </cell>
          <cell r="H3155">
            <v>1</v>
          </cell>
          <cell r="O3155">
            <v>373415</v>
          </cell>
          <cell r="P3155"/>
          <cell r="Q3155" t="str">
            <v>EST SOFA OLIVO (ACO PRETO) TC EL INDIAN VELVET TEAL</v>
          </cell>
          <cell r="R3155"/>
          <cell r="S3155"/>
          <cell r="T3155">
            <v>1.25</v>
          </cell>
          <cell r="U3155">
            <v>0.84</v>
          </cell>
          <cell r="V3155">
            <v>0.7</v>
          </cell>
          <cell r="W3155">
            <v>0</v>
          </cell>
          <cell r="X3155" t="str">
            <v>EST SOFA OLIVO (ACO PRETO) TC EL INDIAN VELVET TEAL - 1,25x0,84x0,7H</v>
          </cell>
          <cell r="Y3155">
            <v>0</v>
          </cell>
          <cell r="Z3155">
            <v>0.35</v>
          </cell>
          <cell r="AA3155">
            <v>0</v>
          </cell>
          <cell r="AB3155"/>
        </row>
        <row r="3156">
          <cell r="C3156">
            <v>0</v>
          </cell>
          <cell r="D3156">
            <v>0</v>
          </cell>
          <cell r="E3156">
            <v>0</v>
          </cell>
          <cell r="F3156">
            <v>0</v>
          </cell>
          <cell r="H3156">
            <v>1</v>
          </cell>
          <cell r="O3156">
            <v>373416</v>
          </cell>
          <cell r="P3156"/>
          <cell r="Q3156" t="str">
            <v>EST SOFA OLIVO (ACO PRETO) TC EL INDIAN VELVET TEAL</v>
          </cell>
          <cell r="R3156"/>
          <cell r="S3156"/>
          <cell r="T3156">
            <v>1.85</v>
          </cell>
          <cell r="U3156">
            <v>0.84</v>
          </cell>
          <cell r="V3156">
            <v>0.7</v>
          </cell>
          <cell r="W3156">
            <v>0</v>
          </cell>
          <cell r="X3156" t="str">
            <v>EST SOFA OLIVO (ACO PRETO) TC EL INDIAN VELVET TEAL - 1,85x0,84x0,7H</v>
          </cell>
          <cell r="Y3156">
            <v>0</v>
          </cell>
          <cell r="Z3156">
            <v>0.35</v>
          </cell>
          <cell r="AA3156">
            <v>0</v>
          </cell>
          <cell r="AB3156"/>
        </row>
        <row r="3157">
          <cell r="C3157">
            <v>0</v>
          </cell>
          <cell r="D3157">
            <v>0</v>
          </cell>
          <cell r="E3157">
            <v>0</v>
          </cell>
          <cell r="F3157">
            <v>0</v>
          </cell>
          <cell r="H3157">
            <v>1</v>
          </cell>
          <cell r="O3157">
            <v>373443</v>
          </cell>
          <cell r="P3157"/>
          <cell r="Q3157" t="str">
            <v>EST POLTRONA VENTURA (PEROBA DO CAMPO) COURO FIRENZE ALECRIM</v>
          </cell>
          <cell r="R3157"/>
          <cell r="S3157"/>
          <cell r="T3157">
            <v>0.8</v>
          </cell>
          <cell r="U3157">
            <v>0.65</v>
          </cell>
          <cell r="V3157">
            <v>0.73</v>
          </cell>
          <cell r="W3157">
            <v>0</v>
          </cell>
          <cell r="X3157" t="str">
            <v>EST POLTRONA VENTURA (PEROBA DO CAMPO) COURO FIRENZE ALECRIM - 0,8x0,65x0,73H</v>
          </cell>
          <cell r="Y3157">
            <v>0</v>
          </cell>
          <cell r="Z3157">
            <v>0</v>
          </cell>
          <cell r="AA3157">
            <v>0</v>
          </cell>
          <cell r="AB3157"/>
        </row>
        <row r="3158">
          <cell r="C3158">
            <v>0</v>
          </cell>
          <cell r="D3158">
            <v>0</v>
          </cell>
          <cell r="E3158">
            <v>0</v>
          </cell>
          <cell r="F3158">
            <v>0</v>
          </cell>
          <cell r="H3158">
            <v>2</v>
          </cell>
          <cell r="O3158">
            <v>373601</v>
          </cell>
          <cell r="P3158"/>
          <cell r="Q3158" t="str">
            <v>EST COMPONENTE ESTOFADO POLTRONA RESGATE (TC ENIS INDIGO)</v>
          </cell>
          <cell r="R3158"/>
          <cell r="S3158"/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 t="str">
            <v>EST COMPONENTE ESTOFADO POLTRONA RESGATE (TC ENIS INDIGO) - Ø0x0H</v>
          </cell>
          <cell r="Y3158">
            <v>0</v>
          </cell>
          <cell r="Z3158">
            <v>0</v>
          </cell>
          <cell r="AA3158">
            <v>0</v>
          </cell>
          <cell r="AB3158"/>
        </row>
        <row r="3159">
          <cell r="C3159">
            <v>0</v>
          </cell>
          <cell r="D3159">
            <v>0</v>
          </cell>
          <cell r="E3159">
            <v>0</v>
          </cell>
          <cell r="F3159">
            <v>0</v>
          </cell>
          <cell r="H3159">
            <v>0</v>
          </cell>
          <cell r="O3159">
            <v>373850</v>
          </cell>
          <cell r="P3159"/>
          <cell r="Q3159" t="str">
            <v>EST CADEIRA IC01 (POLIETILENO) (PRETA)</v>
          </cell>
          <cell r="R3159"/>
          <cell r="S3159"/>
          <cell r="T3159">
            <v>0.56000000000000005</v>
          </cell>
          <cell r="U3159">
            <v>0.46</v>
          </cell>
          <cell r="V3159">
            <v>0.78</v>
          </cell>
          <cell r="W3159">
            <v>0</v>
          </cell>
          <cell r="X3159" t="str">
            <v>EST CADEIRA IC01 (POLIETILENO) (PRETA) - 0,56x0,46x0,78H</v>
          </cell>
          <cell r="Y3159">
            <v>0</v>
          </cell>
          <cell r="Z3159">
            <v>0</v>
          </cell>
          <cell r="AA3159">
            <v>0</v>
          </cell>
          <cell r="AB3159"/>
        </row>
        <row r="3160">
          <cell r="C3160">
            <v>0</v>
          </cell>
          <cell r="D3160">
            <v>0</v>
          </cell>
          <cell r="E3160">
            <v>0</v>
          </cell>
          <cell r="F3160">
            <v>0</v>
          </cell>
          <cell r="H3160">
            <v>0</v>
          </cell>
          <cell r="O3160">
            <v>374099</v>
          </cell>
          <cell r="P3160"/>
          <cell r="Q3160" t="str">
            <v>EST CADEIRA OMAR OFFICE C/R (MAD B FREIJO BROWN) IMPORT 300</v>
          </cell>
          <cell r="R3160"/>
          <cell r="S3160"/>
          <cell r="T3160">
            <v>0.54</v>
          </cell>
          <cell r="U3160">
            <v>0.56999999999999995</v>
          </cell>
          <cell r="V3160">
            <v>0.83</v>
          </cell>
          <cell r="W3160">
            <v>0</v>
          </cell>
          <cell r="X3160" t="str">
            <v>EST CADEIRA OMAR OFFICE C/R (MAD B FREIJO BROWN) IMPORT 300 - 0,54x0,57x0,83H</v>
          </cell>
          <cell r="Y3160">
            <v>0</v>
          </cell>
          <cell r="Z3160">
            <v>0.5</v>
          </cell>
          <cell r="AA3160">
            <v>0</v>
          </cell>
          <cell r="AB3160"/>
        </row>
        <row r="3161">
          <cell r="C3161">
            <v>0</v>
          </cell>
          <cell r="D3161">
            <v>0</v>
          </cell>
          <cell r="E3161">
            <v>0</v>
          </cell>
          <cell r="F3161">
            <v>0</v>
          </cell>
          <cell r="H3161">
            <v>0</v>
          </cell>
          <cell r="O3161">
            <v>374262</v>
          </cell>
          <cell r="P3161"/>
          <cell r="Q3161" t="str">
            <v>EST COMPONENTE ESTOFADO POLTRONA RESGATE (TC NAPLES MOSS)</v>
          </cell>
          <cell r="R3161"/>
          <cell r="S3161"/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 t="str">
            <v>EST COMPONENTE ESTOFADO POLTRONA RESGATE (TC NAPLES MOSS) - Ø0x0H</v>
          </cell>
          <cell r="Y3161">
            <v>0</v>
          </cell>
          <cell r="Z3161">
            <v>0.5</v>
          </cell>
          <cell r="AA3161">
            <v>0</v>
          </cell>
          <cell r="AB3161"/>
        </row>
        <row r="3162">
          <cell r="C3162">
            <v>0</v>
          </cell>
          <cell r="D3162">
            <v>0</v>
          </cell>
          <cell r="E3162">
            <v>0</v>
          </cell>
          <cell r="F3162">
            <v>0</v>
          </cell>
          <cell r="H3162">
            <v>1</v>
          </cell>
          <cell r="O3162">
            <v>374343</v>
          </cell>
          <cell r="P3162"/>
          <cell r="Q3162" t="str">
            <v>EST CADEIRA CA-02 (MAD A JEQ TABACO) COURO IMPORT 300</v>
          </cell>
          <cell r="R3162"/>
          <cell r="S3162"/>
          <cell r="T3162">
            <v>0.47</v>
          </cell>
          <cell r="U3162">
            <v>0.49</v>
          </cell>
          <cell r="V3162">
            <v>0.83</v>
          </cell>
          <cell r="W3162">
            <v>0</v>
          </cell>
          <cell r="X3162" t="str">
            <v>EST CADEIRA CA-02 (MAD A JEQ TABACO) COURO IMPORT 300 - 0,47x0,49x0,83H</v>
          </cell>
          <cell r="Y3162">
            <v>0</v>
          </cell>
          <cell r="Z3162">
            <v>0</v>
          </cell>
          <cell r="AA3162">
            <v>0</v>
          </cell>
          <cell r="AB3162"/>
        </row>
        <row r="3163">
          <cell r="C3163">
            <v>0</v>
          </cell>
          <cell r="D3163">
            <v>0</v>
          </cell>
          <cell r="E3163">
            <v>0</v>
          </cell>
          <cell r="F3163">
            <v>0</v>
          </cell>
          <cell r="H3163">
            <v>1</v>
          </cell>
          <cell r="O3163">
            <v>377211</v>
          </cell>
          <cell r="P3163"/>
          <cell r="Q3163" t="str">
            <v>EST CHAISE LUIZA FREIJO (1362 LO202 CRU) (ALM 1575 CB279 33)</v>
          </cell>
          <cell r="R3163"/>
          <cell r="S3163"/>
          <cell r="T3163">
            <v>0.67</v>
          </cell>
          <cell r="U3163">
            <v>1.1000000000000001</v>
          </cell>
          <cell r="V3163">
            <v>0.85</v>
          </cell>
          <cell r="W3163">
            <v>0</v>
          </cell>
          <cell r="X3163" t="str">
            <v>EST CHAISE LUIZA FREIJO (1362 LO202 CRU) (ALM 1575 CB279 33) - 0,67x1,1x0,85H</v>
          </cell>
          <cell r="Y3163">
            <v>0</v>
          </cell>
          <cell r="Z3163">
            <v>0</v>
          </cell>
          <cell r="AA3163">
            <v>0</v>
          </cell>
          <cell r="AB3163"/>
        </row>
        <row r="3164">
          <cell r="C3164">
            <v>0</v>
          </cell>
          <cell r="D3164">
            <v>0</v>
          </cell>
          <cell r="E3164">
            <v>0</v>
          </cell>
          <cell r="F3164">
            <v>0</v>
          </cell>
          <cell r="H3164">
            <v>1</v>
          </cell>
          <cell r="O3164">
            <v>377213</v>
          </cell>
          <cell r="P3164"/>
          <cell r="Q3164" t="str">
            <v>EST BANQUETA LUIZA FREIJO (1362 LO202 CRU-ALM 1575CB279 33)</v>
          </cell>
          <cell r="R3164"/>
          <cell r="S3164"/>
          <cell r="T3164">
            <v>0.64</v>
          </cell>
          <cell r="U3164">
            <v>0.5</v>
          </cell>
          <cell r="V3164">
            <v>0.37</v>
          </cell>
          <cell r="W3164">
            <v>0</v>
          </cell>
          <cell r="X3164" t="str">
            <v>EST BANQUETA LUIZA FREIJO (1362 LO202 CRU-ALM 1575CB279 33) - 0,64x0,5x0,37H</v>
          </cell>
          <cell r="Y3164">
            <v>0</v>
          </cell>
          <cell r="Z3164">
            <v>0</v>
          </cell>
          <cell r="AA3164">
            <v>0</v>
          </cell>
          <cell r="AB3164"/>
        </row>
        <row r="3165">
          <cell r="C3165">
            <v>0</v>
          </cell>
          <cell r="D3165">
            <v>0</v>
          </cell>
          <cell r="E3165">
            <v>0</v>
          </cell>
          <cell r="F3165">
            <v>0</v>
          </cell>
          <cell r="H3165">
            <v>0</v>
          </cell>
          <cell r="O3165">
            <v>377215</v>
          </cell>
          <cell r="P3165"/>
          <cell r="Q3165" t="str">
            <v>EST POLTRONA ARBATAX C/B (FREIJO NT) (BEGE) TC GALLIA MUSGO</v>
          </cell>
          <cell r="R3165"/>
          <cell r="S3165"/>
          <cell r="T3165">
            <v>0.74</v>
          </cell>
          <cell r="U3165">
            <v>0.72</v>
          </cell>
          <cell r="V3165">
            <v>0.7</v>
          </cell>
          <cell r="W3165">
            <v>0</v>
          </cell>
          <cell r="X3165" t="str">
            <v>EST POLTRONA ARBATAX C/B (FREIJO NT) (BEGE) TC GALLIA MUSGO - 0,74x0,72x0,7H</v>
          </cell>
          <cell r="Y3165">
            <v>0</v>
          </cell>
          <cell r="Z3165">
            <v>0.5</v>
          </cell>
          <cell r="AA3165">
            <v>0</v>
          </cell>
          <cell r="AB3165"/>
        </row>
        <row r="3166">
          <cell r="C3166">
            <v>0</v>
          </cell>
          <cell r="D3166">
            <v>0</v>
          </cell>
          <cell r="E3166">
            <v>0</v>
          </cell>
          <cell r="F3166">
            <v>0</v>
          </cell>
          <cell r="H3166">
            <v>0</v>
          </cell>
          <cell r="O3166">
            <v>377265</v>
          </cell>
          <cell r="P3166"/>
          <cell r="Q3166" t="str">
            <v>EST POLTRONA DUDA (FREIJO NT) COURO NOBUCK VERDE</v>
          </cell>
          <cell r="R3166"/>
          <cell r="S3166"/>
          <cell r="T3166">
            <v>0.84</v>
          </cell>
          <cell r="U3166">
            <v>0.84</v>
          </cell>
          <cell r="V3166">
            <v>0.73</v>
          </cell>
          <cell r="W3166">
            <v>0</v>
          </cell>
          <cell r="X3166" t="str">
            <v>EST POLTRONA DUDA (FREIJO NT) COURO NOBUCK VERDE - 0,84x0,84x0,73H</v>
          </cell>
          <cell r="Y3166">
            <v>0</v>
          </cell>
          <cell r="Z3166">
            <v>0.5</v>
          </cell>
          <cell r="AA3166">
            <v>0</v>
          </cell>
          <cell r="AB3166"/>
        </row>
        <row r="3167">
          <cell r="C3167">
            <v>0</v>
          </cell>
          <cell r="D3167">
            <v>0</v>
          </cell>
          <cell r="E3167">
            <v>0</v>
          </cell>
          <cell r="F3167">
            <v>0</v>
          </cell>
          <cell r="H3167">
            <v>2</v>
          </cell>
          <cell r="O3167">
            <v>377267</v>
          </cell>
          <cell r="P3167"/>
          <cell r="Q3167" t="str">
            <v>EST BANQUETA BAR GILDA H60 (FREIJO NATURAL)</v>
          </cell>
          <cell r="R3167"/>
          <cell r="S3167"/>
          <cell r="T3167">
            <v>0.4</v>
          </cell>
          <cell r="U3167">
            <v>0.45</v>
          </cell>
          <cell r="V3167">
            <v>0.62</v>
          </cell>
          <cell r="W3167">
            <v>0</v>
          </cell>
          <cell r="X3167" t="str">
            <v>EST BANQUETA BAR GILDA H60 (FREIJO NATURAL) - 0,4x0,45x0,62H</v>
          </cell>
          <cell r="Y3167">
            <v>0</v>
          </cell>
          <cell r="Z3167">
            <v>0</v>
          </cell>
          <cell r="AA3167">
            <v>0</v>
          </cell>
          <cell r="AB3167"/>
        </row>
        <row r="3168">
          <cell r="C3168">
            <v>0</v>
          </cell>
          <cell r="D3168">
            <v>0</v>
          </cell>
          <cell r="E3168">
            <v>0</v>
          </cell>
          <cell r="F3168">
            <v>0</v>
          </cell>
          <cell r="H3168">
            <v>1</v>
          </cell>
          <cell r="O3168">
            <v>377269</v>
          </cell>
          <cell r="P3168"/>
          <cell r="Q3168" t="str">
            <v>EST BANCO VALENTE (PEROBA DO CAMPO)</v>
          </cell>
          <cell r="R3168"/>
          <cell r="S3168"/>
          <cell r="T3168">
            <v>2.5</v>
          </cell>
          <cell r="U3168">
            <v>0.45</v>
          </cell>
          <cell r="V3168">
            <v>0.38</v>
          </cell>
          <cell r="W3168">
            <v>0</v>
          </cell>
          <cell r="X3168" t="str">
            <v>EST BANCO VALENTE (PEROBA DO CAMPO) - 2,5x0,45x0,38H</v>
          </cell>
          <cell r="Y3168">
            <v>0</v>
          </cell>
          <cell r="Z3168">
            <v>0</v>
          </cell>
          <cell r="AA3168">
            <v>0</v>
          </cell>
          <cell r="AB3168"/>
        </row>
        <row r="3169">
          <cell r="C3169">
            <v>0</v>
          </cell>
          <cell r="D3169">
            <v>0</v>
          </cell>
          <cell r="E3169">
            <v>0</v>
          </cell>
          <cell r="F3169">
            <v>0</v>
          </cell>
          <cell r="H3169">
            <v>3</v>
          </cell>
          <cell r="O3169">
            <v>377272</v>
          </cell>
          <cell r="P3169"/>
          <cell r="Q3169" t="str">
            <v>EST CADEIRA PEDRO (FREIJO NT) TC LINHO GALLIA NATURAL</v>
          </cell>
          <cell r="R3169"/>
          <cell r="S3169"/>
          <cell r="T3169">
            <v>0.5</v>
          </cell>
          <cell r="U3169">
            <v>0.45</v>
          </cell>
          <cell r="V3169">
            <v>0.73</v>
          </cell>
          <cell r="W3169">
            <v>0</v>
          </cell>
          <cell r="X3169" t="str">
            <v>EST CADEIRA PEDRO (FREIJO NT) TC LINHO GALLIA NATURAL - 0,5x0,45x0,73H</v>
          </cell>
          <cell r="Y3169">
            <v>0</v>
          </cell>
          <cell r="Z3169">
            <v>0</v>
          </cell>
          <cell r="AA3169">
            <v>0</v>
          </cell>
          <cell r="AB3169"/>
        </row>
        <row r="3170">
          <cell r="C3170">
            <v>0</v>
          </cell>
          <cell r="D3170">
            <v>0</v>
          </cell>
          <cell r="E3170">
            <v>0</v>
          </cell>
          <cell r="F3170">
            <v>0</v>
          </cell>
          <cell r="H3170">
            <v>2</v>
          </cell>
          <cell r="O3170">
            <v>377273</v>
          </cell>
          <cell r="P3170"/>
          <cell r="Q3170" t="str">
            <v>EST BANQUETA BAR PEDRO H62 (FREIJO NAT) TC GALLIA CAFE</v>
          </cell>
          <cell r="R3170"/>
          <cell r="S3170"/>
          <cell r="T3170">
            <v>0.45</v>
          </cell>
          <cell r="U3170">
            <v>0.5</v>
          </cell>
          <cell r="V3170">
            <v>0.9</v>
          </cell>
          <cell r="W3170">
            <v>0</v>
          </cell>
          <cell r="X3170" t="str">
            <v>EST BANQUETA BAR PEDRO H62 (FREIJO NAT) TC GALLIA CAFE - 0,45x0,5x0,9H</v>
          </cell>
          <cell r="Y3170">
            <v>0</v>
          </cell>
          <cell r="Z3170">
            <v>0</v>
          </cell>
          <cell r="AA3170">
            <v>0</v>
          </cell>
          <cell r="AB3170"/>
        </row>
        <row r="3171">
          <cell r="C3171">
            <v>0</v>
          </cell>
          <cell r="D3171">
            <v>0</v>
          </cell>
          <cell r="E3171">
            <v>0</v>
          </cell>
          <cell r="F3171">
            <v>0</v>
          </cell>
          <cell r="H3171">
            <v>1</v>
          </cell>
          <cell r="O3171">
            <v>377275</v>
          </cell>
          <cell r="P3171"/>
          <cell r="Q3171" t="str">
            <v>EST POLTRONA ARBATAX SB FREIJO NT SOLETA BEGE/CAMURCA VERDE</v>
          </cell>
          <cell r="R3171"/>
          <cell r="S3171"/>
          <cell r="T3171">
            <v>0.72</v>
          </cell>
          <cell r="U3171">
            <v>0.74</v>
          </cell>
          <cell r="V3171">
            <v>0.7</v>
          </cell>
          <cell r="W3171">
            <v>0</v>
          </cell>
          <cell r="X3171" t="str">
            <v>EST POLTRONA ARBATAX SB FREIJO NT SOLETA BEGE/CAMURCA VERDE - 0,72x0,74x0,7H</v>
          </cell>
          <cell r="Y3171">
            <v>0</v>
          </cell>
          <cell r="Z3171">
            <v>0</v>
          </cell>
          <cell r="AA3171">
            <v>0</v>
          </cell>
          <cell r="AB3171"/>
        </row>
        <row r="3172">
          <cell r="C3172">
            <v>0</v>
          </cell>
          <cell r="D3172">
            <v>0</v>
          </cell>
          <cell r="E3172">
            <v>0</v>
          </cell>
          <cell r="F3172">
            <v>0</v>
          </cell>
          <cell r="H3172">
            <v>1</v>
          </cell>
          <cell r="O3172">
            <v>377277</v>
          </cell>
          <cell r="P3172"/>
          <cell r="Q3172" t="str">
            <v>EST POLTRONA AVIADOR (FREIJO NT) COURO FIRENZE ALECRIM</v>
          </cell>
          <cell r="R3172"/>
          <cell r="S3172"/>
          <cell r="T3172">
            <v>0.65</v>
          </cell>
          <cell r="U3172">
            <v>0.66</v>
          </cell>
          <cell r="V3172">
            <v>0.68</v>
          </cell>
          <cell r="W3172">
            <v>0</v>
          </cell>
          <cell r="X3172" t="str">
            <v>EST POLTRONA AVIADOR (FREIJO NT) COURO FIRENZE ALECRIM - 0,65x0,66x0,68H</v>
          </cell>
          <cell r="Y3172">
            <v>0</v>
          </cell>
          <cell r="Z3172">
            <v>0</v>
          </cell>
          <cell r="AA3172">
            <v>0</v>
          </cell>
          <cell r="AB3172"/>
        </row>
        <row r="3173">
          <cell r="C3173">
            <v>0</v>
          </cell>
          <cell r="D3173">
            <v>0</v>
          </cell>
          <cell r="E3173">
            <v>0</v>
          </cell>
          <cell r="F3173">
            <v>0</v>
          </cell>
          <cell r="H3173">
            <v>1</v>
          </cell>
          <cell r="O3173">
            <v>377279</v>
          </cell>
          <cell r="P3173"/>
          <cell r="Q3173" t="str">
            <v>EST POLTRONA SANTOS DUMONT (TELA NATURAL) (FREIJO NATURAL)</v>
          </cell>
          <cell r="R3173"/>
          <cell r="S3173"/>
          <cell r="T3173">
            <v>0.65</v>
          </cell>
          <cell r="U3173">
            <v>0.72</v>
          </cell>
          <cell r="V3173">
            <v>0.64</v>
          </cell>
          <cell r="W3173">
            <v>0</v>
          </cell>
          <cell r="X3173" t="str">
            <v>EST POLTRONA SANTOS DUMONT (TELA NATURAL) (FREIJO NATURAL) - 0,65x0,72x0,64H</v>
          </cell>
          <cell r="Y3173">
            <v>0</v>
          </cell>
          <cell r="Z3173">
            <v>0</v>
          </cell>
          <cell r="AA3173">
            <v>0</v>
          </cell>
          <cell r="AB3173"/>
        </row>
        <row r="3174">
          <cell r="C3174">
            <v>0</v>
          </cell>
          <cell r="D3174">
            <v>0</v>
          </cell>
          <cell r="E3174">
            <v>0</v>
          </cell>
          <cell r="F3174">
            <v>0</v>
          </cell>
          <cell r="H3174">
            <v>1</v>
          </cell>
          <cell r="O3174">
            <v>377520</v>
          </cell>
          <cell r="P3174"/>
          <cell r="Q3174" t="str">
            <v>EST POLTRONA POLTRONINHA (L.COSTA) (IMBUIA) TC MARCEL CEDRO</v>
          </cell>
          <cell r="R3174"/>
          <cell r="S3174"/>
          <cell r="T3174">
            <v>0.71</v>
          </cell>
          <cell r="U3174">
            <v>0.65</v>
          </cell>
          <cell r="V3174">
            <v>0.71</v>
          </cell>
          <cell r="W3174">
            <v>0</v>
          </cell>
          <cell r="X3174" t="str">
            <v>EST POLTRONA POLTRONINHA (L.COSTA) (IMBUIA) TC MARCEL CEDRO - 0,71x0,65x0,71H</v>
          </cell>
          <cell r="Y3174">
            <v>0</v>
          </cell>
          <cell r="Z3174">
            <v>0.5</v>
          </cell>
          <cell r="AA3174">
            <v>0</v>
          </cell>
          <cell r="AB3174"/>
        </row>
        <row r="3175">
          <cell r="C3175">
            <v>0</v>
          </cell>
          <cell r="D3175">
            <v>0</v>
          </cell>
          <cell r="E3175">
            <v>0</v>
          </cell>
          <cell r="F3175">
            <v>0</v>
          </cell>
          <cell r="H3175">
            <v>0</v>
          </cell>
          <cell r="O3175">
            <v>377521</v>
          </cell>
          <cell r="P3175"/>
          <cell r="Q3175" t="str">
            <v>EST BANQUETA BAR GB MTF600 H59 TC BOUCLE SUP TERRACOTA</v>
          </cell>
          <cell r="R3175"/>
          <cell r="S3175"/>
          <cell r="T3175">
            <v>0.35</v>
          </cell>
          <cell r="U3175">
            <v>0.4</v>
          </cell>
          <cell r="V3175">
            <v>0.7</v>
          </cell>
          <cell r="W3175">
            <v>0</v>
          </cell>
          <cell r="X3175" t="str">
            <v>EST BANQUETA BAR GB MTF600 H59 TC BOUCLE SUP TERRACOTA - 0,35x0,4x0,7H</v>
          </cell>
          <cell r="Y3175">
            <v>0</v>
          </cell>
          <cell r="Z3175">
            <v>0.5</v>
          </cell>
          <cell r="AA3175">
            <v>0</v>
          </cell>
          <cell r="AB3175"/>
        </row>
        <row r="3176">
          <cell r="C3176">
            <v>0</v>
          </cell>
          <cell r="D3176">
            <v>0</v>
          </cell>
          <cell r="E3176">
            <v>0</v>
          </cell>
          <cell r="F3176">
            <v>0</v>
          </cell>
          <cell r="H3176">
            <v>1</v>
          </cell>
          <cell r="O3176">
            <v>377527</v>
          </cell>
          <cell r="P3176"/>
          <cell r="Q3176" t="str">
            <v>EST POLTRONA POLTRONINHA (L.COSTA) (IMBUIA) COURO CH 16 VERD</v>
          </cell>
          <cell r="R3176"/>
          <cell r="S3176"/>
          <cell r="T3176">
            <v>0.71</v>
          </cell>
          <cell r="U3176">
            <v>0.65</v>
          </cell>
          <cell r="V3176">
            <v>0.71</v>
          </cell>
          <cell r="W3176">
            <v>0</v>
          </cell>
          <cell r="X3176" t="str">
            <v>EST POLTRONA POLTRONINHA (L.COSTA) (IMBUIA) COURO CH 16 VERD - 0,71x0,65x0,71H</v>
          </cell>
          <cell r="Y3176">
            <v>0</v>
          </cell>
          <cell r="Z3176">
            <v>0.5</v>
          </cell>
          <cell r="AA3176">
            <v>0</v>
          </cell>
          <cell r="AB3176"/>
        </row>
        <row r="3177">
          <cell r="C3177">
            <v>0</v>
          </cell>
          <cell r="D3177">
            <v>0</v>
          </cell>
          <cell r="E3177">
            <v>0</v>
          </cell>
          <cell r="F3177">
            <v>0</v>
          </cell>
          <cell r="H3177">
            <v>0</v>
          </cell>
          <cell r="O3177">
            <v>377570</v>
          </cell>
          <cell r="P3177"/>
          <cell r="Q3177" t="str">
            <v>EST POLTRONA POLTRONINHA (L.COSTA) (PROB TZ) COURO W HORTELA</v>
          </cell>
          <cell r="R3177"/>
          <cell r="S3177"/>
          <cell r="T3177">
            <v>0.71</v>
          </cell>
          <cell r="U3177">
            <v>0.65</v>
          </cell>
          <cell r="V3177">
            <v>0.71</v>
          </cell>
          <cell r="W3177">
            <v>0</v>
          </cell>
          <cell r="X3177" t="str">
            <v>EST POLTRONA POLTRONINHA (L.COSTA) (PROB TZ) COURO W HORTELA - 0,71x0,65x0,71H</v>
          </cell>
          <cell r="Y3177">
            <v>0</v>
          </cell>
          <cell r="Z3177">
            <v>0</v>
          </cell>
          <cell r="AA3177">
            <v>0</v>
          </cell>
          <cell r="AB3177"/>
        </row>
        <row r="3178">
          <cell r="C3178">
            <v>0</v>
          </cell>
          <cell r="D3178">
            <v>0</v>
          </cell>
          <cell r="E3178">
            <v>0</v>
          </cell>
          <cell r="F3178">
            <v>0</v>
          </cell>
          <cell r="H3178">
            <v>0</v>
          </cell>
          <cell r="O3178">
            <v>377650</v>
          </cell>
          <cell r="P3178"/>
          <cell r="Q3178" t="str">
            <v>EST POLTRONA TETE (FREIJO TONALIZADO) COURO CAMURCA VERDE</v>
          </cell>
          <cell r="R3178"/>
          <cell r="S3178"/>
          <cell r="T3178">
            <v>0.86</v>
          </cell>
          <cell r="U3178">
            <v>0.84</v>
          </cell>
          <cell r="V3178">
            <v>0.75</v>
          </cell>
          <cell r="W3178">
            <v>0</v>
          </cell>
          <cell r="X3178" t="str">
            <v>EST POLTRONA TETE (FREIJO TONALIZADO) COURO CAMURCA VERDE - 0,86x0,84x0,75H</v>
          </cell>
          <cell r="Y3178">
            <v>0</v>
          </cell>
          <cell r="Z3178">
            <v>0.5</v>
          </cell>
          <cell r="AA3178">
            <v>0</v>
          </cell>
          <cell r="AB3178"/>
        </row>
        <row r="3179">
          <cell r="C3179">
            <v>0</v>
          </cell>
          <cell r="D3179">
            <v>0</v>
          </cell>
          <cell r="E3179">
            <v>0</v>
          </cell>
          <cell r="F3179">
            <v>0</v>
          </cell>
          <cell r="H3179">
            <v>1</v>
          </cell>
          <cell r="O3179">
            <v>377660</v>
          </cell>
          <cell r="P3179"/>
          <cell r="Q3179" t="str">
            <v>EST BASE JANTAR CANELA (CIRCULAR) (FREIJO AQUARIUS)</v>
          </cell>
          <cell r="R3179"/>
          <cell r="S3179"/>
          <cell r="T3179">
            <v>1</v>
          </cell>
          <cell r="U3179">
            <v>0</v>
          </cell>
          <cell r="V3179">
            <v>0.73</v>
          </cell>
          <cell r="W3179">
            <v>1</v>
          </cell>
          <cell r="X3179" t="str">
            <v>EST BASE JANTAR CANELA (CIRCULAR) (FREIJO AQUARIUS) - Ø1x0,73H</v>
          </cell>
          <cell r="Y3179">
            <v>0</v>
          </cell>
          <cell r="Z3179">
            <v>0</v>
          </cell>
          <cell r="AA3179">
            <v>0</v>
          </cell>
          <cell r="AB3179"/>
        </row>
        <row r="3180">
          <cell r="C3180">
            <v>0</v>
          </cell>
          <cell r="D3180">
            <v>0</v>
          </cell>
          <cell r="E3180">
            <v>0</v>
          </cell>
          <cell r="F3180">
            <v>0</v>
          </cell>
          <cell r="H3180">
            <v>0</v>
          </cell>
          <cell r="O3180">
            <v>377681</v>
          </cell>
          <cell r="P3180"/>
          <cell r="Q3180" t="str">
            <v>EST MESA LATERAL SOLO (MOD 1) (G2 - RAFAELLO) (TP FREIJO)</v>
          </cell>
          <cell r="R3180"/>
          <cell r="S3180"/>
          <cell r="T3180">
            <v>0.3</v>
          </cell>
          <cell r="U3180">
            <v>0.2</v>
          </cell>
          <cell r="V3180">
            <v>0.56000000000000005</v>
          </cell>
          <cell r="W3180">
            <v>0</v>
          </cell>
          <cell r="X3180" t="str">
            <v>EST MESA LATERAL SOLO (MOD 1) (G2 - RAFAELLO) (TP FREIJO) - 0,3x0,2x0,56H</v>
          </cell>
          <cell r="Y3180">
            <v>0</v>
          </cell>
          <cell r="Z3180">
            <v>0</v>
          </cell>
          <cell r="AA3180">
            <v>0</v>
          </cell>
          <cell r="AB3180"/>
        </row>
        <row r="3181">
          <cell r="C3181">
            <v>0</v>
          </cell>
          <cell r="D3181">
            <v>0</v>
          </cell>
          <cell r="E3181">
            <v>0</v>
          </cell>
          <cell r="F3181">
            <v>0</v>
          </cell>
          <cell r="H3181">
            <v>1</v>
          </cell>
          <cell r="O3181">
            <v>377682</v>
          </cell>
          <cell r="P3181"/>
          <cell r="Q3181" t="str">
            <v>EST MESA LATERAL SOLO (MOD 2) (G2 - RAFAELLO) (TP FREIJO)</v>
          </cell>
          <cell r="R3181"/>
          <cell r="S3181"/>
          <cell r="T3181">
            <v>0.35</v>
          </cell>
          <cell r="U3181">
            <v>0.25</v>
          </cell>
          <cell r="V3181">
            <v>0.62</v>
          </cell>
          <cell r="W3181">
            <v>0</v>
          </cell>
          <cell r="X3181" t="str">
            <v>EST MESA LATERAL SOLO (MOD 2) (G2 - RAFAELLO) (TP FREIJO) - 0,35x0,25x0,62H</v>
          </cell>
          <cell r="Y3181">
            <v>0</v>
          </cell>
          <cell r="Z3181">
            <v>0</v>
          </cell>
          <cell r="AA3181">
            <v>0</v>
          </cell>
          <cell r="AB3181"/>
        </row>
        <row r="3182">
          <cell r="C3182" t="e">
            <v>#N/A</v>
          </cell>
          <cell r="D3182" t="e">
            <v>#N/A</v>
          </cell>
          <cell r="E3182" t="e">
            <v>#N/A</v>
          </cell>
          <cell r="F3182" t="e">
            <v>#N/A</v>
          </cell>
          <cell r="H3182" t="e">
            <v>#N/A</v>
          </cell>
          <cell r="O3182">
            <v>377683</v>
          </cell>
          <cell r="P3182"/>
          <cell r="Q3182" t="e">
            <v>#N/A</v>
          </cell>
          <cell r="R3182"/>
          <cell r="S3182"/>
          <cell r="T3182" t="e">
            <v>#N/A</v>
          </cell>
          <cell r="U3182" t="e">
            <v>#N/A</v>
          </cell>
          <cell r="V3182" t="e">
            <v>#N/A</v>
          </cell>
          <cell r="W3182" t="e">
            <v>#N/A</v>
          </cell>
          <cell r="X3182" t="e">
            <v>#N/A</v>
          </cell>
          <cell r="Y3182">
            <v>0</v>
          </cell>
          <cell r="Z3182">
            <v>0</v>
          </cell>
          <cell r="AA3182">
            <v>0</v>
          </cell>
          <cell r="AB3182"/>
        </row>
        <row r="3183">
          <cell r="C3183">
            <v>0</v>
          </cell>
          <cell r="D3183">
            <v>0</v>
          </cell>
          <cell r="E3183">
            <v>0</v>
          </cell>
          <cell r="F3183">
            <v>0</v>
          </cell>
          <cell r="H3183">
            <v>1</v>
          </cell>
          <cell r="O3183">
            <v>377685</v>
          </cell>
          <cell r="P3183"/>
          <cell r="Q3183" t="str">
            <v>EST MESA LATERAL SOLO (MOD 1) (G2 - RAFAELLO) (TP IMBUIA)</v>
          </cell>
          <cell r="R3183"/>
          <cell r="S3183"/>
          <cell r="T3183">
            <v>0.3</v>
          </cell>
          <cell r="U3183">
            <v>0.2</v>
          </cell>
          <cell r="V3183">
            <v>0.56000000000000005</v>
          </cell>
          <cell r="W3183">
            <v>0</v>
          </cell>
          <cell r="X3183" t="str">
            <v>EST MESA LATERAL SOLO (MOD 1) (G2 - RAFAELLO) (TP IMBUIA) - 0,3x0,2x0,56H</v>
          </cell>
          <cell r="Y3183">
            <v>0</v>
          </cell>
          <cell r="Z3183">
            <v>0</v>
          </cell>
          <cell r="AA3183">
            <v>0</v>
          </cell>
          <cell r="AB3183"/>
        </row>
        <row r="3184">
          <cell r="C3184">
            <v>0</v>
          </cell>
          <cell r="D3184">
            <v>0</v>
          </cell>
          <cell r="E3184">
            <v>0</v>
          </cell>
          <cell r="F3184">
            <v>0</v>
          </cell>
          <cell r="H3184">
            <v>2</v>
          </cell>
          <cell r="O3184">
            <v>377686</v>
          </cell>
          <cell r="P3184"/>
          <cell r="Q3184" t="str">
            <v>EST MESA LATERAL SOLO (MOD 2) (G2 - RAFAELLO) (TP IMBUIA)</v>
          </cell>
          <cell r="R3184"/>
          <cell r="S3184"/>
          <cell r="T3184">
            <v>0.35</v>
          </cell>
          <cell r="U3184">
            <v>0.25</v>
          </cell>
          <cell r="V3184">
            <v>0.62</v>
          </cell>
          <cell r="W3184">
            <v>0</v>
          </cell>
          <cell r="X3184" t="str">
            <v>EST MESA LATERAL SOLO (MOD 2) (G2 - RAFAELLO) (TP IMBUIA) - 0,35x0,25x0,62H</v>
          </cell>
          <cell r="Y3184">
            <v>0</v>
          </cell>
          <cell r="Z3184">
            <v>0</v>
          </cell>
          <cell r="AA3184">
            <v>0</v>
          </cell>
          <cell r="AB3184"/>
        </row>
        <row r="3185">
          <cell r="C3185">
            <v>0</v>
          </cell>
          <cell r="D3185">
            <v>0</v>
          </cell>
          <cell r="E3185">
            <v>0</v>
          </cell>
          <cell r="F3185">
            <v>0</v>
          </cell>
          <cell r="H3185">
            <v>1</v>
          </cell>
          <cell r="O3185">
            <v>378063</v>
          </cell>
          <cell r="P3185"/>
          <cell r="Q3185" t="str">
            <v>EST POLTRONA POLTRONINHA (L.COSTA) (IMBUIA) TC EL NOVE GREY</v>
          </cell>
          <cell r="R3185"/>
          <cell r="S3185"/>
          <cell r="T3185">
            <v>0.71</v>
          </cell>
          <cell r="U3185">
            <v>0.65</v>
          </cell>
          <cell r="V3185">
            <v>0.71</v>
          </cell>
          <cell r="W3185">
            <v>0</v>
          </cell>
          <cell r="X3185" t="str">
            <v>EST POLTRONA POLTRONINHA (L.COSTA) (IMBUIA) TC EL NOVE GREY - 0,71x0,65x0,71H</v>
          </cell>
          <cell r="Y3185">
            <v>0</v>
          </cell>
          <cell r="Z3185">
            <v>0.5</v>
          </cell>
          <cell r="AA3185">
            <v>0</v>
          </cell>
          <cell r="AB3185"/>
        </row>
        <row r="3186">
          <cell r="C3186">
            <v>0</v>
          </cell>
          <cell r="D3186">
            <v>0</v>
          </cell>
          <cell r="E3186">
            <v>0</v>
          </cell>
          <cell r="F3186">
            <v>0</v>
          </cell>
          <cell r="H3186">
            <v>1</v>
          </cell>
          <cell r="O3186">
            <v>378064</v>
          </cell>
          <cell r="P3186"/>
          <cell r="Q3186" t="str">
            <v>EST CADEIRA PATIO (MAD A JEQU 03) COURO CAMURCA VERDE</v>
          </cell>
          <cell r="R3186"/>
          <cell r="S3186"/>
          <cell r="T3186">
            <v>0.51</v>
          </cell>
          <cell r="U3186">
            <v>0.46</v>
          </cell>
          <cell r="V3186">
            <v>0.78</v>
          </cell>
          <cell r="W3186">
            <v>0</v>
          </cell>
          <cell r="X3186" t="str">
            <v>EST CADEIRA PATIO (MAD A JEQU 03) COURO CAMURCA VERDE - 0,51x0,46x0,78H</v>
          </cell>
          <cell r="Y3186">
            <v>0</v>
          </cell>
          <cell r="Z3186">
            <v>0</v>
          </cell>
          <cell r="AA3186">
            <v>0</v>
          </cell>
          <cell r="AB3186"/>
        </row>
        <row r="3187">
          <cell r="C3187">
            <v>0</v>
          </cell>
          <cell r="D3187">
            <v>0</v>
          </cell>
          <cell r="E3187">
            <v>0</v>
          </cell>
          <cell r="F3187">
            <v>0</v>
          </cell>
          <cell r="H3187">
            <v>2</v>
          </cell>
          <cell r="O3187">
            <v>378067</v>
          </cell>
          <cell r="P3187"/>
          <cell r="Q3187" t="str">
            <v>EST BANQUETA DODO (FREIJO NATURAL) (COURO IMPORT 68)</v>
          </cell>
          <cell r="R3187"/>
          <cell r="S3187"/>
          <cell r="T3187">
            <v>0.7</v>
          </cell>
          <cell r="U3187">
            <v>0.55000000000000004</v>
          </cell>
          <cell r="V3187">
            <v>0.42</v>
          </cell>
          <cell r="W3187">
            <v>0</v>
          </cell>
          <cell r="X3187" t="str">
            <v>EST BANQUETA DODO (FREIJO NATURAL) (COURO IMPORT 68) - 0,7x0,55x0,42H</v>
          </cell>
          <cell r="Y3187">
            <v>0</v>
          </cell>
          <cell r="Z3187">
            <v>0</v>
          </cell>
          <cell r="AA3187">
            <v>0</v>
          </cell>
          <cell r="AB3187"/>
        </row>
        <row r="3188">
          <cell r="C3188">
            <v>0</v>
          </cell>
          <cell r="D3188">
            <v>0</v>
          </cell>
          <cell r="E3188">
            <v>0</v>
          </cell>
          <cell r="F3188">
            <v>0</v>
          </cell>
          <cell r="H3188">
            <v>1</v>
          </cell>
          <cell r="O3188">
            <v>378220</v>
          </cell>
          <cell r="P3188"/>
          <cell r="Q3188" t="str">
            <v>EST POLTRONA JOHN GRAZ (IMBUIA) TC VINAMALA 01 MULTI</v>
          </cell>
          <cell r="R3188"/>
          <cell r="S3188"/>
          <cell r="T3188">
            <v>0.8</v>
          </cell>
          <cell r="U3188">
            <v>0.83</v>
          </cell>
          <cell r="V3188">
            <v>0.74</v>
          </cell>
          <cell r="W3188">
            <v>0</v>
          </cell>
          <cell r="X3188" t="str">
            <v>EST POLTRONA JOHN GRAZ (IMBUIA) TC VINAMALA 01 MULTI - 0,8x0,83x0,74H</v>
          </cell>
          <cell r="Y3188">
            <v>0</v>
          </cell>
          <cell r="Z3188">
            <v>0.5</v>
          </cell>
          <cell r="AA3188">
            <v>0</v>
          </cell>
          <cell r="AB3188"/>
        </row>
        <row r="3189">
          <cell r="C3189">
            <v>0</v>
          </cell>
          <cell r="D3189">
            <v>0</v>
          </cell>
          <cell r="E3189">
            <v>0</v>
          </cell>
          <cell r="F3189">
            <v>0</v>
          </cell>
          <cell r="H3189">
            <v>0</v>
          </cell>
          <cell r="O3189">
            <v>378222</v>
          </cell>
          <cell r="P3189"/>
          <cell r="Q3189" t="str">
            <v>EST POLTRONA DUDA (FREIJO TNZ 1) COURO IMPORT 300</v>
          </cell>
          <cell r="R3189"/>
          <cell r="S3189"/>
          <cell r="T3189">
            <v>0.84</v>
          </cell>
          <cell r="U3189">
            <v>0.84</v>
          </cell>
          <cell r="V3189">
            <v>0.73</v>
          </cell>
          <cell r="W3189">
            <v>0</v>
          </cell>
          <cell r="X3189" t="str">
            <v>EST POLTRONA DUDA (FREIJO TNZ 1) COURO IMPORT 300 - 0,84x0,84x0,73H</v>
          </cell>
          <cell r="Y3189">
            <v>0</v>
          </cell>
          <cell r="Z3189">
            <v>0</v>
          </cell>
          <cell r="AA3189">
            <v>0</v>
          </cell>
          <cell r="AB3189"/>
        </row>
        <row r="3190">
          <cell r="C3190">
            <v>0</v>
          </cell>
          <cell r="D3190">
            <v>0</v>
          </cell>
          <cell r="E3190">
            <v>0</v>
          </cell>
          <cell r="F3190">
            <v>0</v>
          </cell>
          <cell r="H3190">
            <v>1</v>
          </cell>
          <cell r="O3190">
            <v>378713</v>
          </cell>
          <cell r="P3190"/>
          <cell r="Q3190" t="str">
            <v>EST BANCO SONIA (MAD A COR 02) (BOTOES COR 03/PES COR 03)</v>
          </cell>
          <cell r="R3190"/>
          <cell r="S3190"/>
          <cell r="T3190">
            <v>0.4</v>
          </cell>
          <cell r="U3190">
            <v>0.42</v>
          </cell>
          <cell r="V3190">
            <v>0.39</v>
          </cell>
          <cell r="W3190">
            <v>0</v>
          </cell>
          <cell r="X3190" t="str">
            <v>EST BANCO SONIA (MAD A COR 02) (BOTOES COR 03/PES COR 03) - 0,4x0,42x0,39H</v>
          </cell>
          <cell r="Y3190">
            <v>0</v>
          </cell>
          <cell r="Z3190">
            <v>0</v>
          </cell>
          <cell r="AA3190">
            <v>0</v>
          </cell>
          <cell r="AB3190"/>
        </row>
        <row r="3191">
          <cell r="C3191">
            <v>0</v>
          </cell>
          <cell r="D3191">
            <v>0</v>
          </cell>
          <cell r="E3191">
            <v>0</v>
          </cell>
          <cell r="F3191">
            <v>0</v>
          </cell>
          <cell r="H3191">
            <v>1</v>
          </cell>
          <cell r="O3191">
            <v>378719</v>
          </cell>
          <cell r="P3191"/>
          <cell r="Q3191" t="str">
            <v>EST BASE CENTRO JOHN GRAZ (IMBUIA)</v>
          </cell>
          <cell r="R3191"/>
          <cell r="S3191"/>
          <cell r="T3191">
            <v>1.5</v>
          </cell>
          <cell r="U3191">
            <v>0.77</v>
          </cell>
          <cell r="V3191">
            <v>0.3</v>
          </cell>
          <cell r="W3191">
            <v>0</v>
          </cell>
          <cell r="X3191" t="str">
            <v>EST BASE CENTRO JOHN GRAZ (IMBUIA) - 1,5x0,77x0,3H</v>
          </cell>
          <cell r="Y3191">
            <v>0</v>
          </cell>
          <cell r="Z3191">
            <v>0.5</v>
          </cell>
          <cell r="AA3191">
            <v>0</v>
          </cell>
          <cell r="AB3191"/>
        </row>
        <row r="3192">
          <cell r="C3192">
            <v>0</v>
          </cell>
          <cell r="D3192">
            <v>0</v>
          </cell>
          <cell r="E3192">
            <v>0</v>
          </cell>
          <cell r="F3192">
            <v>0</v>
          </cell>
          <cell r="H3192">
            <v>1</v>
          </cell>
          <cell r="O3192">
            <v>378724</v>
          </cell>
          <cell r="P3192"/>
          <cell r="Q3192" t="str">
            <v>EST MESA CENTRO JOHN GRAZ (IMBUIA)</v>
          </cell>
          <cell r="R3192"/>
          <cell r="S3192"/>
          <cell r="T3192">
            <v>1.5</v>
          </cell>
          <cell r="U3192">
            <v>0.77</v>
          </cell>
          <cell r="V3192">
            <v>0.31</v>
          </cell>
          <cell r="W3192">
            <v>0</v>
          </cell>
          <cell r="X3192" t="str">
            <v>EST MESA CENTRO JOHN GRAZ (IMBUIA) - 1,5x0,77x0,31H</v>
          </cell>
          <cell r="Y3192">
            <v>0</v>
          </cell>
          <cell r="Z3192">
            <v>0.5</v>
          </cell>
          <cell r="AA3192">
            <v>0</v>
          </cell>
          <cell r="AB3192"/>
        </row>
        <row r="3193">
          <cell r="C3193">
            <v>0</v>
          </cell>
          <cell r="D3193">
            <v>0</v>
          </cell>
          <cell r="E3193">
            <v>0</v>
          </cell>
          <cell r="F3193">
            <v>0</v>
          </cell>
          <cell r="H3193">
            <v>3</v>
          </cell>
          <cell r="O3193">
            <v>378830</v>
          </cell>
          <cell r="P3193"/>
          <cell r="Q3193" t="str">
            <v>EST CAPA PROTECAO CHAISE MARESIAS (BAGUM-GRAFITE)</v>
          </cell>
          <cell r="R3193"/>
          <cell r="S3193"/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 t="str">
            <v>EST CAPA PROTECAO CHAISE MARESIAS (BAGUM-GRAFITE) - Ø0x0H</v>
          </cell>
          <cell r="Y3193">
            <v>0</v>
          </cell>
          <cell r="Z3193">
            <v>0</v>
          </cell>
          <cell r="AA3193">
            <v>0</v>
          </cell>
          <cell r="AB3193"/>
        </row>
        <row r="3194">
          <cell r="C3194">
            <v>0</v>
          </cell>
          <cell r="D3194">
            <v>0</v>
          </cell>
          <cell r="E3194">
            <v>0</v>
          </cell>
          <cell r="F3194">
            <v>0</v>
          </cell>
          <cell r="H3194">
            <v>6</v>
          </cell>
          <cell r="O3194">
            <v>379074</v>
          </cell>
          <cell r="P3194"/>
          <cell r="Q3194" t="str">
            <v>EST CADEIRA GB01 TELA (QUADRIC NT) (JEQ 03)</v>
          </cell>
          <cell r="R3194"/>
          <cell r="S3194"/>
          <cell r="T3194">
            <v>0.45</v>
          </cell>
          <cell r="U3194">
            <v>0.48</v>
          </cell>
          <cell r="V3194">
            <v>0.85</v>
          </cell>
          <cell r="W3194">
            <v>0</v>
          </cell>
          <cell r="X3194" t="str">
            <v>EST CADEIRA GB01 TELA (QUADRIC NT) (JEQ 03) - 0,45x0,48x0,85H</v>
          </cell>
          <cell r="Y3194">
            <v>0</v>
          </cell>
          <cell r="Z3194">
            <v>0</v>
          </cell>
          <cell r="AA3194">
            <v>0</v>
          </cell>
          <cell r="AB3194"/>
        </row>
        <row r="3195">
          <cell r="C3195">
            <v>0</v>
          </cell>
          <cell r="D3195">
            <v>0</v>
          </cell>
          <cell r="E3195">
            <v>0</v>
          </cell>
          <cell r="F3195">
            <v>0</v>
          </cell>
          <cell r="H3195">
            <v>1</v>
          </cell>
          <cell r="O3195">
            <v>379082</v>
          </cell>
          <cell r="P3195"/>
          <cell r="Q3195" t="str">
            <v>EST TAMPO JOHN GRAZ (SAIA 30MM) (TRAVERTINO YELLOW)</v>
          </cell>
          <cell r="R3195"/>
          <cell r="S3195"/>
          <cell r="T3195">
            <v>1.5</v>
          </cell>
          <cell r="U3195">
            <v>0.77</v>
          </cell>
          <cell r="V3195">
            <v>0.02</v>
          </cell>
          <cell r="W3195">
            <v>0</v>
          </cell>
          <cell r="X3195" t="str">
            <v>EST TAMPO JOHN GRAZ (SAIA 30MM) (TRAVERTINO YELLOW) - 1,5x0,77x0,02H</v>
          </cell>
          <cell r="Y3195">
            <v>0</v>
          </cell>
          <cell r="Z3195">
            <v>0.5</v>
          </cell>
          <cell r="AA3195">
            <v>0</v>
          </cell>
          <cell r="AB3195"/>
        </row>
        <row r="3196">
          <cell r="C3196">
            <v>0</v>
          </cell>
          <cell r="D3196">
            <v>0</v>
          </cell>
          <cell r="E3196">
            <v>0</v>
          </cell>
          <cell r="F3196">
            <v>0</v>
          </cell>
          <cell r="H3196">
            <v>1</v>
          </cell>
          <cell r="O3196">
            <v>379266</v>
          </cell>
          <cell r="P3196"/>
          <cell r="Q3196" t="str">
            <v>EST MESA CENTRO JOHN GRAZ (FREIJO)</v>
          </cell>
          <cell r="R3196"/>
          <cell r="S3196"/>
          <cell r="T3196">
            <v>1.7</v>
          </cell>
          <cell r="U3196">
            <v>0.77</v>
          </cell>
          <cell r="V3196">
            <v>0.31</v>
          </cell>
          <cell r="W3196">
            <v>0</v>
          </cell>
          <cell r="X3196" t="str">
            <v>EST MESA CENTRO JOHN GRAZ (FREIJO) - 1,7x0,77x0,31H</v>
          </cell>
          <cell r="Y3196">
            <v>0</v>
          </cell>
          <cell r="Z3196">
            <v>0</v>
          </cell>
          <cell r="AA3196">
            <v>0</v>
          </cell>
          <cell r="AB3196"/>
        </row>
        <row r="3197">
          <cell r="C3197">
            <v>0</v>
          </cell>
          <cell r="D3197">
            <v>0</v>
          </cell>
          <cell r="E3197">
            <v>0</v>
          </cell>
          <cell r="F3197">
            <v>0</v>
          </cell>
          <cell r="H3197">
            <v>0</v>
          </cell>
          <cell r="O3197">
            <v>379469</v>
          </cell>
          <cell r="P3197"/>
          <cell r="Q3197" t="str">
            <v>EST POLTRONA GIO (FREIJO TNZ 02) TC MIKA CHIVE VERDE (28)</v>
          </cell>
          <cell r="R3197"/>
          <cell r="S3197"/>
          <cell r="T3197">
            <v>0.85</v>
          </cell>
          <cell r="U3197">
            <v>0.7</v>
          </cell>
          <cell r="V3197">
            <v>1.1000000000000001</v>
          </cell>
          <cell r="W3197">
            <v>0</v>
          </cell>
          <cell r="X3197" t="str">
            <v>EST POLTRONA GIO (FREIJO TNZ 02) TC MIKA CHIVE VERDE (28) - 0,85x0,7x1,1H</v>
          </cell>
          <cell r="Y3197">
            <v>0</v>
          </cell>
          <cell r="Z3197">
            <v>0.5</v>
          </cell>
          <cell r="AA3197">
            <v>0</v>
          </cell>
          <cell r="AB3197"/>
        </row>
        <row r="3198">
          <cell r="C3198">
            <v>0</v>
          </cell>
          <cell r="D3198">
            <v>0</v>
          </cell>
          <cell r="E3198">
            <v>0</v>
          </cell>
          <cell r="F3198">
            <v>0</v>
          </cell>
          <cell r="H3198">
            <v>0</v>
          </cell>
          <cell r="O3198">
            <v>379546</v>
          </cell>
          <cell r="P3198"/>
          <cell r="Q3198" t="str">
            <v>EST MESA CENTRO JOHN GRAZ (BS FREIJO) (PEDRA G2 RAFAELLO)</v>
          </cell>
          <cell r="R3198"/>
          <cell r="S3198"/>
          <cell r="T3198">
            <v>1.7</v>
          </cell>
          <cell r="U3198">
            <v>0.77</v>
          </cell>
          <cell r="V3198">
            <v>0.31</v>
          </cell>
          <cell r="W3198">
            <v>0</v>
          </cell>
          <cell r="X3198" t="str">
            <v>EST MESA CENTRO JOHN GRAZ (BS FREIJO) (PEDRA G2 RAFAELLO) - 1,7x0,77x0,31H</v>
          </cell>
          <cell r="Y3198">
            <v>0</v>
          </cell>
          <cell r="Z3198">
            <v>0.5</v>
          </cell>
          <cell r="AA3198">
            <v>0</v>
          </cell>
          <cell r="AB3198"/>
        </row>
        <row r="3199">
          <cell r="C3199">
            <v>0</v>
          </cell>
          <cell r="D3199">
            <v>0</v>
          </cell>
          <cell r="E3199">
            <v>0</v>
          </cell>
          <cell r="F3199">
            <v>0</v>
          </cell>
          <cell r="H3199">
            <v>0</v>
          </cell>
          <cell r="O3199">
            <v>379860</v>
          </cell>
          <cell r="P3199"/>
          <cell r="Q3199" t="str">
            <v>EST POLTRONA GB UL19 (METAL) IMBUIA) TC EL ANGOLA GREEN</v>
          </cell>
          <cell r="R3199"/>
          <cell r="S3199"/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 t="str">
            <v>EST POLTRONA GB UL19 (METAL) IMBUIA) TC EL ANGOLA GREEN - Ø0x0H</v>
          </cell>
          <cell r="Y3199">
            <v>0</v>
          </cell>
          <cell r="Z3199">
            <v>0.35</v>
          </cell>
          <cell r="AA3199">
            <v>0</v>
          </cell>
          <cell r="AB3199"/>
        </row>
        <row r="3200">
          <cell r="C3200">
            <v>0</v>
          </cell>
          <cell r="D3200">
            <v>0</v>
          </cell>
          <cell r="E3200">
            <v>0</v>
          </cell>
          <cell r="F3200">
            <v>0</v>
          </cell>
          <cell r="H3200">
            <v>3</v>
          </cell>
          <cell r="O3200">
            <v>380274</v>
          </cell>
          <cell r="P3200"/>
          <cell r="Q3200" t="str">
            <v>EST CADEIRA IC01 (POLIETILENO) (MARSHMALLOW BRANCA)</v>
          </cell>
          <cell r="R3200"/>
          <cell r="S3200"/>
          <cell r="T3200">
            <v>0.56000000000000005</v>
          </cell>
          <cell r="U3200">
            <v>0.46</v>
          </cell>
          <cell r="V3200">
            <v>0.78</v>
          </cell>
          <cell r="W3200">
            <v>0</v>
          </cell>
          <cell r="X3200" t="str">
            <v>EST CADEIRA IC01 (POLIETILENO) (MARSHMALLOW BRANCA) - 0,56x0,46x0,78H</v>
          </cell>
          <cell r="Y3200">
            <v>0</v>
          </cell>
          <cell r="Z3200">
            <v>0</v>
          </cell>
          <cell r="AA3200">
            <v>0</v>
          </cell>
          <cell r="AB3200"/>
        </row>
        <row r="3201">
          <cell r="C3201">
            <v>0</v>
          </cell>
          <cell r="D3201">
            <v>0</v>
          </cell>
          <cell r="E3201">
            <v>0</v>
          </cell>
          <cell r="F3201">
            <v>0</v>
          </cell>
          <cell r="H3201">
            <v>1</v>
          </cell>
          <cell r="O3201">
            <v>380282</v>
          </cell>
          <cell r="P3201"/>
          <cell r="Q3201" t="str">
            <v>EST POLTRONA GIO (FREIJO TNZ 01) TC BOUCLE7859/COURO PIG 712</v>
          </cell>
          <cell r="R3201"/>
          <cell r="S3201"/>
          <cell r="T3201">
            <v>0.85</v>
          </cell>
          <cell r="U3201">
            <v>0.95</v>
          </cell>
          <cell r="V3201">
            <v>0.9</v>
          </cell>
          <cell r="W3201">
            <v>0</v>
          </cell>
          <cell r="X3201" t="str">
            <v>EST POLTRONA GIO (FREIJO TNZ 01) TC BOUCLE7859/COURO PIG 712 - 0,85x0,95x0,9H</v>
          </cell>
          <cell r="Y3201">
            <v>0</v>
          </cell>
          <cell r="Z3201">
            <v>0</v>
          </cell>
          <cell r="AA3201">
            <v>0</v>
          </cell>
          <cell r="AB3201"/>
        </row>
        <row r="3202">
          <cell r="C3202">
            <v>0</v>
          </cell>
          <cell r="D3202">
            <v>0</v>
          </cell>
          <cell r="E3202">
            <v>0</v>
          </cell>
          <cell r="F3202">
            <v>0</v>
          </cell>
          <cell r="H3202">
            <v>1</v>
          </cell>
          <cell r="O3202">
            <v>380283</v>
          </cell>
          <cell r="P3202"/>
          <cell r="Q3202" t="str">
            <v>EST BANQUETA GIO (FREIJO TNZ 01) COURO PIG 712</v>
          </cell>
          <cell r="R3202"/>
          <cell r="S3202"/>
          <cell r="T3202">
            <v>0.75</v>
          </cell>
          <cell r="U3202">
            <v>0.55000000000000004</v>
          </cell>
          <cell r="V3202">
            <v>0.37</v>
          </cell>
          <cell r="W3202">
            <v>0</v>
          </cell>
          <cell r="X3202" t="str">
            <v>EST BANQUETA GIO (FREIJO TNZ 01) COURO PIG 712 - 0,75x0,55x0,37H</v>
          </cell>
          <cell r="Y3202">
            <v>0</v>
          </cell>
          <cell r="Z3202">
            <v>0.5</v>
          </cell>
          <cell r="AA3202">
            <v>0</v>
          </cell>
          <cell r="AB3202"/>
        </row>
        <row r="3203">
          <cell r="C3203">
            <v>0</v>
          </cell>
          <cell r="D3203">
            <v>0</v>
          </cell>
          <cell r="E3203">
            <v>0</v>
          </cell>
          <cell r="F3203">
            <v>0</v>
          </cell>
          <cell r="H3203">
            <v>0</v>
          </cell>
          <cell r="O3203">
            <v>380284</v>
          </cell>
          <cell r="P3203"/>
          <cell r="Q3203" t="str">
            <v>EST POLTRONA STELLA (BAIXA) (MAD A NOG) CAMURCA MOSTARDA/TC</v>
          </cell>
          <cell r="R3203"/>
          <cell r="S3203"/>
          <cell r="T3203">
            <v>0.74</v>
          </cell>
          <cell r="U3203">
            <v>0.92</v>
          </cell>
          <cell r="V3203">
            <v>0.69</v>
          </cell>
          <cell r="W3203">
            <v>0</v>
          </cell>
          <cell r="X3203" t="str">
            <v>EST POLTRONA STELLA (BAIXA) (MAD A NOG) CAMURCA MOSTARDA/TC - 0,74x0,92x0,69H</v>
          </cell>
          <cell r="Y3203">
            <v>0</v>
          </cell>
          <cell r="Z3203">
            <v>0</v>
          </cell>
          <cell r="AA3203">
            <v>0</v>
          </cell>
          <cell r="AB3203"/>
        </row>
        <row r="3204">
          <cell r="C3204">
            <v>0</v>
          </cell>
          <cell r="D3204">
            <v>0</v>
          </cell>
          <cell r="E3204">
            <v>0</v>
          </cell>
          <cell r="F3204">
            <v>0</v>
          </cell>
          <cell r="H3204">
            <v>1</v>
          </cell>
          <cell r="O3204">
            <v>380285</v>
          </cell>
          <cell r="P3204"/>
          <cell r="Q3204" t="str">
            <v>EST POLTRONA STELLA (BAIXA) (MAD A NOG) COURO PIG 149/TC ESP</v>
          </cell>
          <cell r="R3204"/>
          <cell r="S3204"/>
          <cell r="T3204">
            <v>0.74</v>
          </cell>
          <cell r="U3204">
            <v>0.92</v>
          </cell>
          <cell r="V3204">
            <v>0.69</v>
          </cell>
          <cell r="W3204">
            <v>0</v>
          </cell>
          <cell r="X3204" t="str">
            <v>EST POLTRONA STELLA (BAIXA) (MAD A NOG) COURO PIG 149/TC ESP - 0,74x0,92x0,69H</v>
          </cell>
          <cell r="Y3204">
            <v>0</v>
          </cell>
          <cell r="Z3204">
            <v>0</v>
          </cell>
          <cell r="AA3204">
            <v>0</v>
          </cell>
          <cell r="AB3204"/>
        </row>
        <row r="3205">
          <cell r="C3205">
            <v>0</v>
          </cell>
          <cell r="D3205">
            <v>0</v>
          </cell>
          <cell r="E3205">
            <v>0</v>
          </cell>
          <cell r="F3205">
            <v>0</v>
          </cell>
          <cell r="H3205">
            <v>1</v>
          </cell>
          <cell r="O3205">
            <v>380287</v>
          </cell>
          <cell r="P3205"/>
          <cell r="Q3205" t="str">
            <v>EST POLTRONA SAPAO (FREIJO TNZ 01) COURO PIG 712</v>
          </cell>
          <cell r="R3205"/>
          <cell r="S3205"/>
          <cell r="T3205">
            <v>0.75</v>
          </cell>
          <cell r="U3205">
            <v>0.72</v>
          </cell>
          <cell r="V3205">
            <v>0.6</v>
          </cell>
          <cell r="W3205">
            <v>0</v>
          </cell>
          <cell r="X3205" t="str">
            <v>EST POLTRONA SAPAO (FREIJO TNZ 01) COURO PIG 712 - 0,75x0,72x0,6H</v>
          </cell>
          <cell r="Y3205">
            <v>0</v>
          </cell>
          <cell r="Z3205">
            <v>0</v>
          </cell>
          <cell r="AA3205">
            <v>0</v>
          </cell>
          <cell r="AB3205"/>
        </row>
        <row r="3206">
          <cell r="C3206">
            <v>0</v>
          </cell>
          <cell r="D3206">
            <v>0</v>
          </cell>
          <cell r="E3206">
            <v>0</v>
          </cell>
          <cell r="F3206">
            <v>0</v>
          </cell>
          <cell r="H3206">
            <v>1</v>
          </cell>
          <cell r="O3206">
            <v>380291</v>
          </cell>
          <cell r="P3206"/>
          <cell r="Q3206" t="str">
            <v>EST APARADOR TESOURA (FREIJO NT)</v>
          </cell>
          <cell r="R3206"/>
          <cell r="S3206"/>
          <cell r="T3206">
            <v>1.8</v>
          </cell>
          <cell r="U3206">
            <v>0.7</v>
          </cell>
          <cell r="V3206">
            <v>0.75</v>
          </cell>
          <cell r="W3206">
            <v>0</v>
          </cell>
          <cell r="X3206" t="str">
            <v>EST APARADOR TESOURA (FREIJO NT) - 1,8x0,7x0,75H</v>
          </cell>
          <cell r="Y3206">
            <v>0</v>
          </cell>
          <cell r="Z3206">
            <v>0.35</v>
          </cell>
          <cell r="AA3206">
            <v>0</v>
          </cell>
          <cell r="AB3206"/>
        </row>
        <row r="3207">
          <cell r="C3207">
            <v>0</v>
          </cell>
          <cell r="D3207">
            <v>0</v>
          </cell>
          <cell r="E3207">
            <v>0</v>
          </cell>
          <cell r="F3207">
            <v>0</v>
          </cell>
          <cell r="H3207">
            <v>1</v>
          </cell>
          <cell r="O3207">
            <v>380311</v>
          </cell>
          <cell r="P3207"/>
          <cell r="Q3207" t="str">
            <v>EST CADEIRA DAAV (INOX PTO) (IMBUIA STAIN) TC TRAMADO CRU/PT</v>
          </cell>
          <cell r="R3207"/>
          <cell r="S3207"/>
          <cell r="T3207">
            <v>0.63</v>
          </cell>
          <cell r="U3207">
            <v>0.54</v>
          </cell>
          <cell r="V3207">
            <v>0.8</v>
          </cell>
          <cell r="W3207">
            <v>0</v>
          </cell>
          <cell r="X3207" t="str">
            <v>EST CADEIRA DAAV (INOX PTO) (IMBUIA STAIN) TC TRAMADO CRU/PT - 0,63x0,54x0,8H</v>
          </cell>
          <cell r="Y3207">
            <v>0</v>
          </cell>
          <cell r="Z3207">
            <v>0</v>
          </cell>
          <cell r="AA3207">
            <v>0</v>
          </cell>
          <cell r="AB3207"/>
        </row>
        <row r="3208">
          <cell r="C3208">
            <v>0</v>
          </cell>
          <cell r="D3208">
            <v>0</v>
          </cell>
          <cell r="E3208">
            <v>0</v>
          </cell>
          <cell r="F3208">
            <v>0</v>
          </cell>
          <cell r="H3208">
            <v>1</v>
          </cell>
          <cell r="O3208">
            <v>380313</v>
          </cell>
          <cell r="P3208"/>
          <cell r="Q3208" t="str">
            <v>EST POLTRONA PREGUICA BAIXA (GIR) (FREIJO NT) TC PIED POULE</v>
          </cell>
          <cell r="R3208"/>
          <cell r="S3208"/>
          <cell r="T3208">
            <v>0.66</v>
          </cell>
          <cell r="U3208">
            <v>0.9</v>
          </cell>
          <cell r="V3208">
            <v>0.78</v>
          </cell>
          <cell r="W3208">
            <v>0</v>
          </cell>
          <cell r="X3208" t="str">
            <v>EST POLTRONA PREGUICA BAIXA (GIR) (FREIJO NT) TC PIED POULE - 0,66x0,9x0,78H</v>
          </cell>
          <cell r="Y3208">
            <v>0</v>
          </cell>
          <cell r="Z3208">
            <v>0</v>
          </cell>
          <cell r="AA3208">
            <v>0</v>
          </cell>
          <cell r="AB3208"/>
        </row>
        <row r="3209">
          <cell r="C3209">
            <v>0</v>
          </cell>
          <cell r="D3209">
            <v>0</v>
          </cell>
          <cell r="E3209">
            <v>0</v>
          </cell>
          <cell r="F3209">
            <v>0</v>
          </cell>
          <cell r="H3209">
            <v>1</v>
          </cell>
          <cell r="O3209">
            <v>380314</v>
          </cell>
          <cell r="P3209"/>
          <cell r="Q3209" t="str">
            <v>EST BANQUETA PREGUICA (PES EM X) (FREIJO NT) TC PIED POULE</v>
          </cell>
          <cell r="R3209"/>
          <cell r="S3209"/>
          <cell r="T3209">
            <v>0.49</v>
          </cell>
          <cell r="U3209">
            <v>0.45</v>
          </cell>
          <cell r="V3209">
            <v>0.37</v>
          </cell>
          <cell r="W3209">
            <v>0</v>
          </cell>
          <cell r="X3209" t="str">
            <v>EST BANQUETA PREGUICA (PES EM X) (FREIJO NT) TC PIED POULE - 0,49x0,45x0,37H</v>
          </cell>
          <cell r="Y3209">
            <v>0</v>
          </cell>
          <cell r="Z3209">
            <v>0</v>
          </cell>
          <cell r="AA3209">
            <v>0</v>
          </cell>
          <cell r="AB3209"/>
        </row>
        <row r="3210">
          <cell r="C3210">
            <v>0</v>
          </cell>
          <cell r="D3210">
            <v>0</v>
          </cell>
          <cell r="E3210">
            <v>0</v>
          </cell>
          <cell r="F3210">
            <v>0</v>
          </cell>
          <cell r="H3210">
            <v>1</v>
          </cell>
          <cell r="O3210">
            <v>380335</v>
          </cell>
          <cell r="P3210"/>
          <cell r="Q3210" t="str">
            <v>EST MESA JANTAR ALEX (FREIJO TONALIZADO 1)</v>
          </cell>
          <cell r="R3210"/>
          <cell r="S3210"/>
          <cell r="T3210">
            <v>1.2</v>
          </cell>
          <cell r="U3210">
            <v>0</v>
          </cell>
          <cell r="V3210">
            <v>0.75</v>
          </cell>
          <cell r="W3210">
            <v>0</v>
          </cell>
          <cell r="X3210" t="str">
            <v>EST MESA JANTAR ALEX (FREIJO TONALIZADO 1) - Ø0x0,75H</v>
          </cell>
          <cell r="Y3210">
            <v>0</v>
          </cell>
          <cell r="Z3210">
            <v>0.5</v>
          </cell>
          <cell r="AA3210">
            <v>0</v>
          </cell>
          <cell r="AB3210"/>
        </row>
        <row r="3211">
          <cell r="C3211">
            <v>0</v>
          </cell>
          <cell r="D3211">
            <v>0</v>
          </cell>
          <cell r="E3211">
            <v>0</v>
          </cell>
          <cell r="F3211">
            <v>0</v>
          </cell>
          <cell r="H3211">
            <v>0</v>
          </cell>
          <cell r="O3211">
            <v>380408</v>
          </cell>
          <cell r="P3211"/>
          <cell r="Q3211" t="str">
            <v>EST MESA LATERAL CONINHA ACO (ANGELIN) (BASE CONCRETO)</v>
          </cell>
          <cell r="R3211"/>
          <cell r="S3211"/>
          <cell r="T3211">
            <v>0.4</v>
          </cell>
          <cell r="U3211">
            <v>0</v>
          </cell>
          <cell r="V3211">
            <v>0.48</v>
          </cell>
          <cell r="W3211">
            <v>0.4</v>
          </cell>
          <cell r="X3211" t="str">
            <v>EST MESA LATERAL CONINHA ACO (ANGELIN) (BASE CONCRETO) - Ø0,4x0,48H</v>
          </cell>
          <cell r="Y3211">
            <v>0</v>
          </cell>
          <cell r="Z3211">
            <v>0</v>
          </cell>
          <cell r="AA3211">
            <v>0</v>
          </cell>
          <cell r="AB3211"/>
        </row>
        <row r="3212">
          <cell r="C3212">
            <v>0</v>
          </cell>
          <cell r="D3212">
            <v>0</v>
          </cell>
          <cell r="E3212">
            <v>0</v>
          </cell>
          <cell r="F3212">
            <v>0</v>
          </cell>
          <cell r="H3212">
            <v>1</v>
          </cell>
          <cell r="O3212">
            <v>380446</v>
          </cell>
          <cell r="P3212"/>
          <cell r="Q3212" t="str">
            <v>EST CADEIRA CHANCELARIA (FREIJO TNZ 1) COURO IMPORT 300</v>
          </cell>
          <cell r="R3212"/>
          <cell r="S3212"/>
          <cell r="T3212">
            <v>0.5</v>
          </cell>
          <cell r="U3212">
            <v>0.6</v>
          </cell>
          <cell r="V3212">
            <v>0.78</v>
          </cell>
          <cell r="W3212">
            <v>0</v>
          </cell>
          <cell r="X3212" t="str">
            <v>EST CADEIRA CHANCELARIA (FREIJO TNZ 1) COURO IMPORT 300 - 0,5x0,6x0,78H</v>
          </cell>
          <cell r="Y3212">
            <v>0</v>
          </cell>
          <cell r="Z3212">
            <v>0.5</v>
          </cell>
          <cell r="AA3212">
            <v>0</v>
          </cell>
          <cell r="AB3212"/>
        </row>
        <row r="3213"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H3213">
            <v>2</v>
          </cell>
          <cell r="O3213">
            <v>381899</v>
          </cell>
          <cell r="P3213"/>
          <cell r="Q3213" t="str">
            <v>EST POLTRONA ESSA (FREIJO NT) TC ELB LUDA 129 CHERRY</v>
          </cell>
          <cell r="R3213"/>
          <cell r="S3213"/>
          <cell r="T3213">
            <v>0.72</v>
          </cell>
          <cell r="U3213">
            <v>0.88</v>
          </cell>
          <cell r="V3213">
            <v>0.98</v>
          </cell>
          <cell r="W3213">
            <v>0</v>
          </cell>
          <cell r="X3213" t="str">
            <v>EST POLTRONA ESSA (FREIJO NT) TC ELB LUDA 129 CHERRY - 0,72x0,88x0,98H</v>
          </cell>
          <cell r="Y3213">
            <v>0</v>
          </cell>
          <cell r="Z3213">
            <v>0.5</v>
          </cell>
          <cell r="AA3213">
            <v>0</v>
          </cell>
          <cell r="AB3213"/>
        </row>
        <row r="3214">
          <cell r="C3214">
            <v>0</v>
          </cell>
          <cell r="D3214">
            <v>0</v>
          </cell>
          <cell r="E3214">
            <v>0</v>
          </cell>
          <cell r="F3214">
            <v>0</v>
          </cell>
          <cell r="H3214">
            <v>2</v>
          </cell>
          <cell r="O3214">
            <v>381910</v>
          </cell>
          <cell r="P3214"/>
          <cell r="Q3214" t="str">
            <v>EST BANQUETA BAR ESTRIBO H62 (ACO PT FREIJO NT) TC 24403045</v>
          </cell>
          <cell r="R3214"/>
          <cell r="S3214"/>
          <cell r="T3214">
            <v>0.44</v>
          </cell>
          <cell r="U3214">
            <v>0.57999999999999996</v>
          </cell>
          <cell r="V3214">
            <v>0.96</v>
          </cell>
          <cell r="W3214">
            <v>0</v>
          </cell>
          <cell r="X3214" t="str">
            <v>EST BANQUETA BAR ESTRIBO H62 (ACO PT FREIJO NT) TC 24403045 - 0,44x0,58x0,96H</v>
          </cell>
          <cell r="Y3214">
            <v>0</v>
          </cell>
          <cell r="Z3214">
            <v>0.5</v>
          </cell>
          <cell r="AA3214">
            <v>0</v>
          </cell>
          <cell r="AB3214"/>
        </row>
        <row r="3215">
          <cell r="C3215">
            <v>0</v>
          </cell>
          <cell r="D3215">
            <v>0</v>
          </cell>
          <cell r="E3215">
            <v>0</v>
          </cell>
          <cell r="F3215">
            <v>0</v>
          </cell>
          <cell r="H3215">
            <v>0</v>
          </cell>
          <cell r="O3215">
            <v>383976</v>
          </cell>
          <cell r="P3215"/>
          <cell r="Q3215" t="str">
            <v>EST CADEIRA ESSA C/BRACO (MAD A TAUARI POA) CAMURCA TABACO</v>
          </cell>
          <cell r="R3215"/>
          <cell r="S3215"/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 t="str">
            <v>EST CADEIRA ESSA C/BRACO (MAD A TAUARI POA) CAMURCA TABACO - Ø0x0H</v>
          </cell>
          <cell r="Y3215">
            <v>0</v>
          </cell>
          <cell r="Z3215">
            <v>0</v>
          </cell>
          <cell r="AA3215">
            <v>0</v>
          </cell>
          <cell r="AB3215"/>
        </row>
        <row r="3216">
          <cell r="C3216">
            <v>0</v>
          </cell>
          <cell r="D3216">
            <v>0</v>
          </cell>
          <cell r="E3216">
            <v>0</v>
          </cell>
          <cell r="F3216">
            <v>0</v>
          </cell>
          <cell r="H3216">
            <v>0</v>
          </cell>
          <cell r="O3216">
            <v>385864</v>
          </cell>
          <cell r="P3216"/>
          <cell r="Q3216" t="str">
            <v>EST BANQUETA BAR TIAO H61 (MAD A NOG) COURO FIRENZE 99</v>
          </cell>
          <cell r="R3216"/>
          <cell r="S3216"/>
          <cell r="T3216">
            <v>0.48</v>
          </cell>
          <cell r="U3216">
            <v>0.52</v>
          </cell>
          <cell r="V3216">
            <v>0.91</v>
          </cell>
          <cell r="W3216">
            <v>0</v>
          </cell>
          <cell r="X3216" t="str">
            <v>EST BANQUETA BAR TIAO H61 (MAD A NOG) COURO FIRENZE 99 - 0,48x0,52x0,91H</v>
          </cell>
          <cell r="Y3216">
            <v>0</v>
          </cell>
          <cell r="Z3216">
            <v>0.5</v>
          </cell>
          <cell r="AA3216">
            <v>0</v>
          </cell>
          <cell r="AB3216"/>
        </row>
        <row r="3217">
          <cell r="C3217">
            <v>0</v>
          </cell>
          <cell r="D3217">
            <v>0</v>
          </cell>
          <cell r="E3217">
            <v>0</v>
          </cell>
          <cell r="F3217">
            <v>0</v>
          </cell>
          <cell r="H3217">
            <v>1</v>
          </cell>
          <cell r="O3217">
            <v>385890</v>
          </cell>
          <cell r="P3217"/>
          <cell r="Q3217" t="str">
            <v>EST POLTRONA ESTOFADA (PALANTI) (IMBUIA) TC EARTHWILD STRAWB</v>
          </cell>
          <cell r="R3217"/>
          <cell r="S3217"/>
          <cell r="T3217">
            <v>0.62</v>
          </cell>
          <cell r="U3217">
            <v>0.84</v>
          </cell>
          <cell r="V3217">
            <v>0.9</v>
          </cell>
          <cell r="W3217">
            <v>0</v>
          </cell>
          <cell r="X3217" t="str">
            <v>EST POLTRONA ESTOFADA (PALANTI) (IMBUIA) TC EARTHWILD STRAWB - 0,62x0,84x0,9H</v>
          </cell>
          <cell r="Y3217">
            <v>0</v>
          </cell>
          <cell r="Z3217">
            <v>0</v>
          </cell>
          <cell r="AA3217">
            <v>0</v>
          </cell>
          <cell r="AB3217"/>
        </row>
        <row r="3218">
          <cell r="C3218">
            <v>0</v>
          </cell>
          <cell r="D3218">
            <v>0</v>
          </cell>
          <cell r="E3218">
            <v>0</v>
          </cell>
          <cell r="F3218">
            <v>0</v>
          </cell>
          <cell r="H3218">
            <v>4</v>
          </cell>
          <cell r="O3218">
            <v>386015</v>
          </cell>
          <cell r="P3218"/>
          <cell r="Q3218" t="str">
            <v>EST CADEIRA GB F61 (C/B) (JANTAR) TC EL ANGOLA GREEN</v>
          </cell>
          <cell r="R3218"/>
          <cell r="S3218"/>
          <cell r="T3218">
            <v>0.59</v>
          </cell>
          <cell r="U3218">
            <v>0.54</v>
          </cell>
          <cell r="V3218">
            <v>0.85</v>
          </cell>
          <cell r="W3218">
            <v>0</v>
          </cell>
          <cell r="X3218" t="str">
            <v>EST CADEIRA GB F61 (C/B) (JANTAR) TC EL ANGOLA GREEN - 0,59x0,54x0,85H</v>
          </cell>
          <cell r="Y3218">
            <v>0</v>
          </cell>
          <cell r="Z3218">
            <v>0</v>
          </cell>
          <cell r="AA3218">
            <v>0</v>
          </cell>
          <cell r="AB3218"/>
        </row>
        <row r="3219">
          <cell r="C3219">
            <v>0</v>
          </cell>
          <cell r="D3219">
            <v>0</v>
          </cell>
          <cell r="E3219">
            <v>0</v>
          </cell>
          <cell r="F3219">
            <v>0</v>
          </cell>
          <cell r="H3219">
            <v>4</v>
          </cell>
          <cell r="O3219">
            <v>386126</v>
          </cell>
          <cell r="P3219"/>
          <cell r="Q3219" t="str">
            <v>EST COMPONENTE ALMOFADA CADEIRA CORDA (PALANTI) (LISTA JUTA)</v>
          </cell>
          <cell r="R3219"/>
          <cell r="S3219"/>
          <cell r="T3219">
            <v>0.41</v>
          </cell>
          <cell r="U3219">
            <v>0.43</v>
          </cell>
          <cell r="V3219">
            <v>0.06</v>
          </cell>
          <cell r="W3219">
            <v>0</v>
          </cell>
          <cell r="X3219" t="str">
            <v>EST COMPONENTE ALMOFADA CADEIRA CORDA (PALANTI) (LISTA JUTA) - 0,41x0,43x0,06H</v>
          </cell>
          <cell r="Y3219">
            <v>0</v>
          </cell>
          <cell r="Z3219">
            <v>0</v>
          </cell>
          <cell r="AA3219">
            <v>0</v>
          </cell>
          <cell r="AB3219"/>
        </row>
        <row r="3220">
          <cell r="C3220">
            <v>0</v>
          </cell>
          <cell r="D3220">
            <v>0</v>
          </cell>
          <cell r="E3220">
            <v>0</v>
          </cell>
          <cell r="F3220">
            <v>0</v>
          </cell>
          <cell r="H3220">
            <v>0</v>
          </cell>
          <cell r="O3220">
            <v>386128</v>
          </cell>
          <cell r="P3220"/>
          <cell r="Q3220" t="str">
            <v>EST POLTRONA MOLE (MAD A COR 02) COURO NOBUCK 75</v>
          </cell>
          <cell r="R3220"/>
          <cell r="S3220"/>
          <cell r="T3220">
            <v>1.2</v>
          </cell>
          <cell r="U3220">
            <v>1.05</v>
          </cell>
          <cell r="V3220">
            <v>0.82</v>
          </cell>
          <cell r="W3220">
            <v>0</v>
          </cell>
          <cell r="X3220" t="str">
            <v>EST POLTRONA MOLE (MAD A COR 02) COURO NOBUCK 75 - 1,2x1,05x0,82H</v>
          </cell>
          <cell r="Y3220">
            <v>0</v>
          </cell>
          <cell r="Z3220">
            <v>0</v>
          </cell>
          <cell r="AA3220">
            <v>0</v>
          </cell>
          <cell r="AB3220"/>
        </row>
        <row r="3221">
          <cell r="C3221">
            <v>0</v>
          </cell>
          <cell r="D3221">
            <v>0</v>
          </cell>
          <cell r="E3221">
            <v>0</v>
          </cell>
          <cell r="F3221">
            <v>0</v>
          </cell>
          <cell r="H3221">
            <v>0</v>
          </cell>
          <cell r="O3221">
            <v>386129</v>
          </cell>
          <cell r="P3221"/>
          <cell r="Q3221" t="str">
            <v>EST BANQUETA MOLE (MAD A COR 02) COURO NOBUCK 75</v>
          </cell>
          <cell r="R3221"/>
          <cell r="S3221"/>
          <cell r="T3221">
            <v>0.82</v>
          </cell>
          <cell r="U3221">
            <v>0.59</v>
          </cell>
          <cell r="V3221">
            <v>0.45</v>
          </cell>
          <cell r="W3221">
            <v>0</v>
          </cell>
          <cell r="X3221" t="str">
            <v>EST BANQUETA MOLE (MAD A COR 02) COURO NOBUCK 75 - 0,82x0,59x0,45H</v>
          </cell>
          <cell r="Y3221">
            <v>0</v>
          </cell>
          <cell r="Z3221">
            <v>0</v>
          </cell>
          <cell r="AA3221">
            <v>0</v>
          </cell>
          <cell r="AB3221"/>
        </row>
        <row r="3222">
          <cell r="C3222">
            <v>0</v>
          </cell>
          <cell r="D3222">
            <v>0</v>
          </cell>
          <cell r="E3222">
            <v>0</v>
          </cell>
          <cell r="F3222">
            <v>0</v>
          </cell>
          <cell r="H3222">
            <v>4</v>
          </cell>
          <cell r="O3222">
            <v>386134</v>
          </cell>
          <cell r="P3222"/>
          <cell r="Q3222" t="str">
            <v>EST COMPONENTE ALMOFADA CADEIRA CORDA (PALANTI) (XADREZ)</v>
          </cell>
          <cell r="R3222"/>
          <cell r="S3222"/>
          <cell r="T3222">
            <v>0.41</v>
          </cell>
          <cell r="U3222">
            <v>0.43</v>
          </cell>
          <cell r="V3222">
            <v>0.06</v>
          </cell>
          <cell r="W3222">
            <v>0</v>
          </cell>
          <cell r="X3222" t="str">
            <v>EST COMPONENTE ALMOFADA CADEIRA CORDA (PALANTI) (XADREZ) - 0,41x0,43x0,06H</v>
          </cell>
          <cell r="Y3222">
            <v>0</v>
          </cell>
          <cell r="Z3222">
            <v>0</v>
          </cell>
          <cell r="AA3222">
            <v>0</v>
          </cell>
          <cell r="AB3222"/>
        </row>
        <row r="3223">
          <cell r="C3223">
            <v>0</v>
          </cell>
          <cell r="D3223">
            <v>0</v>
          </cell>
          <cell r="E3223">
            <v>0</v>
          </cell>
          <cell r="F3223">
            <v>0</v>
          </cell>
          <cell r="H3223">
            <v>1</v>
          </cell>
          <cell r="O3223">
            <v>386272</v>
          </cell>
          <cell r="P3223"/>
          <cell r="Q3223" t="str">
            <v>EST SOFA OLIVO (ACO PRETO) TC LISTA LARGA (BLUE)</v>
          </cell>
          <cell r="R3223"/>
          <cell r="S3223"/>
          <cell r="T3223">
            <v>1.25</v>
          </cell>
          <cell r="U3223">
            <v>0.84</v>
          </cell>
          <cell r="V3223">
            <v>0.7</v>
          </cell>
          <cell r="W3223">
            <v>0</v>
          </cell>
          <cell r="X3223" t="str">
            <v>EST SOFA OLIVO (ACO PRETO) TC LISTA LARGA (BLUE) - 1,25x0,84x0,7H</v>
          </cell>
          <cell r="Y3223">
            <v>0</v>
          </cell>
          <cell r="Z3223">
            <v>0</v>
          </cell>
          <cell r="AA3223">
            <v>0</v>
          </cell>
          <cell r="AB3223"/>
        </row>
        <row r="3224">
          <cell r="C3224">
            <v>0</v>
          </cell>
          <cell r="D3224">
            <v>0</v>
          </cell>
          <cell r="E3224">
            <v>0</v>
          </cell>
          <cell r="F3224">
            <v>0</v>
          </cell>
          <cell r="H3224">
            <v>1</v>
          </cell>
          <cell r="O3224">
            <v>386669</v>
          </cell>
          <cell r="P3224"/>
          <cell r="Q3224" t="str">
            <v>EST POLTRONA ESTOFADA (PALANTI) (IMBUIA) TC AQUATIC CANNYON</v>
          </cell>
          <cell r="R3224"/>
          <cell r="S3224"/>
          <cell r="T3224">
            <v>0.62</v>
          </cell>
          <cell r="U3224">
            <v>0.84</v>
          </cell>
          <cell r="V3224">
            <v>0.9</v>
          </cell>
          <cell r="W3224">
            <v>0</v>
          </cell>
          <cell r="X3224" t="str">
            <v>EST POLTRONA ESTOFADA (PALANTI) (IMBUIA) TC AQUATIC CANNYON - 0,62x0,84x0,9H</v>
          </cell>
          <cell r="Y3224">
            <v>0</v>
          </cell>
          <cell r="Z3224">
            <v>0</v>
          </cell>
          <cell r="AA3224">
            <v>0</v>
          </cell>
          <cell r="AB3224"/>
        </row>
        <row r="3225">
          <cell r="C3225">
            <v>0</v>
          </cell>
          <cell r="D3225">
            <v>0</v>
          </cell>
          <cell r="E3225">
            <v>0</v>
          </cell>
          <cell r="F3225">
            <v>0</v>
          </cell>
          <cell r="H3225">
            <v>0</v>
          </cell>
          <cell r="O3225">
            <v>386679</v>
          </cell>
          <cell r="P3225"/>
          <cell r="Q3225" t="str">
            <v>EST POLTRONA VIVI (FREIJO NT) TRAMADO 24402582/IMPORT300</v>
          </cell>
          <cell r="R3225"/>
          <cell r="S3225"/>
          <cell r="T3225">
            <v>0.85</v>
          </cell>
          <cell r="U3225">
            <v>0.9</v>
          </cell>
          <cell r="V3225">
            <v>0.92</v>
          </cell>
          <cell r="W3225">
            <v>0</v>
          </cell>
          <cell r="X3225" t="str">
            <v>EST POLTRONA VIVI (FREIJO NT) TRAMADO 24402582/IMPORT300 - 0,85x0,9x0,92H</v>
          </cell>
          <cell r="Y3225">
            <v>0</v>
          </cell>
          <cell r="Z3225">
            <v>0.5</v>
          </cell>
          <cell r="AA3225">
            <v>0</v>
          </cell>
          <cell r="AB3225"/>
        </row>
        <row r="3226">
          <cell r="C3226">
            <v>0</v>
          </cell>
          <cell r="D3226">
            <v>0</v>
          </cell>
          <cell r="E3226">
            <v>0</v>
          </cell>
          <cell r="F3226">
            <v>0</v>
          </cell>
          <cell r="H3226">
            <v>0</v>
          </cell>
          <cell r="O3226">
            <v>386682</v>
          </cell>
          <cell r="P3226"/>
          <cell r="Q3226" t="str">
            <v>EST BANQUETA VIVI (FREIJO NT) TRAMADO 24402582/IMPORT300</v>
          </cell>
          <cell r="R3226"/>
          <cell r="S3226"/>
          <cell r="T3226">
            <v>0.6</v>
          </cell>
          <cell r="U3226">
            <v>0.6</v>
          </cell>
          <cell r="V3226">
            <v>0.38</v>
          </cell>
          <cell r="W3226">
            <v>0</v>
          </cell>
          <cell r="X3226" t="str">
            <v>EST BANQUETA VIVI (FREIJO NT) TRAMADO 24402582/IMPORT300 - 0,6x0,6x0,38H</v>
          </cell>
          <cell r="Y3226">
            <v>0</v>
          </cell>
          <cell r="Z3226">
            <v>0.5</v>
          </cell>
          <cell r="AA3226">
            <v>0</v>
          </cell>
          <cell r="AB3226"/>
        </row>
        <row r="3227">
          <cell r="C3227">
            <v>0</v>
          </cell>
          <cell r="D3227">
            <v>0</v>
          </cell>
          <cell r="E3227">
            <v>0</v>
          </cell>
          <cell r="F3227">
            <v>0</v>
          </cell>
          <cell r="H3227">
            <v>0</v>
          </cell>
          <cell r="O3227">
            <v>386784</v>
          </cell>
          <cell r="P3227"/>
          <cell r="Q3227" t="str">
            <v>EST CADEIRA OMAR OFFICE C/R (MAD A CINAM NT) FIRENZE ALECRIM</v>
          </cell>
          <cell r="R3227"/>
          <cell r="S3227"/>
          <cell r="T3227">
            <v>0.54</v>
          </cell>
          <cell r="U3227">
            <v>0.56999999999999995</v>
          </cell>
          <cell r="V3227">
            <v>0.83</v>
          </cell>
          <cell r="W3227">
            <v>0</v>
          </cell>
          <cell r="X3227" t="str">
            <v>EST CADEIRA OMAR OFFICE C/R (MAD A CINAM NT) FIRENZE ALECRIM - 0,54x0,57x0,83H</v>
          </cell>
          <cell r="Y3227">
            <v>0</v>
          </cell>
          <cell r="Z3227">
            <v>0</v>
          </cell>
          <cell r="AA3227">
            <v>0</v>
          </cell>
          <cell r="AB3227"/>
        </row>
        <row r="3228">
          <cell r="C3228">
            <v>0</v>
          </cell>
          <cell r="D3228">
            <v>0</v>
          </cell>
          <cell r="E3228">
            <v>0</v>
          </cell>
          <cell r="F3228">
            <v>0</v>
          </cell>
          <cell r="H3228">
            <v>0</v>
          </cell>
          <cell r="O3228">
            <v>386845</v>
          </cell>
          <cell r="P3228"/>
          <cell r="Q3228" t="str">
            <v>EST SOFA COZY (C/CP) (IMB) (BIP) TC LINHO 409 TERRACOTA</v>
          </cell>
          <cell r="R3228"/>
          <cell r="S3228"/>
          <cell r="T3228">
            <v>3</v>
          </cell>
          <cell r="U3228">
            <v>1.03</v>
          </cell>
          <cell r="V3228">
            <v>0.89</v>
          </cell>
          <cell r="W3228">
            <v>0</v>
          </cell>
          <cell r="X3228" t="str">
            <v>EST SOFA COZY (C/CP) (IMB) (BIP) TC LINHO 409 TERRACOTA - 3x1,03x0,89H</v>
          </cell>
          <cell r="Y3228">
            <v>0</v>
          </cell>
          <cell r="Z3228">
            <v>0</v>
          </cell>
          <cell r="AA3228">
            <v>0</v>
          </cell>
          <cell r="AB3228"/>
        </row>
        <row r="3229">
          <cell r="C3229">
            <v>0</v>
          </cell>
          <cell r="D3229">
            <v>0</v>
          </cell>
          <cell r="E3229">
            <v>0</v>
          </cell>
          <cell r="F3229">
            <v>0</v>
          </cell>
          <cell r="H3229">
            <v>2</v>
          </cell>
          <cell r="O3229">
            <v>386924</v>
          </cell>
          <cell r="P3229"/>
          <cell r="Q3229" t="str">
            <v>EST BASE JANTAR GELSOMINA (FREIJO NATURAL)</v>
          </cell>
          <cell r="R3229"/>
          <cell r="S3229"/>
          <cell r="T3229">
            <v>0.9</v>
          </cell>
          <cell r="U3229">
            <v>0.9</v>
          </cell>
          <cell r="V3229">
            <v>0.73</v>
          </cell>
          <cell r="W3229">
            <v>0</v>
          </cell>
          <cell r="X3229" t="str">
            <v>EST BASE JANTAR GELSOMINA (FREIJO NATURAL) - 0,9x0,9x0,73H</v>
          </cell>
          <cell r="Y3229">
            <v>0</v>
          </cell>
          <cell r="Z3229">
            <v>0.5</v>
          </cell>
          <cell r="AA3229">
            <v>0</v>
          </cell>
          <cell r="AB3229"/>
        </row>
        <row r="3230">
          <cell r="C3230">
            <v>0</v>
          </cell>
          <cell r="D3230">
            <v>0</v>
          </cell>
          <cell r="E3230">
            <v>0</v>
          </cell>
          <cell r="F3230">
            <v>0</v>
          </cell>
          <cell r="H3230">
            <v>1</v>
          </cell>
          <cell r="O3230">
            <v>386927</v>
          </cell>
          <cell r="P3230"/>
          <cell r="Q3230" t="str">
            <v>EST TAMPO GELSOMINA (CIRCULAR) (G3-GREEN P LEVIG BORDA DUP)</v>
          </cell>
          <cell r="R3230"/>
          <cell r="S3230"/>
          <cell r="T3230">
            <v>1.2</v>
          </cell>
          <cell r="U3230">
            <v>0</v>
          </cell>
          <cell r="V3230">
            <v>0.02</v>
          </cell>
          <cell r="W3230">
            <v>1.2</v>
          </cell>
          <cell r="X3230" t="str">
            <v>EST TAMPO GELSOMINA (CIRCULAR) (G3-GREEN P LEVIG BORDA DUP) - Ø1,2x0,02H</v>
          </cell>
          <cell r="Y3230">
            <v>0</v>
          </cell>
          <cell r="Z3230">
            <v>0</v>
          </cell>
          <cell r="AA3230">
            <v>0</v>
          </cell>
          <cell r="AB3230"/>
        </row>
        <row r="3231">
          <cell r="C3231">
            <v>0</v>
          </cell>
          <cell r="D3231">
            <v>0</v>
          </cell>
          <cell r="E3231">
            <v>0</v>
          </cell>
          <cell r="F3231">
            <v>0</v>
          </cell>
          <cell r="H3231">
            <v>0</v>
          </cell>
          <cell r="O3231">
            <v>387060</v>
          </cell>
          <cell r="P3231"/>
          <cell r="Q3231" t="str">
            <v>EST DAYBED LUXOR (3 ALMF) (MAD IMBUIA STAIN) TC MIKA CAMEL</v>
          </cell>
          <cell r="R3231"/>
          <cell r="S3231"/>
          <cell r="T3231">
            <v>2</v>
          </cell>
          <cell r="U3231">
            <v>0.7</v>
          </cell>
          <cell r="V3231">
            <v>0.4</v>
          </cell>
          <cell r="W3231">
            <v>0</v>
          </cell>
          <cell r="X3231" t="str">
            <v>EST DAYBED LUXOR (3 ALMF) (MAD IMBUIA STAIN) TC MIKA CAMEL - 2x0,7x0,4H</v>
          </cell>
          <cell r="Y3231">
            <v>0</v>
          </cell>
          <cell r="Z3231">
            <v>0.35</v>
          </cell>
          <cell r="AA3231">
            <v>0</v>
          </cell>
          <cell r="AB3231"/>
        </row>
        <row r="3232">
          <cell r="C3232">
            <v>0</v>
          </cell>
          <cell r="D3232">
            <v>0</v>
          </cell>
          <cell r="E3232">
            <v>0</v>
          </cell>
          <cell r="F3232">
            <v>0</v>
          </cell>
          <cell r="H3232">
            <v>1</v>
          </cell>
          <cell r="O3232">
            <v>387202</v>
          </cell>
          <cell r="P3232"/>
          <cell r="Q3232" t="str">
            <v>EST CADEIRA GB M110 (TELA NAT) (FREIJO COR IMBUIA) (ACO PTO)</v>
          </cell>
          <cell r="R3232"/>
          <cell r="S3232"/>
          <cell r="T3232">
            <v>0.45</v>
          </cell>
          <cell r="U3232">
            <v>0.5</v>
          </cell>
          <cell r="V3232">
            <v>0.84</v>
          </cell>
          <cell r="W3232">
            <v>0</v>
          </cell>
          <cell r="X3232" t="str">
            <v>EST CADEIRA GB M110 (TELA NAT) (FREIJO COR IMBUIA) (ACO PTO) - 0,45x0,5x0,84H</v>
          </cell>
          <cell r="Y3232">
            <v>0</v>
          </cell>
          <cell r="Z3232">
            <v>0</v>
          </cell>
          <cell r="AA3232">
            <v>0</v>
          </cell>
          <cell r="AB3232"/>
        </row>
        <row r="3233">
          <cell r="C3233" t="e">
            <v>#N/A</v>
          </cell>
          <cell r="D3233" t="e">
            <v>#N/A</v>
          </cell>
          <cell r="E3233" t="e">
            <v>#N/A</v>
          </cell>
          <cell r="F3233" t="e">
            <v>#N/A</v>
          </cell>
          <cell r="H3233" t="e">
            <v>#N/A</v>
          </cell>
          <cell r="O3233">
            <v>387259</v>
          </cell>
          <cell r="P3233"/>
          <cell r="Q3233" t="e">
            <v>#N/A</v>
          </cell>
          <cell r="R3233"/>
          <cell r="S3233"/>
          <cell r="T3233" t="e">
            <v>#N/A</v>
          </cell>
          <cell r="U3233" t="e">
            <v>#N/A</v>
          </cell>
          <cell r="V3233" t="e">
            <v>#N/A</v>
          </cell>
          <cell r="W3233" t="e">
            <v>#N/A</v>
          </cell>
          <cell r="X3233" t="e">
            <v>#N/A</v>
          </cell>
          <cell r="Y3233">
            <v>0</v>
          </cell>
          <cell r="Z3233">
            <v>0</v>
          </cell>
          <cell r="AA3233">
            <v>0</v>
          </cell>
          <cell r="AB3233"/>
        </row>
        <row r="3234">
          <cell r="C3234">
            <v>0</v>
          </cell>
          <cell r="D3234">
            <v>0</v>
          </cell>
          <cell r="E3234">
            <v>0</v>
          </cell>
          <cell r="F3234">
            <v>0</v>
          </cell>
          <cell r="H3234">
            <v>0</v>
          </cell>
          <cell r="O3234">
            <v>387483</v>
          </cell>
          <cell r="P3234"/>
          <cell r="Q3234" t="str">
            <v>EST POLTRONA DODO ALTA (FREIJO NATURAL) COURO IMPORT 68</v>
          </cell>
          <cell r="R3234"/>
          <cell r="S3234"/>
          <cell r="T3234">
            <v>0.72</v>
          </cell>
          <cell r="U3234">
            <v>0.96</v>
          </cell>
          <cell r="V3234">
            <v>0.9</v>
          </cell>
          <cell r="W3234">
            <v>0</v>
          </cell>
          <cell r="X3234" t="str">
            <v>EST POLTRONA DODO ALTA (FREIJO NATURAL) COURO IMPORT 68 - 0,72x0,96x0,9H</v>
          </cell>
          <cell r="Y3234">
            <v>0</v>
          </cell>
          <cell r="Z3234">
            <v>0.5</v>
          </cell>
          <cell r="AA3234">
            <v>0</v>
          </cell>
          <cell r="AB3234"/>
        </row>
        <row r="3235">
          <cell r="C3235">
            <v>0</v>
          </cell>
          <cell r="D3235">
            <v>0</v>
          </cell>
          <cell r="E3235">
            <v>0</v>
          </cell>
          <cell r="F3235">
            <v>0</v>
          </cell>
          <cell r="H3235">
            <v>0</v>
          </cell>
          <cell r="O3235">
            <v>387497</v>
          </cell>
          <cell r="P3235" t="str">
            <v>2024/137-0004-01</v>
          </cell>
          <cell r="Q3235" t="str">
            <v>EST PRATELEIRA ESTANTE AJUSTAVEL (FREIJO NT)</v>
          </cell>
          <cell r="R3235"/>
          <cell r="S3235"/>
          <cell r="T3235">
            <v>0.76</v>
          </cell>
          <cell r="U3235">
            <v>0.28999999999999998</v>
          </cell>
          <cell r="V3235">
            <v>0.14000000000000001</v>
          </cell>
          <cell r="W3235">
            <v>0</v>
          </cell>
          <cell r="X3235" t="str">
            <v>EST PRATELEIRA ESTANTE AJUSTAVEL (FREIJO NT) - 0,76x0,29x0,14H</v>
          </cell>
          <cell r="Y3235">
            <v>0</v>
          </cell>
          <cell r="Z3235">
            <v>0.35</v>
          </cell>
          <cell r="AA3235">
            <v>0</v>
          </cell>
          <cell r="AB3235"/>
        </row>
        <row r="3236">
          <cell r="C3236">
            <v>0</v>
          </cell>
          <cell r="D3236">
            <v>0</v>
          </cell>
          <cell r="E3236">
            <v>0</v>
          </cell>
          <cell r="F3236">
            <v>0</v>
          </cell>
          <cell r="H3236">
            <v>0</v>
          </cell>
          <cell r="O3236">
            <v>387497</v>
          </cell>
          <cell r="P3236" t="str">
            <v>2024/137-0005-01</v>
          </cell>
          <cell r="Q3236" t="str">
            <v>EST PRATELEIRA ESTANTE AJUSTAVEL (FREIJO NT)</v>
          </cell>
          <cell r="R3236"/>
          <cell r="S3236"/>
          <cell r="T3236">
            <v>0.76</v>
          </cell>
          <cell r="U3236">
            <v>0.28999999999999998</v>
          </cell>
          <cell r="V3236">
            <v>0.14000000000000001</v>
          </cell>
          <cell r="W3236">
            <v>0</v>
          </cell>
          <cell r="X3236" t="str">
            <v>EST PRATELEIRA ESTANTE AJUSTAVEL (FREIJO NT) - 0,76x0,29x0,14H</v>
          </cell>
          <cell r="Y3236">
            <v>0</v>
          </cell>
          <cell r="Z3236">
            <v>0.35</v>
          </cell>
          <cell r="AA3236">
            <v>0</v>
          </cell>
          <cell r="AB3236"/>
        </row>
        <row r="3237">
          <cell r="C3237">
            <v>0</v>
          </cell>
          <cell r="D3237">
            <v>0</v>
          </cell>
          <cell r="E3237">
            <v>0</v>
          </cell>
          <cell r="F3237">
            <v>0</v>
          </cell>
          <cell r="H3237">
            <v>0</v>
          </cell>
          <cell r="O3237">
            <v>387497</v>
          </cell>
          <cell r="P3237" t="str">
            <v>2024/137-0006-01</v>
          </cell>
          <cell r="Q3237" t="str">
            <v>EST PRATELEIRA ESTANTE AJUSTAVEL (FREIJO NT)</v>
          </cell>
          <cell r="R3237"/>
          <cell r="S3237"/>
          <cell r="T3237">
            <v>0.76</v>
          </cell>
          <cell r="U3237">
            <v>0.28999999999999998</v>
          </cell>
          <cell r="V3237">
            <v>0.14000000000000001</v>
          </cell>
          <cell r="W3237">
            <v>0</v>
          </cell>
          <cell r="X3237" t="str">
            <v>EST PRATELEIRA ESTANTE AJUSTAVEL (FREIJO NT) - 0,76x0,29x0,14H</v>
          </cell>
          <cell r="Y3237">
            <v>0</v>
          </cell>
          <cell r="Z3237">
            <v>0.35</v>
          </cell>
          <cell r="AA3237">
            <v>0</v>
          </cell>
          <cell r="AB3237"/>
        </row>
        <row r="3238">
          <cell r="C3238">
            <v>0</v>
          </cell>
          <cell r="D3238">
            <v>0</v>
          </cell>
          <cell r="E3238">
            <v>0</v>
          </cell>
          <cell r="F3238">
            <v>0</v>
          </cell>
          <cell r="H3238">
            <v>0</v>
          </cell>
          <cell r="O3238">
            <v>387497</v>
          </cell>
          <cell r="P3238" t="str">
            <v>2024/137-0007-01</v>
          </cell>
          <cell r="Q3238" t="str">
            <v>EST PRATELEIRA ESTANTE AJUSTAVEL (FREIJO NT)</v>
          </cell>
          <cell r="R3238"/>
          <cell r="S3238"/>
          <cell r="T3238">
            <v>0.76</v>
          </cell>
          <cell r="U3238">
            <v>0.28999999999999998</v>
          </cell>
          <cell r="V3238">
            <v>0.14000000000000001</v>
          </cell>
          <cell r="W3238">
            <v>0</v>
          </cell>
          <cell r="X3238" t="str">
            <v>EST PRATELEIRA ESTANTE AJUSTAVEL (FREIJO NT) - 0,76x0,29x0,14H</v>
          </cell>
          <cell r="Y3238">
            <v>0</v>
          </cell>
          <cell r="Z3238">
            <v>0.35</v>
          </cell>
          <cell r="AA3238">
            <v>0</v>
          </cell>
          <cell r="AB3238"/>
        </row>
        <row r="3239">
          <cell r="C3239">
            <v>0</v>
          </cell>
          <cell r="D3239">
            <v>0</v>
          </cell>
          <cell r="E3239">
            <v>0</v>
          </cell>
          <cell r="F3239">
            <v>0</v>
          </cell>
          <cell r="H3239">
            <v>0</v>
          </cell>
          <cell r="O3239">
            <v>387497</v>
          </cell>
          <cell r="P3239" t="str">
            <v>2024/137-0008-01</v>
          </cell>
          <cell r="Q3239" t="str">
            <v>EST PRATELEIRA ESTANTE AJUSTAVEL (FREIJO NT)</v>
          </cell>
          <cell r="R3239"/>
          <cell r="S3239"/>
          <cell r="T3239">
            <v>0.76</v>
          </cell>
          <cell r="U3239">
            <v>0.28999999999999998</v>
          </cell>
          <cell r="V3239">
            <v>0.14000000000000001</v>
          </cell>
          <cell r="W3239">
            <v>0</v>
          </cell>
          <cell r="X3239" t="str">
            <v>EST PRATELEIRA ESTANTE AJUSTAVEL (FREIJO NT) - 0,76x0,29x0,14H</v>
          </cell>
          <cell r="Y3239">
            <v>0</v>
          </cell>
          <cell r="Z3239">
            <v>0.35</v>
          </cell>
          <cell r="AA3239">
            <v>0</v>
          </cell>
          <cell r="AB3239"/>
        </row>
        <row r="3240">
          <cell r="C3240">
            <v>0</v>
          </cell>
          <cell r="D3240">
            <v>0</v>
          </cell>
          <cell r="E3240">
            <v>0</v>
          </cell>
          <cell r="F3240">
            <v>0</v>
          </cell>
          <cell r="H3240">
            <v>0</v>
          </cell>
          <cell r="O3240">
            <v>387497</v>
          </cell>
          <cell r="P3240" t="str">
            <v>2024/137-0009-01</v>
          </cell>
          <cell r="Q3240" t="str">
            <v>EST PRATELEIRA ESTANTE AJUSTAVEL (FREIJO NT)</v>
          </cell>
          <cell r="R3240"/>
          <cell r="S3240"/>
          <cell r="T3240">
            <v>0.76</v>
          </cell>
          <cell r="U3240">
            <v>0.28999999999999998</v>
          </cell>
          <cell r="V3240">
            <v>0.14000000000000001</v>
          </cell>
          <cell r="W3240">
            <v>0</v>
          </cell>
          <cell r="X3240" t="str">
            <v>EST PRATELEIRA ESTANTE AJUSTAVEL (FREIJO NT) - 0,76x0,29x0,14H</v>
          </cell>
          <cell r="Y3240">
            <v>0</v>
          </cell>
          <cell r="Z3240">
            <v>0.35</v>
          </cell>
          <cell r="AA3240">
            <v>0</v>
          </cell>
          <cell r="AB3240"/>
        </row>
        <row r="3241">
          <cell r="C3241">
            <v>0</v>
          </cell>
          <cell r="D3241">
            <v>0</v>
          </cell>
          <cell r="E3241">
            <v>0</v>
          </cell>
          <cell r="F3241">
            <v>0</v>
          </cell>
          <cell r="H3241">
            <v>0</v>
          </cell>
          <cell r="O3241">
            <v>387497</v>
          </cell>
          <cell r="P3241" t="str">
            <v>2024/137-0010-01</v>
          </cell>
          <cell r="Q3241" t="str">
            <v>EST PRATELEIRA ESTANTE AJUSTAVEL (FREIJO NT)</v>
          </cell>
          <cell r="R3241"/>
          <cell r="S3241"/>
          <cell r="T3241">
            <v>0.76</v>
          </cell>
          <cell r="U3241">
            <v>0.28999999999999998</v>
          </cell>
          <cell r="V3241">
            <v>0.14000000000000001</v>
          </cell>
          <cell r="W3241">
            <v>0</v>
          </cell>
          <cell r="X3241" t="str">
            <v>EST PRATELEIRA ESTANTE AJUSTAVEL (FREIJO NT) - 0,76x0,29x0,14H</v>
          </cell>
          <cell r="Y3241">
            <v>0</v>
          </cell>
          <cell r="Z3241">
            <v>0.35</v>
          </cell>
          <cell r="AA3241">
            <v>0</v>
          </cell>
          <cell r="AB3241"/>
        </row>
        <row r="3242">
          <cell r="C3242">
            <v>0</v>
          </cell>
          <cell r="D3242">
            <v>0</v>
          </cell>
          <cell r="E3242">
            <v>0</v>
          </cell>
          <cell r="F3242">
            <v>0</v>
          </cell>
          <cell r="H3242">
            <v>0</v>
          </cell>
          <cell r="O3242">
            <v>387498</v>
          </cell>
          <cell r="P3242" t="str">
            <v>2024/137-0011-01</v>
          </cell>
          <cell r="Q3242" t="str">
            <v>EST PRATELEIRA ESTANTE AJUSTAVEL (FREIJO NT)</v>
          </cell>
          <cell r="R3242"/>
          <cell r="S3242"/>
          <cell r="T3242">
            <v>0.76</v>
          </cell>
          <cell r="U3242">
            <v>0.38</v>
          </cell>
          <cell r="V3242">
            <v>0.14000000000000001</v>
          </cell>
          <cell r="W3242">
            <v>0</v>
          </cell>
          <cell r="X3242" t="str">
            <v>EST PRATELEIRA ESTANTE AJUSTAVEL (FREIJO NT) - 0,76x0,38x0,14H</v>
          </cell>
          <cell r="Y3242">
            <v>0</v>
          </cell>
          <cell r="Z3242">
            <v>0.35</v>
          </cell>
          <cell r="AA3242">
            <v>0</v>
          </cell>
          <cell r="AB3242"/>
        </row>
        <row r="3243">
          <cell r="C3243">
            <v>0</v>
          </cell>
          <cell r="D3243">
            <v>0</v>
          </cell>
          <cell r="E3243">
            <v>0</v>
          </cell>
          <cell r="F3243">
            <v>0</v>
          </cell>
          <cell r="H3243">
            <v>0</v>
          </cell>
          <cell r="O3243">
            <v>387498</v>
          </cell>
          <cell r="P3243" t="str">
            <v>2024/137-0012-01</v>
          </cell>
          <cell r="Q3243" t="str">
            <v>EST PRATELEIRA ESTANTE AJUSTAVEL (FREIJO NT)</v>
          </cell>
          <cell r="R3243"/>
          <cell r="S3243"/>
          <cell r="T3243">
            <v>0.76</v>
          </cell>
          <cell r="U3243">
            <v>0.38</v>
          </cell>
          <cell r="V3243">
            <v>0.14000000000000001</v>
          </cell>
          <cell r="W3243">
            <v>0</v>
          </cell>
          <cell r="X3243" t="str">
            <v>EST PRATELEIRA ESTANTE AJUSTAVEL (FREIJO NT) - 0,76x0,38x0,14H</v>
          </cell>
          <cell r="Y3243">
            <v>0</v>
          </cell>
          <cell r="Z3243">
            <v>0.35</v>
          </cell>
          <cell r="AA3243">
            <v>0</v>
          </cell>
          <cell r="AB3243"/>
        </row>
        <row r="3244">
          <cell r="C3244">
            <v>0</v>
          </cell>
          <cell r="D3244">
            <v>0</v>
          </cell>
          <cell r="E3244">
            <v>0</v>
          </cell>
          <cell r="F3244">
            <v>0</v>
          </cell>
          <cell r="H3244">
            <v>0</v>
          </cell>
          <cell r="O3244">
            <v>387500</v>
          </cell>
          <cell r="P3244" t="str">
            <v>2024/137-0013-01</v>
          </cell>
          <cell r="Q3244" t="str">
            <v>EST COLUNA ESTANTE AJUSTAVEL (P) (FREIJO NATURAL)</v>
          </cell>
          <cell r="R3244"/>
          <cell r="S3244"/>
          <cell r="T3244">
            <v>0.12</v>
          </cell>
          <cell r="U3244">
            <v>0.03</v>
          </cell>
          <cell r="V3244">
            <v>2.1</v>
          </cell>
          <cell r="W3244">
            <v>0</v>
          </cell>
          <cell r="X3244" t="str">
            <v>EST COLUNA ESTANTE AJUSTAVEL (P) (FREIJO NATURAL) - 0,12x0,03x2,1H</v>
          </cell>
          <cell r="Y3244">
            <v>0</v>
          </cell>
          <cell r="Z3244">
            <v>0.35</v>
          </cell>
          <cell r="AA3244">
            <v>0</v>
          </cell>
          <cell r="AB3244"/>
        </row>
        <row r="3245">
          <cell r="C3245">
            <v>0</v>
          </cell>
          <cell r="D3245">
            <v>0</v>
          </cell>
          <cell r="E3245">
            <v>0</v>
          </cell>
          <cell r="F3245">
            <v>0</v>
          </cell>
          <cell r="H3245">
            <v>0</v>
          </cell>
          <cell r="O3245">
            <v>387500</v>
          </cell>
          <cell r="P3245" t="str">
            <v>2024/137-0014-01</v>
          </cell>
          <cell r="Q3245" t="str">
            <v>EST COLUNA ESTANTE AJUSTAVEL (P) (FREIJO NATURAL)</v>
          </cell>
          <cell r="R3245"/>
          <cell r="S3245"/>
          <cell r="T3245">
            <v>0.12</v>
          </cell>
          <cell r="U3245">
            <v>0.03</v>
          </cell>
          <cell r="V3245">
            <v>2.1</v>
          </cell>
          <cell r="W3245">
            <v>0</v>
          </cell>
          <cell r="X3245" t="str">
            <v>EST COLUNA ESTANTE AJUSTAVEL (P) (FREIJO NATURAL) - 0,12x0,03x2,1H</v>
          </cell>
          <cell r="Y3245">
            <v>0</v>
          </cell>
          <cell r="Z3245">
            <v>0.35</v>
          </cell>
          <cell r="AA3245">
            <v>0</v>
          </cell>
          <cell r="AB3245"/>
        </row>
        <row r="3246">
          <cell r="C3246">
            <v>0</v>
          </cell>
          <cell r="D3246">
            <v>0</v>
          </cell>
          <cell r="E3246">
            <v>0</v>
          </cell>
          <cell r="F3246">
            <v>0</v>
          </cell>
          <cell r="H3246">
            <v>0</v>
          </cell>
          <cell r="O3246">
            <v>387500</v>
          </cell>
          <cell r="P3246" t="str">
            <v>2024/137-0015-01</v>
          </cell>
          <cell r="Q3246" t="str">
            <v>EST COLUNA ESTANTE AJUSTAVEL (P) (FREIJO NATURAL)</v>
          </cell>
          <cell r="R3246"/>
          <cell r="S3246"/>
          <cell r="T3246">
            <v>0.12</v>
          </cell>
          <cell r="U3246">
            <v>0.03</v>
          </cell>
          <cell r="V3246">
            <v>2.1</v>
          </cell>
          <cell r="W3246">
            <v>0</v>
          </cell>
          <cell r="X3246" t="str">
            <v>EST COLUNA ESTANTE AJUSTAVEL (P) (FREIJO NATURAL) - 0,12x0,03x2,1H</v>
          </cell>
          <cell r="Y3246">
            <v>0</v>
          </cell>
          <cell r="Z3246">
            <v>0.35</v>
          </cell>
          <cell r="AA3246">
            <v>0</v>
          </cell>
          <cell r="AB3246"/>
        </row>
        <row r="3247">
          <cell r="C3247">
            <v>0</v>
          </cell>
          <cell r="D3247">
            <v>0</v>
          </cell>
          <cell r="E3247">
            <v>0</v>
          </cell>
          <cell r="F3247">
            <v>0</v>
          </cell>
          <cell r="H3247">
            <v>0</v>
          </cell>
          <cell r="O3247">
            <v>387652</v>
          </cell>
          <cell r="P3247"/>
          <cell r="Q3247" t="str">
            <v>EST POLTRONA ZECA (FREIJO ENV) TC MIKA CHIVE</v>
          </cell>
          <cell r="R3247"/>
          <cell r="S3247"/>
          <cell r="T3247">
            <v>0.69</v>
          </cell>
          <cell r="U3247">
            <v>0.76</v>
          </cell>
          <cell r="V3247">
            <v>0.77</v>
          </cell>
          <cell r="W3247">
            <v>0</v>
          </cell>
          <cell r="X3247" t="str">
            <v>EST POLTRONA ZECA (FREIJO ENV) TC MIKA CHIVE - 0,69x0,76x0,77H</v>
          </cell>
          <cell r="Y3247">
            <v>0</v>
          </cell>
          <cell r="Z3247">
            <v>0.35</v>
          </cell>
          <cell r="AA3247">
            <v>0</v>
          </cell>
          <cell r="AB3247"/>
        </row>
        <row r="3248">
          <cell r="C3248">
            <v>0</v>
          </cell>
          <cell r="D3248">
            <v>0</v>
          </cell>
          <cell r="E3248">
            <v>0</v>
          </cell>
          <cell r="F3248">
            <v>0</v>
          </cell>
          <cell r="H3248">
            <v>0</v>
          </cell>
          <cell r="O3248">
            <v>387654</v>
          </cell>
          <cell r="P3248"/>
          <cell r="Q3248" t="str">
            <v>EST MESA JANTAR MAC (LAM ESPECIAL) (MAD A TAUARI NOGUEIRA)</v>
          </cell>
          <cell r="R3248"/>
          <cell r="S3248"/>
          <cell r="T3248">
            <v>1.2</v>
          </cell>
          <cell r="U3248">
            <v>0</v>
          </cell>
          <cell r="V3248">
            <v>0.75</v>
          </cell>
          <cell r="W3248">
            <v>1.2</v>
          </cell>
          <cell r="X3248" t="str">
            <v>EST MESA JANTAR MAC (LAM ESPECIAL) (MAD A TAUARI NOGUEIRA) - Ø1,2x0,75H</v>
          </cell>
          <cell r="Y3248">
            <v>0</v>
          </cell>
          <cell r="Z3248">
            <v>0</v>
          </cell>
          <cell r="AA3248">
            <v>0</v>
          </cell>
          <cell r="AB3248"/>
        </row>
        <row r="3249">
          <cell r="C3249">
            <v>0</v>
          </cell>
          <cell r="D3249">
            <v>0</v>
          </cell>
          <cell r="E3249">
            <v>0</v>
          </cell>
          <cell r="F3249">
            <v>0</v>
          </cell>
          <cell r="H3249">
            <v>0</v>
          </cell>
          <cell r="O3249">
            <v>387678</v>
          </cell>
          <cell r="P3249"/>
          <cell r="Q3249" t="str">
            <v>EST BANQUETA DODO (FREIJO NATURAL) COURO IMPORT 68</v>
          </cell>
          <cell r="R3249"/>
          <cell r="S3249"/>
          <cell r="T3249">
            <v>0.7</v>
          </cell>
          <cell r="U3249">
            <v>0.55000000000000004</v>
          </cell>
          <cell r="V3249">
            <v>0.42</v>
          </cell>
          <cell r="W3249">
            <v>0</v>
          </cell>
          <cell r="X3249" t="str">
            <v>EST BANQUETA DODO (FREIJO NATURAL) COURO IMPORT 68 - 0,7x0,55x0,42H</v>
          </cell>
          <cell r="Y3249">
            <v>0</v>
          </cell>
          <cell r="Z3249">
            <v>0.5</v>
          </cell>
          <cell r="AA3249">
            <v>0</v>
          </cell>
          <cell r="AB3249"/>
        </row>
        <row r="3250">
          <cell r="C3250">
            <v>0</v>
          </cell>
          <cell r="D3250">
            <v>0</v>
          </cell>
          <cell r="E3250">
            <v>0</v>
          </cell>
          <cell r="F3250">
            <v>0</v>
          </cell>
          <cell r="H3250">
            <v>5</v>
          </cell>
          <cell r="O3250">
            <v>387911</v>
          </cell>
          <cell r="P3250"/>
          <cell r="Q3250" t="str">
            <v>EST CADEIRA GB MTF600 (S/B) TC TERRACOTA</v>
          </cell>
          <cell r="R3250"/>
          <cell r="S3250"/>
          <cell r="T3250">
            <v>0.4</v>
          </cell>
          <cell r="U3250">
            <v>0.48</v>
          </cell>
          <cell r="V3250">
            <v>0.82</v>
          </cell>
          <cell r="W3250">
            <v>0</v>
          </cell>
          <cell r="X3250" t="str">
            <v>EST CADEIRA GB MTF600 (S/B) TC TERRACOTA - 0,4x0,48x0,82H</v>
          </cell>
          <cell r="Y3250">
            <v>0</v>
          </cell>
          <cell r="Z3250">
            <v>0</v>
          </cell>
          <cell r="AA3250">
            <v>0</v>
          </cell>
          <cell r="AB3250"/>
        </row>
        <row r="3251">
          <cell r="C3251">
            <v>0</v>
          </cell>
          <cell r="D3251">
            <v>0</v>
          </cell>
          <cell r="E3251">
            <v>0</v>
          </cell>
          <cell r="F3251">
            <v>0</v>
          </cell>
          <cell r="H3251">
            <v>0</v>
          </cell>
          <cell r="O3251">
            <v>387918</v>
          </cell>
          <cell r="P3251"/>
          <cell r="Q3251" t="str">
            <v>EST SOFA NAVONA (FREIJO TONALIZADO COR 1) (CAMURCA CASTANHO)</v>
          </cell>
          <cell r="R3251"/>
          <cell r="S3251"/>
          <cell r="T3251">
            <v>1.7</v>
          </cell>
          <cell r="U3251">
            <v>0.86</v>
          </cell>
          <cell r="V3251">
            <v>0.7</v>
          </cell>
          <cell r="W3251">
            <v>0</v>
          </cell>
          <cell r="X3251" t="str">
            <v>EST SOFA NAVONA (FREIJO TONALIZADO COR 1) (CAMURCA CASTANHO) - 1,7x0,86x0,7H</v>
          </cell>
          <cell r="Y3251">
            <v>0</v>
          </cell>
          <cell r="Z3251">
            <v>0.35</v>
          </cell>
          <cell r="AA3251">
            <v>0</v>
          </cell>
          <cell r="AB3251"/>
        </row>
        <row r="3252">
          <cell r="C3252">
            <v>0</v>
          </cell>
          <cell r="D3252">
            <v>0</v>
          </cell>
          <cell r="E3252">
            <v>0</v>
          </cell>
          <cell r="F3252">
            <v>0</v>
          </cell>
          <cell r="H3252">
            <v>5</v>
          </cell>
          <cell r="O3252">
            <v>388068</v>
          </cell>
          <cell r="P3252"/>
          <cell r="Q3252" t="str">
            <v>EST CADEIRA GB01 RIPADA (JEQ 03) TC GALLIA MUSGO</v>
          </cell>
          <cell r="R3252"/>
          <cell r="S3252"/>
          <cell r="T3252">
            <v>0.45</v>
          </cell>
          <cell r="U3252">
            <v>0.48</v>
          </cell>
          <cell r="V3252">
            <v>0.85</v>
          </cell>
          <cell r="W3252">
            <v>0</v>
          </cell>
          <cell r="X3252" t="str">
            <v>EST CADEIRA GB01 RIPADA (JEQ 03) TC GALLIA MUSGO - 0,45x0,48x0,85H</v>
          </cell>
          <cell r="Y3252">
            <v>0</v>
          </cell>
          <cell r="Z3252">
            <v>0</v>
          </cell>
          <cell r="AA3252">
            <v>0</v>
          </cell>
          <cell r="AB3252"/>
        </row>
        <row r="3253">
          <cell r="C3253">
            <v>0</v>
          </cell>
          <cell r="D3253">
            <v>0</v>
          </cell>
          <cell r="E3253">
            <v>0</v>
          </cell>
          <cell r="F3253">
            <v>0</v>
          </cell>
          <cell r="H3253">
            <v>0</v>
          </cell>
          <cell r="O3253">
            <v>388492</v>
          </cell>
          <cell r="P3253"/>
          <cell r="Q3253" t="str">
            <v>EST CADEIRA AARE (CINAMOMO ENV) COURO IMPORT 57 AREIA</v>
          </cell>
          <cell r="R3253"/>
          <cell r="S3253"/>
          <cell r="T3253">
            <v>0.57999999999999996</v>
          </cell>
          <cell r="U3253">
            <v>0.54</v>
          </cell>
          <cell r="V3253">
            <v>0.82</v>
          </cell>
          <cell r="W3253">
            <v>0</v>
          </cell>
          <cell r="X3253" t="str">
            <v>EST CADEIRA AARE (CINAMOMO ENV) COURO IMPORT 57 AREIA - 0,58x0,54x0,82H</v>
          </cell>
          <cell r="Y3253">
            <v>0</v>
          </cell>
          <cell r="Z3253">
            <v>0.5</v>
          </cell>
          <cell r="AA3253">
            <v>0</v>
          </cell>
          <cell r="AB3253"/>
        </row>
        <row r="3254">
          <cell r="C3254">
            <v>0</v>
          </cell>
          <cell r="D3254">
            <v>0</v>
          </cell>
          <cell r="E3254">
            <v>0</v>
          </cell>
          <cell r="F3254">
            <v>0</v>
          </cell>
          <cell r="H3254">
            <v>3</v>
          </cell>
          <cell r="O3254">
            <v>388511</v>
          </cell>
          <cell r="P3254"/>
          <cell r="Q3254" t="str">
            <v>EST CADEIRA AARE (FREIJO NATURAL) COURO NOBUCK VERDE</v>
          </cell>
          <cell r="R3254"/>
          <cell r="S3254"/>
          <cell r="T3254">
            <v>0.57999999999999996</v>
          </cell>
          <cell r="U3254">
            <v>0.54</v>
          </cell>
          <cell r="V3254">
            <v>0.82</v>
          </cell>
          <cell r="W3254">
            <v>0</v>
          </cell>
          <cell r="X3254" t="str">
            <v>EST CADEIRA AARE (FREIJO NATURAL) COURO NOBUCK VERDE - 0,58x0,54x0,82H</v>
          </cell>
          <cell r="Y3254">
            <v>0</v>
          </cell>
          <cell r="Z3254">
            <v>0.5</v>
          </cell>
          <cell r="AA3254">
            <v>0</v>
          </cell>
          <cell r="AB3254"/>
        </row>
        <row r="3255">
          <cell r="C3255">
            <v>0</v>
          </cell>
          <cell r="D3255">
            <v>0</v>
          </cell>
          <cell r="E3255">
            <v>0</v>
          </cell>
          <cell r="F3255">
            <v>0</v>
          </cell>
          <cell r="H3255">
            <v>4</v>
          </cell>
          <cell r="O3255">
            <v>388512</v>
          </cell>
          <cell r="P3255"/>
          <cell r="Q3255" t="str">
            <v>EST CADEIRA AARE (IMBUIA) CAMURCA CASTANHO</v>
          </cell>
          <cell r="R3255"/>
          <cell r="S3255"/>
          <cell r="T3255">
            <v>0.57999999999999996</v>
          </cell>
          <cell r="U3255">
            <v>0.54</v>
          </cell>
          <cell r="V3255">
            <v>0.82</v>
          </cell>
          <cell r="W3255">
            <v>0</v>
          </cell>
          <cell r="X3255" t="str">
            <v>EST CADEIRA AARE (IMBUIA) CAMURCA CASTANHO - 0,58x0,54x0,82H</v>
          </cell>
          <cell r="Y3255">
            <v>0</v>
          </cell>
          <cell r="Z3255">
            <v>0.5</v>
          </cell>
          <cell r="AA3255">
            <v>0</v>
          </cell>
          <cell r="AB3255"/>
        </row>
        <row r="3256">
          <cell r="C3256">
            <v>0</v>
          </cell>
          <cell r="D3256">
            <v>0</v>
          </cell>
          <cell r="E3256">
            <v>0</v>
          </cell>
          <cell r="F3256">
            <v>0</v>
          </cell>
          <cell r="H3256">
            <v>0</v>
          </cell>
          <cell r="O3256">
            <v>388700</v>
          </cell>
          <cell r="P3256"/>
          <cell r="Q3256" t="str">
            <v>EST MANCEBO STAND BY (FREIJO) (G1 - GREEN SAVANA)</v>
          </cell>
          <cell r="R3256"/>
          <cell r="S3256"/>
          <cell r="T3256">
            <v>0.2</v>
          </cell>
          <cell r="U3256">
            <v>0.33</v>
          </cell>
          <cell r="V3256">
            <v>1.75</v>
          </cell>
          <cell r="W3256">
            <v>0</v>
          </cell>
          <cell r="X3256" t="str">
            <v>EST MANCEBO STAND BY (FREIJO) (G1 - GREEN SAVANA) - 0,2x0,33x1,75H</v>
          </cell>
          <cell r="Y3256">
            <v>0</v>
          </cell>
          <cell r="Z3256">
            <v>0</v>
          </cell>
          <cell r="AA3256">
            <v>0</v>
          </cell>
          <cell r="AB3256"/>
        </row>
        <row r="3257">
          <cell r="C3257">
            <v>0</v>
          </cell>
          <cell r="D3257">
            <v>0</v>
          </cell>
          <cell r="E3257">
            <v>0</v>
          </cell>
          <cell r="F3257">
            <v>0</v>
          </cell>
          <cell r="H3257">
            <v>2</v>
          </cell>
          <cell r="O3257">
            <v>388978</v>
          </cell>
          <cell r="P3257"/>
          <cell r="Q3257" t="str">
            <v>EST BANQUETA BAR GB H62 (TELA) (FREIJO NATURAL) (ACO PRETO)</v>
          </cell>
          <cell r="R3257"/>
          <cell r="S3257"/>
          <cell r="T3257">
            <v>0.42</v>
          </cell>
          <cell r="U3257">
            <v>0.42</v>
          </cell>
          <cell r="V3257">
            <v>0.62</v>
          </cell>
          <cell r="W3257">
            <v>0</v>
          </cell>
          <cell r="X3257" t="str">
            <v>EST BANQUETA BAR GB H62 (TELA) (FREIJO NATURAL) (ACO PRETO) - 0,42x0,42x0,62H</v>
          </cell>
          <cell r="Y3257">
            <v>0</v>
          </cell>
          <cell r="Z3257">
            <v>0</v>
          </cell>
          <cell r="AA3257">
            <v>0</v>
          </cell>
          <cell r="AB3257"/>
        </row>
        <row r="3258">
          <cell r="C3258">
            <v>0</v>
          </cell>
          <cell r="D3258">
            <v>0</v>
          </cell>
          <cell r="E3258">
            <v>0</v>
          </cell>
          <cell r="F3258">
            <v>0</v>
          </cell>
          <cell r="H3258">
            <v>0</v>
          </cell>
          <cell r="O3258">
            <v>389091</v>
          </cell>
          <cell r="P3258"/>
          <cell r="Q3258" t="str">
            <v>EST POLTRONA ESTOFADA (PALANTI) (IMBUIA) COURO NOBUCK 50</v>
          </cell>
          <cell r="R3258"/>
          <cell r="S3258"/>
          <cell r="T3258">
            <v>0.62</v>
          </cell>
          <cell r="U3258">
            <v>0.84</v>
          </cell>
          <cell r="V3258">
            <v>0.9</v>
          </cell>
          <cell r="W3258">
            <v>0</v>
          </cell>
          <cell r="X3258" t="str">
            <v>EST POLTRONA ESTOFADA (PALANTI) (IMBUIA) COURO NOBUCK 50 - 0,62x0,84x0,9H</v>
          </cell>
          <cell r="Y3258">
            <v>0</v>
          </cell>
          <cell r="Z3258">
            <v>0</v>
          </cell>
          <cell r="AA3258">
            <v>0</v>
          </cell>
          <cell r="AB3258"/>
        </row>
        <row r="3259">
          <cell r="C3259">
            <v>0</v>
          </cell>
          <cell r="D3259">
            <v>0</v>
          </cell>
          <cell r="E3259">
            <v>0</v>
          </cell>
          <cell r="F3259">
            <v>0</v>
          </cell>
          <cell r="H3259">
            <v>2</v>
          </cell>
          <cell r="O3259">
            <v>389092</v>
          </cell>
          <cell r="P3259"/>
          <cell r="Q3259" t="str">
            <v>EST POLTRONA ESTOFADA (PALANTI) (FREIJO) COURO NOBUCK 90</v>
          </cell>
          <cell r="R3259"/>
          <cell r="S3259"/>
          <cell r="T3259">
            <v>0.62</v>
          </cell>
          <cell r="U3259">
            <v>0.84</v>
          </cell>
          <cell r="V3259">
            <v>0.9</v>
          </cell>
          <cell r="W3259">
            <v>0</v>
          </cell>
          <cell r="X3259" t="str">
            <v>EST POLTRONA ESTOFADA (PALANTI) (FREIJO) COURO NOBUCK 90 - 0,62x0,84x0,9H</v>
          </cell>
          <cell r="Y3259">
            <v>0</v>
          </cell>
          <cell r="Z3259">
            <v>0</v>
          </cell>
          <cell r="AA3259">
            <v>0</v>
          </cell>
          <cell r="AB3259"/>
        </row>
        <row r="3260">
          <cell r="C3260">
            <v>0</v>
          </cell>
          <cell r="D3260">
            <v>0</v>
          </cell>
          <cell r="E3260">
            <v>0</v>
          </cell>
          <cell r="F3260">
            <v>0</v>
          </cell>
          <cell r="H3260">
            <v>2</v>
          </cell>
          <cell r="O3260">
            <v>389143</v>
          </cell>
          <cell r="P3260"/>
          <cell r="Q3260" t="str">
            <v>EST POLTRONA ZANINE N (FREIJO NATURAL) TC EARTHWILD CAMEL</v>
          </cell>
          <cell r="R3260"/>
          <cell r="S3260"/>
          <cell r="T3260">
            <v>0.71</v>
          </cell>
          <cell r="U3260">
            <v>0.67</v>
          </cell>
          <cell r="V3260">
            <v>0.7</v>
          </cell>
          <cell r="W3260">
            <v>0</v>
          </cell>
          <cell r="X3260" t="str">
            <v>EST POLTRONA ZANINE N (FREIJO NATURAL) TC EARTHWILD CAMEL - 0,71x0,67x0,7H</v>
          </cell>
          <cell r="Y3260">
            <v>0</v>
          </cell>
          <cell r="Z3260">
            <v>0</v>
          </cell>
          <cell r="AA3260">
            <v>0</v>
          </cell>
          <cell r="AB3260"/>
        </row>
        <row r="3261">
          <cell r="C3261">
            <v>0</v>
          </cell>
          <cell r="D3261">
            <v>0</v>
          </cell>
          <cell r="E3261">
            <v>0</v>
          </cell>
          <cell r="F3261">
            <v>0</v>
          </cell>
          <cell r="H3261">
            <v>0</v>
          </cell>
          <cell r="O3261">
            <v>389343</v>
          </cell>
          <cell r="P3261"/>
          <cell r="Q3261" t="str">
            <v>EST CADEIRA DOS ARCOS BAIXA (IMBUIA) COURO IMPORT 300</v>
          </cell>
          <cell r="R3261"/>
          <cell r="S3261"/>
          <cell r="T3261">
            <v>0.49</v>
          </cell>
          <cell r="U3261">
            <v>0.59</v>
          </cell>
          <cell r="V3261">
            <v>0.88</v>
          </cell>
          <cell r="W3261">
            <v>0</v>
          </cell>
          <cell r="X3261" t="str">
            <v>EST CADEIRA DOS ARCOS BAIXA (IMBUIA) COURO IMPORT 300 - 0,49x0,59x0,88H</v>
          </cell>
          <cell r="Y3261">
            <v>0</v>
          </cell>
          <cell r="Z3261">
            <v>0</v>
          </cell>
          <cell r="AA3261">
            <v>0</v>
          </cell>
          <cell r="AB3261"/>
        </row>
        <row r="3262">
          <cell r="C3262">
            <v>0</v>
          </cell>
          <cell r="D3262">
            <v>0</v>
          </cell>
          <cell r="E3262">
            <v>0</v>
          </cell>
          <cell r="F3262">
            <v>0</v>
          </cell>
          <cell r="H3262">
            <v>1</v>
          </cell>
          <cell r="O3262">
            <v>389344</v>
          </cell>
          <cell r="P3262"/>
          <cell r="Q3262" t="str">
            <v>EST CADEIRA DOS ARCOS BAIXA (IMBUIA) COURO NOBUCK 75</v>
          </cell>
          <cell r="R3262"/>
          <cell r="S3262"/>
          <cell r="T3262">
            <v>0.49</v>
          </cell>
          <cell r="U3262">
            <v>0.59</v>
          </cell>
          <cell r="V3262">
            <v>0.88</v>
          </cell>
          <cell r="W3262">
            <v>0</v>
          </cell>
          <cell r="X3262" t="str">
            <v>EST CADEIRA DOS ARCOS BAIXA (IMBUIA) COURO NOBUCK 75 - 0,49x0,59x0,88H</v>
          </cell>
          <cell r="Y3262">
            <v>0</v>
          </cell>
          <cell r="Z3262">
            <v>0</v>
          </cell>
          <cell r="AA3262">
            <v>0</v>
          </cell>
          <cell r="AB3262"/>
        </row>
        <row r="3263">
          <cell r="C3263">
            <v>0</v>
          </cell>
          <cell r="D3263">
            <v>0</v>
          </cell>
          <cell r="E3263">
            <v>0</v>
          </cell>
          <cell r="F3263">
            <v>0</v>
          </cell>
          <cell r="H3263">
            <v>0</v>
          </cell>
          <cell r="O3263">
            <v>389768</v>
          </cell>
          <cell r="P3263"/>
          <cell r="Q3263" t="str">
            <v>EST LUMINARIA ITAMARATY (HASTE PTO FOSCO) (SUCUPIRA)</v>
          </cell>
          <cell r="R3263"/>
          <cell r="S3263"/>
          <cell r="T3263">
            <v>0.6</v>
          </cell>
          <cell r="U3263">
            <v>0</v>
          </cell>
          <cell r="V3263">
            <v>1.41</v>
          </cell>
          <cell r="W3263">
            <v>0</v>
          </cell>
          <cell r="X3263" t="str">
            <v>EST LUMINARIA ITAMARATY (HASTE PTO FOSCO) (SUCUPIRA) - Ø0x1,41H</v>
          </cell>
          <cell r="Y3263">
            <v>0</v>
          </cell>
          <cell r="Z3263">
            <v>0.5</v>
          </cell>
          <cell r="AA3263">
            <v>0</v>
          </cell>
          <cell r="AB3263"/>
        </row>
        <row r="3264">
          <cell r="C3264">
            <v>0</v>
          </cell>
          <cell r="D3264">
            <v>0</v>
          </cell>
          <cell r="E3264">
            <v>0</v>
          </cell>
          <cell r="F3264">
            <v>0</v>
          </cell>
          <cell r="H3264">
            <v>0</v>
          </cell>
          <cell r="O3264">
            <v>389804</v>
          </cell>
          <cell r="P3264"/>
          <cell r="Q3264" t="str">
            <v>EST POLTRONA BENJAMIN (IMBUIA MEL) NOBUCK VERDE</v>
          </cell>
          <cell r="R3264"/>
          <cell r="S3264"/>
          <cell r="T3264">
            <v>0.92</v>
          </cell>
          <cell r="U3264">
            <v>0.9</v>
          </cell>
          <cell r="V3264">
            <v>0.92</v>
          </cell>
          <cell r="W3264">
            <v>0</v>
          </cell>
          <cell r="X3264" t="str">
            <v>EST POLTRONA BENJAMIN (IMBUIA MEL) NOBUCK VERDE - 0,92x0,9x0,92H</v>
          </cell>
          <cell r="Y3264">
            <v>0</v>
          </cell>
          <cell r="Z3264">
            <v>0.5</v>
          </cell>
          <cell r="AA3264">
            <v>0</v>
          </cell>
          <cell r="AB3264"/>
        </row>
        <row r="3265">
          <cell r="C3265">
            <v>0</v>
          </cell>
          <cell r="D3265">
            <v>0</v>
          </cell>
          <cell r="E3265">
            <v>0</v>
          </cell>
          <cell r="F3265">
            <v>0</v>
          </cell>
          <cell r="H3265">
            <v>0</v>
          </cell>
          <cell r="O3265">
            <v>389805</v>
          </cell>
          <cell r="P3265"/>
          <cell r="Q3265" t="str">
            <v>EST BANQUETA BENJAMIN (IMBUIA MEL) NOBUCK VERDE</v>
          </cell>
          <cell r="R3265"/>
          <cell r="S3265"/>
          <cell r="T3265">
            <v>0.8</v>
          </cell>
          <cell r="U3265">
            <v>0.6</v>
          </cell>
          <cell r="V3265">
            <v>0.38</v>
          </cell>
          <cell r="W3265">
            <v>0</v>
          </cell>
          <cell r="X3265" t="str">
            <v>EST BANQUETA BENJAMIN (IMBUIA MEL) NOBUCK VERDE - 0,8x0,6x0,38H</v>
          </cell>
          <cell r="Y3265">
            <v>0</v>
          </cell>
          <cell r="Z3265">
            <v>0.5</v>
          </cell>
          <cell r="AA3265">
            <v>0</v>
          </cell>
          <cell r="AB3265"/>
        </row>
        <row r="3266">
          <cell r="C3266">
            <v>0</v>
          </cell>
          <cell r="D3266">
            <v>0</v>
          </cell>
          <cell r="E3266">
            <v>0</v>
          </cell>
          <cell r="F3266">
            <v>0</v>
          </cell>
          <cell r="H3266">
            <v>1</v>
          </cell>
          <cell r="O3266">
            <v>389842</v>
          </cell>
          <cell r="P3266"/>
          <cell r="Q3266" t="str">
            <v>EST SOFA DECK (GARAPEIRA) TC O'UMBRELLA DUCK TAUPE</v>
          </cell>
          <cell r="R3266"/>
          <cell r="S3266"/>
          <cell r="T3266">
            <v>1.48</v>
          </cell>
          <cell r="U3266">
            <v>0.85</v>
          </cell>
          <cell r="V3266">
            <v>0.63</v>
          </cell>
          <cell r="W3266">
            <v>0</v>
          </cell>
          <cell r="X3266" t="str">
            <v>EST SOFA DECK (GARAPEIRA) TC O'UMBRELLA DUCK TAUPE - 1,48x0,85x0,63H</v>
          </cell>
          <cell r="Y3266">
            <v>0</v>
          </cell>
          <cell r="Z3266">
            <v>0</v>
          </cell>
          <cell r="AA3266">
            <v>0</v>
          </cell>
          <cell r="AB3266"/>
        </row>
        <row r="3267">
          <cell r="C3267" t="e">
            <v>#N/A</v>
          </cell>
          <cell r="D3267" t="e">
            <v>#N/A</v>
          </cell>
          <cell r="E3267" t="e">
            <v>#N/A</v>
          </cell>
          <cell r="F3267" t="e">
            <v>#N/A</v>
          </cell>
          <cell r="H3267" t="e">
            <v>#N/A</v>
          </cell>
          <cell r="O3267">
            <v>389926</v>
          </cell>
          <cell r="P3267"/>
          <cell r="Q3267" t="e">
            <v>#N/A</v>
          </cell>
          <cell r="R3267"/>
          <cell r="S3267"/>
          <cell r="T3267" t="e">
            <v>#N/A</v>
          </cell>
          <cell r="U3267" t="e">
            <v>#N/A</v>
          </cell>
          <cell r="V3267" t="e">
            <v>#N/A</v>
          </cell>
          <cell r="W3267" t="e">
            <v>#N/A</v>
          </cell>
          <cell r="X3267" t="e">
            <v>#N/A</v>
          </cell>
          <cell r="Y3267">
            <v>0</v>
          </cell>
          <cell r="Z3267">
            <v>0.5</v>
          </cell>
          <cell r="AA3267">
            <v>0</v>
          </cell>
          <cell r="AB3267"/>
        </row>
        <row r="3268">
          <cell r="C3268" t="e">
            <v>#N/A</v>
          </cell>
          <cell r="D3268" t="e">
            <v>#N/A</v>
          </cell>
          <cell r="E3268" t="e">
            <v>#N/A</v>
          </cell>
          <cell r="F3268" t="e">
            <v>#N/A</v>
          </cell>
          <cell r="H3268" t="e">
            <v>#N/A</v>
          </cell>
          <cell r="O3268">
            <v>389927</v>
          </cell>
          <cell r="P3268"/>
          <cell r="Q3268" t="e">
            <v>#N/A</v>
          </cell>
          <cell r="R3268"/>
          <cell r="S3268"/>
          <cell r="T3268" t="e">
            <v>#N/A</v>
          </cell>
          <cell r="U3268" t="e">
            <v>#N/A</v>
          </cell>
          <cell r="V3268" t="e">
            <v>#N/A</v>
          </cell>
          <cell r="W3268" t="e">
            <v>#N/A</v>
          </cell>
          <cell r="X3268" t="e">
            <v>#N/A</v>
          </cell>
          <cell r="Y3268">
            <v>0</v>
          </cell>
          <cell r="Z3268">
            <v>0.5</v>
          </cell>
          <cell r="AA3268">
            <v>0</v>
          </cell>
          <cell r="AB3268"/>
        </row>
        <row r="3269">
          <cell r="C3269">
            <v>0</v>
          </cell>
          <cell r="D3269">
            <v>0</v>
          </cell>
          <cell r="E3269">
            <v>0</v>
          </cell>
          <cell r="F3269">
            <v>0</v>
          </cell>
          <cell r="H3269">
            <v>1</v>
          </cell>
          <cell r="O3269">
            <v>390140</v>
          </cell>
          <cell r="P3269"/>
          <cell r="Q3269" t="str">
            <v>EST CADEIRA BOA C/B (C/ROD/REG ALT) (FREIJO) TC MIKA CHIVE</v>
          </cell>
          <cell r="R3269"/>
          <cell r="S3269"/>
          <cell r="T3269">
            <v>0.65</v>
          </cell>
          <cell r="U3269">
            <v>0.65</v>
          </cell>
          <cell r="V3269">
            <v>0.8</v>
          </cell>
          <cell r="W3269">
            <v>0</v>
          </cell>
          <cell r="X3269" t="str">
            <v>EST CADEIRA BOA C/B (C/ROD/REG ALT) (FREIJO) TC MIKA CHIVE - 0,65x0,65x0,8H</v>
          </cell>
          <cell r="Y3269">
            <v>0</v>
          </cell>
          <cell r="Z3269">
            <v>0.5</v>
          </cell>
          <cell r="AA3269">
            <v>0</v>
          </cell>
          <cell r="AB3269"/>
        </row>
        <row r="3270">
          <cell r="C3270">
            <v>0</v>
          </cell>
          <cell r="D3270">
            <v>0</v>
          </cell>
          <cell r="E3270">
            <v>0</v>
          </cell>
          <cell r="F3270">
            <v>0</v>
          </cell>
          <cell r="H3270">
            <v>1</v>
          </cell>
          <cell r="O3270">
            <v>390302</v>
          </cell>
          <cell r="P3270"/>
          <cell r="Q3270" t="str">
            <v>EST TAMPO CANELA (CIRCULAR) (G3-GREEN P LEVIG) (BORD DUP)</v>
          </cell>
          <cell r="R3270"/>
          <cell r="S3270"/>
          <cell r="T3270">
            <v>1.3</v>
          </cell>
          <cell r="U3270">
            <v>0</v>
          </cell>
          <cell r="V3270">
            <v>0.02</v>
          </cell>
          <cell r="W3270">
            <v>1.3</v>
          </cell>
          <cell r="X3270" t="str">
            <v>EST TAMPO CANELA (CIRCULAR) (G3-GREEN P LEVIG) (BORD DUP) - Ø1,3x0,02H</v>
          </cell>
          <cell r="Y3270">
            <v>0</v>
          </cell>
          <cell r="Z3270">
            <v>0.5</v>
          </cell>
          <cell r="AA3270">
            <v>0</v>
          </cell>
          <cell r="AB3270"/>
        </row>
        <row r="3271">
          <cell r="C3271">
            <v>0</v>
          </cell>
          <cell r="D3271">
            <v>0</v>
          </cell>
          <cell r="E3271">
            <v>0</v>
          </cell>
          <cell r="F3271">
            <v>0</v>
          </cell>
          <cell r="H3271">
            <v>0</v>
          </cell>
          <cell r="O3271">
            <v>390741</v>
          </cell>
          <cell r="P3271"/>
          <cell r="Q3271" t="str">
            <v>EST LUMINARIA TCHEKO (LATAO CROMADO) (FREIJO)</v>
          </cell>
          <cell r="R3271"/>
          <cell r="S3271"/>
          <cell r="T3271">
            <v>0.4</v>
          </cell>
          <cell r="U3271">
            <v>0.4</v>
          </cell>
          <cell r="V3271">
            <v>0.9</v>
          </cell>
          <cell r="W3271">
            <v>0</v>
          </cell>
          <cell r="X3271" t="str">
            <v>EST LUMINARIA TCHEKO (LATAO CROMADO) (FREIJO) - 0,4x0,4x0,9H</v>
          </cell>
          <cell r="Y3271">
            <v>0</v>
          </cell>
          <cell r="Z3271">
            <v>0</v>
          </cell>
          <cell r="AA3271">
            <v>0</v>
          </cell>
          <cell r="AB3271"/>
        </row>
        <row r="3272">
          <cell r="C3272">
            <v>0</v>
          </cell>
          <cell r="D3272">
            <v>0</v>
          </cell>
          <cell r="E3272">
            <v>0</v>
          </cell>
          <cell r="F3272">
            <v>0</v>
          </cell>
          <cell r="H3272">
            <v>1</v>
          </cell>
          <cell r="O3272">
            <v>390884</v>
          </cell>
          <cell r="P3272"/>
          <cell r="Q3272" t="str">
            <v>EST MESA JANTAR OBLONGO (PAU FERRO CLARO) ALTERNADO PTO FSC</v>
          </cell>
          <cell r="R3272"/>
          <cell r="S3272"/>
          <cell r="T3272">
            <v>3.5</v>
          </cell>
          <cell r="U3272">
            <v>1.2</v>
          </cell>
          <cell r="V3272">
            <v>0.74</v>
          </cell>
          <cell r="W3272">
            <v>0</v>
          </cell>
          <cell r="X3272" t="str">
            <v>EST MESA JANTAR OBLONGO (PAU FERRO CLARO) ALTERNADO PTO FSC - 3,5x1,2x0,74H</v>
          </cell>
          <cell r="Y3272">
            <v>0</v>
          </cell>
          <cell r="Z3272">
            <v>0</v>
          </cell>
          <cell r="AA3272">
            <v>0</v>
          </cell>
          <cell r="AB3272"/>
        </row>
        <row r="3273">
          <cell r="C3273">
            <v>0</v>
          </cell>
          <cell r="D3273">
            <v>0</v>
          </cell>
          <cell r="E3273">
            <v>0</v>
          </cell>
          <cell r="F3273">
            <v>0</v>
          </cell>
          <cell r="H3273">
            <v>0</v>
          </cell>
          <cell r="O3273">
            <v>390886</v>
          </cell>
          <cell r="P3273"/>
          <cell r="Q3273" t="str">
            <v>EST SOFA DIANA (C/CAPA) TC GALLIA (STON) (7826) MUSGO</v>
          </cell>
          <cell r="R3273"/>
          <cell r="S3273"/>
          <cell r="T3273">
            <v>3</v>
          </cell>
          <cell r="U3273">
            <v>1.03</v>
          </cell>
          <cell r="V3273">
            <v>0.63</v>
          </cell>
          <cell r="W3273">
            <v>0</v>
          </cell>
          <cell r="X3273" t="str">
            <v>EST SOFA DIANA (C/CAPA) TC GALLIA (STON) (7826) MUSGO - 3x1,03x0,63H</v>
          </cell>
          <cell r="Y3273">
            <v>0</v>
          </cell>
          <cell r="Z3273">
            <v>0.5</v>
          </cell>
          <cell r="AA3273">
            <v>0</v>
          </cell>
          <cell r="AB3273"/>
        </row>
        <row r="3274">
          <cell r="C3274">
            <v>0</v>
          </cell>
          <cell r="D3274">
            <v>0</v>
          </cell>
          <cell r="E3274">
            <v>0</v>
          </cell>
          <cell r="F3274">
            <v>0</v>
          </cell>
          <cell r="H3274">
            <v>1</v>
          </cell>
          <cell r="O3274">
            <v>390894</v>
          </cell>
          <cell r="P3274"/>
          <cell r="Q3274" t="str">
            <v>EST BANCO DOMINO (4 LUG) (FREIJO) (INOX)</v>
          </cell>
          <cell r="R3274"/>
          <cell r="S3274"/>
          <cell r="T3274">
            <v>1.9</v>
          </cell>
          <cell r="U3274">
            <v>0.45</v>
          </cell>
          <cell r="V3274">
            <v>0.48</v>
          </cell>
          <cell r="W3274">
            <v>0</v>
          </cell>
          <cell r="X3274" t="str">
            <v>EST BANCO DOMINO (4 LUG) (FREIJO) (INOX) - 1,9x0,45x0,48H</v>
          </cell>
          <cell r="Y3274">
            <v>0</v>
          </cell>
          <cell r="Z3274">
            <v>0.5</v>
          </cell>
          <cell r="AA3274">
            <v>0</v>
          </cell>
          <cell r="AB3274"/>
        </row>
        <row r="3275">
          <cell r="C3275">
            <v>0</v>
          </cell>
          <cell r="D3275">
            <v>0</v>
          </cell>
          <cell r="E3275">
            <v>0</v>
          </cell>
          <cell r="F3275">
            <v>0</v>
          </cell>
          <cell r="H3275">
            <v>0</v>
          </cell>
          <cell r="O3275">
            <v>390895</v>
          </cell>
          <cell r="P3275"/>
          <cell r="Q3275" t="str">
            <v>EST BANCO DOMINO (4 LUG) (IMBUIA) (INOX)</v>
          </cell>
          <cell r="R3275"/>
          <cell r="S3275"/>
          <cell r="T3275">
            <v>1.9</v>
          </cell>
          <cell r="U3275">
            <v>0.45</v>
          </cell>
          <cell r="V3275">
            <v>0.48</v>
          </cell>
          <cell r="W3275">
            <v>0</v>
          </cell>
          <cell r="X3275" t="str">
            <v>EST BANCO DOMINO (4 LUG) (IMBUIA) (INOX) - 1,9x0,45x0,48H</v>
          </cell>
          <cell r="Y3275">
            <v>0</v>
          </cell>
          <cell r="Z3275">
            <v>0.5</v>
          </cell>
          <cell r="AA3275">
            <v>0</v>
          </cell>
          <cell r="AB3275"/>
        </row>
        <row r="3276">
          <cell r="C3276">
            <v>0</v>
          </cell>
          <cell r="D3276">
            <v>0</v>
          </cell>
          <cell r="E3276">
            <v>0</v>
          </cell>
          <cell r="F3276">
            <v>0</v>
          </cell>
          <cell r="H3276">
            <v>11</v>
          </cell>
          <cell r="O3276">
            <v>391051</v>
          </cell>
          <cell r="P3276"/>
          <cell r="Q3276" t="str">
            <v>EST MESA LATERAL STAN (MARMORE PARANA LOTUS</v>
          </cell>
          <cell r="R3276"/>
          <cell r="S3276"/>
          <cell r="T3276">
            <v>0.4</v>
          </cell>
          <cell r="U3276">
            <v>0</v>
          </cell>
          <cell r="V3276">
            <v>0.6</v>
          </cell>
          <cell r="W3276">
            <v>0.4</v>
          </cell>
          <cell r="X3276" t="str">
            <v>EST MESA LATERAL STAN (MARMORE PARANA LOTUS - Ø0,4x0,6H</v>
          </cell>
          <cell r="Y3276">
            <v>0</v>
          </cell>
          <cell r="Z3276">
            <v>0.5</v>
          </cell>
          <cell r="AA3276">
            <v>0</v>
          </cell>
          <cell r="AB3276"/>
        </row>
        <row r="3277">
          <cell r="C3277">
            <v>0</v>
          </cell>
          <cell r="D3277">
            <v>0</v>
          </cell>
          <cell r="E3277">
            <v>0</v>
          </cell>
          <cell r="F3277">
            <v>0</v>
          </cell>
          <cell r="H3277">
            <v>3</v>
          </cell>
          <cell r="O3277">
            <v>391054</v>
          </cell>
          <cell r="P3277"/>
          <cell r="Q3277" t="str">
            <v>EST MESA LATERAL STAN JR (MARMORE PARANA LOTUS)</v>
          </cell>
          <cell r="R3277"/>
          <cell r="S3277"/>
          <cell r="T3277">
            <v>0.3</v>
          </cell>
          <cell r="U3277">
            <v>0</v>
          </cell>
          <cell r="V3277">
            <v>0.55000000000000004</v>
          </cell>
          <cell r="W3277">
            <v>0.3</v>
          </cell>
          <cell r="X3277" t="str">
            <v>EST MESA LATERAL STAN JR (MARMORE PARANA LOTUS) - Ø0,3x0,55H</v>
          </cell>
          <cell r="Y3277">
            <v>0</v>
          </cell>
          <cell r="Z3277">
            <v>0.5</v>
          </cell>
          <cell r="AA3277">
            <v>0</v>
          </cell>
          <cell r="AB3277"/>
        </row>
        <row r="3278">
          <cell r="C3278">
            <v>0</v>
          </cell>
          <cell r="D3278">
            <v>0</v>
          </cell>
          <cell r="E3278">
            <v>0</v>
          </cell>
          <cell r="F3278">
            <v>0</v>
          </cell>
          <cell r="H3278">
            <v>1</v>
          </cell>
          <cell r="O3278">
            <v>391293</v>
          </cell>
          <cell r="P3278"/>
          <cell r="Q3278" t="str">
            <v>EST POLTRONA STELLA (ALTA) (MAD A NOG) TC EL ANGOLA CARAMEL</v>
          </cell>
          <cell r="R3278"/>
          <cell r="S3278"/>
          <cell r="T3278">
            <v>0.74</v>
          </cell>
          <cell r="U3278">
            <v>0.95</v>
          </cell>
          <cell r="V3278">
            <v>0.87</v>
          </cell>
          <cell r="W3278">
            <v>0</v>
          </cell>
          <cell r="X3278" t="str">
            <v>EST POLTRONA STELLA (ALTA) (MAD A NOG) TC EL ANGOLA CARAMEL - 0,74x0,95x0,87H</v>
          </cell>
          <cell r="Y3278">
            <v>0</v>
          </cell>
          <cell r="Z3278">
            <v>0.5</v>
          </cell>
          <cell r="AA3278">
            <v>0</v>
          </cell>
          <cell r="AB3278"/>
        </row>
        <row r="3279">
          <cell r="C3279">
            <v>0</v>
          </cell>
          <cell r="D3279">
            <v>0</v>
          </cell>
          <cell r="E3279">
            <v>0</v>
          </cell>
          <cell r="F3279">
            <v>0</v>
          </cell>
          <cell r="H3279">
            <v>1</v>
          </cell>
          <cell r="O3279">
            <v>391294</v>
          </cell>
          <cell r="P3279"/>
          <cell r="Q3279" t="str">
            <v>EST BANQUETA STELLA (MAD A COR NOG) TC EL ANGOLA CARAMEL</v>
          </cell>
          <cell r="R3279"/>
          <cell r="S3279"/>
          <cell r="T3279">
            <v>0.62</v>
          </cell>
          <cell r="U3279">
            <v>0.48</v>
          </cell>
          <cell r="V3279">
            <v>0.39</v>
          </cell>
          <cell r="W3279">
            <v>0</v>
          </cell>
          <cell r="X3279" t="str">
            <v>EST BANQUETA STELLA (MAD A COR NOG) TC EL ANGOLA CARAMEL - 0,62x0,48x0,39H</v>
          </cell>
          <cell r="Y3279">
            <v>0</v>
          </cell>
          <cell r="Z3279">
            <v>0.5</v>
          </cell>
          <cell r="AA3279">
            <v>0</v>
          </cell>
          <cell r="AB3279"/>
        </row>
        <row r="3280">
          <cell r="C3280">
            <v>0</v>
          </cell>
          <cell r="D3280">
            <v>0</v>
          </cell>
          <cell r="E3280">
            <v>0</v>
          </cell>
          <cell r="F3280">
            <v>0</v>
          </cell>
          <cell r="H3280">
            <v>6</v>
          </cell>
          <cell r="O3280">
            <v>391295</v>
          </cell>
          <cell r="P3280"/>
          <cell r="Q3280" t="str">
            <v>EST CADEIRA JOHN GRAZ (IMBUIA) COURO CAMURCA VERMELHO</v>
          </cell>
          <cell r="R3280"/>
          <cell r="S3280"/>
          <cell r="T3280">
            <v>0.48</v>
          </cell>
          <cell r="U3280">
            <v>0.53</v>
          </cell>
          <cell r="V3280">
            <v>0.82</v>
          </cell>
          <cell r="W3280">
            <v>0</v>
          </cell>
          <cell r="X3280" t="str">
            <v>EST CADEIRA JOHN GRAZ (IMBUIA) COURO CAMURCA VERMELHO - 0,48x0,53x0,82H</v>
          </cell>
          <cell r="Y3280">
            <v>0</v>
          </cell>
          <cell r="Z3280">
            <v>0.5</v>
          </cell>
          <cell r="AA3280">
            <v>0</v>
          </cell>
          <cell r="AB3280"/>
        </row>
        <row r="3281">
          <cell r="C3281">
            <v>0</v>
          </cell>
          <cell r="D3281">
            <v>0</v>
          </cell>
          <cell r="E3281">
            <v>0</v>
          </cell>
          <cell r="F3281">
            <v>0</v>
          </cell>
          <cell r="H3281">
            <v>2</v>
          </cell>
          <cell r="O3281">
            <v>391629</v>
          </cell>
          <cell r="P3281"/>
          <cell r="Q3281" t="str">
            <v>EST TAMPO CRISTAL LAPIDADO (15MM) INCOLOR (CIRCULAR)</v>
          </cell>
          <cell r="R3281"/>
          <cell r="S3281"/>
          <cell r="T3281">
            <v>1.3</v>
          </cell>
          <cell r="U3281">
            <v>0</v>
          </cell>
          <cell r="V3281">
            <v>0.01</v>
          </cell>
          <cell r="W3281">
            <v>1.3</v>
          </cell>
          <cell r="X3281" t="str">
            <v>EST TAMPO CRISTAL LAPIDADO (15MM) INCOLOR (CIRCULAR) - Ø1,3x0,01H</v>
          </cell>
          <cell r="Y3281">
            <v>0</v>
          </cell>
          <cell r="Z3281">
            <v>0.5</v>
          </cell>
          <cell r="AA3281">
            <v>0</v>
          </cell>
          <cell r="AB3281"/>
        </row>
        <row r="3282">
          <cell r="C3282">
            <v>0</v>
          </cell>
          <cell r="D3282">
            <v>0</v>
          </cell>
          <cell r="E3282">
            <v>0</v>
          </cell>
          <cell r="F3282">
            <v>0</v>
          </cell>
          <cell r="H3282">
            <v>1</v>
          </cell>
          <cell r="O3282">
            <v>391809</v>
          </cell>
          <cell r="P3282"/>
          <cell r="Q3282" t="str">
            <v>EST HOME THOMAS (SUCUPIRA)</v>
          </cell>
          <cell r="R3282"/>
          <cell r="S3282"/>
          <cell r="T3282">
            <v>2.7</v>
          </cell>
          <cell r="U3282">
            <v>0.45</v>
          </cell>
          <cell r="V3282">
            <v>0.63</v>
          </cell>
          <cell r="W3282">
            <v>0</v>
          </cell>
          <cell r="X3282" t="str">
            <v>EST HOME THOMAS (SUCUPIRA) - 2,7x0,45x0,63H</v>
          </cell>
          <cell r="Y3282">
            <v>0</v>
          </cell>
          <cell r="Z3282">
            <v>0.5</v>
          </cell>
          <cell r="AA3282">
            <v>0</v>
          </cell>
          <cell r="AB3282"/>
        </row>
        <row r="3283">
          <cell r="C3283">
            <v>0</v>
          </cell>
          <cell r="D3283">
            <v>0</v>
          </cell>
          <cell r="E3283">
            <v>0</v>
          </cell>
          <cell r="F3283">
            <v>0</v>
          </cell>
          <cell r="H3283">
            <v>6</v>
          </cell>
          <cell r="O3283">
            <v>395032</v>
          </cell>
          <cell r="P3283"/>
          <cell r="Q3283" t="str">
            <v>EST CADEIRA OMAR C/B BXO (MAD B FREIJO NT) CAMURCA CASTANHO</v>
          </cell>
          <cell r="R3283"/>
          <cell r="S3283"/>
          <cell r="T3283">
            <v>0.55000000000000004</v>
          </cell>
          <cell r="U3283">
            <v>0.55000000000000004</v>
          </cell>
          <cell r="V3283">
            <v>0.83</v>
          </cell>
          <cell r="W3283">
            <v>0</v>
          </cell>
          <cell r="X3283" t="str">
            <v>EST CADEIRA OMAR C/B BXO (MAD B FREIJO NT) CAMURCA CASTANHO - 0,55x0,55x0,83H</v>
          </cell>
          <cell r="Y3283">
            <v>0</v>
          </cell>
          <cell r="Z3283">
            <v>0.5</v>
          </cell>
          <cell r="AA3283">
            <v>0</v>
          </cell>
          <cell r="AB3283"/>
        </row>
        <row r="3284">
          <cell r="C3284">
            <v>0</v>
          </cell>
          <cell r="D3284">
            <v>0</v>
          </cell>
          <cell r="E3284">
            <v>0</v>
          </cell>
          <cell r="F3284">
            <v>0</v>
          </cell>
          <cell r="H3284">
            <v>1</v>
          </cell>
          <cell r="O3284">
            <v>395058</v>
          </cell>
          <cell r="P3284"/>
          <cell r="Q3284" t="str">
            <v>EST SOFA OLIVO (ACO PT) TC EL MONA RD WINE/TC STAUNCH AZALEA</v>
          </cell>
          <cell r="R3284"/>
          <cell r="S3284"/>
          <cell r="T3284">
            <v>2.4500000000000002</v>
          </cell>
          <cell r="U3284">
            <v>0.84</v>
          </cell>
          <cell r="V3284">
            <v>0.7</v>
          </cell>
          <cell r="W3284">
            <v>0</v>
          </cell>
          <cell r="X3284" t="str">
            <v>EST SOFA OLIVO (ACO PT) TC EL MONA RD WINE/TC STAUNCH AZALEA - 2,45x0,84x0,7H</v>
          </cell>
          <cell r="Y3284">
            <v>0</v>
          </cell>
          <cell r="Z3284">
            <v>0.5</v>
          </cell>
          <cell r="AA3284">
            <v>0</v>
          </cell>
          <cell r="AB3284"/>
        </row>
        <row r="3285">
          <cell r="C3285">
            <v>0</v>
          </cell>
          <cell r="D3285">
            <v>0</v>
          </cell>
          <cell r="E3285">
            <v>0</v>
          </cell>
          <cell r="F3285">
            <v>0</v>
          </cell>
          <cell r="H3285">
            <v>1</v>
          </cell>
          <cell r="O3285">
            <v>395070</v>
          </cell>
          <cell r="P3285"/>
          <cell r="Q3285" t="str">
            <v>EST HOME LINDO (SEM NICHO) SAYERLACK N027/PTO MTZ FSC</v>
          </cell>
          <cell r="R3285"/>
          <cell r="S3285"/>
          <cell r="T3285">
            <v>2.6</v>
          </cell>
          <cell r="U3285">
            <v>0.49</v>
          </cell>
          <cell r="V3285">
            <v>0.6</v>
          </cell>
          <cell r="W3285">
            <v>0</v>
          </cell>
          <cell r="X3285" t="str">
            <v>EST HOME LINDO (SEM NICHO) SAYERLACK N027/PTO MTZ FSC - 2,6x0,49x0,6H</v>
          </cell>
          <cell r="Y3285">
            <v>0</v>
          </cell>
          <cell r="Z3285">
            <v>0.5</v>
          </cell>
          <cell r="AA3285">
            <v>0</v>
          </cell>
          <cell r="AB3285"/>
        </row>
        <row r="3286">
          <cell r="C3286">
            <v>0</v>
          </cell>
          <cell r="D3286">
            <v>0</v>
          </cell>
          <cell r="E3286">
            <v>0</v>
          </cell>
          <cell r="F3286">
            <v>0</v>
          </cell>
          <cell r="H3286">
            <v>8</v>
          </cell>
          <cell r="O3286">
            <v>395072</v>
          </cell>
          <cell r="P3286"/>
          <cell r="Q3286" t="str">
            <v>EST CADEIRA OMAR C/B BXO (MAD A JEQ TABACO) COURO IMPORT 69</v>
          </cell>
          <cell r="R3286"/>
          <cell r="S3286"/>
          <cell r="T3286">
            <v>0.55000000000000004</v>
          </cell>
          <cell r="U3286">
            <v>0.55000000000000004</v>
          </cell>
          <cell r="V3286">
            <v>0.83</v>
          </cell>
          <cell r="W3286">
            <v>0</v>
          </cell>
          <cell r="X3286" t="str">
            <v>EST CADEIRA OMAR C/B BXO (MAD A JEQ TABACO) COURO IMPORT 69 - 0,55x0,55x0,83H</v>
          </cell>
          <cell r="Y3286">
            <v>0</v>
          </cell>
          <cell r="Z3286">
            <v>0.5</v>
          </cell>
          <cell r="AA3286">
            <v>0</v>
          </cell>
          <cell r="AB3286"/>
        </row>
        <row r="3287">
          <cell r="C3287">
            <v>0</v>
          </cell>
          <cell r="D3287">
            <v>0</v>
          </cell>
          <cell r="E3287">
            <v>0</v>
          </cell>
          <cell r="F3287">
            <v>0</v>
          </cell>
          <cell r="H3287">
            <v>1</v>
          </cell>
          <cell r="O3287">
            <v>398519</v>
          </cell>
          <cell r="P3287"/>
          <cell r="Q3287" t="str">
            <v>EST MESA JANTAR FIO (MADEIRA CANELA ESCURA)</v>
          </cell>
          <cell r="R3287"/>
          <cell r="S3287"/>
          <cell r="T3287">
            <v>3</v>
          </cell>
          <cell r="U3287">
            <v>1.2</v>
          </cell>
          <cell r="V3287">
            <v>0.74</v>
          </cell>
          <cell r="W3287">
            <v>0</v>
          </cell>
          <cell r="X3287" t="str">
            <v>EST MESA JANTAR FIO (MADEIRA CANELA ESCURA) - 3x1,2x0,74H</v>
          </cell>
          <cell r="Y3287">
            <v>0</v>
          </cell>
          <cell r="Z3287">
            <v>0.5</v>
          </cell>
          <cell r="AA3287">
            <v>0</v>
          </cell>
          <cell r="AB3287"/>
        </row>
        <row r="3288">
          <cell r="C3288">
            <v>0</v>
          </cell>
          <cell r="D3288">
            <v>0</v>
          </cell>
          <cell r="E3288">
            <v>0</v>
          </cell>
          <cell r="F3288">
            <v>0</v>
          </cell>
          <cell r="H3288">
            <v>2</v>
          </cell>
          <cell r="O3288">
            <v>399047</v>
          </cell>
          <cell r="P3288"/>
          <cell r="Q3288" t="str">
            <v>EST PUFF AIR II TC VILLA OLMO NATURAL</v>
          </cell>
          <cell r="R3288"/>
          <cell r="S3288"/>
          <cell r="T3288">
            <v>0.9</v>
          </cell>
          <cell r="U3288">
            <v>0.9</v>
          </cell>
          <cell r="V3288">
            <v>0.4</v>
          </cell>
          <cell r="W3288">
            <v>0</v>
          </cell>
          <cell r="X3288" t="str">
            <v>EST PUFF AIR II TC VILLA OLMO NATURAL - 0,9x0,9x0,4H</v>
          </cell>
          <cell r="Y3288">
            <v>0</v>
          </cell>
          <cell r="Z3288">
            <v>0.5</v>
          </cell>
          <cell r="AA3288">
            <v>0</v>
          </cell>
          <cell r="AB3288"/>
        </row>
        <row r="3289">
          <cell r="C3289">
            <v>0</v>
          </cell>
          <cell r="D3289">
            <v>0</v>
          </cell>
          <cell r="E3289">
            <v>0</v>
          </cell>
          <cell r="F3289">
            <v>0</v>
          </cell>
          <cell r="H3289">
            <v>1</v>
          </cell>
          <cell r="O3289">
            <v>399201</v>
          </cell>
          <cell r="P3289" t="str">
            <v>2025/021-0046-01</v>
          </cell>
          <cell r="Q3289" t="str">
            <v>EST COMPONENTE ALMOFADAO POLTRONA MOLECA COURO IMPORT 300</v>
          </cell>
          <cell r="R3289"/>
          <cell r="S3289"/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 t="str">
            <v>EST COMPONENTE ALMOFADAO POLTRONA MOLECA COURO IMPORT 300 - Ø0x0H</v>
          </cell>
          <cell r="Y3289">
            <v>0</v>
          </cell>
          <cell r="Z3289">
            <v>0.35</v>
          </cell>
          <cell r="AA3289">
            <v>0</v>
          </cell>
          <cell r="AB3289"/>
        </row>
        <row r="3290">
          <cell r="C3290">
            <v>0</v>
          </cell>
          <cell r="D3290">
            <v>0</v>
          </cell>
          <cell r="E3290">
            <v>0</v>
          </cell>
          <cell r="F3290">
            <v>0</v>
          </cell>
          <cell r="H3290">
            <v>1</v>
          </cell>
          <cell r="O3290">
            <v>399202</v>
          </cell>
          <cell r="P3290" t="str">
            <v>2025/021-0047-01</v>
          </cell>
          <cell r="Q3290" t="str">
            <v>EST COMPONENTE ALMOFADAO BANQUETA MOLECA COURO IMPORT 300</v>
          </cell>
          <cell r="R3290"/>
          <cell r="S3290"/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 t="str">
            <v>EST COMPONENTE ALMOFADAO BANQUETA MOLECA COURO IMPORT 300 - Ø0x0H</v>
          </cell>
          <cell r="Y3290">
            <v>0</v>
          </cell>
          <cell r="Z3290">
            <v>0.35</v>
          </cell>
          <cell r="AA3290">
            <v>0</v>
          </cell>
          <cell r="AB3290"/>
        </row>
        <row r="3291">
          <cell r="C3291">
            <v>0</v>
          </cell>
          <cell r="D3291">
            <v>0</v>
          </cell>
          <cell r="E3291">
            <v>0</v>
          </cell>
          <cell r="F3291">
            <v>0</v>
          </cell>
          <cell r="H3291">
            <v>0</v>
          </cell>
          <cell r="O3291">
            <v>399257</v>
          </cell>
          <cell r="P3291"/>
          <cell r="Q3291" t="str">
            <v>EST POLTRONA CARMEL (FREIJO NT) COURO IMPORT 69/LONA CRU</v>
          </cell>
          <cell r="R3291"/>
          <cell r="S3291"/>
          <cell r="T3291">
            <v>1.1000000000000001</v>
          </cell>
          <cell r="U3291">
            <v>0.86</v>
          </cell>
          <cell r="V3291">
            <v>1.05</v>
          </cell>
          <cell r="W3291">
            <v>0</v>
          </cell>
          <cell r="X3291" t="str">
            <v>EST POLTRONA CARMEL (FREIJO NT) COURO IMPORT 69/LONA CRU - 1,1x0,86x1,05H</v>
          </cell>
          <cell r="Y3291">
            <v>0</v>
          </cell>
          <cell r="Z3291">
            <v>0.5</v>
          </cell>
          <cell r="AA3291">
            <v>0</v>
          </cell>
          <cell r="AB3291"/>
        </row>
        <row r="3292">
          <cell r="C3292">
            <v>0</v>
          </cell>
          <cell r="D3292">
            <v>0</v>
          </cell>
          <cell r="E3292">
            <v>0</v>
          </cell>
          <cell r="F3292">
            <v>0</v>
          </cell>
          <cell r="H3292">
            <v>0</v>
          </cell>
          <cell r="O3292">
            <v>399339</v>
          </cell>
          <cell r="P3292"/>
          <cell r="Q3292" t="str">
            <v>EST MESA CENTRO JOHN GRAZ (LC FSC VERMELHA) (BRANCO PARANA)</v>
          </cell>
          <cell r="R3292"/>
          <cell r="S3292"/>
          <cell r="T3292">
            <v>1.7</v>
          </cell>
          <cell r="U3292">
            <v>0.77</v>
          </cell>
          <cell r="V3292">
            <v>0.32</v>
          </cell>
          <cell r="W3292">
            <v>0</v>
          </cell>
          <cell r="X3292" t="str">
            <v>EST MESA CENTRO JOHN GRAZ (LC FSC VERMELHA) (BRANCO PARANA) - 1,7x0,77x0,32H</v>
          </cell>
          <cell r="Y3292">
            <v>0</v>
          </cell>
          <cell r="Z3292">
            <v>0.5</v>
          </cell>
          <cell r="AA3292">
            <v>0</v>
          </cell>
          <cell r="AB3292"/>
        </row>
        <row r="3293">
          <cell r="C3293">
            <v>0</v>
          </cell>
          <cell r="D3293">
            <v>0</v>
          </cell>
          <cell r="E3293">
            <v>0</v>
          </cell>
          <cell r="F3293">
            <v>0</v>
          </cell>
          <cell r="H3293">
            <v>0</v>
          </cell>
          <cell r="O3293">
            <v>399424</v>
          </cell>
          <cell r="P3293"/>
          <cell r="Q3293" t="str">
            <v>EST POLTRONA JG (MAD A JEQ 03) (TELA SEXTAVADA NATURAL)</v>
          </cell>
          <cell r="R3293"/>
          <cell r="S3293"/>
          <cell r="T3293">
            <v>0.54</v>
          </cell>
          <cell r="U3293">
            <v>0.57999999999999996</v>
          </cell>
          <cell r="V3293">
            <v>0.7</v>
          </cell>
          <cell r="W3293">
            <v>0</v>
          </cell>
          <cell r="X3293" t="str">
            <v>EST POLTRONA JG (MAD A JEQ 03) (TELA SEXTAVADA NATURAL) - 0,54x0,58x0,7H</v>
          </cell>
          <cell r="Y3293">
            <v>0</v>
          </cell>
          <cell r="Z3293">
            <v>0.5</v>
          </cell>
          <cell r="AA3293">
            <v>0</v>
          </cell>
          <cell r="AB3293"/>
        </row>
        <row r="3294">
          <cell r="C3294">
            <v>0</v>
          </cell>
          <cell r="D3294">
            <v>0</v>
          </cell>
          <cell r="E3294">
            <v>0</v>
          </cell>
          <cell r="F3294">
            <v>0</v>
          </cell>
          <cell r="H3294">
            <v>1</v>
          </cell>
          <cell r="O3294">
            <v>400386</v>
          </cell>
          <cell r="P3294"/>
          <cell r="Q3294" t="str">
            <v>EST POLTRONA MOLECA (MAD A COR 02) COURO CAMURCA TABACO</v>
          </cell>
          <cell r="R3294"/>
          <cell r="S3294"/>
          <cell r="T3294">
            <v>1.06</v>
          </cell>
          <cell r="U3294">
            <v>0.9</v>
          </cell>
          <cell r="V3294">
            <v>0.8</v>
          </cell>
          <cell r="W3294">
            <v>0</v>
          </cell>
          <cell r="X3294" t="str">
            <v>EST POLTRONA MOLECA (MAD A COR 02) COURO CAMURCA TABACO - 1,06x0,9x0,8H</v>
          </cell>
          <cell r="Y3294">
            <v>0</v>
          </cell>
          <cell r="Z3294">
            <v>0.35</v>
          </cell>
          <cell r="AA3294">
            <v>0</v>
          </cell>
          <cell r="AB3294"/>
        </row>
        <row r="3295">
          <cell r="C3295">
            <v>0</v>
          </cell>
          <cell r="D3295">
            <v>0</v>
          </cell>
          <cell r="E3295">
            <v>0</v>
          </cell>
          <cell r="F3295">
            <v>0</v>
          </cell>
          <cell r="H3295">
            <v>2</v>
          </cell>
          <cell r="O3295">
            <v>400486</v>
          </cell>
          <cell r="P3295" t="str">
            <v>2025/015-0001-01</v>
          </cell>
          <cell r="Q3295" t="str">
            <v>EST POLTRONA DIZ (ESTOF S/FURO) (MAD A COR 2) COURO CH 05</v>
          </cell>
          <cell r="R3295"/>
          <cell r="S3295"/>
          <cell r="T3295">
            <v>0.78</v>
          </cell>
          <cell r="U3295">
            <v>0.89</v>
          </cell>
          <cell r="V3295">
            <v>0.71</v>
          </cell>
          <cell r="W3295">
            <v>0</v>
          </cell>
          <cell r="X3295" t="str">
            <v>EST POLTRONA DIZ (ESTOF S/FURO) (MAD A COR 2) COURO CH 05 - 0,78x0,89x0,71H</v>
          </cell>
          <cell r="Y3295">
            <v>0</v>
          </cell>
          <cell r="Z3295">
            <v>0.35</v>
          </cell>
          <cell r="AA3295">
            <v>0</v>
          </cell>
          <cell r="AB3295"/>
        </row>
        <row r="3296">
          <cell r="C3296">
            <v>0</v>
          </cell>
          <cell r="D3296">
            <v>0</v>
          </cell>
          <cell r="E3296">
            <v>0</v>
          </cell>
          <cell r="F3296">
            <v>0</v>
          </cell>
          <cell r="H3296">
            <v>2</v>
          </cell>
          <cell r="O3296">
            <v>400486</v>
          </cell>
          <cell r="P3296" t="str">
            <v>2025/015-0002-01</v>
          </cell>
          <cell r="Q3296" t="str">
            <v>EST POLTRONA DIZ (ESTOF S/FURO) (MAD A COR 2) COURO CH 05</v>
          </cell>
          <cell r="R3296"/>
          <cell r="S3296"/>
          <cell r="T3296">
            <v>0.78</v>
          </cell>
          <cell r="U3296">
            <v>0.89</v>
          </cell>
          <cell r="V3296">
            <v>0.71</v>
          </cell>
          <cell r="W3296">
            <v>0</v>
          </cell>
          <cell r="X3296" t="str">
            <v>EST POLTRONA DIZ (ESTOF S/FURO) (MAD A COR 2) COURO CH 05 - 0,78x0,89x0,71H</v>
          </cell>
          <cell r="Y3296">
            <v>0</v>
          </cell>
          <cell r="Z3296">
            <v>0.35</v>
          </cell>
          <cell r="AA3296">
            <v>0</v>
          </cell>
          <cell r="AB3296"/>
        </row>
        <row r="3297">
          <cell r="C3297">
            <v>0</v>
          </cell>
          <cell r="D3297">
            <v>0</v>
          </cell>
          <cell r="E3297">
            <v>0</v>
          </cell>
          <cell r="F3297">
            <v>0</v>
          </cell>
          <cell r="H3297">
            <v>0</v>
          </cell>
          <cell r="O3297">
            <v>402213</v>
          </cell>
          <cell r="P3297" t="str">
            <v>2025/072-0056-01</v>
          </cell>
          <cell r="Q3297" t="str">
            <v>EST SOFA COZY (C/CP) (IMB) (BIP) TC LINHO GALLIA NATURAL</v>
          </cell>
          <cell r="R3297"/>
          <cell r="S3297"/>
          <cell r="T3297">
            <v>3</v>
          </cell>
          <cell r="U3297">
            <v>1.03</v>
          </cell>
          <cell r="V3297">
            <v>0.89</v>
          </cell>
          <cell r="W3297">
            <v>0</v>
          </cell>
          <cell r="X3297" t="str">
            <v>EST SOFA COZY (C/CP) (IMB) (BIP) TC LINHO GALLIA NATURAL - 3x1,03x0,89H</v>
          </cell>
          <cell r="Y3297">
            <v>31556.49</v>
          </cell>
          <cell r="Z3297">
            <v>0.35</v>
          </cell>
          <cell r="AA3297">
            <v>20511.718500000003</v>
          </cell>
          <cell r="AB3297"/>
        </row>
        <row r="3298">
          <cell r="C3298">
            <v>0</v>
          </cell>
          <cell r="D3298">
            <v>0</v>
          </cell>
          <cell r="E3298">
            <v>0</v>
          </cell>
          <cell r="F3298">
            <v>0</v>
          </cell>
          <cell r="H3298">
            <v>0</v>
          </cell>
          <cell r="O3298">
            <v>402213</v>
          </cell>
          <cell r="P3298" t="str">
            <v>2025/084-0106-01</v>
          </cell>
          <cell r="Q3298" t="str">
            <v>EST SOFA COZY (C/CP) (IMB) (BIP) TC LINHO GALLIA NATURAL</v>
          </cell>
          <cell r="R3298"/>
          <cell r="S3298"/>
          <cell r="T3298">
            <v>3</v>
          </cell>
          <cell r="U3298">
            <v>1.03</v>
          </cell>
          <cell r="V3298">
            <v>0.89</v>
          </cell>
          <cell r="W3298">
            <v>0</v>
          </cell>
          <cell r="X3298" t="str">
            <v>EST SOFA COZY (C/CP) (IMB) (BIP) TC LINHO GALLIA NATURAL - 3x1,03x0,89H</v>
          </cell>
          <cell r="Y3298">
            <v>31556.49</v>
          </cell>
          <cell r="Z3298">
            <v>0.35</v>
          </cell>
          <cell r="AA3298">
            <v>20511.718500000003</v>
          </cell>
          <cell r="AB3298"/>
        </row>
        <row r="3299">
          <cell r="C3299">
            <v>0</v>
          </cell>
          <cell r="D3299">
            <v>0</v>
          </cell>
          <cell r="E3299">
            <v>0</v>
          </cell>
          <cell r="F3299">
            <v>0</v>
          </cell>
          <cell r="H3299">
            <v>1</v>
          </cell>
          <cell r="O3299">
            <v>402438</v>
          </cell>
          <cell r="P3299"/>
          <cell r="Q3299" t="str">
            <v>EST POLTRONA POLTRONINHA (L.COSTA) (IMBUIA) COURO IMPORT300</v>
          </cell>
          <cell r="R3299"/>
          <cell r="S3299"/>
          <cell r="T3299">
            <v>0.71</v>
          </cell>
          <cell r="U3299">
            <v>0.65</v>
          </cell>
          <cell r="V3299">
            <v>0.71</v>
          </cell>
          <cell r="W3299">
            <v>0</v>
          </cell>
          <cell r="X3299" t="str">
            <v>EST POLTRONA POLTRONINHA (L.COSTA) (IMBUIA) COURO IMPORT300 - 0,71x0,65x0,71H</v>
          </cell>
          <cell r="Y3299" t="e">
            <v>#VALUE!</v>
          </cell>
          <cell r="Z3299">
            <v>0.35</v>
          </cell>
          <cell r="AA3299" t="e">
            <v>#VALUE!</v>
          </cell>
          <cell r="AB3299"/>
        </row>
        <row r="3300">
          <cell r="C3300">
            <v>0</v>
          </cell>
          <cell r="D3300">
            <v>0</v>
          </cell>
          <cell r="E3300">
            <v>0</v>
          </cell>
          <cell r="F3300">
            <v>0</v>
          </cell>
          <cell r="H3300">
            <v>1</v>
          </cell>
          <cell r="O3300">
            <v>402500</v>
          </cell>
          <cell r="P3300"/>
          <cell r="Q3300" t="str">
            <v>EST POLTRONA POLTRONINHA (L.COSTA) (IMBUIA) COURO CH ENV 21</v>
          </cell>
          <cell r="R3300"/>
          <cell r="S3300"/>
          <cell r="T3300">
            <v>0.71</v>
          </cell>
          <cell r="U3300">
            <v>0.65</v>
          </cell>
          <cell r="V3300">
            <v>0.71</v>
          </cell>
          <cell r="W3300">
            <v>0</v>
          </cell>
          <cell r="X3300" t="str">
            <v>EST POLTRONA POLTRONINHA (L.COSTA) (IMBUIA) COURO CH ENV 21 - 0,71x0,65x0,71H</v>
          </cell>
          <cell r="Y3300" t="e">
            <v>#VALUE!</v>
          </cell>
          <cell r="Z3300">
            <v>0.35</v>
          </cell>
          <cell r="AA3300" t="e">
            <v>#VALUE!</v>
          </cell>
          <cell r="AB3300"/>
        </row>
        <row r="3301">
          <cell r="C3301">
            <v>0</v>
          </cell>
          <cell r="D3301">
            <v>0</v>
          </cell>
          <cell r="E3301">
            <v>0</v>
          </cell>
          <cell r="F3301">
            <v>0</v>
          </cell>
          <cell r="H3301">
            <v>1</v>
          </cell>
          <cell r="O3301">
            <v>402581</v>
          </cell>
          <cell r="P3301"/>
          <cell r="Q3301" t="str">
            <v>EST PUFF COZY (C/CAPA) (IMBUIA) TC LINHO 409 MOSTARDA</v>
          </cell>
          <cell r="R3301"/>
          <cell r="S3301"/>
          <cell r="T3301">
            <v>0.9</v>
          </cell>
          <cell r="U3301">
            <v>0.6</v>
          </cell>
          <cell r="V3301">
            <v>0.52</v>
          </cell>
          <cell r="W3301">
            <v>0</v>
          </cell>
          <cell r="X3301" t="str">
            <v>EST PUFF COZY (C/CAPA) (IMBUIA) TC LINHO 409 MOSTARDA - 0,9x0,6x0,52H</v>
          </cell>
          <cell r="Y3301" t="e">
            <v>#VALUE!</v>
          </cell>
          <cell r="Z3301">
            <v>0.35</v>
          </cell>
          <cell r="AA3301" t="e">
            <v>#VALUE!</v>
          </cell>
          <cell r="AB3301"/>
        </row>
        <row r="3302">
          <cell r="C3302">
            <v>0</v>
          </cell>
          <cell r="D3302">
            <v>0</v>
          </cell>
          <cell r="E3302">
            <v>0</v>
          </cell>
          <cell r="F3302">
            <v>0</v>
          </cell>
          <cell r="H3302">
            <v>1</v>
          </cell>
          <cell r="O3302">
            <v>406179</v>
          </cell>
          <cell r="P3302"/>
          <cell r="Q3302" t="str">
            <v>EST ESTANTE GB 02 (DUPLA) (PINHO DEMOLICAO)</v>
          </cell>
          <cell r="R3302"/>
          <cell r="S3302"/>
          <cell r="T3302">
            <v>3</v>
          </cell>
          <cell r="U3302">
            <v>0.45</v>
          </cell>
          <cell r="V3302">
            <v>2.15</v>
          </cell>
          <cell r="W3302">
            <v>0</v>
          </cell>
          <cell r="X3302" t="str">
            <v>EST ESTANTE GB 02 (DUPLA) (PINHO DEMOLICAO) - 3x0,45x2,15H</v>
          </cell>
          <cell r="Y3302" t="e">
            <v>#VALUE!</v>
          </cell>
          <cell r="Z3302">
            <v>0.35</v>
          </cell>
          <cell r="AA3302" t="e">
            <v>#VALUE!</v>
          </cell>
          <cell r="AB3302"/>
        </row>
        <row r="3303">
          <cell r="C3303">
            <v>0</v>
          </cell>
          <cell r="D3303">
            <v>0</v>
          </cell>
          <cell r="E3303">
            <v>0</v>
          </cell>
          <cell r="F3303">
            <v>0</v>
          </cell>
          <cell r="H3303">
            <v>0</v>
          </cell>
          <cell r="O3303">
            <v>62690</v>
          </cell>
          <cell r="P3303"/>
          <cell r="Q3303" t="str">
            <v>EST ML FINN 50X32X48 RESINA DE POLIESTER PRETO</v>
          </cell>
          <cell r="R3303"/>
          <cell r="S3303"/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 t="str">
            <v>EST ML FINN 50X32X48 RESINA DE POLIESTER PRETO - Ø0x0H</v>
          </cell>
          <cell r="Y3303">
            <v>0</v>
          </cell>
          <cell r="Z3303">
            <v>0</v>
          </cell>
          <cell r="AA3303">
            <v>0</v>
          </cell>
          <cell r="AB3303"/>
        </row>
        <row r="3304">
          <cell r="C3304" t="e">
            <v>#N/A</v>
          </cell>
          <cell r="D3304" t="e">
            <v>#N/A</v>
          </cell>
          <cell r="E3304" t="e">
            <v>#N/A</v>
          </cell>
          <cell r="F3304" t="e">
            <v>#N/A</v>
          </cell>
          <cell r="H3304" t="e">
            <v>#N/A</v>
          </cell>
          <cell r="O3304">
            <v>62714</v>
          </cell>
          <cell r="P3304"/>
          <cell r="Q3304" t="e">
            <v>#N/A</v>
          </cell>
          <cell r="R3304"/>
          <cell r="S3304"/>
          <cell r="T3304" t="e">
            <v>#N/A</v>
          </cell>
          <cell r="U3304" t="e">
            <v>#N/A</v>
          </cell>
          <cell r="V3304" t="e">
            <v>#N/A</v>
          </cell>
          <cell r="W3304" t="e">
            <v>#N/A</v>
          </cell>
          <cell r="X3304" t="e">
            <v>#N/A</v>
          </cell>
          <cell r="Y3304">
            <v>0</v>
          </cell>
          <cell r="Z3304">
            <v>0</v>
          </cell>
          <cell r="AA3304">
            <v>0</v>
          </cell>
          <cell r="AB3304"/>
        </row>
        <row r="3305">
          <cell r="C3305" t="e">
            <v>#N/A</v>
          </cell>
          <cell r="D3305" t="e">
            <v>#N/A</v>
          </cell>
          <cell r="E3305" t="e">
            <v>#N/A</v>
          </cell>
          <cell r="F3305" t="e">
            <v>#N/A</v>
          </cell>
          <cell r="H3305" t="e">
            <v>#N/A</v>
          </cell>
          <cell r="O3305">
            <v>62715</v>
          </cell>
          <cell r="P3305"/>
          <cell r="Q3305" t="e">
            <v>#N/A</v>
          </cell>
          <cell r="R3305"/>
          <cell r="S3305"/>
          <cell r="T3305" t="e">
            <v>#N/A</v>
          </cell>
          <cell r="U3305" t="e">
            <v>#N/A</v>
          </cell>
          <cell r="V3305" t="e">
            <v>#N/A</v>
          </cell>
          <cell r="W3305" t="e">
            <v>#N/A</v>
          </cell>
          <cell r="X3305" t="e">
            <v>#N/A</v>
          </cell>
          <cell r="Y3305">
            <v>0</v>
          </cell>
          <cell r="Z3305">
            <v>0</v>
          </cell>
          <cell r="AA3305">
            <v>0</v>
          </cell>
          <cell r="AB3305"/>
        </row>
        <row r="3306">
          <cell r="C3306">
            <v>0</v>
          </cell>
          <cell r="D3306">
            <v>0</v>
          </cell>
          <cell r="E3306">
            <v>0</v>
          </cell>
          <cell r="F3306">
            <v>0</v>
          </cell>
          <cell r="H3306">
            <v>1</v>
          </cell>
          <cell r="O3306">
            <v>63081</v>
          </cell>
          <cell r="P3306"/>
          <cell r="Q3306" t="str">
            <v>EST BANCO ZANINE X (EBANIZADO) TC SINTETICO PRETO</v>
          </cell>
          <cell r="R3306"/>
          <cell r="S3306"/>
          <cell r="T3306">
            <v>0.46</v>
          </cell>
          <cell r="U3306">
            <v>0.46</v>
          </cell>
          <cell r="V3306">
            <v>0.45</v>
          </cell>
          <cell r="W3306">
            <v>0</v>
          </cell>
          <cell r="X3306" t="str">
            <v>EST BANCO ZANINE X (EBANIZADO) TC SINTETICO PRETO - 0,46x0,46x0,45H</v>
          </cell>
          <cell r="Y3306">
            <v>0</v>
          </cell>
          <cell r="Z3306">
            <v>0</v>
          </cell>
          <cell r="AA3306">
            <v>0</v>
          </cell>
          <cell r="AB3306"/>
        </row>
        <row r="3307">
          <cell r="C3307">
            <v>0</v>
          </cell>
          <cell r="D3307">
            <v>0</v>
          </cell>
          <cell r="E3307">
            <v>0</v>
          </cell>
          <cell r="F3307">
            <v>0</v>
          </cell>
          <cell r="H3307">
            <v>10</v>
          </cell>
          <cell r="O3307">
            <v>63189</v>
          </cell>
          <cell r="P3307"/>
          <cell r="Q3307" t="str">
            <v>EST CADEIRA IPANEMA C/BRACO (DEMOLICAO)</v>
          </cell>
          <cell r="R3307"/>
          <cell r="S3307"/>
          <cell r="T3307">
            <v>0.57999999999999996</v>
          </cell>
          <cell r="U3307">
            <v>0.48</v>
          </cell>
          <cell r="V3307">
            <v>0.8</v>
          </cell>
          <cell r="W3307">
            <v>0</v>
          </cell>
          <cell r="X3307" t="str">
            <v>EST CADEIRA IPANEMA C/BRACO (DEMOLICAO) - 0,58x0,48x0,8H</v>
          </cell>
          <cell r="Y3307">
            <v>0</v>
          </cell>
          <cell r="Z3307">
            <v>0</v>
          </cell>
          <cell r="AA3307">
            <v>0</v>
          </cell>
          <cell r="AB3307"/>
        </row>
        <row r="3308">
          <cell r="C3308">
            <v>0</v>
          </cell>
          <cell r="D3308">
            <v>0</v>
          </cell>
          <cell r="E3308">
            <v>0</v>
          </cell>
          <cell r="F3308">
            <v>0</v>
          </cell>
          <cell r="H3308">
            <v>1</v>
          </cell>
          <cell r="O3308">
            <v>63190</v>
          </cell>
          <cell r="P3308"/>
          <cell r="Q3308" t="str">
            <v>EST CADEIRA IPANEMA C/BRACO (LACA NEGRA GLOSS)</v>
          </cell>
          <cell r="R3308"/>
          <cell r="S3308"/>
          <cell r="T3308">
            <v>0.57999999999999996</v>
          </cell>
          <cell r="U3308">
            <v>0.48</v>
          </cell>
          <cell r="V3308">
            <v>0.8</v>
          </cell>
          <cell r="W3308">
            <v>0</v>
          </cell>
          <cell r="X3308" t="str">
            <v>EST CADEIRA IPANEMA C/BRACO (LACA NEGRA GLOSS) - 0,58x0,48x0,8H</v>
          </cell>
          <cell r="Y3308">
            <v>0</v>
          </cell>
          <cell r="Z3308">
            <v>0</v>
          </cell>
          <cell r="AA3308">
            <v>0</v>
          </cell>
          <cell r="AB3308"/>
        </row>
        <row r="3309">
          <cell r="C3309">
            <v>0</v>
          </cell>
          <cell r="D3309">
            <v>0</v>
          </cell>
          <cell r="E3309">
            <v>0</v>
          </cell>
          <cell r="F3309">
            <v>0</v>
          </cell>
          <cell r="H3309">
            <v>2</v>
          </cell>
          <cell r="O3309">
            <v>63191</v>
          </cell>
          <cell r="P3309"/>
          <cell r="Q3309" t="str">
            <v>EST CADEIRA IPANEMA C/BRACO (LACA PRETA)</v>
          </cell>
          <cell r="R3309"/>
          <cell r="S3309"/>
          <cell r="T3309">
            <v>0.57999999999999996</v>
          </cell>
          <cell r="U3309">
            <v>0.48</v>
          </cell>
          <cell r="V3309">
            <v>0.8</v>
          </cell>
          <cell r="W3309">
            <v>0</v>
          </cell>
          <cell r="X3309" t="str">
            <v>EST CADEIRA IPANEMA C/BRACO (LACA PRETA) - 0,58x0,48x0,8H</v>
          </cell>
          <cell r="Y3309">
            <v>0</v>
          </cell>
          <cell r="Z3309">
            <v>0</v>
          </cell>
          <cell r="AA3309">
            <v>0</v>
          </cell>
          <cell r="AB3309"/>
        </row>
        <row r="3310">
          <cell r="C3310">
            <v>0</v>
          </cell>
          <cell r="D3310">
            <v>0</v>
          </cell>
          <cell r="E3310">
            <v>0</v>
          </cell>
          <cell r="F3310">
            <v>0</v>
          </cell>
          <cell r="H3310">
            <v>1</v>
          </cell>
          <cell r="O3310">
            <v>63192</v>
          </cell>
          <cell r="P3310"/>
          <cell r="Q3310" t="str">
            <v>EST CADEIRA IPANEMA C/BRACO (LYPTUS) (ASSENTO PIQUI)</v>
          </cell>
          <cell r="R3310"/>
          <cell r="S3310"/>
          <cell r="T3310">
            <v>0.57999999999999996</v>
          </cell>
          <cell r="U3310">
            <v>0.48</v>
          </cell>
          <cell r="V3310">
            <v>0.8</v>
          </cell>
          <cell r="W3310">
            <v>0</v>
          </cell>
          <cell r="X3310" t="str">
            <v>EST CADEIRA IPANEMA C/BRACO (LYPTUS) (ASSENTO PIQUI) - 0,58x0,48x0,8H</v>
          </cell>
          <cell r="Y3310">
            <v>0</v>
          </cell>
          <cell r="Z3310">
            <v>0</v>
          </cell>
          <cell r="AA3310">
            <v>0</v>
          </cell>
          <cell r="AB3310"/>
        </row>
        <row r="3311">
          <cell r="C3311">
            <v>0</v>
          </cell>
          <cell r="D3311">
            <v>0</v>
          </cell>
          <cell r="E3311">
            <v>0</v>
          </cell>
          <cell r="F3311">
            <v>0</v>
          </cell>
          <cell r="H3311">
            <v>0</v>
          </cell>
          <cell r="O3311">
            <v>63196</v>
          </cell>
          <cell r="P3311"/>
          <cell r="Q3311" t="str">
            <v>EST CADEIRA JAZZY (PAU VIOLETA)</v>
          </cell>
          <cell r="R3311"/>
          <cell r="S3311"/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 t="str">
            <v>EST CADEIRA JAZZY (PAU VIOLETA) - Ø0x0H</v>
          </cell>
          <cell r="Y3311">
            <v>0</v>
          </cell>
          <cell r="Z3311">
            <v>0</v>
          </cell>
          <cell r="AA3311">
            <v>0</v>
          </cell>
          <cell r="AB3311"/>
        </row>
        <row r="3312">
          <cell r="C3312">
            <v>0</v>
          </cell>
          <cell r="D3312">
            <v>0</v>
          </cell>
          <cell r="E3312">
            <v>0</v>
          </cell>
          <cell r="F3312">
            <v>0</v>
          </cell>
          <cell r="H3312">
            <v>1</v>
          </cell>
          <cell r="O3312">
            <v>63313</v>
          </cell>
          <cell r="P3312"/>
          <cell r="Q3312" t="str">
            <v>EST MESA LATERAL ESPECIAL (TAUARI COR 02)</v>
          </cell>
          <cell r="R3312"/>
          <cell r="S3312"/>
          <cell r="T3312">
            <v>0.85</v>
          </cell>
          <cell r="U3312">
            <v>0.85</v>
          </cell>
          <cell r="V3312">
            <v>0.75</v>
          </cell>
          <cell r="W3312">
            <v>0</v>
          </cell>
          <cell r="X3312" t="str">
            <v>EST MESA LATERAL ESPECIAL (TAUARI COR 02) - 0,85x0,85x0,75H</v>
          </cell>
          <cell r="Y3312">
            <v>0</v>
          </cell>
          <cell r="Z3312">
            <v>0</v>
          </cell>
          <cell r="AA3312">
            <v>0</v>
          </cell>
          <cell r="AB3312"/>
        </row>
        <row r="3313">
          <cell r="C3313">
            <v>0</v>
          </cell>
          <cell r="D3313">
            <v>0</v>
          </cell>
          <cell r="E3313">
            <v>0</v>
          </cell>
          <cell r="F3313">
            <v>0</v>
          </cell>
          <cell r="H3313">
            <v>1</v>
          </cell>
          <cell r="O3313">
            <v>63363</v>
          </cell>
          <cell r="P3313"/>
          <cell r="Q3313" t="str">
            <v>EST POLTRONA FENDA REDONDA (INOX) (PVC EXPANDIDO BRANCO)</v>
          </cell>
          <cell r="R3313"/>
          <cell r="S3313"/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 t="str">
            <v>EST POLTRONA FENDA REDONDA (INOX) (PVC EXPANDIDO BRANCO) - Ø0x0H</v>
          </cell>
          <cell r="Y3313">
            <v>0</v>
          </cell>
          <cell r="Z3313">
            <v>0</v>
          </cell>
          <cell r="AA3313">
            <v>0</v>
          </cell>
          <cell r="AB3313"/>
        </row>
        <row r="3314">
          <cell r="C3314">
            <v>0</v>
          </cell>
          <cell r="D3314">
            <v>0</v>
          </cell>
          <cell r="E3314">
            <v>0</v>
          </cell>
          <cell r="F3314">
            <v>0</v>
          </cell>
          <cell r="H3314">
            <v>1</v>
          </cell>
          <cell r="O3314">
            <v>63394</v>
          </cell>
          <cell r="P3314"/>
          <cell r="Q3314" t="str">
            <v>EST POLTRONA ZANINE BUM TC LONA LISTRA</v>
          </cell>
          <cell r="R3314"/>
          <cell r="S3314"/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 t="str">
            <v>EST POLTRONA ZANINE BUM TC LONA LISTRA - Ø0x0H</v>
          </cell>
          <cell r="Y3314">
            <v>0</v>
          </cell>
          <cell r="Z3314">
            <v>0</v>
          </cell>
          <cell r="AA3314">
            <v>0</v>
          </cell>
          <cell r="AB3314"/>
        </row>
        <row r="3315">
          <cell r="C3315">
            <v>0</v>
          </cell>
          <cell r="D3315">
            <v>0</v>
          </cell>
          <cell r="E3315">
            <v>0</v>
          </cell>
          <cell r="F3315">
            <v>0</v>
          </cell>
          <cell r="H3315">
            <v>1</v>
          </cell>
          <cell r="O3315">
            <v>88011</v>
          </cell>
          <cell r="P3315"/>
          <cell r="Q3315" t="str">
            <v>EST POLTRONA 6X6 (LACA ROSA S138) TC LISTRA</v>
          </cell>
          <cell r="R3315"/>
          <cell r="S3315"/>
          <cell r="T3315">
            <v>1.02</v>
          </cell>
          <cell r="U3315">
            <v>0.75</v>
          </cell>
          <cell r="V3315">
            <v>0.72</v>
          </cell>
          <cell r="W3315">
            <v>0</v>
          </cell>
          <cell r="X3315" t="str">
            <v>EST POLTRONA 6X6 (LACA ROSA S138) TC LISTRA - 1,02x0,75x0,72H</v>
          </cell>
          <cell r="Y3315" t="str">
            <v>EST</v>
          </cell>
          <cell r="Z3315">
            <v>0</v>
          </cell>
          <cell r="AA3315" t="e">
            <v>#VALUE!</v>
          </cell>
          <cell r="AB3315"/>
        </row>
        <row r="3316">
          <cell r="C3316">
            <v>0</v>
          </cell>
          <cell r="D3316">
            <v>0</v>
          </cell>
          <cell r="E3316">
            <v>0</v>
          </cell>
          <cell r="F3316">
            <v>0</v>
          </cell>
          <cell r="H3316">
            <v>0</v>
          </cell>
          <cell r="O3316">
            <v>91338</v>
          </cell>
          <cell r="P3316"/>
          <cell r="Q3316" t="str">
            <v>EST CADEIRA AC (INOX) (PRETO)</v>
          </cell>
          <cell r="R3316"/>
          <cell r="S3316"/>
          <cell r="T3316">
            <v>0.48</v>
          </cell>
          <cell r="U3316">
            <v>0.54</v>
          </cell>
          <cell r="V3316">
            <v>0.87</v>
          </cell>
          <cell r="W3316">
            <v>0</v>
          </cell>
          <cell r="X3316" t="str">
            <v>EST CADEIRA AC (INOX) (PRETO) - 0,48x0,54x0,87H</v>
          </cell>
          <cell r="Y3316">
            <v>0</v>
          </cell>
          <cell r="Z3316">
            <v>0</v>
          </cell>
          <cell r="AA3316">
            <v>0</v>
          </cell>
          <cell r="AB3316"/>
        </row>
        <row r="3317">
          <cell r="C3317">
            <v>0</v>
          </cell>
          <cell r="D3317">
            <v>0</v>
          </cell>
          <cell r="E3317">
            <v>0</v>
          </cell>
          <cell r="F3317">
            <v>0</v>
          </cell>
          <cell r="H3317">
            <v>1</v>
          </cell>
          <cell r="O3317">
            <v>93977</v>
          </cell>
          <cell r="P3317"/>
          <cell r="Q3317" t="str">
            <v>EST POLTRONA ATHOS (LACA K157) TC SEDA OURO</v>
          </cell>
          <cell r="R3317"/>
          <cell r="S3317"/>
          <cell r="T3317">
            <v>0.6</v>
          </cell>
          <cell r="U3317">
            <v>0.8</v>
          </cell>
          <cell r="V3317">
            <v>0.8</v>
          </cell>
          <cell r="W3317">
            <v>0</v>
          </cell>
          <cell r="X3317" t="str">
            <v>EST POLTRONA ATHOS (LACA K157) TC SEDA OURO - 0,6x0,8x0,8H</v>
          </cell>
          <cell r="Y3317">
            <v>0</v>
          </cell>
          <cell r="Z3317">
            <v>0</v>
          </cell>
          <cell r="AA3317">
            <v>0</v>
          </cell>
          <cell r="AB3317"/>
        </row>
        <row r="3318">
          <cell r="C3318">
            <v>0</v>
          </cell>
          <cell r="D3318">
            <v>0</v>
          </cell>
          <cell r="E3318">
            <v>0</v>
          </cell>
          <cell r="F3318">
            <v>0</v>
          </cell>
          <cell r="H3318">
            <v>1</v>
          </cell>
          <cell r="O3318">
            <v>118567</v>
          </cell>
          <cell r="P3318"/>
          <cell r="Q3318" t="str">
            <v>EST POLTRONA VIRA VIRA COURO BEGE</v>
          </cell>
          <cell r="R3318"/>
          <cell r="S3318"/>
          <cell r="T3318">
            <v>0.84</v>
          </cell>
          <cell r="U3318">
            <v>0.92</v>
          </cell>
          <cell r="V3318">
            <v>1</v>
          </cell>
          <cell r="W3318">
            <v>0</v>
          </cell>
          <cell r="X3318" t="str">
            <v>EST POLTRONA VIRA VIRA COURO BEGE - 0,84x0,92x1H</v>
          </cell>
          <cell r="Y3318">
            <v>0</v>
          </cell>
          <cell r="Z3318">
            <v>0</v>
          </cell>
          <cell r="AA3318">
            <v>0</v>
          </cell>
          <cell r="AB3318"/>
        </row>
        <row r="3319">
          <cell r="C3319">
            <v>0</v>
          </cell>
          <cell r="D3319">
            <v>0</v>
          </cell>
          <cell r="E3319">
            <v>0</v>
          </cell>
          <cell r="F3319">
            <v>0</v>
          </cell>
          <cell r="H3319">
            <v>1</v>
          </cell>
          <cell r="O3319">
            <v>121856</v>
          </cell>
          <cell r="P3319"/>
          <cell r="Q3319" t="str">
            <v>EST POLTRONA PANTOSH (LACA BRILHO J141 PINK)</v>
          </cell>
          <cell r="R3319"/>
          <cell r="S3319"/>
          <cell r="T3319">
            <v>0.66</v>
          </cell>
          <cell r="U3319">
            <v>0.66</v>
          </cell>
          <cell r="V3319">
            <v>0.78</v>
          </cell>
          <cell r="W3319">
            <v>0</v>
          </cell>
          <cell r="X3319" t="str">
            <v>EST POLTRONA PANTOSH (LACA BRILHO J141 PINK) - 0,66x0,66x0,78H</v>
          </cell>
          <cell r="Y3319">
            <v>0</v>
          </cell>
          <cell r="Z3319">
            <v>0</v>
          </cell>
          <cell r="AA3319">
            <v>0</v>
          </cell>
          <cell r="AB3319"/>
        </row>
        <row r="3320">
          <cell r="C3320">
            <v>0</v>
          </cell>
          <cell r="D3320">
            <v>0</v>
          </cell>
          <cell r="E3320">
            <v>0</v>
          </cell>
          <cell r="F3320">
            <v>0</v>
          </cell>
          <cell r="H3320">
            <v>1</v>
          </cell>
          <cell r="O3320">
            <v>123516</v>
          </cell>
          <cell r="P3320"/>
          <cell r="Q3320" t="str">
            <v>EST POLTRONA SUITE (BASE INOX) TC 11031/508</v>
          </cell>
          <cell r="R3320"/>
          <cell r="S3320"/>
          <cell r="T3320">
            <v>1.1000000000000001</v>
          </cell>
          <cell r="U3320">
            <v>0.9</v>
          </cell>
          <cell r="V3320">
            <v>0.7</v>
          </cell>
          <cell r="W3320">
            <v>0</v>
          </cell>
          <cell r="X3320" t="str">
            <v>EST POLTRONA SUITE (BASE INOX) TC 11031/508 - 1,1x0,9x0,7H</v>
          </cell>
          <cell r="Y3320">
            <v>0</v>
          </cell>
          <cell r="Z3320">
            <v>0</v>
          </cell>
          <cell r="AA3320">
            <v>0</v>
          </cell>
          <cell r="AB3320"/>
        </row>
        <row r="3321">
          <cell r="C3321">
            <v>0</v>
          </cell>
          <cell r="D3321">
            <v>0</v>
          </cell>
          <cell r="E3321">
            <v>0</v>
          </cell>
          <cell r="F3321">
            <v>0</v>
          </cell>
          <cell r="H3321">
            <v>1</v>
          </cell>
          <cell r="O3321">
            <v>124938</v>
          </cell>
          <cell r="P3321"/>
          <cell r="Q3321" t="str">
            <v>EST POLTRONA KATINSKY (ACO CARBONO PRETO) COURO CARAMELO</v>
          </cell>
          <cell r="R3321"/>
          <cell r="S3321"/>
          <cell r="T3321">
            <v>0.56999999999999995</v>
          </cell>
          <cell r="U3321">
            <v>0.62</v>
          </cell>
          <cell r="V3321">
            <v>0.61</v>
          </cell>
          <cell r="W3321">
            <v>0</v>
          </cell>
          <cell r="X3321" t="str">
            <v>EST POLTRONA KATINSKY (ACO CARBONO PRETO) COURO CARAMELO - 0,57x0,62x0,61H</v>
          </cell>
          <cell r="Y3321">
            <v>0</v>
          </cell>
          <cell r="Z3321">
            <v>0</v>
          </cell>
          <cell r="AA3321">
            <v>0</v>
          </cell>
          <cell r="AB3321"/>
        </row>
        <row r="3322">
          <cell r="C3322">
            <v>0</v>
          </cell>
          <cell r="D3322">
            <v>0</v>
          </cell>
          <cell r="E3322">
            <v>0</v>
          </cell>
          <cell r="F3322">
            <v>0</v>
          </cell>
          <cell r="H3322">
            <v>2</v>
          </cell>
          <cell r="O3322">
            <v>137843</v>
          </cell>
          <cell r="P3322"/>
          <cell r="Q3322" t="str">
            <v>EST POLTRONA GAIVOTA ESTOFADA (PRETA) (COURO FIRENZE 04)</v>
          </cell>
          <cell r="R3322"/>
          <cell r="S3322"/>
          <cell r="T3322">
            <v>1</v>
          </cell>
          <cell r="U3322">
            <v>1</v>
          </cell>
          <cell r="V3322">
            <v>0.75</v>
          </cell>
          <cell r="W3322">
            <v>0</v>
          </cell>
          <cell r="X3322" t="str">
            <v>EST POLTRONA GAIVOTA ESTOFADA (PRETA) (COURO FIRENZE 04) - 1x1x0,75H</v>
          </cell>
          <cell r="Y3322">
            <v>0</v>
          </cell>
          <cell r="Z3322">
            <v>0</v>
          </cell>
          <cell r="AA3322">
            <v>0</v>
          </cell>
          <cell r="AB3322"/>
        </row>
        <row r="3323">
          <cell r="C3323">
            <v>0</v>
          </cell>
          <cell r="D3323">
            <v>0</v>
          </cell>
          <cell r="E3323">
            <v>0</v>
          </cell>
          <cell r="F3323">
            <v>0</v>
          </cell>
          <cell r="H3323">
            <v>1</v>
          </cell>
          <cell r="O3323">
            <v>138563</v>
          </cell>
          <cell r="P3323"/>
          <cell r="Q3323" t="str">
            <v>EST POLTRONA MARIAH BAIXA (ALUMINIO POLIDO) COURO CH CASTOR</v>
          </cell>
          <cell r="R3323"/>
          <cell r="S3323"/>
          <cell r="T3323">
            <v>0.76</v>
          </cell>
          <cell r="U3323">
            <v>0.8</v>
          </cell>
          <cell r="V3323">
            <v>0.8</v>
          </cell>
          <cell r="W3323">
            <v>0</v>
          </cell>
          <cell r="X3323" t="str">
            <v>EST POLTRONA MARIAH BAIXA (ALUMINIO POLIDO) COURO CH CASTOR - 0,76x0,8x0,8H</v>
          </cell>
          <cell r="Y3323">
            <v>0</v>
          </cell>
          <cell r="Z3323">
            <v>0</v>
          </cell>
          <cell r="AA3323">
            <v>0</v>
          </cell>
          <cell r="AB3323"/>
        </row>
        <row r="3324">
          <cell r="C3324">
            <v>0</v>
          </cell>
          <cell r="D3324">
            <v>0</v>
          </cell>
          <cell r="E3324">
            <v>0</v>
          </cell>
          <cell r="F3324">
            <v>0</v>
          </cell>
          <cell r="H3324">
            <v>1</v>
          </cell>
          <cell r="O3324">
            <v>142124</v>
          </cell>
          <cell r="P3324"/>
          <cell r="Q3324" t="str">
            <v>EST POLTRONA SOPRO (CONCHA FIBRA MMDT)</v>
          </cell>
          <cell r="R3324"/>
          <cell r="S3324"/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 t="str">
            <v>EST POLTRONA SOPRO (CONCHA FIBRA MMDT) - Ø0x0H</v>
          </cell>
          <cell r="Y3324">
            <v>0</v>
          </cell>
          <cell r="Z3324">
            <v>0</v>
          </cell>
          <cell r="AA3324">
            <v>0</v>
          </cell>
          <cell r="AB3324"/>
        </row>
        <row r="3325">
          <cell r="C3325">
            <v>0</v>
          </cell>
          <cell r="D3325">
            <v>0</v>
          </cell>
          <cell r="E3325">
            <v>0</v>
          </cell>
          <cell r="F3325">
            <v>0</v>
          </cell>
          <cell r="H3325">
            <v>1</v>
          </cell>
          <cell r="O3325">
            <v>158895</v>
          </cell>
          <cell r="P3325"/>
          <cell r="Q3325" t="str">
            <v>EST POLTRONA ANDRE MARX (TECA NATURAL) TC LINHO 501 DUBLADO</v>
          </cell>
          <cell r="R3325"/>
          <cell r="S3325"/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 t="str">
            <v>EST POLTRONA ANDRE MARX (TECA NATURAL) TC LINHO 501 DUBLADO - Ø0x0H</v>
          </cell>
          <cell r="Y3325">
            <v>0</v>
          </cell>
          <cell r="Z3325">
            <v>0</v>
          </cell>
          <cell r="AA3325">
            <v>0</v>
          </cell>
          <cell r="AB3325"/>
        </row>
        <row r="3326">
          <cell r="C3326">
            <v>0</v>
          </cell>
          <cell r="D3326">
            <v>0</v>
          </cell>
          <cell r="E3326">
            <v>0</v>
          </cell>
          <cell r="F3326">
            <v>0</v>
          </cell>
          <cell r="H3326">
            <v>1</v>
          </cell>
          <cell r="O3326">
            <v>164403</v>
          </cell>
          <cell r="P3326"/>
          <cell r="Q3326" t="str">
            <v>EST MESA JANTAR JACARAIPE (FREIJO NATURAL)</v>
          </cell>
          <cell r="R3326"/>
          <cell r="S3326"/>
          <cell r="T3326">
            <v>2.2000000000000002</v>
          </cell>
          <cell r="U3326">
            <v>1.07</v>
          </cell>
          <cell r="V3326">
            <v>0.75</v>
          </cell>
          <cell r="W3326">
            <v>0</v>
          </cell>
          <cell r="X3326" t="str">
            <v>EST MESA JANTAR JACARAIPE (FREIJO NATURAL) - 2,2x1,07x0,75H</v>
          </cell>
          <cell r="Y3326">
            <v>0</v>
          </cell>
          <cell r="Z3326">
            <v>0</v>
          </cell>
          <cell r="AA3326">
            <v>0</v>
          </cell>
          <cell r="AB3326"/>
        </row>
        <row r="3327">
          <cell r="C3327">
            <v>0</v>
          </cell>
          <cell r="D3327">
            <v>0</v>
          </cell>
          <cell r="E3327">
            <v>0</v>
          </cell>
          <cell r="F3327">
            <v>0</v>
          </cell>
          <cell r="H3327">
            <v>1</v>
          </cell>
          <cell r="O3327">
            <v>166756</v>
          </cell>
          <cell r="P3327"/>
          <cell r="Q3327" t="str">
            <v>EST CADEIRA BASICA (ROCCO)</v>
          </cell>
          <cell r="R3327"/>
          <cell r="S3327"/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 t="str">
            <v>EST CADEIRA BASICA (ROCCO) - Ø0x0H</v>
          </cell>
          <cell r="Y3327">
            <v>0</v>
          </cell>
          <cell r="Z3327">
            <v>0</v>
          </cell>
          <cell r="AA3327">
            <v>0</v>
          </cell>
          <cell r="AB3327"/>
        </row>
        <row r="3328">
          <cell r="C3328">
            <v>0</v>
          </cell>
          <cell r="D3328">
            <v>0</v>
          </cell>
          <cell r="E3328">
            <v>0</v>
          </cell>
          <cell r="F3328">
            <v>0</v>
          </cell>
          <cell r="H3328">
            <v>1</v>
          </cell>
          <cell r="O3328">
            <v>174031</v>
          </cell>
          <cell r="P3328"/>
          <cell r="Q3328" t="str">
            <v>EST POLTRONA BOSCOLI (CATUABA) COURO PINHAO</v>
          </cell>
          <cell r="R3328"/>
          <cell r="S3328"/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 t="str">
            <v>EST POLTRONA BOSCOLI (CATUABA) COURO PINHAO - Ø0x0H</v>
          </cell>
          <cell r="Y3328">
            <v>0</v>
          </cell>
          <cell r="Z3328">
            <v>0</v>
          </cell>
          <cell r="AA3328">
            <v>0</v>
          </cell>
          <cell r="AB3328"/>
        </row>
        <row r="3329">
          <cell r="C3329">
            <v>0</v>
          </cell>
          <cell r="D3329">
            <v>0</v>
          </cell>
          <cell r="E3329">
            <v>0</v>
          </cell>
          <cell r="F3329">
            <v>0</v>
          </cell>
          <cell r="H3329">
            <v>1</v>
          </cell>
          <cell r="O3329">
            <v>195623</v>
          </cell>
          <cell r="P3329"/>
          <cell r="Q3329" t="str">
            <v>EST MESA LATERAL ZE (FREIJO NATURAL)</v>
          </cell>
          <cell r="R3329"/>
          <cell r="S3329"/>
          <cell r="T3329">
            <v>0.6</v>
          </cell>
          <cell r="U3329">
            <v>0.6</v>
          </cell>
          <cell r="V3329">
            <v>0.57999999999999996</v>
          </cell>
          <cell r="W3329">
            <v>0</v>
          </cell>
          <cell r="X3329" t="str">
            <v>EST MESA LATERAL ZE (FREIJO NATURAL) - 0,6x0,6x0,58H</v>
          </cell>
          <cell r="Y3329">
            <v>0</v>
          </cell>
          <cell r="Z3329">
            <v>0</v>
          </cell>
          <cell r="AA3329">
            <v>0</v>
          </cell>
          <cell r="AB3329"/>
        </row>
        <row r="3330">
          <cell r="C3330">
            <v>0</v>
          </cell>
          <cell r="D3330">
            <v>0</v>
          </cell>
          <cell r="E3330">
            <v>0</v>
          </cell>
          <cell r="F3330">
            <v>0</v>
          </cell>
          <cell r="H3330">
            <v>1</v>
          </cell>
          <cell r="O3330">
            <v>195630</v>
          </cell>
          <cell r="P3330"/>
          <cell r="Q3330" t="str">
            <v>EST REVISTEIRO NINI (FREIJO EBANIZADO)</v>
          </cell>
          <cell r="R3330"/>
          <cell r="S3330"/>
          <cell r="T3330">
            <v>0.43</v>
          </cell>
          <cell r="U3330">
            <v>0.5</v>
          </cell>
          <cell r="V3330">
            <v>0.5</v>
          </cell>
          <cell r="W3330">
            <v>0</v>
          </cell>
          <cell r="X3330" t="str">
            <v>EST REVISTEIRO NINI (FREIJO EBANIZADO) - 0,43x0,5x0,5H</v>
          </cell>
          <cell r="Y3330">
            <v>0</v>
          </cell>
          <cell r="Z3330">
            <v>0</v>
          </cell>
          <cell r="AA3330">
            <v>0</v>
          </cell>
          <cell r="AB3330"/>
        </row>
        <row r="3331">
          <cell r="C3331">
            <v>0</v>
          </cell>
          <cell r="D3331">
            <v>0</v>
          </cell>
          <cell r="E3331">
            <v>0</v>
          </cell>
          <cell r="F3331">
            <v>0</v>
          </cell>
          <cell r="H3331">
            <v>1</v>
          </cell>
          <cell r="O3331">
            <v>200615</v>
          </cell>
          <cell r="P3331"/>
          <cell r="Q3331" t="str">
            <v>EST MESA JANTAR MAIS (JEQUITIBA NT) (CENTRO EBANIZADO)</v>
          </cell>
          <cell r="R3331"/>
          <cell r="S3331"/>
          <cell r="T3331">
            <v>3.05</v>
          </cell>
          <cell r="U3331">
            <v>1</v>
          </cell>
          <cell r="V3331">
            <v>0.75</v>
          </cell>
          <cell r="W3331">
            <v>0</v>
          </cell>
          <cell r="X3331" t="str">
            <v>EST MESA JANTAR MAIS (JEQUITIBA NT) (CENTRO EBANIZADO) - 3,05x1x0,75H</v>
          </cell>
          <cell r="Y3331">
            <v>0</v>
          </cell>
          <cell r="Z3331">
            <v>0</v>
          </cell>
          <cell r="AA3331">
            <v>0</v>
          </cell>
          <cell r="AB3331"/>
        </row>
        <row r="3332">
          <cell r="C3332">
            <v>0</v>
          </cell>
          <cell r="D3332">
            <v>0</v>
          </cell>
          <cell r="E3332">
            <v>0</v>
          </cell>
          <cell r="F3332">
            <v>0</v>
          </cell>
          <cell r="H3332">
            <v>1</v>
          </cell>
          <cell r="O3332">
            <v>206959</v>
          </cell>
          <cell r="P3332"/>
          <cell r="Q3332" t="str">
            <v>EST BANQUETA ANA (JEQUITIBA) COURO CAMURCA VANILLA</v>
          </cell>
          <cell r="R3332"/>
          <cell r="S3332"/>
          <cell r="T3332">
            <v>0.66</v>
          </cell>
          <cell r="U3332">
            <v>0.43</v>
          </cell>
          <cell r="V3332">
            <v>0.47</v>
          </cell>
          <cell r="W3332">
            <v>0</v>
          </cell>
          <cell r="X3332" t="str">
            <v>EST BANQUETA ANA (JEQUITIBA) COURO CAMURCA VANILLA - 0,66x0,43x0,47H</v>
          </cell>
          <cell r="Y3332">
            <v>0</v>
          </cell>
          <cell r="Z3332">
            <v>0</v>
          </cell>
          <cell r="AA3332">
            <v>0</v>
          </cell>
          <cell r="AB3332"/>
        </row>
        <row r="3333">
          <cell r="C3333">
            <v>0</v>
          </cell>
          <cell r="D3333">
            <v>0</v>
          </cell>
          <cell r="E3333">
            <v>0</v>
          </cell>
          <cell r="F3333">
            <v>0</v>
          </cell>
          <cell r="H3333">
            <v>1</v>
          </cell>
          <cell r="O3333">
            <v>217632</v>
          </cell>
          <cell r="P3333"/>
          <cell r="Q3333" t="str">
            <v>EST MESA LATERAL MAIS (C/ABAS) (FREIJO ESC) (GRANITO VERDE)</v>
          </cell>
          <cell r="R3333"/>
          <cell r="S3333"/>
          <cell r="T3333">
            <v>0.83</v>
          </cell>
          <cell r="U3333">
            <v>0.49</v>
          </cell>
          <cell r="V3333">
            <v>0.5</v>
          </cell>
          <cell r="W3333">
            <v>0</v>
          </cell>
          <cell r="X3333" t="str">
            <v>EST MESA LATERAL MAIS (C/ABAS) (FREIJO ESC) (GRANITO VERDE) - 0,83x0,49x0,5H</v>
          </cell>
          <cell r="Y3333">
            <v>0</v>
          </cell>
          <cell r="Z3333">
            <v>0</v>
          </cell>
          <cell r="AA3333">
            <v>0</v>
          </cell>
          <cell r="AB3333"/>
        </row>
        <row r="3334">
          <cell r="C3334">
            <v>0</v>
          </cell>
          <cell r="D3334">
            <v>0</v>
          </cell>
          <cell r="E3334">
            <v>0</v>
          </cell>
          <cell r="F3334">
            <v>0</v>
          </cell>
          <cell r="H3334">
            <v>1</v>
          </cell>
          <cell r="O3334">
            <v>266069</v>
          </cell>
          <cell r="P3334"/>
          <cell r="Q3334" t="str">
            <v>EST POLTRONA SUITE (BASE INOX) TC GAVEA 306</v>
          </cell>
          <cell r="R3334"/>
          <cell r="S3334"/>
          <cell r="T3334">
            <v>1.1000000000000001</v>
          </cell>
          <cell r="U3334">
            <v>0.9</v>
          </cell>
          <cell r="V3334">
            <v>0.7</v>
          </cell>
          <cell r="W3334">
            <v>0</v>
          </cell>
          <cell r="X3334" t="str">
            <v>EST POLTRONA SUITE (BASE INOX) TC GAVEA 306 - 1,1x0,9x0,7H</v>
          </cell>
          <cell r="Y3334">
            <v>0</v>
          </cell>
          <cell r="Z3334">
            <v>0</v>
          </cell>
          <cell r="AA3334">
            <v>0</v>
          </cell>
          <cell r="AB3334"/>
        </row>
        <row r="3335">
          <cell r="C3335">
            <v>0</v>
          </cell>
          <cell r="D3335">
            <v>0</v>
          </cell>
          <cell r="E3335">
            <v>0</v>
          </cell>
          <cell r="F3335">
            <v>0</v>
          </cell>
          <cell r="H3335">
            <v>1</v>
          </cell>
          <cell r="O3335">
            <v>132240</v>
          </cell>
          <cell r="P3335" t="str">
            <v>2014/086-0037-01</v>
          </cell>
          <cell r="Q3335" t="str">
            <v>EST CADEIRA ANGELA JANTAR (TELA NATURAL) (FREIJO NATURAL)</v>
          </cell>
          <cell r="R3335"/>
          <cell r="S3335"/>
          <cell r="T3335">
            <v>0.56000000000000005</v>
          </cell>
          <cell r="U3335">
            <v>0.54</v>
          </cell>
          <cell r="V3335">
            <v>0.87</v>
          </cell>
          <cell r="W3335">
            <v>0</v>
          </cell>
          <cell r="X3335" t="str">
            <v>EST CADEIRA ANGELA JANTAR (TELA NATURAL) (FREIJO NATURAL) - 0,56x0,54x0,87H</v>
          </cell>
          <cell r="Y3335">
            <v>18992.400000000001</v>
          </cell>
          <cell r="Z3335">
            <v>0.5</v>
          </cell>
          <cell r="AA3335">
            <v>9496.2000000000007</v>
          </cell>
          <cell r="AB3335"/>
        </row>
        <row r="3336">
          <cell r="C3336" t="e">
            <v>#N/A</v>
          </cell>
          <cell r="D3336" t="e">
            <v>#N/A</v>
          </cell>
          <cell r="E3336" t="e">
            <v>#N/A</v>
          </cell>
          <cell r="F3336" t="e">
            <v>#N/A</v>
          </cell>
          <cell r="H3336" t="e">
            <v>#N/A</v>
          </cell>
          <cell r="O3336">
            <v>145071</v>
          </cell>
          <cell r="P3336" t="str">
            <v>2014/066-0061-01</v>
          </cell>
          <cell r="Q3336" t="e">
            <v>#N/A</v>
          </cell>
          <cell r="R3336"/>
          <cell r="S3336"/>
          <cell r="T3336" t="e">
            <v>#N/A</v>
          </cell>
          <cell r="U3336" t="e">
            <v>#N/A</v>
          </cell>
          <cell r="V3336" t="e">
            <v>#N/A</v>
          </cell>
          <cell r="W3336" t="e">
            <v>#N/A</v>
          </cell>
          <cell r="X3336" t="e">
            <v>#N/A</v>
          </cell>
          <cell r="Y3336">
            <v>7862.4</v>
          </cell>
          <cell r="Z3336">
            <v>0.5</v>
          </cell>
          <cell r="AA3336">
            <v>3931.2</v>
          </cell>
          <cell r="AB3336"/>
        </row>
        <row r="3337">
          <cell r="C3337" t="e">
            <v>#N/A</v>
          </cell>
          <cell r="D3337" t="e">
            <v>#N/A</v>
          </cell>
          <cell r="E3337" t="e">
            <v>#N/A</v>
          </cell>
          <cell r="F3337" t="e">
            <v>#N/A</v>
          </cell>
          <cell r="H3337" t="e">
            <v>#N/A</v>
          </cell>
          <cell r="O3337">
            <v>145071</v>
          </cell>
          <cell r="P3337" t="str">
            <v>2014/066-0059-01</v>
          </cell>
          <cell r="Q3337" t="e">
            <v>#N/A</v>
          </cell>
          <cell r="R3337"/>
          <cell r="S3337"/>
          <cell r="T3337" t="e">
            <v>#N/A</v>
          </cell>
          <cell r="U3337" t="e">
            <v>#N/A</v>
          </cell>
          <cell r="V3337" t="e">
            <v>#N/A</v>
          </cell>
          <cell r="W3337" t="e">
            <v>#N/A</v>
          </cell>
          <cell r="X3337" t="e">
            <v>#N/A</v>
          </cell>
          <cell r="Y3337">
            <v>7862.4</v>
          </cell>
          <cell r="Z3337">
            <v>0.5</v>
          </cell>
          <cell r="AA3337">
            <v>3931.2</v>
          </cell>
          <cell r="AB3337"/>
        </row>
        <row r="3338">
          <cell r="C3338">
            <v>0</v>
          </cell>
          <cell r="D3338">
            <v>0</v>
          </cell>
          <cell r="E3338">
            <v>0</v>
          </cell>
          <cell r="F3338">
            <v>0</v>
          </cell>
          <cell r="H3338">
            <v>1</v>
          </cell>
          <cell r="O3338">
            <v>176882</v>
          </cell>
          <cell r="P3338" t="str">
            <v>2015/295-0017-01</v>
          </cell>
          <cell r="Q3338" t="str">
            <v>EST POLTRONA LIA (MAD B COR 03) TC FLOR VELVET</v>
          </cell>
          <cell r="R3338"/>
          <cell r="S3338"/>
          <cell r="T3338">
            <v>0.74</v>
          </cell>
          <cell r="U3338">
            <v>0.73</v>
          </cell>
          <cell r="V3338">
            <v>0.71</v>
          </cell>
          <cell r="W3338">
            <v>0</v>
          </cell>
          <cell r="X3338" t="str">
            <v>EST POLTRONA LIA (MAD B COR 03) TC FLOR VELVET - 0,74x0,73x0,71H</v>
          </cell>
          <cell r="Y3338">
            <v>24433.29</v>
          </cell>
          <cell r="Z3338">
            <v>0.4</v>
          </cell>
          <cell r="AA3338">
            <v>14659.974</v>
          </cell>
          <cell r="AB3338"/>
        </row>
        <row r="3339">
          <cell r="C3339">
            <v>0</v>
          </cell>
          <cell r="D3339">
            <v>0</v>
          </cell>
          <cell r="E3339">
            <v>0</v>
          </cell>
          <cell r="F3339">
            <v>0</v>
          </cell>
          <cell r="H3339">
            <v>0</v>
          </cell>
          <cell r="O3339">
            <v>182429</v>
          </cell>
          <cell r="P3339" t="str">
            <v>2015/348-0181-01</v>
          </cell>
          <cell r="Q3339" t="str">
            <v>EST POLTRONA SOFT TC LINHO 409 (ESTONADO) LI-161 MARFIM</v>
          </cell>
          <cell r="R3339"/>
          <cell r="S3339"/>
          <cell r="T3339">
            <v>0.87</v>
          </cell>
          <cell r="U3339">
            <v>1.02</v>
          </cell>
          <cell r="V3339">
            <v>0.8</v>
          </cell>
          <cell r="W3339">
            <v>0</v>
          </cell>
          <cell r="X3339" t="str">
            <v>EST POLTRONA SOFT TC LINHO 409 (ESTONADO) LI-161 MARFIM - 0,87x1,02x0,8H</v>
          </cell>
          <cell r="Y3339">
            <v>25500</v>
          </cell>
          <cell r="Z3339">
            <v>0.5</v>
          </cell>
          <cell r="AA3339">
            <v>12750</v>
          </cell>
          <cell r="AB3339"/>
        </row>
        <row r="3340">
          <cell r="C3340">
            <v>0</v>
          </cell>
          <cell r="D3340">
            <v>0</v>
          </cell>
          <cell r="E3340">
            <v>0</v>
          </cell>
          <cell r="F3340">
            <v>0</v>
          </cell>
          <cell r="H3340">
            <v>3</v>
          </cell>
          <cell r="O3340">
            <v>206298</v>
          </cell>
          <cell r="P3340" t="str">
            <v>2017/093-0074-01</v>
          </cell>
          <cell r="Q3340" t="str">
            <v>EST CADEIRA ANGELA JANTAR (TELA NATURAL) (FREIJO NATURAL)</v>
          </cell>
          <cell r="R3340"/>
          <cell r="S3340"/>
          <cell r="T3340">
            <v>0.56000000000000005</v>
          </cell>
          <cell r="U3340">
            <v>0.54</v>
          </cell>
          <cell r="V3340">
            <v>0.89</v>
          </cell>
          <cell r="W3340">
            <v>0</v>
          </cell>
          <cell r="X3340" t="str">
            <v>EST CADEIRA ANGELA JANTAR (TELA NATURAL) (FREIJO NATURAL) - 0,56x0,54x0,89H</v>
          </cell>
          <cell r="Y3340">
            <v>18992.400000000001</v>
          </cell>
          <cell r="Z3340">
            <v>0.5</v>
          </cell>
          <cell r="AA3340">
            <v>9496.2000000000007</v>
          </cell>
          <cell r="AB3340"/>
        </row>
        <row r="3341">
          <cell r="C3341">
            <v>0</v>
          </cell>
          <cell r="D3341">
            <v>0</v>
          </cell>
          <cell r="E3341">
            <v>0</v>
          </cell>
          <cell r="F3341">
            <v>0</v>
          </cell>
          <cell r="H3341">
            <v>3</v>
          </cell>
          <cell r="O3341">
            <v>206298</v>
          </cell>
          <cell r="P3341" t="str">
            <v>2017/093-0075-01</v>
          </cell>
          <cell r="Q3341" t="str">
            <v>EST CADEIRA ANGELA JANTAR (TELA NATURAL) (FREIJO NATURAL)</v>
          </cell>
          <cell r="R3341"/>
          <cell r="S3341"/>
          <cell r="T3341">
            <v>0.56000000000000005</v>
          </cell>
          <cell r="U3341">
            <v>0.54</v>
          </cell>
          <cell r="V3341">
            <v>0.89</v>
          </cell>
          <cell r="W3341">
            <v>0</v>
          </cell>
          <cell r="X3341" t="str">
            <v>EST CADEIRA ANGELA JANTAR (TELA NATURAL) (FREIJO NATURAL) - 0,56x0,54x0,89H</v>
          </cell>
          <cell r="Y3341">
            <v>18992.400000000001</v>
          </cell>
          <cell r="Z3341">
            <v>0.5</v>
          </cell>
          <cell r="AA3341">
            <v>9496.2000000000007</v>
          </cell>
          <cell r="AB3341"/>
        </row>
        <row r="3342">
          <cell r="C3342">
            <v>0</v>
          </cell>
          <cell r="D3342">
            <v>0</v>
          </cell>
          <cell r="E3342">
            <v>0</v>
          </cell>
          <cell r="F3342">
            <v>0</v>
          </cell>
          <cell r="H3342">
            <v>3</v>
          </cell>
          <cell r="O3342">
            <v>206298</v>
          </cell>
          <cell r="P3342" t="str">
            <v>2017/093-0076-01</v>
          </cell>
          <cell r="Q3342" t="str">
            <v>EST CADEIRA ANGELA JANTAR (TELA NATURAL) (FREIJO NATURAL)</v>
          </cell>
          <cell r="R3342"/>
          <cell r="S3342"/>
          <cell r="T3342">
            <v>0.56000000000000005</v>
          </cell>
          <cell r="U3342">
            <v>0.54</v>
          </cell>
          <cell r="V3342">
            <v>0.89</v>
          </cell>
          <cell r="W3342">
            <v>0</v>
          </cell>
          <cell r="X3342" t="str">
            <v>EST CADEIRA ANGELA JANTAR (TELA NATURAL) (FREIJO NATURAL) - 0,56x0,54x0,89H</v>
          </cell>
          <cell r="Y3342">
            <v>18992.400000000001</v>
          </cell>
          <cell r="Z3342">
            <v>0.5</v>
          </cell>
          <cell r="AA3342">
            <v>9496.2000000000007</v>
          </cell>
          <cell r="AB3342"/>
        </row>
        <row r="3343">
          <cell r="C3343">
            <v>0</v>
          </cell>
          <cell r="D3343">
            <v>0</v>
          </cell>
          <cell r="E3343">
            <v>0</v>
          </cell>
          <cell r="F3343">
            <v>0</v>
          </cell>
          <cell r="H3343">
            <v>1</v>
          </cell>
          <cell r="O3343">
            <v>273064</v>
          </cell>
          <cell r="P3343" t="str">
            <v>2020/324-0001-01</v>
          </cell>
          <cell r="Q3343" t="str">
            <v>EST POLTRONA ATOMO TC CAMURCA SINTETICA AP002</v>
          </cell>
          <cell r="R3343"/>
          <cell r="S3343"/>
          <cell r="T3343">
            <v>0.7</v>
          </cell>
          <cell r="U3343">
            <v>0.76</v>
          </cell>
          <cell r="V3343">
            <v>0.82</v>
          </cell>
          <cell r="W3343">
            <v>0</v>
          </cell>
          <cell r="X3343" t="str">
            <v>EST POLTRONA ATOMO TC CAMURCA SINTETICA AP002 - 0,7x0,76x0,82H</v>
          </cell>
          <cell r="Y3343">
            <v>25925</v>
          </cell>
          <cell r="Z3343">
            <v>0.5</v>
          </cell>
          <cell r="AA3343">
            <v>12962.5</v>
          </cell>
          <cell r="AB3343"/>
        </row>
        <row r="3344">
          <cell r="C3344">
            <v>0</v>
          </cell>
          <cell r="D3344">
            <v>0</v>
          </cell>
          <cell r="E3344">
            <v>0</v>
          </cell>
          <cell r="F3344">
            <v>1</v>
          </cell>
          <cell r="H3344">
            <v>0</v>
          </cell>
          <cell r="O3344">
            <v>389922</v>
          </cell>
          <cell r="P3344" t="str">
            <v>2024/219-0064-01</v>
          </cell>
          <cell r="Q3344" t="str">
            <v>EST SOFA IZADORA (CAPA/PENA) (BIPARTIDO) TC 01-26</v>
          </cell>
          <cell r="R3344"/>
          <cell r="S3344"/>
          <cell r="T3344">
            <v>2.8</v>
          </cell>
          <cell r="U3344">
            <v>1.04</v>
          </cell>
          <cell r="V3344">
            <v>0.89</v>
          </cell>
          <cell r="W3344">
            <v>0</v>
          </cell>
          <cell r="X3344" t="str">
            <v>EST SOFA IZADORA (CAPA/PENA) (BIPARTIDO) TC 01-26 - 2,8x1,04x0,89H</v>
          </cell>
          <cell r="Y3344">
            <v>30888.66</v>
          </cell>
          <cell r="Z3344">
            <v>0.35</v>
          </cell>
          <cell r="AA3344">
            <v>20077.629000000001</v>
          </cell>
          <cell r="AB3344"/>
        </row>
        <row r="3345">
          <cell r="C3345">
            <v>0</v>
          </cell>
          <cell r="D3345">
            <v>2</v>
          </cell>
          <cell r="E3345">
            <v>0</v>
          </cell>
          <cell r="F3345">
            <v>0</v>
          </cell>
          <cell r="H3345">
            <v>0</v>
          </cell>
          <cell r="O3345">
            <v>410921</v>
          </cell>
          <cell r="P3345" t="str">
            <v>2025/272-0044-01</v>
          </cell>
          <cell r="Q3345" t="str">
            <v>EST MODULO PUFF IZADORA (CAPA/FIBRA) (TC DEVA 08)</v>
          </cell>
          <cell r="R3345"/>
          <cell r="S3345"/>
          <cell r="T3345">
            <v>0.9</v>
          </cell>
          <cell r="U3345">
            <v>0.6</v>
          </cell>
          <cell r="V3345">
            <v>0.47</v>
          </cell>
          <cell r="W3345">
            <v>0</v>
          </cell>
          <cell r="X3345" t="str">
            <v>EST MODULO PUFF IZADORA (CAPA/FIBRA) (TC DEVA 08) - 0,9x0,6x0,47H</v>
          </cell>
          <cell r="Y3345">
            <v>7063.52</v>
          </cell>
          <cell r="Z3345">
            <v>0.35</v>
          </cell>
          <cell r="AA3345">
            <v>4591.2880000000005</v>
          </cell>
          <cell r="AB3345"/>
        </row>
        <row r="3346">
          <cell r="C3346">
            <v>0</v>
          </cell>
          <cell r="D3346">
            <v>2</v>
          </cell>
          <cell r="E3346">
            <v>0</v>
          </cell>
          <cell r="F3346">
            <v>0</v>
          </cell>
          <cell r="H3346">
            <v>0</v>
          </cell>
          <cell r="O3346">
            <v>410921</v>
          </cell>
          <cell r="P3346" t="str">
            <v>2025/272-0045-01</v>
          </cell>
          <cell r="Q3346" t="str">
            <v>EST MODULO PUFF IZADORA (CAPA/FIBRA) (TC DEVA 08)</v>
          </cell>
          <cell r="R3346"/>
          <cell r="S3346"/>
          <cell r="T3346">
            <v>0.9</v>
          </cell>
          <cell r="U3346">
            <v>0.6</v>
          </cell>
          <cell r="V3346">
            <v>0.47</v>
          </cell>
          <cell r="W3346">
            <v>0</v>
          </cell>
          <cell r="X3346" t="str">
            <v>EST MODULO PUFF IZADORA (CAPA/FIBRA) (TC DEVA 08) - 0,9x0,6x0,47H</v>
          </cell>
          <cell r="Y3346">
            <v>7063.52</v>
          </cell>
          <cell r="Z3346">
            <v>0.35</v>
          </cell>
          <cell r="AA3346">
            <v>4591.2880000000005</v>
          </cell>
          <cell r="AB3346"/>
        </row>
        <row r="3347">
          <cell r="C3347">
            <v>1</v>
          </cell>
          <cell r="D3347">
            <v>0</v>
          </cell>
          <cell r="E3347">
            <v>0</v>
          </cell>
          <cell r="F3347">
            <v>0</v>
          </cell>
          <cell r="H3347">
            <v>0</v>
          </cell>
          <cell r="O3347">
            <v>389921</v>
          </cell>
          <cell r="P3347" t="str">
            <v>2024/219-0063-01</v>
          </cell>
          <cell r="Q3347" t="str">
            <v>EST SOFA IZADORA (CAPA/FIBRA) (BIPARTIDO) TC 01-28</v>
          </cell>
          <cell r="R3347"/>
          <cell r="S3347"/>
          <cell r="T3347">
            <v>3</v>
          </cell>
          <cell r="U3347">
            <v>1.04</v>
          </cell>
          <cell r="V3347">
            <v>0.89</v>
          </cell>
          <cell r="W3347">
            <v>0</v>
          </cell>
          <cell r="X3347" t="str">
            <v>EST SOFA IZADORA (CAPA/FIBRA) (BIPARTIDO) TC 01-28 - 3x1,04x0,89H</v>
          </cell>
          <cell r="Y3347">
            <v>28926.82</v>
          </cell>
          <cell r="Z3347">
            <v>0.35</v>
          </cell>
          <cell r="AA3347">
            <v>18802.433000000001</v>
          </cell>
          <cell r="AB3347"/>
        </row>
        <row r="3348">
          <cell r="C3348">
            <v>0</v>
          </cell>
          <cell r="D3348">
            <v>0</v>
          </cell>
          <cell r="E3348">
            <v>0</v>
          </cell>
          <cell r="F3348">
            <v>0</v>
          </cell>
          <cell r="H3348">
            <v>0</v>
          </cell>
          <cell r="O3348">
            <v>402519</v>
          </cell>
          <cell r="P3348" t="str">
            <v>(LOTE 001)</v>
          </cell>
          <cell r="Q3348" t="str">
            <v>ROLO TECIDO EL ANGOLA 04 - (BEIGE) -</v>
          </cell>
          <cell r="R3348"/>
          <cell r="S3348"/>
          <cell r="T3348">
            <v>2.25</v>
          </cell>
          <cell r="U3348">
            <v>1.4</v>
          </cell>
          <cell r="V3348">
            <v>0</v>
          </cell>
          <cell r="W3348">
            <v>0</v>
          </cell>
          <cell r="X3348" t="str">
            <v>ROLO TECIDO EL ANGOLA 04 - (BEIGE) - - 2,25x1,4x0H</v>
          </cell>
          <cell r="Y3348">
            <v>2128.9500000000003</v>
          </cell>
          <cell r="Z3348">
            <v>0.35</v>
          </cell>
          <cell r="AA3348">
            <v>1383.8175000000001</v>
          </cell>
          <cell r="AB3348"/>
        </row>
        <row r="3349">
          <cell r="C3349">
            <v>0</v>
          </cell>
          <cell r="D3349">
            <v>0</v>
          </cell>
          <cell r="E3349">
            <v>0</v>
          </cell>
          <cell r="F3349">
            <v>0</v>
          </cell>
          <cell r="H3349">
            <v>0</v>
          </cell>
          <cell r="O3349">
            <v>402520</v>
          </cell>
          <cell r="P3349" t="str">
            <v>(LOTE 001)</v>
          </cell>
          <cell r="Q3349" t="str">
            <v>ROLO TECIDO CASUAL - (TRUFFLE) -</v>
          </cell>
          <cell r="R3349"/>
          <cell r="S3349"/>
          <cell r="T3349">
            <v>3.38</v>
          </cell>
          <cell r="U3349">
            <v>1.4</v>
          </cell>
          <cell r="V3349">
            <v>0</v>
          </cell>
          <cell r="W3349">
            <v>0</v>
          </cell>
          <cell r="X3349" t="str">
            <v>ROLO TECIDO CASUAL - (TRUFFLE) - - 3,38x1,4x0H</v>
          </cell>
          <cell r="Y3349">
            <v>1878.4349999999999</v>
          </cell>
          <cell r="Z3349">
            <v>0.35</v>
          </cell>
          <cell r="AA3349">
            <v>1220.9827500000001</v>
          </cell>
          <cell r="AB3349"/>
        </row>
        <row r="3350">
          <cell r="C3350">
            <v>0</v>
          </cell>
          <cell r="D3350">
            <v>0</v>
          </cell>
          <cell r="E3350">
            <v>0</v>
          </cell>
          <cell r="F3350">
            <v>0</v>
          </cell>
          <cell r="H3350">
            <v>0</v>
          </cell>
          <cell r="O3350">
            <v>402521</v>
          </cell>
          <cell r="P3350" t="str">
            <v>(LOTE 001)</v>
          </cell>
          <cell r="Q3350" t="str">
            <v>ROLO TECIDO CASUAL - (WHISPER) -</v>
          </cell>
          <cell r="R3350"/>
          <cell r="S3350"/>
          <cell r="T3350">
            <v>1.08</v>
          </cell>
          <cell r="U3350">
            <v>1.4</v>
          </cell>
          <cell r="V3350">
            <v>0</v>
          </cell>
          <cell r="W3350">
            <v>0</v>
          </cell>
          <cell r="X3350" t="str">
            <v>ROLO TECIDO CASUAL - (WHISPER) - - 1,08x1,4x0H</v>
          </cell>
          <cell r="Y3350">
            <v>600.21</v>
          </cell>
          <cell r="Z3350">
            <v>0.35</v>
          </cell>
          <cell r="AA3350">
            <v>390.13650000000007</v>
          </cell>
          <cell r="AB3350"/>
        </row>
        <row r="3351">
          <cell r="C3351">
            <v>0</v>
          </cell>
          <cell r="D3351">
            <v>0</v>
          </cell>
          <cell r="E3351">
            <v>0</v>
          </cell>
          <cell r="F3351">
            <v>0</v>
          </cell>
          <cell r="H3351">
            <v>0</v>
          </cell>
          <cell r="O3351">
            <v>402522</v>
          </cell>
          <cell r="P3351" t="str">
            <v>(LOTE 001)</v>
          </cell>
          <cell r="Q3351" t="str">
            <v>ROLO TECIDO EL ANGOLA 04 - (BLUE) -</v>
          </cell>
          <cell r="R3351"/>
          <cell r="S3351"/>
          <cell r="T3351">
            <v>4.05</v>
          </cell>
          <cell r="U3351">
            <v>1.4</v>
          </cell>
          <cell r="V3351">
            <v>0</v>
          </cell>
          <cell r="W3351">
            <v>0</v>
          </cell>
          <cell r="X3351" t="str">
            <v>ROLO TECIDO EL ANGOLA 04 - (BLUE) - - 4,05x1,4x0H</v>
          </cell>
          <cell r="Y3351">
            <v>3832.11</v>
          </cell>
          <cell r="Z3351">
            <v>0.35</v>
          </cell>
          <cell r="AA3351">
            <v>2490.8715000000002</v>
          </cell>
          <cell r="AB3351"/>
        </row>
        <row r="3352">
          <cell r="C3352">
            <v>0</v>
          </cell>
          <cell r="D3352">
            <v>0</v>
          </cell>
          <cell r="E3352">
            <v>0</v>
          </cell>
          <cell r="F3352">
            <v>0</v>
          </cell>
          <cell r="H3352">
            <v>0</v>
          </cell>
          <cell r="O3352">
            <v>402523</v>
          </cell>
          <cell r="P3352" t="str">
            <v>(LOTE 001)</v>
          </cell>
          <cell r="Q3352" t="str">
            <v>ROLO TECIDO EL LUDA 09 - (JEANS V) -</v>
          </cell>
          <cell r="R3352"/>
          <cell r="S3352"/>
          <cell r="T3352">
            <v>5.35</v>
          </cell>
          <cell r="U3352">
            <v>1.4</v>
          </cell>
          <cell r="V3352">
            <v>0</v>
          </cell>
          <cell r="W3352">
            <v>0</v>
          </cell>
          <cell r="X3352" t="str">
            <v>ROLO TECIDO EL LUDA 09 - (JEANS V) - - 5,35x1,4x0H</v>
          </cell>
          <cell r="Y3352">
            <v>3720.3899999999994</v>
          </cell>
          <cell r="Z3352">
            <v>0.35</v>
          </cell>
          <cell r="AA3352">
            <v>2418.2534999999998</v>
          </cell>
          <cell r="AB3352"/>
        </row>
        <row r="3353">
          <cell r="C3353">
            <v>0</v>
          </cell>
          <cell r="D3353">
            <v>0</v>
          </cell>
          <cell r="E3353">
            <v>0</v>
          </cell>
          <cell r="F3353">
            <v>0</v>
          </cell>
          <cell r="H3353">
            <v>0</v>
          </cell>
          <cell r="O3353">
            <v>402524</v>
          </cell>
          <cell r="P3353" t="str">
            <v>(LOTE 001)</v>
          </cell>
          <cell r="Q3353" t="str">
            <v>ROLO TECIDO EL MALIBU VELVET - (OCRHE) -</v>
          </cell>
          <cell r="R3353"/>
          <cell r="S3353"/>
          <cell r="T3353">
            <v>2.5</v>
          </cell>
          <cell r="U3353">
            <v>1.4</v>
          </cell>
          <cell r="V3353">
            <v>0</v>
          </cell>
          <cell r="W3353">
            <v>0</v>
          </cell>
          <cell r="X3353" t="str">
            <v>ROLO TECIDO EL MALIBU VELVET - (OCRHE) - - 2,5x1,4x0H</v>
          </cell>
          <cell r="Y3353">
            <v>2365.5</v>
          </cell>
          <cell r="Z3353">
            <v>0.35</v>
          </cell>
          <cell r="AA3353">
            <v>1537.575</v>
          </cell>
          <cell r="AB3353"/>
        </row>
        <row r="3354">
          <cell r="C3354">
            <v>0</v>
          </cell>
          <cell r="D3354">
            <v>0</v>
          </cell>
          <cell r="E3354">
            <v>0</v>
          </cell>
          <cell r="F3354">
            <v>0</v>
          </cell>
          <cell r="H3354">
            <v>0</v>
          </cell>
          <cell r="O3354">
            <v>402526</v>
          </cell>
          <cell r="P3354" t="str">
            <v>(LOTE 001)</v>
          </cell>
          <cell r="Q3354" t="str">
            <v>ROLO TECIDO MIKA - (CHIVE) -</v>
          </cell>
          <cell r="R3354"/>
          <cell r="S3354"/>
          <cell r="T3354">
            <v>5.4</v>
          </cell>
          <cell r="U3354">
            <v>1.4</v>
          </cell>
          <cell r="V3354">
            <v>0</v>
          </cell>
          <cell r="W3354">
            <v>0</v>
          </cell>
          <cell r="X3354" t="str">
            <v>ROLO TECIDO MIKA - (CHIVE) - - 5,4x1,4x0H</v>
          </cell>
          <cell r="Y3354">
            <v>5525.01</v>
          </cell>
          <cell r="Z3354">
            <v>0.35</v>
          </cell>
          <cell r="AA3354">
            <v>3591.2565000000004</v>
          </cell>
          <cell r="AB3354"/>
        </row>
        <row r="3355">
          <cell r="C3355">
            <v>0</v>
          </cell>
          <cell r="D3355">
            <v>0</v>
          </cell>
          <cell r="E3355">
            <v>0</v>
          </cell>
          <cell r="F3355">
            <v>0</v>
          </cell>
          <cell r="H3355">
            <v>0</v>
          </cell>
          <cell r="O3355">
            <v>402527</v>
          </cell>
          <cell r="P3355" t="str">
            <v>(LOTE 001)</v>
          </cell>
          <cell r="Q3355" t="str">
            <v>ROLO TECIDO POKER - (PERSIMMON) -</v>
          </cell>
          <cell r="R3355"/>
          <cell r="S3355"/>
          <cell r="T3355">
            <v>1.9</v>
          </cell>
          <cell r="U3355">
            <v>1.4</v>
          </cell>
          <cell r="V3355">
            <v>0</v>
          </cell>
          <cell r="W3355">
            <v>0</v>
          </cell>
          <cell r="X3355" t="str">
            <v>ROLO TECIDO POKER - (PERSIMMON) - - 1,9x1,4x0H</v>
          </cell>
          <cell r="Y3355">
            <v>1169.6400000000001</v>
          </cell>
          <cell r="Z3355">
            <v>0.35</v>
          </cell>
          <cell r="AA3355">
            <v>760.26600000000008</v>
          </cell>
          <cell r="AB3355"/>
        </row>
        <row r="3356">
          <cell r="C3356">
            <v>0</v>
          </cell>
          <cell r="D3356">
            <v>0</v>
          </cell>
          <cell r="E3356">
            <v>0</v>
          </cell>
          <cell r="F3356">
            <v>0</v>
          </cell>
          <cell r="H3356">
            <v>0</v>
          </cell>
          <cell r="O3356">
            <v>402528</v>
          </cell>
          <cell r="P3356" t="str">
            <v>(LOTE 001)</v>
          </cell>
          <cell r="Q3356" t="str">
            <v>ROLO TECIDO TAURUS - (BRIGTHWHITE) -</v>
          </cell>
          <cell r="R3356"/>
          <cell r="S3356"/>
          <cell r="T3356">
            <v>3.2</v>
          </cell>
          <cell r="U3356">
            <v>1.4</v>
          </cell>
          <cell r="V3356">
            <v>0</v>
          </cell>
          <cell r="W3356">
            <v>0</v>
          </cell>
          <cell r="X3356" t="str">
            <v>ROLO TECIDO TAURUS - (BRIGTHWHITE) - - 3,2x1,4x0H</v>
          </cell>
          <cell r="Y3356">
            <v>2362.08</v>
          </cell>
          <cell r="Z3356">
            <v>0.35</v>
          </cell>
          <cell r="AA3356">
            <v>1535.3519999999999</v>
          </cell>
          <cell r="AB3356"/>
        </row>
        <row r="3357">
          <cell r="C3357">
            <v>0</v>
          </cell>
          <cell r="D3357">
            <v>0</v>
          </cell>
          <cell r="E3357">
            <v>0</v>
          </cell>
          <cell r="F3357">
            <v>0</v>
          </cell>
          <cell r="H3357">
            <v>0</v>
          </cell>
          <cell r="O3357">
            <v>402529</v>
          </cell>
          <cell r="P3357" t="str">
            <v>(LOTE 001)</v>
          </cell>
          <cell r="Q3357" t="str">
            <v>ROLO TECIDO TRAILS - (FLAX) -</v>
          </cell>
          <cell r="R3357"/>
          <cell r="S3357"/>
          <cell r="T3357">
            <v>2.1</v>
          </cell>
          <cell r="U3357">
            <v>1.4</v>
          </cell>
          <cell r="V3357">
            <v>0</v>
          </cell>
          <cell r="W3357">
            <v>0</v>
          </cell>
          <cell r="X3357" t="str">
            <v>ROLO TECIDO TRAILS - (FLAX) - - 2,1x1,4x0H</v>
          </cell>
          <cell r="Y3357">
            <v>1262.835</v>
          </cell>
          <cell r="Z3357">
            <v>0.35</v>
          </cell>
          <cell r="AA3357">
            <v>820.84275000000002</v>
          </cell>
          <cell r="AB3357"/>
        </row>
        <row r="3358">
          <cell r="C3358">
            <v>0</v>
          </cell>
          <cell r="D3358">
            <v>0</v>
          </cell>
          <cell r="E3358">
            <v>0</v>
          </cell>
          <cell r="F3358">
            <v>0</v>
          </cell>
          <cell r="H3358">
            <v>0</v>
          </cell>
          <cell r="O3358">
            <v>402530</v>
          </cell>
          <cell r="P3358" t="str">
            <v>(LOTE 001)</v>
          </cell>
          <cell r="Q3358" t="str">
            <v>ROLO TECIDO VILLA OLMO - (UMBER) -</v>
          </cell>
          <cell r="R3358"/>
          <cell r="S3358"/>
          <cell r="T3358">
            <v>2.75</v>
          </cell>
          <cell r="U3358">
            <v>1.4</v>
          </cell>
          <cell r="V3358">
            <v>0</v>
          </cell>
          <cell r="W3358">
            <v>0</v>
          </cell>
          <cell r="X3358" t="str">
            <v>ROLO TECIDO VILLA OLMO - (UMBER) - - 2,75x1,4x0H</v>
          </cell>
          <cell r="Y3358">
            <v>2139.6374999999998</v>
          </cell>
          <cell r="Z3358">
            <v>0.35</v>
          </cell>
          <cell r="AA3358">
            <v>1390.764375</v>
          </cell>
          <cell r="AB3358"/>
        </row>
        <row r="3359">
          <cell r="C3359">
            <v>0</v>
          </cell>
          <cell r="D3359">
            <v>0</v>
          </cell>
          <cell r="E3359">
            <v>0</v>
          </cell>
          <cell r="F3359">
            <v>0</v>
          </cell>
          <cell r="H3359">
            <v>0</v>
          </cell>
          <cell r="O3359">
            <v>402531</v>
          </cell>
          <cell r="P3359" t="str">
            <v>(LOTE 001)</v>
          </cell>
          <cell r="Q3359" t="str">
            <v>ROLO TECIDO ZAR - (LIGHT GREEN) -</v>
          </cell>
          <cell r="R3359"/>
          <cell r="S3359"/>
          <cell r="T3359">
            <v>3.65</v>
          </cell>
          <cell r="U3359">
            <v>1.4</v>
          </cell>
          <cell r="V3359">
            <v>0</v>
          </cell>
          <cell r="W3359">
            <v>0</v>
          </cell>
          <cell r="X3359" t="str">
            <v>ROLO TECIDO ZAR - (LIGHT GREEN) - - 3,65x1,4x0H</v>
          </cell>
          <cell r="Y3359">
            <v>3131.1525000000001</v>
          </cell>
          <cell r="Z3359">
            <v>0.35</v>
          </cell>
          <cell r="AA3359">
            <v>2035.2491250000003</v>
          </cell>
          <cell r="AB3359"/>
        </row>
        <row r="3360">
          <cell r="C3360">
            <v>0</v>
          </cell>
          <cell r="D3360">
            <v>0</v>
          </cell>
          <cell r="E3360">
            <v>0</v>
          </cell>
          <cell r="F3360">
            <v>0</v>
          </cell>
          <cell r="H3360">
            <v>0</v>
          </cell>
          <cell r="O3360">
            <v>402555</v>
          </cell>
          <cell r="P3360" t="str">
            <v>(LOTE 001)</v>
          </cell>
          <cell r="Q3360" t="str">
            <v>ROLO TECIDO O'BUFFY - (NATURAL) -</v>
          </cell>
          <cell r="R3360"/>
          <cell r="S3360"/>
          <cell r="T3360">
            <v>5.6</v>
          </cell>
          <cell r="U3360">
            <v>1.4</v>
          </cell>
          <cell r="V3360">
            <v>0</v>
          </cell>
          <cell r="W3360">
            <v>0</v>
          </cell>
          <cell r="X3360" t="str">
            <v>ROLO TECIDO O'BUFFY - (NATURAL) - - 5,6x1,4x0H</v>
          </cell>
          <cell r="Y3360">
            <v>2601.48</v>
          </cell>
          <cell r="Z3360">
            <v>0.35</v>
          </cell>
          <cell r="AA3360">
            <v>1690.962</v>
          </cell>
          <cell r="AB3360"/>
        </row>
        <row r="3361">
          <cell r="C3361">
            <v>0</v>
          </cell>
          <cell r="D3361">
            <v>0</v>
          </cell>
          <cell r="E3361">
            <v>0</v>
          </cell>
          <cell r="F3361">
            <v>0</v>
          </cell>
          <cell r="H3361">
            <v>0</v>
          </cell>
          <cell r="O3361">
            <v>402675</v>
          </cell>
          <cell r="P3361" t="str">
            <v>(LOTE 001)</v>
          </cell>
          <cell r="Q3361" t="str">
            <v>ROLO TECIDO STAUNCH - (CAMOUFLAGE) -</v>
          </cell>
          <cell r="R3361"/>
          <cell r="S3361"/>
          <cell r="T3361">
            <v>1.45</v>
          </cell>
          <cell r="U3361">
            <v>1.4</v>
          </cell>
          <cell r="V3361">
            <v>0</v>
          </cell>
          <cell r="W3361">
            <v>0</v>
          </cell>
          <cell r="X3361" t="str">
            <v>ROLO TECIDO STAUNCH - (CAMOUFLAGE) - - 1,45x1,4x0H</v>
          </cell>
          <cell r="Y3361">
            <v>1008.3299999999999</v>
          </cell>
          <cell r="Z3361">
            <v>0.35</v>
          </cell>
          <cell r="AA3361">
            <v>655.41449999999998</v>
          </cell>
          <cell r="AB3361"/>
        </row>
        <row r="3362">
          <cell r="C3362">
            <v>0</v>
          </cell>
          <cell r="D3362">
            <v>0</v>
          </cell>
          <cell r="E3362">
            <v>0</v>
          </cell>
          <cell r="F3362">
            <v>0</v>
          </cell>
          <cell r="H3362">
            <v>0</v>
          </cell>
          <cell r="O3362">
            <v>402686</v>
          </cell>
          <cell r="P3362" t="str">
            <v>(LOTE 001)</v>
          </cell>
          <cell r="Q3362" t="str">
            <v>ROLO TECIDO O'TOPTEN NP - (SILVER MIX) -</v>
          </cell>
          <cell r="R3362"/>
          <cell r="S3362"/>
          <cell r="T3362">
            <v>1.7</v>
          </cell>
          <cell r="U3362">
            <v>1.4</v>
          </cell>
          <cell r="V3362">
            <v>0</v>
          </cell>
          <cell r="W3362">
            <v>0</v>
          </cell>
          <cell r="X3362" t="str">
            <v>ROLO TECIDO O'TOPTEN NP - (SILVER MIX) - - 1,7x1,4x0H</v>
          </cell>
          <cell r="Y3362">
            <v>683.14499999999998</v>
          </cell>
          <cell r="Z3362">
            <v>0.35</v>
          </cell>
          <cell r="AA3362">
            <v>444.04425000000003</v>
          </cell>
          <cell r="AB3362"/>
        </row>
        <row r="3363">
          <cell r="C3363">
            <v>0</v>
          </cell>
          <cell r="D3363">
            <v>0</v>
          </cell>
          <cell r="E3363">
            <v>0</v>
          </cell>
          <cell r="F3363">
            <v>0</v>
          </cell>
          <cell r="H3363">
            <v>0</v>
          </cell>
          <cell r="O3363">
            <v>402687</v>
          </cell>
          <cell r="P3363" t="str">
            <v>(LOTE 001)</v>
          </cell>
          <cell r="Q3363" t="str">
            <v>ROLO TECIDO EL ANGOLA 04 - (GREEN) -</v>
          </cell>
          <cell r="R3363"/>
          <cell r="S3363"/>
          <cell r="T3363">
            <v>3.4</v>
          </cell>
          <cell r="U3363">
            <v>1.4</v>
          </cell>
          <cell r="V3363">
            <v>0</v>
          </cell>
          <cell r="W3363">
            <v>0</v>
          </cell>
          <cell r="X3363" t="str">
            <v>ROLO TECIDO EL ANGOLA 04 - (GREEN) - - 3,4x1,4x0H</v>
          </cell>
          <cell r="Y3363">
            <v>3217.08</v>
          </cell>
          <cell r="Z3363">
            <v>0.35</v>
          </cell>
          <cell r="AA3363">
            <v>2091.1019999999999</v>
          </cell>
          <cell r="AB3363"/>
        </row>
        <row r="3364">
          <cell r="C3364">
            <v>0</v>
          </cell>
          <cell r="D3364">
            <v>0</v>
          </cell>
          <cell r="E3364">
            <v>0</v>
          </cell>
          <cell r="F3364">
            <v>0</v>
          </cell>
          <cell r="H3364">
            <v>0</v>
          </cell>
          <cell r="O3364">
            <v>402688</v>
          </cell>
          <cell r="P3364" t="str">
            <v>(LOTE 001)</v>
          </cell>
          <cell r="Q3364" t="str">
            <v>ROLO TECIDO ALASKA - (RUSTICO) -</v>
          </cell>
          <cell r="R3364"/>
          <cell r="S3364"/>
          <cell r="T3364">
            <v>3.8</v>
          </cell>
          <cell r="U3364">
            <v>1.4</v>
          </cell>
          <cell r="V3364">
            <v>0</v>
          </cell>
          <cell r="W3364">
            <v>0</v>
          </cell>
          <cell r="X3364" t="str">
            <v>ROLO TECIDO ALASKA - (RUSTICO) - - 3,8x1,4x0H</v>
          </cell>
          <cell r="Y3364">
            <v>2772.48</v>
          </cell>
          <cell r="Z3364">
            <v>0.35</v>
          </cell>
          <cell r="AA3364">
            <v>1802.1120000000001</v>
          </cell>
          <cell r="AB3364"/>
        </row>
        <row r="3365">
          <cell r="C3365">
            <v>0</v>
          </cell>
          <cell r="D3365">
            <v>0</v>
          </cell>
          <cell r="E3365">
            <v>0</v>
          </cell>
          <cell r="F3365">
            <v>0</v>
          </cell>
          <cell r="H3365">
            <v>0</v>
          </cell>
          <cell r="O3365">
            <v>402689</v>
          </cell>
          <cell r="P3365" t="str">
            <v>(LOTE 001)</v>
          </cell>
          <cell r="Q3365" t="str">
            <v>ROLO TECIDO AURORA - (BEIGE) -</v>
          </cell>
          <cell r="R3365"/>
          <cell r="S3365"/>
          <cell r="T3365">
            <v>1.35</v>
          </cell>
          <cell r="U3365">
            <v>1.4</v>
          </cell>
          <cell r="V3365">
            <v>0</v>
          </cell>
          <cell r="W3365">
            <v>0</v>
          </cell>
          <cell r="X3365" t="str">
            <v>ROLO TECIDO AURORA - (BEIGE) - - 1,35x1,4x0H</v>
          </cell>
          <cell r="Y3365">
            <v>1381.2525000000001</v>
          </cell>
          <cell r="Z3365">
            <v>0.35</v>
          </cell>
          <cell r="AA3365">
            <v>897.8141250000001</v>
          </cell>
          <cell r="AB3365"/>
        </row>
        <row r="3366">
          <cell r="C3366">
            <v>0</v>
          </cell>
          <cell r="D3366">
            <v>0</v>
          </cell>
          <cell r="E3366">
            <v>0</v>
          </cell>
          <cell r="F3366">
            <v>0</v>
          </cell>
          <cell r="H3366">
            <v>0</v>
          </cell>
          <cell r="O3366">
            <v>402690</v>
          </cell>
          <cell r="P3366" t="str">
            <v>(LOTE 001)</v>
          </cell>
          <cell r="Q3366" t="str">
            <v>ROLO TECIDO EL MALIBU VELVET - (GREY) -</v>
          </cell>
          <cell r="R3366"/>
          <cell r="S3366"/>
          <cell r="T3366">
            <v>2</v>
          </cell>
          <cell r="U3366">
            <v>1.4</v>
          </cell>
          <cell r="V3366">
            <v>0</v>
          </cell>
          <cell r="W3366">
            <v>0</v>
          </cell>
          <cell r="X3366" t="str">
            <v>ROLO TECIDO EL MALIBU VELVET - (GREY) - - 2x1,4x0H</v>
          </cell>
          <cell r="Y3366">
            <v>1892.4</v>
          </cell>
          <cell r="Z3366">
            <v>0.35</v>
          </cell>
          <cell r="AA3366">
            <v>1230.06</v>
          </cell>
          <cell r="AB3366"/>
        </row>
        <row r="3367">
          <cell r="C3367">
            <v>0</v>
          </cell>
          <cell r="D3367">
            <v>0</v>
          </cell>
          <cell r="E3367">
            <v>0</v>
          </cell>
          <cell r="F3367">
            <v>0</v>
          </cell>
          <cell r="H3367">
            <v>0</v>
          </cell>
          <cell r="O3367">
            <v>402691</v>
          </cell>
          <cell r="P3367" t="str">
            <v>(LOTE 001)</v>
          </cell>
          <cell r="Q3367" t="str">
            <v>ROLO TECIDO MIKA - (CAMEL) -</v>
          </cell>
          <cell r="R3367"/>
          <cell r="S3367"/>
          <cell r="T3367">
            <v>3</v>
          </cell>
          <cell r="U3367">
            <v>1.4</v>
          </cell>
          <cell r="V3367">
            <v>0</v>
          </cell>
          <cell r="W3367">
            <v>0</v>
          </cell>
          <cell r="X3367" t="str">
            <v>ROLO TECIDO MIKA - (CAMEL) - - 3x1,4x0H</v>
          </cell>
          <cell r="Y3367">
            <v>3069.45</v>
          </cell>
          <cell r="Z3367">
            <v>0.35</v>
          </cell>
          <cell r="AA3367">
            <v>1995.1424999999999</v>
          </cell>
          <cell r="AB3367"/>
        </row>
        <row r="3368">
          <cell r="C3368">
            <v>0</v>
          </cell>
          <cell r="D3368">
            <v>0</v>
          </cell>
          <cell r="E3368">
            <v>0</v>
          </cell>
          <cell r="F3368">
            <v>0</v>
          </cell>
          <cell r="H3368">
            <v>0</v>
          </cell>
          <cell r="O3368">
            <v>402692</v>
          </cell>
          <cell r="P3368" t="str">
            <v>(LOTE 001)</v>
          </cell>
          <cell r="Q3368" t="str">
            <v>ROLO TECIDO O'TOP LINEN - (LINEN) -</v>
          </cell>
          <cell r="R3368"/>
          <cell r="S3368"/>
          <cell r="T3368">
            <v>4.2</v>
          </cell>
          <cell r="U3368">
            <v>1.35</v>
          </cell>
          <cell r="V3368">
            <v>0</v>
          </cell>
          <cell r="W3368">
            <v>0</v>
          </cell>
          <cell r="X3368" t="str">
            <v>ROLO TECIDO O'TOP LINEN - (LINEN) - - 4,2x1,35x0H</v>
          </cell>
          <cell r="Y3368">
            <v>1687.7700000000002</v>
          </cell>
          <cell r="Z3368">
            <v>0.35</v>
          </cell>
          <cell r="AA3368">
            <v>1097.0505000000003</v>
          </cell>
          <cell r="AB3368"/>
        </row>
        <row r="3369">
          <cell r="C3369">
            <v>0</v>
          </cell>
          <cell r="D3369">
            <v>0</v>
          </cell>
          <cell r="E3369">
            <v>0</v>
          </cell>
          <cell r="F3369">
            <v>0</v>
          </cell>
          <cell r="H3369">
            <v>0</v>
          </cell>
          <cell r="O3369">
            <v>402693</v>
          </cell>
          <cell r="P3369" t="str">
            <v>(LOTE 001)</v>
          </cell>
          <cell r="Q3369" t="str">
            <v>ROLO TECIDO EL NOVE 04 - (AQUA) -</v>
          </cell>
          <cell r="R3369"/>
          <cell r="S3369"/>
          <cell r="T3369">
            <v>1.9</v>
          </cell>
          <cell r="U3369">
            <v>1.4</v>
          </cell>
          <cell r="V3369">
            <v>0</v>
          </cell>
          <cell r="W3369">
            <v>0</v>
          </cell>
          <cell r="X3369" t="str">
            <v>ROLO TECIDO EL NOVE 04 - (AQUA) - - 1,9x1,4x0H</v>
          </cell>
          <cell r="Y3369">
            <v>1321.26</v>
          </cell>
          <cell r="Z3369">
            <v>0.35</v>
          </cell>
          <cell r="AA3369">
            <v>858.81899999999996</v>
          </cell>
          <cell r="AB3369"/>
        </row>
        <row r="3370">
          <cell r="C3370">
            <v>0</v>
          </cell>
          <cell r="D3370">
            <v>0</v>
          </cell>
          <cell r="E3370">
            <v>0</v>
          </cell>
          <cell r="F3370">
            <v>0</v>
          </cell>
          <cell r="H3370">
            <v>0</v>
          </cell>
          <cell r="O3370">
            <v>402694</v>
          </cell>
          <cell r="P3370" t="str">
            <v>(LOTE 001)</v>
          </cell>
          <cell r="Q3370" t="str">
            <v>ROLO TECIDO COVERLET - (SNOW) -</v>
          </cell>
          <cell r="R3370"/>
          <cell r="S3370"/>
          <cell r="T3370">
            <v>3.35</v>
          </cell>
          <cell r="U3370">
            <v>1.4</v>
          </cell>
          <cell r="V3370">
            <v>0</v>
          </cell>
          <cell r="W3370">
            <v>0</v>
          </cell>
          <cell r="X3370" t="str">
            <v>ROLO TECIDO COVERLET - (SNOW) - - 3,35x1,4x0H</v>
          </cell>
          <cell r="Y3370">
            <v>2329.59</v>
          </cell>
          <cell r="Z3370">
            <v>0.35</v>
          </cell>
          <cell r="AA3370">
            <v>1514.2335000000003</v>
          </cell>
          <cell r="AB3370"/>
        </row>
        <row r="3371">
          <cell r="C3371">
            <v>0</v>
          </cell>
          <cell r="D3371">
            <v>0</v>
          </cell>
          <cell r="E3371">
            <v>0</v>
          </cell>
          <cell r="F3371">
            <v>0</v>
          </cell>
          <cell r="H3371">
            <v>0</v>
          </cell>
          <cell r="O3371">
            <v>402578</v>
          </cell>
          <cell r="P3371" t="str">
            <v>(LOTE 002)</v>
          </cell>
          <cell r="Q3371" t="str">
            <v>ROLO TECIDO ABOTT - (COOPER) -</v>
          </cell>
          <cell r="R3371"/>
          <cell r="S3371"/>
          <cell r="T3371">
            <v>6.7</v>
          </cell>
          <cell r="U3371">
            <v>1.4</v>
          </cell>
          <cell r="V3371">
            <v>0</v>
          </cell>
          <cell r="W3371">
            <v>0</v>
          </cell>
          <cell r="X3371" t="str">
            <v>ROLO TECIDO ABOTT - (COOPER) - - 6,7x1,4x0H</v>
          </cell>
          <cell r="Y3371">
            <v>4219.9949999999999</v>
          </cell>
          <cell r="Z3371">
            <v>0.35</v>
          </cell>
          <cell r="AA3371">
            <v>2742.9967500000002</v>
          </cell>
          <cell r="AB3371"/>
        </row>
        <row r="3372">
          <cell r="C3372">
            <v>0</v>
          </cell>
          <cell r="D3372">
            <v>0</v>
          </cell>
          <cell r="E3372">
            <v>0</v>
          </cell>
          <cell r="F3372">
            <v>0</v>
          </cell>
          <cell r="H3372">
            <v>0</v>
          </cell>
          <cell r="O3372">
            <v>402584</v>
          </cell>
          <cell r="P3372" t="str">
            <v>(LOTE 002)</v>
          </cell>
          <cell r="Q3372" t="str">
            <v>ROLO TECIDO EGRA - (GOLDEN BEIGE) -</v>
          </cell>
          <cell r="R3372"/>
          <cell r="S3372"/>
          <cell r="T3372">
            <v>1.08</v>
          </cell>
          <cell r="U3372">
            <v>1.4</v>
          </cell>
          <cell r="V3372">
            <v>0</v>
          </cell>
          <cell r="W3372">
            <v>0</v>
          </cell>
          <cell r="X3372" t="str">
            <v>ROLO TECIDO EGRA - (GOLDEN BEIGE) - - 1,08x1,4x0H</v>
          </cell>
          <cell r="Y3372">
            <v>926.47800000000007</v>
          </cell>
          <cell r="Z3372">
            <v>0.35</v>
          </cell>
          <cell r="AA3372">
            <v>602.21070000000009</v>
          </cell>
          <cell r="AB3372"/>
        </row>
        <row r="3373">
          <cell r="C3373">
            <v>0</v>
          </cell>
          <cell r="D3373">
            <v>0</v>
          </cell>
          <cell r="E3373">
            <v>0</v>
          </cell>
          <cell r="F3373">
            <v>0</v>
          </cell>
          <cell r="H3373">
            <v>0</v>
          </cell>
          <cell r="O3373">
            <v>402605</v>
          </cell>
          <cell r="P3373" t="str">
            <v>(LOTE 002)</v>
          </cell>
          <cell r="Q3373" t="str">
            <v>ROLO TECIDO FRISEE (GUARDIAN) - (PEACHY) -</v>
          </cell>
          <cell r="R3373"/>
          <cell r="S3373"/>
          <cell r="T3373">
            <v>8.6</v>
          </cell>
          <cell r="U3373">
            <v>1.4</v>
          </cell>
          <cell r="V3373">
            <v>0</v>
          </cell>
          <cell r="W3373">
            <v>0</v>
          </cell>
          <cell r="X3373" t="str">
            <v>ROLO TECIDO FRISEE (GUARDIAN) - (PEACHY) - - 8,6x1,4x0H</v>
          </cell>
          <cell r="Y3373">
            <v>6764.76</v>
          </cell>
          <cell r="Z3373">
            <v>0.35</v>
          </cell>
          <cell r="AA3373">
            <v>4397.094000000001</v>
          </cell>
          <cell r="AB3373"/>
        </row>
        <row r="3374"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H3374">
            <v>0</v>
          </cell>
          <cell r="O3374">
            <v>402607</v>
          </cell>
          <cell r="P3374" t="str">
            <v>(LOTE 002)</v>
          </cell>
          <cell r="Q3374" t="str">
            <v>ROLO TECIDO KEYSTONE - (NAVY) -</v>
          </cell>
          <cell r="R3374"/>
          <cell r="S3374"/>
          <cell r="T3374">
            <v>10</v>
          </cell>
          <cell r="U3374">
            <v>1.4</v>
          </cell>
          <cell r="V3374">
            <v>0</v>
          </cell>
          <cell r="W3374">
            <v>0</v>
          </cell>
          <cell r="X3374" t="str">
            <v>ROLO TECIDO KEYSTONE - (NAVY) - - 10x1,4x0H</v>
          </cell>
          <cell r="Y3374">
            <v>5557.5</v>
          </cell>
          <cell r="Z3374">
            <v>0.35</v>
          </cell>
          <cell r="AA3374">
            <v>3612.375</v>
          </cell>
          <cell r="AB3374"/>
        </row>
        <row r="3375">
          <cell r="C3375">
            <v>0</v>
          </cell>
          <cell r="D3375">
            <v>0</v>
          </cell>
          <cell r="E3375">
            <v>0</v>
          </cell>
          <cell r="F3375">
            <v>0</v>
          </cell>
          <cell r="H3375">
            <v>0</v>
          </cell>
          <cell r="O3375">
            <v>402608</v>
          </cell>
          <cell r="P3375" t="str">
            <v>(LOTE 002)</v>
          </cell>
          <cell r="Q3375" t="str">
            <v>ROLO TECIDO ELB LUDA 129 - (LINEN) -</v>
          </cell>
          <cell r="R3375"/>
          <cell r="S3375"/>
          <cell r="T3375">
            <v>2.8</v>
          </cell>
          <cell r="U3375">
            <v>1.4</v>
          </cell>
          <cell r="V3375">
            <v>0</v>
          </cell>
          <cell r="W3375">
            <v>0</v>
          </cell>
          <cell r="X3375" t="str">
            <v>ROLO TECIDO ELB LUDA 129 - (LINEN) - - 2,8x1,4x0H</v>
          </cell>
          <cell r="Y3375">
            <v>1947.12</v>
          </cell>
          <cell r="Z3375">
            <v>0.35</v>
          </cell>
          <cell r="AA3375">
            <v>1265.6279999999999</v>
          </cell>
          <cell r="AB3375"/>
        </row>
        <row r="3376">
          <cell r="C3376">
            <v>0</v>
          </cell>
          <cell r="D3376">
            <v>0</v>
          </cell>
          <cell r="E3376">
            <v>0</v>
          </cell>
          <cell r="F3376">
            <v>0</v>
          </cell>
          <cell r="H3376">
            <v>0</v>
          </cell>
          <cell r="O3376">
            <v>402609</v>
          </cell>
          <cell r="P3376" t="str">
            <v>(LOTE 002)</v>
          </cell>
          <cell r="Q3376" t="str">
            <v>ROLO TECIDO GALLANT - (MOSAIC) -</v>
          </cell>
          <cell r="R3376"/>
          <cell r="S3376"/>
          <cell r="T3376">
            <v>5.3</v>
          </cell>
          <cell r="U3376">
            <v>1.4</v>
          </cell>
          <cell r="V3376">
            <v>0</v>
          </cell>
          <cell r="W3376">
            <v>0</v>
          </cell>
          <cell r="X3376" t="str">
            <v>ROLO TECIDO GALLANT - (MOSAIC) - - 5,3x1,4x0H</v>
          </cell>
          <cell r="Y3376">
            <v>4123.665</v>
          </cell>
          <cell r="Z3376">
            <v>0.35</v>
          </cell>
          <cell r="AA3376">
            <v>2680.3822500000001</v>
          </cell>
          <cell r="AB3376"/>
        </row>
        <row r="3377">
          <cell r="C3377">
            <v>0</v>
          </cell>
          <cell r="D3377">
            <v>0</v>
          </cell>
          <cell r="E3377">
            <v>0</v>
          </cell>
          <cell r="F3377">
            <v>0</v>
          </cell>
          <cell r="H3377">
            <v>0</v>
          </cell>
          <cell r="O3377">
            <v>402610</v>
          </cell>
          <cell r="P3377" t="str">
            <v>(LOTE 002)</v>
          </cell>
          <cell r="Q3377" t="str">
            <v>ROLO TECIDO O'FIDDLETREE - (WHITELINEN) -</v>
          </cell>
          <cell r="R3377"/>
          <cell r="S3377"/>
          <cell r="T3377">
            <v>1.25</v>
          </cell>
          <cell r="U3377">
            <v>1.4</v>
          </cell>
          <cell r="V3377">
            <v>0</v>
          </cell>
          <cell r="W3377">
            <v>0</v>
          </cell>
          <cell r="X3377" t="str">
            <v>ROLO TECIDO O'FIDDLETREE - (WHITELINEN) - - 1,25x1,4x0H</v>
          </cell>
          <cell r="Y3377">
            <v>502.3125</v>
          </cell>
          <cell r="Z3377">
            <v>0.35</v>
          </cell>
          <cell r="AA3377">
            <v>326.50312500000001</v>
          </cell>
          <cell r="AB3377"/>
        </row>
        <row r="3378">
          <cell r="C3378">
            <v>0</v>
          </cell>
          <cell r="D3378">
            <v>0</v>
          </cell>
          <cell r="E3378">
            <v>0</v>
          </cell>
          <cell r="F3378">
            <v>0</v>
          </cell>
          <cell r="H3378">
            <v>0</v>
          </cell>
          <cell r="O3378">
            <v>402611</v>
          </cell>
          <cell r="P3378" t="str">
            <v>(LOTE 002)</v>
          </cell>
          <cell r="Q3378" t="str">
            <v>ROLO TECIDO ELB LUDA 129 - (SILVER) -</v>
          </cell>
          <cell r="R3378"/>
          <cell r="S3378"/>
          <cell r="T3378">
            <v>1.2</v>
          </cell>
          <cell r="U3378">
            <v>1.4</v>
          </cell>
          <cell r="V3378">
            <v>0</v>
          </cell>
          <cell r="W3378">
            <v>0</v>
          </cell>
          <cell r="X3378" t="str">
            <v>ROLO TECIDO ELB LUDA 129 - (SILVER) - - 1,2x1,4x0H</v>
          </cell>
          <cell r="Y3378">
            <v>834.4799999999999</v>
          </cell>
          <cell r="Z3378">
            <v>0.35</v>
          </cell>
          <cell r="AA3378">
            <v>542.41200000000003</v>
          </cell>
          <cell r="AB3378"/>
        </row>
        <row r="3379">
          <cell r="C3379">
            <v>0</v>
          </cell>
          <cell r="D3379">
            <v>0</v>
          </cell>
          <cell r="E3379">
            <v>0</v>
          </cell>
          <cell r="F3379">
            <v>0</v>
          </cell>
          <cell r="H3379">
            <v>0</v>
          </cell>
          <cell r="O3379">
            <v>402612</v>
          </cell>
          <cell r="P3379" t="str">
            <v>(LOTE 002)</v>
          </cell>
          <cell r="Q3379" t="str">
            <v>ROLO TECIDO OUT VELVET - (GRIS CLARO) -</v>
          </cell>
          <cell r="R3379"/>
          <cell r="S3379"/>
          <cell r="T3379">
            <v>2.2999999999999998</v>
          </cell>
          <cell r="U3379">
            <v>1.4</v>
          </cell>
          <cell r="V3379">
            <v>0</v>
          </cell>
          <cell r="W3379">
            <v>0</v>
          </cell>
          <cell r="X3379" t="str">
            <v>ROLO TECIDO OUT VELVET - (GRIS CLARO) - - 2,3x1,4x0H</v>
          </cell>
          <cell r="Y3379">
            <v>1789.5149999999996</v>
          </cell>
          <cell r="Z3379">
            <v>0.35</v>
          </cell>
          <cell r="AA3379">
            <v>1163.1847499999999</v>
          </cell>
          <cell r="AB3379"/>
        </row>
        <row r="3380">
          <cell r="C3380">
            <v>0</v>
          </cell>
          <cell r="D3380">
            <v>0</v>
          </cell>
          <cell r="E3380">
            <v>0</v>
          </cell>
          <cell r="F3380">
            <v>0</v>
          </cell>
          <cell r="H3380">
            <v>0</v>
          </cell>
          <cell r="O3380">
            <v>402615</v>
          </cell>
          <cell r="P3380" t="str">
            <v>(LOTE 002)</v>
          </cell>
          <cell r="Q3380" t="str">
            <v>ROLO TECIDO EL LUANDO 04 - (BLUE MIX) -</v>
          </cell>
          <cell r="R3380"/>
          <cell r="S3380"/>
          <cell r="T3380">
            <v>1.2</v>
          </cell>
          <cell r="U3380">
            <v>1.4</v>
          </cell>
          <cell r="V3380">
            <v>0</v>
          </cell>
          <cell r="W3380">
            <v>0</v>
          </cell>
          <cell r="X3380" t="str">
            <v>ROLO TECIDO EL LUANDO 04 - (BLUE MIX) - - 1,2x1,4x0H</v>
          </cell>
          <cell r="Y3380">
            <v>1135.44</v>
          </cell>
          <cell r="Z3380">
            <v>0.35</v>
          </cell>
          <cell r="AA3380">
            <v>738.03600000000006</v>
          </cell>
          <cell r="AB3380"/>
        </row>
        <row r="3381">
          <cell r="C3381">
            <v>0</v>
          </cell>
          <cell r="D3381">
            <v>0</v>
          </cell>
          <cell r="E3381">
            <v>0</v>
          </cell>
          <cell r="F3381">
            <v>0</v>
          </cell>
          <cell r="H3381">
            <v>0</v>
          </cell>
          <cell r="O3381">
            <v>402616</v>
          </cell>
          <cell r="P3381" t="str">
            <v>(LOTE 002)</v>
          </cell>
          <cell r="Q3381" t="str">
            <v>ROLO TECIDO ULTRA SLEEK - (SAGE) -</v>
          </cell>
          <cell r="R3381"/>
          <cell r="S3381"/>
          <cell r="T3381">
            <v>1.5</v>
          </cell>
          <cell r="U3381">
            <v>1.4</v>
          </cell>
          <cell r="V3381">
            <v>0</v>
          </cell>
          <cell r="W3381">
            <v>0</v>
          </cell>
          <cell r="X3381" t="str">
            <v>ROLO TECIDO ULTRA SLEEK - (SAGE) - - 1,5x1,4x0H</v>
          </cell>
          <cell r="Y3381">
            <v>722.47499999999991</v>
          </cell>
          <cell r="Z3381">
            <v>0.35</v>
          </cell>
          <cell r="AA3381">
            <v>469.60874999999999</v>
          </cell>
          <cell r="AB3381"/>
        </row>
        <row r="3382">
          <cell r="C3382">
            <v>0</v>
          </cell>
          <cell r="D3382">
            <v>0</v>
          </cell>
          <cell r="E3382">
            <v>0</v>
          </cell>
          <cell r="F3382">
            <v>0</v>
          </cell>
          <cell r="H3382">
            <v>0</v>
          </cell>
          <cell r="O3382">
            <v>402618</v>
          </cell>
          <cell r="P3382" t="str">
            <v>(LOTE 002)</v>
          </cell>
          <cell r="Q3382" t="str">
            <v>ROLO TECIDO HEARTLAND - (HUNTER) -</v>
          </cell>
          <cell r="R3382"/>
          <cell r="S3382"/>
          <cell r="T3382">
            <v>2.2000000000000002</v>
          </cell>
          <cell r="U3382">
            <v>1.4</v>
          </cell>
          <cell r="V3382">
            <v>0</v>
          </cell>
          <cell r="W3382">
            <v>0</v>
          </cell>
          <cell r="X3382" t="str">
            <v>ROLO TECIDO HEARTLAND - (HUNTER) - - 2,2x1,4x0H</v>
          </cell>
          <cell r="Y3382">
            <v>1529.88</v>
          </cell>
          <cell r="Z3382">
            <v>0.35</v>
          </cell>
          <cell r="AA3382">
            <v>994.42200000000014</v>
          </cell>
          <cell r="AB3382"/>
        </row>
        <row r="3383">
          <cell r="C3383">
            <v>0</v>
          </cell>
          <cell r="D3383">
            <v>0</v>
          </cell>
          <cell r="E3383">
            <v>0</v>
          </cell>
          <cell r="F3383">
            <v>0</v>
          </cell>
          <cell r="H3383">
            <v>0</v>
          </cell>
          <cell r="O3383">
            <v>402619</v>
          </cell>
          <cell r="P3383" t="str">
            <v>(LOTE 002)</v>
          </cell>
          <cell r="Q3383" t="str">
            <v>ROLO TECIDO DELUXE - (AUTUMN) -</v>
          </cell>
          <cell r="R3383"/>
          <cell r="S3383"/>
          <cell r="T3383">
            <v>1.5</v>
          </cell>
          <cell r="U3383">
            <v>1.4</v>
          </cell>
          <cell r="V3383">
            <v>0</v>
          </cell>
          <cell r="W3383">
            <v>0</v>
          </cell>
          <cell r="X3383" t="str">
            <v>ROLO TECIDO DELUXE - (AUTUMN) - - 1,5x1,4x0H</v>
          </cell>
          <cell r="Y3383">
            <v>1043.0999999999999</v>
          </cell>
          <cell r="Z3383">
            <v>0.35</v>
          </cell>
          <cell r="AA3383">
            <v>678.01499999999999</v>
          </cell>
          <cell r="AB3383"/>
        </row>
        <row r="3384">
          <cell r="C3384">
            <v>0</v>
          </cell>
          <cell r="D3384">
            <v>0</v>
          </cell>
          <cell r="E3384">
            <v>0</v>
          </cell>
          <cell r="F3384">
            <v>0</v>
          </cell>
          <cell r="H3384">
            <v>0</v>
          </cell>
          <cell r="O3384">
            <v>402620</v>
          </cell>
          <cell r="P3384" t="str">
            <v>(LOTE 002)</v>
          </cell>
          <cell r="Q3384" t="str">
            <v>ROLO TECIDO ELB LUDA 129 - (AQUA) -</v>
          </cell>
          <cell r="R3384"/>
          <cell r="S3384"/>
          <cell r="T3384">
            <v>1</v>
          </cell>
          <cell r="U3384">
            <v>1.4</v>
          </cell>
          <cell r="V3384">
            <v>0</v>
          </cell>
          <cell r="W3384">
            <v>0</v>
          </cell>
          <cell r="X3384" t="str">
            <v>ROLO TECIDO ELB LUDA 129 - (AQUA) - - 1x1,4x0H</v>
          </cell>
          <cell r="Y3384">
            <v>695.4</v>
          </cell>
          <cell r="Z3384">
            <v>0.35</v>
          </cell>
          <cell r="AA3384">
            <v>452.01</v>
          </cell>
          <cell r="AB3384"/>
        </row>
        <row r="3385">
          <cell r="C3385">
            <v>0</v>
          </cell>
          <cell r="D3385">
            <v>0</v>
          </cell>
          <cell r="E3385">
            <v>0</v>
          </cell>
          <cell r="F3385">
            <v>0</v>
          </cell>
          <cell r="H3385">
            <v>0</v>
          </cell>
          <cell r="O3385">
            <v>402622</v>
          </cell>
          <cell r="P3385" t="str">
            <v>(LOTE 002)</v>
          </cell>
          <cell r="Q3385" t="str">
            <v>ROLO TECIDO JAVA - (FENNEL) -</v>
          </cell>
          <cell r="R3385"/>
          <cell r="S3385"/>
          <cell r="T3385">
            <v>1.7</v>
          </cell>
          <cell r="U3385">
            <v>1.4</v>
          </cell>
          <cell r="V3385">
            <v>0</v>
          </cell>
          <cell r="W3385">
            <v>0</v>
          </cell>
          <cell r="X3385" t="str">
            <v>ROLO TECIDO JAVA - (FENNEL) - - 1,7x1,4x0H</v>
          </cell>
          <cell r="Y3385">
            <v>1831.4099999999999</v>
          </cell>
          <cell r="Z3385">
            <v>0.35</v>
          </cell>
          <cell r="AA3385">
            <v>1190.4164999999998</v>
          </cell>
          <cell r="AB3385"/>
        </row>
        <row r="3386">
          <cell r="C3386">
            <v>0</v>
          </cell>
          <cell r="D3386">
            <v>0</v>
          </cell>
          <cell r="E3386">
            <v>0</v>
          </cell>
          <cell r="F3386">
            <v>0</v>
          </cell>
          <cell r="H3386">
            <v>0</v>
          </cell>
          <cell r="O3386">
            <v>402698</v>
          </cell>
          <cell r="P3386" t="str">
            <v>(LOTE 002)</v>
          </cell>
          <cell r="Q3386" t="str">
            <v>ROLO TECIDO EL MEDA - (MIDNIGHT) -</v>
          </cell>
          <cell r="R3386"/>
          <cell r="S3386"/>
          <cell r="T3386">
            <v>1.41</v>
          </cell>
          <cell r="U3386">
            <v>1.4</v>
          </cell>
          <cell r="V3386">
            <v>0</v>
          </cell>
          <cell r="W3386">
            <v>0</v>
          </cell>
          <cell r="X3386" t="str">
            <v>ROLO TECIDO EL MEDA - (MIDNIGHT) - - 1,41x1,4x0H</v>
          </cell>
          <cell r="Y3386">
            <v>783.60749999999996</v>
          </cell>
          <cell r="Z3386">
            <v>0.35</v>
          </cell>
          <cell r="AA3386">
            <v>509.344875</v>
          </cell>
          <cell r="AB3386"/>
        </row>
        <row r="3387">
          <cell r="C3387">
            <v>0</v>
          </cell>
          <cell r="D3387">
            <v>0</v>
          </cell>
          <cell r="E3387">
            <v>0</v>
          </cell>
          <cell r="F3387">
            <v>0</v>
          </cell>
          <cell r="H3387">
            <v>0</v>
          </cell>
          <cell r="O3387">
            <v>402703</v>
          </cell>
          <cell r="P3387" t="str">
            <v>(LOTE 002)</v>
          </cell>
          <cell r="Q3387" t="str">
            <v>ROLO TECIDO MIKA - (CHIVE) -</v>
          </cell>
          <cell r="R3387"/>
          <cell r="S3387"/>
          <cell r="T3387">
            <v>2.1</v>
          </cell>
          <cell r="U3387">
            <v>1.4</v>
          </cell>
          <cell r="V3387">
            <v>0</v>
          </cell>
          <cell r="W3387">
            <v>0</v>
          </cell>
          <cell r="X3387" t="str">
            <v>ROLO TECIDO MIKA - (CHIVE) - - 2,1x1,4x0H</v>
          </cell>
          <cell r="Y3387">
            <v>2148.6150000000002</v>
          </cell>
          <cell r="Z3387">
            <v>0.35</v>
          </cell>
          <cell r="AA3387">
            <v>1396.5997500000003</v>
          </cell>
          <cell r="AB3387"/>
        </row>
        <row r="3388">
          <cell r="C3388">
            <v>0</v>
          </cell>
          <cell r="D3388">
            <v>0</v>
          </cell>
          <cell r="E3388">
            <v>0</v>
          </cell>
          <cell r="F3388">
            <v>0</v>
          </cell>
          <cell r="H3388">
            <v>0</v>
          </cell>
          <cell r="O3388">
            <v>402704</v>
          </cell>
          <cell r="P3388" t="str">
            <v>(LOTE 002)</v>
          </cell>
          <cell r="Q3388" t="str">
            <v>ROLO TECIDO EL MALIBU VELVET - (OLD ROSE) -</v>
          </cell>
          <cell r="R3388"/>
          <cell r="S3388"/>
          <cell r="T3388">
            <v>3.4</v>
          </cell>
          <cell r="U3388">
            <v>1.4</v>
          </cell>
          <cell r="V3388">
            <v>0</v>
          </cell>
          <cell r="W3388">
            <v>0</v>
          </cell>
          <cell r="X3388" t="str">
            <v>ROLO TECIDO EL MALIBU VELVET - (OLD ROSE) - - 3,4x1,4x0H</v>
          </cell>
          <cell r="Y3388">
            <v>3217.08</v>
          </cell>
          <cell r="Z3388">
            <v>0.35</v>
          </cell>
          <cell r="AA3388">
            <v>2091.1019999999999</v>
          </cell>
          <cell r="AB3388"/>
        </row>
        <row r="3389">
          <cell r="C3389">
            <v>0</v>
          </cell>
          <cell r="D3389">
            <v>0</v>
          </cell>
          <cell r="E3389">
            <v>0</v>
          </cell>
          <cell r="F3389">
            <v>0</v>
          </cell>
          <cell r="H3389">
            <v>0</v>
          </cell>
          <cell r="O3389">
            <v>402705</v>
          </cell>
          <cell r="P3389" t="str">
            <v>(LOTE 002)</v>
          </cell>
          <cell r="Q3389" t="str">
            <v>ROLO TECIDO TRAILS - (SPICEY) -</v>
          </cell>
          <cell r="R3389"/>
          <cell r="S3389"/>
          <cell r="T3389">
            <v>3.87</v>
          </cell>
          <cell r="U3389">
            <v>1.4</v>
          </cell>
          <cell r="V3389">
            <v>0</v>
          </cell>
          <cell r="W3389">
            <v>0</v>
          </cell>
          <cell r="X3389" t="str">
            <v>ROLO TECIDO TRAILS - (SPICEY) - - 3,87x1,4x0H</v>
          </cell>
          <cell r="Y3389">
            <v>2327.2245000000003</v>
          </cell>
          <cell r="Z3389">
            <v>0.35</v>
          </cell>
          <cell r="AA3389">
            <v>1512.6959250000002</v>
          </cell>
          <cell r="AB3389"/>
        </row>
        <row r="3390">
          <cell r="C3390">
            <v>0</v>
          </cell>
          <cell r="D3390">
            <v>0</v>
          </cell>
          <cell r="E3390">
            <v>0</v>
          </cell>
          <cell r="F3390">
            <v>0</v>
          </cell>
          <cell r="H3390">
            <v>0</v>
          </cell>
          <cell r="O3390">
            <v>402708</v>
          </cell>
          <cell r="P3390" t="str">
            <v>(LOTE 002)</v>
          </cell>
          <cell r="Q3390" t="str">
            <v>ROLO TECIDO EL NOVE 04 - (GREY) -</v>
          </cell>
          <cell r="R3390"/>
          <cell r="S3390"/>
          <cell r="T3390">
            <v>2.5499999999999998</v>
          </cell>
          <cell r="U3390">
            <v>1.4</v>
          </cell>
          <cell r="V3390">
            <v>0</v>
          </cell>
          <cell r="W3390">
            <v>0</v>
          </cell>
          <cell r="X3390" t="str">
            <v>ROLO TECIDO EL NOVE 04 - (GREY) - - 2,55x1,4x0H</v>
          </cell>
          <cell r="Y3390">
            <v>1773.2699999999998</v>
          </cell>
          <cell r="Z3390">
            <v>0.35</v>
          </cell>
          <cell r="AA3390">
            <v>1152.6254999999999</v>
          </cell>
          <cell r="AB3390"/>
        </row>
        <row r="3391">
          <cell r="C3391">
            <v>0</v>
          </cell>
          <cell r="D3391">
            <v>0</v>
          </cell>
          <cell r="E3391">
            <v>0</v>
          </cell>
          <cell r="F3391">
            <v>0</v>
          </cell>
          <cell r="H3391">
            <v>0</v>
          </cell>
          <cell r="O3391">
            <v>402709</v>
          </cell>
          <cell r="P3391" t="str">
            <v>(LOTE 002)</v>
          </cell>
          <cell r="Q3391" t="str">
            <v>ROLO TECIDO MIKA - (CHIVE) -</v>
          </cell>
          <cell r="R3391"/>
          <cell r="S3391"/>
          <cell r="T3391">
            <v>3.51</v>
          </cell>
          <cell r="U3391">
            <v>1.4</v>
          </cell>
          <cell r="V3391">
            <v>0</v>
          </cell>
          <cell r="W3391">
            <v>0</v>
          </cell>
          <cell r="X3391" t="str">
            <v>ROLO TECIDO MIKA - (CHIVE) - - 3,51x1,4x0H</v>
          </cell>
          <cell r="Y3391">
            <v>3591.2564999999995</v>
          </cell>
          <cell r="Z3391">
            <v>0.35</v>
          </cell>
          <cell r="AA3391">
            <v>2334.3167249999997</v>
          </cell>
          <cell r="AB3391"/>
        </row>
        <row r="3392">
          <cell r="C3392">
            <v>0</v>
          </cell>
          <cell r="D3392">
            <v>0</v>
          </cell>
          <cell r="E3392">
            <v>0</v>
          </cell>
          <cell r="F3392">
            <v>0</v>
          </cell>
          <cell r="H3392">
            <v>0</v>
          </cell>
          <cell r="O3392">
            <v>402710</v>
          </cell>
          <cell r="P3392" t="str">
            <v>(LOTE 002)</v>
          </cell>
          <cell r="Q3392" t="str">
            <v>ROLO TECIDO ELB LUDA 129 - (CHERRY) -</v>
          </cell>
          <cell r="R3392"/>
          <cell r="S3392"/>
          <cell r="T3392">
            <v>1.7</v>
          </cell>
          <cell r="U3392">
            <v>1.4</v>
          </cell>
          <cell r="V3392">
            <v>0</v>
          </cell>
          <cell r="W3392">
            <v>0</v>
          </cell>
          <cell r="X3392" t="str">
            <v>ROLO TECIDO ELB LUDA 129 - (CHERRY) - - 1,7x1,4x0H</v>
          </cell>
          <cell r="Y3392">
            <v>1182.1799999999998</v>
          </cell>
          <cell r="Z3392">
            <v>0.35</v>
          </cell>
          <cell r="AA3392">
            <v>768.41699999999992</v>
          </cell>
          <cell r="AB3392"/>
        </row>
        <row r="3393">
          <cell r="C3393">
            <v>0</v>
          </cell>
          <cell r="D3393">
            <v>0</v>
          </cell>
          <cell r="E3393">
            <v>0</v>
          </cell>
          <cell r="F3393">
            <v>0</v>
          </cell>
          <cell r="H3393">
            <v>0</v>
          </cell>
          <cell r="O3393">
            <v>402623</v>
          </cell>
          <cell r="P3393" t="str">
            <v>(LOTE 003)</v>
          </cell>
          <cell r="Q3393" t="str">
            <v>ROLO TECIDO ELB LUDA 129 - (SILVER) -</v>
          </cell>
          <cell r="R3393"/>
          <cell r="S3393"/>
          <cell r="T3393">
            <v>2.8</v>
          </cell>
          <cell r="U3393">
            <v>1.4</v>
          </cell>
          <cell r="V3393">
            <v>0</v>
          </cell>
          <cell r="W3393">
            <v>0</v>
          </cell>
          <cell r="X3393" t="str">
            <v>ROLO TECIDO ELB LUDA 129 - (SILVER) - - 2,8x1,4x0H</v>
          </cell>
          <cell r="Y3393">
            <v>1947.12</v>
          </cell>
          <cell r="Z3393">
            <v>0.35</v>
          </cell>
          <cell r="AA3393">
            <v>1265.6279999999999</v>
          </cell>
          <cell r="AB3393"/>
        </row>
        <row r="3394">
          <cell r="C3394">
            <v>0</v>
          </cell>
          <cell r="D3394">
            <v>0</v>
          </cell>
          <cell r="E3394">
            <v>0</v>
          </cell>
          <cell r="F3394">
            <v>0</v>
          </cell>
          <cell r="H3394">
            <v>0</v>
          </cell>
          <cell r="O3394">
            <v>402624</v>
          </cell>
          <cell r="P3394" t="str">
            <v>(LOTE 003) (FL)</v>
          </cell>
          <cell r="Q3394" t="str">
            <v>ROLO TECIDO SENEL 01 - (WARM) -</v>
          </cell>
          <cell r="R3394"/>
          <cell r="S3394"/>
          <cell r="T3394">
            <v>2.1</v>
          </cell>
          <cell r="U3394">
            <v>1.4</v>
          </cell>
          <cell r="V3394">
            <v>0</v>
          </cell>
          <cell r="W3394">
            <v>0</v>
          </cell>
          <cell r="X3394" t="str">
            <v>ROLO TECIDO SENEL 01 - (WARM) - - 2,1x1,4x0H</v>
          </cell>
          <cell r="Y3394">
            <v>544.35</v>
          </cell>
          <cell r="Z3394">
            <v>0.35</v>
          </cell>
          <cell r="AA3394">
            <v>353.82749999999999</v>
          </cell>
          <cell r="AB3394"/>
        </row>
        <row r="3395">
          <cell r="C3395">
            <v>0</v>
          </cell>
          <cell r="D3395">
            <v>0</v>
          </cell>
          <cell r="E3395">
            <v>0</v>
          </cell>
          <cell r="F3395">
            <v>0</v>
          </cell>
          <cell r="H3395">
            <v>0</v>
          </cell>
          <cell r="O3395">
            <v>402625</v>
          </cell>
          <cell r="P3395" t="str">
            <v>(LOTE 003)</v>
          </cell>
          <cell r="Q3395" t="str">
            <v>ROLO TECIDO EL LUDA 09 - (LINEN A) -</v>
          </cell>
          <cell r="R3395"/>
          <cell r="S3395"/>
          <cell r="T3395">
            <v>2.75</v>
          </cell>
          <cell r="U3395">
            <v>1.4</v>
          </cell>
          <cell r="V3395">
            <v>0</v>
          </cell>
          <cell r="W3395">
            <v>0</v>
          </cell>
          <cell r="X3395" t="str">
            <v>ROLO TECIDO EL LUDA 09 - (LINEN A) - - 2,75x1,4x0H</v>
          </cell>
          <cell r="Y3395">
            <v>2955.45</v>
          </cell>
          <cell r="Z3395">
            <v>0.35</v>
          </cell>
          <cell r="AA3395">
            <v>1921.0425</v>
          </cell>
          <cell r="AB3395"/>
        </row>
        <row r="3396">
          <cell r="C3396">
            <v>0</v>
          </cell>
          <cell r="D3396">
            <v>0</v>
          </cell>
          <cell r="E3396">
            <v>0</v>
          </cell>
          <cell r="F3396">
            <v>0</v>
          </cell>
          <cell r="H3396">
            <v>0</v>
          </cell>
          <cell r="O3396">
            <v>402626</v>
          </cell>
          <cell r="P3396" t="str">
            <v>(LOTE 003)</v>
          </cell>
          <cell r="Q3396" t="str">
            <v>ROLO TECIDO EL LUDA 09 - (LINEN A) -</v>
          </cell>
          <cell r="R3396"/>
          <cell r="S3396"/>
          <cell r="T3396">
            <v>4.5</v>
          </cell>
          <cell r="U3396">
            <v>1.4</v>
          </cell>
          <cell r="V3396">
            <v>0</v>
          </cell>
          <cell r="W3396">
            <v>0</v>
          </cell>
          <cell r="X3396" t="str">
            <v>ROLO TECIDO EL LUDA 09 - (LINEN A) - - 4,5x1,4x0H</v>
          </cell>
          <cell r="Y3396">
            <v>3129.2999999999997</v>
          </cell>
          <cell r="Z3396">
            <v>0.35</v>
          </cell>
          <cell r="AA3396">
            <v>2034.0449999999998</v>
          </cell>
          <cell r="AB3396"/>
        </row>
        <row r="3397">
          <cell r="C3397">
            <v>0</v>
          </cell>
          <cell r="D3397">
            <v>0</v>
          </cell>
          <cell r="E3397">
            <v>0</v>
          </cell>
          <cell r="F3397">
            <v>0</v>
          </cell>
          <cell r="H3397">
            <v>0</v>
          </cell>
          <cell r="O3397">
            <v>402697</v>
          </cell>
          <cell r="P3397" t="str">
            <v>(LOTE 003)</v>
          </cell>
          <cell r="Q3397" t="str">
            <v>ROLO TECIDO EL MEDA - (ICE) -</v>
          </cell>
          <cell r="R3397"/>
          <cell r="S3397"/>
          <cell r="T3397">
            <v>1.4</v>
          </cell>
          <cell r="U3397">
            <v>1.4</v>
          </cell>
          <cell r="V3397">
            <v>0</v>
          </cell>
          <cell r="W3397">
            <v>0</v>
          </cell>
          <cell r="X3397" t="str">
            <v>ROLO TECIDO EL MEDA - (ICE) - - 1,4x1,4x0H</v>
          </cell>
          <cell r="Y3397">
            <v>778.05</v>
          </cell>
          <cell r="Z3397">
            <v>0.35</v>
          </cell>
          <cell r="AA3397">
            <v>505.73250000000002</v>
          </cell>
          <cell r="AB3397"/>
        </row>
        <row r="3398">
          <cell r="C3398">
            <v>0</v>
          </cell>
          <cell r="D3398">
            <v>0</v>
          </cell>
          <cell r="E3398">
            <v>0</v>
          </cell>
          <cell r="F3398">
            <v>0</v>
          </cell>
          <cell r="H3398">
            <v>0</v>
          </cell>
          <cell r="O3398">
            <v>402699</v>
          </cell>
          <cell r="P3398" t="str">
            <v>(LOTE 003)</v>
          </cell>
          <cell r="Q3398" t="str">
            <v>ROLO TECIDO EL STRONG - (OLIVER GREEN) -</v>
          </cell>
          <cell r="R3398"/>
          <cell r="S3398"/>
          <cell r="T3398">
            <v>1.75</v>
          </cell>
          <cell r="U3398">
            <v>1.4</v>
          </cell>
          <cell r="V3398">
            <v>0</v>
          </cell>
          <cell r="W3398">
            <v>0</v>
          </cell>
          <cell r="X3398" t="str">
            <v>ROLO TECIDO EL STRONG - (OLIVER GREEN) - - 1,75x1,4x0H</v>
          </cell>
          <cell r="Y3398">
            <v>1685.7749999999999</v>
          </cell>
          <cell r="Z3398">
            <v>0.35</v>
          </cell>
          <cell r="AA3398">
            <v>1095.7537499999999</v>
          </cell>
          <cell r="AB3398"/>
        </row>
        <row r="3399">
          <cell r="C3399">
            <v>0</v>
          </cell>
          <cell r="D3399">
            <v>0</v>
          </cell>
          <cell r="E3399">
            <v>0</v>
          </cell>
          <cell r="F3399">
            <v>0</v>
          </cell>
          <cell r="H3399">
            <v>0</v>
          </cell>
          <cell r="O3399">
            <v>402702</v>
          </cell>
          <cell r="P3399" t="str">
            <v>(LOTE 003)</v>
          </cell>
          <cell r="Q3399" t="str">
            <v>ROLO TECIDO EL LUDA 09 - (PLATINUM) -</v>
          </cell>
          <cell r="R3399"/>
          <cell r="S3399"/>
          <cell r="T3399">
            <v>3</v>
          </cell>
          <cell r="U3399">
            <v>1.4</v>
          </cell>
          <cell r="V3399">
            <v>0</v>
          </cell>
          <cell r="W3399">
            <v>0</v>
          </cell>
          <cell r="X3399" t="str">
            <v>ROLO TECIDO EL LUDA 09 - (PLATINUM) - - 3x1,4x0H</v>
          </cell>
          <cell r="Y3399">
            <v>2086.1999999999998</v>
          </cell>
          <cell r="Z3399">
            <v>0.35</v>
          </cell>
          <cell r="AA3399">
            <v>1356.03</v>
          </cell>
          <cell r="AB3399"/>
        </row>
        <row r="3400">
          <cell r="C3400">
            <v>0</v>
          </cell>
          <cell r="D3400">
            <v>0</v>
          </cell>
          <cell r="E3400">
            <v>0</v>
          </cell>
          <cell r="F3400">
            <v>0</v>
          </cell>
          <cell r="H3400">
            <v>0</v>
          </cell>
          <cell r="O3400">
            <v>402706</v>
          </cell>
          <cell r="P3400" t="str">
            <v>(LOTE 003)</v>
          </cell>
          <cell r="Q3400" t="str">
            <v>ROLO TECIDO EL SWISS VELVET - (NATURAL) -</v>
          </cell>
          <cell r="R3400"/>
          <cell r="S3400"/>
          <cell r="T3400">
            <v>4.0999999999999996</v>
          </cell>
          <cell r="U3400">
            <v>1.4</v>
          </cell>
          <cell r="V3400">
            <v>0</v>
          </cell>
          <cell r="W3400">
            <v>0</v>
          </cell>
          <cell r="X3400" t="str">
            <v>ROLO TECIDO EL SWISS VELVET - (NATURAL) - - 4,1x1,4x0H</v>
          </cell>
          <cell r="Y3400">
            <v>3879.42</v>
          </cell>
          <cell r="Z3400">
            <v>0.35</v>
          </cell>
          <cell r="AA3400">
            <v>2521.623</v>
          </cell>
          <cell r="AB3400"/>
        </row>
        <row r="3401">
          <cell r="C3401">
            <v>0</v>
          </cell>
          <cell r="D3401">
            <v>0</v>
          </cell>
          <cell r="E3401">
            <v>0</v>
          </cell>
          <cell r="F3401">
            <v>0</v>
          </cell>
          <cell r="H3401">
            <v>0</v>
          </cell>
          <cell r="O3401">
            <v>404333</v>
          </cell>
          <cell r="P3401" t="str">
            <v>(LOTE 003)</v>
          </cell>
          <cell r="Q3401" t="str">
            <v>ROLO TECIDO OCTAVIA - (CALICO) -</v>
          </cell>
          <cell r="R3401"/>
          <cell r="S3401"/>
          <cell r="T3401">
            <v>2.15</v>
          </cell>
          <cell r="U3401">
            <v>1.4</v>
          </cell>
          <cell r="V3401">
            <v>0</v>
          </cell>
          <cell r="W3401">
            <v>0</v>
          </cell>
          <cell r="X3401" t="str">
            <v>ROLO TECIDO OCTAVIA - (CALICO) - - 2,15x1,4x0H</v>
          </cell>
          <cell r="Y3401">
            <v>2089.4775</v>
          </cell>
          <cell r="Z3401">
            <v>0.35</v>
          </cell>
          <cell r="AA3401">
            <v>1358.1603749999999</v>
          </cell>
          <cell r="AB3401"/>
        </row>
        <row r="3402">
          <cell r="C3402">
            <v>0</v>
          </cell>
          <cell r="D3402">
            <v>0</v>
          </cell>
          <cell r="E3402">
            <v>0</v>
          </cell>
          <cell r="F3402">
            <v>0</v>
          </cell>
          <cell r="H3402">
            <v>0</v>
          </cell>
          <cell r="O3402">
            <v>404334</v>
          </cell>
          <cell r="P3402" t="str">
            <v>(LOTE 003)</v>
          </cell>
          <cell r="Q3402" t="str">
            <v>ROLO TECIDO MINGLE MANGLE - (MOSS) -</v>
          </cell>
          <cell r="R3402"/>
          <cell r="S3402"/>
          <cell r="T3402">
            <v>2.25</v>
          </cell>
          <cell r="U3402">
            <v>1.4</v>
          </cell>
          <cell r="V3402">
            <v>0</v>
          </cell>
          <cell r="W3402">
            <v>0</v>
          </cell>
          <cell r="X3402" t="str">
            <v>ROLO TECIDO MINGLE MANGLE - (MOSS) - - 2,25x1,4x0H</v>
          </cell>
          <cell r="Y3402">
            <v>1564.6499999999999</v>
          </cell>
          <cell r="Z3402">
            <v>0.35</v>
          </cell>
          <cell r="AA3402">
            <v>1017.0224999999999</v>
          </cell>
          <cell r="AB3402"/>
        </row>
        <row r="3403">
          <cell r="C3403">
            <v>0</v>
          </cell>
          <cell r="D3403">
            <v>0</v>
          </cell>
          <cell r="E3403">
            <v>0</v>
          </cell>
          <cell r="F3403">
            <v>0</v>
          </cell>
          <cell r="H3403">
            <v>0</v>
          </cell>
          <cell r="O3403">
            <v>404335</v>
          </cell>
          <cell r="P3403" t="str">
            <v>(LOTE 003)</v>
          </cell>
          <cell r="Q3403" t="str">
            <v>ROLO TECIDO ELC GABON 250 - (TERRACOTA) -</v>
          </cell>
          <cell r="R3403"/>
          <cell r="S3403"/>
          <cell r="T3403">
            <v>2.2000000000000002</v>
          </cell>
          <cell r="U3403">
            <v>1.4</v>
          </cell>
          <cell r="V3403">
            <v>0</v>
          </cell>
          <cell r="W3403">
            <v>0</v>
          </cell>
          <cell r="X3403" t="str">
            <v>ROLO TECIDO ELC GABON 250 - (TERRACOTA) - - 2,2x1,4x0H</v>
          </cell>
          <cell r="Y3403">
            <v>1711.71</v>
          </cell>
          <cell r="Z3403">
            <v>0.35</v>
          </cell>
          <cell r="AA3403">
            <v>1112.6115</v>
          </cell>
          <cell r="AB3403"/>
        </row>
        <row r="3404">
          <cell r="C3404">
            <v>0</v>
          </cell>
          <cell r="D3404">
            <v>0</v>
          </cell>
          <cell r="E3404">
            <v>0</v>
          </cell>
          <cell r="F3404">
            <v>0</v>
          </cell>
          <cell r="H3404">
            <v>0</v>
          </cell>
          <cell r="O3404">
            <v>404336</v>
          </cell>
          <cell r="P3404" t="str">
            <v>(LOTE 003)</v>
          </cell>
          <cell r="Q3404" t="str">
            <v>ROLO TECIDO EL MALIBU VELVET - (ROSE) -</v>
          </cell>
          <cell r="R3404"/>
          <cell r="S3404"/>
          <cell r="T3404">
            <v>2.9</v>
          </cell>
          <cell r="U3404">
            <v>1.4</v>
          </cell>
          <cell r="V3404">
            <v>0</v>
          </cell>
          <cell r="W3404">
            <v>0</v>
          </cell>
          <cell r="X3404" t="str">
            <v>ROLO TECIDO EL MALIBU VELVET - (ROSE) - - 2,9x1,4x0H</v>
          </cell>
          <cell r="Y3404">
            <v>2743.98</v>
          </cell>
          <cell r="Z3404">
            <v>0.35</v>
          </cell>
          <cell r="AA3404">
            <v>1783.587</v>
          </cell>
          <cell r="AB3404"/>
        </row>
        <row r="3405">
          <cell r="C3405">
            <v>0</v>
          </cell>
          <cell r="D3405">
            <v>0</v>
          </cell>
          <cell r="E3405">
            <v>0</v>
          </cell>
          <cell r="F3405">
            <v>0</v>
          </cell>
          <cell r="H3405">
            <v>0</v>
          </cell>
          <cell r="O3405">
            <v>404337</v>
          </cell>
          <cell r="P3405" t="str">
            <v>(LOTE 003)</v>
          </cell>
          <cell r="Q3405" t="str">
            <v>ROLO TECIDO SAMUR - (STONE) -</v>
          </cell>
          <cell r="R3405"/>
          <cell r="S3405"/>
          <cell r="T3405">
            <v>3.3</v>
          </cell>
          <cell r="U3405">
            <v>1.4</v>
          </cell>
          <cell r="V3405">
            <v>0</v>
          </cell>
          <cell r="W3405">
            <v>0</v>
          </cell>
          <cell r="X3405" t="str">
            <v>ROLO TECIDO SAMUR - (STONE) - - 3,3x1,4x0H</v>
          </cell>
          <cell r="Y3405">
            <v>752.4</v>
          </cell>
          <cell r="Z3405">
            <v>0.35</v>
          </cell>
          <cell r="AA3405">
            <v>489.06</v>
          </cell>
          <cell r="AB3405"/>
        </row>
        <row r="3406">
          <cell r="C3406">
            <v>0</v>
          </cell>
          <cell r="D3406">
            <v>0</v>
          </cell>
          <cell r="E3406">
            <v>0</v>
          </cell>
          <cell r="F3406">
            <v>0</v>
          </cell>
          <cell r="H3406">
            <v>0</v>
          </cell>
          <cell r="O3406">
            <v>404328</v>
          </cell>
          <cell r="P3406" t="str">
            <v>(LOTE 003) (FL)</v>
          </cell>
          <cell r="Q3406" t="str">
            <v>ROLO TECIDO SUMATRA BASIC - (PLATINUM) -</v>
          </cell>
          <cell r="R3406"/>
          <cell r="S3406"/>
          <cell r="T3406">
            <v>4.7</v>
          </cell>
          <cell r="U3406">
            <v>1.4</v>
          </cell>
          <cell r="V3406">
            <v>0</v>
          </cell>
          <cell r="W3406">
            <v>0</v>
          </cell>
          <cell r="X3406" t="str">
            <v>ROLO TECIDO SUMATRA BASIC - (PLATINUM) - - 4,7x1,4x0H</v>
          </cell>
          <cell r="Y3406">
            <v>1339.5</v>
          </cell>
          <cell r="Z3406">
            <v>0.35</v>
          </cell>
          <cell r="AA3406">
            <v>870.67499999999995</v>
          </cell>
          <cell r="AB3406"/>
        </row>
        <row r="3407">
          <cell r="C3407">
            <v>0</v>
          </cell>
          <cell r="D3407">
            <v>0</v>
          </cell>
          <cell r="E3407">
            <v>0</v>
          </cell>
          <cell r="F3407">
            <v>0</v>
          </cell>
          <cell r="H3407">
            <v>0</v>
          </cell>
          <cell r="O3407">
            <v>402695</v>
          </cell>
          <cell r="P3407" t="str">
            <v>(LOTE 004)</v>
          </cell>
          <cell r="Q3407" t="str">
            <v>ROLO TECIDO GARDENPARTY - (NATURAL) -</v>
          </cell>
          <cell r="R3407"/>
          <cell r="S3407"/>
          <cell r="T3407">
            <v>2.5</v>
          </cell>
          <cell r="U3407">
            <v>1.4</v>
          </cell>
          <cell r="V3407">
            <v>0</v>
          </cell>
          <cell r="W3407">
            <v>0</v>
          </cell>
          <cell r="X3407" t="str">
            <v>ROLO TECIDO GARDENPARTY - (NATURAL) - - 2,5x1,4x0H</v>
          </cell>
          <cell r="Y3407">
            <v>570</v>
          </cell>
          <cell r="Z3407">
            <v>0.35</v>
          </cell>
          <cell r="AA3407">
            <v>370.5</v>
          </cell>
          <cell r="AB3407"/>
        </row>
        <row r="3408">
          <cell r="C3408">
            <v>0</v>
          </cell>
          <cell r="D3408">
            <v>0</v>
          </cell>
          <cell r="E3408">
            <v>0</v>
          </cell>
          <cell r="F3408">
            <v>0</v>
          </cell>
          <cell r="H3408">
            <v>0</v>
          </cell>
          <cell r="O3408">
            <v>402700</v>
          </cell>
          <cell r="P3408" t="str">
            <v>(LOTE 004)</v>
          </cell>
          <cell r="Q3408" t="str">
            <v>ROLO TECIDO MIKA - (CAMEL) -</v>
          </cell>
          <cell r="R3408"/>
          <cell r="S3408"/>
          <cell r="T3408">
            <v>1.44</v>
          </cell>
          <cell r="U3408">
            <v>1.4</v>
          </cell>
          <cell r="V3408">
            <v>0</v>
          </cell>
          <cell r="W3408">
            <v>0</v>
          </cell>
          <cell r="X3408" t="str">
            <v>ROLO TECIDO MIKA - (CAMEL) - - 1,44x1,4x0H</v>
          </cell>
          <cell r="Y3408">
            <v>1473.336</v>
          </cell>
          <cell r="Z3408">
            <v>0.35</v>
          </cell>
          <cell r="AA3408">
            <v>957.66840000000002</v>
          </cell>
          <cell r="AB3408"/>
        </row>
        <row r="3409">
          <cell r="C3409">
            <v>0</v>
          </cell>
          <cell r="D3409">
            <v>0</v>
          </cell>
          <cell r="E3409">
            <v>0</v>
          </cell>
          <cell r="F3409">
            <v>0</v>
          </cell>
          <cell r="H3409">
            <v>0</v>
          </cell>
          <cell r="O3409">
            <v>402701</v>
          </cell>
          <cell r="P3409" t="str">
            <v>(LOTE 004)</v>
          </cell>
          <cell r="Q3409" t="str">
            <v>ROLO TECIDO NATURAMA - (SPA) -</v>
          </cell>
          <cell r="R3409"/>
          <cell r="S3409"/>
          <cell r="T3409">
            <v>1.07</v>
          </cell>
          <cell r="U3409">
            <v>1.4</v>
          </cell>
          <cell r="V3409">
            <v>0</v>
          </cell>
          <cell r="W3409">
            <v>0</v>
          </cell>
          <cell r="X3409" t="str">
            <v>ROLO TECIDO NATURAMA - (SPA) - - 1,07x1,4x0H</v>
          </cell>
          <cell r="Y3409">
            <v>859.95900000000006</v>
          </cell>
          <cell r="Z3409">
            <v>0.35</v>
          </cell>
          <cell r="AA3409">
            <v>558.97334999999998</v>
          </cell>
          <cell r="AB3409"/>
        </row>
        <row r="3410">
          <cell r="C3410">
            <v>0</v>
          </cell>
          <cell r="D3410">
            <v>0</v>
          </cell>
          <cell r="E3410">
            <v>0</v>
          </cell>
          <cell r="F3410">
            <v>0</v>
          </cell>
          <cell r="H3410">
            <v>0</v>
          </cell>
          <cell r="O3410">
            <v>404329</v>
          </cell>
          <cell r="P3410" t="str">
            <v>(LOTE 004)</v>
          </cell>
          <cell r="Q3410" t="str">
            <v>ROLO TECIDO JAVA - (NATURAL) -</v>
          </cell>
          <cell r="R3410"/>
          <cell r="S3410"/>
          <cell r="T3410">
            <v>4.0999999999999996</v>
          </cell>
          <cell r="U3410">
            <v>1.4</v>
          </cell>
          <cell r="V3410">
            <v>0</v>
          </cell>
          <cell r="W3410">
            <v>0</v>
          </cell>
          <cell r="X3410" t="str">
            <v>ROLO TECIDO JAVA - (NATURAL) - - 4,1x1,4x0H</v>
          </cell>
          <cell r="Y3410">
            <v>4416.9299999999994</v>
          </cell>
          <cell r="Z3410">
            <v>0.35</v>
          </cell>
          <cell r="AA3410">
            <v>2871.0045</v>
          </cell>
          <cell r="AB3410"/>
        </row>
        <row r="3411">
          <cell r="C3411">
            <v>0</v>
          </cell>
          <cell r="D3411">
            <v>0</v>
          </cell>
          <cell r="E3411">
            <v>0</v>
          </cell>
          <cell r="F3411">
            <v>0</v>
          </cell>
          <cell r="H3411">
            <v>0</v>
          </cell>
          <cell r="O3411">
            <v>404330</v>
          </cell>
          <cell r="P3411" t="str">
            <v>(LOTE 004)</v>
          </cell>
          <cell r="Q3411" t="str">
            <v>ROLO TECIDO MIKA - (CHIVE) -</v>
          </cell>
          <cell r="R3411"/>
          <cell r="S3411"/>
          <cell r="T3411">
            <v>3</v>
          </cell>
          <cell r="U3411">
            <v>1.4</v>
          </cell>
          <cell r="V3411">
            <v>0</v>
          </cell>
          <cell r="W3411">
            <v>0</v>
          </cell>
          <cell r="X3411" t="str">
            <v>ROLO TECIDO MIKA - (CHIVE) - - 3x1,4x0H</v>
          </cell>
          <cell r="Y3411">
            <v>3069.45</v>
          </cell>
          <cell r="Z3411">
            <v>0.35</v>
          </cell>
          <cell r="AA3411">
            <v>1995.1424999999999</v>
          </cell>
          <cell r="AB3411"/>
        </row>
        <row r="3412">
          <cell r="C3412">
            <v>0</v>
          </cell>
          <cell r="D3412">
            <v>0</v>
          </cell>
          <cell r="E3412">
            <v>0</v>
          </cell>
          <cell r="F3412">
            <v>0</v>
          </cell>
          <cell r="H3412">
            <v>0</v>
          </cell>
          <cell r="O3412">
            <v>404331</v>
          </cell>
          <cell r="P3412" t="str">
            <v>(LOTE 004)</v>
          </cell>
          <cell r="Q3412" t="str">
            <v>ROLO TECIDO ULTRA SLEEK - (CAMEL) -</v>
          </cell>
          <cell r="R3412"/>
          <cell r="S3412"/>
          <cell r="T3412">
            <v>5</v>
          </cell>
          <cell r="U3412">
            <v>1.4</v>
          </cell>
          <cell r="V3412">
            <v>0</v>
          </cell>
          <cell r="W3412">
            <v>0</v>
          </cell>
          <cell r="X3412" t="str">
            <v>ROLO TECIDO ULTRA SLEEK - (CAMEL) - - 5x1,4x0H</v>
          </cell>
          <cell r="Y3412">
            <v>2408.25</v>
          </cell>
          <cell r="Z3412">
            <v>0.35</v>
          </cell>
          <cell r="AA3412">
            <v>1565.3625000000002</v>
          </cell>
          <cell r="AB3412"/>
        </row>
        <row r="3413">
          <cell r="C3413">
            <v>0</v>
          </cell>
          <cell r="D3413">
            <v>0</v>
          </cell>
          <cell r="E3413">
            <v>0</v>
          </cell>
          <cell r="F3413">
            <v>0</v>
          </cell>
          <cell r="H3413">
            <v>0</v>
          </cell>
          <cell r="O3413">
            <v>404332</v>
          </cell>
          <cell r="P3413" t="str">
            <v>(LOTE 004)</v>
          </cell>
          <cell r="Q3413" t="str">
            <v>ROLO TECIDO EL LUDA 09 - (LINEN A) -</v>
          </cell>
          <cell r="R3413"/>
          <cell r="S3413"/>
          <cell r="T3413">
            <v>4.3</v>
          </cell>
          <cell r="U3413">
            <v>1.4</v>
          </cell>
          <cell r="V3413">
            <v>0</v>
          </cell>
          <cell r="W3413">
            <v>0</v>
          </cell>
          <cell r="X3413" t="str">
            <v>ROLO TECIDO EL LUDA 09 - (LINEN A) - - 4,3x1,4x0H</v>
          </cell>
          <cell r="Y3413">
            <v>2990.22</v>
          </cell>
          <cell r="Z3413">
            <v>0.35</v>
          </cell>
          <cell r="AA3413">
            <v>1943.643</v>
          </cell>
          <cell r="AB3413"/>
        </row>
        <row r="3414">
          <cell r="C3414">
            <v>0</v>
          </cell>
          <cell r="D3414">
            <v>0</v>
          </cell>
          <cell r="E3414">
            <v>0</v>
          </cell>
          <cell r="F3414">
            <v>0</v>
          </cell>
          <cell r="H3414">
            <v>0</v>
          </cell>
          <cell r="O3414">
            <v>404339</v>
          </cell>
          <cell r="P3414" t="str">
            <v>(LOTE 004)</v>
          </cell>
          <cell r="Q3414" t="str">
            <v>ROLO TECIDO SOFTLY - (PEACH) -</v>
          </cell>
          <cell r="R3414"/>
          <cell r="S3414"/>
          <cell r="T3414">
            <v>3</v>
          </cell>
          <cell r="U3414">
            <v>1.4</v>
          </cell>
          <cell r="V3414">
            <v>0</v>
          </cell>
          <cell r="W3414">
            <v>0</v>
          </cell>
          <cell r="X3414" t="str">
            <v>ROLO TECIDO SOFTLY - (PEACH) - - 3x1,4x0H</v>
          </cell>
          <cell r="Y3414">
            <v>478.8</v>
          </cell>
          <cell r="Z3414">
            <v>0.35</v>
          </cell>
          <cell r="AA3414">
            <v>311.22000000000003</v>
          </cell>
          <cell r="AB3414"/>
        </row>
        <row r="3415">
          <cell r="C3415">
            <v>0</v>
          </cell>
          <cell r="D3415">
            <v>0</v>
          </cell>
          <cell r="E3415">
            <v>1</v>
          </cell>
          <cell r="F3415">
            <v>0</v>
          </cell>
          <cell r="H3415">
            <v>1</v>
          </cell>
          <cell r="O3415">
            <v>179135</v>
          </cell>
          <cell r="P3415" t="str">
            <v>2015/308-0099-01</v>
          </cell>
          <cell r="Q3415" t="str">
            <v>EST PUFF THOR (NEW FINE) TC CAIRO BASIC</v>
          </cell>
          <cell r="R3415"/>
          <cell r="S3415"/>
          <cell r="T3415">
            <v>0.5</v>
          </cell>
          <cell r="U3415">
            <v>0.5</v>
          </cell>
          <cell r="V3415">
            <v>0.45</v>
          </cell>
          <cell r="W3415">
            <v>0</v>
          </cell>
          <cell r="X3415" t="str">
            <v>EST PUFF THOR (NEW FINE) TC CAIRO BASIC - 0,5x0,5x0,45H</v>
          </cell>
          <cell r="Y3415">
            <v>4756.96</v>
          </cell>
          <cell r="Z3415">
            <v>0.35</v>
          </cell>
          <cell r="AA3415">
            <v>3092.0240000000003</v>
          </cell>
          <cell r="AB3415"/>
        </row>
        <row r="3416">
          <cell r="C3416">
            <v>0</v>
          </cell>
          <cell r="D3416">
            <v>0</v>
          </cell>
          <cell r="E3416">
            <v>2</v>
          </cell>
          <cell r="F3416">
            <v>0</v>
          </cell>
          <cell r="H3416">
            <v>0</v>
          </cell>
          <cell r="O3416">
            <v>222587</v>
          </cell>
          <cell r="P3416" t="str">
            <v>2018/135-0136-01</v>
          </cell>
          <cell r="Q3416" t="str">
            <v>EST BANQUETA BAR EASY (CARVALHO NAT) LATAO ENVELHECIDO</v>
          </cell>
          <cell r="R3416"/>
          <cell r="S3416"/>
          <cell r="T3416">
            <v>0.38</v>
          </cell>
          <cell r="U3416">
            <v>0.36</v>
          </cell>
          <cell r="V3416">
            <v>0.6</v>
          </cell>
          <cell r="W3416">
            <v>0</v>
          </cell>
          <cell r="X3416" t="str">
            <v>EST BANQUETA BAR EASY (CARVALHO NAT) LATAO ENVELHECIDO - 0,38x0,36x0,6H</v>
          </cell>
          <cell r="Y3416">
            <v>25831.75</v>
          </cell>
          <cell r="Z3416">
            <v>0.5</v>
          </cell>
          <cell r="AA3416">
            <v>12915.875</v>
          </cell>
          <cell r="AB3416"/>
        </row>
        <row r="3417">
          <cell r="C3417">
            <v>0</v>
          </cell>
          <cell r="D3417">
            <v>0</v>
          </cell>
          <cell r="E3417">
            <v>1</v>
          </cell>
          <cell r="F3417">
            <v>0</v>
          </cell>
          <cell r="H3417">
            <v>0</v>
          </cell>
          <cell r="O3417">
            <v>256175</v>
          </cell>
          <cell r="P3417" t="str">
            <v>2020/345-0069-01</v>
          </cell>
          <cell r="Q3417" t="str">
            <v>EST MESA LATERAL WINNIE TP PRETO ROCCA/TP BRANCO MTX/EST PT</v>
          </cell>
          <cell r="R3417"/>
          <cell r="S3417"/>
          <cell r="T3417">
            <v>0.62</v>
          </cell>
          <cell r="U3417">
            <v>0.5</v>
          </cell>
          <cell r="V3417">
            <v>0.6</v>
          </cell>
          <cell r="W3417">
            <v>0</v>
          </cell>
          <cell r="X3417" t="str">
            <v>EST MESA LATERAL WINNIE TP PRETO ROCCA/TP BRANCO MTX/EST PT - 0,62x0,5x0,6H</v>
          </cell>
          <cell r="Y3417">
            <v>10778.76</v>
          </cell>
          <cell r="Z3417">
            <v>0.5</v>
          </cell>
          <cell r="AA3417">
            <v>5389.38</v>
          </cell>
          <cell r="AB3417"/>
        </row>
        <row r="3418">
          <cell r="C3418">
            <v>0</v>
          </cell>
          <cell r="D3418">
            <v>0</v>
          </cell>
          <cell r="E3418">
            <v>1</v>
          </cell>
          <cell r="F3418">
            <v>0</v>
          </cell>
          <cell r="H3418">
            <v>1</v>
          </cell>
          <cell r="O3418">
            <v>270465</v>
          </cell>
          <cell r="P3418" t="str">
            <v>2020/352-0110-01</v>
          </cell>
          <cell r="Q3418" t="str">
            <v>EST CADEIRA TWIN C/BRACO (GIR) (ENVELHECIDO) TC4019</v>
          </cell>
          <cell r="R3418"/>
          <cell r="S3418"/>
          <cell r="T3418">
            <v>0.51</v>
          </cell>
          <cell r="U3418">
            <v>0.6</v>
          </cell>
          <cell r="V3418">
            <v>0.83</v>
          </cell>
          <cell r="W3418">
            <v>0</v>
          </cell>
          <cell r="X3418" t="str">
            <v>EST CADEIRA TWIN C/BRACO (GIR) (ENVELHECIDO) TC4019 - 0,51x0,6x0,83H</v>
          </cell>
          <cell r="Y3418">
            <v>3776.66</v>
          </cell>
          <cell r="Z3418">
            <v>0.5</v>
          </cell>
          <cell r="AA3418">
            <v>1888.33</v>
          </cell>
          <cell r="AB3418"/>
        </row>
        <row r="3419">
          <cell r="C3419">
            <v>1</v>
          </cell>
          <cell r="D3419">
            <v>0</v>
          </cell>
          <cell r="E3419">
            <v>0</v>
          </cell>
          <cell r="F3419">
            <v>0</v>
          </cell>
          <cell r="H3419">
            <v>2</v>
          </cell>
          <cell r="O3419">
            <v>270552</v>
          </cell>
          <cell r="P3419" t="str">
            <v>2020/332-0018-01</v>
          </cell>
          <cell r="Q3419" t="str">
            <v>EST BANQUETA BAR APOLLO (MARFIM NOCCE) (FX A1094)</v>
          </cell>
          <cell r="R3419"/>
          <cell r="S3419"/>
          <cell r="T3419">
            <v>0.49</v>
          </cell>
          <cell r="U3419">
            <v>0.51</v>
          </cell>
          <cell r="V3419">
            <v>1.01</v>
          </cell>
          <cell r="W3419">
            <v>0</v>
          </cell>
          <cell r="X3419" t="str">
            <v>EST BANQUETA BAR APOLLO (MARFIM NOCCE) (FX A1094) - 0,49x0,51x1,01H</v>
          </cell>
          <cell r="Y3419">
            <v>3628.26</v>
          </cell>
          <cell r="Z3419">
            <v>0.5</v>
          </cell>
          <cell r="AA3419">
            <v>1814.13</v>
          </cell>
          <cell r="AB3419"/>
        </row>
        <row r="3420">
          <cell r="C3420">
            <v>1</v>
          </cell>
          <cell r="D3420">
            <v>0</v>
          </cell>
          <cell r="E3420">
            <v>0</v>
          </cell>
          <cell r="F3420">
            <v>0</v>
          </cell>
          <cell r="H3420">
            <v>2</v>
          </cell>
          <cell r="O3420">
            <v>270552</v>
          </cell>
          <cell r="P3420" t="str">
            <v>2020/332-0019-01</v>
          </cell>
          <cell r="Q3420" t="str">
            <v>EST BANQUETA BAR APOLLO (MARFIM NOCCE) (FX A1094)</v>
          </cell>
          <cell r="R3420"/>
          <cell r="S3420"/>
          <cell r="T3420">
            <v>0.49</v>
          </cell>
          <cell r="U3420">
            <v>0.51</v>
          </cell>
          <cell r="V3420">
            <v>1.01</v>
          </cell>
          <cell r="W3420">
            <v>0</v>
          </cell>
          <cell r="X3420" t="str">
            <v>EST BANQUETA BAR APOLLO (MARFIM NOCCE) (FX A1094) - 0,49x0,51x1,01H</v>
          </cell>
          <cell r="Y3420">
            <v>3628.26</v>
          </cell>
          <cell r="Z3420">
            <v>0.5</v>
          </cell>
          <cell r="AA3420">
            <v>1814.13</v>
          </cell>
          <cell r="AB3420"/>
        </row>
        <row r="3421">
          <cell r="C3421">
            <v>0</v>
          </cell>
          <cell r="D3421">
            <v>0</v>
          </cell>
          <cell r="E3421">
            <v>0</v>
          </cell>
          <cell r="F3421">
            <v>0</v>
          </cell>
          <cell r="H3421">
            <v>1</v>
          </cell>
          <cell r="O3421">
            <v>270599</v>
          </cell>
          <cell r="P3421" t="str">
            <v>2021/012-0032-01</v>
          </cell>
          <cell r="Q3421" t="str">
            <v>EST POLTRONA AMBURANA (LAMINA NOGUEIRA) TC 851036</v>
          </cell>
          <cell r="R3421"/>
          <cell r="S3421"/>
          <cell r="T3421">
            <v>0.93</v>
          </cell>
          <cell r="U3421">
            <v>0.79</v>
          </cell>
          <cell r="V3421">
            <v>0.7</v>
          </cell>
          <cell r="W3421">
            <v>0</v>
          </cell>
          <cell r="X3421" t="str">
            <v>EST POLTRONA AMBURANA (LAMINA NOGUEIRA) TC 851036 - 0,93x0,79x0,7H</v>
          </cell>
          <cell r="Y3421">
            <v>19617.46</v>
          </cell>
          <cell r="Z3421">
            <v>0.5</v>
          </cell>
          <cell r="AA3421">
            <v>9808.73</v>
          </cell>
          <cell r="AB3421"/>
        </row>
        <row r="3422">
          <cell r="C3422">
            <v>0</v>
          </cell>
          <cell r="D3422">
            <v>0</v>
          </cell>
          <cell r="E3422">
            <v>0</v>
          </cell>
          <cell r="F3422">
            <v>0</v>
          </cell>
          <cell r="H3422">
            <v>1</v>
          </cell>
          <cell r="O3422">
            <v>334438</v>
          </cell>
          <cell r="P3422" t="str">
            <v>2022/178-0039-01</v>
          </cell>
          <cell r="Q3422" t="str">
            <v>EST MESA CENTRO WHITE (PINT PM) (PREMIUM MARROM) (TP CER)</v>
          </cell>
          <cell r="R3422"/>
          <cell r="S3422"/>
          <cell r="T3422">
            <v>1.4</v>
          </cell>
          <cell r="U3422">
            <v>0.95</v>
          </cell>
          <cell r="V3422">
            <v>0.34</v>
          </cell>
          <cell r="W3422">
            <v>0</v>
          </cell>
          <cell r="X3422" t="str">
            <v>EST MESA CENTRO WHITE (PINT PM) (PREMIUM MARROM) (TP CER) - 1,4x0,95x0,34H</v>
          </cell>
          <cell r="Y3422">
            <v>18344.88</v>
          </cell>
          <cell r="Z3422">
            <v>0.5</v>
          </cell>
          <cell r="AA3422">
            <v>9172.44</v>
          </cell>
          <cell r="AB3422"/>
        </row>
        <row r="3423">
          <cell r="C3423">
            <v>0</v>
          </cell>
          <cell r="D3423">
            <v>0</v>
          </cell>
          <cell r="E3423">
            <v>1</v>
          </cell>
          <cell r="F3423">
            <v>0</v>
          </cell>
          <cell r="H3423">
            <v>5</v>
          </cell>
          <cell r="O3423">
            <v>336728</v>
          </cell>
          <cell r="P3423" t="str">
            <v>2022/223-0044-01</v>
          </cell>
          <cell r="Q3423" t="str">
            <v>EST CADEIRA PLIE (MAD A TAUARI ENV) COURO 74 CAMEL</v>
          </cell>
          <cell r="R3423"/>
          <cell r="S3423"/>
          <cell r="T3423">
            <v>0.47</v>
          </cell>
          <cell r="U3423">
            <v>0.55000000000000004</v>
          </cell>
          <cell r="V3423">
            <v>0.8</v>
          </cell>
          <cell r="W3423">
            <v>0</v>
          </cell>
          <cell r="X3423" t="str">
            <v>EST CADEIRA PLIE (MAD A TAUARI ENV) COURO 74 CAMEL - 0,47x0,55x0,8H</v>
          </cell>
          <cell r="Y3423">
            <v>13574.98</v>
          </cell>
          <cell r="Z3423">
            <v>0.5</v>
          </cell>
          <cell r="AA3423">
            <v>6787.49</v>
          </cell>
          <cell r="AB3423"/>
        </row>
        <row r="3424">
          <cell r="C3424">
            <v>0</v>
          </cell>
          <cell r="D3424">
            <v>0</v>
          </cell>
          <cell r="E3424">
            <v>1</v>
          </cell>
          <cell r="F3424">
            <v>0</v>
          </cell>
          <cell r="H3424">
            <v>5</v>
          </cell>
          <cell r="O3424">
            <v>336728</v>
          </cell>
          <cell r="P3424" t="str">
            <v>2022/223-0047-01</v>
          </cell>
          <cell r="Q3424" t="str">
            <v>EST CADEIRA PLIE (MAD A TAUARI ENV) COURO 74 CAMEL</v>
          </cell>
          <cell r="R3424"/>
          <cell r="S3424"/>
          <cell r="T3424">
            <v>0.47</v>
          </cell>
          <cell r="U3424">
            <v>0.55000000000000004</v>
          </cell>
          <cell r="V3424">
            <v>0.8</v>
          </cell>
          <cell r="W3424">
            <v>0</v>
          </cell>
          <cell r="X3424" t="str">
            <v>EST CADEIRA PLIE (MAD A TAUARI ENV) COURO 74 CAMEL - 0,47x0,55x0,8H</v>
          </cell>
          <cell r="Y3424">
            <v>13574.98</v>
          </cell>
          <cell r="Z3424">
            <v>0.5</v>
          </cell>
          <cell r="AA3424">
            <v>6787.49</v>
          </cell>
          <cell r="AB3424"/>
        </row>
        <row r="3425">
          <cell r="C3425">
            <v>0</v>
          </cell>
          <cell r="D3425">
            <v>0</v>
          </cell>
          <cell r="E3425">
            <v>1</v>
          </cell>
          <cell r="F3425">
            <v>0</v>
          </cell>
          <cell r="H3425">
            <v>1</v>
          </cell>
          <cell r="O3425">
            <v>232001</v>
          </cell>
          <cell r="P3425" t="str">
            <v>2019/091-0030-01</v>
          </cell>
          <cell r="Q3425" t="str">
            <v>EST MESA LATERAL MUD (PAU FERRO PRE COMP) (PRETO FSC)</v>
          </cell>
          <cell r="R3425"/>
          <cell r="S3425"/>
          <cell r="T3425">
            <v>0.7</v>
          </cell>
          <cell r="U3425">
            <v>0</v>
          </cell>
          <cell r="V3425">
            <v>0.61</v>
          </cell>
          <cell r="W3425">
            <v>0.7</v>
          </cell>
          <cell r="X3425" t="str">
            <v>EST MESA LATERAL MUD (PAU FERRO PRE COMP) (PRETO FSC) - Ø0,7x0,61H</v>
          </cell>
          <cell r="Y3425">
            <v>7668.32</v>
          </cell>
          <cell r="Z3425">
            <v>0.5</v>
          </cell>
          <cell r="AA3425">
            <v>3834.16</v>
          </cell>
          <cell r="AB3425"/>
        </row>
        <row r="3426">
          <cell r="C3426">
            <v>0</v>
          </cell>
          <cell r="D3426">
            <v>0</v>
          </cell>
          <cell r="E3426">
            <v>0</v>
          </cell>
          <cell r="F3426">
            <v>0</v>
          </cell>
          <cell r="H3426">
            <v>1</v>
          </cell>
          <cell r="O3426">
            <v>233555</v>
          </cell>
          <cell r="P3426" t="str">
            <v>2019/144-0037-01</v>
          </cell>
          <cell r="Q3426" t="str">
            <v>EST MESA CENTRO RAIZ (EFEITO CORTEM)</v>
          </cell>
          <cell r="R3426"/>
          <cell r="S3426"/>
          <cell r="T3426">
            <v>1.5</v>
          </cell>
          <cell r="U3426">
            <v>0.5</v>
          </cell>
          <cell r="V3426">
            <v>0.25</v>
          </cell>
          <cell r="W3426">
            <v>0</v>
          </cell>
          <cell r="X3426" t="str">
            <v>EST MESA CENTRO RAIZ (EFEITO CORTEM) - 1,5x0,5x0,25H</v>
          </cell>
          <cell r="Y3426">
            <v>25081.85</v>
          </cell>
          <cell r="Z3426">
            <v>0.35</v>
          </cell>
          <cell r="AA3426">
            <v>16303.202499999999</v>
          </cell>
          <cell r="AB3426"/>
        </row>
        <row r="3427">
          <cell r="C3427">
            <v>0</v>
          </cell>
          <cell r="D3427">
            <v>0</v>
          </cell>
          <cell r="E3427">
            <v>0</v>
          </cell>
          <cell r="F3427">
            <v>0</v>
          </cell>
          <cell r="H3427">
            <v>1</v>
          </cell>
          <cell r="O3427">
            <v>250021</v>
          </cell>
          <cell r="P3427" t="str">
            <v>2019/228-0010-01</v>
          </cell>
          <cell r="Q3427" t="str">
            <v>EST POLTRONA COLLANA GIR MEL ENV/EX BEGE/INT TC310</v>
          </cell>
          <cell r="R3427"/>
          <cell r="S3427"/>
          <cell r="T3427">
            <v>0.91</v>
          </cell>
          <cell r="U3427">
            <v>0.8</v>
          </cell>
          <cell r="V3427">
            <v>0.78</v>
          </cell>
          <cell r="W3427">
            <v>0</v>
          </cell>
          <cell r="X3427" t="str">
            <v>EST POLTRONA COLLANA GIR MEL ENV/EX BEGE/INT TC310 - 0,91x0,8x0,78H</v>
          </cell>
          <cell r="Y3427">
            <v>16960.96</v>
          </cell>
          <cell r="Z3427">
            <v>0.5</v>
          </cell>
          <cell r="AA3427">
            <v>8480.48</v>
          </cell>
          <cell r="AB3427"/>
        </row>
        <row r="3428">
          <cell r="C3428">
            <v>0</v>
          </cell>
          <cell r="D3428">
            <v>0</v>
          </cell>
          <cell r="E3428">
            <v>1</v>
          </cell>
          <cell r="F3428">
            <v>0</v>
          </cell>
          <cell r="H3428">
            <v>1</v>
          </cell>
          <cell r="O3428">
            <v>257362</v>
          </cell>
          <cell r="P3428" t="str">
            <v>2020/066-0035-01</v>
          </cell>
          <cell r="Q3428" t="str">
            <v>EST POLTRONA MARTHA COURISSIMO MARROM 214/PRETO</v>
          </cell>
          <cell r="R3428"/>
          <cell r="S3428"/>
          <cell r="T3428">
            <v>0.88</v>
          </cell>
          <cell r="U3428">
            <v>0.88</v>
          </cell>
          <cell r="V3428">
            <v>0.84</v>
          </cell>
          <cell r="W3428">
            <v>0</v>
          </cell>
          <cell r="X3428" t="str">
            <v>EST POLTRONA MARTHA COURISSIMO MARROM 214/PRETO - 0,88x0,88x0,84H</v>
          </cell>
          <cell r="Y3428">
            <v>9171.9500000000007</v>
          </cell>
          <cell r="Z3428">
            <v>0.5</v>
          </cell>
          <cell r="AA3428">
            <v>4585.9750000000004</v>
          </cell>
          <cell r="AB3428"/>
        </row>
        <row r="3429">
          <cell r="C3429">
            <v>0</v>
          </cell>
          <cell r="D3429">
            <v>0</v>
          </cell>
          <cell r="E3429">
            <v>1</v>
          </cell>
          <cell r="F3429">
            <v>0</v>
          </cell>
          <cell r="H3429">
            <v>1</v>
          </cell>
          <cell r="O3429">
            <v>257381</v>
          </cell>
          <cell r="P3429" t="str">
            <v>2021/070-0028-01</v>
          </cell>
          <cell r="Q3429" t="str">
            <v>EST MESA LATERAL PALITO (TP LACA CHAMPAGNE) (PES NOGUEIRA)</v>
          </cell>
          <cell r="R3429"/>
          <cell r="S3429"/>
          <cell r="T3429">
            <v>0.5</v>
          </cell>
          <cell r="U3429">
            <v>0.5</v>
          </cell>
          <cell r="V3429">
            <v>0.55000000000000004</v>
          </cell>
          <cell r="W3429">
            <v>0</v>
          </cell>
          <cell r="X3429" t="str">
            <v>EST MESA LATERAL PALITO (TP LACA CHAMPAGNE) (PES NOGUEIRA) - 0,5x0,5x0,55H</v>
          </cell>
          <cell r="Y3429">
            <v>5156.13</v>
          </cell>
          <cell r="Z3429">
            <v>0.5</v>
          </cell>
          <cell r="AA3429">
            <v>2578.0650000000001</v>
          </cell>
          <cell r="AB3429"/>
        </row>
        <row r="3430">
          <cell r="C3430">
            <v>0</v>
          </cell>
          <cell r="D3430">
            <v>0</v>
          </cell>
          <cell r="E3430">
            <v>1</v>
          </cell>
          <cell r="F3430">
            <v>0</v>
          </cell>
          <cell r="H3430">
            <v>0</v>
          </cell>
          <cell r="O3430">
            <v>268618</v>
          </cell>
          <cell r="P3430" t="str">
            <v>2021/166-0148-01</v>
          </cell>
          <cell r="Q3430" t="str">
            <v>EST MESA JANTAR LEGG (MARMORE BRANCO) (CHAMPAGNE FSC)</v>
          </cell>
          <cell r="R3430"/>
          <cell r="S3430"/>
          <cell r="T3430">
            <v>2.5</v>
          </cell>
          <cell r="U3430">
            <v>1.1000000000000001</v>
          </cell>
          <cell r="V3430">
            <v>0.75</v>
          </cell>
          <cell r="W3430">
            <v>0</v>
          </cell>
          <cell r="X3430" t="str">
            <v>EST MESA JANTAR LEGG (MARMORE BRANCO) (CHAMPAGNE FSC) - 2,5x1,1x0,75H</v>
          </cell>
          <cell r="Y3430">
            <v>107084.48</v>
          </cell>
          <cell r="Z3430">
            <v>0.5</v>
          </cell>
          <cell r="AA3430">
            <v>53542.239999999998</v>
          </cell>
          <cell r="AB3430"/>
        </row>
        <row r="3431">
          <cell r="C3431">
            <v>0</v>
          </cell>
          <cell r="D3431">
            <v>0</v>
          </cell>
          <cell r="E3431">
            <v>1</v>
          </cell>
          <cell r="F3431">
            <v>0</v>
          </cell>
          <cell r="H3431">
            <v>1</v>
          </cell>
          <cell r="O3431">
            <v>270465</v>
          </cell>
          <cell r="P3431" t="str">
            <v>2021/125-0037-01</v>
          </cell>
          <cell r="Q3431" t="str">
            <v>EST CADEIRA TWIN C/BRACO (GIR) (ENVELHECIDO) TC4019</v>
          </cell>
          <cell r="R3431"/>
          <cell r="S3431"/>
          <cell r="T3431">
            <v>0.51</v>
          </cell>
          <cell r="U3431">
            <v>0.6</v>
          </cell>
          <cell r="V3431">
            <v>0.83</v>
          </cell>
          <cell r="W3431">
            <v>0</v>
          </cell>
          <cell r="X3431" t="str">
            <v>EST CADEIRA TWIN C/BRACO (GIR) (ENVELHECIDO) TC4019 - 0,51x0,6x0,83H</v>
          </cell>
          <cell r="Y3431">
            <v>3776.66</v>
          </cell>
          <cell r="Z3431">
            <v>0.5</v>
          </cell>
          <cell r="AA3431">
            <v>1888.33</v>
          </cell>
          <cell r="AB3431"/>
        </row>
        <row r="3432">
          <cell r="C3432">
            <v>0</v>
          </cell>
          <cell r="D3432">
            <v>0</v>
          </cell>
          <cell r="E3432">
            <v>0</v>
          </cell>
          <cell r="F3432">
            <v>0</v>
          </cell>
          <cell r="H3432">
            <v>1</v>
          </cell>
          <cell r="O3432">
            <v>275024</v>
          </cell>
          <cell r="P3432" t="str">
            <v>2021/162-0044-01</v>
          </cell>
          <cell r="Q3432" t="str">
            <v>EST BUFFET DIXIE (TP CALACATA/LAMIANDO FREIJO/MTX M BLANC)</v>
          </cell>
          <cell r="R3432"/>
          <cell r="S3432"/>
          <cell r="T3432">
            <v>1.6</v>
          </cell>
          <cell r="U3432">
            <v>0.51</v>
          </cell>
          <cell r="V3432">
            <v>0.76</v>
          </cell>
          <cell r="W3432">
            <v>0</v>
          </cell>
          <cell r="X3432" t="str">
            <v>EST BUFFET DIXIE (TP CALACATA/LAMIANDO FREIJO/MTX M BLANC) - 1,6x0,51x0,76H</v>
          </cell>
          <cell r="Y3432">
            <v>59354.400000000001</v>
          </cell>
          <cell r="Z3432">
            <v>0.5</v>
          </cell>
          <cell r="AA3432">
            <v>29677.200000000001</v>
          </cell>
          <cell r="AB3432"/>
        </row>
        <row r="3433">
          <cell r="C3433">
            <v>0</v>
          </cell>
          <cell r="D3433">
            <v>2</v>
          </cell>
          <cell r="E3433">
            <v>1</v>
          </cell>
          <cell r="F3433">
            <v>0</v>
          </cell>
          <cell r="H3433">
            <v>1</v>
          </cell>
          <cell r="O3433">
            <v>275032</v>
          </cell>
          <cell r="P3433" t="str">
            <v>2021/162-0047-01</v>
          </cell>
          <cell r="Q3433" t="str">
            <v>EST POLTRONA CAIOBA GIRATORIA (TECIDO LINHO MISTO BEGE)</v>
          </cell>
          <cell r="R3433"/>
          <cell r="S3433"/>
          <cell r="T3433">
            <v>0.64</v>
          </cell>
          <cell r="U3433">
            <v>0.63</v>
          </cell>
          <cell r="V3433">
            <v>0.83</v>
          </cell>
          <cell r="W3433">
            <v>0</v>
          </cell>
          <cell r="X3433" t="str">
            <v>EST POLTRONA CAIOBA GIRATORIA (TECIDO LINHO MISTO BEGE) - 0,64x0,63x0,83H</v>
          </cell>
          <cell r="Y3433">
            <v>10240.91</v>
          </cell>
          <cell r="Z3433">
            <v>0.5</v>
          </cell>
          <cell r="AA3433">
            <v>5120.4549999999999</v>
          </cell>
          <cell r="AB3433"/>
        </row>
        <row r="3434">
          <cell r="C3434">
            <v>0</v>
          </cell>
          <cell r="D3434">
            <v>2</v>
          </cell>
          <cell r="E3434">
            <v>1</v>
          </cell>
          <cell r="F3434">
            <v>0</v>
          </cell>
          <cell r="H3434">
            <v>1</v>
          </cell>
          <cell r="O3434">
            <v>275032</v>
          </cell>
          <cell r="P3434" t="str">
            <v>2021/162-0049-01</v>
          </cell>
          <cell r="Q3434" t="str">
            <v>EST POLTRONA CAIOBA GIRATORIA (TECIDO LINHO MISTO BEGE)</v>
          </cell>
          <cell r="R3434"/>
          <cell r="S3434"/>
          <cell r="T3434">
            <v>0.64</v>
          </cell>
          <cell r="U3434">
            <v>0.63</v>
          </cell>
          <cell r="V3434">
            <v>0.83</v>
          </cell>
          <cell r="W3434">
            <v>0</v>
          </cell>
          <cell r="X3434" t="str">
            <v>EST POLTRONA CAIOBA GIRATORIA (TECIDO LINHO MISTO BEGE) - 0,64x0,63x0,83H</v>
          </cell>
          <cell r="Y3434">
            <v>10240.91</v>
          </cell>
          <cell r="Z3434">
            <v>0.5</v>
          </cell>
          <cell r="AA3434">
            <v>5120.4549999999999</v>
          </cell>
          <cell r="AB3434"/>
        </row>
        <row r="3435">
          <cell r="C3435">
            <v>0</v>
          </cell>
          <cell r="D3435">
            <v>0</v>
          </cell>
          <cell r="E3435">
            <v>1</v>
          </cell>
          <cell r="F3435">
            <v>0</v>
          </cell>
          <cell r="H3435">
            <v>3</v>
          </cell>
          <cell r="O3435">
            <v>308800</v>
          </cell>
          <cell r="P3435" t="str">
            <v>2022/032-0060-01</v>
          </cell>
          <cell r="Q3435" t="str">
            <v>EST CADEIRA 60 C/BRACO (EUC TABACO) CS0125/BOUT COURO CAMEL</v>
          </cell>
          <cell r="R3435"/>
          <cell r="S3435"/>
          <cell r="T3435">
            <v>0.56000000000000005</v>
          </cell>
          <cell r="U3435">
            <v>0.59</v>
          </cell>
          <cell r="V3435">
            <v>0.84</v>
          </cell>
          <cell r="W3435">
            <v>0</v>
          </cell>
          <cell r="X3435" t="str">
            <v>EST CADEIRA 60 C/BRACO (EUC TABACO) CS0125/BOUT COURO CAMEL - 0,56x0,59x0,84H</v>
          </cell>
          <cell r="Y3435">
            <v>7016.8</v>
          </cell>
          <cell r="Z3435">
            <v>0.35</v>
          </cell>
          <cell r="AA3435">
            <v>4560.92</v>
          </cell>
          <cell r="AB3435"/>
        </row>
        <row r="3436">
          <cell r="C3436">
            <v>0</v>
          </cell>
          <cell r="D3436">
            <v>0</v>
          </cell>
          <cell r="E3436">
            <v>1</v>
          </cell>
          <cell r="F3436">
            <v>0</v>
          </cell>
          <cell r="H3436">
            <v>1</v>
          </cell>
          <cell r="O3436">
            <v>361510</v>
          </cell>
          <cell r="P3436" t="str">
            <v>2023/053-0010-01</v>
          </cell>
          <cell r="Q3436" t="str">
            <v>EST CADEIRA JOY LUX (TC2078/22TELA DUPLA) (SUP1 TING PRETO)</v>
          </cell>
          <cell r="R3436"/>
          <cell r="S3436"/>
          <cell r="T3436">
            <v>0.52</v>
          </cell>
          <cell r="U3436">
            <v>0.52</v>
          </cell>
          <cell r="V3436">
            <v>0.75</v>
          </cell>
          <cell r="W3436">
            <v>0</v>
          </cell>
          <cell r="X3436" t="str">
            <v>EST CADEIRA JOY LUX (TC2078/22TELA DUPLA) (SUP1 TING PRETO) - 0,52x0,52x0,75H</v>
          </cell>
          <cell r="Y3436">
            <v>4522.72</v>
          </cell>
          <cell r="Z3436">
            <v>0.5</v>
          </cell>
          <cell r="AA3436">
            <v>2261.36</v>
          </cell>
          <cell r="AB3436"/>
        </row>
        <row r="3437">
          <cell r="C3437">
            <v>0</v>
          </cell>
          <cell r="D3437">
            <v>0</v>
          </cell>
          <cell r="E3437">
            <v>1</v>
          </cell>
          <cell r="F3437">
            <v>0</v>
          </cell>
          <cell r="H3437">
            <v>1</v>
          </cell>
          <cell r="O3437">
            <v>361510</v>
          </cell>
          <cell r="P3437" t="str">
            <v>2023/053-0011-01</v>
          </cell>
          <cell r="Q3437" t="str">
            <v>EST CADEIRA JOY LUX (TC2078/22TELA DUPLA) (SUP1 TING PRETO)</v>
          </cell>
          <cell r="R3437"/>
          <cell r="S3437"/>
          <cell r="T3437">
            <v>0.52</v>
          </cell>
          <cell r="U3437">
            <v>0.52</v>
          </cell>
          <cell r="V3437">
            <v>0.75</v>
          </cell>
          <cell r="W3437">
            <v>0</v>
          </cell>
          <cell r="X3437" t="str">
            <v>EST CADEIRA JOY LUX (TC2078/22TELA DUPLA) (SUP1 TING PRETO) - 0,52x0,52x0,75H</v>
          </cell>
          <cell r="Y3437">
            <v>4522.72</v>
          </cell>
          <cell r="Z3437">
            <v>0.5</v>
          </cell>
          <cell r="AA3437">
            <v>2261.36</v>
          </cell>
          <cell r="AB3437"/>
        </row>
        <row r="3438">
          <cell r="C3438">
            <v>0</v>
          </cell>
          <cell r="D3438">
            <v>0</v>
          </cell>
          <cell r="E3438">
            <v>1</v>
          </cell>
          <cell r="F3438">
            <v>0</v>
          </cell>
          <cell r="H3438">
            <v>3</v>
          </cell>
          <cell r="O3438">
            <v>336726</v>
          </cell>
          <cell r="P3438" t="str">
            <v>2022/223-0041-01</v>
          </cell>
          <cell r="Q3438" t="str">
            <v>EST CADEIRA NINA (MAD A CINAM CALRIF) 74 CAMEL/SEXT TING</v>
          </cell>
          <cell r="R3438"/>
          <cell r="S3438"/>
          <cell r="T3438">
            <v>0.5</v>
          </cell>
          <cell r="U3438">
            <v>0.61</v>
          </cell>
          <cell r="V3438">
            <v>0.88</v>
          </cell>
          <cell r="W3438">
            <v>0</v>
          </cell>
          <cell r="X3438" t="str">
            <v>EST CADEIRA NINA (MAD A CINAM CALRIF) 74 CAMEL/SEXT TING - 0,5x0,61x0,88H</v>
          </cell>
          <cell r="Y3438">
            <v>9481.4500000000007</v>
          </cell>
          <cell r="Z3438">
            <v>0.5</v>
          </cell>
          <cell r="AA3438">
            <v>4740.7250000000004</v>
          </cell>
          <cell r="AB3438"/>
        </row>
        <row r="3439">
          <cell r="C3439">
            <v>0</v>
          </cell>
          <cell r="D3439">
            <v>0</v>
          </cell>
          <cell r="E3439">
            <v>1</v>
          </cell>
          <cell r="F3439">
            <v>0</v>
          </cell>
          <cell r="H3439">
            <v>3</v>
          </cell>
          <cell r="O3439">
            <v>336726</v>
          </cell>
          <cell r="P3439" t="str">
            <v>2022/223-0042-01</v>
          </cell>
          <cell r="Q3439" t="str">
            <v>EST CADEIRA NINA (MAD A CINAM CALRIF) 74 CAMEL/SEXT TING</v>
          </cell>
          <cell r="R3439"/>
          <cell r="S3439"/>
          <cell r="T3439">
            <v>0.5</v>
          </cell>
          <cell r="U3439">
            <v>0.61</v>
          </cell>
          <cell r="V3439">
            <v>0.88</v>
          </cell>
          <cell r="W3439">
            <v>0</v>
          </cell>
          <cell r="X3439" t="str">
            <v>EST CADEIRA NINA (MAD A CINAM CALRIF) 74 CAMEL/SEXT TING - 0,5x0,61x0,88H</v>
          </cell>
          <cell r="Y3439">
            <v>9481.4500000000007</v>
          </cell>
          <cell r="Z3439">
            <v>0.5</v>
          </cell>
          <cell r="AA3439">
            <v>4740.7250000000004</v>
          </cell>
          <cell r="AB3439"/>
        </row>
        <row r="3440">
          <cell r="C3440">
            <v>0</v>
          </cell>
          <cell r="D3440">
            <v>0</v>
          </cell>
          <cell r="E3440">
            <v>1</v>
          </cell>
          <cell r="F3440">
            <v>0</v>
          </cell>
          <cell r="H3440">
            <v>0</v>
          </cell>
          <cell r="O3440">
            <v>203123</v>
          </cell>
          <cell r="P3440" t="str">
            <v>2016/313-0281-01</v>
          </cell>
          <cell r="Q3440" t="str">
            <v>EST MESA LATERAL LOLA (FREIJO NATURAL)</v>
          </cell>
          <cell r="R3440"/>
          <cell r="S3440"/>
          <cell r="T3440">
            <v>0.5</v>
          </cell>
          <cell r="U3440">
            <v>0.5</v>
          </cell>
          <cell r="V3440">
            <v>0.5</v>
          </cell>
          <cell r="W3440">
            <v>0</v>
          </cell>
          <cell r="X3440" t="str">
            <v>EST MESA LATERAL LOLA (FREIJO NATURAL) - 0,5x0,5x0,5H</v>
          </cell>
          <cell r="Y3440">
            <v>5672.9</v>
          </cell>
          <cell r="Z3440">
            <v>0.35</v>
          </cell>
          <cell r="AA3440">
            <v>3687.3850000000002</v>
          </cell>
          <cell r="AB3440"/>
        </row>
        <row r="3441">
          <cell r="C3441">
            <v>0</v>
          </cell>
          <cell r="D3441">
            <v>0</v>
          </cell>
          <cell r="E3441">
            <v>0</v>
          </cell>
          <cell r="F3441">
            <v>0</v>
          </cell>
          <cell r="H3441">
            <v>1</v>
          </cell>
          <cell r="O3441">
            <v>203124</v>
          </cell>
          <cell r="P3441" t="str">
            <v>2016/313-0282-01</v>
          </cell>
          <cell r="Q3441" t="str">
            <v>EST MESA LATERAL LOLA (FREIJO NATURAL)</v>
          </cell>
          <cell r="R3441"/>
          <cell r="S3441"/>
          <cell r="T3441">
            <v>0.6</v>
          </cell>
          <cell r="U3441">
            <v>0.6</v>
          </cell>
          <cell r="V3441">
            <v>0.6</v>
          </cell>
          <cell r="W3441">
            <v>0</v>
          </cell>
          <cell r="X3441" t="str">
            <v>EST MESA LATERAL LOLA (FREIJO NATURAL) - 0,6x0,6x0,6H</v>
          </cell>
          <cell r="Y3441">
            <v>5672.9</v>
          </cell>
          <cell r="Z3441">
            <v>0.35</v>
          </cell>
          <cell r="AA3441">
            <v>3687.3850000000002</v>
          </cell>
          <cell r="AB3441"/>
        </row>
        <row r="3442">
          <cell r="C3442">
            <v>0</v>
          </cell>
          <cell r="D3442">
            <v>0</v>
          </cell>
          <cell r="E3442">
            <v>1</v>
          </cell>
          <cell r="F3442">
            <v>0</v>
          </cell>
          <cell r="H3442">
            <v>0</v>
          </cell>
          <cell r="O3442">
            <v>407115</v>
          </cell>
          <cell r="P3442" t="str">
            <v>2025/211-0002-01</v>
          </cell>
          <cell r="Q3442" t="str">
            <v>EST SOFA JOPLIN TC D4235</v>
          </cell>
          <cell r="R3442"/>
          <cell r="S3442"/>
          <cell r="T3442">
            <v>2.8</v>
          </cell>
          <cell r="U3442">
            <v>0.9</v>
          </cell>
          <cell r="V3442">
            <v>0.84</v>
          </cell>
          <cell r="W3442">
            <v>0</v>
          </cell>
          <cell r="X3442" t="str">
            <v>EST SOFA JOPLIN TC D4235 - 2,8x0,9x0,84H</v>
          </cell>
          <cell r="Y3442">
            <v>21586.7</v>
          </cell>
          <cell r="Z3442">
            <v>0.35</v>
          </cell>
          <cell r="AA3442">
            <v>14031.355000000001</v>
          </cell>
          <cell r="AB3442"/>
        </row>
        <row r="3443">
          <cell r="C3443">
            <v>0</v>
          </cell>
          <cell r="D3443">
            <v>0</v>
          </cell>
          <cell r="E3443">
            <v>2</v>
          </cell>
          <cell r="F3443">
            <v>0</v>
          </cell>
          <cell r="H3443">
            <v>0</v>
          </cell>
          <cell r="O3443">
            <v>222587</v>
          </cell>
          <cell r="P3443" t="str">
            <v>2018/135-0137-01</v>
          </cell>
          <cell r="Q3443" t="str">
            <v>EST BANQUETA BAR EASY (CARVALHO NAT) LATAO ENVELHECIDO</v>
          </cell>
          <cell r="R3443"/>
          <cell r="S3443"/>
          <cell r="T3443">
            <v>0.38</v>
          </cell>
          <cell r="U3443">
            <v>0.36</v>
          </cell>
          <cell r="V3443">
            <v>0.6</v>
          </cell>
          <cell r="W3443">
            <v>0</v>
          </cell>
          <cell r="X3443" t="str">
            <v>EST BANQUETA BAR EASY (CARVALHO NAT) LATAO ENVELHECIDO - 0,38x0,36x0,6H</v>
          </cell>
          <cell r="Y3443">
            <v>25831.75</v>
          </cell>
          <cell r="Z3443">
            <v>0.5</v>
          </cell>
          <cell r="AA3443">
            <v>12915.875</v>
          </cell>
          <cell r="AB3443"/>
        </row>
        <row r="3444">
          <cell r="C3444">
            <v>0</v>
          </cell>
          <cell r="D3444">
            <v>1</v>
          </cell>
          <cell r="E3444">
            <v>0</v>
          </cell>
          <cell r="F3444">
            <v>0</v>
          </cell>
          <cell r="H3444">
            <v>0</v>
          </cell>
          <cell r="O3444">
            <v>223605</v>
          </cell>
          <cell r="P3444" t="str">
            <v>2018/191-0043-01</v>
          </cell>
          <cell r="Q3444" t="str">
            <v>EST MESA LATERAL TRIBO (A) H50 (LACA PADRAO FOSCA J155)</v>
          </cell>
          <cell r="R3444"/>
          <cell r="S3444"/>
          <cell r="T3444">
            <v>0.41</v>
          </cell>
          <cell r="U3444">
            <v>0</v>
          </cell>
          <cell r="V3444">
            <v>0.5</v>
          </cell>
          <cell r="W3444">
            <v>0</v>
          </cell>
          <cell r="X3444" t="str">
            <v>EST MESA LATERAL TRIBO (A) H50 (LACA PADRAO FOSCA J155) - Ø0x0,5H</v>
          </cell>
          <cell r="Y3444">
            <v>6706.56</v>
          </cell>
          <cell r="Z3444">
            <v>0.5</v>
          </cell>
          <cell r="AA3444">
            <v>3353.28</v>
          </cell>
          <cell r="AB3444"/>
        </row>
        <row r="3445">
          <cell r="C3445">
            <v>0</v>
          </cell>
          <cell r="D3445">
            <v>7</v>
          </cell>
          <cell r="E3445">
            <v>1</v>
          </cell>
          <cell r="F3445">
            <v>0</v>
          </cell>
          <cell r="H3445">
            <v>0</v>
          </cell>
          <cell r="O3445">
            <v>336646</v>
          </cell>
          <cell r="P3445" t="str">
            <v>2022/298-0082-01</v>
          </cell>
          <cell r="Q3445" t="str">
            <v>EST CADEIRA CLARA (JEQ TING NOG) (ESTOF) (C4 PINHAO)</v>
          </cell>
          <cell r="R3445"/>
          <cell r="S3445"/>
          <cell r="T3445">
            <v>0.48</v>
          </cell>
          <cell r="U3445">
            <v>0.56999999999999995</v>
          </cell>
          <cell r="V3445">
            <v>0.86</v>
          </cell>
          <cell r="W3445">
            <v>0</v>
          </cell>
          <cell r="X3445" t="str">
            <v>EST CADEIRA CLARA (JEQ TING NOG) (ESTOF) (C4 PINHAO) - 0,48x0,57x0,86H</v>
          </cell>
          <cell r="Y3445">
            <v>8042.5</v>
          </cell>
          <cell r="Z3445">
            <v>0.5</v>
          </cell>
          <cell r="AA3445">
            <v>4021.25</v>
          </cell>
          <cell r="AB3445"/>
        </row>
        <row r="3446">
          <cell r="C3446">
            <v>1</v>
          </cell>
          <cell r="D3446">
            <v>2</v>
          </cell>
          <cell r="E3446">
            <v>0</v>
          </cell>
          <cell r="F3446">
            <v>0</v>
          </cell>
          <cell r="H3446">
            <v>0</v>
          </cell>
          <cell r="O3446">
            <v>274743</v>
          </cell>
          <cell r="P3446" t="str">
            <v>2021/109-0101-01</v>
          </cell>
          <cell r="Q3446" t="str">
            <v>EST MESA LATERAL ALEXANDRIA (TP MARM NERO) (BS MTZ CAPUCC)</v>
          </cell>
          <cell r="R3446"/>
          <cell r="S3446"/>
          <cell r="T3446">
            <v>0.4</v>
          </cell>
          <cell r="U3446">
            <v>0</v>
          </cell>
          <cell r="V3446">
            <v>0.5</v>
          </cell>
          <cell r="W3446">
            <v>0.4</v>
          </cell>
          <cell r="X3446" t="str">
            <v>EST MESA LATERAL ALEXANDRIA (TP MARM NERO) (BS MTZ CAPUCC) - Ø0,4x0,5H</v>
          </cell>
          <cell r="Y3446">
            <v>12211.81</v>
          </cell>
          <cell r="Z3446">
            <v>0.35</v>
          </cell>
          <cell r="AA3446">
            <v>7937.6764999999996</v>
          </cell>
          <cell r="AB3446"/>
        </row>
        <row r="3447">
          <cell r="C3447">
            <v>0</v>
          </cell>
          <cell r="D3447">
            <v>7</v>
          </cell>
          <cell r="E3447">
            <v>1</v>
          </cell>
          <cell r="F3447">
            <v>0</v>
          </cell>
          <cell r="H3447">
            <v>0</v>
          </cell>
          <cell r="O3447">
            <v>336646</v>
          </cell>
          <cell r="P3447" t="str">
            <v>2022/298-0081-01</v>
          </cell>
          <cell r="Q3447" t="str">
            <v>EST CADEIRA CLARA (JEQ TING NOG) (ESTOF) (C4 PINHAO)</v>
          </cell>
          <cell r="R3447"/>
          <cell r="S3447"/>
          <cell r="T3447">
            <v>0.48</v>
          </cell>
          <cell r="U3447">
            <v>0.56999999999999995</v>
          </cell>
          <cell r="V3447">
            <v>0.86</v>
          </cell>
          <cell r="W3447">
            <v>0</v>
          </cell>
          <cell r="X3447" t="str">
            <v>EST CADEIRA CLARA (JEQ TING NOG) (ESTOF) (C4 PINHAO) - 0,48x0,57x0,86H</v>
          </cell>
          <cell r="Y3447">
            <v>8042.5</v>
          </cell>
          <cell r="Z3447">
            <v>0.5</v>
          </cell>
          <cell r="AA3447">
            <v>4021.25</v>
          </cell>
          <cell r="AB3447"/>
        </row>
        <row r="3448">
          <cell r="C3448">
            <v>0</v>
          </cell>
          <cell r="D3448">
            <v>7</v>
          </cell>
          <cell r="E3448">
            <v>1</v>
          </cell>
          <cell r="F3448">
            <v>0</v>
          </cell>
          <cell r="H3448">
            <v>0</v>
          </cell>
          <cell r="O3448">
            <v>336646</v>
          </cell>
          <cell r="P3448" t="str">
            <v>2022/298-0083-01</v>
          </cell>
          <cell r="Q3448" t="str">
            <v>EST CADEIRA CLARA (JEQ TING NOG) (ESTOF) (C4 PINHAO)</v>
          </cell>
          <cell r="R3448"/>
          <cell r="S3448"/>
          <cell r="T3448">
            <v>0.48</v>
          </cell>
          <cell r="U3448">
            <v>0.56999999999999995</v>
          </cell>
          <cell r="V3448">
            <v>0.86</v>
          </cell>
          <cell r="W3448">
            <v>0</v>
          </cell>
          <cell r="X3448" t="str">
            <v>EST CADEIRA CLARA (JEQ TING NOG) (ESTOF) (C4 PINHAO) - 0,48x0,57x0,86H</v>
          </cell>
          <cell r="Y3448">
            <v>8042.5</v>
          </cell>
          <cell r="Z3448">
            <v>0.5</v>
          </cell>
          <cell r="AA3448">
            <v>4021.25</v>
          </cell>
          <cell r="AB3448"/>
        </row>
        <row r="3449">
          <cell r="C3449">
            <v>0</v>
          </cell>
          <cell r="D3449">
            <v>7</v>
          </cell>
          <cell r="E3449">
            <v>1</v>
          </cell>
          <cell r="F3449">
            <v>0</v>
          </cell>
          <cell r="H3449">
            <v>0</v>
          </cell>
          <cell r="O3449">
            <v>336646</v>
          </cell>
          <cell r="P3449" t="str">
            <v>2022/298-0084-01</v>
          </cell>
          <cell r="Q3449" t="str">
            <v>EST CADEIRA CLARA (JEQ TING NOG) (ESTOF) (C4 PINHAO)</v>
          </cell>
          <cell r="R3449"/>
          <cell r="S3449"/>
          <cell r="T3449">
            <v>0.48</v>
          </cell>
          <cell r="U3449">
            <v>0.56999999999999995</v>
          </cell>
          <cell r="V3449">
            <v>0.86</v>
          </cell>
          <cell r="W3449">
            <v>0</v>
          </cell>
          <cell r="X3449" t="str">
            <v>EST CADEIRA CLARA (JEQ TING NOG) (ESTOF) (C4 PINHAO) - 0,48x0,57x0,86H</v>
          </cell>
          <cell r="Y3449">
            <v>8042.5</v>
          </cell>
          <cell r="Z3449">
            <v>0.5</v>
          </cell>
          <cell r="AA3449">
            <v>4021.25</v>
          </cell>
          <cell r="AB3449"/>
        </row>
        <row r="3450">
          <cell r="C3450">
            <v>0</v>
          </cell>
          <cell r="D3450">
            <v>7</v>
          </cell>
          <cell r="E3450">
            <v>1</v>
          </cell>
          <cell r="F3450">
            <v>0</v>
          </cell>
          <cell r="H3450">
            <v>0</v>
          </cell>
          <cell r="O3450">
            <v>336646</v>
          </cell>
          <cell r="P3450" t="str">
            <v>2022/298-0087-01</v>
          </cell>
          <cell r="Q3450" t="str">
            <v>EST CADEIRA CLARA (JEQ TING NOG) (ESTOF) (C4 PINHAO)</v>
          </cell>
          <cell r="R3450"/>
          <cell r="S3450"/>
          <cell r="T3450">
            <v>0.48</v>
          </cell>
          <cell r="U3450">
            <v>0.56999999999999995</v>
          </cell>
          <cell r="V3450">
            <v>0.86</v>
          </cell>
          <cell r="W3450">
            <v>0</v>
          </cell>
          <cell r="X3450" t="str">
            <v>EST CADEIRA CLARA (JEQ TING NOG) (ESTOF) (C4 PINHAO) - 0,48x0,57x0,86H</v>
          </cell>
          <cell r="Y3450">
            <v>8042.5</v>
          </cell>
          <cell r="Z3450">
            <v>0.5</v>
          </cell>
          <cell r="AA3450">
            <v>4021.25</v>
          </cell>
          <cell r="AB3450"/>
        </row>
        <row r="3451">
          <cell r="C3451">
            <v>0</v>
          </cell>
          <cell r="D3451">
            <v>7</v>
          </cell>
          <cell r="E3451">
            <v>1</v>
          </cell>
          <cell r="F3451">
            <v>0</v>
          </cell>
          <cell r="H3451">
            <v>0</v>
          </cell>
          <cell r="O3451">
            <v>336646</v>
          </cell>
          <cell r="P3451" t="str">
            <v>2022/298-0088-01</v>
          </cell>
          <cell r="Q3451" t="str">
            <v>EST CADEIRA CLARA (JEQ TING NOG) (ESTOF) (C4 PINHAO)</v>
          </cell>
          <cell r="R3451"/>
          <cell r="S3451"/>
          <cell r="T3451">
            <v>0.48</v>
          </cell>
          <cell r="U3451">
            <v>0.56999999999999995</v>
          </cell>
          <cell r="V3451">
            <v>0.86</v>
          </cell>
          <cell r="W3451">
            <v>0</v>
          </cell>
          <cell r="X3451" t="str">
            <v>EST CADEIRA CLARA (JEQ TING NOG) (ESTOF) (C4 PINHAO) - 0,48x0,57x0,86H</v>
          </cell>
          <cell r="Y3451">
            <v>8042.5</v>
          </cell>
          <cell r="Z3451">
            <v>0.5</v>
          </cell>
          <cell r="AA3451">
            <v>4021.25</v>
          </cell>
          <cell r="AB3451"/>
        </row>
        <row r="3452">
          <cell r="C3452">
            <v>0</v>
          </cell>
          <cell r="D3452">
            <v>7</v>
          </cell>
          <cell r="E3452">
            <v>1</v>
          </cell>
          <cell r="F3452">
            <v>0</v>
          </cell>
          <cell r="H3452">
            <v>0</v>
          </cell>
          <cell r="O3452">
            <v>336646</v>
          </cell>
          <cell r="P3452" t="str">
            <v>2022/298-0085-01</v>
          </cell>
          <cell r="Q3452" t="str">
            <v>EST CADEIRA CLARA (JEQ TING NOG) (ESTOF) (C4 PINHAO)</v>
          </cell>
          <cell r="R3452"/>
          <cell r="S3452"/>
          <cell r="T3452">
            <v>0.48</v>
          </cell>
          <cell r="U3452">
            <v>0.56999999999999995</v>
          </cell>
          <cell r="V3452">
            <v>0.86</v>
          </cell>
          <cell r="W3452">
            <v>0</v>
          </cell>
          <cell r="X3452" t="str">
            <v>EST CADEIRA CLARA (JEQ TING NOG) (ESTOF) (C4 PINHAO) - 0,48x0,57x0,86H</v>
          </cell>
          <cell r="Y3452">
            <v>8042.5</v>
          </cell>
          <cell r="Z3452">
            <v>0.5</v>
          </cell>
          <cell r="AA3452">
            <v>4021.25</v>
          </cell>
          <cell r="AB3452"/>
        </row>
        <row r="3453">
          <cell r="C3453">
            <v>0</v>
          </cell>
          <cell r="D3453">
            <v>1</v>
          </cell>
          <cell r="E3453">
            <v>0</v>
          </cell>
          <cell r="F3453">
            <v>0</v>
          </cell>
          <cell r="H3453">
            <v>0</v>
          </cell>
          <cell r="O3453">
            <v>399497</v>
          </cell>
          <cell r="P3453" t="str">
            <v>2025/017-0013-01</v>
          </cell>
          <cell r="Q3453" t="str">
            <v>EST SOFA ELLUS (FX D4009) (CARVALHO)</v>
          </cell>
          <cell r="R3453"/>
          <cell r="S3453"/>
          <cell r="T3453">
            <v>3</v>
          </cell>
          <cell r="U3453">
            <v>1</v>
          </cell>
          <cell r="V3453">
            <v>0.82</v>
          </cell>
          <cell r="W3453">
            <v>0</v>
          </cell>
          <cell r="X3453" t="str">
            <v>EST SOFA ELLUS (FX D4009) (CARVALHO) - 3x1x0,82H</v>
          </cell>
          <cell r="Y3453">
            <v>25817.88</v>
          </cell>
          <cell r="Z3453">
            <v>0.35</v>
          </cell>
          <cell r="AA3453">
            <v>16781.622000000003</v>
          </cell>
          <cell r="AB3453"/>
        </row>
        <row r="3454">
          <cell r="C3454">
            <v>0</v>
          </cell>
          <cell r="D3454">
            <v>2</v>
          </cell>
          <cell r="E3454">
            <v>0</v>
          </cell>
          <cell r="F3454">
            <v>0</v>
          </cell>
          <cell r="H3454">
            <v>0</v>
          </cell>
          <cell r="O3454">
            <v>223303</v>
          </cell>
          <cell r="P3454" t="str">
            <v>2018/184-0136-01</v>
          </cell>
          <cell r="Q3454" t="str">
            <v>EST MESA LATERAL DUOMO (LACA NUDE)</v>
          </cell>
          <cell r="R3454"/>
          <cell r="S3454"/>
          <cell r="T3454">
            <v>0.6</v>
          </cell>
          <cell r="U3454">
            <v>0</v>
          </cell>
          <cell r="V3454">
            <v>0.6</v>
          </cell>
          <cell r="W3454">
            <v>0.6</v>
          </cell>
          <cell r="X3454" t="str">
            <v>EST MESA LATERAL DUOMO (LACA NUDE) - Ø0,6x0,6H</v>
          </cell>
          <cell r="Y3454">
            <v>10214.4</v>
          </cell>
          <cell r="Z3454">
            <v>0.5</v>
          </cell>
          <cell r="AA3454">
            <v>5107.2</v>
          </cell>
          <cell r="AB3454"/>
        </row>
        <row r="3455">
          <cell r="C3455">
            <v>0</v>
          </cell>
          <cell r="D3455">
            <v>6</v>
          </cell>
          <cell r="E3455">
            <v>0</v>
          </cell>
          <cell r="F3455">
            <v>0</v>
          </cell>
          <cell r="H3455">
            <v>0</v>
          </cell>
          <cell r="O3455">
            <v>226598</v>
          </cell>
          <cell r="P3455" t="str">
            <v>2018/233-0030-01</v>
          </cell>
          <cell r="Q3455" t="str">
            <v>EST CADEIRA EVO (MADEIRA TAUARI MEL)</v>
          </cell>
          <cell r="R3455"/>
          <cell r="S3455"/>
          <cell r="T3455">
            <v>0.49</v>
          </cell>
          <cell r="U3455">
            <v>0.47</v>
          </cell>
          <cell r="V3455">
            <v>0.82</v>
          </cell>
          <cell r="W3455">
            <v>0</v>
          </cell>
          <cell r="X3455" t="str">
            <v>EST CADEIRA EVO (MADEIRA TAUARI MEL) - 0,49x0,47x0,82H</v>
          </cell>
          <cell r="Y3455">
            <v>5314.67</v>
          </cell>
          <cell r="Z3455">
            <v>0.5</v>
          </cell>
          <cell r="AA3455">
            <v>2657.335</v>
          </cell>
          <cell r="AB3455"/>
        </row>
        <row r="3456">
          <cell r="C3456">
            <v>0</v>
          </cell>
          <cell r="D3456">
            <v>6</v>
          </cell>
          <cell r="E3456">
            <v>0</v>
          </cell>
          <cell r="F3456">
            <v>0</v>
          </cell>
          <cell r="H3456">
            <v>0</v>
          </cell>
          <cell r="O3456">
            <v>226598</v>
          </cell>
          <cell r="P3456" t="str">
            <v>2018/233-0034-01</v>
          </cell>
          <cell r="Q3456" t="str">
            <v>EST CADEIRA EVO (MADEIRA TAUARI MEL)</v>
          </cell>
          <cell r="R3456"/>
          <cell r="S3456"/>
          <cell r="T3456">
            <v>0.49</v>
          </cell>
          <cell r="U3456">
            <v>0.47</v>
          </cell>
          <cell r="V3456">
            <v>0.82</v>
          </cell>
          <cell r="W3456">
            <v>0</v>
          </cell>
          <cell r="X3456" t="str">
            <v>EST CADEIRA EVO (MADEIRA TAUARI MEL) - 0,49x0,47x0,82H</v>
          </cell>
          <cell r="Y3456">
            <v>5314.67</v>
          </cell>
          <cell r="Z3456">
            <v>0.5</v>
          </cell>
          <cell r="AA3456">
            <v>2657.335</v>
          </cell>
          <cell r="AB3456"/>
        </row>
        <row r="3457">
          <cell r="C3457">
            <v>0</v>
          </cell>
          <cell r="D3457">
            <v>1</v>
          </cell>
          <cell r="E3457">
            <v>0</v>
          </cell>
          <cell r="F3457">
            <v>0</v>
          </cell>
          <cell r="H3457">
            <v>1</v>
          </cell>
          <cell r="O3457">
            <v>255059</v>
          </cell>
          <cell r="P3457" t="str">
            <v>2020/066-0052-01</v>
          </cell>
          <cell r="Q3457" t="str">
            <v>EST MESA CENTRO NOMAN (TP LAM FAJO) (AUT FRAPE)</v>
          </cell>
          <cell r="R3457"/>
          <cell r="S3457"/>
          <cell r="T3457">
            <v>0.91</v>
          </cell>
          <cell r="U3457">
            <v>0.91</v>
          </cell>
          <cell r="V3457">
            <v>0.24</v>
          </cell>
          <cell r="W3457">
            <v>0</v>
          </cell>
          <cell r="X3457" t="str">
            <v>EST MESA CENTRO NOMAN (TP LAM FAJO) (AUT FRAPE) - 0,91x0,91x0,24H</v>
          </cell>
          <cell r="Y3457">
            <v>14356.28</v>
          </cell>
          <cell r="Z3457">
            <v>0.5</v>
          </cell>
          <cell r="AA3457">
            <v>7178.14</v>
          </cell>
          <cell r="AB3457"/>
        </row>
        <row r="3458">
          <cell r="C3458">
            <v>0</v>
          </cell>
          <cell r="D3458">
            <v>1</v>
          </cell>
          <cell r="E3458">
            <v>0</v>
          </cell>
          <cell r="F3458">
            <v>0</v>
          </cell>
          <cell r="H3458">
            <v>0</v>
          </cell>
          <cell r="O3458">
            <v>274718</v>
          </cell>
          <cell r="P3458" t="str">
            <v>2021/056-0123-01</v>
          </cell>
          <cell r="Q3458" t="str">
            <v>EST POLTRONA VIRIA (PE MTX MARROM) FX D4116</v>
          </cell>
          <cell r="R3458"/>
          <cell r="S3458"/>
          <cell r="T3458">
            <v>0.95</v>
          </cell>
          <cell r="U3458">
            <v>0.85</v>
          </cell>
          <cell r="V3458">
            <v>0.74</v>
          </cell>
          <cell r="W3458">
            <v>0</v>
          </cell>
          <cell r="X3458" t="str">
            <v>EST POLTRONA VIRIA (PE MTX MARROM) FX D4116 - 0,95x0,85x0,74H</v>
          </cell>
          <cell r="Y3458">
            <v>9165.9</v>
          </cell>
          <cell r="Z3458">
            <v>0.5</v>
          </cell>
          <cell r="AA3458">
            <v>4582.95</v>
          </cell>
          <cell r="AB3458"/>
        </row>
        <row r="3459">
          <cell r="C3459">
            <v>0</v>
          </cell>
          <cell r="D3459">
            <v>1</v>
          </cell>
          <cell r="E3459">
            <v>0</v>
          </cell>
          <cell r="F3459">
            <v>0</v>
          </cell>
          <cell r="H3459">
            <v>0</v>
          </cell>
          <cell r="O3459">
            <v>280525</v>
          </cell>
          <cell r="P3459" t="str">
            <v>2021/189-0038-02</v>
          </cell>
          <cell r="Q3459" t="str">
            <v>EST MESA CENTRO CLIPS TP ESP BRONZE/PES NUDE</v>
          </cell>
          <cell r="R3459"/>
          <cell r="S3459"/>
          <cell r="T3459">
            <v>1</v>
          </cell>
          <cell r="U3459">
            <v>1</v>
          </cell>
          <cell r="V3459">
            <v>0.32</v>
          </cell>
          <cell r="W3459">
            <v>0</v>
          </cell>
          <cell r="X3459" t="str">
            <v>EST MESA CENTRO CLIPS TP ESP BRONZE/PES NUDE - 1x1x0,32H</v>
          </cell>
          <cell r="Y3459">
            <v>11610.9</v>
          </cell>
          <cell r="Z3459">
            <v>0.5</v>
          </cell>
          <cell r="AA3459">
            <v>5805.45</v>
          </cell>
          <cell r="AB3459"/>
        </row>
        <row r="3460">
          <cell r="C3460">
            <v>0</v>
          </cell>
          <cell r="D3460">
            <v>1</v>
          </cell>
          <cell r="E3460">
            <v>0</v>
          </cell>
          <cell r="F3460">
            <v>0</v>
          </cell>
          <cell r="H3460">
            <v>0</v>
          </cell>
          <cell r="O3460">
            <v>328888</v>
          </cell>
          <cell r="P3460" t="str">
            <v>2022/203-0118-01</v>
          </cell>
          <cell r="Q3460" t="str">
            <v>EST MESA CENTRO BALLET II (MAD LAM NOGAL) (MARROM FSC)</v>
          </cell>
          <cell r="R3460"/>
          <cell r="S3460"/>
          <cell r="T3460">
            <v>1.8</v>
          </cell>
          <cell r="U3460">
            <v>0.8</v>
          </cell>
          <cell r="V3460">
            <v>0.3</v>
          </cell>
          <cell r="W3460">
            <v>0</v>
          </cell>
          <cell r="X3460" t="str">
            <v>EST MESA CENTRO BALLET II (MAD LAM NOGAL) (MARROM FSC) - 1,8x0,8x0,3H</v>
          </cell>
          <cell r="Y3460">
            <v>40631.629999999997</v>
          </cell>
          <cell r="Z3460">
            <v>0.5</v>
          </cell>
          <cell r="AA3460">
            <v>20315.814999999999</v>
          </cell>
          <cell r="AB3460"/>
        </row>
        <row r="3461">
          <cell r="C3461">
            <v>0</v>
          </cell>
          <cell r="D3461">
            <v>1</v>
          </cell>
          <cell r="E3461">
            <v>0</v>
          </cell>
          <cell r="F3461">
            <v>0</v>
          </cell>
          <cell r="H3461">
            <v>0</v>
          </cell>
          <cell r="O3461">
            <v>223568</v>
          </cell>
          <cell r="P3461" t="str">
            <v>2018/184-0069-01</v>
          </cell>
          <cell r="Q3461" t="str">
            <v>EST MESA LATERAL TRIBO (A) H50 (CARBONIZADA)</v>
          </cell>
          <cell r="R3461"/>
          <cell r="S3461"/>
          <cell r="T3461">
            <v>0.41</v>
          </cell>
          <cell r="U3461">
            <v>0</v>
          </cell>
          <cell r="V3461">
            <v>0.5</v>
          </cell>
          <cell r="W3461">
            <v>0.41</v>
          </cell>
          <cell r="X3461" t="str">
            <v>EST MESA LATERAL TRIBO (A) H50 (CARBONIZADA) - Ø0,41x0,5H</v>
          </cell>
          <cell r="Y3461">
            <v>7617.75</v>
          </cell>
          <cell r="Z3461">
            <v>0.5</v>
          </cell>
          <cell r="AA3461">
            <v>3808.875</v>
          </cell>
          <cell r="AB3461"/>
        </row>
        <row r="3462">
          <cell r="C3462">
            <v>0</v>
          </cell>
          <cell r="D3462">
            <v>2</v>
          </cell>
          <cell r="E3462">
            <v>0</v>
          </cell>
          <cell r="F3462">
            <v>0</v>
          </cell>
          <cell r="H3462">
            <v>0</v>
          </cell>
          <cell r="O3462">
            <v>214972</v>
          </cell>
          <cell r="P3462" t="str">
            <v>2022/314-0001-01</v>
          </cell>
          <cell r="Q3462" t="str">
            <v>EST POLTRONA NIKO (FX 5351) (TING EBANIZADO)</v>
          </cell>
          <cell r="R3462"/>
          <cell r="S3462"/>
          <cell r="T3462">
            <v>0.73</v>
          </cell>
          <cell r="U3462">
            <v>0.76</v>
          </cell>
          <cell r="V3462">
            <v>0.79</v>
          </cell>
          <cell r="W3462">
            <v>0</v>
          </cell>
          <cell r="X3462" t="str">
            <v>EST POLTRONA NIKO (FX 5351) (TING EBANIZADO) - 0,73x0,76x0,79H</v>
          </cell>
          <cell r="Y3462">
            <v>7189.39</v>
          </cell>
          <cell r="Z3462">
            <v>0.35</v>
          </cell>
          <cell r="AA3462">
            <v>4673.1035000000002</v>
          </cell>
          <cell r="AB3462"/>
        </row>
        <row r="3463">
          <cell r="C3463">
            <v>0</v>
          </cell>
          <cell r="D3463">
            <v>2</v>
          </cell>
          <cell r="E3463">
            <v>0</v>
          </cell>
          <cell r="F3463">
            <v>0</v>
          </cell>
          <cell r="H3463">
            <v>0</v>
          </cell>
          <cell r="O3463">
            <v>214972</v>
          </cell>
          <cell r="P3463" t="str">
            <v>2025/064-0033-01</v>
          </cell>
          <cell r="Q3463" t="str">
            <v>EST POLTRONA NIKO (FX 5351) (TING EBANIZADO)</v>
          </cell>
          <cell r="R3463"/>
          <cell r="S3463"/>
          <cell r="T3463">
            <v>0.73</v>
          </cell>
          <cell r="U3463">
            <v>0.76</v>
          </cell>
          <cell r="V3463">
            <v>0.79</v>
          </cell>
          <cell r="W3463">
            <v>0</v>
          </cell>
          <cell r="X3463" t="str">
            <v>EST POLTRONA NIKO (FX 5351) (TING EBANIZADO) - 0,73x0,76x0,79H</v>
          </cell>
          <cell r="Y3463">
            <v>7189.39</v>
          </cell>
          <cell r="Z3463">
            <v>0.35</v>
          </cell>
          <cell r="AA3463">
            <v>4673.1035000000002</v>
          </cell>
          <cell r="AB3463"/>
        </row>
        <row r="3464">
          <cell r="C3464">
            <v>0</v>
          </cell>
          <cell r="D3464">
            <v>4</v>
          </cell>
          <cell r="E3464">
            <v>0</v>
          </cell>
          <cell r="F3464">
            <v>0</v>
          </cell>
          <cell r="H3464">
            <v>0</v>
          </cell>
          <cell r="O3464">
            <v>221141</v>
          </cell>
          <cell r="P3464" t="str">
            <v>2018/074-0063-01</v>
          </cell>
          <cell r="Q3464" t="str">
            <v>EST CADEIRA ARROW C/BRACO (MEL CLARO) (TC 606)</v>
          </cell>
          <cell r="R3464"/>
          <cell r="S3464"/>
          <cell r="T3464">
            <v>0.56000000000000005</v>
          </cell>
          <cell r="U3464">
            <v>0.61</v>
          </cell>
          <cell r="V3464">
            <v>0.89</v>
          </cell>
          <cell r="W3464">
            <v>0</v>
          </cell>
          <cell r="X3464" t="str">
            <v>EST CADEIRA ARROW C/BRACO (MEL CLARO) (TC 606) - 0,56x0,61x0,89H</v>
          </cell>
          <cell r="Y3464">
            <v>6302.93</v>
          </cell>
          <cell r="Z3464">
            <v>0.5</v>
          </cell>
          <cell r="AA3464">
            <v>3151.4650000000001</v>
          </cell>
          <cell r="AB3464"/>
        </row>
        <row r="3465">
          <cell r="C3465">
            <v>0</v>
          </cell>
          <cell r="D3465">
            <v>4</v>
          </cell>
          <cell r="E3465">
            <v>0</v>
          </cell>
          <cell r="F3465">
            <v>0</v>
          </cell>
          <cell r="H3465">
            <v>0</v>
          </cell>
          <cell r="O3465">
            <v>221141</v>
          </cell>
          <cell r="P3465" t="str">
            <v>2018/074-0064-01</v>
          </cell>
          <cell r="Q3465" t="str">
            <v>EST CADEIRA ARROW C/BRACO (MEL CLARO) (TC 606)</v>
          </cell>
          <cell r="R3465"/>
          <cell r="S3465"/>
          <cell r="T3465">
            <v>0.56000000000000005</v>
          </cell>
          <cell r="U3465">
            <v>0.61</v>
          </cell>
          <cell r="V3465">
            <v>0.89</v>
          </cell>
          <cell r="W3465">
            <v>0</v>
          </cell>
          <cell r="X3465" t="str">
            <v>EST CADEIRA ARROW C/BRACO (MEL CLARO) (TC 606) - 0,56x0,61x0,89H</v>
          </cell>
          <cell r="Y3465">
            <v>6302.93</v>
          </cell>
          <cell r="Z3465">
            <v>0.5</v>
          </cell>
          <cell r="AA3465">
            <v>3151.4650000000001</v>
          </cell>
          <cell r="AB3465"/>
        </row>
        <row r="3466">
          <cell r="C3466">
            <v>0</v>
          </cell>
          <cell r="D3466">
            <v>4</v>
          </cell>
          <cell r="E3466">
            <v>0</v>
          </cell>
          <cell r="F3466">
            <v>0</v>
          </cell>
          <cell r="H3466">
            <v>0</v>
          </cell>
          <cell r="O3466">
            <v>221141</v>
          </cell>
          <cell r="P3466" t="str">
            <v>2018/074-0065-01</v>
          </cell>
          <cell r="Q3466" t="str">
            <v>EST CADEIRA ARROW C/BRACO (MEL CLARO) (TC 606)</v>
          </cell>
          <cell r="R3466"/>
          <cell r="S3466"/>
          <cell r="T3466">
            <v>0.56000000000000005</v>
          </cell>
          <cell r="U3466">
            <v>0.61</v>
          </cell>
          <cell r="V3466">
            <v>0.89</v>
          </cell>
          <cell r="W3466">
            <v>0</v>
          </cell>
          <cell r="X3466" t="str">
            <v>EST CADEIRA ARROW C/BRACO (MEL CLARO) (TC 606) - 0,56x0,61x0,89H</v>
          </cell>
          <cell r="Y3466">
            <v>6302.93</v>
          </cell>
          <cell r="Z3466">
            <v>0.5</v>
          </cell>
          <cell r="AA3466">
            <v>3151.4650000000001</v>
          </cell>
          <cell r="AB3466"/>
        </row>
        <row r="3467">
          <cell r="C3467">
            <v>0</v>
          </cell>
          <cell r="D3467">
            <v>4</v>
          </cell>
          <cell r="E3467">
            <v>0</v>
          </cell>
          <cell r="F3467">
            <v>0</v>
          </cell>
          <cell r="H3467">
            <v>0</v>
          </cell>
          <cell r="O3467">
            <v>221141</v>
          </cell>
          <cell r="P3467" t="str">
            <v>2018/074-0066-01</v>
          </cell>
          <cell r="Q3467" t="str">
            <v>EST CADEIRA ARROW C/BRACO (MEL CLARO) (TC 606)</v>
          </cell>
          <cell r="R3467"/>
          <cell r="S3467"/>
          <cell r="T3467">
            <v>0.56000000000000005</v>
          </cell>
          <cell r="U3467">
            <v>0.61</v>
          </cell>
          <cell r="V3467">
            <v>0.89</v>
          </cell>
          <cell r="W3467">
            <v>0</v>
          </cell>
          <cell r="X3467" t="str">
            <v>EST CADEIRA ARROW C/BRACO (MEL CLARO) (TC 606) - 0,56x0,61x0,89H</v>
          </cell>
          <cell r="Y3467">
            <v>6302.93</v>
          </cell>
          <cell r="Z3467">
            <v>0.5</v>
          </cell>
          <cell r="AA3467">
            <v>3151.4650000000001</v>
          </cell>
          <cell r="AB3467"/>
        </row>
        <row r="3468">
          <cell r="C3468">
            <v>0</v>
          </cell>
          <cell r="D3468">
            <v>2</v>
          </cell>
          <cell r="E3468">
            <v>0</v>
          </cell>
          <cell r="F3468">
            <v>0</v>
          </cell>
          <cell r="H3468">
            <v>0</v>
          </cell>
          <cell r="O3468">
            <v>223303</v>
          </cell>
          <cell r="P3468" t="str">
            <v>2018/184-0137-01</v>
          </cell>
          <cell r="Q3468" t="str">
            <v>EST MESA LATERAL DUOMO (LACA NUDE)</v>
          </cell>
          <cell r="R3468"/>
          <cell r="S3468"/>
          <cell r="T3468">
            <v>0.6</v>
          </cell>
          <cell r="U3468">
            <v>0</v>
          </cell>
          <cell r="V3468">
            <v>0.6</v>
          </cell>
          <cell r="W3468">
            <v>0.6</v>
          </cell>
          <cell r="X3468" t="str">
            <v>EST MESA LATERAL DUOMO (LACA NUDE) - Ø0,6x0,6H</v>
          </cell>
          <cell r="Y3468">
            <v>10214.4</v>
          </cell>
          <cell r="Z3468">
            <v>0.5</v>
          </cell>
          <cell r="AA3468">
            <v>5107.2</v>
          </cell>
          <cell r="AB3468"/>
        </row>
        <row r="3469">
          <cell r="C3469">
            <v>0</v>
          </cell>
          <cell r="D3469">
            <v>6</v>
          </cell>
          <cell r="E3469">
            <v>0</v>
          </cell>
          <cell r="F3469">
            <v>0</v>
          </cell>
          <cell r="H3469">
            <v>0</v>
          </cell>
          <cell r="O3469">
            <v>226598</v>
          </cell>
          <cell r="P3469" t="str">
            <v>2018/233-0031-01</v>
          </cell>
          <cell r="Q3469" t="str">
            <v>EST CADEIRA EVO (MADEIRA TAUARI MEL)</v>
          </cell>
          <cell r="R3469"/>
          <cell r="S3469"/>
          <cell r="T3469">
            <v>0.49</v>
          </cell>
          <cell r="U3469">
            <v>0.47</v>
          </cell>
          <cell r="V3469">
            <v>0.82</v>
          </cell>
          <cell r="W3469">
            <v>0</v>
          </cell>
          <cell r="X3469" t="str">
            <v>EST CADEIRA EVO (MADEIRA TAUARI MEL) - 0,49x0,47x0,82H</v>
          </cell>
          <cell r="Y3469">
            <v>5314.67</v>
          </cell>
          <cell r="Z3469">
            <v>0.5</v>
          </cell>
          <cell r="AA3469">
            <v>2657.335</v>
          </cell>
          <cell r="AB3469"/>
        </row>
        <row r="3470">
          <cell r="C3470">
            <v>0</v>
          </cell>
          <cell r="D3470">
            <v>6</v>
          </cell>
          <cell r="E3470">
            <v>0</v>
          </cell>
          <cell r="F3470">
            <v>0</v>
          </cell>
          <cell r="H3470">
            <v>0</v>
          </cell>
          <cell r="O3470">
            <v>226598</v>
          </cell>
          <cell r="P3470" t="str">
            <v>2018/233-0032-01</v>
          </cell>
          <cell r="Q3470" t="str">
            <v>EST CADEIRA EVO (MADEIRA TAUARI MEL)</v>
          </cell>
          <cell r="R3470"/>
          <cell r="S3470"/>
          <cell r="T3470">
            <v>0.49</v>
          </cell>
          <cell r="U3470">
            <v>0.47</v>
          </cell>
          <cell r="V3470">
            <v>0.82</v>
          </cell>
          <cell r="W3470">
            <v>0</v>
          </cell>
          <cell r="X3470" t="str">
            <v>EST CADEIRA EVO (MADEIRA TAUARI MEL) - 0,49x0,47x0,82H</v>
          </cell>
          <cell r="Y3470">
            <v>5314.67</v>
          </cell>
          <cell r="Z3470">
            <v>0.5</v>
          </cell>
          <cell r="AA3470">
            <v>2657.335</v>
          </cell>
          <cell r="AB3470"/>
        </row>
        <row r="3471">
          <cell r="C3471">
            <v>0</v>
          </cell>
          <cell r="D3471">
            <v>6</v>
          </cell>
          <cell r="E3471">
            <v>0</v>
          </cell>
          <cell r="F3471">
            <v>0</v>
          </cell>
          <cell r="H3471">
            <v>0</v>
          </cell>
          <cell r="O3471">
            <v>226598</v>
          </cell>
          <cell r="P3471" t="str">
            <v>2018/233-0038-01</v>
          </cell>
          <cell r="Q3471" t="str">
            <v>EST CADEIRA EVO (MADEIRA TAUARI MEL)</v>
          </cell>
          <cell r="R3471"/>
          <cell r="S3471"/>
          <cell r="T3471">
            <v>0.49</v>
          </cell>
          <cell r="U3471">
            <v>0.47</v>
          </cell>
          <cell r="V3471">
            <v>0.82</v>
          </cell>
          <cell r="W3471">
            <v>0</v>
          </cell>
          <cell r="X3471" t="str">
            <v>EST CADEIRA EVO (MADEIRA TAUARI MEL) - 0,49x0,47x0,82H</v>
          </cell>
          <cell r="Y3471">
            <v>5314.67</v>
          </cell>
          <cell r="Z3471">
            <v>0.5</v>
          </cell>
          <cell r="AA3471">
            <v>2657.335</v>
          </cell>
          <cell r="AB3471"/>
        </row>
        <row r="3472">
          <cell r="C3472">
            <v>0</v>
          </cell>
          <cell r="D3472">
            <v>6</v>
          </cell>
          <cell r="E3472">
            <v>0</v>
          </cell>
          <cell r="F3472">
            <v>0</v>
          </cell>
          <cell r="H3472">
            <v>0</v>
          </cell>
          <cell r="O3472">
            <v>226598</v>
          </cell>
          <cell r="P3472" t="str">
            <v>2018/233-0039-01</v>
          </cell>
          <cell r="Q3472" t="str">
            <v>EST CADEIRA EVO (MADEIRA TAUARI MEL)</v>
          </cell>
          <cell r="R3472"/>
          <cell r="S3472"/>
          <cell r="T3472">
            <v>0.49</v>
          </cell>
          <cell r="U3472">
            <v>0.47</v>
          </cell>
          <cell r="V3472">
            <v>0.82</v>
          </cell>
          <cell r="W3472">
            <v>0</v>
          </cell>
          <cell r="X3472" t="str">
            <v>EST CADEIRA EVO (MADEIRA TAUARI MEL) - 0,49x0,47x0,82H</v>
          </cell>
          <cell r="Y3472">
            <v>5314.67</v>
          </cell>
          <cell r="Z3472">
            <v>0.5</v>
          </cell>
          <cell r="AA3472">
            <v>2657.335</v>
          </cell>
          <cell r="AB3472"/>
        </row>
        <row r="3473">
          <cell r="C3473">
            <v>2</v>
          </cell>
          <cell r="D3473">
            <v>1</v>
          </cell>
          <cell r="E3473">
            <v>0</v>
          </cell>
          <cell r="F3473">
            <v>0</v>
          </cell>
          <cell r="H3473">
            <v>0</v>
          </cell>
          <cell r="O3473">
            <v>229324</v>
          </cell>
          <cell r="P3473" t="str">
            <v>2021/295-0043-01</v>
          </cell>
          <cell r="Q3473" t="str">
            <v>EST MESA LATERAL SUN FREIJO EBANIZ/LATAO POLIDO</v>
          </cell>
          <cell r="R3473"/>
          <cell r="S3473"/>
          <cell r="T3473">
            <v>0.36</v>
          </cell>
          <cell r="U3473">
            <v>0</v>
          </cell>
          <cell r="V3473">
            <v>0.55000000000000004</v>
          </cell>
          <cell r="W3473">
            <v>0.36</v>
          </cell>
          <cell r="X3473" t="str">
            <v>EST MESA LATERAL SUN FREIJO EBANIZ/LATAO POLIDO - Ø0,36x0,55H</v>
          </cell>
          <cell r="Y3473">
            <v>10729.57</v>
          </cell>
          <cell r="Z3473">
            <v>0.5</v>
          </cell>
          <cell r="AA3473">
            <v>5364.7849999999999</v>
          </cell>
          <cell r="AB3473"/>
        </row>
        <row r="3474">
          <cell r="C3474">
            <v>0</v>
          </cell>
          <cell r="D3474">
            <v>1</v>
          </cell>
          <cell r="E3474">
            <v>0</v>
          </cell>
          <cell r="F3474">
            <v>0</v>
          </cell>
          <cell r="H3474">
            <v>1</v>
          </cell>
          <cell r="O3474">
            <v>255058</v>
          </cell>
          <cell r="P3474" t="str">
            <v>2020/066-0051-01</v>
          </cell>
          <cell r="Q3474" t="str">
            <v>EST MESA CENTRO NOMAN (TP LAM FAJO) (AUT FRAPE)</v>
          </cell>
          <cell r="R3474"/>
          <cell r="S3474"/>
          <cell r="T3474">
            <v>1.04</v>
          </cell>
          <cell r="U3474">
            <v>1.04</v>
          </cell>
          <cell r="V3474">
            <v>0.3</v>
          </cell>
          <cell r="W3474">
            <v>0</v>
          </cell>
          <cell r="X3474" t="str">
            <v>EST MESA CENTRO NOMAN (TP LAM FAJO) (AUT FRAPE) - 1,04x1,04x0,3H</v>
          </cell>
          <cell r="Y3474">
            <v>16339.34</v>
          </cell>
          <cell r="Z3474">
            <v>0.5</v>
          </cell>
          <cell r="AA3474">
            <v>8169.67</v>
          </cell>
          <cell r="AB3474"/>
        </row>
        <row r="3475">
          <cell r="C3475">
            <v>0</v>
          </cell>
          <cell r="D3475">
            <v>1</v>
          </cell>
          <cell r="E3475">
            <v>0</v>
          </cell>
          <cell r="F3475">
            <v>0</v>
          </cell>
          <cell r="H3475">
            <v>0</v>
          </cell>
          <cell r="O3475">
            <v>273332</v>
          </cell>
          <cell r="P3475" t="str">
            <v>2021/063-0031-01</v>
          </cell>
          <cell r="Q3475" t="str">
            <v>EST MESA JANTAR PENJAB (LAMINA 2 LOURO PARDO)</v>
          </cell>
          <cell r="R3475"/>
          <cell r="S3475"/>
          <cell r="T3475">
            <v>3</v>
          </cell>
          <cell r="U3475">
            <v>1.1000000000000001</v>
          </cell>
          <cell r="V3475">
            <v>0.74</v>
          </cell>
          <cell r="W3475">
            <v>0</v>
          </cell>
          <cell r="X3475" t="str">
            <v>EST MESA JANTAR PENJAB (LAMINA 2 LOURO PARDO) - 3x1,1x0,74H</v>
          </cell>
          <cell r="Y3475">
            <v>62690.879999999997</v>
          </cell>
          <cell r="Z3475">
            <v>0.5</v>
          </cell>
          <cell r="AA3475">
            <v>31345.439999999999</v>
          </cell>
          <cell r="AB3475"/>
        </row>
        <row r="3476">
          <cell r="C3476">
            <v>1</v>
          </cell>
          <cell r="D3476">
            <v>2</v>
          </cell>
          <cell r="E3476">
            <v>0</v>
          </cell>
          <cell r="F3476">
            <v>0</v>
          </cell>
          <cell r="H3476">
            <v>0</v>
          </cell>
          <cell r="O3476">
            <v>274743</v>
          </cell>
          <cell r="P3476" t="str">
            <v>2021/116-0056-01</v>
          </cell>
          <cell r="Q3476" t="str">
            <v>EST MESA LATERAL ALEXANDRIA (TP MARM NERO) (BS MTZ CAPUCC)</v>
          </cell>
          <cell r="R3476"/>
          <cell r="S3476"/>
          <cell r="T3476">
            <v>0.4</v>
          </cell>
          <cell r="U3476">
            <v>0</v>
          </cell>
          <cell r="V3476">
            <v>0.5</v>
          </cell>
          <cell r="W3476">
            <v>0.4</v>
          </cell>
          <cell r="X3476" t="str">
            <v>EST MESA LATERAL ALEXANDRIA (TP MARM NERO) (BS MTZ CAPUCC) - Ø0,4x0,5H</v>
          </cell>
          <cell r="Y3476">
            <v>12211.81</v>
          </cell>
          <cell r="Z3476">
            <v>0.35</v>
          </cell>
          <cell r="AA3476">
            <v>7937.6764999999996</v>
          </cell>
          <cell r="AB3476"/>
        </row>
        <row r="3477">
          <cell r="C3477">
            <v>0</v>
          </cell>
          <cell r="D3477">
            <v>1</v>
          </cell>
          <cell r="E3477">
            <v>0</v>
          </cell>
          <cell r="F3477">
            <v>0</v>
          </cell>
          <cell r="H3477">
            <v>1</v>
          </cell>
          <cell r="O3477">
            <v>274941</v>
          </cell>
          <cell r="P3477" t="str">
            <v>2021/091-0020-01</v>
          </cell>
          <cell r="Q3477" t="str">
            <v>EST MESA CENTRO AYLA H35 (SUP1 PT) (TP CRV PT/TS CORTEN) LT</v>
          </cell>
          <cell r="R3477"/>
          <cell r="S3477"/>
          <cell r="T3477">
            <v>1.6</v>
          </cell>
          <cell r="U3477">
            <v>0.8</v>
          </cell>
          <cell r="V3477">
            <v>0.35</v>
          </cell>
          <cell r="W3477">
            <v>0</v>
          </cell>
          <cell r="X3477" t="str">
            <v>EST MESA CENTRO AYLA H35 (SUP1 PT) (TP CRV PT/TS CORTEN) LT - 1,6x0,8x0,35H</v>
          </cell>
          <cell r="Y3477">
            <v>8653.17</v>
          </cell>
          <cell r="Z3477">
            <v>0.5</v>
          </cell>
          <cell r="AA3477">
            <v>4326.585</v>
          </cell>
          <cell r="AB3477"/>
        </row>
        <row r="3478">
          <cell r="C3478">
            <v>0</v>
          </cell>
          <cell r="D3478">
            <v>2</v>
          </cell>
          <cell r="E3478">
            <v>1</v>
          </cell>
          <cell r="F3478">
            <v>0</v>
          </cell>
          <cell r="H3478">
            <v>1</v>
          </cell>
          <cell r="O3478">
            <v>275032</v>
          </cell>
          <cell r="P3478" t="str">
            <v>2021/162-0048-01</v>
          </cell>
          <cell r="Q3478" t="str">
            <v>EST POLTRONA CAIOBA GIRATORIA (TECIDO LINHO MISTO BEGE)</v>
          </cell>
          <cell r="R3478"/>
          <cell r="S3478"/>
          <cell r="T3478">
            <v>0.64</v>
          </cell>
          <cell r="U3478">
            <v>0.63</v>
          </cell>
          <cell r="V3478">
            <v>0.83</v>
          </cell>
          <cell r="W3478">
            <v>0</v>
          </cell>
          <cell r="X3478" t="str">
            <v>EST POLTRONA CAIOBA GIRATORIA (TECIDO LINHO MISTO BEGE) - 0,64x0,63x0,83H</v>
          </cell>
          <cell r="Y3478">
            <v>10240.91</v>
          </cell>
          <cell r="Z3478">
            <v>0.5</v>
          </cell>
          <cell r="AA3478">
            <v>5120.4549999999999</v>
          </cell>
          <cell r="AB3478"/>
        </row>
        <row r="3479">
          <cell r="C3479">
            <v>0</v>
          </cell>
          <cell r="D3479">
            <v>2</v>
          </cell>
          <cell r="E3479">
            <v>1</v>
          </cell>
          <cell r="F3479">
            <v>0</v>
          </cell>
          <cell r="H3479">
            <v>1</v>
          </cell>
          <cell r="O3479">
            <v>275032</v>
          </cell>
          <cell r="P3479" t="str">
            <v>2021/162-0050-01</v>
          </cell>
          <cell r="Q3479" t="str">
            <v>EST POLTRONA CAIOBA GIRATORIA (TECIDO LINHO MISTO BEGE)</v>
          </cell>
          <cell r="R3479"/>
          <cell r="S3479"/>
          <cell r="T3479">
            <v>0.64</v>
          </cell>
          <cell r="U3479">
            <v>0.63</v>
          </cell>
          <cell r="V3479">
            <v>0.83</v>
          </cell>
          <cell r="W3479">
            <v>0</v>
          </cell>
          <cell r="X3479" t="str">
            <v>EST POLTRONA CAIOBA GIRATORIA (TECIDO LINHO MISTO BEGE) - 0,64x0,63x0,83H</v>
          </cell>
          <cell r="Y3479">
            <v>10240.91</v>
          </cell>
          <cell r="Z3479">
            <v>0.5</v>
          </cell>
          <cell r="AA3479">
            <v>5120.4549999999999</v>
          </cell>
          <cell r="AB3479"/>
        </row>
        <row r="3480">
          <cell r="C3480">
            <v>0</v>
          </cell>
          <cell r="D3480">
            <v>6</v>
          </cell>
          <cell r="E3480">
            <v>0</v>
          </cell>
          <cell r="F3480">
            <v>0</v>
          </cell>
          <cell r="H3480">
            <v>0</v>
          </cell>
          <cell r="O3480">
            <v>278066</v>
          </cell>
          <cell r="P3480" t="str">
            <v>2021/182-0055-01</v>
          </cell>
          <cell r="Q3480" t="str">
            <v>EST CADEIRA RENDEIRA (FX 8105/TELA SEXT TING) (BLACK MATT)</v>
          </cell>
          <cell r="R3480"/>
          <cell r="S3480"/>
          <cell r="T3480">
            <v>0.48</v>
          </cell>
          <cell r="U3480">
            <v>0.59</v>
          </cell>
          <cell r="V3480">
            <v>0.8</v>
          </cell>
          <cell r="W3480">
            <v>0</v>
          </cell>
          <cell r="X3480" t="str">
            <v>EST CADEIRA RENDEIRA (FX 8105/TELA SEXT TING) (BLACK MATT) - 0,48x0,59x0,8H</v>
          </cell>
          <cell r="Y3480">
            <v>7387.61</v>
          </cell>
          <cell r="Z3480">
            <v>0.5</v>
          </cell>
          <cell r="AA3480">
            <v>3693.8049999999998</v>
          </cell>
          <cell r="AB3480"/>
        </row>
        <row r="3481">
          <cell r="C3481">
            <v>0</v>
          </cell>
          <cell r="D3481">
            <v>6</v>
          </cell>
          <cell r="E3481">
            <v>0</v>
          </cell>
          <cell r="F3481">
            <v>0</v>
          </cell>
          <cell r="H3481">
            <v>0</v>
          </cell>
          <cell r="O3481">
            <v>278066</v>
          </cell>
          <cell r="P3481" t="str">
            <v>2021/182-0056-01</v>
          </cell>
          <cell r="Q3481" t="str">
            <v>EST CADEIRA RENDEIRA (FX 8105/TELA SEXT TING) (BLACK MATT)</v>
          </cell>
          <cell r="R3481"/>
          <cell r="S3481"/>
          <cell r="T3481">
            <v>0.48</v>
          </cell>
          <cell r="U3481">
            <v>0.59</v>
          </cell>
          <cell r="V3481">
            <v>0.8</v>
          </cell>
          <cell r="W3481">
            <v>0</v>
          </cell>
          <cell r="X3481" t="str">
            <v>EST CADEIRA RENDEIRA (FX 8105/TELA SEXT TING) (BLACK MATT) - 0,48x0,59x0,8H</v>
          </cell>
          <cell r="Y3481">
            <v>7387.61</v>
          </cell>
          <cell r="Z3481">
            <v>0.5</v>
          </cell>
          <cell r="AA3481">
            <v>3693.8049999999998</v>
          </cell>
          <cell r="AB3481"/>
        </row>
        <row r="3482">
          <cell r="C3482">
            <v>0</v>
          </cell>
          <cell r="D3482">
            <v>6</v>
          </cell>
          <cell r="E3482">
            <v>0</v>
          </cell>
          <cell r="F3482">
            <v>0</v>
          </cell>
          <cell r="H3482">
            <v>0</v>
          </cell>
          <cell r="O3482">
            <v>278066</v>
          </cell>
          <cell r="P3482" t="str">
            <v>2021/182-0057-01</v>
          </cell>
          <cell r="Q3482" t="str">
            <v>EST CADEIRA RENDEIRA (FX 8105/TELA SEXT TING) (BLACK MATT)</v>
          </cell>
          <cell r="R3482"/>
          <cell r="S3482"/>
          <cell r="T3482">
            <v>0.48</v>
          </cell>
          <cell r="U3482">
            <v>0.59</v>
          </cell>
          <cell r="V3482">
            <v>0.8</v>
          </cell>
          <cell r="W3482">
            <v>0</v>
          </cell>
          <cell r="X3482" t="str">
            <v>EST CADEIRA RENDEIRA (FX 8105/TELA SEXT TING) (BLACK MATT) - 0,48x0,59x0,8H</v>
          </cell>
          <cell r="Y3482">
            <v>7387.61</v>
          </cell>
          <cell r="Z3482">
            <v>0.5</v>
          </cell>
          <cell r="AA3482">
            <v>3693.8049999999998</v>
          </cell>
          <cell r="AB3482"/>
        </row>
        <row r="3483">
          <cell r="C3483">
            <v>0</v>
          </cell>
          <cell r="D3483">
            <v>6</v>
          </cell>
          <cell r="E3483">
            <v>0</v>
          </cell>
          <cell r="F3483">
            <v>0</v>
          </cell>
          <cell r="H3483">
            <v>0</v>
          </cell>
          <cell r="O3483">
            <v>278066</v>
          </cell>
          <cell r="P3483" t="str">
            <v>2021/182-0058-01</v>
          </cell>
          <cell r="Q3483" t="str">
            <v>EST CADEIRA RENDEIRA (FX 8105/TELA SEXT TING) (BLACK MATT)</v>
          </cell>
          <cell r="R3483"/>
          <cell r="S3483"/>
          <cell r="T3483">
            <v>0.48</v>
          </cell>
          <cell r="U3483">
            <v>0.59</v>
          </cell>
          <cell r="V3483">
            <v>0.8</v>
          </cell>
          <cell r="W3483">
            <v>0</v>
          </cell>
          <cell r="X3483" t="str">
            <v>EST CADEIRA RENDEIRA (FX 8105/TELA SEXT TING) (BLACK MATT) - 0,48x0,59x0,8H</v>
          </cell>
          <cell r="Y3483">
            <v>7387.61</v>
          </cell>
          <cell r="Z3483">
            <v>0.5</v>
          </cell>
          <cell r="AA3483">
            <v>3693.8049999999998</v>
          </cell>
          <cell r="AB3483"/>
        </row>
        <row r="3484">
          <cell r="C3484">
            <v>0</v>
          </cell>
          <cell r="D3484">
            <v>6</v>
          </cell>
          <cell r="E3484">
            <v>0</v>
          </cell>
          <cell r="F3484">
            <v>0</v>
          </cell>
          <cell r="H3484">
            <v>0</v>
          </cell>
          <cell r="O3484">
            <v>278066</v>
          </cell>
          <cell r="P3484" t="str">
            <v>2021/182-0059-01</v>
          </cell>
          <cell r="Q3484" t="str">
            <v>EST CADEIRA RENDEIRA (FX 8105/TELA SEXT TING) (BLACK MATT)</v>
          </cell>
          <cell r="R3484"/>
          <cell r="S3484"/>
          <cell r="T3484">
            <v>0.48</v>
          </cell>
          <cell r="U3484">
            <v>0.59</v>
          </cell>
          <cell r="V3484">
            <v>0.8</v>
          </cell>
          <cell r="W3484">
            <v>0</v>
          </cell>
          <cell r="X3484" t="str">
            <v>EST CADEIRA RENDEIRA (FX 8105/TELA SEXT TING) (BLACK MATT) - 0,48x0,59x0,8H</v>
          </cell>
          <cell r="Y3484">
            <v>7387.61</v>
          </cell>
          <cell r="Z3484">
            <v>0.5</v>
          </cell>
          <cell r="AA3484">
            <v>3693.8049999999998</v>
          </cell>
          <cell r="AB3484"/>
        </row>
        <row r="3485">
          <cell r="C3485">
            <v>0</v>
          </cell>
          <cell r="D3485">
            <v>6</v>
          </cell>
          <cell r="E3485">
            <v>0</v>
          </cell>
          <cell r="F3485">
            <v>0</v>
          </cell>
          <cell r="H3485">
            <v>0</v>
          </cell>
          <cell r="O3485">
            <v>278066</v>
          </cell>
          <cell r="P3485" t="str">
            <v>2021/182-0060-01</v>
          </cell>
          <cell r="Q3485" t="str">
            <v>EST CADEIRA RENDEIRA (FX 8105/TELA SEXT TING) (BLACK MATT)</v>
          </cell>
          <cell r="R3485"/>
          <cell r="S3485"/>
          <cell r="T3485">
            <v>0.48</v>
          </cell>
          <cell r="U3485">
            <v>0.59</v>
          </cell>
          <cell r="V3485">
            <v>0.8</v>
          </cell>
          <cell r="W3485">
            <v>0</v>
          </cell>
          <cell r="X3485" t="str">
            <v>EST CADEIRA RENDEIRA (FX 8105/TELA SEXT TING) (BLACK MATT) - 0,48x0,59x0,8H</v>
          </cell>
          <cell r="Y3485">
            <v>7387.61</v>
          </cell>
          <cell r="Z3485">
            <v>0.5</v>
          </cell>
          <cell r="AA3485">
            <v>3693.8049999999998</v>
          </cell>
          <cell r="AB3485"/>
        </row>
        <row r="3486">
          <cell r="C3486">
            <v>2</v>
          </cell>
          <cell r="D3486">
            <v>2</v>
          </cell>
          <cell r="E3486">
            <v>0</v>
          </cell>
          <cell r="F3486">
            <v>0</v>
          </cell>
          <cell r="H3486">
            <v>0</v>
          </cell>
          <cell r="O3486">
            <v>327116</v>
          </cell>
          <cell r="P3486" t="str">
            <v>2022/237-0029-01</v>
          </cell>
          <cell r="Q3486" t="str">
            <v>EST POLTRONA ALBA VERNIZ NOZES) FX E5132</v>
          </cell>
          <cell r="R3486"/>
          <cell r="S3486"/>
          <cell r="T3486">
            <v>0.63</v>
          </cell>
          <cell r="U3486">
            <v>0.79</v>
          </cell>
          <cell r="V3486">
            <v>0.76</v>
          </cell>
          <cell r="W3486">
            <v>0</v>
          </cell>
          <cell r="X3486" t="str">
            <v>EST POLTRONA ALBA VERNIZ NOZES) FX E5132 - 0,63x0,79x0,76H</v>
          </cell>
          <cell r="Y3486">
            <v>9235.17</v>
          </cell>
          <cell r="Z3486">
            <v>0.5</v>
          </cell>
          <cell r="AA3486">
            <v>4617.585</v>
          </cell>
          <cell r="AB3486"/>
        </row>
        <row r="3487">
          <cell r="C3487">
            <v>2</v>
          </cell>
          <cell r="D3487">
            <v>2</v>
          </cell>
          <cell r="E3487">
            <v>0</v>
          </cell>
          <cell r="F3487">
            <v>0</v>
          </cell>
          <cell r="H3487">
            <v>0</v>
          </cell>
          <cell r="O3487">
            <v>327116</v>
          </cell>
          <cell r="P3487" t="str">
            <v>2022/237-0030-01</v>
          </cell>
          <cell r="Q3487" t="str">
            <v>EST POLTRONA ALBA VERNIZ NOZES) FX E5132</v>
          </cell>
          <cell r="R3487"/>
          <cell r="S3487"/>
          <cell r="T3487">
            <v>0.63</v>
          </cell>
          <cell r="U3487">
            <v>0.79</v>
          </cell>
          <cell r="V3487">
            <v>0.76</v>
          </cell>
          <cell r="W3487">
            <v>0</v>
          </cell>
          <cell r="X3487" t="str">
            <v>EST POLTRONA ALBA VERNIZ NOZES) FX E5132 - 0,63x0,79x0,76H</v>
          </cell>
          <cell r="Y3487">
            <v>9235.17</v>
          </cell>
          <cell r="Z3487">
            <v>0.5</v>
          </cell>
          <cell r="AA3487">
            <v>4617.585</v>
          </cell>
          <cell r="AB3487"/>
        </row>
        <row r="3488">
          <cell r="C3488">
            <v>0</v>
          </cell>
          <cell r="D3488">
            <v>1</v>
          </cell>
          <cell r="E3488">
            <v>0</v>
          </cell>
          <cell r="F3488">
            <v>0</v>
          </cell>
          <cell r="H3488">
            <v>0</v>
          </cell>
          <cell r="O3488">
            <v>377940</v>
          </cell>
          <cell r="P3488" t="str">
            <v>2024/184-0095-01</v>
          </cell>
          <cell r="Q3488" t="str">
            <v>EST SOFA CLEAN (B06) (2AS) COURO CH ENV 05</v>
          </cell>
          <cell r="R3488"/>
          <cell r="S3488"/>
          <cell r="T3488">
            <v>2.12</v>
          </cell>
          <cell r="U3488">
            <v>1.1499999999999999</v>
          </cell>
          <cell r="V3488">
            <v>0.8</v>
          </cell>
          <cell r="W3488">
            <v>0</v>
          </cell>
          <cell r="X3488" t="str">
            <v>EST SOFA CLEAN (B06) (2AS) COURO CH ENV 05 - 2,12x1,15x0,8H</v>
          </cell>
          <cell r="Y3488">
            <v>43824.61</v>
          </cell>
          <cell r="Z3488">
            <v>0.5</v>
          </cell>
          <cell r="AA3488">
            <v>21912.305</v>
          </cell>
          <cell r="AB3488"/>
        </row>
        <row r="3489">
          <cell r="C3489">
            <v>0</v>
          </cell>
          <cell r="D3489">
            <v>1</v>
          </cell>
          <cell r="E3489">
            <v>0</v>
          </cell>
          <cell r="F3489">
            <v>0</v>
          </cell>
          <cell r="H3489">
            <v>0</v>
          </cell>
          <cell r="O3489">
            <v>400394</v>
          </cell>
          <cell r="P3489" t="str">
            <v>2025/015-0003-01</v>
          </cell>
          <cell r="Q3489" t="str">
            <v>EST MESA JANTAR ELISE (LAMINA 2 NOGUEIRA)</v>
          </cell>
          <cell r="R3489"/>
          <cell r="S3489"/>
          <cell r="T3489">
            <v>2.2000000000000002</v>
          </cell>
          <cell r="U3489">
            <v>1.1000000000000001</v>
          </cell>
          <cell r="V3489">
            <v>0.75</v>
          </cell>
          <cell r="W3489">
            <v>0</v>
          </cell>
          <cell r="X3489" t="str">
            <v>EST MESA JANTAR ELISE (LAMINA 2 NOGUEIRA) - 2,2x1,1x0,75H</v>
          </cell>
          <cell r="Y3489">
            <v>29948.84</v>
          </cell>
          <cell r="Z3489">
            <v>0.35</v>
          </cell>
          <cell r="AA3489">
            <v>19466.745999999999</v>
          </cell>
          <cell r="AB3489"/>
        </row>
        <row r="3490">
          <cell r="C3490">
            <v>0</v>
          </cell>
          <cell r="D3490">
            <v>0</v>
          </cell>
          <cell r="E3490">
            <v>6</v>
          </cell>
          <cell r="F3490">
            <v>0</v>
          </cell>
          <cell r="H3490">
            <v>0</v>
          </cell>
          <cell r="O3490">
            <v>371336</v>
          </cell>
          <cell r="P3490" t="str">
            <v>2023/220-0014-01</v>
          </cell>
          <cell r="Q3490" t="str">
            <v>EST CADEIRA JUSSARA (AMENDOA) TC PREMIUM P016</v>
          </cell>
          <cell r="R3490"/>
          <cell r="S3490"/>
          <cell r="T3490">
            <v>0.48</v>
          </cell>
          <cell r="U3490">
            <v>0.6</v>
          </cell>
          <cell r="V3490">
            <v>0.89</v>
          </cell>
          <cell r="W3490">
            <v>0</v>
          </cell>
          <cell r="X3490" t="str">
            <v>EST CADEIRA JUSSARA (AMENDOA) TC PREMIUM P016 - 0,48x0,6x0,89H</v>
          </cell>
          <cell r="Y3490">
            <v>4282.6099999999997</v>
          </cell>
          <cell r="Z3490">
            <v>0.35</v>
          </cell>
          <cell r="AA3490">
            <v>2783.6965</v>
          </cell>
          <cell r="AB3490"/>
        </row>
        <row r="3491">
          <cell r="C3491">
            <v>1</v>
          </cell>
          <cell r="D3491">
            <v>0</v>
          </cell>
          <cell r="E3491">
            <v>1</v>
          </cell>
          <cell r="F3491">
            <v>0</v>
          </cell>
          <cell r="H3491">
            <v>0</v>
          </cell>
          <cell r="O3491">
            <v>231996</v>
          </cell>
          <cell r="P3491" t="str">
            <v>2019/091-0032-01</v>
          </cell>
          <cell r="Q3491" t="str">
            <v>EST MESA JANTAR STEEL (TP CLEAR BRANCO) BS LAM 3 LOURO PARDO</v>
          </cell>
          <cell r="R3491"/>
          <cell r="S3491"/>
          <cell r="T3491">
            <v>2.7</v>
          </cell>
          <cell r="U3491">
            <v>1.2</v>
          </cell>
          <cell r="V3491">
            <v>0.76</v>
          </cell>
          <cell r="W3491">
            <v>0</v>
          </cell>
          <cell r="X3491" t="str">
            <v>EST MESA JANTAR STEEL (TP CLEAR BRANCO) BS LAM 3 LOURO PARDO - 2,7x1,2x0,76H</v>
          </cell>
          <cell r="Y3491">
            <v>45779.42</v>
          </cell>
          <cell r="Z3491">
            <v>0.5</v>
          </cell>
          <cell r="AA3491">
            <v>22889.71</v>
          </cell>
          <cell r="AB3491"/>
        </row>
        <row r="3492">
          <cell r="C3492">
            <v>0</v>
          </cell>
          <cell r="D3492">
            <v>0</v>
          </cell>
          <cell r="E3492">
            <v>1</v>
          </cell>
          <cell r="F3492">
            <v>0</v>
          </cell>
          <cell r="H3492">
            <v>0</v>
          </cell>
          <cell r="O3492">
            <v>387682</v>
          </cell>
          <cell r="P3492" t="str">
            <v>2024/194-0006-01</v>
          </cell>
          <cell r="Q3492" t="str">
            <v>EST BANCO ORNI (TC 3360) (COURO C5309) NOGAL</v>
          </cell>
          <cell r="R3492"/>
          <cell r="S3492"/>
          <cell r="T3492">
            <v>1.8</v>
          </cell>
          <cell r="U3492">
            <v>0.45</v>
          </cell>
          <cell r="V3492">
            <v>0.45</v>
          </cell>
          <cell r="W3492">
            <v>0</v>
          </cell>
          <cell r="X3492" t="str">
            <v>EST BANCO ORNI (TC 3360) (COURO C5309) NOGAL - 1,8x0,45x0,45H</v>
          </cell>
          <cell r="Y3492">
            <v>8101.5</v>
          </cell>
          <cell r="Z3492">
            <v>0.35</v>
          </cell>
          <cell r="AA3492">
            <v>5265.9750000000004</v>
          </cell>
          <cell r="AB3492"/>
        </row>
        <row r="3493">
          <cell r="C3493">
            <v>0</v>
          </cell>
          <cell r="D3493">
            <v>0</v>
          </cell>
          <cell r="E3493">
            <v>6</v>
          </cell>
          <cell r="F3493">
            <v>0</v>
          </cell>
          <cell r="H3493">
            <v>0</v>
          </cell>
          <cell r="O3493">
            <v>371336</v>
          </cell>
          <cell r="P3493" t="str">
            <v>2023/220-0015-01</v>
          </cell>
          <cell r="Q3493" t="str">
            <v>EST CADEIRA JUSSARA (AMENDOA) TC PREMIUM P016</v>
          </cell>
          <cell r="R3493"/>
          <cell r="S3493"/>
          <cell r="T3493">
            <v>0.48</v>
          </cell>
          <cell r="U3493">
            <v>0.6</v>
          </cell>
          <cell r="V3493">
            <v>0.89</v>
          </cell>
          <cell r="W3493">
            <v>0</v>
          </cell>
          <cell r="X3493" t="str">
            <v>EST CADEIRA JUSSARA (AMENDOA) TC PREMIUM P016 - 0,48x0,6x0,89H</v>
          </cell>
          <cell r="Y3493">
            <v>4282.6099999999997</v>
          </cell>
          <cell r="Z3493">
            <v>0.35</v>
          </cell>
          <cell r="AA3493">
            <v>2783.6965</v>
          </cell>
          <cell r="AB3493"/>
        </row>
        <row r="3494">
          <cell r="C3494">
            <v>0</v>
          </cell>
          <cell r="D3494">
            <v>0</v>
          </cell>
          <cell r="E3494">
            <v>6</v>
          </cell>
          <cell r="F3494">
            <v>0</v>
          </cell>
          <cell r="H3494">
            <v>0</v>
          </cell>
          <cell r="O3494">
            <v>371336</v>
          </cell>
          <cell r="P3494" t="str">
            <v>2023/220-0016-01</v>
          </cell>
          <cell r="Q3494" t="str">
            <v>EST CADEIRA JUSSARA (AMENDOA) TC PREMIUM P016</v>
          </cell>
          <cell r="R3494"/>
          <cell r="S3494"/>
          <cell r="T3494">
            <v>0.48</v>
          </cell>
          <cell r="U3494">
            <v>0.6</v>
          </cell>
          <cell r="V3494">
            <v>0.89</v>
          </cell>
          <cell r="W3494">
            <v>0</v>
          </cell>
          <cell r="X3494" t="str">
            <v>EST CADEIRA JUSSARA (AMENDOA) TC PREMIUM P016 - 0,48x0,6x0,89H</v>
          </cell>
          <cell r="Y3494">
            <v>4282.6099999999997</v>
          </cell>
          <cell r="Z3494">
            <v>0.35</v>
          </cell>
          <cell r="AA3494">
            <v>2783.6965</v>
          </cell>
          <cell r="AB3494"/>
        </row>
        <row r="3495">
          <cell r="C3495">
            <v>0</v>
          </cell>
          <cell r="D3495">
            <v>0</v>
          </cell>
          <cell r="E3495">
            <v>6</v>
          </cell>
          <cell r="F3495">
            <v>0</v>
          </cell>
          <cell r="H3495">
            <v>0</v>
          </cell>
          <cell r="O3495">
            <v>371336</v>
          </cell>
          <cell r="P3495" t="str">
            <v>2023/220-0017-01</v>
          </cell>
          <cell r="Q3495" t="str">
            <v>EST CADEIRA JUSSARA (AMENDOA) TC PREMIUM P016</v>
          </cell>
          <cell r="R3495"/>
          <cell r="S3495"/>
          <cell r="T3495">
            <v>0.48</v>
          </cell>
          <cell r="U3495">
            <v>0.6</v>
          </cell>
          <cell r="V3495">
            <v>0.89</v>
          </cell>
          <cell r="W3495">
            <v>0</v>
          </cell>
          <cell r="X3495" t="str">
            <v>EST CADEIRA JUSSARA (AMENDOA) TC PREMIUM P016 - 0,48x0,6x0,89H</v>
          </cell>
          <cell r="Y3495">
            <v>4282.6099999999997</v>
          </cell>
          <cell r="Z3495">
            <v>0.35</v>
          </cell>
          <cell r="AA3495">
            <v>2783.6965</v>
          </cell>
          <cell r="AB3495"/>
        </row>
        <row r="3496">
          <cell r="C3496">
            <v>0</v>
          </cell>
          <cell r="D3496">
            <v>0</v>
          </cell>
          <cell r="E3496">
            <v>6</v>
          </cell>
          <cell r="F3496">
            <v>0</v>
          </cell>
          <cell r="H3496">
            <v>0</v>
          </cell>
          <cell r="O3496">
            <v>371336</v>
          </cell>
          <cell r="P3496" t="str">
            <v>2023/220-0018-01</v>
          </cell>
          <cell r="Q3496" t="str">
            <v>EST CADEIRA JUSSARA (AMENDOA) TC PREMIUM P016</v>
          </cell>
          <cell r="R3496"/>
          <cell r="S3496"/>
          <cell r="T3496">
            <v>0.48</v>
          </cell>
          <cell r="U3496">
            <v>0.6</v>
          </cell>
          <cell r="V3496">
            <v>0.89</v>
          </cell>
          <cell r="W3496">
            <v>0</v>
          </cell>
          <cell r="X3496" t="str">
            <v>EST CADEIRA JUSSARA (AMENDOA) TC PREMIUM P016 - 0,48x0,6x0,89H</v>
          </cell>
          <cell r="Y3496">
            <v>4282.6099999999997</v>
          </cell>
          <cell r="Z3496">
            <v>0.35</v>
          </cell>
          <cell r="AA3496">
            <v>2783.6965</v>
          </cell>
          <cell r="AB3496"/>
        </row>
        <row r="3497">
          <cell r="C3497">
            <v>0</v>
          </cell>
          <cell r="D3497">
            <v>0</v>
          </cell>
          <cell r="E3497">
            <v>6</v>
          </cell>
          <cell r="F3497">
            <v>0</v>
          </cell>
          <cell r="H3497">
            <v>0</v>
          </cell>
          <cell r="O3497">
            <v>371336</v>
          </cell>
          <cell r="P3497" t="str">
            <v>2023/220-0019-01</v>
          </cell>
          <cell r="Q3497" t="str">
            <v>EST CADEIRA JUSSARA (AMENDOA) TC PREMIUM P016</v>
          </cell>
          <cell r="R3497"/>
          <cell r="S3497"/>
          <cell r="T3497">
            <v>0.48</v>
          </cell>
          <cell r="U3497">
            <v>0.6</v>
          </cell>
          <cell r="V3497">
            <v>0.89</v>
          </cell>
          <cell r="W3497">
            <v>0</v>
          </cell>
          <cell r="X3497" t="str">
            <v>EST CADEIRA JUSSARA (AMENDOA) TC PREMIUM P016 - 0,48x0,6x0,89H</v>
          </cell>
          <cell r="Y3497">
            <v>4282.6099999999997</v>
          </cell>
          <cell r="Z3497">
            <v>0.35</v>
          </cell>
          <cell r="AA3497">
            <v>2783.6965</v>
          </cell>
          <cell r="AB3497"/>
        </row>
        <row r="3498">
          <cell r="C3498">
            <v>0</v>
          </cell>
          <cell r="D3498">
            <v>0</v>
          </cell>
          <cell r="E3498">
            <v>1</v>
          </cell>
          <cell r="F3498">
            <v>2</v>
          </cell>
          <cell r="H3498">
            <v>0</v>
          </cell>
          <cell r="O3498">
            <v>409982</v>
          </cell>
          <cell r="P3498" t="str">
            <v>2025/261-0022-01</v>
          </cell>
          <cell r="Q3498" t="str">
            <v>EST MESA LATERAL PIN (WALNUT MATT) (DET PINT CORTEN)</v>
          </cell>
          <cell r="R3498"/>
          <cell r="S3498"/>
          <cell r="T3498">
            <v>0.35</v>
          </cell>
          <cell r="U3498">
            <v>0</v>
          </cell>
          <cell r="V3498">
            <v>0.52</v>
          </cell>
          <cell r="W3498">
            <v>0.35</v>
          </cell>
          <cell r="X3498" t="str">
            <v>EST MESA LATERAL PIN (WALNUT MATT) (DET PINT CORTEN) - Ø0,35x0,52H</v>
          </cell>
          <cell r="Y3498">
            <v>5384.51</v>
          </cell>
          <cell r="Z3498">
            <v>0.35</v>
          </cell>
          <cell r="AA3498">
            <v>3499.9315000000006</v>
          </cell>
          <cell r="AB3498"/>
        </row>
        <row r="3499">
          <cell r="C3499">
            <v>0</v>
          </cell>
          <cell r="D3499">
            <v>0</v>
          </cell>
          <cell r="E3499">
            <v>1</v>
          </cell>
          <cell r="F3499">
            <v>1</v>
          </cell>
          <cell r="H3499">
            <v>0</v>
          </cell>
          <cell r="O3499">
            <v>260958</v>
          </cell>
          <cell r="P3499" t="str">
            <v>2020/192-0033-01</v>
          </cell>
          <cell r="Q3499" t="str">
            <v>EST BANCO MARINA REV (FREIJO) COURO TPE138/WKY26/LT ENV</v>
          </cell>
          <cell r="R3499"/>
          <cell r="S3499"/>
          <cell r="T3499">
            <v>2</v>
          </cell>
          <cell r="U3499">
            <v>0.5</v>
          </cell>
          <cell r="V3499">
            <v>0.37</v>
          </cell>
          <cell r="W3499">
            <v>0</v>
          </cell>
          <cell r="X3499" t="str">
            <v>EST BANCO MARINA REV (FREIJO) COURO TPE138/WKY26/LT ENV - 2x0,5x0,37H</v>
          </cell>
          <cell r="Y3499">
            <v>27664.81</v>
          </cell>
          <cell r="Z3499">
            <v>0.35</v>
          </cell>
          <cell r="AA3499">
            <v>17982.126500000002</v>
          </cell>
          <cell r="AB3499"/>
        </row>
        <row r="3500">
          <cell r="C3500">
            <v>0</v>
          </cell>
          <cell r="D3500">
            <v>1</v>
          </cell>
          <cell r="E3500">
            <v>0</v>
          </cell>
          <cell r="F3500">
            <v>1</v>
          </cell>
          <cell r="H3500">
            <v>0</v>
          </cell>
          <cell r="O3500">
            <v>273070</v>
          </cell>
          <cell r="P3500" t="str">
            <v>2021/019-0009-01</v>
          </cell>
          <cell r="Q3500" t="str">
            <v>EST MESA JANTAR MONIZ (C/GIR) (ESPINHADA D) (LAM 3 FREIJO)</v>
          </cell>
          <cell r="R3500"/>
          <cell r="S3500"/>
          <cell r="T3500">
            <v>1.8</v>
          </cell>
          <cell r="U3500">
            <v>0</v>
          </cell>
          <cell r="V3500">
            <v>0.75</v>
          </cell>
          <cell r="W3500">
            <v>1.8</v>
          </cell>
          <cell r="X3500" t="str">
            <v>EST MESA JANTAR MONIZ (C/GIR) (ESPINHADA D) (LAM 3 FREIJO) - Ø1,8x0,75H</v>
          </cell>
          <cell r="Y3500">
            <v>49371.53</v>
          </cell>
          <cell r="Z3500">
            <v>0.35</v>
          </cell>
          <cell r="AA3500">
            <v>32091.494500000001</v>
          </cell>
          <cell r="AB3500"/>
        </row>
        <row r="3501">
          <cell r="C3501">
            <v>0</v>
          </cell>
          <cell r="D3501">
            <v>0</v>
          </cell>
          <cell r="E3501">
            <v>0</v>
          </cell>
          <cell r="F3501">
            <v>1</v>
          </cell>
          <cell r="H3501">
            <v>0</v>
          </cell>
          <cell r="O3501">
            <v>406027</v>
          </cell>
          <cell r="P3501" t="str">
            <v>2025/125-0001-01</v>
          </cell>
          <cell r="Q3501" t="str">
            <v>EST SOFA TABLE ELLOS (MAD B LOURO FREIJO) (PRETO FSC)</v>
          </cell>
          <cell r="R3501"/>
          <cell r="S3501"/>
          <cell r="T3501">
            <v>2.2000000000000002</v>
          </cell>
          <cell r="U3501">
            <v>0.35</v>
          </cell>
          <cell r="V3501">
            <v>0.5</v>
          </cell>
          <cell r="W3501">
            <v>0</v>
          </cell>
          <cell r="X3501" t="str">
            <v>EST SOFA TABLE ELLOS (MAD B LOURO FREIJO) (PRETO FSC) - 2,2x0,35x0,5H</v>
          </cell>
          <cell r="Y3501">
            <v>12646.86</v>
          </cell>
          <cell r="Z3501">
            <v>0.35</v>
          </cell>
          <cell r="AA3501">
            <v>8220.4590000000007</v>
          </cell>
          <cell r="AB3501"/>
        </row>
        <row r="3502">
          <cell r="C3502">
            <v>0</v>
          </cell>
          <cell r="D3502">
            <v>0</v>
          </cell>
          <cell r="E3502">
            <v>0</v>
          </cell>
          <cell r="F3502">
            <v>1</v>
          </cell>
          <cell r="H3502">
            <v>0</v>
          </cell>
          <cell r="O3502">
            <v>373024</v>
          </cell>
          <cell r="P3502" t="str">
            <v>2023/320-0011-01</v>
          </cell>
          <cell r="Q3502" t="str">
            <v>EST BANQUETA BAR CAVALETTA H65 (JEQUITIBA CASTANHO CLARO)</v>
          </cell>
          <cell r="R3502"/>
          <cell r="S3502"/>
          <cell r="T3502">
            <v>0.43</v>
          </cell>
          <cell r="U3502">
            <v>0.46</v>
          </cell>
          <cell r="V3502">
            <v>0.65</v>
          </cell>
          <cell r="W3502">
            <v>0</v>
          </cell>
          <cell r="X3502" t="str">
            <v>EST BANQUETA BAR CAVALETTA H65 (JEQUITIBA CASTANHO CLARO) - 0,43x0,46x0,65H</v>
          </cell>
          <cell r="Y3502">
            <v>6456.31</v>
          </cell>
          <cell r="Z3502">
            <v>0.35</v>
          </cell>
          <cell r="AA3502">
            <v>4196.6015000000007</v>
          </cell>
          <cell r="AB3502"/>
        </row>
        <row r="3503">
          <cell r="C3503">
            <v>0</v>
          </cell>
          <cell r="D3503">
            <v>0</v>
          </cell>
          <cell r="E3503">
            <v>0</v>
          </cell>
          <cell r="F3503">
            <v>2</v>
          </cell>
          <cell r="H3503">
            <v>0</v>
          </cell>
          <cell r="O3503">
            <v>407199</v>
          </cell>
          <cell r="P3503" t="str">
            <v>2025/276-0011-01</v>
          </cell>
          <cell r="Q3503" t="str">
            <v>EST POLTRONA MARIA (TAUARI TING NOG) COURO FIRENZE 500</v>
          </cell>
          <cell r="R3503"/>
          <cell r="S3503"/>
          <cell r="T3503">
            <v>0.66</v>
          </cell>
          <cell r="U3503">
            <v>0.66</v>
          </cell>
          <cell r="V3503">
            <v>0.81</v>
          </cell>
          <cell r="W3503">
            <v>0</v>
          </cell>
          <cell r="X3503" t="str">
            <v>EST POLTRONA MARIA (TAUARI TING NOG) COURO FIRENZE 500 - 0,66x0,66x0,81H</v>
          </cell>
          <cell r="Y3503">
            <v>22323.17</v>
          </cell>
          <cell r="Z3503">
            <v>0.35</v>
          </cell>
          <cell r="AA3503">
            <v>14510.0605</v>
          </cell>
          <cell r="AB3503"/>
        </row>
        <row r="3504">
          <cell r="C3504">
            <v>0</v>
          </cell>
          <cell r="D3504">
            <v>0</v>
          </cell>
          <cell r="E3504">
            <v>0</v>
          </cell>
          <cell r="F3504">
            <v>2</v>
          </cell>
          <cell r="H3504">
            <v>0</v>
          </cell>
          <cell r="O3504">
            <v>407199</v>
          </cell>
          <cell r="P3504" t="str">
            <v>2025/276-0012-01</v>
          </cell>
          <cell r="Q3504" t="str">
            <v>EST POLTRONA MARIA (TAUARI TING NOG) COURO FIRENZE 500</v>
          </cell>
          <cell r="R3504"/>
          <cell r="S3504"/>
          <cell r="T3504">
            <v>0.66</v>
          </cell>
          <cell r="U3504">
            <v>0.66</v>
          </cell>
          <cell r="V3504">
            <v>0.81</v>
          </cell>
          <cell r="W3504">
            <v>0</v>
          </cell>
          <cell r="X3504" t="str">
            <v>EST POLTRONA MARIA (TAUARI TING NOG) COURO FIRENZE 500 - 0,66x0,66x0,81H</v>
          </cell>
          <cell r="Y3504">
            <v>22323.17</v>
          </cell>
          <cell r="Z3504">
            <v>0.35</v>
          </cell>
          <cell r="AA3504">
            <v>14510.0605</v>
          </cell>
          <cell r="AB3504"/>
        </row>
        <row r="3505">
          <cell r="C3505">
            <v>1</v>
          </cell>
          <cell r="D3505">
            <v>0</v>
          </cell>
          <cell r="E3505">
            <v>0</v>
          </cell>
          <cell r="F3505">
            <v>0</v>
          </cell>
          <cell r="H3505">
            <v>0</v>
          </cell>
          <cell r="O3505">
            <v>180707</v>
          </cell>
          <cell r="P3505" t="str">
            <v>2016/006-0009-01</v>
          </cell>
          <cell r="Q3505" t="str">
            <v>EST MESA LATERAL MUD (POLIESTER F100)</v>
          </cell>
          <cell r="R3505"/>
          <cell r="S3505"/>
          <cell r="T3505">
            <v>0.5</v>
          </cell>
          <cell r="U3505">
            <v>0.5</v>
          </cell>
          <cell r="V3505">
            <v>0</v>
          </cell>
          <cell r="W3505">
            <v>0</v>
          </cell>
          <cell r="X3505" t="str">
            <v>EST MESA LATERAL MUD (POLIESTER F100) - 0,5x0,5x0H</v>
          </cell>
          <cell r="Y3505">
            <v>6113.71</v>
          </cell>
          <cell r="Z3505">
            <v>0.5</v>
          </cell>
          <cell r="AA3505">
            <v>3056.855</v>
          </cell>
          <cell r="AB3505"/>
        </row>
        <row r="3506">
          <cell r="C3506">
            <v>4</v>
          </cell>
          <cell r="D3506">
            <v>0</v>
          </cell>
          <cell r="E3506">
            <v>0</v>
          </cell>
          <cell r="F3506">
            <v>0</v>
          </cell>
          <cell r="H3506">
            <v>0</v>
          </cell>
          <cell r="O3506">
            <v>270464</v>
          </cell>
          <cell r="P3506" t="str">
            <v>2021/007-0021-01</v>
          </cell>
          <cell r="Q3506" t="str">
            <v>EST CADEIRA TWIN C/BRACO (GIR)( EBANIZADO) TC4019</v>
          </cell>
          <cell r="R3506"/>
          <cell r="S3506"/>
          <cell r="T3506">
            <v>0.51</v>
          </cell>
          <cell r="U3506">
            <v>0.6</v>
          </cell>
          <cell r="V3506">
            <v>0.83</v>
          </cell>
          <cell r="W3506">
            <v>0</v>
          </cell>
          <cell r="X3506" t="str">
            <v>EST CADEIRA TWIN C/BRACO (GIR)( EBANIZADO) TC4019 - 0,51x0,6x0,83H</v>
          </cell>
          <cell r="Y3506">
            <v>3624</v>
          </cell>
          <cell r="Z3506">
            <v>0.5</v>
          </cell>
          <cell r="AA3506">
            <v>1812</v>
          </cell>
          <cell r="AB3506"/>
        </row>
        <row r="3507">
          <cell r="C3507">
            <v>4</v>
          </cell>
          <cell r="D3507">
            <v>0</v>
          </cell>
          <cell r="E3507">
            <v>0</v>
          </cell>
          <cell r="F3507">
            <v>0</v>
          </cell>
          <cell r="H3507">
            <v>0</v>
          </cell>
          <cell r="O3507">
            <v>270464</v>
          </cell>
          <cell r="P3507" t="str">
            <v>2021/007-0022-01</v>
          </cell>
          <cell r="Q3507" t="str">
            <v>EST CADEIRA TWIN C/BRACO (GIR)( EBANIZADO) TC4019</v>
          </cell>
          <cell r="R3507"/>
          <cell r="S3507"/>
          <cell r="T3507">
            <v>0.51</v>
          </cell>
          <cell r="U3507">
            <v>0.6</v>
          </cell>
          <cell r="V3507">
            <v>0.83</v>
          </cell>
          <cell r="W3507">
            <v>0</v>
          </cell>
          <cell r="X3507" t="str">
            <v>EST CADEIRA TWIN C/BRACO (GIR)( EBANIZADO) TC4019 - 0,51x0,6x0,83H</v>
          </cell>
          <cell r="Y3507">
            <v>3624</v>
          </cell>
          <cell r="Z3507">
            <v>0.5</v>
          </cell>
          <cell r="AA3507">
            <v>1812</v>
          </cell>
          <cell r="AB3507"/>
        </row>
        <row r="3508">
          <cell r="C3508">
            <v>4</v>
          </cell>
          <cell r="D3508">
            <v>0</v>
          </cell>
          <cell r="E3508">
            <v>0</v>
          </cell>
          <cell r="F3508">
            <v>0</v>
          </cell>
          <cell r="H3508">
            <v>0</v>
          </cell>
          <cell r="O3508">
            <v>260296</v>
          </cell>
          <cell r="P3508" t="str">
            <v>2020/202-0038-01</v>
          </cell>
          <cell r="Q3508" t="str">
            <v>EST CADEIRA COLLANA EST MEL/TC 310A</v>
          </cell>
          <cell r="R3508"/>
          <cell r="S3508"/>
          <cell r="T3508">
            <v>0.7</v>
          </cell>
          <cell r="U3508">
            <v>0.65</v>
          </cell>
          <cell r="V3508">
            <v>0.81</v>
          </cell>
          <cell r="W3508">
            <v>0</v>
          </cell>
          <cell r="X3508" t="str">
            <v>EST CADEIRA COLLANA EST MEL/TC 310A - 0,7x0,65x0,81H</v>
          </cell>
          <cell r="Y3508">
            <v>5855.36</v>
          </cell>
          <cell r="Z3508">
            <v>0.5</v>
          </cell>
          <cell r="AA3508">
            <v>2927.68</v>
          </cell>
          <cell r="AB3508"/>
        </row>
        <row r="3509">
          <cell r="C3509">
            <v>4</v>
          </cell>
          <cell r="D3509">
            <v>0</v>
          </cell>
          <cell r="E3509">
            <v>0</v>
          </cell>
          <cell r="F3509">
            <v>0</v>
          </cell>
          <cell r="H3509">
            <v>0</v>
          </cell>
          <cell r="O3509">
            <v>260296</v>
          </cell>
          <cell r="P3509" t="str">
            <v>2020/202-0039-01</v>
          </cell>
          <cell r="Q3509" t="str">
            <v>EST CADEIRA COLLANA EST MEL/TC 310A</v>
          </cell>
          <cell r="R3509"/>
          <cell r="S3509"/>
          <cell r="T3509">
            <v>0.7</v>
          </cell>
          <cell r="U3509">
            <v>0.65</v>
          </cell>
          <cell r="V3509">
            <v>0.81</v>
          </cell>
          <cell r="W3509">
            <v>0</v>
          </cell>
          <cell r="X3509" t="str">
            <v>EST CADEIRA COLLANA EST MEL/TC 310A - 0,7x0,65x0,81H</v>
          </cell>
          <cell r="Y3509">
            <v>5855.36</v>
          </cell>
          <cell r="Z3509">
            <v>0.5</v>
          </cell>
          <cell r="AA3509">
            <v>2927.68</v>
          </cell>
          <cell r="AB3509"/>
        </row>
        <row r="3510">
          <cell r="C3510">
            <v>4</v>
          </cell>
          <cell r="D3510">
            <v>0</v>
          </cell>
          <cell r="E3510">
            <v>0</v>
          </cell>
          <cell r="F3510">
            <v>0</v>
          </cell>
          <cell r="H3510">
            <v>0</v>
          </cell>
          <cell r="O3510">
            <v>260296</v>
          </cell>
          <cell r="P3510" t="str">
            <v>2020/202-0042-01</v>
          </cell>
          <cell r="Q3510" t="str">
            <v>EST CADEIRA COLLANA EST MEL/TC 310A</v>
          </cell>
          <cell r="R3510"/>
          <cell r="S3510"/>
          <cell r="T3510">
            <v>0.7</v>
          </cell>
          <cell r="U3510">
            <v>0.65</v>
          </cell>
          <cell r="V3510">
            <v>0.81</v>
          </cell>
          <cell r="W3510">
            <v>0</v>
          </cell>
          <cell r="X3510" t="str">
            <v>EST CADEIRA COLLANA EST MEL/TC 310A - 0,7x0,65x0,81H</v>
          </cell>
          <cell r="Y3510">
            <v>5855.36</v>
          </cell>
          <cell r="Z3510">
            <v>0.5</v>
          </cell>
          <cell r="AA3510">
            <v>2927.68</v>
          </cell>
          <cell r="AB3510"/>
        </row>
        <row r="3511">
          <cell r="C3511">
            <v>4</v>
          </cell>
          <cell r="D3511">
            <v>0</v>
          </cell>
          <cell r="E3511">
            <v>0</v>
          </cell>
          <cell r="F3511">
            <v>0</v>
          </cell>
          <cell r="H3511">
            <v>0</v>
          </cell>
          <cell r="O3511">
            <v>260296</v>
          </cell>
          <cell r="P3511" t="str">
            <v>2020/202-0043-01</v>
          </cell>
          <cell r="Q3511" t="str">
            <v>EST CADEIRA COLLANA EST MEL/TC 310A</v>
          </cell>
          <cell r="R3511"/>
          <cell r="S3511"/>
          <cell r="T3511">
            <v>0.7</v>
          </cell>
          <cell r="U3511">
            <v>0.65</v>
          </cell>
          <cell r="V3511">
            <v>0.81</v>
          </cell>
          <cell r="W3511">
            <v>0</v>
          </cell>
          <cell r="X3511" t="str">
            <v>EST CADEIRA COLLANA EST MEL/TC 310A - 0,7x0,65x0,81H</v>
          </cell>
          <cell r="Y3511">
            <v>5855.36</v>
          </cell>
          <cell r="Z3511">
            <v>0.5</v>
          </cell>
          <cell r="AA3511">
            <v>2927.68</v>
          </cell>
          <cell r="AB3511"/>
        </row>
        <row r="3512">
          <cell r="C3512">
            <v>4</v>
          </cell>
          <cell r="D3512">
            <v>0</v>
          </cell>
          <cell r="E3512">
            <v>0</v>
          </cell>
          <cell r="F3512">
            <v>0</v>
          </cell>
          <cell r="H3512">
            <v>0</v>
          </cell>
          <cell r="O3512">
            <v>270464</v>
          </cell>
          <cell r="P3512" t="str">
            <v>2021/007-0023-01</v>
          </cell>
          <cell r="Q3512" t="str">
            <v>EST CADEIRA TWIN C/BRACO (GIR)( EBANIZADO) TC4019</v>
          </cell>
          <cell r="R3512"/>
          <cell r="S3512"/>
          <cell r="T3512">
            <v>0.51</v>
          </cell>
          <cell r="U3512">
            <v>0.6</v>
          </cell>
          <cell r="V3512">
            <v>0.83</v>
          </cell>
          <cell r="W3512">
            <v>0</v>
          </cell>
          <cell r="X3512" t="str">
            <v>EST CADEIRA TWIN C/BRACO (GIR)( EBANIZADO) TC4019 - 0,51x0,6x0,83H</v>
          </cell>
          <cell r="Y3512">
            <v>3624</v>
          </cell>
          <cell r="Z3512">
            <v>0.5</v>
          </cell>
          <cell r="AA3512">
            <v>1812</v>
          </cell>
          <cell r="AB3512"/>
        </row>
        <row r="3513">
          <cell r="C3513">
            <v>4</v>
          </cell>
          <cell r="D3513">
            <v>0</v>
          </cell>
          <cell r="E3513">
            <v>0</v>
          </cell>
          <cell r="F3513">
            <v>0</v>
          </cell>
          <cell r="H3513">
            <v>0</v>
          </cell>
          <cell r="O3513">
            <v>270464</v>
          </cell>
          <cell r="P3513" t="str">
            <v>2021/007-0024-01</v>
          </cell>
          <cell r="Q3513" t="str">
            <v>EST CADEIRA TWIN C/BRACO (GIR)( EBANIZADO) TC4019</v>
          </cell>
          <cell r="R3513"/>
          <cell r="S3513"/>
          <cell r="T3513">
            <v>0.51</v>
          </cell>
          <cell r="U3513">
            <v>0.6</v>
          </cell>
          <cell r="V3513">
            <v>0.83</v>
          </cell>
          <cell r="W3513">
            <v>0</v>
          </cell>
          <cell r="X3513" t="str">
            <v>EST CADEIRA TWIN C/BRACO (GIR)( EBANIZADO) TC4019 - 0,51x0,6x0,83H</v>
          </cell>
          <cell r="Y3513">
            <v>3624</v>
          </cell>
          <cell r="Z3513">
            <v>0.5</v>
          </cell>
          <cell r="AA3513">
            <v>1812</v>
          </cell>
          <cell r="AB3513"/>
        </row>
        <row r="3514">
          <cell r="C3514">
            <v>0</v>
          </cell>
          <cell r="D3514">
            <v>0</v>
          </cell>
          <cell r="E3514">
            <v>0</v>
          </cell>
          <cell r="F3514">
            <v>0</v>
          </cell>
          <cell r="H3514">
            <v>1</v>
          </cell>
          <cell r="O3514">
            <v>63520</v>
          </cell>
          <cell r="P3514" t="str">
            <v>1012/306-2443-01</v>
          </cell>
          <cell r="Q3514" t="str">
            <v>EST MESA CENTRO PD 27 (CARVALHO CHOCOLATE)</v>
          </cell>
          <cell r="R3514"/>
          <cell r="S3514"/>
          <cell r="T3514">
            <v>1.3</v>
          </cell>
          <cell r="U3514">
            <v>0</v>
          </cell>
          <cell r="V3514">
            <v>0.5</v>
          </cell>
          <cell r="W3514">
            <v>1.3</v>
          </cell>
          <cell r="X3514" t="str">
            <v>EST MESA CENTRO PD 27 (CARVALHO CHOCOLATE) - Ø1,3x0,5H</v>
          </cell>
          <cell r="Y3514">
            <v>9430.4</v>
          </cell>
          <cell r="Z3514">
            <v>0.5</v>
          </cell>
          <cell r="AA3514">
            <v>4715.2</v>
          </cell>
          <cell r="AB3514"/>
        </row>
        <row r="3515">
          <cell r="C3515">
            <v>0</v>
          </cell>
          <cell r="D3515">
            <v>0</v>
          </cell>
          <cell r="E3515">
            <v>0</v>
          </cell>
          <cell r="F3515">
            <v>0</v>
          </cell>
          <cell r="H3515">
            <v>1</v>
          </cell>
          <cell r="O3515">
            <v>65039</v>
          </cell>
          <cell r="P3515" t="str">
            <v>1012/306-2544-01</v>
          </cell>
          <cell r="Q3515" t="str">
            <v>EST BASE JANTAR LEQUE (CARVALHO) (LACA BRILHO PRETA)</v>
          </cell>
          <cell r="R3515"/>
          <cell r="S3515"/>
          <cell r="T3515">
            <v>1.1000000000000001</v>
          </cell>
          <cell r="U3515">
            <v>0</v>
          </cell>
          <cell r="V3515">
            <v>0.75</v>
          </cell>
          <cell r="W3515">
            <v>1.1000000000000001</v>
          </cell>
          <cell r="X3515" t="str">
            <v>EST BASE JANTAR LEQUE (CARVALHO) (LACA BRILHO PRETA) - Ø1,1x0,75H</v>
          </cell>
          <cell r="Y3515">
            <v>7127.23</v>
          </cell>
          <cell r="Z3515">
            <v>0.5</v>
          </cell>
          <cell r="AA3515">
            <v>3563.6149999999998</v>
          </cell>
          <cell r="AB3515"/>
        </row>
        <row r="3516">
          <cell r="C3516">
            <v>0</v>
          </cell>
          <cell r="D3516">
            <v>0</v>
          </cell>
          <cell r="E3516">
            <v>0</v>
          </cell>
          <cell r="F3516">
            <v>0</v>
          </cell>
          <cell r="H3516">
            <v>1</v>
          </cell>
          <cell r="O3516">
            <v>82950</v>
          </cell>
          <cell r="P3516" t="str">
            <v>1012/307-3504-01</v>
          </cell>
          <cell r="Q3516" t="str">
            <v>EST POLTRONA TOLEDO (C/ALM) LINHO NAT/DET INT ALG VERDE</v>
          </cell>
          <cell r="R3516"/>
          <cell r="S3516"/>
          <cell r="T3516">
            <v>0.7</v>
          </cell>
          <cell r="U3516">
            <v>0.66</v>
          </cell>
          <cell r="V3516">
            <v>0.66</v>
          </cell>
          <cell r="W3516">
            <v>0</v>
          </cell>
          <cell r="X3516" t="str">
            <v>EST POLTRONA TOLEDO (C/ALM) LINHO NAT/DET INT ALG VERDE - 0,7x0,66x0,66H</v>
          </cell>
          <cell r="Y3516">
            <v>10389.120000000001</v>
          </cell>
          <cell r="Z3516">
            <v>0.5</v>
          </cell>
          <cell r="AA3516">
            <v>5194.5600000000004</v>
          </cell>
          <cell r="AB3516"/>
        </row>
        <row r="3517">
          <cell r="C3517">
            <v>0</v>
          </cell>
          <cell r="D3517">
            <v>0</v>
          </cell>
          <cell r="E3517">
            <v>0</v>
          </cell>
          <cell r="F3517">
            <v>0</v>
          </cell>
          <cell r="H3517">
            <v>3</v>
          </cell>
          <cell r="O3517">
            <v>117365</v>
          </cell>
          <cell r="P3517" t="str">
            <v>1012/307-2912-01</v>
          </cell>
          <cell r="Q3517" t="str">
            <v>EST BANQUETA JOB (LC PRETA) (RVST FORN) (TC 10717/0001)</v>
          </cell>
          <cell r="R3517"/>
          <cell r="S3517"/>
          <cell r="T3517">
            <v>0.75</v>
          </cell>
          <cell r="U3517">
            <v>0.45</v>
          </cell>
          <cell r="V3517">
            <v>0.43</v>
          </cell>
          <cell r="W3517">
            <v>0</v>
          </cell>
          <cell r="X3517" t="str">
            <v>EST BANQUETA JOB (LC PRETA) (RVST FORN) (TC 10717/0001) - 0,75x0,45x0,43H</v>
          </cell>
          <cell r="Y3517">
            <v>5779.2</v>
          </cell>
          <cell r="Z3517">
            <v>0.5</v>
          </cell>
          <cell r="AA3517">
            <v>2889.6</v>
          </cell>
          <cell r="AB3517"/>
        </row>
        <row r="3518">
          <cell r="C3518">
            <v>0</v>
          </cell>
          <cell r="D3518">
            <v>0</v>
          </cell>
          <cell r="E3518">
            <v>0</v>
          </cell>
          <cell r="F3518">
            <v>0</v>
          </cell>
          <cell r="H3518">
            <v>3</v>
          </cell>
          <cell r="O3518">
            <v>117365</v>
          </cell>
          <cell r="P3518" t="str">
            <v>2014/245-0007-01</v>
          </cell>
          <cell r="Q3518" t="str">
            <v>EST BANQUETA JOB (LC PRETA) (RVST FORN) (TC 10717/0001)</v>
          </cell>
          <cell r="R3518"/>
          <cell r="S3518"/>
          <cell r="T3518">
            <v>0.75</v>
          </cell>
          <cell r="U3518">
            <v>0.45</v>
          </cell>
          <cell r="V3518">
            <v>0.43</v>
          </cell>
          <cell r="W3518">
            <v>0</v>
          </cell>
          <cell r="X3518" t="str">
            <v>EST BANQUETA JOB (LC PRETA) (RVST FORN) (TC 10717/0001) - 0,75x0,45x0,43H</v>
          </cell>
          <cell r="Y3518">
            <v>5779.2</v>
          </cell>
          <cell r="Z3518">
            <v>0.5</v>
          </cell>
          <cell r="AA3518">
            <v>2889.6</v>
          </cell>
          <cell r="AB3518"/>
        </row>
        <row r="3519">
          <cell r="C3519">
            <v>0</v>
          </cell>
          <cell r="D3519">
            <v>0</v>
          </cell>
          <cell r="E3519">
            <v>0</v>
          </cell>
          <cell r="F3519">
            <v>0</v>
          </cell>
          <cell r="H3519">
            <v>3</v>
          </cell>
          <cell r="O3519">
            <v>117365</v>
          </cell>
          <cell r="P3519" t="str">
            <v>2024/065-0019-01</v>
          </cell>
          <cell r="Q3519" t="str">
            <v>EST BANQUETA JOB (LC PRETA) (RVST FORN) (TC 10717/0001)</v>
          </cell>
          <cell r="R3519"/>
          <cell r="S3519"/>
          <cell r="T3519">
            <v>0.75</v>
          </cell>
          <cell r="U3519">
            <v>0.45</v>
          </cell>
          <cell r="V3519">
            <v>0.43</v>
          </cell>
          <cell r="W3519">
            <v>0</v>
          </cell>
          <cell r="X3519" t="str">
            <v>EST BANQUETA JOB (LC PRETA) (RVST FORN) (TC 10717/0001) - 0,75x0,45x0,43H</v>
          </cell>
          <cell r="Y3519">
            <v>5779.2</v>
          </cell>
          <cell r="Z3519">
            <v>0.5</v>
          </cell>
          <cell r="AA3519">
            <v>2889.6</v>
          </cell>
          <cell r="AB3519"/>
        </row>
        <row r="3520">
          <cell r="C3520">
            <v>0</v>
          </cell>
          <cell r="D3520">
            <v>0</v>
          </cell>
          <cell r="E3520">
            <v>0</v>
          </cell>
          <cell r="F3520">
            <v>0</v>
          </cell>
          <cell r="H3520">
            <v>1</v>
          </cell>
          <cell r="O3520">
            <v>123299</v>
          </cell>
          <cell r="P3520" t="str">
            <v>2013/053-0060-01</v>
          </cell>
          <cell r="Q3520" t="str">
            <v>EST POLTRONA TOLEDO (C/ALM) LINHO NAT/DET INT ALG VERDE</v>
          </cell>
          <cell r="R3520"/>
          <cell r="S3520"/>
          <cell r="T3520">
            <v>0.7</v>
          </cell>
          <cell r="U3520">
            <v>0.66</v>
          </cell>
          <cell r="V3520">
            <v>0.66</v>
          </cell>
          <cell r="W3520">
            <v>0</v>
          </cell>
          <cell r="X3520" t="str">
            <v>EST POLTRONA TOLEDO (C/ALM) LINHO NAT/DET INT ALG VERDE - 0,7x0,66x0,66H</v>
          </cell>
          <cell r="Y3520">
            <v>10389.120000000001</v>
          </cell>
          <cell r="Z3520">
            <v>0.5</v>
          </cell>
          <cell r="AA3520">
            <v>5194.5600000000004</v>
          </cell>
          <cell r="AB3520"/>
        </row>
        <row r="3521">
          <cell r="C3521">
            <v>0</v>
          </cell>
          <cell r="D3521">
            <v>0</v>
          </cell>
          <cell r="E3521">
            <v>0</v>
          </cell>
          <cell r="F3521">
            <v>0</v>
          </cell>
          <cell r="H3521">
            <v>1</v>
          </cell>
          <cell r="O3521">
            <v>128623</v>
          </cell>
          <cell r="P3521" t="str">
            <v>2013/163-0016-01</v>
          </cell>
          <cell r="Q3521" t="str">
            <v>EST MESA JANTAR ALTAMIRA (LACA BRILHO POLIESTER LARANJA Y021</v>
          </cell>
          <cell r="R3521"/>
          <cell r="S3521"/>
          <cell r="T3521">
            <v>2.8</v>
          </cell>
          <cell r="U3521">
            <v>1.3</v>
          </cell>
          <cell r="V3521">
            <v>0.76</v>
          </cell>
          <cell r="W3521">
            <v>0</v>
          </cell>
          <cell r="X3521" t="str">
            <v>EST MESA JANTAR ALTAMIRA (LACA BRILHO POLIESTER LARANJA Y021 - 2,8x1,3x0,76H</v>
          </cell>
          <cell r="Y3521">
            <v>43576.24</v>
          </cell>
          <cell r="Z3521">
            <v>0.5</v>
          </cell>
          <cell r="AA3521">
            <v>21788.12</v>
          </cell>
          <cell r="AB3521"/>
        </row>
        <row r="3522">
          <cell r="C3522">
            <v>0</v>
          </cell>
          <cell r="D3522">
            <v>0</v>
          </cell>
          <cell r="E3522">
            <v>0</v>
          </cell>
          <cell r="F3522">
            <v>0</v>
          </cell>
          <cell r="H3522">
            <v>3</v>
          </cell>
          <cell r="O3522">
            <v>129724</v>
          </cell>
          <cell r="P3522" t="str">
            <v>2013/148-0039-01</v>
          </cell>
          <cell r="Q3522" t="str">
            <v>EST CADEIRA DIX (ESTOFADA) (TABACO) TC 404A</v>
          </cell>
          <cell r="R3522"/>
          <cell r="S3522"/>
          <cell r="T3522">
            <v>0.56000000000000005</v>
          </cell>
          <cell r="U3522">
            <v>0.56999999999999995</v>
          </cell>
          <cell r="V3522">
            <v>0.81</v>
          </cell>
          <cell r="W3522">
            <v>0</v>
          </cell>
          <cell r="X3522" t="str">
            <v>EST CADEIRA DIX (ESTOFADA) (TABACO) TC 404A - 0,56x0,57x0,81H</v>
          </cell>
          <cell r="Y3522">
            <v>3808</v>
          </cell>
          <cell r="Z3522">
            <v>0.5</v>
          </cell>
          <cell r="AA3522">
            <v>1904</v>
          </cell>
          <cell r="AB3522"/>
        </row>
        <row r="3523">
          <cell r="C3523">
            <v>0</v>
          </cell>
          <cell r="D3523">
            <v>0</v>
          </cell>
          <cell r="E3523">
            <v>0</v>
          </cell>
          <cell r="F3523">
            <v>0</v>
          </cell>
          <cell r="H3523">
            <v>3</v>
          </cell>
          <cell r="O3523">
            <v>129724</v>
          </cell>
          <cell r="P3523" t="str">
            <v>2013/148-0042-01</v>
          </cell>
          <cell r="Q3523" t="str">
            <v>EST CADEIRA DIX (ESTOFADA) (TABACO) TC 404A</v>
          </cell>
          <cell r="R3523"/>
          <cell r="S3523"/>
          <cell r="T3523">
            <v>0.56000000000000005</v>
          </cell>
          <cell r="U3523">
            <v>0.56999999999999995</v>
          </cell>
          <cell r="V3523">
            <v>0.81</v>
          </cell>
          <cell r="W3523">
            <v>0</v>
          </cell>
          <cell r="X3523" t="str">
            <v>EST CADEIRA DIX (ESTOFADA) (TABACO) TC 404A - 0,56x0,57x0,81H</v>
          </cell>
          <cell r="Y3523">
            <v>3808</v>
          </cell>
          <cell r="Z3523">
            <v>0.5</v>
          </cell>
          <cell r="AA3523">
            <v>1904</v>
          </cell>
          <cell r="AB3523"/>
        </row>
        <row r="3524">
          <cell r="C3524">
            <v>0</v>
          </cell>
          <cell r="D3524">
            <v>0</v>
          </cell>
          <cell r="E3524">
            <v>0</v>
          </cell>
          <cell r="F3524">
            <v>0</v>
          </cell>
          <cell r="H3524">
            <v>3</v>
          </cell>
          <cell r="O3524">
            <v>129724</v>
          </cell>
          <cell r="P3524" t="str">
            <v>2013/148-0043-01</v>
          </cell>
          <cell r="Q3524" t="str">
            <v>EST CADEIRA DIX (ESTOFADA) (TABACO) TC 404A</v>
          </cell>
          <cell r="R3524"/>
          <cell r="S3524"/>
          <cell r="T3524">
            <v>0.56000000000000005</v>
          </cell>
          <cell r="U3524">
            <v>0.56999999999999995</v>
          </cell>
          <cell r="V3524">
            <v>0.81</v>
          </cell>
          <cell r="W3524">
            <v>0</v>
          </cell>
          <cell r="X3524" t="str">
            <v>EST CADEIRA DIX (ESTOFADA) (TABACO) TC 404A - 0,56x0,57x0,81H</v>
          </cell>
          <cell r="Y3524">
            <v>3808</v>
          </cell>
          <cell r="Z3524">
            <v>0.5</v>
          </cell>
          <cell r="AA3524">
            <v>1904</v>
          </cell>
          <cell r="AB3524"/>
        </row>
        <row r="3525">
          <cell r="C3525">
            <v>0</v>
          </cell>
          <cell r="D3525">
            <v>0</v>
          </cell>
          <cell r="E3525">
            <v>0</v>
          </cell>
          <cell r="F3525">
            <v>0</v>
          </cell>
          <cell r="H3525">
            <v>1</v>
          </cell>
          <cell r="O3525">
            <v>151317</v>
          </cell>
          <cell r="P3525" t="str">
            <v>2014/195-0019-01</v>
          </cell>
          <cell r="Q3525" t="str">
            <v>EST POLTRONA GAVEA (CASTANHO PATIN) (COR 63) (TC 10711)</v>
          </cell>
          <cell r="R3525"/>
          <cell r="S3525"/>
          <cell r="T3525">
            <v>0.8</v>
          </cell>
          <cell r="U3525">
            <v>0.76</v>
          </cell>
          <cell r="V3525">
            <v>0.7</v>
          </cell>
          <cell r="W3525">
            <v>0</v>
          </cell>
          <cell r="X3525" t="str">
            <v>EST POLTRONA GAVEA (CASTANHO PATIN) (COR 63) (TC 10711) - 0,8x0,76x0,7H</v>
          </cell>
          <cell r="Y3525">
            <v>8960</v>
          </cell>
          <cell r="Z3525">
            <v>0.5</v>
          </cell>
          <cell r="AA3525">
            <v>4480</v>
          </cell>
          <cell r="AB3525"/>
        </row>
        <row r="3526">
          <cell r="C3526">
            <v>0</v>
          </cell>
          <cell r="D3526">
            <v>0</v>
          </cell>
          <cell r="E3526">
            <v>0</v>
          </cell>
          <cell r="F3526">
            <v>0</v>
          </cell>
          <cell r="H3526">
            <v>4</v>
          </cell>
          <cell r="O3526">
            <v>151374</v>
          </cell>
          <cell r="P3526" t="str">
            <v>2014/260-0034-01</v>
          </cell>
          <cell r="Q3526" t="str">
            <v>EST MESA CENTRO ODESSA MADEIRA CUMARU (BIPARTIDA)</v>
          </cell>
          <cell r="R3526"/>
          <cell r="S3526"/>
          <cell r="T3526">
            <v>1</v>
          </cell>
          <cell r="U3526">
            <v>1</v>
          </cell>
          <cell r="V3526">
            <v>0.15</v>
          </cell>
          <cell r="W3526">
            <v>0</v>
          </cell>
          <cell r="X3526" t="str">
            <v>EST MESA CENTRO ODESSA MADEIRA CUMARU (BIPARTIDA) - 1x1x0,15H</v>
          </cell>
          <cell r="Y3526">
            <v>7429</v>
          </cell>
          <cell r="Z3526">
            <v>0.5</v>
          </cell>
          <cell r="AA3526">
            <v>3714.5</v>
          </cell>
          <cell r="AB3526"/>
        </row>
        <row r="3527">
          <cell r="C3527">
            <v>0</v>
          </cell>
          <cell r="D3527">
            <v>0</v>
          </cell>
          <cell r="E3527">
            <v>0</v>
          </cell>
          <cell r="F3527">
            <v>0</v>
          </cell>
          <cell r="H3527">
            <v>4</v>
          </cell>
          <cell r="O3527">
            <v>151374</v>
          </cell>
          <cell r="P3527" t="str">
            <v>2022/203-0079-01</v>
          </cell>
          <cell r="Q3527" t="str">
            <v>EST MESA CENTRO ODESSA MADEIRA CUMARU (BIPARTIDA)</v>
          </cell>
          <cell r="R3527"/>
          <cell r="S3527"/>
          <cell r="T3527">
            <v>1</v>
          </cell>
          <cell r="U3527">
            <v>1</v>
          </cell>
          <cell r="V3527">
            <v>0.15</v>
          </cell>
          <cell r="W3527">
            <v>0</v>
          </cell>
          <cell r="X3527" t="str">
            <v>EST MESA CENTRO ODESSA MADEIRA CUMARU (BIPARTIDA) - 1x1x0,15H</v>
          </cell>
          <cell r="Y3527">
            <v>7429</v>
          </cell>
          <cell r="Z3527">
            <v>0.5</v>
          </cell>
          <cell r="AA3527">
            <v>3714.5</v>
          </cell>
          <cell r="AB3527"/>
        </row>
        <row r="3528">
          <cell r="C3528">
            <v>0</v>
          </cell>
          <cell r="D3528">
            <v>0</v>
          </cell>
          <cell r="E3528">
            <v>0</v>
          </cell>
          <cell r="F3528">
            <v>0</v>
          </cell>
          <cell r="H3528">
            <v>4</v>
          </cell>
          <cell r="O3528">
            <v>151374</v>
          </cell>
          <cell r="P3528" t="str">
            <v>2022/203-0080-01</v>
          </cell>
          <cell r="Q3528" t="str">
            <v>EST MESA CENTRO ODESSA MADEIRA CUMARU (BIPARTIDA)</v>
          </cell>
          <cell r="R3528"/>
          <cell r="S3528"/>
          <cell r="T3528">
            <v>1</v>
          </cell>
          <cell r="U3528">
            <v>1</v>
          </cell>
          <cell r="V3528">
            <v>0.15</v>
          </cell>
          <cell r="W3528">
            <v>0</v>
          </cell>
          <cell r="X3528" t="str">
            <v>EST MESA CENTRO ODESSA MADEIRA CUMARU (BIPARTIDA) - 1x1x0,15H</v>
          </cell>
          <cell r="Y3528">
            <v>7429</v>
          </cell>
          <cell r="Z3528">
            <v>0.5</v>
          </cell>
          <cell r="AA3528">
            <v>3714.5</v>
          </cell>
          <cell r="AB3528"/>
        </row>
        <row r="3529">
          <cell r="C3529">
            <v>0</v>
          </cell>
          <cell r="D3529">
            <v>0</v>
          </cell>
          <cell r="E3529">
            <v>0</v>
          </cell>
          <cell r="F3529">
            <v>0</v>
          </cell>
          <cell r="H3529">
            <v>4</v>
          </cell>
          <cell r="O3529">
            <v>151374</v>
          </cell>
          <cell r="P3529" t="str">
            <v>2022/203-0081-01</v>
          </cell>
          <cell r="Q3529" t="str">
            <v>EST MESA CENTRO ODESSA MADEIRA CUMARU (BIPARTIDA)</v>
          </cell>
          <cell r="R3529"/>
          <cell r="S3529"/>
          <cell r="T3529">
            <v>1</v>
          </cell>
          <cell r="U3529">
            <v>1</v>
          </cell>
          <cell r="V3529">
            <v>0.15</v>
          </cell>
          <cell r="W3529">
            <v>0</v>
          </cell>
          <cell r="X3529" t="str">
            <v>EST MESA CENTRO ODESSA MADEIRA CUMARU (BIPARTIDA) - 1x1x0,15H</v>
          </cell>
          <cell r="Y3529">
            <v>7429</v>
          </cell>
          <cell r="Z3529">
            <v>0.5</v>
          </cell>
          <cell r="AA3529">
            <v>3714.5</v>
          </cell>
          <cell r="AB3529"/>
        </row>
        <row r="3530">
          <cell r="C3530">
            <v>0</v>
          </cell>
          <cell r="D3530">
            <v>0</v>
          </cell>
          <cell r="E3530">
            <v>0</v>
          </cell>
          <cell r="F3530">
            <v>0</v>
          </cell>
          <cell r="H3530">
            <v>1</v>
          </cell>
          <cell r="O3530">
            <v>151391</v>
          </cell>
          <cell r="P3530" t="str">
            <v>2024/260-0020-01</v>
          </cell>
          <cell r="Q3530" t="str">
            <v>EST SOFA GENEVA - ARGILA - TC 11245</v>
          </cell>
          <cell r="R3530"/>
          <cell r="S3530"/>
          <cell r="T3530">
            <v>2.2999999999999998</v>
          </cell>
          <cell r="U3530">
            <v>0.85</v>
          </cell>
          <cell r="V3530">
            <v>0.65</v>
          </cell>
          <cell r="W3530">
            <v>0</v>
          </cell>
          <cell r="X3530" t="str">
            <v>EST SOFA GENEVA - ARGILA - TC 11245 - 2,3x0,85x0,65H</v>
          </cell>
          <cell r="Y3530">
            <v>18069.14</v>
          </cell>
          <cell r="Z3530">
            <v>0.5</v>
          </cell>
          <cell r="AA3530">
            <v>9034.57</v>
          </cell>
          <cell r="AB3530"/>
        </row>
        <row r="3531">
          <cell r="C3531">
            <v>0</v>
          </cell>
          <cell r="D3531">
            <v>0</v>
          </cell>
          <cell r="E3531">
            <v>0</v>
          </cell>
          <cell r="F3531">
            <v>0</v>
          </cell>
          <cell r="H3531">
            <v>1</v>
          </cell>
          <cell r="O3531">
            <v>151450</v>
          </cell>
          <cell r="P3531" t="str">
            <v>2014/216-0101-01</v>
          </cell>
          <cell r="Q3531" t="str">
            <v>EST APARADOR CARAJAS (BAMBU COR 10)</v>
          </cell>
          <cell r="R3531"/>
          <cell r="S3531"/>
          <cell r="T3531">
            <v>2</v>
          </cell>
          <cell r="U3531">
            <v>0.6</v>
          </cell>
          <cell r="V3531">
            <v>0.8</v>
          </cell>
          <cell r="W3531">
            <v>0</v>
          </cell>
          <cell r="X3531" t="str">
            <v>EST APARADOR CARAJAS (BAMBU COR 10) - 2x0,6x0,8H</v>
          </cell>
          <cell r="Y3531">
            <v>20721.12</v>
          </cell>
          <cell r="Z3531">
            <v>0.5</v>
          </cell>
          <cell r="AA3531">
            <v>10360.56</v>
          </cell>
          <cell r="AB3531"/>
        </row>
        <row r="3532">
          <cell r="C3532">
            <v>0</v>
          </cell>
          <cell r="D3532">
            <v>0</v>
          </cell>
          <cell r="E3532">
            <v>0</v>
          </cell>
          <cell r="F3532">
            <v>0</v>
          </cell>
          <cell r="H3532">
            <v>2</v>
          </cell>
          <cell r="O3532">
            <v>151504</v>
          </cell>
          <cell r="P3532" t="str">
            <v>2014/251-0049-01</v>
          </cell>
          <cell r="Q3532" t="str">
            <v>EST POLTRONA MENTARI (TC 4280) (BOULDER C/ALM DECORATIVA)</v>
          </cell>
          <cell r="R3532"/>
          <cell r="S3532"/>
          <cell r="T3532">
            <v>0.73</v>
          </cell>
          <cell r="U3532">
            <v>0.77</v>
          </cell>
          <cell r="V3532">
            <v>0.77</v>
          </cell>
          <cell r="W3532">
            <v>0</v>
          </cell>
          <cell r="X3532" t="str">
            <v>EST POLTRONA MENTARI (TC 4280) (BOULDER C/ALM DECORATIVA) - 0,73x0,77x0,77H</v>
          </cell>
          <cell r="Y3532">
            <v>12513</v>
          </cell>
          <cell r="Z3532">
            <v>0.5</v>
          </cell>
          <cell r="AA3532">
            <v>6256.5</v>
          </cell>
          <cell r="AB3532"/>
        </row>
        <row r="3533">
          <cell r="C3533">
            <v>0</v>
          </cell>
          <cell r="D3533">
            <v>0</v>
          </cell>
          <cell r="E3533">
            <v>0</v>
          </cell>
          <cell r="F3533">
            <v>0</v>
          </cell>
          <cell r="H3533">
            <v>2</v>
          </cell>
          <cell r="O3533">
            <v>151504</v>
          </cell>
          <cell r="P3533" t="str">
            <v>2014/251-0081-01</v>
          </cell>
          <cell r="Q3533" t="str">
            <v>EST POLTRONA MENTARI (TC 4280) (BOULDER C/ALM DECORATIVA)</v>
          </cell>
          <cell r="R3533"/>
          <cell r="S3533"/>
          <cell r="T3533">
            <v>0.73</v>
          </cell>
          <cell r="U3533">
            <v>0.77</v>
          </cell>
          <cell r="V3533">
            <v>0.77</v>
          </cell>
          <cell r="W3533">
            <v>0</v>
          </cell>
          <cell r="X3533" t="str">
            <v>EST POLTRONA MENTARI (TC 4280) (BOULDER C/ALM DECORATIVA) - 0,73x0,77x0,77H</v>
          </cell>
          <cell r="Y3533">
            <v>12513</v>
          </cell>
          <cell r="Z3533">
            <v>0.5</v>
          </cell>
          <cell r="AA3533">
            <v>6256.5</v>
          </cell>
          <cell r="AB3533"/>
        </row>
        <row r="3534">
          <cell r="C3534">
            <v>0</v>
          </cell>
          <cell r="D3534">
            <v>0</v>
          </cell>
          <cell r="E3534">
            <v>0</v>
          </cell>
          <cell r="F3534">
            <v>0</v>
          </cell>
          <cell r="H3534">
            <v>2</v>
          </cell>
          <cell r="O3534">
            <v>151602</v>
          </cell>
          <cell r="P3534" t="str">
            <v>2014/241-0053-01</v>
          </cell>
          <cell r="Q3534" t="str">
            <v>EST CADEIRA NICK C/BRACO (ROTIN APUI NATURAL) (TC LINHO 505)</v>
          </cell>
          <cell r="R3534"/>
          <cell r="S3534"/>
          <cell r="T3534">
            <v>0.56999999999999995</v>
          </cell>
          <cell r="U3534">
            <v>0.6</v>
          </cell>
          <cell r="V3534">
            <v>0.94</v>
          </cell>
          <cell r="W3534">
            <v>0</v>
          </cell>
          <cell r="X3534" t="str">
            <v>EST CADEIRA NICK C/BRACO (ROTIN APUI NATURAL) (TC LINHO 505) - 0,57x0,6x0,94H</v>
          </cell>
          <cell r="Y3534">
            <v>6388.48</v>
          </cell>
          <cell r="Z3534">
            <v>0.5</v>
          </cell>
          <cell r="AA3534">
            <v>3194.24</v>
          </cell>
          <cell r="AB3534"/>
        </row>
        <row r="3535">
          <cell r="C3535">
            <v>0</v>
          </cell>
          <cell r="D3535">
            <v>0</v>
          </cell>
          <cell r="E3535">
            <v>0</v>
          </cell>
          <cell r="F3535">
            <v>0</v>
          </cell>
          <cell r="H3535">
            <v>2</v>
          </cell>
          <cell r="O3535">
            <v>151602</v>
          </cell>
          <cell r="P3535" t="str">
            <v>2014/241-0054-01</v>
          </cell>
          <cell r="Q3535" t="str">
            <v>EST CADEIRA NICK C/BRACO (ROTIN APUI NATURAL) (TC LINHO 505)</v>
          </cell>
          <cell r="R3535"/>
          <cell r="S3535"/>
          <cell r="T3535">
            <v>0.56999999999999995</v>
          </cell>
          <cell r="U3535">
            <v>0.6</v>
          </cell>
          <cell r="V3535">
            <v>0.94</v>
          </cell>
          <cell r="W3535">
            <v>0</v>
          </cell>
          <cell r="X3535" t="str">
            <v>EST CADEIRA NICK C/BRACO (ROTIN APUI NATURAL) (TC LINHO 505) - 0,57x0,6x0,94H</v>
          </cell>
          <cell r="Y3535">
            <v>6388.48</v>
          </cell>
          <cell r="Z3535">
            <v>0.5</v>
          </cell>
          <cell r="AA3535">
            <v>3194.24</v>
          </cell>
          <cell r="AB3535"/>
        </row>
        <row r="3536">
          <cell r="C3536">
            <v>0</v>
          </cell>
          <cell r="D3536">
            <v>0</v>
          </cell>
          <cell r="E3536">
            <v>0</v>
          </cell>
          <cell r="F3536">
            <v>0</v>
          </cell>
          <cell r="H3536">
            <v>0</v>
          </cell>
          <cell r="O3536">
            <v>151605</v>
          </cell>
          <cell r="P3536" t="str">
            <v>2014/241-0105-01</v>
          </cell>
          <cell r="Q3536" t="str">
            <v>EST MESA JANTAR SAMOA (TABOA TRAMA GOTA NATURAL)</v>
          </cell>
          <cell r="R3536"/>
          <cell r="S3536"/>
          <cell r="T3536">
            <v>0.9</v>
          </cell>
          <cell r="U3536">
            <v>0</v>
          </cell>
          <cell r="V3536">
            <v>0.75</v>
          </cell>
          <cell r="W3536">
            <v>0.9</v>
          </cell>
          <cell r="X3536" t="str">
            <v>EST MESA JANTAR SAMOA (TABOA TRAMA GOTA NATURAL) - Ø0,9x0,75H</v>
          </cell>
          <cell r="Y3536">
            <v>6086.08</v>
          </cell>
          <cell r="Z3536">
            <v>0.5</v>
          </cell>
          <cell r="AA3536">
            <v>3043.04</v>
          </cell>
          <cell r="AB3536"/>
        </row>
        <row r="3537"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H3537">
            <v>1</v>
          </cell>
          <cell r="O3537">
            <v>162905</v>
          </cell>
          <cell r="P3537" t="str">
            <v>2015/037-0045-01</v>
          </cell>
          <cell r="Q3537" t="str">
            <v>EST MOVEL BAR FORZATTO CARVALHO NAT/PORTAS BRINZE</v>
          </cell>
          <cell r="R3537"/>
          <cell r="S3537"/>
          <cell r="T3537">
            <v>1</v>
          </cell>
          <cell r="U3537">
            <v>0.5</v>
          </cell>
          <cell r="V3537">
            <v>0.9</v>
          </cell>
          <cell r="W3537">
            <v>0</v>
          </cell>
          <cell r="X3537" t="str">
            <v>EST MOVEL BAR FORZATTO CARVALHO NAT/PORTAS BRINZE - 1x0,5x0,9H</v>
          </cell>
          <cell r="Y3537">
            <v>13440</v>
          </cell>
          <cell r="Z3537">
            <v>0.5</v>
          </cell>
          <cell r="AA3537">
            <v>6720</v>
          </cell>
          <cell r="AB3537"/>
        </row>
        <row r="3538">
          <cell r="C3538">
            <v>0</v>
          </cell>
          <cell r="D3538">
            <v>0</v>
          </cell>
          <cell r="E3538">
            <v>0</v>
          </cell>
          <cell r="F3538">
            <v>0</v>
          </cell>
          <cell r="H3538">
            <v>0</v>
          </cell>
          <cell r="O3538">
            <v>180702</v>
          </cell>
          <cell r="P3538" t="str">
            <v>2016/082-0105-01</v>
          </cell>
          <cell r="Q3538" t="str">
            <v>EST CADEIRA CHANNEL TC2208 (PE PRETO)</v>
          </cell>
          <cell r="R3538"/>
          <cell r="S3538"/>
          <cell r="T3538">
            <v>0.51</v>
          </cell>
          <cell r="U3538">
            <v>0.52</v>
          </cell>
          <cell r="V3538">
            <v>0.86</v>
          </cell>
          <cell r="W3538">
            <v>0</v>
          </cell>
          <cell r="X3538" t="str">
            <v>EST CADEIRA CHANNEL TC2208 (PE PRETO) - 0,51x0,52x0,86H</v>
          </cell>
          <cell r="Y3538">
            <v>2688</v>
          </cell>
          <cell r="Z3538">
            <v>0.5</v>
          </cell>
          <cell r="AA3538">
            <v>1344</v>
          </cell>
          <cell r="AB3538"/>
        </row>
        <row r="3539">
          <cell r="C3539">
            <v>0</v>
          </cell>
          <cell r="D3539">
            <v>0</v>
          </cell>
          <cell r="E3539">
            <v>0</v>
          </cell>
          <cell r="F3539">
            <v>0</v>
          </cell>
          <cell r="H3539">
            <v>1</v>
          </cell>
          <cell r="O3539">
            <v>181594</v>
          </cell>
          <cell r="P3539" t="str">
            <v>2015/316-0006-01</v>
          </cell>
          <cell r="Q3539" t="str">
            <v>EST BASE JANTAR COPACABANA (PINTURA PRETA)</v>
          </cell>
          <cell r="R3539"/>
          <cell r="S3539"/>
          <cell r="T3539">
            <v>1</v>
          </cell>
          <cell r="U3539">
            <v>0.6</v>
          </cell>
          <cell r="V3539">
            <v>0.7</v>
          </cell>
          <cell r="W3539">
            <v>0</v>
          </cell>
          <cell r="X3539" t="str">
            <v>EST BASE JANTAR COPACABANA (PINTURA PRETA) - 1x0,6x0,7H</v>
          </cell>
          <cell r="Y3539">
            <v>11248.12</v>
          </cell>
          <cell r="Z3539">
            <v>0.5</v>
          </cell>
          <cell r="AA3539">
            <v>5624.06</v>
          </cell>
          <cell r="AB3539"/>
        </row>
        <row r="3540">
          <cell r="C3540">
            <v>0</v>
          </cell>
          <cell r="D3540">
            <v>0</v>
          </cell>
          <cell r="E3540">
            <v>0</v>
          </cell>
          <cell r="F3540">
            <v>0</v>
          </cell>
          <cell r="H3540">
            <v>2</v>
          </cell>
          <cell r="O3540">
            <v>182607</v>
          </cell>
          <cell r="P3540" t="str">
            <v>2016/019-0055-01</v>
          </cell>
          <cell r="Q3540" t="str">
            <v>EST POLTRONA PAINEIRAS (FIBRA FB43 - ESTONADO CRU TC Q151)</v>
          </cell>
          <cell r="R3540"/>
          <cell r="S3540"/>
          <cell r="T3540">
            <v>0.92</v>
          </cell>
          <cell r="U3540">
            <v>0.8</v>
          </cell>
          <cell r="V3540">
            <v>0.8</v>
          </cell>
          <cell r="W3540">
            <v>0</v>
          </cell>
          <cell r="X3540" t="str">
            <v>EST POLTRONA PAINEIRAS (FIBRA FB43 - ESTONADO CRU TC Q151) - 0,92x0,8x0,8H</v>
          </cell>
          <cell r="Y3540">
            <v>10631.04</v>
          </cell>
          <cell r="Z3540">
            <v>0.5</v>
          </cell>
          <cell r="AA3540">
            <v>5315.52</v>
          </cell>
          <cell r="AB3540"/>
        </row>
        <row r="3541">
          <cell r="C3541">
            <v>0</v>
          </cell>
          <cell r="D3541">
            <v>0</v>
          </cell>
          <cell r="E3541">
            <v>0</v>
          </cell>
          <cell r="F3541">
            <v>0</v>
          </cell>
          <cell r="H3541">
            <v>2</v>
          </cell>
          <cell r="O3541">
            <v>182607</v>
          </cell>
          <cell r="P3541" t="str">
            <v>2016/019-0056-01</v>
          </cell>
          <cell r="Q3541" t="str">
            <v>EST POLTRONA PAINEIRAS (FIBRA FB43 - ESTONADO CRU TC Q151)</v>
          </cell>
          <cell r="R3541"/>
          <cell r="S3541"/>
          <cell r="T3541">
            <v>0.92</v>
          </cell>
          <cell r="U3541">
            <v>0.8</v>
          </cell>
          <cell r="V3541">
            <v>0.8</v>
          </cell>
          <cell r="W3541">
            <v>0</v>
          </cell>
          <cell r="X3541" t="str">
            <v>EST POLTRONA PAINEIRAS (FIBRA FB43 - ESTONADO CRU TC Q151) - 0,92x0,8x0,8H</v>
          </cell>
          <cell r="Y3541">
            <v>10631.04</v>
          </cell>
          <cell r="Z3541">
            <v>0.5</v>
          </cell>
          <cell r="AA3541">
            <v>5315.52</v>
          </cell>
          <cell r="AB3541"/>
        </row>
        <row r="3542">
          <cell r="C3542">
            <v>0</v>
          </cell>
          <cell r="D3542">
            <v>0</v>
          </cell>
          <cell r="E3542">
            <v>0</v>
          </cell>
          <cell r="F3542">
            <v>0</v>
          </cell>
          <cell r="H3542">
            <v>1</v>
          </cell>
          <cell r="O3542">
            <v>182711</v>
          </cell>
          <cell r="P3542" t="str">
            <v>2016/019-0144-01</v>
          </cell>
          <cell r="Q3542" t="str">
            <v>EST APARADOR AMALFI (TAMPO LC BRANCA BRIL) (BS LC FSC PRETA)</v>
          </cell>
          <cell r="R3542"/>
          <cell r="S3542"/>
          <cell r="T3542">
            <v>2.4</v>
          </cell>
          <cell r="U3542">
            <v>0.43</v>
          </cell>
          <cell r="V3542">
            <v>0.75</v>
          </cell>
          <cell r="W3542">
            <v>0</v>
          </cell>
          <cell r="X3542" t="str">
            <v>EST APARADOR AMALFI (TAMPO LC BRANCA BRIL) (BS LC FSC PRETA) - 2,4x0,43x0,75H</v>
          </cell>
          <cell r="Y3542">
            <v>19173.5</v>
          </cell>
          <cell r="Z3542">
            <v>0.5</v>
          </cell>
          <cell r="AA3542">
            <v>9586.75</v>
          </cell>
          <cell r="AB3542"/>
        </row>
        <row r="3543">
          <cell r="C3543">
            <v>0</v>
          </cell>
          <cell r="D3543">
            <v>0</v>
          </cell>
          <cell r="E3543">
            <v>0</v>
          </cell>
          <cell r="F3543">
            <v>0</v>
          </cell>
          <cell r="H3543">
            <v>2</v>
          </cell>
          <cell r="O3543">
            <v>204756</v>
          </cell>
          <cell r="P3543" t="str">
            <v>2016/329-0003-01</v>
          </cell>
          <cell r="Q3543" t="str">
            <v>EST CADEIRA ZAZ (MADEIRA NATURAL) (TELA NATURAL) (TC 402A)</v>
          </cell>
          <cell r="R3543"/>
          <cell r="S3543"/>
          <cell r="T3543">
            <v>0.61</v>
          </cell>
          <cell r="U3543">
            <v>0.62</v>
          </cell>
          <cell r="V3543">
            <v>0.77</v>
          </cell>
          <cell r="W3543">
            <v>0</v>
          </cell>
          <cell r="X3543" t="str">
            <v>EST CADEIRA ZAZ (MADEIRA NATURAL) (TELA NATURAL) (TC 402A) - 0,61x0,62x0,77H</v>
          </cell>
          <cell r="Y3543">
            <v>3270.4</v>
          </cell>
          <cell r="Z3543">
            <v>0.5</v>
          </cell>
          <cell r="AA3543">
            <v>1635.2</v>
          </cell>
          <cell r="AB3543"/>
        </row>
        <row r="3544">
          <cell r="C3544">
            <v>0</v>
          </cell>
          <cell r="D3544">
            <v>0</v>
          </cell>
          <cell r="E3544">
            <v>0</v>
          </cell>
          <cell r="F3544">
            <v>0</v>
          </cell>
          <cell r="H3544">
            <v>2</v>
          </cell>
          <cell r="O3544">
            <v>204756</v>
          </cell>
          <cell r="P3544" t="str">
            <v>2016/329-0004-01</v>
          </cell>
          <cell r="Q3544" t="str">
            <v>EST CADEIRA ZAZ (MADEIRA NATURAL) (TELA NATURAL) (TC 402A)</v>
          </cell>
          <cell r="R3544"/>
          <cell r="S3544"/>
          <cell r="T3544">
            <v>0.61</v>
          </cell>
          <cell r="U3544">
            <v>0.62</v>
          </cell>
          <cell r="V3544">
            <v>0.77</v>
          </cell>
          <cell r="W3544">
            <v>0</v>
          </cell>
          <cell r="X3544" t="str">
            <v>EST CADEIRA ZAZ (MADEIRA NATURAL) (TELA NATURAL) (TC 402A) - 0,61x0,62x0,77H</v>
          </cell>
          <cell r="Y3544">
            <v>3270.4</v>
          </cell>
          <cell r="Z3544">
            <v>0.5</v>
          </cell>
          <cell r="AA3544">
            <v>1635.2</v>
          </cell>
          <cell r="AB3544"/>
        </row>
        <row r="3545">
          <cell r="C3545">
            <v>0</v>
          </cell>
          <cell r="D3545">
            <v>0</v>
          </cell>
          <cell r="E3545">
            <v>0</v>
          </cell>
          <cell r="F3545">
            <v>0</v>
          </cell>
          <cell r="H3545">
            <v>2</v>
          </cell>
          <cell r="O3545">
            <v>210383</v>
          </cell>
          <cell r="P3545" t="str">
            <v>2017/160-0014-01</v>
          </cell>
          <cell r="Q3545" t="str">
            <v>EST POLTRONA IRIS TC600 C/3 VIVO 580 C4/ PES CINZA 95X80X90</v>
          </cell>
          <cell r="R3545"/>
          <cell r="S3545"/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 t="str">
            <v>EST POLTRONA IRIS TC600 C/3 VIVO 580 C4/ PES CINZA 95X80X90 - Ø0x0H</v>
          </cell>
          <cell r="Y3545">
            <v>12114.77</v>
          </cell>
          <cell r="Z3545">
            <v>0.5</v>
          </cell>
          <cell r="AA3545">
            <v>6057.3850000000002</v>
          </cell>
          <cell r="AB3545"/>
        </row>
        <row r="3546">
          <cell r="C3546">
            <v>0</v>
          </cell>
          <cell r="D3546">
            <v>0</v>
          </cell>
          <cell r="E3546">
            <v>0</v>
          </cell>
          <cell r="F3546">
            <v>0</v>
          </cell>
          <cell r="H3546">
            <v>2</v>
          </cell>
          <cell r="O3546">
            <v>210383</v>
          </cell>
          <cell r="P3546" t="str">
            <v>2017/160-0015-01</v>
          </cell>
          <cell r="Q3546" t="str">
            <v>EST POLTRONA IRIS TC600 C/3 VIVO 580 C4/ PES CINZA 95X80X90</v>
          </cell>
          <cell r="R3546"/>
          <cell r="S3546"/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 t="str">
            <v>EST POLTRONA IRIS TC600 C/3 VIVO 580 C4/ PES CINZA 95X80X90 - Ø0x0H</v>
          </cell>
          <cell r="Y3546">
            <v>12114.77</v>
          </cell>
          <cell r="Z3546">
            <v>0.5</v>
          </cell>
          <cell r="AA3546">
            <v>6057.3850000000002</v>
          </cell>
          <cell r="AB3546"/>
        </row>
        <row r="3547">
          <cell r="C3547">
            <v>0</v>
          </cell>
          <cell r="D3547">
            <v>0</v>
          </cell>
          <cell r="E3547">
            <v>0</v>
          </cell>
          <cell r="F3547">
            <v>0</v>
          </cell>
          <cell r="H3547">
            <v>1</v>
          </cell>
          <cell r="O3547">
            <v>213130</v>
          </cell>
          <cell r="P3547" t="str">
            <v>2017/142-0001-01</v>
          </cell>
          <cell r="Q3547" t="str">
            <v>EST MODULO S/B C/PUFF DIR CHATEAU (MTX PRETO) TC B2023</v>
          </cell>
          <cell r="R3547"/>
          <cell r="S3547"/>
          <cell r="T3547">
            <v>1.85</v>
          </cell>
          <cell r="U3547">
            <v>1.1000000000000001</v>
          </cell>
          <cell r="V3547">
            <v>0.94</v>
          </cell>
          <cell r="W3547">
            <v>0</v>
          </cell>
          <cell r="X3547" t="str">
            <v>EST MODULO S/B C/PUFF DIR CHATEAU (MTX PRETO) TC B2023 - 1,85x1,1x0,94H</v>
          </cell>
          <cell r="Y3547">
            <v>19307.810000000001</v>
          </cell>
          <cell r="Z3547">
            <v>0.5</v>
          </cell>
          <cell r="AA3547">
            <v>9653.9050000000007</v>
          </cell>
          <cell r="AB3547"/>
        </row>
        <row r="3548">
          <cell r="C3548">
            <v>0</v>
          </cell>
          <cell r="D3548">
            <v>0</v>
          </cell>
          <cell r="E3548">
            <v>0</v>
          </cell>
          <cell r="F3548">
            <v>0</v>
          </cell>
          <cell r="H3548">
            <v>2</v>
          </cell>
          <cell r="O3548">
            <v>221148</v>
          </cell>
          <cell r="P3548" t="str">
            <v>2018/176-0052-01</v>
          </cell>
          <cell r="Q3548" t="str">
            <v>EST CADEIRA WING MISTA (TELA SEXTAVADA NT) TC 110</v>
          </cell>
          <cell r="R3548"/>
          <cell r="S3548"/>
          <cell r="T3548">
            <v>0.56000000000000005</v>
          </cell>
          <cell r="U3548">
            <v>0.54</v>
          </cell>
          <cell r="V3548">
            <v>0.84</v>
          </cell>
          <cell r="W3548">
            <v>0</v>
          </cell>
          <cell r="X3548" t="str">
            <v>EST CADEIRA WING MISTA (TELA SEXTAVADA NT) TC 110 - 0,56x0,54x0,84H</v>
          </cell>
          <cell r="Y3548">
            <v>3827.94</v>
          </cell>
          <cell r="Z3548">
            <v>0.5</v>
          </cell>
          <cell r="AA3548">
            <v>1913.97</v>
          </cell>
          <cell r="AB3548"/>
        </row>
        <row r="3549">
          <cell r="C3549">
            <v>0</v>
          </cell>
          <cell r="D3549">
            <v>0</v>
          </cell>
          <cell r="E3549">
            <v>0</v>
          </cell>
          <cell r="F3549">
            <v>0</v>
          </cell>
          <cell r="H3549">
            <v>2</v>
          </cell>
          <cell r="O3549">
            <v>221148</v>
          </cell>
          <cell r="P3549" t="str">
            <v>2018/176-0054-01</v>
          </cell>
          <cell r="Q3549" t="str">
            <v>EST CADEIRA WING MISTA (TELA SEXTAVADA NT) TC 110</v>
          </cell>
          <cell r="R3549"/>
          <cell r="S3549"/>
          <cell r="T3549">
            <v>0.56000000000000005</v>
          </cell>
          <cell r="U3549">
            <v>0.54</v>
          </cell>
          <cell r="V3549">
            <v>0.84</v>
          </cell>
          <cell r="W3549">
            <v>0</v>
          </cell>
          <cell r="X3549" t="str">
            <v>EST CADEIRA WING MISTA (TELA SEXTAVADA NT) TC 110 - 0,56x0,54x0,84H</v>
          </cell>
          <cell r="Y3549">
            <v>3827.94</v>
          </cell>
          <cell r="Z3549">
            <v>0.5</v>
          </cell>
          <cell r="AA3549">
            <v>1913.97</v>
          </cell>
          <cell r="AB3549"/>
        </row>
        <row r="3550">
          <cell r="C3550">
            <v>0</v>
          </cell>
          <cell r="D3550">
            <v>0</v>
          </cell>
          <cell r="E3550">
            <v>0</v>
          </cell>
          <cell r="F3550">
            <v>0</v>
          </cell>
          <cell r="H3550">
            <v>2</v>
          </cell>
          <cell r="O3550">
            <v>223322</v>
          </cell>
          <cell r="P3550" t="str">
            <v>2018/204-0082-01</v>
          </cell>
          <cell r="Q3550" t="str">
            <v>EST CADEIRA MOI (LAM CARV PT) (TC LISO COURISSIMO GELO)</v>
          </cell>
          <cell r="R3550"/>
          <cell r="S3550"/>
          <cell r="T3550">
            <v>0.48</v>
          </cell>
          <cell r="U3550">
            <v>0.56999999999999995</v>
          </cell>
          <cell r="V3550">
            <v>0.82</v>
          </cell>
          <cell r="W3550">
            <v>0</v>
          </cell>
          <cell r="X3550" t="str">
            <v>EST CADEIRA MOI (LAM CARV PT) (TC LISO COURISSIMO GELO) - 0,48x0,57x0,82H</v>
          </cell>
          <cell r="Y3550">
            <v>9101.7900000000009</v>
          </cell>
          <cell r="Z3550">
            <v>0.5</v>
          </cell>
          <cell r="AA3550">
            <v>4550.8950000000004</v>
          </cell>
          <cell r="AB3550"/>
        </row>
        <row r="3551">
          <cell r="C3551">
            <v>0</v>
          </cell>
          <cell r="D3551">
            <v>0</v>
          </cell>
          <cell r="E3551">
            <v>0</v>
          </cell>
          <cell r="F3551">
            <v>0</v>
          </cell>
          <cell r="H3551">
            <v>2</v>
          </cell>
          <cell r="O3551">
            <v>223322</v>
          </cell>
          <cell r="P3551" t="str">
            <v>2018/204-0083-01</v>
          </cell>
          <cell r="Q3551" t="str">
            <v>EST CADEIRA MOI (LAM CARV PT) (TC LISO COURISSIMO GELO)</v>
          </cell>
          <cell r="R3551"/>
          <cell r="S3551"/>
          <cell r="T3551">
            <v>0.48</v>
          </cell>
          <cell r="U3551">
            <v>0.56999999999999995</v>
          </cell>
          <cell r="V3551">
            <v>0.82</v>
          </cell>
          <cell r="W3551">
            <v>0</v>
          </cell>
          <cell r="X3551" t="str">
            <v>EST CADEIRA MOI (LAM CARV PT) (TC LISO COURISSIMO GELO) - 0,48x0,57x0,82H</v>
          </cell>
          <cell r="Y3551">
            <v>9101.7900000000009</v>
          </cell>
          <cell r="Z3551">
            <v>0.5</v>
          </cell>
          <cell r="AA3551">
            <v>4550.8950000000004</v>
          </cell>
          <cell r="AB3551"/>
        </row>
        <row r="3552">
          <cell r="C3552">
            <v>0</v>
          </cell>
          <cell r="D3552">
            <v>0</v>
          </cell>
          <cell r="E3552">
            <v>0</v>
          </cell>
          <cell r="F3552">
            <v>0</v>
          </cell>
          <cell r="H3552">
            <v>1</v>
          </cell>
          <cell r="O3552">
            <v>223337</v>
          </cell>
          <cell r="P3552" t="str">
            <v>2018/214-0018-01</v>
          </cell>
          <cell r="Q3552" t="str">
            <v>EST MESA LATERAL MARI (SAYERLACK M135 FOSCO)</v>
          </cell>
          <cell r="R3552"/>
          <cell r="S3552"/>
          <cell r="T3552">
            <v>0.32</v>
          </cell>
          <cell r="U3552">
            <v>0</v>
          </cell>
          <cell r="V3552">
            <v>0.5</v>
          </cell>
          <cell r="W3552">
            <v>0.32</v>
          </cell>
          <cell r="X3552" t="str">
            <v>EST MESA LATERAL MARI (SAYERLACK M135 FOSCO) - Ø0,32x0,5H</v>
          </cell>
          <cell r="Y3552">
            <v>3377.92</v>
          </cell>
          <cell r="Z3552">
            <v>0.5</v>
          </cell>
          <cell r="AA3552">
            <v>1688.96</v>
          </cell>
          <cell r="AB3552"/>
        </row>
        <row r="3553">
          <cell r="C3553">
            <v>0</v>
          </cell>
          <cell r="D3553">
            <v>0</v>
          </cell>
          <cell r="E3553">
            <v>0</v>
          </cell>
          <cell r="F3553">
            <v>0</v>
          </cell>
          <cell r="H3553">
            <v>1</v>
          </cell>
          <cell r="O3553">
            <v>223340</v>
          </cell>
          <cell r="P3553" t="str">
            <v>2018/156-0100-01</v>
          </cell>
          <cell r="Q3553" t="str">
            <v>EST POLTRONA DIX MEL CLARO TC607A</v>
          </cell>
          <cell r="R3553"/>
          <cell r="S3553"/>
          <cell r="T3553">
            <v>0.72</v>
          </cell>
          <cell r="U3553">
            <v>0.65</v>
          </cell>
          <cell r="V3553">
            <v>0.74</v>
          </cell>
          <cell r="W3553">
            <v>0</v>
          </cell>
          <cell r="X3553" t="str">
            <v>EST POLTRONA DIX MEL CLARO TC607A - 0,72x0,65x0,74H</v>
          </cell>
          <cell r="Y3553">
            <v>8960</v>
          </cell>
          <cell r="Z3553">
            <v>0.5</v>
          </cell>
          <cell r="AA3553">
            <v>4480</v>
          </cell>
          <cell r="AB3553"/>
        </row>
        <row r="3554">
          <cell r="C3554">
            <v>0</v>
          </cell>
          <cell r="D3554">
            <v>0</v>
          </cell>
          <cell r="E3554">
            <v>0</v>
          </cell>
          <cell r="F3554">
            <v>0</v>
          </cell>
          <cell r="H3554">
            <v>1</v>
          </cell>
          <cell r="O3554">
            <v>224528</v>
          </cell>
          <cell r="P3554" t="str">
            <v>2018/247-0007-01</v>
          </cell>
          <cell r="Q3554" t="str">
            <v>EST MESA JANTAR MANZANA (TP/BS LOURO PRETO/PILAR MTX PRETO)</v>
          </cell>
          <cell r="R3554"/>
          <cell r="S3554"/>
          <cell r="T3554">
            <v>2.97</v>
          </cell>
          <cell r="U3554">
            <v>1.18</v>
          </cell>
          <cell r="V3554">
            <v>0.75</v>
          </cell>
          <cell r="W3554">
            <v>0</v>
          </cell>
          <cell r="X3554" t="str">
            <v>EST MESA JANTAR MANZANA (TP/BS LOURO PRETO/PILAR MTX PRETO) - 2,97x1,18x0,75H</v>
          </cell>
          <cell r="Y3554">
            <v>53516.74</v>
          </cell>
          <cell r="Z3554">
            <v>0.5</v>
          </cell>
          <cell r="AA3554">
            <v>26758.37</v>
          </cell>
          <cell r="AB3554"/>
        </row>
        <row r="3555">
          <cell r="C3555">
            <v>0</v>
          </cell>
          <cell r="D3555">
            <v>0</v>
          </cell>
          <cell r="E3555">
            <v>0</v>
          </cell>
          <cell r="F3555">
            <v>0</v>
          </cell>
          <cell r="H3555">
            <v>1</v>
          </cell>
          <cell r="O3555">
            <v>252251</v>
          </cell>
          <cell r="P3555" t="str">
            <v>2019/304-0016-01</v>
          </cell>
          <cell r="Q3555" t="str">
            <v>EST PUFF BABI TC 95029 (PES PRETO)</v>
          </cell>
          <cell r="R3555"/>
          <cell r="S3555"/>
          <cell r="T3555">
            <v>0.46</v>
          </cell>
          <cell r="U3555">
            <v>0.46</v>
          </cell>
          <cell r="V3555">
            <v>0.47</v>
          </cell>
          <cell r="W3555">
            <v>0</v>
          </cell>
          <cell r="X3555" t="str">
            <v>EST PUFF BABI TC 95029 (PES PRETO) - 0,46x0,46x0,47H</v>
          </cell>
          <cell r="Y3555">
            <v>1832.32</v>
          </cell>
          <cell r="Z3555">
            <v>0.5</v>
          </cell>
          <cell r="AA3555">
            <v>916.16</v>
          </cell>
          <cell r="AB3555"/>
        </row>
        <row r="3556">
          <cell r="C3556">
            <v>0</v>
          </cell>
          <cell r="D3556">
            <v>0</v>
          </cell>
          <cell r="E3556">
            <v>0</v>
          </cell>
          <cell r="F3556">
            <v>0</v>
          </cell>
          <cell r="H3556">
            <v>1</v>
          </cell>
          <cell r="O3556">
            <v>254163</v>
          </cell>
          <cell r="P3556" t="str">
            <v>2024/243-0019-01</v>
          </cell>
          <cell r="Q3556" t="str">
            <v>EST BANCO EVO (MADEIRA NATURAL)</v>
          </cell>
          <cell r="R3556"/>
          <cell r="S3556"/>
          <cell r="T3556">
            <v>0.39</v>
          </cell>
          <cell r="U3556">
            <v>0.37</v>
          </cell>
          <cell r="V3556">
            <v>0.46</v>
          </cell>
          <cell r="W3556">
            <v>0</v>
          </cell>
          <cell r="X3556" t="str">
            <v>EST BANCO EVO (MADEIRA NATURAL) - 0,39x0,37x0,46H</v>
          </cell>
          <cell r="Y3556">
            <v>3046.4</v>
          </cell>
          <cell r="Z3556">
            <v>0.5</v>
          </cell>
          <cell r="AA3556">
            <v>1523.2</v>
          </cell>
          <cell r="AB3556"/>
        </row>
        <row r="3557">
          <cell r="C3557">
            <v>0</v>
          </cell>
          <cell r="D3557">
            <v>0</v>
          </cell>
          <cell r="E3557">
            <v>0</v>
          </cell>
          <cell r="F3557">
            <v>0</v>
          </cell>
          <cell r="H3557">
            <v>1</v>
          </cell>
          <cell r="O3557">
            <v>255749</v>
          </cell>
          <cell r="P3557" t="str">
            <v>2020/078-0013-01</v>
          </cell>
          <cell r="Q3557" t="str">
            <v>EST BUFFET AD (RESINA OFF WHITE)</v>
          </cell>
          <cell r="R3557"/>
          <cell r="S3557"/>
          <cell r="T3557">
            <v>2.73</v>
          </cell>
          <cell r="U3557">
            <v>0.5</v>
          </cell>
          <cell r="V3557">
            <v>0.77</v>
          </cell>
          <cell r="W3557">
            <v>0</v>
          </cell>
          <cell r="X3557" t="str">
            <v>EST BUFFET AD (RESINA OFF WHITE) - 2,73x0,5x0,77H</v>
          </cell>
          <cell r="Y3557">
            <v>64628.17</v>
          </cell>
          <cell r="Z3557">
            <v>0.5</v>
          </cell>
          <cell r="AA3557">
            <v>32314.084999999999</v>
          </cell>
          <cell r="AB3557"/>
        </row>
        <row r="3558">
          <cell r="C3558">
            <v>0</v>
          </cell>
          <cell r="D3558">
            <v>0</v>
          </cell>
          <cell r="E3558">
            <v>0</v>
          </cell>
          <cell r="F3558">
            <v>0</v>
          </cell>
          <cell r="H3558">
            <v>1</v>
          </cell>
          <cell r="O3558">
            <v>256188</v>
          </cell>
          <cell r="P3558" t="str">
            <v>2021/183-0061-01</v>
          </cell>
          <cell r="Q3558" t="str">
            <v>EST MESA CENTRO POSH BD NOCE/CARV LIGHT/C CAMEL</v>
          </cell>
          <cell r="R3558"/>
          <cell r="S3558"/>
          <cell r="T3558">
            <v>2</v>
          </cell>
          <cell r="U3558">
            <v>0.45</v>
          </cell>
          <cell r="V3558">
            <v>0.49</v>
          </cell>
          <cell r="W3558">
            <v>0</v>
          </cell>
          <cell r="X3558" t="str">
            <v>EST MESA CENTRO POSH BD NOCE/CARV LIGHT/C CAMEL - 2x0,45x0,49H</v>
          </cell>
          <cell r="Y3558">
            <v>13872.14</v>
          </cell>
          <cell r="Z3558">
            <v>0.5</v>
          </cell>
          <cell r="AA3558">
            <v>6936.07</v>
          </cell>
          <cell r="AB3558"/>
        </row>
        <row r="3559">
          <cell r="C3559">
            <v>0</v>
          </cell>
          <cell r="D3559">
            <v>0</v>
          </cell>
          <cell r="E3559">
            <v>0</v>
          </cell>
          <cell r="F3559">
            <v>0</v>
          </cell>
          <cell r="H3559">
            <v>2</v>
          </cell>
          <cell r="O3559">
            <v>292636</v>
          </cell>
          <cell r="P3559" t="str">
            <v>2024/243-0007-01</v>
          </cell>
          <cell r="Q3559" t="str">
            <v>EST BANQUETA MAKALU (COURO TP3)</v>
          </cell>
          <cell r="R3559"/>
          <cell r="S3559"/>
          <cell r="T3559">
            <v>1.05</v>
          </cell>
          <cell r="U3559">
            <v>0.85</v>
          </cell>
          <cell r="V3559">
            <v>0.46</v>
          </cell>
          <cell r="W3559">
            <v>0</v>
          </cell>
          <cell r="X3559" t="str">
            <v>EST BANQUETA MAKALU (COURO TP3) - 1,05x0,85x0,46H</v>
          </cell>
          <cell r="Y3559">
            <v>17168.93</v>
          </cell>
          <cell r="Z3559">
            <v>0.5</v>
          </cell>
          <cell r="AA3559">
            <v>8584.4650000000001</v>
          </cell>
          <cell r="AB3559"/>
        </row>
        <row r="3560">
          <cell r="C3560">
            <v>0</v>
          </cell>
          <cell r="D3560">
            <v>0</v>
          </cell>
          <cell r="E3560">
            <v>0</v>
          </cell>
          <cell r="F3560">
            <v>0</v>
          </cell>
          <cell r="H3560">
            <v>3</v>
          </cell>
          <cell r="O3560">
            <v>81474</v>
          </cell>
          <cell r="P3560" t="str">
            <v>1012/307-3275-01</v>
          </cell>
          <cell r="Q3560" t="str">
            <v>EST ESTANTE EIXO (MODULO F) (FREIJO ENVELHECIDO)</v>
          </cell>
          <cell r="R3560"/>
          <cell r="S3560"/>
          <cell r="T3560">
            <v>0.3</v>
          </cell>
          <cell r="U3560">
            <v>0.25</v>
          </cell>
          <cell r="V3560">
            <v>0.35</v>
          </cell>
          <cell r="W3560">
            <v>0</v>
          </cell>
          <cell r="X3560" t="str">
            <v>EST ESTANTE EIXO (MODULO F) (FREIJO ENVELHECIDO) - 0,3x0,25x0,35H</v>
          </cell>
          <cell r="Y3560">
            <v>940.8</v>
          </cell>
          <cell r="Z3560">
            <v>0.5</v>
          </cell>
          <cell r="AA3560">
            <v>470.4</v>
          </cell>
          <cell r="AB3560"/>
        </row>
        <row r="3561">
          <cell r="C3561">
            <v>0</v>
          </cell>
          <cell r="D3561">
            <v>0</v>
          </cell>
          <cell r="E3561">
            <v>0</v>
          </cell>
          <cell r="F3561">
            <v>0</v>
          </cell>
          <cell r="H3561">
            <v>3</v>
          </cell>
          <cell r="O3561">
            <v>81474</v>
          </cell>
          <cell r="P3561" t="str">
            <v>1012/307-3276-01</v>
          </cell>
          <cell r="Q3561" t="str">
            <v>EST ESTANTE EIXO (MODULO F) (FREIJO ENVELHECIDO)</v>
          </cell>
          <cell r="R3561"/>
          <cell r="S3561"/>
          <cell r="T3561">
            <v>0.3</v>
          </cell>
          <cell r="U3561">
            <v>0.25</v>
          </cell>
          <cell r="V3561">
            <v>0.35</v>
          </cell>
          <cell r="W3561">
            <v>0</v>
          </cell>
          <cell r="X3561" t="str">
            <v>EST ESTANTE EIXO (MODULO F) (FREIJO ENVELHECIDO) - 0,3x0,25x0,35H</v>
          </cell>
          <cell r="Y3561">
            <v>940.8</v>
          </cell>
          <cell r="Z3561">
            <v>0.5</v>
          </cell>
          <cell r="AA3561">
            <v>470.4</v>
          </cell>
          <cell r="AB3561"/>
        </row>
        <row r="3562">
          <cell r="C3562">
            <v>0</v>
          </cell>
          <cell r="D3562">
            <v>1</v>
          </cell>
          <cell r="E3562">
            <v>0</v>
          </cell>
          <cell r="F3562">
            <v>0</v>
          </cell>
          <cell r="H3562">
            <v>1</v>
          </cell>
          <cell r="O3562">
            <v>324011</v>
          </cell>
          <cell r="P3562" t="str">
            <v>2022/090-0038-01</v>
          </cell>
          <cell r="Q3562" t="str">
            <v>EST TAPETE TROPICAL (LISO) (1 COR) (10MM) F:917</v>
          </cell>
          <cell r="R3562"/>
          <cell r="S3562"/>
          <cell r="T3562">
            <v>3</v>
          </cell>
          <cell r="U3562">
            <v>4</v>
          </cell>
          <cell r="V3562">
            <v>0.01</v>
          </cell>
          <cell r="W3562">
            <v>0</v>
          </cell>
          <cell r="X3562" t="str">
            <v>EST TAPETE TROPICAL (LISO) (1 COR) (10MM) F:917 - 3x4x0,01H</v>
          </cell>
          <cell r="Y3562">
            <v>20321.28</v>
          </cell>
          <cell r="Z3562">
            <v>0.5</v>
          </cell>
          <cell r="AA3562">
            <v>10160.64</v>
          </cell>
          <cell r="AB3562"/>
        </row>
        <row r="3563">
          <cell r="C3563">
            <v>0</v>
          </cell>
          <cell r="D3563">
            <v>1</v>
          </cell>
          <cell r="E3563">
            <v>0</v>
          </cell>
          <cell r="F3563">
            <v>0</v>
          </cell>
          <cell r="H3563">
            <v>1</v>
          </cell>
          <cell r="O3563">
            <v>324011</v>
          </cell>
          <cell r="P3563" t="str">
            <v>2022/090-0054-01</v>
          </cell>
          <cell r="Q3563" t="str">
            <v>EST TAPETE TROPICAL (LISO) (1 COR) (10MM) F:917</v>
          </cell>
          <cell r="R3563"/>
          <cell r="S3563"/>
          <cell r="T3563">
            <v>3</v>
          </cell>
          <cell r="U3563">
            <v>4</v>
          </cell>
          <cell r="V3563">
            <v>0.01</v>
          </cell>
          <cell r="W3563">
            <v>0</v>
          </cell>
          <cell r="X3563" t="str">
            <v>EST TAPETE TROPICAL (LISO) (1 COR) (10MM) F:917 - 3x4x0,01H</v>
          </cell>
          <cell r="Y3563">
            <v>20321.28</v>
          </cell>
          <cell r="Z3563">
            <v>0.5</v>
          </cell>
          <cell r="AA3563">
            <v>10160.64</v>
          </cell>
          <cell r="AB3563"/>
        </row>
        <row r="3564"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H3564">
            <v>3</v>
          </cell>
          <cell r="O3564">
            <v>81474</v>
          </cell>
          <cell r="P3564" t="str">
            <v>1012/307-3277-01</v>
          </cell>
          <cell r="Q3564" t="str">
            <v>EST ESTANTE EIXO (MODULO F) (FREIJO ENVELHECIDO)</v>
          </cell>
          <cell r="R3564"/>
          <cell r="S3564"/>
          <cell r="T3564">
            <v>0.3</v>
          </cell>
          <cell r="U3564">
            <v>0.25</v>
          </cell>
          <cell r="V3564">
            <v>0.35</v>
          </cell>
          <cell r="W3564">
            <v>0</v>
          </cell>
          <cell r="X3564" t="str">
            <v>EST ESTANTE EIXO (MODULO F) (FREIJO ENVELHECIDO) - 0,3x0,25x0,35H</v>
          </cell>
          <cell r="Y3564">
            <v>940.8</v>
          </cell>
          <cell r="Z3564">
            <v>0.5</v>
          </cell>
          <cell r="AA3564">
            <v>470.4</v>
          </cell>
          <cell r="AB3564"/>
        </row>
        <row r="3565">
          <cell r="C3565">
            <v>0</v>
          </cell>
          <cell r="D3565">
            <v>0</v>
          </cell>
          <cell r="E3565">
            <v>0</v>
          </cell>
          <cell r="F3565">
            <v>0</v>
          </cell>
          <cell r="H3565">
            <v>1</v>
          </cell>
          <cell r="O3565">
            <v>120826</v>
          </cell>
          <cell r="P3565" t="str">
            <v>1012/305-0012-01</v>
          </cell>
          <cell r="Q3565" t="str">
            <v>EST CADEIRA MR2 (FREIJO NT) COURO RODEO 11201-027</v>
          </cell>
          <cell r="R3565"/>
          <cell r="S3565"/>
          <cell r="T3565">
            <v>0.48</v>
          </cell>
          <cell r="U3565">
            <v>0.54</v>
          </cell>
          <cell r="V3565">
            <v>0.86</v>
          </cell>
          <cell r="W3565">
            <v>0</v>
          </cell>
          <cell r="X3565" t="str">
            <v>EST CADEIRA MR2 (FREIJO NT) COURO RODEO 11201-027 - 0,48x0,54x0,86H</v>
          </cell>
          <cell r="Y3565">
            <v>6442.24</v>
          </cell>
          <cell r="Z3565">
            <v>0.5</v>
          </cell>
          <cell r="AA3565">
            <v>3221.12</v>
          </cell>
          <cell r="AB3565"/>
        </row>
        <row r="3566">
          <cell r="C3566">
            <v>0</v>
          </cell>
          <cell r="D3566">
            <v>0</v>
          </cell>
          <cell r="E3566">
            <v>0</v>
          </cell>
          <cell r="F3566">
            <v>0</v>
          </cell>
          <cell r="H3566">
            <v>3</v>
          </cell>
          <cell r="O3566">
            <v>139952</v>
          </cell>
          <cell r="P3566" t="str">
            <v>2014/346-0156-01</v>
          </cell>
          <cell r="Q3566" t="str">
            <v>EST CADEIRA CHICAGO (TELA SIMP NAT) (CATUABA) TC FACTO BCO</v>
          </cell>
          <cell r="R3566"/>
          <cell r="S3566"/>
          <cell r="T3566">
            <v>0.45</v>
          </cell>
          <cell r="U3566">
            <v>0.53</v>
          </cell>
          <cell r="V3566">
            <v>0.84</v>
          </cell>
          <cell r="W3566">
            <v>0</v>
          </cell>
          <cell r="X3566" t="str">
            <v>EST CADEIRA CHICAGO (TELA SIMP NAT) (CATUABA) TC FACTO BCO - 0,45x0,53x0,84H</v>
          </cell>
          <cell r="Y3566">
            <v>3621.59</v>
          </cell>
          <cell r="Z3566">
            <v>0.5</v>
          </cell>
          <cell r="AA3566">
            <v>1810.7950000000001</v>
          </cell>
          <cell r="AB3566"/>
        </row>
        <row r="3567">
          <cell r="C3567">
            <v>0</v>
          </cell>
          <cell r="D3567">
            <v>0</v>
          </cell>
          <cell r="E3567">
            <v>0</v>
          </cell>
          <cell r="F3567">
            <v>0</v>
          </cell>
          <cell r="H3567">
            <v>3</v>
          </cell>
          <cell r="O3567">
            <v>139952</v>
          </cell>
          <cell r="P3567" t="str">
            <v>2014/346-0158-01</v>
          </cell>
          <cell r="Q3567" t="str">
            <v>EST CADEIRA CHICAGO (TELA SIMP NAT) (CATUABA) TC FACTO BCO</v>
          </cell>
          <cell r="R3567"/>
          <cell r="S3567"/>
          <cell r="T3567">
            <v>0.45</v>
          </cell>
          <cell r="U3567">
            <v>0.53</v>
          </cell>
          <cell r="V3567">
            <v>0.84</v>
          </cell>
          <cell r="W3567">
            <v>0</v>
          </cell>
          <cell r="X3567" t="str">
            <v>EST CADEIRA CHICAGO (TELA SIMP NAT) (CATUABA) TC FACTO BCO - 0,45x0,53x0,84H</v>
          </cell>
          <cell r="Y3567">
            <v>3621.59</v>
          </cell>
          <cell r="Z3567">
            <v>0.5</v>
          </cell>
          <cell r="AA3567">
            <v>1810.7950000000001</v>
          </cell>
          <cell r="AB3567"/>
        </row>
        <row r="3568">
          <cell r="C3568">
            <v>0</v>
          </cell>
          <cell r="D3568">
            <v>0</v>
          </cell>
          <cell r="E3568">
            <v>0</v>
          </cell>
          <cell r="F3568">
            <v>0</v>
          </cell>
          <cell r="H3568">
            <v>3</v>
          </cell>
          <cell r="O3568">
            <v>139952</v>
          </cell>
          <cell r="P3568" t="str">
            <v>2016/053-0063-01</v>
          </cell>
          <cell r="Q3568" t="str">
            <v>EST CADEIRA CHICAGO (TELA SIMP NAT) (CATUABA) TC FACTO BCO</v>
          </cell>
          <cell r="R3568"/>
          <cell r="S3568"/>
          <cell r="T3568">
            <v>0.45</v>
          </cell>
          <cell r="U3568">
            <v>0.53</v>
          </cell>
          <cell r="V3568">
            <v>0.84</v>
          </cell>
          <cell r="W3568">
            <v>0</v>
          </cell>
          <cell r="X3568" t="str">
            <v>EST CADEIRA CHICAGO (TELA SIMP NAT) (CATUABA) TC FACTO BCO - 0,45x0,53x0,84H</v>
          </cell>
          <cell r="Y3568">
            <v>3621.59</v>
          </cell>
          <cell r="Z3568">
            <v>0.5</v>
          </cell>
          <cell r="AA3568">
            <v>1810.7950000000001</v>
          </cell>
          <cell r="AB3568"/>
        </row>
        <row r="3569">
          <cell r="C3569">
            <v>0</v>
          </cell>
          <cell r="D3569">
            <v>0</v>
          </cell>
          <cell r="E3569">
            <v>0</v>
          </cell>
          <cell r="F3569">
            <v>0</v>
          </cell>
          <cell r="H3569">
            <v>4</v>
          </cell>
          <cell r="O3569">
            <v>151210</v>
          </cell>
          <cell r="P3569" t="str">
            <v>2014/197-0059-01</v>
          </cell>
          <cell r="Q3569" t="str">
            <v>EST CADEIRA MR2 C/BRACO (JEQ TABACO) TC 4588/07</v>
          </cell>
          <cell r="R3569"/>
          <cell r="S3569"/>
          <cell r="T3569">
            <v>0.52</v>
          </cell>
          <cell r="U3569">
            <v>0.54</v>
          </cell>
          <cell r="V3569">
            <v>0.86</v>
          </cell>
          <cell r="W3569">
            <v>0</v>
          </cell>
          <cell r="X3569" t="str">
            <v>EST CADEIRA MR2 C/BRACO (JEQ TABACO) TC 4588/07 - 0,52x0,54x0,86H</v>
          </cell>
          <cell r="Y3569">
            <v>6442.24</v>
          </cell>
          <cell r="Z3569">
            <v>0.5</v>
          </cell>
          <cell r="AA3569">
            <v>3221.12</v>
          </cell>
          <cell r="AB3569"/>
        </row>
        <row r="3570">
          <cell r="C3570">
            <v>0</v>
          </cell>
          <cell r="D3570">
            <v>0</v>
          </cell>
          <cell r="E3570">
            <v>0</v>
          </cell>
          <cell r="F3570">
            <v>0</v>
          </cell>
          <cell r="H3570">
            <v>4</v>
          </cell>
          <cell r="O3570">
            <v>151210</v>
          </cell>
          <cell r="P3570" t="str">
            <v>2014/197-0060-01</v>
          </cell>
          <cell r="Q3570" t="str">
            <v>EST CADEIRA MR2 C/BRACO (JEQ TABACO) TC 4588/07</v>
          </cell>
          <cell r="R3570"/>
          <cell r="S3570"/>
          <cell r="T3570">
            <v>0.52</v>
          </cell>
          <cell r="U3570">
            <v>0.54</v>
          </cell>
          <cell r="V3570">
            <v>0.86</v>
          </cell>
          <cell r="W3570">
            <v>0</v>
          </cell>
          <cell r="X3570" t="str">
            <v>EST CADEIRA MR2 C/BRACO (JEQ TABACO) TC 4588/07 - 0,52x0,54x0,86H</v>
          </cell>
          <cell r="Y3570">
            <v>6442.24</v>
          </cell>
          <cell r="Z3570">
            <v>0.5</v>
          </cell>
          <cell r="AA3570">
            <v>3221.12</v>
          </cell>
          <cell r="AB3570"/>
        </row>
        <row r="3571">
          <cell r="C3571">
            <v>0</v>
          </cell>
          <cell r="D3571">
            <v>0</v>
          </cell>
          <cell r="E3571">
            <v>0</v>
          </cell>
          <cell r="F3571">
            <v>0</v>
          </cell>
          <cell r="H3571">
            <v>4</v>
          </cell>
          <cell r="O3571">
            <v>151210</v>
          </cell>
          <cell r="P3571" t="str">
            <v>2014/203-0054-01</v>
          </cell>
          <cell r="Q3571" t="str">
            <v>EST CADEIRA MR2 C/BRACO (JEQ TABACO) TC 4588/07</v>
          </cell>
          <cell r="R3571"/>
          <cell r="S3571"/>
          <cell r="T3571">
            <v>0.52</v>
          </cell>
          <cell r="U3571">
            <v>0.54</v>
          </cell>
          <cell r="V3571">
            <v>0.86</v>
          </cell>
          <cell r="W3571">
            <v>0</v>
          </cell>
          <cell r="X3571" t="str">
            <v>EST CADEIRA MR2 C/BRACO (JEQ TABACO) TC 4588/07 - 0,52x0,54x0,86H</v>
          </cell>
          <cell r="Y3571">
            <v>6442.24</v>
          </cell>
          <cell r="Z3571">
            <v>0.5</v>
          </cell>
          <cell r="AA3571">
            <v>3221.12</v>
          </cell>
          <cell r="AB3571"/>
        </row>
        <row r="3572">
          <cell r="C3572">
            <v>0</v>
          </cell>
          <cell r="D3572">
            <v>0</v>
          </cell>
          <cell r="E3572">
            <v>0</v>
          </cell>
          <cell r="F3572">
            <v>0</v>
          </cell>
          <cell r="H3572">
            <v>4</v>
          </cell>
          <cell r="O3572">
            <v>151210</v>
          </cell>
          <cell r="P3572" t="str">
            <v>2014/203-0055-01</v>
          </cell>
          <cell r="Q3572" t="str">
            <v>EST CADEIRA MR2 C/BRACO (JEQ TABACO) TC 4588/07</v>
          </cell>
          <cell r="R3572"/>
          <cell r="S3572"/>
          <cell r="T3572">
            <v>0.52</v>
          </cell>
          <cell r="U3572">
            <v>0.54</v>
          </cell>
          <cell r="V3572">
            <v>0.86</v>
          </cell>
          <cell r="W3572">
            <v>0</v>
          </cell>
          <cell r="X3572" t="str">
            <v>EST CADEIRA MR2 C/BRACO (JEQ TABACO) TC 4588/07 - 0,52x0,54x0,86H</v>
          </cell>
          <cell r="Y3572">
            <v>6442.24</v>
          </cell>
          <cell r="Z3572">
            <v>0.5</v>
          </cell>
          <cell r="AA3572">
            <v>3221.12</v>
          </cell>
          <cell r="AB3572"/>
        </row>
        <row r="3573">
          <cell r="C3573">
            <v>0</v>
          </cell>
          <cell r="D3573">
            <v>0</v>
          </cell>
          <cell r="E3573">
            <v>0</v>
          </cell>
          <cell r="F3573">
            <v>0</v>
          </cell>
          <cell r="H3573">
            <v>2</v>
          </cell>
          <cell r="O3573">
            <v>361818</v>
          </cell>
          <cell r="P3573" t="str">
            <v>2023/076-0001-01</v>
          </cell>
          <cell r="Q3573" t="str">
            <v>EST MESA CENTRO CACAU (MARMORE 3 JADORE) (MTZ ONIX COBREADO)</v>
          </cell>
          <cell r="R3573"/>
          <cell r="S3573"/>
          <cell r="T3573">
            <v>1.3</v>
          </cell>
          <cell r="U3573">
            <v>0.8</v>
          </cell>
          <cell r="V3573">
            <v>0.3</v>
          </cell>
          <cell r="W3573">
            <v>0</v>
          </cell>
          <cell r="X3573" t="str">
            <v>EST MESA CENTRO CACAU (MARMORE 3 JADORE) (MTZ ONIX COBREADO) - 1,3x0,8x0,3H</v>
          </cell>
          <cell r="Y3573">
            <v>37546.92</v>
          </cell>
          <cell r="Z3573">
            <v>0.5</v>
          </cell>
          <cell r="AA3573">
            <v>18773.46</v>
          </cell>
          <cell r="AB3573"/>
        </row>
        <row r="3574">
          <cell r="C3574">
            <v>0</v>
          </cell>
          <cell r="D3574">
            <v>0</v>
          </cell>
          <cell r="E3574">
            <v>0</v>
          </cell>
          <cell r="F3574">
            <v>0</v>
          </cell>
          <cell r="H3574">
            <v>2</v>
          </cell>
          <cell r="O3574">
            <v>361818</v>
          </cell>
          <cell r="P3574" t="str">
            <v>2023/076-0002-01</v>
          </cell>
          <cell r="Q3574" t="str">
            <v>EST MESA CENTRO CACAU (MARMORE 3 JADORE) (MTZ ONIX COBREADO)</v>
          </cell>
          <cell r="R3574"/>
          <cell r="S3574"/>
          <cell r="T3574">
            <v>1.3</v>
          </cell>
          <cell r="U3574">
            <v>0.8</v>
          </cell>
          <cell r="V3574">
            <v>0.3</v>
          </cell>
          <cell r="W3574">
            <v>0</v>
          </cell>
          <cell r="X3574" t="str">
            <v>EST MESA CENTRO CACAU (MARMORE 3 JADORE) (MTZ ONIX COBREADO) - 1,3x0,8x0,3H</v>
          </cell>
          <cell r="Y3574">
            <v>37546.92</v>
          </cell>
          <cell r="Z3574">
            <v>0.5</v>
          </cell>
          <cell r="AA3574">
            <v>18773.46</v>
          </cell>
          <cell r="AB3574"/>
        </row>
        <row r="3575">
          <cell r="C3575">
            <v>0</v>
          </cell>
          <cell r="D3575">
            <v>0</v>
          </cell>
          <cell r="E3575">
            <v>0</v>
          </cell>
          <cell r="F3575">
            <v>0</v>
          </cell>
          <cell r="H3575">
            <v>2</v>
          </cell>
          <cell r="O3575">
            <v>372434</v>
          </cell>
          <cell r="P3575" t="str">
            <v>2024/093-0001-01</v>
          </cell>
          <cell r="Q3575" t="str">
            <v>EST MESA CENTRO JABUTI (EXT LACA BARCA INT FORMICA BRA</v>
          </cell>
          <cell r="R3575"/>
          <cell r="S3575"/>
          <cell r="T3575">
            <v>1.1000000000000001</v>
          </cell>
          <cell r="U3575">
            <v>1.1000000000000001</v>
          </cell>
          <cell r="V3575">
            <v>0.25</v>
          </cell>
          <cell r="W3575">
            <v>0</v>
          </cell>
          <cell r="X3575" t="str">
            <v>EST MESA CENTRO JABUTI (EXT LACA BARCA INT FORMICA BRA - 1,1x1,1x0,25H</v>
          </cell>
          <cell r="Y3575">
            <v>17248</v>
          </cell>
          <cell r="Z3575">
            <v>0.5</v>
          </cell>
          <cell r="AA3575">
            <v>8624</v>
          </cell>
          <cell r="AB3575"/>
        </row>
        <row r="3576">
          <cell r="C3576">
            <v>0</v>
          </cell>
          <cell r="D3576">
            <v>0</v>
          </cell>
          <cell r="E3576">
            <v>0</v>
          </cell>
          <cell r="F3576">
            <v>0</v>
          </cell>
          <cell r="H3576">
            <v>2</v>
          </cell>
          <cell r="O3576">
            <v>372434</v>
          </cell>
          <cell r="P3576" t="str">
            <v>2024/093-0002-01</v>
          </cell>
          <cell r="Q3576" t="str">
            <v>EST MESA CENTRO JABUTI (EXT LACA BARCA INT FORMICA BRA</v>
          </cell>
          <cell r="R3576"/>
          <cell r="S3576"/>
          <cell r="T3576">
            <v>1.1000000000000001</v>
          </cell>
          <cell r="U3576">
            <v>1.1000000000000001</v>
          </cell>
          <cell r="V3576">
            <v>0.25</v>
          </cell>
          <cell r="W3576">
            <v>0</v>
          </cell>
          <cell r="X3576" t="str">
            <v>EST MESA CENTRO JABUTI (EXT LACA BARCA INT FORMICA BRA - 1,1x1,1x0,25H</v>
          </cell>
          <cell r="Y3576">
            <v>17248</v>
          </cell>
          <cell r="Z3576">
            <v>0.5</v>
          </cell>
          <cell r="AA3576">
            <v>8624</v>
          </cell>
          <cell r="AB3576"/>
        </row>
        <row r="3577">
          <cell r="C3577">
            <v>0</v>
          </cell>
          <cell r="D3577">
            <v>0</v>
          </cell>
          <cell r="E3577">
            <v>0</v>
          </cell>
          <cell r="F3577">
            <v>0</v>
          </cell>
          <cell r="H3577">
            <v>1</v>
          </cell>
          <cell r="O3577">
            <v>387536</v>
          </cell>
          <cell r="P3577" t="str">
            <v>2024/137-0002-01</v>
          </cell>
          <cell r="Q3577" t="str">
            <v>EST MESA CENTRO ESPECIAL (VIDRO INCOLOR 12MM)</v>
          </cell>
          <cell r="R3577"/>
          <cell r="S3577"/>
          <cell r="T3577">
            <v>1.2</v>
          </cell>
          <cell r="U3577">
            <v>0.8</v>
          </cell>
          <cell r="V3577">
            <v>0.26</v>
          </cell>
          <cell r="W3577">
            <v>0</v>
          </cell>
          <cell r="X3577" t="str">
            <v>EST MESA CENTRO ESPECIAL (VIDRO INCOLOR 12MM) - 1,2x0,8x0,26H</v>
          </cell>
          <cell r="Y3577">
            <v>8646.4</v>
          </cell>
          <cell r="Z3577">
            <v>0.5</v>
          </cell>
          <cell r="AA3577">
            <v>4323.2</v>
          </cell>
          <cell r="AB3577"/>
        </row>
        <row r="3578">
          <cell r="C3578">
            <v>0</v>
          </cell>
          <cell r="D3578">
            <v>0</v>
          </cell>
          <cell r="E3578">
            <v>0</v>
          </cell>
          <cell r="F3578">
            <v>0</v>
          </cell>
          <cell r="H3578">
            <v>0</v>
          </cell>
          <cell r="O3578">
            <v>402696</v>
          </cell>
          <cell r="P3578" t="str">
            <v>(LOTE 004)</v>
          </cell>
          <cell r="Q3578" t="str">
            <v>ROLO TECIDO EL ANGOLA 04 - (GREEN) -</v>
          </cell>
          <cell r="R3578"/>
          <cell r="S3578"/>
          <cell r="T3578">
            <v>3.6</v>
          </cell>
          <cell r="U3578">
            <v>1.4</v>
          </cell>
          <cell r="V3578">
            <v>0</v>
          </cell>
          <cell r="W3578">
            <v>0</v>
          </cell>
          <cell r="X3578" t="str">
            <v>ROLO TECIDO EL ANGOLA 04 - (GREEN) - - 3,6x1,4x0H</v>
          </cell>
          <cell r="Y3578">
            <v>3406.32</v>
          </cell>
          <cell r="Z3578">
            <v>0.35</v>
          </cell>
          <cell r="AA3578">
            <v>2214.1080000000002</v>
          </cell>
          <cell r="AB3578"/>
        </row>
        <row r="3579">
          <cell r="C3579">
            <v>0</v>
          </cell>
          <cell r="D3579">
            <v>0</v>
          </cell>
          <cell r="E3579">
            <v>0</v>
          </cell>
          <cell r="F3579">
            <v>0</v>
          </cell>
          <cell r="H3579">
            <v>0</v>
          </cell>
          <cell r="O3579">
            <v>402707</v>
          </cell>
          <cell r="P3579" t="str">
            <v>(LOTE 004)</v>
          </cell>
          <cell r="Q3579" t="str">
            <v>ROLO TECIDO EL ANGOLA 04 - (COOPER) -</v>
          </cell>
          <cell r="R3579"/>
          <cell r="S3579"/>
          <cell r="T3579">
            <v>1.3</v>
          </cell>
          <cell r="U3579">
            <v>1.4</v>
          </cell>
          <cell r="V3579">
            <v>0</v>
          </cell>
          <cell r="W3579">
            <v>0</v>
          </cell>
          <cell r="X3579" t="str">
            <v>ROLO TECIDO EL ANGOLA 04 - (COOPER) - - 1,3x1,4x0H</v>
          </cell>
          <cell r="Y3579">
            <v>1230.06</v>
          </cell>
          <cell r="Z3579">
            <v>0.35</v>
          </cell>
          <cell r="AA3579">
            <v>799.53899999999999</v>
          </cell>
          <cell r="AB3579"/>
        </row>
        <row r="3580">
          <cell r="C3580">
            <v>0</v>
          </cell>
          <cell r="D3580">
            <v>0</v>
          </cell>
          <cell r="E3580">
            <v>0</v>
          </cell>
          <cell r="F3580">
            <v>0</v>
          </cell>
          <cell r="H3580">
            <v>0</v>
          </cell>
          <cell r="O3580">
            <v>404344</v>
          </cell>
          <cell r="P3580" t="str">
            <v>(LOTE 004)</v>
          </cell>
          <cell r="Q3580" t="str">
            <v>ROLO TECIDO EARTHWILD - (STUCCO)</v>
          </cell>
          <cell r="R3580"/>
          <cell r="S3580"/>
          <cell r="T3580">
            <v>1.2</v>
          </cell>
          <cell r="U3580">
            <v>1.4</v>
          </cell>
          <cell r="V3580">
            <v>0</v>
          </cell>
          <cell r="W3580">
            <v>0</v>
          </cell>
          <cell r="X3580" t="str">
            <v>ROLO TECIDO EARTHWILD - (STUCCO) - 1,2x1,4x0H</v>
          </cell>
          <cell r="Y3580">
            <v>964.44</v>
          </cell>
          <cell r="Z3580">
            <v>0.35</v>
          </cell>
          <cell r="AA3580">
            <v>626.88600000000008</v>
          </cell>
          <cell r="AB3580"/>
        </row>
        <row r="3581">
          <cell r="C3581">
            <v>0</v>
          </cell>
          <cell r="D3581">
            <v>0</v>
          </cell>
          <cell r="E3581">
            <v>0</v>
          </cell>
          <cell r="F3581">
            <v>0</v>
          </cell>
          <cell r="H3581">
            <v>0</v>
          </cell>
          <cell r="O3581">
            <v>404345</v>
          </cell>
          <cell r="P3581" t="str">
            <v>(LOTE 004)</v>
          </cell>
          <cell r="Q3581" t="str">
            <v>ROLO TECIDO STAUNCH - (WHISPER) -</v>
          </cell>
          <cell r="R3581"/>
          <cell r="S3581"/>
          <cell r="T3581">
            <v>1.4</v>
          </cell>
          <cell r="U3581">
            <v>1.4</v>
          </cell>
          <cell r="V3581">
            <v>0</v>
          </cell>
          <cell r="W3581">
            <v>0</v>
          </cell>
          <cell r="X3581" t="str">
            <v>ROLO TECIDO STAUNCH - (WHISPER) - - 1,4x1,4x0H</v>
          </cell>
          <cell r="Y3581">
            <v>973.56</v>
          </cell>
          <cell r="Z3581">
            <v>0.35</v>
          </cell>
          <cell r="AA3581">
            <v>632.81399999999996</v>
          </cell>
          <cell r="AB3581"/>
        </row>
        <row r="3582">
          <cell r="C3582">
            <v>0</v>
          </cell>
          <cell r="D3582">
            <v>0</v>
          </cell>
          <cell r="E3582">
            <v>0</v>
          </cell>
          <cell r="F3582">
            <v>0</v>
          </cell>
          <cell r="H3582">
            <v>0</v>
          </cell>
          <cell r="O3582">
            <v>404346</v>
          </cell>
          <cell r="P3582" t="str">
            <v>(LOTE 004)</v>
          </cell>
          <cell r="Q3582" t="str">
            <v>ROLO TECIDO KEYSTONE - (MIST) -</v>
          </cell>
          <cell r="R3582"/>
          <cell r="S3582"/>
          <cell r="T3582">
            <v>1.8</v>
          </cell>
          <cell r="U3582">
            <v>1.4</v>
          </cell>
          <cell r="V3582">
            <v>0</v>
          </cell>
          <cell r="W3582">
            <v>0</v>
          </cell>
          <cell r="X3582" t="str">
            <v>ROLO TECIDO KEYSTONE - (MIST) - - 1,8x1,4x0H</v>
          </cell>
          <cell r="Y3582">
            <v>1000.35</v>
          </cell>
          <cell r="Z3582">
            <v>0.35</v>
          </cell>
          <cell r="AA3582">
            <v>650.22749999999996</v>
          </cell>
          <cell r="AB3582"/>
        </row>
        <row r="3583">
          <cell r="C3583">
            <v>0</v>
          </cell>
          <cell r="D3583">
            <v>0</v>
          </cell>
          <cell r="E3583">
            <v>0</v>
          </cell>
          <cell r="F3583">
            <v>0</v>
          </cell>
          <cell r="H3583">
            <v>0</v>
          </cell>
          <cell r="O3583">
            <v>404347</v>
          </cell>
          <cell r="P3583" t="str">
            <v>(LOTE 004)</v>
          </cell>
          <cell r="Q3583" t="str">
            <v>ROLO TECIDO ELB LUDA 129 - (CHERRY) -</v>
          </cell>
          <cell r="R3583"/>
          <cell r="S3583"/>
          <cell r="T3583">
            <v>3</v>
          </cell>
          <cell r="U3583">
            <v>1.4</v>
          </cell>
          <cell r="V3583">
            <v>0</v>
          </cell>
          <cell r="W3583">
            <v>0</v>
          </cell>
          <cell r="X3583" t="str">
            <v>ROLO TECIDO ELB LUDA 129 - (CHERRY) - - 3x1,4x0H</v>
          </cell>
          <cell r="Y3583">
            <v>2086.1999999999998</v>
          </cell>
          <cell r="Z3583">
            <v>0.35</v>
          </cell>
          <cell r="AA3583">
            <v>1356.03</v>
          </cell>
          <cell r="AB3583"/>
        </row>
        <row r="3584"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H3584">
            <v>0</v>
          </cell>
          <cell r="O3584">
            <v>275023</v>
          </cell>
          <cell r="P3584" t="str">
            <v>2021/165-0120-01</v>
          </cell>
          <cell r="Q3584" t="str">
            <v>EST BUFFET DIXIE (TP NERO/LAMINADO NOGUEIRA/MTX PRETO)</v>
          </cell>
          <cell r="R3584"/>
          <cell r="S3584"/>
          <cell r="T3584">
            <v>1.6</v>
          </cell>
          <cell r="U3584">
            <v>0.51</v>
          </cell>
          <cell r="V3584">
            <v>0.76</v>
          </cell>
          <cell r="W3584">
            <v>0</v>
          </cell>
          <cell r="X3584" t="str">
            <v>EST BUFFET DIXIE (TP NERO/LAMINADO NOGUEIRA/MTX PRETO) - 1,6x0,51x0,76H</v>
          </cell>
          <cell r="Y3584">
            <v>59354.400000000001</v>
          </cell>
          <cell r="Z3584">
            <v>0.35</v>
          </cell>
          <cell r="AA3584">
            <v>38580.36</v>
          </cell>
          <cell r="AB3584"/>
        </row>
        <row r="3585">
          <cell r="C3585">
            <v>0</v>
          </cell>
          <cell r="D3585">
            <v>0</v>
          </cell>
          <cell r="E3585">
            <v>0</v>
          </cell>
          <cell r="F3585">
            <v>0</v>
          </cell>
          <cell r="H3585">
            <v>1</v>
          </cell>
          <cell r="O3585">
            <v>62482</v>
          </cell>
          <cell r="P3585"/>
          <cell r="Q3585" t="str">
            <v>EST BANQUETA BAR MASS (EBABNIZADO)</v>
          </cell>
          <cell r="R3585"/>
          <cell r="S3585"/>
          <cell r="T3585">
            <v>0.35</v>
          </cell>
          <cell r="U3585">
            <v>0</v>
          </cell>
          <cell r="V3585">
            <v>0.8</v>
          </cell>
          <cell r="W3585">
            <v>0.35</v>
          </cell>
          <cell r="X3585" t="str">
            <v>EST BANQUETA BAR MASS (EBABNIZADO) - Ø0,35x0,8H</v>
          </cell>
          <cell r="Y3585" t="e">
            <v>#VALUE!</v>
          </cell>
          <cell r="Z3585">
            <v>0.35</v>
          </cell>
          <cell r="AA3585" t="e">
            <v>#VALUE!</v>
          </cell>
          <cell r="AB3585"/>
        </row>
        <row r="3586">
          <cell r="C3586">
            <v>0</v>
          </cell>
          <cell r="D3586">
            <v>0</v>
          </cell>
          <cell r="E3586">
            <v>0</v>
          </cell>
          <cell r="F3586">
            <v>0</v>
          </cell>
          <cell r="H3586">
            <v>1</v>
          </cell>
          <cell r="O3586">
            <v>77883</v>
          </cell>
          <cell r="P3586"/>
          <cell r="Q3586" t="str">
            <v>EST BANCO PINO (ACO PRETO FSC) (LACA BRILHO AMARELA)</v>
          </cell>
          <cell r="R3586"/>
          <cell r="S3586"/>
          <cell r="T3586">
            <v>0.31</v>
          </cell>
          <cell r="U3586">
            <v>0</v>
          </cell>
          <cell r="V3586">
            <v>0.36</v>
          </cell>
          <cell r="W3586">
            <v>0.31</v>
          </cell>
          <cell r="X3586" t="str">
            <v>EST BANCO PINO (ACO PRETO FSC) (LACA BRILHO AMARELA) - Ø0,31x0,36H</v>
          </cell>
          <cell r="Y3586" t="e">
            <v>#VALUE!</v>
          </cell>
          <cell r="Z3586">
            <v>0.35</v>
          </cell>
          <cell r="AA3586" t="e">
            <v>#VALUE!</v>
          </cell>
          <cell r="AB3586"/>
        </row>
        <row r="3587">
          <cell r="C3587">
            <v>0</v>
          </cell>
          <cell r="D3587">
            <v>0</v>
          </cell>
          <cell r="E3587">
            <v>0</v>
          </cell>
          <cell r="F3587">
            <v>0</v>
          </cell>
          <cell r="H3587">
            <v>1</v>
          </cell>
          <cell r="O3587">
            <v>77886</v>
          </cell>
          <cell r="P3587"/>
          <cell r="Q3587" t="str">
            <v>EST POLTRONA LILAH C/BRACO (COR UNICA)</v>
          </cell>
          <cell r="R3587"/>
          <cell r="S3587"/>
          <cell r="T3587">
            <v>0.65</v>
          </cell>
          <cell r="U3587">
            <v>0.65</v>
          </cell>
          <cell r="V3587">
            <v>0.8</v>
          </cell>
          <cell r="W3587">
            <v>0</v>
          </cell>
          <cell r="X3587" t="str">
            <v>EST POLTRONA LILAH C/BRACO (COR UNICA) - 0,65x0,65x0,8H</v>
          </cell>
          <cell r="Y3587" t="e">
            <v>#VALUE!</v>
          </cell>
          <cell r="Z3587">
            <v>0.35</v>
          </cell>
          <cell r="AA3587" t="e">
            <v>#VALUE!</v>
          </cell>
          <cell r="AB3587"/>
        </row>
        <row r="3588">
          <cell r="C3588">
            <v>0</v>
          </cell>
          <cell r="D3588">
            <v>0</v>
          </cell>
          <cell r="E3588">
            <v>0</v>
          </cell>
          <cell r="F3588">
            <v>0</v>
          </cell>
          <cell r="H3588">
            <v>0</v>
          </cell>
          <cell r="O3588">
            <v>80210</v>
          </cell>
          <cell r="P3588"/>
          <cell r="Q3588" t="str">
            <v>EST MESA CENTRO ARIMELLO (MAD IMBUIA STAIN) LAM IMBUIA STAIN</v>
          </cell>
          <cell r="R3588"/>
          <cell r="S3588"/>
          <cell r="T3588">
            <v>1.47</v>
          </cell>
          <cell r="U3588">
            <v>0.6</v>
          </cell>
          <cell r="V3588">
            <v>0.44</v>
          </cell>
          <cell r="W3588">
            <v>0</v>
          </cell>
          <cell r="X3588" t="str">
            <v>EST MESA CENTRO ARIMELLO (MAD IMBUIA STAIN) LAM IMBUIA STAIN - 1,47x0,6x0,44H</v>
          </cell>
          <cell r="Y3588" t="e">
            <v>#VALUE!</v>
          </cell>
          <cell r="Z3588">
            <v>0.35</v>
          </cell>
          <cell r="AA3588" t="e">
            <v>#VALUE!</v>
          </cell>
          <cell r="AB3588"/>
        </row>
        <row r="3589">
          <cell r="C3589">
            <v>0</v>
          </cell>
          <cell r="D3589">
            <v>0</v>
          </cell>
          <cell r="E3589">
            <v>0</v>
          </cell>
          <cell r="F3589">
            <v>0</v>
          </cell>
          <cell r="H3589">
            <v>1</v>
          </cell>
          <cell r="O3589">
            <v>82483</v>
          </cell>
          <cell r="P3589"/>
          <cell r="Q3589" t="str">
            <v>EST BANQUETA BAR BOSSA (TELA NATURAL) (LACA FSC LARANJA)</v>
          </cell>
          <cell r="R3589"/>
          <cell r="S3589"/>
          <cell r="T3589">
            <v>0.45</v>
          </cell>
          <cell r="U3589">
            <v>0.52</v>
          </cell>
          <cell r="V3589">
            <v>1</v>
          </cell>
          <cell r="W3589">
            <v>0</v>
          </cell>
          <cell r="X3589" t="str">
            <v>EST BANQUETA BAR BOSSA (TELA NATURAL) (LACA FSC LARANJA) - 0,45x0,52x1H</v>
          </cell>
          <cell r="Y3589" t="e">
            <v>#VALUE!</v>
          </cell>
          <cell r="Z3589">
            <v>0.35</v>
          </cell>
          <cell r="AA3589" t="e">
            <v>#VALUE!</v>
          </cell>
          <cell r="AB3589"/>
        </row>
        <row r="3590">
          <cell r="C3590">
            <v>0</v>
          </cell>
          <cell r="D3590">
            <v>0</v>
          </cell>
          <cell r="E3590">
            <v>0</v>
          </cell>
          <cell r="F3590">
            <v>0</v>
          </cell>
          <cell r="H3590">
            <v>1</v>
          </cell>
          <cell r="O3590">
            <v>88613</v>
          </cell>
          <cell r="P3590"/>
          <cell r="Q3590" t="str">
            <v>EST LUMINARIA TOTO (LACA GRAY BRILHO)</v>
          </cell>
          <cell r="R3590"/>
          <cell r="S3590"/>
          <cell r="T3590">
            <v>0.17</v>
          </cell>
          <cell r="U3590">
            <v>0.17</v>
          </cell>
          <cell r="V3590">
            <v>0.33</v>
          </cell>
          <cell r="W3590">
            <v>0</v>
          </cell>
          <cell r="X3590" t="str">
            <v>EST LUMINARIA TOTO (LACA GRAY BRILHO) - 0,17x0,17x0,33H</v>
          </cell>
          <cell r="Y3590" t="e">
            <v>#VALUE!</v>
          </cell>
          <cell r="Z3590">
            <v>0.35</v>
          </cell>
          <cell r="AA3590" t="e">
            <v>#VALUE!</v>
          </cell>
          <cell r="AB3590"/>
        </row>
        <row r="3591">
          <cell r="C3591">
            <v>0</v>
          </cell>
          <cell r="D3591">
            <v>0</v>
          </cell>
          <cell r="E3591">
            <v>0</v>
          </cell>
          <cell r="F3591">
            <v>0</v>
          </cell>
          <cell r="H3591">
            <v>1</v>
          </cell>
          <cell r="O3591">
            <v>88622</v>
          </cell>
          <cell r="P3591"/>
          <cell r="Q3591" t="str">
            <v>EST HOME CHAN MD 02 (LACA PRETA BRILHO)</v>
          </cell>
          <cell r="R3591"/>
          <cell r="S3591"/>
          <cell r="T3591">
            <v>1.2</v>
          </cell>
          <cell r="U3591">
            <v>0.55000000000000004</v>
          </cell>
          <cell r="V3591">
            <v>0.55000000000000004</v>
          </cell>
          <cell r="W3591">
            <v>0</v>
          </cell>
          <cell r="X3591" t="str">
            <v>EST HOME CHAN MD 02 (LACA PRETA BRILHO) - 1,2x0,55x0,55H</v>
          </cell>
          <cell r="Y3591" t="e">
            <v>#VALUE!</v>
          </cell>
          <cell r="Z3591">
            <v>0.35</v>
          </cell>
          <cell r="AA3591" t="e">
            <v>#VALUE!</v>
          </cell>
          <cell r="AB3591"/>
        </row>
        <row r="3592">
          <cell r="C3592">
            <v>0</v>
          </cell>
          <cell r="D3592">
            <v>0</v>
          </cell>
          <cell r="E3592">
            <v>0</v>
          </cell>
          <cell r="F3592">
            <v>0</v>
          </cell>
          <cell r="H3592">
            <v>0</v>
          </cell>
          <cell r="O3592">
            <v>398301</v>
          </cell>
          <cell r="P3592"/>
          <cell r="Q3592" t="str">
            <v>EST CADEIRA GB01 MISTA (IMBUIA) (QUADRIC NT) TC BEGE</v>
          </cell>
          <cell r="R3592"/>
          <cell r="S3592"/>
          <cell r="T3592">
            <v>0.45</v>
          </cell>
          <cell r="U3592">
            <v>0.48</v>
          </cell>
          <cell r="V3592">
            <v>0.85</v>
          </cell>
          <cell r="W3592">
            <v>0</v>
          </cell>
          <cell r="X3592" t="str">
            <v>EST CADEIRA GB01 MISTA (IMBUIA) (QUADRIC NT) TC BEGE - 0,45x0,48x0,85H</v>
          </cell>
          <cell r="Y3592" t="e">
            <v>#VALUE!</v>
          </cell>
          <cell r="Z3592">
            <v>0.35</v>
          </cell>
          <cell r="AA3592" t="e">
            <v>#VALUE!</v>
          </cell>
          <cell r="AB3592"/>
        </row>
        <row r="3593">
          <cell r="C3593">
            <v>0</v>
          </cell>
          <cell r="D3593">
            <v>0</v>
          </cell>
          <cell r="E3593">
            <v>0</v>
          </cell>
          <cell r="F3593">
            <v>0</v>
          </cell>
          <cell r="H3593">
            <v>1</v>
          </cell>
          <cell r="O3593">
            <v>97923</v>
          </cell>
          <cell r="P3593"/>
          <cell r="Q3593" t="str">
            <v>EST MESA LATERAL DUOMO (LACA BRILHO G044 SAYERLACK)</v>
          </cell>
          <cell r="R3593"/>
          <cell r="S3593"/>
          <cell r="T3593">
            <v>0.5</v>
          </cell>
          <cell r="U3593">
            <v>0</v>
          </cell>
          <cell r="V3593">
            <v>0.5</v>
          </cell>
          <cell r="W3593">
            <v>0.5</v>
          </cell>
          <cell r="X3593" t="str">
            <v>EST MESA LATERAL DUOMO (LACA BRILHO G044 SAYERLACK) - Ø0,5x0,5H</v>
          </cell>
          <cell r="Y3593" t="e">
            <v>#VALUE!</v>
          </cell>
          <cell r="Z3593">
            <v>0.35</v>
          </cell>
          <cell r="AA3593" t="e">
            <v>#VALUE!</v>
          </cell>
          <cell r="AB3593"/>
        </row>
        <row r="3594">
          <cell r="C3594">
            <v>0</v>
          </cell>
          <cell r="D3594">
            <v>0</v>
          </cell>
          <cell r="E3594">
            <v>0</v>
          </cell>
          <cell r="F3594">
            <v>0</v>
          </cell>
          <cell r="H3594">
            <v>1</v>
          </cell>
          <cell r="O3594">
            <v>110724</v>
          </cell>
          <cell r="P3594"/>
          <cell r="Q3594" t="str">
            <v>EST COMPONENTE PRATELEIRA CODE (C/ESPELHO) (NOGUEIRA)</v>
          </cell>
          <cell r="R3594"/>
          <cell r="S3594"/>
          <cell r="T3594">
            <v>1.5</v>
          </cell>
          <cell r="U3594">
            <v>0.3</v>
          </cell>
          <cell r="V3594">
            <v>0.3</v>
          </cell>
          <cell r="W3594">
            <v>0</v>
          </cell>
          <cell r="X3594" t="str">
            <v>EST COMPONENTE PRATELEIRA CODE (C/ESPELHO) (NOGUEIRA) - 1,5x0,3x0,3H</v>
          </cell>
          <cell r="Y3594" t="e">
            <v>#VALUE!</v>
          </cell>
          <cell r="Z3594">
            <v>0.35</v>
          </cell>
          <cell r="AA3594" t="e">
            <v>#VALUE!</v>
          </cell>
          <cell r="AB3594"/>
        </row>
        <row r="3595">
          <cell r="C3595">
            <v>0</v>
          </cell>
          <cell r="D3595">
            <v>0</v>
          </cell>
          <cell r="E3595">
            <v>0</v>
          </cell>
          <cell r="F3595">
            <v>0</v>
          </cell>
          <cell r="H3595">
            <v>1</v>
          </cell>
          <cell r="O3595">
            <v>112408</v>
          </cell>
          <cell r="P3595"/>
          <cell r="Q3595" t="str">
            <v>EST BANQUETA BAR FINN (ESTOFADO) (TAUARI 01) TC 96#5</v>
          </cell>
          <cell r="R3595"/>
          <cell r="S3595"/>
          <cell r="T3595">
            <v>0.45</v>
          </cell>
          <cell r="U3595">
            <v>0.43</v>
          </cell>
          <cell r="V3595">
            <v>0.92</v>
          </cell>
          <cell r="W3595">
            <v>0</v>
          </cell>
          <cell r="X3595" t="str">
            <v>EST BANQUETA BAR FINN (ESTOFADO) (TAUARI 01) TC 96#5 - 0,45x0,43x0,92H</v>
          </cell>
          <cell r="Y3595" t="e">
            <v>#VALUE!</v>
          </cell>
          <cell r="Z3595">
            <v>0.35</v>
          </cell>
          <cell r="AA3595" t="e">
            <v>#VALUE!</v>
          </cell>
          <cell r="AB3595"/>
        </row>
        <row r="3596">
          <cell r="C3596">
            <v>0</v>
          </cell>
          <cell r="D3596">
            <v>0</v>
          </cell>
          <cell r="E3596">
            <v>0</v>
          </cell>
          <cell r="F3596">
            <v>0</v>
          </cell>
          <cell r="H3596">
            <v>1</v>
          </cell>
          <cell r="O3596">
            <v>112451</v>
          </cell>
          <cell r="P3596"/>
          <cell r="Q3596" t="str">
            <v>EST CADEIRA MILLA C/BRACO (TAUARI 2) (ESTOFADO) (TC 115#5)</v>
          </cell>
          <cell r="R3596"/>
          <cell r="S3596"/>
          <cell r="T3596">
            <v>0.57999999999999996</v>
          </cell>
          <cell r="U3596">
            <v>0.56999999999999995</v>
          </cell>
          <cell r="V3596">
            <v>0.8</v>
          </cell>
          <cell r="W3596">
            <v>0</v>
          </cell>
          <cell r="X3596" t="str">
            <v>EST CADEIRA MILLA C/BRACO (TAUARI 2) (ESTOFADO) (TC 115#5) - 0,58x0,57x0,8H</v>
          </cell>
          <cell r="Y3596" t="e">
            <v>#VALUE!</v>
          </cell>
          <cell r="Z3596">
            <v>0.35</v>
          </cell>
          <cell r="AA3596" t="e">
            <v>#VALUE!</v>
          </cell>
          <cell r="AB3596"/>
        </row>
        <row r="3597">
          <cell r="C3597">
            <v>0</v>
          </cell>
          <cell r="D3597">
            <v>0</v>
          </cell>
          <cell r="E3597">
            <v>0</v>
          </cell>
          <cell r="F3597">
            <v>0</v>
          </cell>
          <cell r="H3597">
            <v>8</v>
          </cell>
          <cell r="O3597">
            <v>398302</v>
          </cell>
          <cell r="P3597"/>
          <cell r="Q3597" t="str">
            <v>EST CADEIRA GB01 MISTA (IMBUIA) (QUADRIC NT) TC VERDE</v>
          </cell>
          <cell r="R3597"/>
          <cell r="S3597"/>
          <cell r="T3597">
            <v>0.45</v>
          </cell>
          <cell r="U3597">
            <v>0.48</v>
          </cell>
          <cell r="V3597">
            <v>0.85</v>
          </cell>
          <cell r="W3597">
            <v>0</v>
          </cell>
          <cell r="X3597" t="str">
            <v>EST CADEIRA GB01 MISTA (IMBUIA) (QUADRIC NT) TC VERDE - 0,45x0,48x0,85H</v>
          </cell>
          <cell r="Y3597" t="e">
            <v>#VALUE!</v>
          </cell>
          <cell r="Z3597">
            <v>0.35</v>
          </cell>
          <cell r="AA3597" t="e">
            <v>#VALUE!</v>
          </cell>
          <cell r="AB3597"/>
        </row>
        <row r="3598">
          <cell r="C3598">
            <v>0</v>
          </cell>
          <cell r="D3598">
            <v>0</v>
          </cell>
          <cell r="E3598">
            <v>0</v>
          </cell>
          <cell r="F3598">
            <v>0</v>
          </cell>
          <cell r="H3598">
            <v>1</v>
          </cell>
          <cell r="O3598">
            <v>117364</v>
          </cell>
          <cell r="P3598"/>
          <cell r="Q3598" t="str">
            <v>EST POLTRONA JOB (LACA PRETA BRILHO) TC 10717/001</v>
          </cell>
          <cell r="R3598"/>
          <cell r="S3598"/>
          <cell r="T3598">
            <v>0.74</v>
          </cell>
          <cell r="U3598">
            <v>0.84</v>
          </cell>
          <cell r="V3598">
            <v>0.73</v>
          </cell>
          <cell r="W3598">
            <v>0</v>
          </cell>
          <cell r="X3598" t="str">
            <v>EST POLTRONA JOB (LACA PRETA BRILHO) TC 10717/001 - 0,74x0,84x0,73H</v>
          </cell>
          <cell r="Y3598" t="e">
            <v>#VALUE!</v>
          </cell>
          <cell r="Z3598">
            <v>0.35</v>
          </cell>
          <cell r="AA3598" t="e">
            <v>#VALUE!</v>
          </cell>
          <cell r="AB3598"/>
        </row>
        <row r="3599">
          <cell r="C3599">
            <v>0</v>
          </cell>
          <cell r="D3599">
            <v>0</v>
          </cell>
          <cell r="E3599">
            <v>0</v>
          </cell>
          <cell r="F3599">
            <v>0</v>
          </cell>
          <cell r="H3599">
            <v>1</v>
          </cell>
          <cell r="O3599">
            <v>127041</v>
          </cell>
          <cell r="P3599"/>
          <cell r="Q3599" t="str">
            <v>EST APARADOR ELLE MOD 04 (4 GAV) LC BRILHO Y-145 VERDE</v>
          </cell>
          <cell r="R3599"/>
          <cell r="S3599"/>
          <cell r="T3599">
            <v>3</v>
          </cell>
          <cell r="U3599">
            <v>0.35</v>
          </cell>
          <cell r="V3599">
            <v>0.32</v>
          </cell>
          <cell r="W3599">
            <v>0</v>
          </cell>
          <cell r="X3599" t="str">
            <v>EST APARADOR ELLE MOD 04 (4 GAV) LC BRILHO Y-145 VERDE - 3x0,35x0,32H</v>
          </cell>
          <cell r="Y3599" t="e">
            <v>#VALUE!</v>
          </cell>
          <cell r="Z3599">
            <v>0.35</v>
          </cell>
          <cell r="AA3599" t="e">
            <v>#VALUE!</v>
          </cell>
          <cell r="AB3599"/>
        </row>
        <row r="3600">
          <cell r="C3600">
            <v>0</v>
          </cell>
          <cell r="D3600">
            <v>0</v>
          </cell>
          <cell r="E3600">
            <v>0</v>
          </cell>
          <cell r="F3600">
            <v>0</v>
          </cell>
          <cell r="H3600">
            <v>1</v>
          </cell>
          <cell r="O3600">
            <v>129391</v>
          </cell>
          <cell r="P3600"/>
          <cell r="Q3600" t="str">
            <v>EST BANCO JULIA (FIBRA VIDRO) (GANE OX 819 BRILHO)</v>
          </cell>
          <cell r="R3600"/>
          <cell r="S3600"/>
          <cell r="T3600">
            <v>0.35</v>
          </cell>
          <cell r="U3600">
            <v>0</v>
          </cell>
          <cell r="V3600">
            <v>0.4</v>
          </cell>
          <cell r="W3600">
            <v>0.35</v>
          </cell>
          <cell r="X3600" t="str">
            <v>EST BANCO JULIA (FIBRA VIDRO) (GANE OX 819 BRILHO) - Ø0,35x0,4H</v>
          </cell>
          <cell r="Y3600" t="e">
            <v>#VALUE!</v>
          </cell>
          <cell r="Z3600">
            <v>0.35</v>
          </cell>
          <cell r="AA3600" t="e">
            <v>#VALUE!</v>
          </cell>
          <cell r="AB3600"/>
        </row>
        <row r="3601">
          <cell r="C3601">
            <v>0</v>
          </cell>
          <cell r="D3601">
            <v>0</v>
          </cell>
          <cell r="E3601">
            <v>0</v>
          </cell>
          <cell r="F3601">
            <v>0</v>
          </cell>
          <cell r="H3601">
            <v>1</v>
          </cell>
          <cell r="O3601">
            <v>146117</v>
          </cell>
          <cell r="P3601"/>
          <cell r="Q3601" t="str">
            <v>EST HOME ELLE (LOURO FREIJO) (BRANCO FOSCO)</v>
          </cell>
          <cell r="R3601"/>
          <cell r="S3601"/>
          <cell r="T3601">
            <v>1.52</v>
          </cell>
          <cell r="U3601">
            <v>0.4</v>
          </cell>
          <cell r="V3601">
            <v>0.45</v>
          </cell>
          <cell r="W3601">
            <v>0</v>
          </cell>
          <cell r="X3601" t="str">
            <v>EST HOME ELLE (LOURO FREIJO) (BRANCO FOSCO) - 1,52x0,4x0,45H</v>
          </cell>
          <cell r="Y3601" t="e">
            <v>#VALUE!</v>
          </cell>
          <cell r="Z3601">
            <v>0.35</v>
          </cell>
          <cell r="AA3601" t="e">
            <v>#VALUE!</v>
          </cell>
          <cell r="AB3601"/>
        </row>
        <row r="3602">
          <cell r="C3602">
            <v>0</v>
          </cell>
          <cell r="D3602">
            <v>0</v>
          </cell>
          <cell r="E3602">
            <v>0</v>
          </cell>
          <cell r="F3602">
            <v>0</v>
          </cell>
          <cell r="H3602">
            <v>1</v>
          </cell>
          <cell r="O3602">
            <v>150024</v>
          </cell>
          <cell r="P3602"/>
          <cell r="Q3602" t="str">
            <v>EST MESA LATERAL DUOMO (SOFT PURPLE 45)</v>
          </cell>
          <cell r="R3602"/>
          <cell r="S3602"/>
          <cell r="T3602">
            <v>0.5</v>
          </cell>
          <cell r="U3602">
            <v>0</v>
          </cell>
          <cell r="V3602">
            <v>0.5</v>
          </cell>
          <cell r="W3602">
            <v>0</v>
          </cell>
          <cell r="X3602" t="str">
            <v>EST MESA LATERAL DUOMO (SOFT PURPLE 45) - Ø0x0,5H</v>
          </cell>
          <cell r="Y3602" t="e">
            <v>#VALUE!</v>
          </cell>
          <cell r="Z3602">
            <v>0.35</v>
          </cell>
          <cell r="AA3602" t="e">
            <v>#VALUE!</v>
          </cell>
          <cell r="AB3602"/>
        </row>
        <row r="3603">
          <cell r="C3603">
            <v>0</v>
          </cell>
          <cell r="D3603">
            <v>0</v>
          </cell>
          <cell r="E3603">
            <v>0</v>
          </cell>
          <cell r="F3603">
            <v>0</v>
          </cell>
          <cell r="H3603">
            <v>2</v>
          </cell>
          <cell r="O3603">
            <v>151004</v>
          </cell>
          <cell r="P3603"/>
          <cell r="Q3603" t="str">
            <v>EST REVISTEIRO THORK (LATAO) (PRETO FOSCO)</v>
          </cell>
          <cell r="R3603"/>
          <cell r="S3603"/>
          <cell r="T3603">
            <v>0.37</v>
          </cell>
          <cell r="U3603">
            <v>0.35</v>
          </cell>
          <cell r="V3603">
            <v>0.65</v>
          </cell>
          <cell r="W3603">
            <v>0</v>
          </cell>
          <cell r="X3603" t="str">
            <v>EST REVISTEIRO THORK (LATAO) (PRETO FOSCO) - 0,37x0,35x0,65H</v>
          </cell>
          <cell r="Y3603" t="e">
            <v>#VALUE!</v>
          </cell>
          <cell r="Z3603">
            <v>0.35</v>
          </cell>
          <cell r="AA3603" t="e">
            <v>#VALUE!</v>
          </cell>
          <cell r="AB3603"/>
        </row>
        <row r="3604">
          <cell r="C3604">
            <v>0</v>
          </cell>
          <cell r="D3604">
            <v>0</v>
          </cell>
          <cell r="E3604">
            <v>0</v>
          </cell>
          <cell r="F3604">
            <v>0</v>
          </cell>
          <cell r="H3604">
            <v>1</v>
          </cell>
          <cell r="O3604">
            <v>152276</v>
          </cell>
          <cell r="P3604"/>
          <cell r="Q3604" t="str">
            <v>EST REVISTEIRO TECA (COURO MARRROM) (LACA FSC BRANCA)</v>
          </cell>
          <cell r="R3604"/>
          <cell r="S3604"/>
          <cell r="T3604">
            <v>0.55000000000000004</v>
          </cell>
          <cell r="U3604">
            <v>0.3</v>
          </cell>
          <cell r="V3604">
            <v>0.23</v>
          </cell>
          <cell r="W3604">
            <v>0</v>
          </cell>
          <cell r="X3604" t="str">
            <v>EST REVISTEIRO TECA (COURO MARRROM) (LACA FSC BRANCA) - 0,55x0,3x0,23H</v>
          </cell>
          <cell r="Y3604" t="e">
            <v>#VALUE!</v>
          </cell>
          <cell r="Z3604">
            <v>0.35</v>
          </cell>
          <cell r="AA3604" t="e">
            <v>#VALUE!</v>
          </cell>
          <cell r="AB3604"/>
        </row>
        <row r="3605">
          <cell r="C3605">
            <v>0</v>
          </cell>
          <cell r="D3605">
            <v>0</v>
          </cell>
          <cell r="E3605">
            <v>0</v>
          </cell>
          <cell r="F3605">
            <v>0</v>
          </cell>
          <cell r="H3605">
            <v>1</v>
          </cell>
          <cell r="O3605">
            <v>171836</v>
          </cell>
          <cell r="P3605"/>
          <cell r="Q3605" t="str">
            <v>EST MESA CENTRO MATRIZ (LAMINA MAPLE EBANIZADA)</v>
          </cell>
          <cell r="R3605"/>
          <cell r="S3605"/>
          <cell r="T3605">
            <v>2.2999999999999998</v>
          </cell>
          <cell r="U3605">
            <v>0.8</v>
          </cell>
          <cell r="V3605">
            <v>0.3</v>
          </cell>
          <cell r="W3605">
            <v>0</v>
          </cell>
          <cell r="X3605" t="str">
            <v>EST MESA CENTRO MATRIZ (LAMINA MAPLE EBANIZADA) - 2,3x0,8x0,3H</v>
          </cell>
          <cell r="Y3605" t="e">
            <v>#VALUE!</v>
          </cell>
          <cell r="Z3605">
            <v>0.35</v>
          </cell>
          <cell r="AA3605" t="e">
            <v>#VALUE!</v>
          </cell>
          <cell r="AB3605"/>
        </row>
        <row r="3606">
          <cell r="C3606">
            <v>0</v>
          </cell>
          <cell r="D3606">
            <v>0</v>
          </cell>
          <cell r="E3606">
            <v>0</v>
          </cell>
          <cell r="F3606">
            <v>0</v>
          </cell>
          <cell r="H3606">
            <v>1</v>
          </cell>
          <cell r="O3606">
            <v>173863</v>
          </cell>
          <cell r="P3606"/>
          <cell r="Q3606" t="str">
            <v>EST POLTRONA NADI (TC 147#5) (EBANIZADA)</v>
          </cell>
          <cell r="R3606"/>
          <cell r="S3606"/>
          <cell r="T3606">
            <v>0.74</v>
          </cell>
          <cell r="U3606">
            <v>0.75</v>
          </cell>
          <cell r="V3606">
            <v>0.67</v>
          </cell>
          <cell r="W3606">
            <v>0</v>
          </cell>
          <cell r="X3606" t="str">
            <v>EST POLTRONA NADI (TC 147#5) (EBANIZADA) - 0,74x0,75x0,67H</v>
          </cell>
          <cell r="Y3606" t="e">
            <v>#VALUE!</v>
          </cell>
          <cell r="Z3606">
            <v>0.35</v>
          </cell>
          <cell r="AA3606" t="e">
            <v>#VALUE!</v>
          </cell>
          <cell r="AB3606"/>
        </row>
        <row r="3607">
          <cell r="C3607">
            <v>0</v>
          </cell>
          <cell r="D3607">
            <v>0</v>
          </cell>
          <cell r="E3607">
            <v>0</v>
          </cell>
          <cell r="F3607">
            <v>0</v>
          </cell>
          <cell r="H3607">
            <v>1</v>
          </cell>
          <cell r="O3607">
            <v>174045</v>
          </cell>
          <cell r="P3607"/>
          <cell r="Q3607" t="str">
            <v>EST CADEIRA JOY (COR 01) (COURO NUDE)</v>
          </cell>
          <cell r="R3607"/>
          <cell r="S3607"/>
          <cell r="T3607">
            <v>0.44</v>
          </cell>
          <cell r="U3607">
            <v>0.56999999999999995</v>
          </cell>
          <cell r="V3607">
            <v>0.8</v>
          </cell>
          <cell r="W3607">
            <v>0</v>
          </cell>
          <cell r="X3607" t="str">
            <v>EST CADEIRA JOY (COR 01) (COURO NUDE) - 0,44x0,57x0,8H</v>
          </cell>
          <cell r="Y3607" t="e">
            <v>#VALUE!</v>
          </cell>
          <cell r="Z3607">
            <v>0.35</v>
          </cell>
          <cell r="AA3607" t="e">
            <v>#VALUE!</v>
          </cell>
          <cell r="AB3607"/>
        </row>
        <row r="3608">
          <cell r="C3608">
            <v>0</v>
          </cell>
          <cell r="D3608">
            <v>0</v>
          </cell>
          <cell r="E3608">
            <v>0</v>
          </cell>
          <cell r="F3608">
            <v>0</v>
          </cell>
          <cell r="H3608">
            <v>1</v>
          </cell>
          <cell r="O3608">
            <v>176086</v>
          </cell>
          <cell r="P3608"/>
          <cell r="Q3608" t="str">
            <v>EST BANQUETA BAR 102 (LORO PRETO) TC 96 REF 05</v>
          </cell>
          <cell r="R3608"/>
          <cell r="S3608"/>
          <cell r="T3608">
            <v>0.52</v>
          </cell>
          <cell r="U3608">
            <v>0.54</v>
          </cell>
          <cell r="V3608">
            <v>1.05</v>
          </cell>
          <cell r="W3608">
            <v>0</v>
          </cell>
          <cell r="X3608" t="str">
            <v>EST BANQUETA BAR 102 (LORO PRETO) TC 96 REF 05 - 0,52x0,54x1,05H</v>
          </cell>
          <cell r="Y3608" t="e">
            <v>#VALUE!</v>
          </cell>
          <cell r="Z3608">
            <v>0.35</v>
          </cell>
          <cell r="AA3608" t="e">
            <v>#VALUE!</v>
          </cell>
          <cell r="AB3608"/>
        </row>
        <row r="3609">
          <cell r="C3609">
            <v>0</v>
          </cell>
          <cell r="D3609">
            <v>0</v>
          </cell>
          <cell r="E3609">
            <v>0</v>
          </cell>
          <cell r="F3609">
            <v>0</v>
          </cell>
          <cell r="H3609">
            <v>1</v>
          </cell>
          <cell r="O3609">
            <v>176448</v>
          </cell>
          <cell r="P3609"/>
          <cell r="Q3609" t="str">
            <v>EST MESA CENTRO LODD TP 2 (CARVALHO NT) (LACA PRETA FOSCA)</v>
          </cell>
          <cell r="R3609"/>
          <cell r="S3609"/>
          <cell r="T3609">
            <v>0.8</v>
          </cell>
          <cell r="U3609">
            <v>0.8</v>
          </cell>
          <cell r="V3609">
            <v>0.3</v>
          </cell>
          <cell r="W3609">
            <v>0</v>
          </cell>
          <cell r="X3609" t="str">
            <v>EST MESA CENTRO LODD TP 2 (CARVALHO NT) (LACA PRETA FOSCA) - 0,8x0,8x0,3H</v>
          </cell>
          <cell r="Y3609" t="e">
            <v>#VALUE!</v>
          </cell>
          <cell r="Z3609">
            <v>0.35</v>
          </cell>
          <cell r="AA3609" t="e">
            <v>#VALUE!</v>
          </cell>
          <cell r="AB3609"/>
        </row>
        <row r="3610">
          <cell r="C3610">
            <v>0</v>
          </cell>
          <cell r="D3610">
            <v>0</v>
          </cell>
          <cell r="E3610">
            <v>0</v>
          </cell>
          <cell r="F3610">
            <v>0</v>
          </cell>
          <cell r="H3610">
            <v>1</v>
          </cell>
          <cell r="O3610">
            <v>176789</v>
          </cell>
          <cell r="P3610"/>
          <cell r="Q3610" t="str">
            <v>EST CADEIRA MILLA 520 C/BRACO (COR 01) (ESTOFADA TC LB-011)</v>
          </cell>
          <cell r="R3610"/>
          <cell r="S3610"/>
          <cell r="T3610">
            <v>0.56999999999999995</v>
          </cell>
          <cell r="U3610">
            <v>0.57999999999999996</v>
          </cell>
          <cell r="V3610">
            <v>0.8</v>
          </cell>
          <cell r="W3610">
            <v>0</v>
          </cell>
          <cell r="X3610" t="str">
            <v>EST CADEIRA MILLA 520 C/BRACO (COR 01) (ESTOFADA TC LB-011) - 0,57x0,58x0,8H</v>
          </cell>
          <cell r="Y3610" t="e">
            <v>#VALUE!</v>
          </cell>
          <cell r="Z3610">
            <v>0.35</v>
          </cell>
          <cell r="AA3610" t="e">
            <v>#VALUE!</v>
          </cell>
          <cell r="AB3610"/>
        </row>
        <row r="3611">
          <cell r="C3611">
            <v>0</v>
          </cell>
          <cell r="D3611">
            <v>0</v>
          </cell>
          <cell r="E3611">
            <v>0</v>
          </cell>
          <cell r="F3611">
            <v>0</v>
          </cell>
          <cell r="H3611">
            <v>1</v>
          </cell>
          <cell r="O3611">
            <v>176790</v>
          </cell>
          <cell r="P3611"/>
          <cell r="Q3611" t="str">
            <v>EST CADEIRA MILLA 300 (ESTOFADA) (COR 01/TC LIBERTY011)</v>
          </cell>
          <cell r="R3611"/>
          <cell r="S3611"/>
          <cell r="T3611">
            <v>0.59</v>
          </cell>
          <cell r="U3611">
            <v>0.53</v>
          </cell>
          <cell r="V3611">
            <v>0.8</v>
          </cell>
          <cell r="W3611">
            <v>0</v>
          </cell>
          <cell r="X3611" t="str">
            <v>EST CADEIRA MILLA 300 (ESTOFADA) (COR 01/TC LIBERTY011) - 0,59x0,53x0,8H</v>
          </cell>
          <cell r="Y3611" t="e">
            <v>#VALUE!</v>
          </cell>
          <cell r="Z3611">
            <v>0.35</v>
          </cell>
          <cell r="AA3611" t="e">
            <v>#VALUE!</v>
          </cell>
          <cell r="AB3611"/>
        </row>
        <row r="3612">
          <cell r="C3612">
            <v>0</v>
          </cell>
          <cell r="D3612">
            <v>0</v>
          </cell>
          <cell r="E3612">
            <v>0</v>
          </cell>
          <cell r="F3612">
            <v>0</v>
          </cell>
          <cell r="H3612">
            <v>1</v>
          </cell>
          <cell r="O3612">
            <v>176791</v>
          </cell>
          <cell r="P3612"/>
          <cell r="Q3612" t="str">
            <v>EST CADEIRA MILLA 360 (TELA NT) (COR01/TC LIBERTY011)</v>
          </cell>
          <cell r="R3612"/>
          <cell r="S3612"/>
          <cell r="T3612">
            <v>0.59</v>
          </cell>
          <cell r="U3612">
            <v>0.53</v>
          </cell>
          <cell r="V3612">
            <v>0.8</v>
          </cell>
          <cell r="W3612">
            <v>0</v>
          </cell>
          <cell r="X3612" t="str">
            <v>EST CADEIRA MILLA 360 (TELA NT) (COR01/TC LIBERTY011) - 0,59x0,53x0,8H</v>
          </cell>
          <cell r="Y3612" t="e">
            <v>#VALUE!</v>
          </cell>
          <cell r="Z3612">
            <v>0.35</v>
          </cell>
          <cell r="AA3612" t="e">
            <v>#VALUE!</v>
          </cell>
          <cell r="AB3612"/>
        </row>
        <row r="3613">
          <cell r="C3613">
            <v>0</v>
          </cell>
          <cell r="D3613">
            <v>0</v>
          </cell>
          <cell r="E3613">
            <v>0</v>
          </cell>
          <cell r="F3613">
            <v>0</v>
          </cell>
          <cell r="H3613">
            <v>1</v>
          </cell>
          <cell r="O3613">
            <v>176793</v>
          </cell>
          <cell r="P3613"/>
          <cell r="Q3613" t="str">
            <v>EST CADEIRA MILLA 160 C/BRACO (COR 01) (TELA) (TC LB-011)</v>
          </cell>
          <cell r="R3613"/>
          <cell r="S3613"/>
          <cell r="T3613">
            <v>0.56999999999999995</v>
          </cell>
          <cell r="U3613">
            <v>0.57999999999999996</v>
          </cell>
          <cell r="V3613">
            <v>0.8</v>
          </cell>
          <cell r="W3613">
            <v>0</v>
          </cell>
          <cell r="X3613" t="str">
            <v>EST CADEIRA MILLA 160 C/BRACO (COR 01) (TELA) (TC LB-011) - 0,57x0,58x0,8H</v>
          </cell>
          <cell r="Y3613" t="e">
            <v>#VALUE!</v>
          </cell>
          <cell r="Z3613">
            <v>0.35</v>
          </cell>
          <cell r="AA3613" t="e">
            <v>#VALUE!</v>
          </cell>
          <cell r="AB3613"/>
        </row>
        <row r="3614">
          <cell r="C3614">
            <v>0</v>
          </cell>
          <cell r="D3614">
            <v>0</v>
          </cell>
          <cell r="E3614">
            <v>0</v>
          </cell>
          <cell r="F3614">
            <v>0</v>
          </cell>
          <cell r="H3614">
            <v>1</v>
          </cell>
          <cell r="O3614">
            <v>176795</v>
          </cell>
          <cell r="P3614"/>
          <cell r="Q3614" t="str">
            <v>EST CADEIRA JOY (COR 01) TC LIBERTY WASHED LB-011</v>
          </cell>
          <cell r="R3614"/>
          <cell r="S3614"/>
          <cell r="T3614">
            <v>0.45</v>
          </cell>
          <cell r="U3614">
            <v>0.59</v>
          </cell>
          <cell r="V3614">
            <v>0.8</v>
          </cell>
          <cell r="W3614">
            <v>0</v>
          </cell>
          <cell r="X3614" t="str">
            <v>EST CADEIRA JOY (COR 01) TC LIBERTY WASHED LB-011 - 0,45x0,59x0,8H</v>
          </cell>
          <cell r="Y3614" t="e">
            <v>#VALUE!</v>
          </cell>
          <cell r="Z3614">
            <v>0.35</v>
          </cell>
          <cell r="AA3614" t="e">
            <v>#VALUE!</v>
          </cell>
          <cell r="AB3614"/>
        </row>
        <row r="3615">
          <cell r="C3615">
            <v>0</v>
          </cell>
          <cell r="D3615">
            <v>0</v>
          </cell>
          <cell r="E3615">
            <v>0</v>
          </cell>
          <cell r="F3615">
            <v>0</v>
          </cell>
          <cell r="H3615">
            <v>1</v>
          </cell>
          <cell r="O3615">
            <v>176798</v>
          </cell>
          <cell r="P3615"/>
          <cell r="Q3615" t="str">
            <v>EST POLTRONA DORA (BAIXA) CAMURCA CARAMELO</v>
          </cell>
          <cell r="R3615"/>
          <cell r="S3615"/>
          <cell r="T3615">
            <v>0.76</v>
          </cell>
          <cell r="U3615">
            <v>0.83</v>
          </cell>
          <cell r="V3615">
            <v>0.7</v>
          </cell>
          <cell r="W3615">
            <v>0</v>
          </cell>
          <cell r="X3615" t="str">
            <v>EST POLTRONA DORA (BAIXA) CAMURCA CARAMELO - 0,76x0,83x0,7H</v>
          </cell>
          <cell r="Y3615" t="e">
            <v>#VALUE!</v>
          </cell>
          <cell r="Z3615">
            <v>0.35</v>
          </cell>
          <cell r="AA3615" t="e">
            <v>#VALUE!</v>
          </cell>
          <cell r="AB3615"/>
        </row>
        <row r="3616">
          <cell r="C3616">
            <v>0</v>
          </cell>
          <cell r="D3616">
            <v>0</v>
          </cell>
          <cell r="E3616">
            <v>0</v>
          </cell>
          <cell r="F3616">
            <v>0</v>
          </cell>
          <cell r="H3616">
            <v>1</v>
          </cell>
          <cell r="O3616">
            <v>176801</v>
          </cell>
          <cell r="P3616"/>
          <cell r="Q3616" t="str">
            <v>EST BANQUETA DORA (PES ACO PINT CORTEN) (TC CB-091 CAMURCA)</v>
          </cell>
          <cell r="R3616"/>
          <cell r="S3616"/>
          <cell r="T3616">
            <v>0.6</v>
          </cell>
          <cell r="U3616">
            <v>0.5</v>
          </cell>
          <cell r="V3616">
            <v>0.43</v>
          </cell>
          <cell r="W3616">
            <v>0</v>
          </cell>
          <cell r="X3616" t="str">
            <v>EST BANQUETA DORA (PES ACO PINT CORTEN) (TC CB-091 CAMURCA) - 0,6x0,5x0,43H</v>
          </cell>
          <cell r="Y3616" t="e">
            <v>#VALUE!</v>
          </cell>
          <cell r="Z3616">
            <v>0.35</v>
          </cell>
          <cell r="AA3616" t="e">
            <v>#VALUE!</v>
          </cell>
          <cell r="AB3616"/>
        </row>
        <row r="3617">
          <cell r="C3617">
            <v>0</v>
          </cell>
          <cell r="D3617">
            <v>0</v>
          </cell>
          <cell r="E3617">
            <v>0</v>
          </cell>
          <cell r="F3617">
            <v>0</v>
          </cell>
          <cell r="H3617">
            <v>1</v>
          </cell>
          <cell r="O3617">
            <v>182204</v>
          </cell>
          <cell r="P3617"/>
          <cell r="Q3617" t="str">
            <v>EST PUFF CLOUD (PESPONTO 8975) TC NBX00094-003</v>
          </cell>
          <cell r="R3617"/>
          <cell r="S3617"/>
          <cell r="T3617">
            <v>1</v>
          </cell>
          <cell r="U3617">
            <v>1</v>
          </cell>
          <cell r="V3617">
            <v>0.44</v>
          </cell>
          <cell r="W3617">
            <v>0</v>
          </cell>
          <cell r="X3617" t="str">
            <v>EST PUFF CLOUD (PESPONTO 8975) TC NBX00094-003 - 1x1x0,44H</v>
          </cell>
          <cell r="Y3617">
            <v>0</v>
          </cell>
          <cell r="Z3617">
            <v>0</v>
          </cell>
          <cell r="AA3617">
            <v>0</v>
          </cell>
          <cell r="AB3617"/>
        </row>
        <row r="3618">
          <cell r="C3618">
            <v>0</v>
          </cell>
          <cell r="D3618">
            <v>0</v>
          </cell>
          <cell r="E3618">
            <v>0</v>
          </cell>
          <cell r="F3618">
            <v>0</v>
          </cell>
          <cell r="H3618">
            <v>1</v>
          </cell>
          <cell r="O3618">
            <v>184969</v>
          </cell>
          <cell r="P3618"/>
          <cell r="Q3618" t="str">
            <v>EST BANQUETA 150 (TAUARI TING NOGUEIRA) (TC 122#5)</v>
          </cell>
          <cell r="R3618"/>
          <cell r="S3618"/>
          <cell r="T3618">
            <v>0.66</v>
          </cell>
          <cell r="U3618">
            <v>0.5</v>
          </cell>
          <cell r="V3618">
            <v>0.41</v>
          </cell>
          <cell r="W3618">
            <v>0</v>
          </cell>
          <cell r="X3618" t="str">
            <v>EST BANQUETA 150 (TAUARI TING NOGUEIRA) (TC 122#5) - 0,66x0,5x0,41H</v>
          </cell>
          <cell r="Y3618" t="e">
            <v>#VALUE!</v>
          </cell>
          <cell r="Z3618">
            <v>0.35</v>
          </cell>
          <cell r="AA3618" t="e">
            <v>#VALUE!</v>
          </cell>
          <cell r="AB3618"/>
        </row>
        <row r="3619">
          <cell r="C3619">
            <v>0</v>
          </cell>
          <cell r="D3619">
            <v>0</v>
          </cell>
          <cell r="E3619">
            <v>0</v>
          </cell>
          <cell r="F3619">
            <v>0</v>
          </cell>
          <cell r="H3619">
            <v>1</v>
          </cell>
          <cell r="O3619">
            <v>191237</v>
          </cell>
          <cell r="P3619"/>
          <cell r="Q3619" t="str">
            <v>EST BANQUETA 150 (TAUARI TING NOGUEIRA) (TC SUMATRA #05)</v>
          </cell>
          <cell r="R3619"/>
          <cell r="S3619"/>
          <cell r="T3619">
            <v>0.66</v>
          </cell>
          <cell r="U3619">
            <v>0.5</v>
          </cell>
          <cell r="V3619">
            <v>0.41</v>
          </cell>
          <cell r="W3619">
            <v>0</v>
          </cell>
          <cell r="X3619" t="str">
            <v>EST BANQUETA 150 (TAUARI TING NOGUEIRA) (TC SUMATRA #05) - 0,66x0,5x0,41H</v>
          </cell>
          <cell r="Y3619" t="e">
            <v>#VALUE!</v>
          </cell>
          <cell r="Z3619">
            <v>0.35</v>
          </cell>
          <cell r="AA3619" t="e">
            <v>#VALUE!</v>
          </cell>
          <cell r="AB3619"/>
        </row>
        <row r="3620">
          <cell r="C3620">
            <v>1</v>
          </cell>
          <cell r="D3620">
            <v>1</v>
          </cell>
          <cell r="E3620">
            <v>0</v>
          </cell>
          <cell r="F3620">
            <v>0</v>
          </cell>
          <cell r="H3620">
            <v>2</v>
          </cell>
          <cell r="O3620">
            <v>191295</v>
          </cell>
          <cell r="P3620"/>
          <cell r="Q3620" t="str">
            <v>EST BANDEJA ALD (LATAO)</v>
          </cell>
          <cell r="R3620"/>
          <cell r="S3620"/>
          <cell r="T3620">
            <v>0.33</v>
          </cell>
          <cell r="U3620">
            <v>0.33</v>
          </cell>
          <cell r="V3620">
            <v>0.33</v>
          </cell>
          <cell r="W3620">
            <v>0</v>
          </cell>
          <cell r="X3620" t="str">
            <v>EST BANDEJA ALD (LATAO) - 0,33x0,33x0,33H</v>
          </cell>
          <cell r="Y3620" t="e">
            <v>#VALUE!</v>
          </cell>
          <cell r="Z3620">
            <v>0.35</v>
          </cell>
          <cell r="AA3620" t="e">
            <v>#VALUE!</v>
          </cell>
          <cell r="AB3620"/>
        </row>
        <row r="3621">
          <cell r="C3621">
            <v>1</v>
          </cell>
          <cell r="D3621">
            <v>2</v>
          </cell>
          <cell r="E3621">
            <v>0</v>
          </cell>
          <cell r="F3621">
            <v>0</v>
          </cell>
          <cell r="H3621">
            <v>5</v>
          </cell>
          <cell r="O3621">
            <v>191296</v>
          </cell>
          <cell r="P3621"/>
          <cell r="Q3621" t="str">
            <v>EST PORTA LAPIS (LATAO)</v>
          </cell>
          <cell r="R3621"/>
          <cell r="S3621"/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 t="str">
            <v>EST PORTA LAPIS (LATAO) - Ø0x0H</v>
          </cell>
          <cell r="Y3621" t="e">
            <v>#VALUE!</v>
          </cell>
          <cell r="Z3621">
            <v>0.35</v>
          </cell>
          <cell r="AA3621" t="e">
            <v>#VALUE!</v>
          </cell>
          <cell r="AB3621"/>
        </row>
        <row r="3622">
          <cell r="C3622">
            <v>0</v>
          </cell>
          <cell r="D3622">
            <v>0</v>
          </cell>
          <cell r="E3622">
            <v>0</v>
          </cell>
          <cell r="F3622">
            <v>0</v>
          </cell>
          <cell r="H3622">
            <v>2</v>
          </cell>
          <cell r="O3622">
            <v>191298</v>
          </cell>
          <cell r="P3622"/>
          <cell r="Q3622" t="str">
            <v>EST BANCO JULIA (FIBRA VIDRO) (LACA OURO ROSA BRILHO)</v>
          </cell>
          <cell r="R3622"/>
          <cell r="S3622"/>
          <cell r="T3622">
            <v>0.35</v>
          </cell>
          <cell r="U3622">
            <v>0</v>
          </cell>
          <cell r="V3622">
            <v>0.4</v>
          </cell>
          <cell r="W3622">
            <v>0.35</v>
          </cell>
          <cell r="X3622" t="str">
            <v>EST BANCO JULIA (FIBRA VIDRO) (LACA OURO ROSA BRILHO) - Ø0,35x0,4H</v>
          </cell>
          <cell r="Y3622" t="e">
            <v>#VALUE!</v>
          </cell>
          <cell r="Z3622">
            <v>0.35</v>
          </cell>
          <cell r="AA3622" t="e">
            <v>#VALUE!</v>
          </cell>
          <cell r="AB3622"/>
        </row>
        <row r="3623">
          <cell r="C3623">
            <v>0</v>
          </cell>
          <cell r="D3623">
            <v>0</v>
          </cell>
          <cell r="E3623">
            <v>0</v>
          </cell>
          <cell r="F3623">
            <v>0</v>
          </cell>
          <cell r="H3623">
            <v>2</v>
          </cell>
          <cell r="O3623">
            <v>194033</v>
          </cell>
          <cell r="P3623"/>
          <cell r="Q3623" t="str">
            <v>EST CADEIRA MIA (NOGUEIRA) TC FABRIK CROSSIBI</v>
          </cell>
          <cell r="R3623"/>
          <cell r="S3623"/>
          <cell r="T3623">
            <v>0.5</v>
          </cell>
          <cell r="U3623">
            <v>0.54</v>
          </cell>
          <cell r="V3623">
            <v>0.83</v>
          </cell>
          <cell r="W3623">
            <v>0</v>
          </cell>
          <cell r="X3623" t="str">
            <v>EST CADEIRA MIA (NOGUEIRA) TC FABRIK CROSSIBI - 0,5x0,54x0,83H</v>
          </cell>
          <cell r="Y3623" t="e">
            <v>#VALUE!</v>
          </cell>
          <cell r="Z3623">
            <v>0.35</v>
          </cell>
          <cell r="AA3623" t="e">
            <v>#VALUE!</v>
          </cell>
          <cell r="AB3623"/>
        </row>
        <row r="3624">
          <cell r="C3624">
            <v>0</v>
          </cell>
          <cell r="D3624">
            <v>0</v>
          </cell>
          <cell r="E3624">
            <v>0</v>
          </cell>
          <cell r="F3624">
            <v>0</v>
          </cell>
          <cell r="H3624">
            <v>1</v>
          </cell>
          <cell r="O3624">
            <v>207163</v>
          </cell>
          <cell r="P3624"/>
          <cell r="Q3624" t="str">
            <v>EST CADEIRA MILLA 540 ( WHISKY) TELA NAT TC 244-01718</v>
          </cell>
          <cell r="R3624"/>
          <cell r="S3624"/>
          <cell r="T3624">
            <v>0.59</v>
          </cell>
          <cell r="U3624">
            <v>0.52</v>
          </cell>
          <cell r="V3624">
            <v>0.84</v>
          </cell>
          <cell r="W3624">
            <v>0</v>
          </cell>
          <cell r="X3624" t="str">
            <v>EST CADEIRA MILLA 540 ( WHISKY) TELA NAT TC 244-01718 - 0,59x0,52x0,84H</v>
          </cell>
          <cell r="Y3624" t="e">
            <v>#VALUE!</v>
          </cell>
          <cell r="Z3624">
            <v>0.35</v>
          </cell>
          <cell r="AA3624" t="e">
            <v>#VALUE!</v>
          </cell>
          <cell r="AB3624"/>
        </row>
        <row r="3625">
          <cell r="C3625">
            <v>0</v>
          </cell>
          <cell r="D3625">
            <v>0</v>
          </cell>
          <cell r="E3625">
            <v>0</v>
          </cell>
          <cell r="F3625">
            <v>0</v>
          </cell>
          <cell r="H3625">
            <v>1</v>
          </cell>
          <cell r="O3625">
            <v>207166</v>
          </cell>
          <cell r="P3625"/>
          <cell r="Q3625" t="str">
            <v>EST CADEIRA MILLA 360 C/BRACO (WHISKY) TELA NT TC 244-01718</v>
          </cell>
          <cell r="R3625"/>
          <cell r="S3625"/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 t="str">
            <v>EST CADEIRA MILLA 360 C/BRACO (WHISKY) TELA NT TC 244-01718 - Ø0x0H</v>
          </cell>
          <cell r="Y3625" t="e">
            <v>#VALUE!</v>
          </cell>
          <cell r="Z3625">
            <v>0.35</v>
          </cell>
          <cell r="AA3625" t="e">
            <v>#VALUE!</v>
          </cell>
          <cell r="AB3625"/>
        </row>
        <row r="3626">
          <cell r="C3626">
            <v>0</v>
          </cell>
          <cell r="D3626">
            <v>0</v>
          </cell>
          <cell r="E3626">
            <v>0</v>
          </cell>
          <cell r="F3626">
            <v>0</v>
          </cell>
          <cell r="H3626">
            <v>1</v>
          </cell>
          <cell r="O3626">
            <v>207167</v>
          </cell>
          <cell r="P3626"/>
          <cell r="Q3626" t="str">
            <v>EST CADEIRA MILLA 160 C/BRACO (WHISKY) (TELA) (TC 24401718)</v>
          </cell>
          <cell r="R3626"/>
          <cell r="S3626"/>
          <cell r="T3626">
            <v>0.57999999999999996</v>
          </cell>
          <cell r="U3626">
            <v>0.56999999999999995</v>
          </cell>
          <cell r="V3626">
            <v>0.8</v>
          </cell>
          <cell r="W3626">
            <v>0</v>
          </cell>
          <cell r="X3626" t="str">
            <v>EST CADEIRA MILLA 160 C/BRACO (WHISKY) (TELA) (TC 24401718) - 0,58x0,57x0,8H</v>
          </cell>
          <cell r="Y3626" t="e">
            <v>#VALUE!</v>
          </cell>
          <cell r="Z3626">
            <v>0.35</v>
          </cell>
          <cell r="AA3626" t="e">
            <v>#VALUE!</v>
          </cell>
          <cell r="AB3626"/>
        </row>
        <row r="3627">
          <cell r="C3627">
            <v>0</v>
          </cell>
          <cell r="D3627">
            <v>0</v>
          </cell>
          <cell r="E3627">
            <v>0</v>
          </cell>
          <cell r="F3627">
            <v>0</v>
          </cell>
          <cell r="H3627">
            <v>1</v>
          </cell>
          <cell r="O3627">
            <v>210141</v>
          </cell>
          <cell r="P3627"/>
          <cell r="Q3627" t="str">
            <v>EST ESTANTE CODE ESPECIAL COMPLETA (CARVALHO PINHO RIGA)</v>
          </cell>
          <cell r="R3627"/>
          <cell r="S3627"/>
          <cell r="T3627">
            <v>5.6</v>
          </cell>
          <cell r="U3627">
            <v>0.35</v>
          </cell>
          <cell r="V3627">
            <v>2.4</v>
          </cell>
          <cell r="W3627">
            <v>0</v>
          </cell>
          <cell r="X3627" t="str">
            <v>EST ESTANTE CODE ESPECIAL COMPLETA (CARVALHO PINHO RIGA) - 5,6x0,35x2,4H</v>
          </cell>
          <cell r="Y3627" t="e">
            <v>#VALUE!</v>
          </cell>
          <cell r="Z3627">
            <v>0.35</v>
          </cell>
          <cell r="AA3627" t="e">
            <v>#VALUE!</v>
          </cell>
          <cell r="AB3627"/>
        </row>
        <row r="3628">
          <cell r="C3628">
            <v>0</v>
          </cell>
          <cell r="D3628">
            <v>0</v>
          </cell>
          <cell r="E3628">
            <v>0</v>
          </cell>
          <cell r="F3628">
            <v>0</v>
          </cell>
          <cell r="H3628">
            <v>1</v>
          </cell>
          <cell r="O3628">
            <v>219312</v>
          </cell>
          <cell r="P3628"/>
          <cell r="Q3628" t="str">
            <v>EST BANQUETA BAR PHILLIPS (NOGUEIRA) (BASE EFEITO CORTEN)</v>
          </cell>
          <cell r="R3628"/>
          <cell r="S3628"/>
          <cell r="T3628">
            <v>0.35</v>
          </cell>
          <cell r="U3628">
            <v>0</v>
          </cell>
          <cell r="V3628">
            <v>0.7</v>
          </cell>
          <cell r="W3628">
            <v>0.35</v>
          </cell>
          <cell r="X3628" t="str">
            <v>EST BANQUETA BAR PHILLIPS (NOGUEIRA) (BASE EFEITO CORTEN) - Ø0,35x0,7H</v>
          </cell>
          <cell r="Y3628" t="e">
            <v>#VALUE!</v>
          </cell>
          <cell r="Z3628">
            <v>0.35</v>
          </cell>
          <cell r="AA3628" t="e">
            <v>#VALUE!</v>
          </cell>
          <cell r="AB3628"/>
        </row>
        <row r="3629">
          <cell r="C3629">
            <v>0</v>
          </cell>
          <cell r="D3629">
            <v>0</v>
          </cell>
          <cell r="E3629">
            <v>0</v>
          </cell>
          <cell r="F3629">
            <v>0</v>
          </cell>
          <cell r="H3629">
            <v>1</v>
          </cell>
          <cell r="O3629">
            <v>219523</v>
          </cell>
          <cell r="P3629"/>
          <cell r="Q3629" t="str">
            <v>EST BANQUETA BAR 102 (EBANIZADO) TC 149</v>
          </cell>
          <cell r="R3629"/>
          <cell r="S3629"/>
          <cell r="T3629">
            <v>0.52</v>
          </cell>
          <cell r="U3629">
            <v>0.54</v>
          </cell>
          <cell r="V3629">
            <v>1.05</v>
          </cell>
          <cell r="W3629">
            <v>0</v>
          </cell>
          <cell r="X3629" t="str">
            <v>EST BANQUETA BAR 102 (EBANIZADO) TC 149 - 0,52x0,54x1,05H</v>
          </cell>
          <cell r="Y3629" t="e">
            <v>#VALUE!</v>
          </cell>
          <cell r="Z3629">
            <v>0.35</v>
          </cell>
          <cell r="AA3629" t="e">
            <v>#VALUE!</v>
          </cell>
          <cell r="AB3629"/>
        </row>
        <row r="3630">
          <cell r="C3630">
            <v>0</v>
          </cell>
          <cell r="D3630">
            <v>0</v>
          </cell>
          <cell r="E3630">
            <v>0</v>
          </cell>
          <cell r="F3630">
            <v>0</v>
          </cell>
          <cell r="H3630">
            <v>4</v>
          </cell>
          <cell r="O3630">
            <v>222839</v>
          </cell>
          <cell r="P3630"/>
          <cell r="Q3630" t="str">
            <v>EST COMPONENTE HASTE ESTANTE ICON (EPOXI BRANCO FOSCO)</v>
          </cell>
          <cell r="R3630"/>
          <cell r="S3630"/>
          <cell r="T3630">
            <v>0</v>
          </cell>
          <cell r="U3630">
            <v>0</v>
          </cell>
          <cell r="V3630">
            <v>2.33</v>
          </cell>
          <cell r="W3630">
            <v>0</v>
          </cell>
          <cell r="X3630" t="str">
            <v>EST COMPONENTE HASTE ESTANTE ICON (EPOXI BRANCO FOSCO) - Ø0x2,33H</v>
          </cell>
          <cell r="Y3630" t="e">
            <v>#VALUE!</v>
          </cell>
          <cell r="Z3630">
            <v>0.35</v>
          </cell>
          <cell r="AA3630" t="e">
            <v>#VALUE!</v>
          </cell>
          <cell r="AB3630"/>
        </row>
        <row r="3631">
          <cell r="C3631">
            <v>0</v>
          </cell>
          <cell r="D3631">
            <v>0</v>
          </cell>
          <cell r="E3631">
            <v>0</v>
          </cell>
          <cell r="F3631">
            <v>0</v>
          </cell>
          <cell r="H3631">
            <v>23</v>
          </cell>
          <cell r="O3631">
            <v>222840</v>
          </cell>
          <cell r="P3631"/>
          <cell r="Q3631" t="str">
            <v>EST COMPONENTE PRATELEIRA ESTANTE ICON (EPOXI BRANCO FOSCO)</v>
          </cell>
          <cell r="R3631"/>
          <cell r="S3631"/>
          <cell r="T3631">
            <v>0.5</v>
          </cell>
          <cell r="U3631">
            <v>0.35</v>
          </cell>
          <cell r="V3631">
            <v>0</v>
          </cell>
          <cell r="W3631">
            <v>0</v>
          </cell>
          <cell r="X3631" t="str">
            <v>EST COMPONENTE PRATELEIRA ESTANTE ICON (EPOXI BRANCO FOSCO) - 0,5x0,35x0H</v>
          </cell>
          <cell r="Y3631" t="e">
            <v>#VALUE!</v>
          </cell>
          <cell r="Z3631">
            <v>0.35</v>
          </cell>
          <cell r="AA3631" t="e">
            <v>#VALUE!</v>
          </cell>
          <cell r="AB3631"/>
        </row>
        <row r="3632">
          <cell r="C3632">
            <v>0</v>
          </cell>
          <cell r="D3632">
            <v>0</v>
          </cell>
          <cell r="E3632">
            <v>0</v>
          </cell>
          <cell r="F3632">
            <v>0</v>
          </cell>
          <cell r="H3632">
            <v>2</v>
          </cell>
          <cell r="O3632">
            <v>222841</v>
          </cell>
          <cell r="P3632"/>
          <cell r="Q3632" t="str">
            <v>EST COMPONENTE HASTE ESTANTE ICON (EPOXI BRANCO FOSCO)</v>
          </cell>
          <cell r="R3632"/>
          <cell r="S3632"/>
          <cell r="T3632">
            <v>0</v>
          </cell>
          <cell r="U3632">
            <v>0</v>
          </cell>
          <cell r="V3632">
            <v>2.2000000000000002</v>
          </cell>
          <cell r="W3632">
            <v>0</v>
          </cell>
          <cell r="X3632" t="str">
            <v>EST COMPONENTE HASTE ESTANTE ICON (EPOXI BRANCO FOSCO) - Ø0x2,2H</v>
          </cell>
          <cell r="Y3632" t="e">
            <v>#VALUE!</v>
          </cell>
          <cell r="Z3632">
            <v>0.35</v>
          </cell>
          <cell r="AA3632" t="e">
            <v>#VALUE!</v>
          </cell>
          <cell r="AB3632"/>
        </row>
        <row r="3633">
          <cell r="C3633">
            <v>0</v>
          </cell>
          <cell r="D3633">
            <v>0</v>
          </cell>
          <cell r="E3633">
            <v>0</v>
          </cell>
          <cell r="F3633">
            <v>0</v>
          </cell>
          <cell r="H3633">
            <v>5</v>
          </cell>
          <cell r="O3633">
            <v>222842</v>
          </cell>
          <cell r="P3633"/>
          <cell r="Q3633" t="str">
            <v>EST COMPONENTE HASTE ESTANTE ICON (CARVALHO NATURAL)</v>
          </cell>
          <cell r="R3633"/>
          <cell r="S3633"/>
          <cell r="T3633">
            <v>0</v>
          </cell>
          <cell r="U3633">
            <v>0</v>
          </cell>
          <cell r="V3633">
            <v>2.75</v>
          </cell>
          <cell r="W3633">
            <v>0</v>
          </cell>
          <cell r="X3633" t="str">
            <v>EST COMPONENTE HASTE ESTANTE ICON (CARVALHO NATURAL) - Ø0x2,75H</v>
          </cell>
          <cell r="Y3633" t="e">
            <v>#VALUE!</v>
          </cell>
          <cell r="Z3633">
            <v>0.35</v>
          </cell>
          <cell r="AA3633" t="e">
            <v>#VALUE!</v>
          </cell>
          <cell r="AB3633"/>
        </row>
        <row r="3634">
          <cell r="C3634">
            <v>0</v>
          </cell>
          <cell r="D3634">
            <v>0</v>
          </cell>
          <cell r="E3634">
            <v>0</v>
          </cell>
          <cell r="F3634">
            <v>0</v>
          </cell>
          <cell r="H3634">
            <v>4</v>
          </cell>
          <cell r="O3634">
            <v>222846</v>
          </cell>
          <cell r="P3634"/>
          <cell r="Q3634" t="str">
            <v>EST COMPONENTE PRATELEIRA ESTANTE ICON (CARVALHO NATURAL)</v>
          </cell>
          <cell r="R3634"/>
          <cell r="S3634"/>
          <cell r="T3634">
            <v>1.5</v>
          </cell>
          <cell r="U3634">
            <v>0.35</v>
          </cell>
          <cell r="V3634">
            <v>0</v>
          </cell>
          <cell r="W3634">
            <v>0</v>
          </cell>
          <cell r="X3634" t="str">
            <v>EST COMPONENTE PRATELEIRA ESTANTE ICON (CARVALHO NATURAL) - 1,5x0,35x0H</v>
          </cell>
          <cell r="Y3634" t="e">
            <v>#VALUE!</v>
          </cell>
          <cell r="Z3634">
            <v>0.35</v>
          </cell>
          <cell r="AA3634" t="e">
            <v>#VALUE!</v>
          </cell>
          <cell r="AB3634"/>
        </row>
        <row r="3635">
          <cell r="C3635">
            <v>0</v>
          </cell>
          <cell r="D3635">
            <v>0</v>
          </cell>
          <cell r="E3635">
            <v>0</v>
          </cell>
          <cell r="F3635">
            <v>0</v>
          </cell>
          <cell r="H3635">
            <v>8</v>
          </cell>
          <cell r="O3635">
            <v>222847</v>
          </cell>
          <cell r="P3635"/>
          <cell r="Q3635" t="str">
            <v>EST COMPONENTE PRATELEIRA ESTANTE ICON (CARVALHO NATURAL)</v>
          </cell>
          <cell r="R3635"/>
          <cell r="S3635"/>
          <cell r="T3635">
            <v>1.2</v>
          </cell>
          <cell r="U3635">
            <v>0.35</v>
          </cell>
          <cell r="V3635">
            <v>0</v>
          </cell>
          <cell r="W3635">
            <v>0</v>
          </cell>
          <cell r="X3635" t="str">
            <v>EST COMPONENTE PRATELEIRA ESTANTE ICON (CARVALHO NATURAL) - 1,2x0,35x0H</v>
          </cell>
          <cell r="Y3635" t="e">
            <v>#VALUE!</v>
          </cell>
          <cell r="Z3635">
            <v>0.35</v>
          </cell>
          <cell r="AA3635" t="e">
            <v>#VALUE!</v>
          </cell>
          <cell r="AB3635"/>
        </row>
        <row r="3636">
          <cell r="C3636">
            <v>0</v>
          </cell>
          <cell r="D3636">
            <v>0</v>
          </cell>
          <cell r="E3636">
            <v>0</v>
          </cell>
          <cell r="F3636">
            <v>0</v>
          </cell>
          <cell r="H3636">
            <v>6</v>
          </cell>
          <cell r="O3636">
            <v>222848</v>
          </cell>
          <cell r="P3636"/>
          <cell r="Q3636" t="str">
            <v>EST COMPONENTE PRATELEIRA ESTANTE ICON (CARVALHO NATURAL)</v>
          </cell>
          <cell r="R3636"/>
          <cell r="S3636"/>
          <cell r="T3636">
            <v>0.9</v>
          </cell>
          <cell r="U3636">
            <v>0.35</v>
          </cell>
          <cell r="V3636">
            <v>0</v>
          </cell>
          <cell r="W3636">
            <v>0</v>
          </cell>
          <cell r="X3636" t="str">
            <v>EST COMPONENTE PRATELEIRA ESTANTE ICON (CARVALHO NATURAL) - 0,9x0,35x0H</v>
          </cell>
          <cell r="Y3636" t="e">
            <v>#VALUE!</v>
          </cell>
          <cell r="Z3636">
            <v>0.35</v>
          </cell>
          <cell r="AA3636" t="e">
            <v>#VALUE!</v>
          </cell>
          <cell r="AB3636"/>
        </row>
        <row r="3637">
          <cell r="C3637">
            <v>0</v>
          </cell>
          <cell r="D3637">
            <v>0</v>
          </cell>
          <cell r="E3637">
            <v>0</v>
          </cell>
          <cell r="F3637">
            <v>0</v>
          </cell>
          <cell r="H3637">
            <v>1</v>
          </cell>
          <cell r="O3637">
            <v>223242</v>
          </cell>
          <cell r="P3637"/>
          <cell r="Q3637" t="str">
            <v>EST PUFF DINN (LATAO POLIDO) TC 175</v>
          </cell>
          <cell r="R3637"/>
          <cell r="S3637"/>
          <cell r="T3637">
            <v>1.5</v>
          </cell>
          <cell r="U3637">
            <v>0.7</v>
          </cell>
          <cell r="V3637">
            <v>0.35</v>
          </cell>
          <cell r="W3637">
            <v>0</v>
          </cell>
          <cell r="X3637" t="str">
            <v>EST PUFF DINN (LATAO POLIDO) TC 175 - 1,5x0,7x0,35H</v>
          </cell>
          <cell r="Y3637" t="e">
            <v>#VALUE!</v>
          </cell>
          <cell r="Z3637">
            <v>0.35</v>
          </cell>
          <cell r="AA3637" t="e">
            <v>#VALUE!</v>
          </cell>
          <cell r="AB3637"/>
        </row>
        <row r="3638">
          <cell r="C3638">
            <v>0</v>
          </cell>
          <cell r="D3638">
            <v>0</v>
          </cell>
          <cell r="E3638">
            <v>0</v>
          </cell>
          <cell r="F3638">
            <v>0</v>
          </cell>
          <cell r="H3638">
            <v>1</v>
          </cell>
          <cell r="O3638">
            <v>224044</v>
          </cell>
          <cell r="P3638"/>
          <cell r="Q3638" t="str">
            <v>EST APARADOR TRINTA ELIPTICO (MARMOR NERO) (PRETO TXT)</v>
          </cell>
          <cell r="R3638"/>
          <cell r="S3638"/>
          <cell r="T3638">
            <v>1.6</v>
          </cell>
          <cell r="U3638">
            <v>0.7</v>
          </cell>
          <cell r="V3638">
            <v>0.8</v>
          </cell>
          <cell r="W3638">
            <v>0</v>
          </cell>
          <cell r="X3638" t="str">
            <v>EST APARADOR TRINTA ELIPTICO (MARMOR NERO) (PRETO TXT) - 1,6x0,7x0,8H</v>
          </cell>
          <cell r="Y3638" t="e">
            <v>#VALUE!</v>
          </cell>
          <cell r="Z3638">
            <v>0.35</v>
          </cell>
          <cell r="AA3638" t="e">
            <v>#VALUE!</v>
          </cell>
          <cell r="AB3638"/>
        </row>
        <row r="3639">
          <cell r="C3639">
            <v>0</v>
          </cell>
          <cell r="D3639">
            <v>0</v>
          </cell>
          <cell r="E3639">
            <v>0</v>
          </cell>
          <cell r="F3639">
            <v>0</v>
          </cell>
          <cell r="H3639">
            <v>1</v>
          </cell>
          <cell r="O3639">
            <v>224170</v>
          </cell>
          <cell r="P3639"/>
          <cell r="Q3639" t="str">
            <v>EST LUMINARIA PAREDE PINN (MOD 6) (PRETO TXT) (LEITOSO)</v>
          </cell>
          <cell r="R3639"/>
          <cell r="S3639"/>
          <cell r="T3639">
            <v>1.01</v>
          </cell>
          <cell r="U3639">
            <v>0.16</v>
          </cell>
          <cell r="V3639">
            <v>1.1000000000000001</v>
          </cell>
          <cell r="W3639">
            <v>0</v>
          </cell>
          <cell r="X3639" t="str">
            <v>EST LUMINARIA PAREDE PINN (MOD 6) (PRETO TXT) (LEITOSO) - 1,01x0,16x1,1H</v>
          </cell>
          <cell r="Y3639" t="e">
            <v>#VALUE!</v>
          </cell>
          <cell r="Z3639">
            <v>0.35</v>
          </cell>
          <cell r="AA3639" t="e">
            <v>#VALUE!</v>
          </cell>
          <cell r="AB3639"/>
        </row>
        <row r="3640">
          <cell r="C3640">
            <v>0</v>
          </cell>
          <cell r="D3640">
            <v>0</v>
          </cell>
          <cell r="E3640">
            <v>0</v>
          </cell>
          <cell r="F3640">
            <v>0</v>
          </cell>
          <cell r="H3640">
            <v>1</v>
          </cell>
          <cell r="O3640">
            <v>224211</v>
          </cell>
          <cell r="P3640"/>
          <cell r="Q3640" t="str">
            <v>EST CADEIRA DORA TC INTRICATE WHINTEL MIX TAUARI COR 01</v>
          </cell>
          <cell r="R3640"/>
          <cell r="S3640"/>
          <cell r="T3640">
            <v>0.62</v>
          </cell>
          <cell r="U3640">
            <v>0.7</v>
          </cell>
          <cell r="V3640">
            <v>0.84</v>
          </cell>
          <cell r="W3640">
            <v>0</v>
          </cell>
          <cell r="X3640" t="str">
            <v>EST CADEIRA DORA TC INTRICATE WHINTEL MIX TAUARI COR 01 - 0,62x0,7x0,84H</v>
          </cell>
          <cell r="Y3640" t="e">
            <v>#VALUE!</v>
          </cell>
          <cell r="Z3640">
            <v>0.35</v>
          </cell>
          <cell r="AA3640" t="e">
            <v>#VALUE!</v>
          </cell>
          <cell r="AB3640"/>
        </row>
        <row r="3641">
          <cell r="C3641">
            <v>0</v>
          </cell>
          <cell r="D3641">
            <v>0</v>
          </cell>
          <cell r="E3641">
            <v>0</v>
          </cell>
          <cell r="F3641">
            <v>0</v>
          </cell>
          <cell r="H3641">
            <v>2</v>
          </cell>
          <cell r="O3641">
            <v>230260</v>
          </cell>
          <cell r="P3641"/>
          <cell r="Q3641" t="str">
            <v>EST BANQUETA BAR EASY (EBANIZADO) (BASE PRETA FOSCA)</v>
          </cell>
          <cell r="R3641"/>
          <cell r="S3641"/>
          <cell r="T3641">
            <v>0.38</v>
          </cell>
          <cell r="U3641">
            <v>0.36</v>
          </cell>
          <cell r="V3641">
            <v>0.7</v>
          </cell>
          <cell r="W3641">
            <v>0</v>
          </cell>
          <cell r="X3641" t="str">
            <v>EST BANQUETA BAR EASY (EBANIZADO) (BASE PRETA FOSCA) - 0,38x0,36x0,7H</v>
          </cell>
          <cell r="Y3641" t="e">
            <v>#VALUE!</v>
          </cell>
          <cell r="Z3641">
            <v>0.35</v>
          </cell>
          <cell r="AA3641" t="e">
            <v>#VALUE!</v>
          </cell>
          <cell r="AB3641"/>
        </row>
        <row r="3642">
          <cell r="C3642">
            <v>0</v>
          </cell>
          <cell r="D3642">
            <v>0</v>
          </cell>
          <cell r="E3642">
            <v>0</v>
          </cell>
          <cell r="F3642">
            <v>0</v>
          </cell>
          <cell r="H3642">
            <v>1</v>
          </cell>
          <cell r="O3642">
            <v>230856</v>
          </cell>
          <cell r="P3642"/>
          <cell r="Q3642" t="str">
            <v>EST BANQUETA BAR 102 (CANYON) (TELA IMBUIA NEGRA) TC 120</v>
          </cell>
          <cell r="R3642"/>
          <cell r="S3642"/>
          <cell r="T3642">
            <v>0.52</v>
          </cell>
          <cell r="U3642">
            <v>0.54</v>
          </cell>
          <cell r="V3642">
            <v>1.05</v>
          </cell>
          <cell r="W3642">
            <v>0</v>
          </cell>
          <cell r="X3642" t="str">
            <v>EST BANQUETA BAR 102 (CANYON) (TELA IMBUIA NEGRA) TC 120 - 0,52x0,54x1,05H</v>
          </cell>
          <cell r="Y3642" t="e">
            <v>#VALUE!</v>
          </cell>
          <cell r="Z3642">
            <v>0.35</v>
          </cell>
          <cell r="AA3642" t="e">
            <v>#VALUE!</v>
          </cell>
          <cell r="AB3642"/>
        </row>
        <row r="3643">
          <cell r="C3643">
            <v>0</v>
          </cell>
          <cell r="D3643">
            <v>0</v>
          </cell>
          <cell r="E3643">
            <v>0</v>
          </cell>
          <cell r="F3643">
            <v>0</v>
          </cell>
          <cell r="H3643">
            <v>10</v>
          </cell>
          <cell r="O3643">
            <v>231407</v>
          </cell>
          <cell r="P3643"/>
          <cell r="Q3643" t="str">
            <v>EST COMPONENTE PRATELEIRA ESTANTE ICON (EPOXI PRETO FOSCO)</v>
          </cell>
          <cell r="R3643"/>
          <cell r="S3643"/>
          <cell r="T3643">
            <v>0.7</v>
          </cell>
          <cell r="U3643">
            <v>0.35</v>
          </cell>
          <cell r="V3643">
            <v>0</v>
          </cell>
          <cell r="W3643">
            <v>0</v>
          </cell>
          <cell r="X3643" t="str">
            <v>EST COMPONENTE PRATELEIRA ESTANTE ICON (EPOXI PRETO FOSCO) - 0,7x0,35x0H</v>
          </cell>
          <cell r="Y3643" t="e">
            <v>#VALUE!</v>
          </cell>
          <cell r="Z3643">
            <v>0.35</v>
          </cell>
          <cell r="AA3643" t="e">
            <v>#VALUE!</v>
          </cell>
          <cell r="AB3643"/>
        </row>
        <row r="3644">
          <cell r="C3644">
            <v>0</v>
          </cell>
          <cell r="D3644">
            <v>0</v>
          </cell>
          <cell r="E3644">
            <v>0</v>
          </cell>
          <cell r="F3644">
            <v>0</v>
          </cell>
          <cell r="H3644">
            <v>3</v>
          </cell>
          <cell r="O3644">
            <v>231408</v>
          </cell>
          <cell r="P3644"/>
          <cell r="Q3644" t="str">
            <v>EST COMPONENTE HASTE ESTANTE ICON (EPOXI PRETO FOSCO)</v>
          </cell>
          <cell r="R3644"/>
          <cell r="S3644"/>
          <cell r="T3644">
            <v>0</v>
          </cell>
          <cell r="U3644">
            <v>0</v>
          </cell>
          <cell r="V3644">
            <v>2.5</v>
          </cell>
          <cell r="W3644">
            <v>0</v>
          </cell>
          <cell r="X3644" t="str">
            <v>EST COMPONENTE HASTE ESTANTE ICON (EPOXI PRETO FOSCO) - Ø0x2,5H</v>
          </cell>
          <cell r="Y3644" t="e">
            <v>#VALUE!</v>
          </cell>
          <cell r="Z3644">
            <v>0.35</v>
          </cell>
          <cell r="AA3644" t="e">
            <v>#VALUE!</v>
          </cell>
          <cell r="AB3644"/>
        </row>
        <row r="3645">
          <cell r="C3645" t="e">
            <v>#N/A</v>
          </cell>
          <cell r="D3645" t="e">
            <v>#N/A</v>
          </cell>
          <cell r="E3645" t="e">
            <v>#N/A</v>
          </cell>
          <cell r="F3645" t="e">
            <v>#N/A</v>
          </cell>
          <cell r="H3645" t="e">
            <v>#N/A</v>
          </cell>
          <cell r="O3645">
            <v>231882</v>
          </cell>
          <cell r="P3645"/>
          <cell r="Q3645" t="e">
            <v>#N/A</v>
          </cell>
          <cell r="R3645"/>
          <cell r="S3645"/>
          <cell r="T3645" t="e">
            <v>#N/A</v>
          </cell>
          <cell r="U3645" t="e">
            <v>#N/A</v>
          </cell>
          <cell r="V3645" t="e">
            <v>#N/A</v>
          </cell>
          <cell r="W3645" t="e">
            <v>#N/A</v>
          </cell>
          <cell r="X3645" t="e">
            <v>#N/A</v>
          </cell>
          <cell r="Y3645" t="e">
            <v>#VALUE!</v>
          </cell>
          <cell r="Z3645">
            <v>0.35</v>
          </cell>
          <cell r="AA3645" t="e">
            <v>#VALUE!</v>
          </cell>
          <cell r="AB3645"/>
        </row>
        <row r="3646">
          <cell r="C3646">
            <v>0</v>
          </cell>
          <cell r="D3646">
            <v>0</v>
          </cell>
          <cell r="E3646">
            <v>0</v>
          </cell>
          <cell r="F3646">
            <v>0</v>
          </cell>
          <cell r="H3646">
            <v>1</v>
          </cell>
          <cell r="O3646">
            <v>231951</v>
          </cell>
          <cell r="P3646"/>
          <cell r="Q3646" t="str">
            <v>EST MESA LATERLA DUOMO (LACA BRILHO CORAL)</v>
          </cell>
          <cell r="R3646"/>
          <cell r="S3646"/>
          <cell r="T3646">
            <v>0.65</v>
          </cell>
          <cell r="U3646">
            <v>0</v>
          </cell>
          <cell r="V3646">
            <v>0.65</v>
          </cell>
          <cell r="W3646">
            <v>0.65</v>
          </cell>
          <cell r="X3646" t="str">
            <v>EST MESA LATERLA DUOMO (LACA BRILHO CORAL) - Ø0,65x0,65H</v>
          </cell>
          <cell r="Y3646" t="e">
            <v>#VALUE!</v>
          </cell>
          <cell r="Z3646">
            <v>0.35</v>
          </cell>
          <cell r="AA3646" t="e">
            <v>#VALUE!</v>
          </cell>
          <cell r="AB3646"/>
        </row>
        <row r="3647">
          <cell r="C3647">
            <v>0</v>
          </cell>
          <cell r="D3647">
            <v>0</v>
          </cell>
          <cell r="E3647">
            <v>0</v>
          </cell>
          <cell r="F3647">
            <v>0</v>
          </cell>
          <cell r="H3647">
            <v>2</v>
          </cell>
          <cell r="O3647">
            <v>232361</v>
          </cell>
          <cell r="P3647"/>
          <cell r="Q3647" t="str">
            <v>EST CADEIRA ANNA (TAUARI TING 102) COURO 50019</v>
          </cell>
          <cell r="R3647"/>
          <cell r="S3647"/>
          <cell r="T3647">
            <v>0.52</v>
          </cell>
          <cell r="U3647">
            <v>0.62</v>
          </cell>
          <cell r="V3647">
            <v>0.78</v>
          </cell>
          <cell r="W3647">
            <v>0</v>
          </cell>
          <cell r="X3647" t="str">
            <v>EST CADEIRA ANNA (TAUARI TING 102) COURO 50019 - 0,52x0,62x0,78H</v>
          </cell>
          <cell r="Y3647" t="e">
            <v>#VALUE!</v>
          </cell>
          <cell r="Z3647">
            <v>0.35</v>
          </cell>
          <cell r="AA3647" t="e">
            <v>#VALUE!</v>
          </cell>
          <cell r="AB3647"/>
        </row>
        <row r="3648">
          <cell r="C3648">
            <v>0</v>
          </cell>
          <cell r="D3648">
            <v>0</v>
          </cell>
          <cell r="E3648">
            <v>0</v>
          </cell>
          <cell r="F3648">
            <v>0</v>
          </cell>
          <cell r="H3648">
            <v>1</v>
          </cell>
          <cell r="O3648">
            <v>233539</v>
          </cell>
          <cell r="P3648"/>
          <cell r="Q3648" t="str">
            <v>EST POLTRONA MOON (COURO) (TC INTRICATE WHIT MIX) (ONIX)</v>
          </cell>
          <cell r="R3648"/>
          <cell r="S3648"/>
          <cell r="T3648">
            <v>0.78</v>
          </cell>
          <cell r="U3648">
            <v>0.94</v>
          </cell>
          <cell r="V3648">
            <v>0.71</v>
          </cell>
          <cell r="W3648">
            <v>0</v>
          </cell>
          <cell r="X3648" t="str">
            <v>EST POLTRONA MOON (COURO) (TC INTRICATE WHIT MIX) (ONIX) - 0,78x0,94x0,71H</v>
          </cell>
          <cell r="Y3648" t="e">
            <v>#VALUE!</v>
          </cell>
          <cell r="Z3648">
            <v>0.35</v>
          </cell>
          <cell r="AA3648" t="e">
            <v>#VALUE!</v>
          </cell>
          <cell r="AB3648"/>
        </row>
        <row r="3649">
          <cell r="C3649">
            <v>0</v>
          </cell>
          <cell r="D3649">
            <v>0</v>
          </cell>
          <cell r="E3649">
            <v>0</v>
          </cell>
          <cell r="F3649">
            <v>0</v>
          </cell>
          <cell r="H3649">
            <v>2</v>
          </cell>
          <cell r="O3649">
            <v>234348</v>
          </cell>
          <cell r="P3649"/>
          <cell r="Q3649" t="str">
            <v>EST CADEIRA ANNA (TAUARI TING 102) COURO 50019#7</v>
          </cell>
          <cell r="R3649"/>
          <cell r="S3649"/>
          <cell r="T3649">
            <v>0.52</v>
          </cell>
          <cell r="U3649">
            <v>0.62</v>
          </cell>
          <cell r="V3649">
            <v>0.78</v>
          </cell>
          <cell r="W3649">
            <v>0</v>
          </cell>
          <cell r="X3649" t="str">
            <v>EST CADEIRA ANNA (TAUARI TING 102) COURO 50019#7 - 0,52x0,62x0,78H</v>
          </cell>
          <cell r="Y3649" t="e">
            <v>#VALUE!</v>
          </cell>
          <cell r="Z3649">
            <v>0.35</v>
          </cell>
          <cell r="AA3649" t="e">
            <v>#VALUE!</v>
          </cell>
          <cell r="AB3649"/>
        </row>
        <row r="3650">
          <cell r="C3650">
            <v>0</v>
          </cell>
          <cell r="D3650">
            <v>0</v>
          </cell>
          <cell r="E3650">
            <v>0</v>
          </cell>
          <cell r="F3650">
            <v>0</v>
          </cell>
          <cell r="H3650">
            <v>1</v>
          </cell>
          <cell r="O3650">
            <v>234544</v>
          </cell>
          <cell r="P3650"/>
          <cell r="Q3650" t="str">
            <v>EST MESA JANTAR ARIS (MARMORE NERO MARQUINA) (TAUARI)</v>
          </cell>
          <cell r="R3650"/>
          <cell r="S3650"/>
          <cell r="T3650">
            <v>1.3</v>
          </cell>
          <cell r="U3650">
            <v>0</v>
          </cell>
          <cell r="V3650">
            <v>0.75</v>
          </cell>
          <cell r="W3650">
            <v>1.3</v>
          </cell>
          <cell r="X3650" t="str">
            <v>EST MESA JANTAR ARIS (MARMORE NERO MARQUINA) (TAUARI) - Ø1,3x0,75H</v>
          </cell>
          <cell r="Y3650" t="e">
            <v>#VALUE!</v>
          </cell>
          <cell r="Z3650">
            <v>0.35</v>
          </cell>
          <cell r="AA3650" t="e">
            <v>#VALUE!</v>
          </cell>
          <cell r="AB3650"/>
        </row>
        <row r="3651">
          <cell r="C3651">
            <v>0</v>
          </cell>
          <cell r="D3651">
            <v>0</v>
          </cell>
          <cell r="E3651">
            <v>0</v>
          </cell>
          <cell r="F3651">
            <v>0</v>
          </cell>
          <cell r="H3651">
            <v>1</v>
          </cell>
          <cell r="O3651">
            <v>234557</v>
          </cell>
          <cell r="P3651"/>
          <cell r="Q3651" t="str">
            <v>EST MESA LATERAL CILLI (MARMORE ROSA FOSCO)</v>
          </cell>
          <cell r="R3651"/>
          <cell r="S3651"/>
          <cell r="T3651">
            <v>0.8</v>
          </cell>
          <cell r="U3651">
            <v>0</v>
          </cell>
          <cell r="V3651">
            <v>0.6</v>
          </cell>
          <cell r="W3651">
            <v>0.8</v>
          </cell>
          <cell r="X3651" t="str">
            <v>EST MESA LATERAL CILLI (MARMORE ROSA FOSCO) - Ø0,8x0,6H</v>
          </cell>
          <cell r="Y3651" t="e">
            <v>#VALUE!</v>
          </cell>
          <cell r="Z3651">
            <v>0.35</v>
          </cell>
          <cell r="AA3651" t="e">
            <v>#VALUE!</v>
          </cell>
          <cell r="AB3651"/>
        </row>
        <row r="3652">
          <cell r="C3652">
            <v>0</v>
          </cell>
          <cell r="D3652">
            <v>0</v>
          </cell>
          <cell r="E3652">
            <v>0</v>
          </cell>
          <cell r="F3652">
            <v>0</v>
          </cell>
          <cell r="H3652">
            <v>1</v>
          </cell>
          <cell r="O3652">
            <v>235158</v>
          </cell>
          <cell r="P3652"/>
          <cell r="Q3652" t="str">
            <v>EST MESA LATERAL DOTY BISTRO MOD 1 (PRETO EPOXI)</v>
          </cell>
          <cell r="R3652"/>
          <cell r="S3652"/>
          <cell r="T3652">
            <v>0.8</v>
          </cell>
          <cell r="U3652">
            <v>0</v>
          </cell>
          <cell r="V3652">
            <v>1.1000000000000001</v>
          </cell>
          <cell r="W3652">
            <v>0.8</v>
          </cell>
          <cell r="X3652" t="str">
            <v>EST MESA LATERAL DOTY BISTRO MOD 1 (PRETO EPOXI) - Ø0,8x1,1H</v>
          </cell>
          <cell r="Y3652" t="e">
            <v>#VALUE!</v>
          </cell>
          <cell r="Z3652">
            <v>0.35</v>
          </cell>
          <cell r="AA3652" t="e">
            <v>#VALUE!</v>
          </cell>
          <cell r="AB3652"/>
        </row>
        <row r="3653">
          <cell r="C3653">
            <v>0</v>
          </cell>
          <cell r="D3653">
            <v>0</v>
          </cell>
          <cell r="E3653">
            <v>0</v>
          </cell>
          <cell r="F3653">
            <v>0</v>
          </cell>
          <cell r="H3653">
            <v>1</v>
          </cell>
          <cell r="O3653">
            <v>235963</v>
          </cell>
          <cell r="P3653"/>
          <cell r="Q3653" t="str">
            <v>EST CRISTALEIRA TIME (PRATELEIRA VIDRO) (HASTE PRETA)</v>
          </cell>
          <cell r="R3653"/>
          <cell r="S3653"/>
          <cell r="T3653">
            <v>1.2</v>
          </cell>
          <cell r="U3653">
            <v>0.45</v>
          </cell>
          <cell r="V3653">
            <v>1.7</v>
          </cell>
          <cell r="W3653">
            <v>0</v>
          </cell>
          <cell r="X3653" t="str">
            <v>EST CRISTALEIRA TIME (PRATELEIRA VIDRO) (HASTE PRETA) - 1,2x0,45x1,7H</v>
          </cell>
          <cell r="Y3653" t="e">
            <v>#VALUE!</v>
          </cell>
          <cell r="Z3653">
            <v>0.35</v>
          </cell>
          <cell r="AA3653" t="e">
            <v>#VALUE!</v>
          </cell>
          <cell r="AB3653"/>
        </row>
        <row r="3654">
          <cell r="C3654">
            <v>0</v>
          </cell>
          <cell r="D3654">
            <v>0</v>
          </cell>
          <cell r="E3654">
            <v>0</v>
          </cell>
          <cell r="F3654">
            <v>0</v>
          </cell>
          <cell r="H3654">
            <v>1</v>
          </cell>
          <cell r="O3654">
            <v>248944</v>
          </cell>
          <cell r="P3654"/>
          <cell r="Q3654" t="str">
            <v>EST POLTRONA 150 (TAUARI TING COR 01) (TC 169#4)</v>
          </cell>
          <cell r="R3654"/>
          <cell r="S3654"/>
          <cell r="T3654">
            <v>0.69</v>
          </cell>
          <cell r="U3654">
            <v>0.72</v>
          </cell>
          <cell r="V3654">
            <v>0.86</v>
          </cell>
          <cell r="W3654">
            <v>0</v>
          </cell>
          <cell r="X3654" t="str">
            <v>EST POLTRONA 150 (TAUARI TING COR 01) (TC 169#4) - 0,69x0,72x0,86H</v>
          </cell>
          <cell r="Y3654" t="e">
            <v>#VALUE!</v>
          </cell>
          <cell r="Z3654">
            <v>0.35</v>
          </cell>
          <cell r="AA3654" t="e">
            <v>#VALUE!</v>
          </cell>
          <cell r="AB3654"/>
        </row>
        <row r="3655">
          <cell r="C3655">
            <v>0</v>
          </cell>
          <cell r="D3655">
            <v>0</v>
          </cell>
          <cell r="E3655">
            <v>0</v>
          </cell>
          <cell r="F3655">
            <v>0</v>
          </cell>
          <cell r="H3655">
            <v>1</v>
          </cell>
          <cell r="O3655">
            <v>248947</v>
          </cell>
          <cell r="P3655"/>
          <cell r="Q3655" t="str">
            <v>EST BANQUETA 150 (ESTRUTURA TAUARI COR 01) (TC 169#4)</v>
          </cell>
          <cell r="R3655"/>
          <cell r="S3655"/>
          <cell r="T3655">
            <v>0.66</v>
          </cell>
          <cell r="U3655">
            <v>0.5</v>
          </cell>
          <cell r="V3655">
            <v>0.41</v>
          </cell>
          <cell r="W3655">
            <v>0</v>
          </cell>
          <cell r="X3655" t="str">
            <v>EST BANQUETA 150 (ESTRUTURA TAUARI COR 01) (TC 169#4) - 0,66x0,5x0,41H</v>
          </cell>
          <cell r="Y3655" t="e">
            <v>#VALUE!</v>
          </cell>
          <cell r="Z3655">
            <v>0.35</v>
          </cell>
          <cell r="AA3655" t="e">
            <v>#VALUE!</v>
          </cell>
          <cell r="AB3655"/>
        </row>
        <row r="3656">
          <cell r="C3656">
            <v>0</v>
          </cell>
          <cell r="D3656">
            <v>0</v>
          </cell>
          <cell r="E3656">
            <v>0</v>
          </cell>
          <cell r="F3656">
            <v>0</v>
          </cell>
          <cell r="H3656">
            <v>1</v>
          </cell>
          <cell r="O3656">
            <v>254709</v>
          </cell>
          <cell r="P3656"/>
          <cell r="Q3656" t="str">
            <v>EST SOFA ADO (PENA) PE MTZ PRETO FSC TC 24402270 AZUL</v>
          </cell>
          <cell r="R3656"/>
          <cell r="S3656"/>
          <cell r="T3656">
            <v>3</v>
          </cell>
          <cell r="U3656">
            <v>1</v>
          </cell>
          <cell r="V3656">
            <v>0.65</v>
          </cell>
          <cell r="W3656">
            <v>0</v>
          </cell>
          <cell r="X3656" t="str">
            <v>EST SOFA ADO (PENA) PE MTZ PRETO FSC TC 24402270 AZUL - 3x1x0,65H</v>
          </cell>
          <cell r="Y3656">
            <v>0</v>
          </cell>
          <cell r="Z3656">
            <v>0</v>
          </cell>
          <cell r="AA3656">
            <v>0</v>
          </cell>
          <cell r="AB3656"/>
        </row>
        <row r="3657">
          <cell r="C3657">
            <v>0</v>
          </cell>
          <cell r="D3657">
            <v>0</v>
          </cell>
          <cell r="E3657">
            <v>0</v>
          </cell>
          <cell r="F3657">
            <v>0</v>
          </cell>
          <cell r="H3657">
            <v>1</v>
          </cell>
          <cell r="O3657">
            <v>255008</v>
          </cell>
          <cell r="P3657"/>
          <cell r="Q3657" t="str">
            <v>EST MESA CENTRO MATRIZ (LACA BRANCA BRILHO)</v>
          </cell>
          <cell r="R3657"/>
          <cell r="S3657"/>
          <cell r="T3657">
            <v>1.7</v>
          </cell>
          <cell r="U3657">
            <v>0.5</v>
          </cell>
          <cell r="V3657">
            <v>0.35</v>
          </cell>
          <cell r="W3657">
            <v>0</v>
          </cell>
          <cell r="X3657" t="str">
            <v>EST MESA CENTRO MATRIZ (LACA BRANCA BRILHO) - 1,7x0,5x0,35H</v>
          </cell>
          <cell r="Y3657" t="e">
            <v>#VALUE!</v>
          </cell>
          <cell r="Z3657">
            <v>0.35</v>
          </cell>
          <cell r="AA3657" t="e">
            <v>#VALUE!</v>
          </cell>
          <cell r="AB3657"/>
        </row>
        <row r="3658">
          <cell r="C3658">
            <v>0</v>
          </cell>
          <cell r="D3658">
            <v>0</v>
          </cell>
          <cell r="E3658">
            <v>0</v>
          </cell>
          <cell r="F3658">
            <v>0</v>
          </cell>
          <cell r="H3658">
            <v>1</v>
          </cell>
          <cell r="O3658">
            <v>256007</v>
          </cell>
          <cell r="P3658"/>
          <cell r="Q3658" t="str">
            <v>EST SOFA DUO (FIBRA) (PES PTO) TC TRAMADO NAVY</v>
          </cell>
          <cell r="R3658"/>
          <cell r="S3658"/>
          <cell r="T3658">
            <v>3</v>
          </cell>
          <cell r="U3658">
            <v>0.95</v>
          </cell>
          <cell r="V3658">
            <v>0</v>
          </cell>
          <cell r="W3658">
            <v>0</v>
          </cell>
          <cell r="X3658" t="str">
            <v>EST SOFA DUO (FIBRA) (PES PTO) TC TRAMADO NAVY - 3x0,95x0H</v>
          </cell>
          <cell r="Y3658">
            <v>0</v>
          </cell>
          <cell r="Z3658">
            <v>0</v>
          </cell>
          <cell r="AA3658">
            <v>0</v>
          </cell>
          <cell r="AB3658"/>
        </row>
        <row r="3659">
          <cell r="C3659">
            <v>0</v>
          </cell>
          <cell r="D3659">
            <v>0</v>
          </cell>
          <cell r="E3659">
            <v>0</v>
          </cell>
          <cell r="F3659">
            <v>0</v>
          </cell>
          <cell r="H3659">
            <v>1</v>
          </cell>
          <cell r="O3659">
            <v>261227</v>
          </cell>
          <cell r="P3659"/>
          <cell r="Q3659" t="str">
            <v>EST CADEIRA ANNA (TAUARI WHISKY 02) TC SUMATRA SILVER</v>
          </cell>
          <cell r="R3659"/>
          <cell r="S3659"/>
          <cell r="T3659">
            <v>0.52</v>
          </cell>
          <cell r="U3659">
            <v>0.62</v>
          </cell>
          <cell r="V3659">
            <v>0.78</v>
          </cell>
          <cell r="W3659">
            <v>0</v>
          </cell>
          <cell r="X3659" t="str">
            <v>EST CADEIRA ANNA (TAUARI WHISKY 02) TC SUMATRA SILVER - 0,52x0,62x0,78H</v>
          </cell>
          <cell r="Y3659" t="e">
            <v>#VALUE!</v>
          </cell>
          <cell r="Z3659">
            <v>0.35</v>
          </cell>
          <cell r="AA3659" t="e">
            <v>#VALUE!</v>
          </cell>
          <cell r="AB3659"/>
        </row>
        <row r="3660">
          <cell r="C3660">
            <v>0</v>
          </cell>
          <cell r="D3660">
            <v>0</v>
          </cell>
          <cell r="E3660">
            <v>0</v>
          </cell>
          <cell r="F3660">
            <v>0</v>
          </cell>
          <cell r="H3660">
            <v>1</v>
          </cell>
          <cell r="O3660">
            <v>261228</v>
          </cell>
          <cell r="P3660"/>
          <cell r="Q3660" t="str">
            <v>EST CADEIRA ANNA C/BRACO (TAUARI WHISKY 02) TC #5</v>
          </cell>
          <cell r="R3660"/>
          <cell r="S3660"/>
          <cell r="T3660">
            <v>0.56000000000000005</v>
          </cell>
          <cell r="U3660">
            <v>0.56999999999999995</v>
          </cell>
          <cell r="V3660">
            <v>0.78</v>
          </cell>
          <cell r="W3660">
            <v>0</v>
          </cell>
          <cell r="X3660" t="str">
            <v>EST CADEIRA ANNA C/BRACO (TAUARI WHISKY 02) TC #5 - 0,56x0,57x0,78H</v>
          </cell>
          <cell r="Y3660" t="e">
            <v>#VALUE!</v>
          </cell>
          <cell r="Z3660">
            <v>0.35</v>
          </cell>
          <cell r="AA3660" t="e">
            <v>#VALUE!</v>
          </cell>
          <cell r="AB3660"/>
        </row>
        <row r="3661">
          <cell r="C3661">
            <v>0</v>
          </cell>
          <cell r="D3661">
            <v>0</v>
          </cell>
          <cell r="E3661">
            <v>0</v>
          </cell>
          <cell r="F3661">
            <v>0</v>
          </cell>
          <cell r="H3661">
            <v>1</v>
          </cell>
          <cell r="O3661">
            <v>261229</v>
          </cell>
          <cell r="P3661"/>
          <cell r="Q3661" t="str">
            <v>EST CADEIRA ANNA C/BRACO (TAUARI WHISKY 02) TC #6</v>
          </cell>
          <cell r="R3661"/>
          <cell r="S3661"/>
          <cell r="T3661">
            <v>0.56000000000000005</v>
          </cell>
          <cell r="U3661">
            <v>0.56999999999999995</v>
          </cell>
          <cell r="V3661">
            <v>0.78</v>
          </cell>
          <cell r="W3661">
            <v>0</v>
          </cell>
          <cell r="X3661" t="str">
            <v>EST CADEIRA ANNA C/BRACO (TAUARI WHISKY 02) TC #6 - 0,56x0,57x0,78H</v>
          </cell>
          <cell r="Y3661" t="e">
            <v>#VALUE!</v>
          </cell>
          <cell r="Z3661">
            <v>0.35</v>
          </cell>
          <cell r="AA3661" t="e">
            <v>#VALUE!</v>
          </cell>
          <cell r="AB3661"/>
        </row>
        <row r="3662">
          <cell r="C3662">
            <v>0</v>
          </cell>
          <cell r="D3662">
            <v>0</v>
          </cell>
          <cell r="E3662">
            <v>0</v>
          </cell>
          <cell r="F3662">
            <v>0</v>
          </cell>
          <cell r="H3662">
            <v>1</v>
          </cell>
          <cell r="O3662">
            <v>261230</v>
          </cell>
          <cell r="P3662"/>
          <cell r="Q3662" t="str">
            <v>EST CADEIRA ANNA (TAUARI WHISKY 02) TC #6</v>
          </cell>
          <cell r="R3662"/>
          <cell r="S3662"/>
          <cell r="T3662">
            <v>0.52</v>
          </cell>
          <cell r="U3662">
            <v>0.62</v>
          </cell>
          <cell r="V3662">
            <v>0.78</v>
          </cell>
          <cell r="W3662">
            <v>0</v>
          </cell>
          <cell r="X3662" t="str">
            <v>EST CADEIRA ANNA (TAUARI WHISKY 02) TC #6 - 0,52x0,62x0,78H</v>
          </cell>
          <cell r="Y3662" t="e">
            <v>#VALUE!</v>
          </cell>
          <cell r="Z3662">
            <v>0.35</v>
          </cell>
          <cell r="AA3662" t="e">
            <v>#VALUE!</v>
          </cell>
          <cell r="AB3662"/>
        </row>
        <row r="3663">
          <cell r="C3663">
            <v>0</v>
          </cell>
          <cell r="D3663">
            <v>0</v>
          </cell>
          <cell r="E3663">
            <v>0</v>
          </cell>
          <cell r="F3663">
            <v>0</v>
          </cell>
          <cell r="H3663">
            <v>1</v>
          </cell>
          <cell r="O3663">
            <v>263756</v>
          </cell>
          <cell r="P3663"/>
          <cell r="Q3663" t="str">
            <v>EST CADEIRA MILLA 120 C/BRACO (IMB MEL) TC VILLA OLMO UMBER</v>
          </cell>
          <cell r="R3663"/>
          <cell r="S3663"/>
          <cell r="T3663">
            <v>0.57999999999999996</v>
          </cell>
          <cell r="U3663">
            <v>0.56000000000000005</v>
          </cell>
          <cell r="V3663">
            <v>0.79</v>
          </cell>
          <cell r="W3663">
            <v>0</v>
          </cell>
          <cell r="X3663" t="str">
            <v>EST CADEIRA MILLA 120 C/BRACO (IMB MEL) TC VILLA OLMO UMBER - 0,58x0,56x0,79H</v>
          </cell>
          <cell r="Y3663" t="e">
            <v>#VALUE!</v>
          </cell>
          <cell r="Z3663">
            <v>0.35</v>
          </cell>
          <cell r="AA3663" t="e">
            <v>#VALUE!</v>
          </cell>
          <cell r="AB3663"/>
        </row>
        <row r="3664">
          <cell r="C3664">
            <v>0</v>
          </cell>
          <cell r="D3664">
            <v>0</v>
          </cell>
          <cell r="E3664">
            <v>0</v>
          </cell>
          <cell r="F3664">
            <v>0</v>
          </cell>
          <cell r="H3664">
            <v>1</v>
          </cell>
          <cell r="O3664">
            <v>263759</v>
          </cell>
          <cell r="P3664"/>
          <cell r="Q3664" t="str">
            <v>EST CADEIRA MILLA 540 (IMBUIA MEL) (TELA) (TC UMBER)</v>
          </cell>
          <cell r="R3664"/>
          <cell r="S3664"/>
          <cell r="T3664">
            <v>0.55000000000000004</v>
          </cell>
          <cell r="U3664">
            <v>0.53</v>
          </cell>
          <cell r="V3664">
            <v>0.85</v>
          </cell>
          <cell r="W3664">
            <v>0</v>
          </cell>
          <cell r="X3664" t="str">
            <v>EST CADEIRA MILLA 540 (IMBUIA MEL) (TELA) (TC UMBER) - 0,55x0,53x0,85H</v>
          </cell>
          <cell r="Y3664" t="e">
            <v>#VALUE!</v>
          </cell>
          <cell r="Z3664">
            <v>0.35</v>
          </cell>
          <cell r="AA3664" t="e">
            <v>#VALUE!</v>
          </cell>
          <cell r="AB3664"/>
        </row>
        <row r="3665">
          <cell r="C3665">
            <v>0</v>
          </cell>
          <cell r="D3665">
            <v>0</v>
          </cell>
          <cell r="E3665">
            <v>0</v>
          </cell>
          <cell r="F3665">
            <v>0</v>
          </cell>
          <cell r="H3665">
            <v>1</v>
          </cell>
          <cell r="O3665">
            <v>263760</v>
          </cell>
          <cell r="P3665"/>
          <cell r="Q3665" t="str">
            <v>EST CADEIRA MILLA 560 C/BRACO (IMBUIA MEL TELA) (TC UMBER)</v>
          </cell>
          <cell r="R3665"/>
          <cell r="S3665"/>
          <cell r="T3665">
            <v>0.59</v>
          </cell>
          <cell r="U3665">
            <v>0.53</v>
          </cell>
          <cell r="V3665">
            <v>0.85</v>
          </cell>
          <cell r="W3665">
            <v>0</v>
          </cell>
          <cell r="X3665" t="str">
            <v>EST CADEIRA MILLA 560 C/BRACO (IMBUIA MEL TELA) (TC UMBER) - 0,59x0,53x0,85H</v>
          </cell>
          <cell r="Y3665" t="e">
            <v>#VALUE!</v>
          </cell>
          <cell r="Z3665">
            <v>0.35</v>
          </cell>
          <cell r="AA3665" t="e">
            <v>#VALUE!</v>
          </cell>
          <cell r="AB3665"/>
        </row>
        <row r="3666">
          <cell r="C3666">
            <v>0</v>
          </cell>
          <cell r="D3666">
            <v>0</v>
          </cell>
          <cell r="E3666">
            <v>0</v>
          </cell>
          <cell r="F3666">
            <v>0</v>
          </cell>
          <cell r="H3666">
            <v>1</v>
          </cell>
          <cell r="O3666">
            <v>268060</v>
          </cell>
          <cell r="P3666"/>
          <cell r="Q3666" t="str">
            <v>EST BANQUETA BAR ANNA (TAUARI TING EBANIZ) COURO BLACK MATT</v>
          </cell>
          <cell r="R3666"/>
          <cell r="S3666"/>
          <cell r="T3666">
            <v>0.42</v>
          </cell>
          <cell r="U3666">
            <v>0.5</v>
          </cell>
          <cell r="V3666">
            <v>1.25</v>
          </cell>
          <cell r="W3666">
            <v>0</v>
          </cell>
          <cell r="X3666" t="str">
            <v>EST BANQUETA BAR ANNA (TAUARI TING EBANIZ) COURO BLACK MATT - 0,42x0,5x1,25H</v>
          </cell>
          <cell r="Y3666" t="e">
            <v>#VALUE!</v>
          </cell>
          <cell r="Z3666">
            <v>0.35</v>
          </cell>
          <cell r="AA3666" t="e">
            <v>#VALUE!</v>
          </cell>
          <cell r="AB3666"/>
        </row>
        <row r="3667">
          <cell r="C3667">
            <v>0</v>
          </cell>
          <cell r="D3667">
            <v>0</v>
          </cell>
          <cell r="E3667">
            <v>0</v>
          </cell>
          <cell r="F3667">
            <v>0</v>
          </cell>
          <cell r="H3667">
            <v>1</v>
          </cell>
          <cell r="O3667">
            <v>274098</v>
          </cell>
          <cell r="P3667"/>
          <cell r="Q3667" t="str">
            <v>EST SOFA ADO (PENA) (PES PRETO) (TC GRIGGIO 136195)</v>
          </cell>
          <cell r="R3667"/>
          <cell r="S3667"/>
          <cell r="T3667">
            <v>3</v>
          </cell>
          <cell r="U3667">
            <v>1.02</v>
          </cell>
          <cell r="V3667">
            <v>1</v>
          </cell>
          <cell r="W3667">
            <v>0</v>
          </cell>
          <cell r="X3667" t="str">
            <v>EST SOFA ADO (PENA) (PES PRETO) (TC GRIGGIO 136195) - 3x1,02x1H</v>
          </cell>
          <cell r="Y3667">
            <v>0</v>
          </cell>
          <cell r="Z3667">
            <v>0</v>
          </cell>
          <cell r="AA3667">
            <v>0</v>
          </cell>
          <cell r="AB3667"/>
        </row>
        <row r="3668">
          <cell r="C3668">
            <v>0</v>
          </cell>
          <cell r="D3668">
            <v>0</v>
          </cell>
          <cell r="E3668">
            <v>0</v>
          </cell>
          <cell r="F3668">
            <v>0</v>
          </cell>
          <cell r="H3668">
            <v>1</v>
          </cell>
          <cell r="O3668">
            <v>278524</v>
          </cell>
          <cell r="P3668"/>
          <cell r="Q3668" t="str">
            <v>EST SOFA DUO (FIBRA) (PE PTO) TC ZEFIRO 158 VERDE/DEC01918</v>
          </cell>
          <cell r="R3668"/>
          <cell r="S3668"/>
          <cell r="T3668">
            <v>3</v>
          </cell>
          <cell r="U3668">
            <v>0.95</v>
          </cell>
          <cell r="V3668">
            <v>0.64</v>
          </cell>
          <cell r="W3668">
            <v>0</v>
          </cell>
          <cell r="X3668" t="str">
            <v>EST SOFA DUO (FIBRA) (PE PTO) TC ZEFIRO 158 VERDE/DEC01918 - 3x0,95x0,64H</v>
          </cell>
          <cell r="Y3668">
            <v>0</v>
          </cell>
          <cell r="Z3668">
            <v>0</v>
          </cell>
          <cell r="AA3668">
            <v>0</v>
          </cell>
          <cell r="AB3668"/>
        </row>
        <row r="3669">
          <cell r="C3669">
            <v>0</v>
          </cell>
          <cell r="D3669">
            <v>0</v>
          </cell>
          <cell r="E3669">
            <v>0</v>
          </cell>
          <cell r="F3669">
            <v>0</v>
          </cell>
          <cell r="H3669">
            <v>1</v>
          </cell>
          <cell r="O3669">
            <v>334580</v>
          </cell>
          <cell r="P3669"/>
          <cell r="Q3669" t="str">
            <v>EST MODULO BRACO DIR DUO (FIBRA) (PE PTO) TC MILANO STONE</v>
          </cell>
          <cell r="R3669"/>
          <cell r="S3669"/>
          <cell r="T3669">
            <v>2.7</v>
          </cell>
          <cell r="U3669">
            <v>1.02</v>
          </cell>
          <cell r="V3669">
            <v>0.64</v>
          </cell>
          <cell r="W3669">
            <v>0</v>
          </cell>
          <cell r="X3669" t="str">
            <v>EST MODULO BRACO DIR DUO (FIBRA) (PE PTO) TC MILANO STONE - 2,7x1,02x0,64H</v>
          </cell>
          <cell r="Y3669">
            <v>0</v>
          </cell>
          <cell r="Z3669">
            <v>0</v>
          </cell>
          <cell r="AA3669">
            <v>0</v>
          </cell>
          <cell r="AB3669"/>
        </row>
        <row r="3670">
          <cell r="C3670">
            <v>0</v>
          </cell>
          <cell r="D3670">
            <v>0</v>
          </cell>
          <cell r="E3670">
            <v>0</v>
          </cell>
          <cell r="F3670">
            <v>0</v>
          </cell>
          <cell r="H3670">
            <v>1</v>
          </cell>
          <cell r="O3670">
            <v>334581</v>
          </cell>
          <cell r="P3670"/>
          <cell r="Q3670" t="str">
            <v>EST MODULO CANTO DIR DUO (FIBRA) (PE PTO) TC MILANO STONE</v>
          </cell>
          <cell r="R3670"/>
          <cell r="S3670"/>
          <cell r="T3670">
            <v>2.76</v>
          </cell>
          <cell r="U3670">
            <v>1.02</v>
          </cell>
          <cell r="V3670">
            <v>0.64</v>
          </cell>
          <cell r="W3670">
            <v>0</v>
          </cell>
          <cell r="X3670" t="str">
            <v>EST MODULO CANTO DIR DUO (FIBRA) (PE PTO) TC MILANO STONE - 2,76x1,02x0,64H</v>
          </cell>
          <cell r="Y3670">
            <v>0</v>
          </cell>
          <cell r="Z3670">
            <v>0</v>
          </cell>
          <cell r="AA3670">
            <v>0</v>
          </cell>
          <cell r="AB3670"/>
        </row>
        <row r="3671">
          <cell r="C3671">
            <v>0</v>
          </cell>
          <cell r="D3671">
            <v>0</v>
          </cell>
          <cell r="E3671">
            <v>0</v>
          </cell>
          <cell r="F3671">
            <v>0</v>
          </cell>
          <cell r="H3671">
            <v>1</v>
          </cell>
          <cell r="O3671">
            <v>334582</v>
          </cell>
          <cell r="P3671"/>
          <cell r="Q3671" t="str">
            <v>EST PUFF DUO (PE PTO) TC MILANO STONE</v>
          </cell>
          <cell r="R3671"/>
          <cell r="S3671"/>
          <cell r="T3671">
            <v>0.87</v>
          </cell>
          <cell r="U3671">
            <v>0.6</v>
          </cell>
          <cell r="V3671">
            <v>0.44</v>
          </cell>
          <cell r="W3671">
            <v>0</v>
          </cell>
          <cell r="X3671" t="str">
            <v>EST PUFF DUO (PE PTO) TC MILANO STONE - 0,87x0,6x0,44H</v>
          </cell>
          <cell r="Y3671">
            <v>0</v>
          </cell>
          <cell r="Z3671">
            <v>0</v>
          </cell>
          <cell r="AA3671">
            <v>0</v>
          </cell>
          <cell r="AB3671"/>
        </row>
        <row r="3672">
          <cell r="C3672">
            <v>0</v>
          </cell>
          <cell r="D3672">
            <v>0</v>
          </cell>
          <cell r="E3672">
            <v>0</v>
          </cell>
          <cell r="F3672">
            <v>0</v>
          </cell>
          <cell r="H3672">
            <v>0</v>
          </cell>
          <cell r="O3672">
            <v>342271</v>
          </cell>
          <cell r="P3672"/>
          <cell r="Q3672" t="str">
            <v>EST SOFA DUO (FIBRA) (PE PTO) TC ELB LUDA 129 COR GREY</v>
          </cell>
          <cell r="R3672"/>
          <cell r="S3672"/>
          <cell r="T3672">
            <v>3</v>
          </cell>
          <cell r="U3672">
            <v>0.95</v>
          </cell>
          <cell r="V3672">
            <v>0.64</v>
          </cell>
          <cell r="W3672">
            <v>0</v>
          </cell>
          <cell r="X3672" t="str">
            <v>EST SOFA DUO (FIBRA) (PE PTO) TC ELB LUDA 129 COR GREY - 3x0,95x0,64H</v>
          </cell>
          <cell r="Y3672">
            <v>0</v>
          </cell>
          <cell r="Z3672">
            <v>0</v>
          </cell>
          <cell r="AA3672">
            <v>0</v>
          </cell>
          <cell r="AB3672"/>
        </row>
        <row r="3673">
          <cell r="C3673">
            <v>0</v>
          </cell>
          <cell r="D3673">
            <v>0</v>
          </cell>
          <cell r="E3673">
            <v>0</v>
          </cell>
          <cell r="F3673">
            <v>0</v>
          </cell>
          <cell r="H3673">
            <v>1</v>
          </cell>
          <cell r="O3673">
            <v>380312</v>
          </cell>
          <cell r="P3673"/>
          <cell r="Q3673" t="str">
            <v>EST TAMPO CRISTAL LAPIDADO (15MM) INCOLOR CANTO TICK</v>
          </cell>
          <cell r="R3673"/>
          <cell r="S3673"/>
          <cell r="T3673">
            <v>2</v>
          </cell>
          <cell r="U3673">
            <v>0.9</v>
          </cell>
          <cell r="V3673">
            <v>0.01</v>
          </cell>
          <cell r="W3673">
            <v>0</v>
          </cell>
          <cell r="X3673" t="str">
            <v>EST TAMPO CRISTAL LAPIDADO (15MM) INCOLOR CANTO TICK - 2x0,9x0,01H</v>
          </cell>
          <cell r="Y3673" t="e">
            <v>#VALUE!</v>
          </cell>
          <cell r="Z3673">
            <v>0.35</v>
          </cell>
          <cell r="AA3673" t="e">
            <v>#VALUE!</v>
          </cell>
          <cell r="AB3673"/>
        </row>
        <row r="3674">
          <cell r="C3674">
            <v>0</v>
          </cell>
          <cell r="D3674">
            <v>0</v>
          </cell>
          <cell r="E3674">
            <v>0</v>
          </cell>
          <cell r="F3674">
            <v>0</v>
          </cell>
          <cell r="H3674">
            <v>0</v>
          </cell>
          <cell r="O3674">
            <v>383967</v>
          </cell>
          <cell r="P3674"/>
          <cell r="Q3674" t="str">
            <v>EST SOFA DUO (FIBRA) (PE PTO) TC GRIGGIO 136195 COR 03 CRU</v>
          </cell>
          <cell r="R3674"/>
          <cell r="S3674"/>
          <cell r="T3674">
            <v>3</v>
          </cell>
          <cell r="U3674">
            <v>1.02</v>
          </cell>
          <cell r="V3674">
            <v>0.65</v>
          </cell>
          <cell r="W3674">
            <v>0</v>
          </cell>
          <cell r="X3674" t="str">
            <v>EST SOFA DUO (FIBRA) (PE PTO) TC GRIGGIO 136195 COR 03 CRU - 3x1,02x0,65H</v>
          </cell>
          <cell r="Y3674">
            <v>0</v>
          </cell>
          <cell r="Z3674">
            <v>0</v>
          </cell>
          <cell r="AA3674">
            <v>0</v>
          </cell>
          <cell r="AB3674"/>
        </row>
        <row r="3675">
          <cell r="C3675">
            <v>0</v>
          </cell>
          <cell r="D3675">
            <v>0</v>
          </cell>
          <cell r="E3675">
            <v>0</v>
          </cell>
          <cell r="F3675">
            <v>0</v>
          </cell>
          <cell r="H3675">
            <v>2</v>
          </cell>
          <cell r="O3675">
            <v>387232</v>
          </cell>
          <cell r="P3675"/>
          <cell r="Q3675" t="str">
            <v>EST BANCO MARCOS (FREIJO NATURAL) COURO IMPORT 300</v>
          </cell>
          <cell r="R3675"/>
          <cell r="S3675"/>
          <cell r="T3675">
            <v>0.43</v>
          </cell>
          <cell r="U3675">
            <v>0.43</v>
          </cell>
          <cell r="V3675">
            <v>0.43</v>
          </cell>
          <cell r="W3675">
            <v>0</v>
          </cell>
          <cell r="X3675" t="str">
            <v>EST BANCO MARCOS (FREIJO NATURAL) COURO IMPORT 300 - 0,43x0,43x0,43H</v>
          </cell>
          <cell r="Y3675" t="e">
            <v>#VALUE!</v>
          </cell>
          <cell r="Z3675">
            <v>0.35</v>
          </cell>
          <cell r="AA3675" t="e">
            <v>#VALUE!</v>
          </cell>
          <cell r="AB3675"/>
        </row>
        <row r="3676">
          <cell r="C3676">
            <v>0</v>
          </cell>
          <cell r="D3676">
            <v>0</v>
          </cell>
          <cell r="E3676">
            <v>0</v>
          </cell>
          <cell r="F3676">
            <v>0</v>
          </cell>
          <cell r="H3676">
            <v>1</v>
          </cell>
          <cell r="O3676">
            <v>388191</v>
          </cell>
          <cell r="P3676"/>
          <cell r="Q3676" t="str">
            <v>EST POLTRONA VAIVEM (FIXA) (IMBUIA) TC PIED POULE</v>
          </cell>
          <cell r="R3676"/>
          <cell r="S3676"/>
          <cell r="T3676">
            <v>0.83</v>
          </cell>
          <cell r="U3676">
            <v>0.8</v>
          </cell>
          <cell r="V3676">
            <v>0.82</v>
          </cell>
          <cell r="W3676">
            <v>0</v>
          </cell>
          <cell r="X3676" t="str">
            <v>EST POLTRONA VAIVEM (FIXA) (IMBUIA) TC PIED POULE - 0,83x0,8x0,82H</v>
          </cell>
          <cell r="Y3676" t="e">
            <v>#VALUE!</v>
          </cell>
          <cell r="Z3676">
            <v>0.35</v>
          </cell>
          <cell r="AA3676" t="e">
            <v>#VALUE!</v>
          </cell>
          <cell r="AB3676"/>
        </row>
        <row r="3677">
          <cell r="C3677" t="e">
            <v>#N/A</v>
          </cell>
          <cell r="D3677" t="e">
            <v>#N/A</v>
          </cell>
          <cell r="E3677" t="e">
            <v>#N/A</v>
          </cell>
          <cell r="F3677" t="e">
            <v>#N/A</v>
          </cell>
          <cell r="H3677" t="e">
            <v>#N/A</v>
          </cell>
          <cell r="O3677">
            <v>389093</v>
          </cell>
          <cell r="P3677"/>
          <cell r="Q3677" t="e">
            <v>#N/A</v>
          </cell>
          <cell r="R3677"/>
          <cell r="S3677"/>
          <cell r="T3677" t="e">
            <v>#N/A</v>
          </cell>
          <cell r="U3677" t="e">
            <v>#N/A</v>
          </cell>
          <cell r="V3677" t="e">
            <v>#N/A</v>
          </cell>
          <cell r="W3677" t="e">
            <v>#N/A</v>
          </cell>
          <cell r="X3677" t="e">
            <v>#N/A</v>
          </cell>
          <cell r="Y3677" t="e">
            <v>#VALUE!</v>
          </cell>
          <cell r="Z3677">
            <v>0.35</v>
          </cell>
          <cell r="AA3677" t="e">
            <v>#VALUE!</v>
          </cell>
          <cell r="AB3677"/>
        </row>
        <row r="3678">
          <cell r="C3678">
            <v>0</v>
          </cell>
          <cell r="D3678">
            <v>0</v>
          </cell>
          <cell r="E3678">
            <v>0</v>
          </cell>
          <cell r="F3678">
            <v>0</v>
          </cell>
          <cell r="H3678">
            <v>1</v>
          </cell>
          <cell r="O3678">
            <v>390304</v>
          </cell>
          <cell r="P3678"/>
          <cell r="Q3678" t="str">
            <v>EST BASE JANTAR CANELA (CIRCULAR) (FREIJO VERNIZ ACRILICO)</v>
          </cell>
          <cell r="R3678"/>
          <cell r="S3678"/>
          <cell r="T3678">
            <v>0.6</v>
          </cell>
          <cell r="U3678">
            <v>0</v>
          </cell>
          <cell r="V3678">
            <v>0.73</v>
          </cell>
          <cell r="W3678">
            <v>0.6</v>
          </cell>
          <cell r="X3678" t="str">
            <v>EST BASE JANTAR CANELA (CIRCULAR) (FREIJO VERNIZ ACRILICO) - Ø0,6x0,73H</v>
          </cell>
          <cell r="Y3678" t="e">
            <v>#VALUE!</v>
          </cell>
          <cell r="Z3678">
            <v>0.35</v>
          </cell>
          <cell r="AA3678" t="e">
            <v>#VALUE!</v>
          </cell>
          <cell r="AB3678"/>
        </row>
        <row r="3679">
          <cell r="C3679">
            <v>0</v>
          </cell>
          <cell r="D3679">
            <v>0</v>
          </cell>
          <cell r="E3679">
            <v>0</v>
          </cell>
          <cell r="F3679">
            <v>0</v>
          </cell>
          <cell r="H3679">
            <v>2</v>
          </cell>
          <cell r="O3679">
            <v>391636</v>
          </cell>
          <cell r="P3679"/>
          <cell r="Q3679" t="str">
            <v>EST CADEIRA GOUTHIER (FREIJO TNZ 1) COURO IMPORT 300</v>
          </cell>
          <cell r="R3679"/>
          <cell r="S3679"/>
          <cell r="T3679">
            <v>0.62</v>
          </cell>
          <cell r="U3679">
            <v>0.62</v>
          </cell>
          <cell r="V3679">
            <v>0.78</v>
          </cell>
          <cell r="W3679">
            <v>0</v>
          </cell>
          <cell r="X3679" t="str">
            <v>EST CADEIRA GOUTHIER (FREIJO TNZ 1) COURO IMPORT 300 - 0,62x0,62x0,78H</v>
          </cell>
          <cell r="Y3679" t="e">
            <v>#VALUE!</v>
          </cell>
          <cell r="Z3679">
            <v>0.35</v>
          </cell>
          <cell r="AA3679" t="e">
            <v>#VALUE!</v>
          </cell>
          <cell r="AB3679"/>
        </row>
        <row r="3680">
          <cell r="C3680">
            <v>0</v>
          </cell>
          <cell r="D3680">
            <v>0</v>
          </cell>
          <cell r="E3680">
            <v>0</v>
          </cell>
          <cell r="F3680">
            <v>0</v>
          </cell>
          <cell r="H3680">
            <v>0</v>
          </cell>
          <cell r="O3680">
            <v>391642</v>
          </cell>
          <cell r="P3680"/>
          <cell r="Q3680" t="str">
            <v>EST MOVEL AUXILIAR PINHIM 02 (1 GAV/1 PT) (FREIJO)</v>
          </cell>
          <cell r="R3680"/>
          <cell r="S3680"/>
          <cell r="T3680">
            <v>0.53</v>
          </cell>
          <cell r="U3680">
            <v>0.45</v>
          </cell>
          <cell r="V3680">
            <v>0.49</v>
          </cell>
          <cell r="W3680">
            <v>0</v>
          </cell>
          <cell r="X3680" t="str">
            <v>EST MOVEL AUXILIAR PINHIM 02 (1 GAV/1 PT) (FREIJO) - 0,53x0,45x0,49H</v>
          </cell>
          <cell r="Y3680" t="e">
            <v>#VALUE!</v>
          </cell>
          <cell r="Z3680">
            <v>0.35</v>
          </cell>
          <cell r="AA3680" t="e">
            <v>#VALUE!</v>
          </cell>
          <cell r="AB3680"/>
        </row>
        <row r="3681">
          <cell r="C3681">
            <v>0</v>
          </cell>
          <cell r="D3681">
            <v>0</v>
          </cell>
          <cell r="E3681">
            <v>0</v>
          </cell>
          <cell r="F3681">
            <v>0</v>
          </cell>
          <cell r="H3681">
            <v>4</v>
          </cell>
          <cell r="O3681">
            <v>395031</v>
          </cell>
          <cell r="P3681"/>
          <cell r="Q3681" t="str">
            <v>EST CADEIRA DAAV (INOX PTO) (IMBUIA STAIN) TC URANOS W&amp;D</v>
          </cell>
          <cell r="R3681"/>
          <cell r="S3681"/>
          <cell r="T3681">
            <v>0.63</v>
          </cell>
          <cell r="U3681">
            <v>0.54</v>
          </cell>
          <cell r="V3681">
            <v>0.8</v>
          </cell>
          <cell r="W3681">
            <v>0</v>
          </cell>
          <cell r="X3681" t="str">
            <v>EST CADEIRA DAAV (INOX PTO) (IMBUIA STAIN) TC URANOS W&amp;D - 0,63x0,54x0,8H</v>
          </cell>
          <cell r="Y3681" t="e">
            <v>#VALUE!</v>
          </cell>
          <cell r="Z3681">
            <v>0.35</v>
          </cell>
          <cell r="AA3681" t="e">
            <v>#VALUE!</v>
          </cell>
          <cell r="AB3681"/>
        </row>
        <row r="3682">
          <cell r="C3682">
            <v>0</v>
          </cell>
          <cell r="D3682">
            <v>0</v>
          </cell>
          <cell r="E3682">
            <v>0</v>
          </cell>
          <cell r="F3682">
            <v>0</v>
          </cell>
          <cell r="H3682">
            <v>2</v>
          </cell>
          <cell r="O3682">
            <v>395254</v>
          </cell>
          <cell r="P3682"/>
          <cell r="Q3682" t="str">
            <v>EST BANQUETA BAR GB H62 (TELA) (FREIJO NATURAL) (ACO PRETO)</v>
          </cell>
          <cell r="R3682"/>
          <cell r="S3682"/>
          <cell r="T3682">
            <v>0.42</v>
          </cell>
          <cell r="U3682">
            <v>0.42</v>
          </cell>
          <cell r="V3682">
            <v>0.62</v>
          </cell>
          <cell r="W3682">
            <v>0</v>
          </cell>
          <cell r="X3682" t="str">
            <v>EST BANQUETA BAR GB H62 (TELA) (FREIJO NATURAL) (ACO PRETO) - 0,42x0,42x0,62H</v>
          </cell>
          <cell r="Y3682" t="e">
            <v>#VALUE!</v>
          </cell>
          <cell r="Z3682">
            <v>0.35</v>
          </cell>
          <cell r="AA3682" t="e">
            <v>#VALUE!</v>
          </cell>
          <cell r="AB3682"/>
        </row>
        <row r="3683">
          <cell r="C3683">
            <v>0</v>
          </cell>
          <cell r="D3683">
            <v>0</v>
          </cell>
          <cell r="E3683">
            <v>0</v>
          </cell>
          <cell r="F3683">
            <v>0</v>
          </cell>
          <cell r="H3683">
            <v>2</v>
          </cell>
          <cell r="O3683">
            <v>395257</v>
          </cell>
          <cell r="P3683"/>
          <cell r="Q3683" t="str">
            <v>EST BANQUETA BAR GB H72 (TELA) (FREIJO NATURAL) (ACO PRETO)</v>
          </cell>
          <cell r="R3683"/>
          <cell r="S3683"/>
          <cell r="T3683">
            <v>0.42</v>
          </cell>
          <cell r="U3683">
            <v>0.42</v>
          </cell>
          <cell r="V3683">
            <v>0.72</v>
          </cell>
          <cell r="W3683">
            <v>0</v>
          </cell>
          <cell r="X3683" t="str">
            <v>EST BANQUETA BAR GB H72 (TELA) (FREIJO NATURAL) (ACO PRETO) - 0,42x0,42x0,72H</v>
          </cell>
          <cell r="Y3683" t="e">
            <v>#VALUE!</v>
          </cell>
          <cell r="Z3683">
            <v>0.35</v>
          </cell>
          <cell r="AA3683" t="e">
            <v>#VALUE!</v>
          </cell>
          <cell r="AB3683"/>
        </row>
        <row r="3684">
          <cell r="C3684">
            <v>0</v>
          </cell>
          <cell r="D3684">
            <v>0</v>
          </cell>
          <cell r="E3684">
            <v>0</v>
          </cell>
          <cell r="F3684">
            <v>0</v>
          </cell>
          <cell r="H3684">
            <v>2</v>
          </cell>
          <cell r="O3684">
            <v>399156</v>
          </cell>
          <cell r="P3684"/>
          <cell r="Q3684" t="str">
            <v>EST POLTRONA BETO PU PRETO (MAD A COR 02) TC COTE NATURAL</v>
          </cell>
          <cell r="R3684"/>
          <cell r="S3684"/>
          <cell r="T3684">
            <v>0.84</v>
          </cell>
          <cell r="U3684">
            <v>0.75</v>
          </cell>
          <cell r="V3684">
            <v>0.71</v>
          </cell>
          <cell r="W3684">
            <v>0</v>
          </cell>
          <cell r="X3684" t="str">
            <v>EST POLTRONA BETO PU PRETO (MAD A COR 02) TC COTE NATURAL - 0,84x0,75x0,71H</v>
          </cell>
          <cell r="Y3684" t="e">
            <v>#VALUE!</v>
          </cell>
          <cell r="Z3684">
            <v>0.35</v>
          </cell>
          <cell r="AA3684" t="e">
            <v>#VALUE!</v>
          </cell>
          <cell r="AB3684"/>
        </row>
        <row r="3685">
          <cell r="C3685">
            <v>0</v>
          </cell>
          <cell r="D3685">
            <v>0</v>
          </cell>
          <cell r="E3685">
            <v>0</v>
          </cell>
          <cell r="F3685">
            <v>0</v>
          </cell>
          <cell r="H3685">
            <v>2</v>
          </cell>
          <cell r="O3685">
            <v>399489</v>
          </cell>
          <cell r="P3685"/>
          <cell r="Q3685" t="str">
            <v>EST MESA LATERAL ATLAS (C/AZULEJOS ALVORADA AZUL) (FREIJO)</v>
          </cell>
          <cell r="R3685"/>
          <cell r="S3685"/>
          <cell r="T3685">
            <v>0.96</v>
          </cell>
          <cell r="U3685">
            <v>0.56000000000000005</v>
          </cell>
          <cell r="V3685">
            <v>0.5</v>
          </cell>
          <cell r="W3685">
            <v>0</v>
          </cell>
          <cell r="X3685" t="str">
            <v>EST MESA LATERAL ATLAS (C/AZULEJOS ALVORADA AZUL) (FREIJO) - 0,96x0,56x0,5H</v>
          </cell>
          <cell r="Y3685" t="e">
            <v>#VALUE!</v>
          </cell>
          <cell r="Z3685">
            <v>0.35</v>
          </cell>
          <cell r="AA3685" t="e">
            <v>#VALUE!</v>
          </cell>
          <cell r="AB3685"/>
        </row>
        <row r="3686">
          <cell r="C3686">
            <v>0</v>
          </cell>
          <cell r="D3686">
            <v>0</v>
          </cell>
          <cell r="E3686">
            <v>0</v>
          </cell>
          <cell r="F3686">
            <v>0</v>
          </cell>
          <cell r="H3686">
            <v>1</v>
          </cell>
          <cell r="O3686">
            <v>402108</v>
          </cell>
          <cell r="P3686"/>
          <cell r="Q3686" t="str">
            <v>EST MESA JANTAR TAL (AREA INTERNA) (FREIJO) (GRAFITE)</v>
          </cell>
          <cell r="R3686"/>
          <cell r="S3686"/>
          <cell r="T3686">
            <v>3</v>
          </cell>
          <cell r="U3686">
            <v>1.1000000000000001</v>
          </cell>
          <cell r="V3686">
            <v>0.74</v>
          </cell>
          <cell r="W3686">
            <v>0</v>
          </cell>
          <cell r="X3686" t="str">
            <v>EST MESA JANTAR TAL (AREA INTERNA) (FREIJO) (GRAFITE) - 3x1,1x0,74H</v>
          </cell>
          <cell r="Y3686" t="e">
            <v>#VALUE!</v>
          </cell>
          <cell r="Z3686">
            <v>0.35</v>
          </cell>
          <cell r="AA3686" t="e">
            <v>#VALUE!</v>
          </cell>
          <cell r="AB3686"/>
        </row>
        <row r="3687">
          <cell r="C3687">
            <v>0</v>
          </cell>
          <cell r="D3687">
            <v>0</v>
          </cell>
          <cell r="E3687">
            <v>0</v>
          </cell>
          <cell r="F3687">
            <v>0</v>
          </cell>
          <cell r="H3687">
            <v>1</v>
          </cell>
          <cell r="O3687">
            <v>402168</v>
          </cell>
          <cell r="P3687"/>
          <cell r="Q3687" t="str">
            <v>EST BANCO DOMINO (4 LUG) (CONC VERMELHO) (INOX)</v>
          </cell>
          <cell r="R3687"/>
          <cell r="S3687"/>
          <cell r="T3687">
            <v>1.9</v>
          </cell>
          <cell r="U3687">
            <v>0.45</v>
          </cell>
          <cell r="V3687">
            <v>0.48</v>
          </cell>
          <cell r="W3687">
            <v>0</v>
          </cell>
          <cell r="X3687" t="str">
            <v>EST BANCO DOMINO (4 LUG) (CONC VERMELHO) (INOX) - 1,9x0,45x0,48H</v>
          </cell>
          <cell r="Y3687" t="e">
            <v>#VALUE!</v>
          </cell>
          <cell r="Z3687">
            <v>0.35</v>
          </cell>
          <cell r="AA3687" t="e">
            <v>#VALUE!</v>
          </cell>
          <cell r="AB3687"/>
        </row>
        <row r="3688">
          <cell r="C3688">
            <v>0</v>
          </cell>
          <cell r="D3688">
            <v>0</v>
          </cell>
          <cell r="E3688">
            <v>0</v>
          </cell>
          <cell r="F3688">
            <v>0</v>
          </cell>
          <cell r="H3688">
            <v>1</v>
          </cell>
          <cell r="O3688">
            <v>402217</v>
          </cell>
          <cell r="P3688"/>
          <cell r="Q3688" t="str">
            <v>EST BASE CENTRO ROMA (FREIJO NATURAL)</v>
          </cell>
          <cell r="R3688"/>
          <cell r="S3688"/>
          <cell r="T3688">
            <v>1.1399999999999999</v>
          </cell>
          <cell r="U3688">
            <v>0.65</v>
          </cell>
          <cell r="V3688">
            <v>0.36</v>
          </cell>
          <cell r="W3688">
            <v>0</v>
          </cell>
          <cell r="X3688" t="str">
            <v>EST BASE CENTRO ROMA (FREIJO NATURAL) - 1,14x0,65x0,36H</v>
          </cell>
          <cell r="Y3688" t="e">
            <v>#VALUE!</v>
          </cell>
          <cell r="Z3688">
            <v>0.35</v>
          </cell>
          <cell r="AA3688" t="e">
            <v>#VALUE!</v>
          </cell>
          <cell r="AB3688"/>
        </row>
        <row r="3689">
          <cell r="C3689">
            <v>0</v>
          </cell>
          <cell r="D3689">
            <v>0</v>
          </cell>
          <cell r="E3689">
            <v>0</v>
          </cell>
          <cell r="F3689">
            <v>0</v>
          </cell>
          <cell r="H3689">
            <v>4</v>
          </cell>
          <cell r="O3689">
            <v>402239</v>
          </cell>
          <cell r="P3689"/>
          <cell r="Q3689" t="str">
            <v>EST POLTRONA DIZ (LAMINADA S/FURO) (MAD IMBUIA STAIN)</v>
          </cell>
          <cell r="R3689"/>
          <cell r="S3689"/>
          <cell r="T3689">
            <v>0.78</v>
          </cell>
          <cell r="U3689">
            <v>0.89</v>
          </cell>
          <cell r="V3689">
            <v>0.71</v>
          </cell>
          <cell r="W3689">
            <v>0</v>
          </cell>
          <cell r="X3689" t="str">
            <v>EST POLTRONA DIZ (LAMINADA S/FURO) (MAD IMBUIA STAIN) - 0,78x0,89x0,71H</v>
          </cell>
          <cell r="Y3689" t="e">
            <v>#VALUE!</v>
          </cell>
          <cell r="Z3689">
            <v>0.35</v>
          </cell>
          <cell r="AA3689" t="e">
            <v>#VALUE!</v>
          </cell>
          <cell r="AB3689"/>
        </row>
        <row r="3690">
          <cell r="C3690">
            <v>0</v>
          </cell>
          <cell r="D3690">
            <v>0</v>
          </cell>
          <cell r="E3690">
            <v>0</v>
          </cell>
          <cell r="F3690">
            <v>0</v>
          </cell>
          <cell r="H3690">
            <v>1</v>
          </cell>
          <cell r="O3690">
            <v>402242</v>
          </cell>
          <cell r="P3690"/>
          <cell r="Q3690" t="str">
            <v>EST MESA LATERAL ITA (BORDA C) (M3 MATARAZZO) (COBRE ANTIGO)</v>
          </cell>
          <cell r="R3690"/>
          <cell r="S3690"/>
          <cell r="T3690">
            <v>0.7</v>
          </cell>
          <cell r="U3690">
            <v>0.7</v>
          </cell>
          <cell r="V3690">
            <v>0.52</v>
          </cell>
          <cell r="W3690">
            <v>0</v>
          </cell>
          <cell r="X3690" t="str">
            <v>EST MESA LATERAL ITA (BORDA C) (M3 MATARAZZO) (COBRE ANTIGO) - 0,7x0,7x0,52H</v>
          </cell>
          <cell r="Y3690" t="e">
            <v>#VALUE!</v>
          </cell>
          <cell r="Z3690">
            <v>0.35</v>
          </cell>
          <cell r="AA3690" t="e">
            <v>#VALUE!</v>
          </cell>
          <cell r="AB3690"/>
        </row>
        <row r="3691">
          <cell r="C3691">
            <v>0</v>
          </cell>
          <cell r="D3691">
            <v>0</v>
          </cell>
          <cell r="E3691">
            <v>0</v>
          </cell>
          <cell r="F3691">
            <v>0</v>
          </cell>
          <cell r="H3691">
            <v>4</v>
          </cell>
          <cell r="O3691">
            <v>402582</v>
          </cell>
          <cell r="P3691"/>
          <cell r="Q3691" t="str">
            <v>EST BANQUETA BAR GB MTF600 H63 TC EL ANGOLA COOPER</v>
          </cell>
          <cell r="R3691"/>
          <cell r="S3691"/>
          <cell r="T3691">
            <v>0.35</v>
          </cell>
          <cell r="U3691">
            <v>0.4</v>
          </cell>
          <cell r="V3691">
            <v>0.73</v>
          </cell>
          <cell r="W3691">
            <v>0</v>
          </cell>
          <cell r="X3691" t="str">
            <v>EST BANQUETA BAR GB MTF600 H63 TC EL ANGOLA COOPER - 0,35x0,4x0,73H</v>
          </cell>
          <cell r="Y3691" t="e">
            <v>#VALUE!</v>
          </cell>
          <cell r="Z3691">
            <v>0.35</v>
          </cell>
          <cell r="AA3691" t="e">
            <v>#VALUE!</v>
          </cell>
          <cell r="AB3691"/>
        </row>
        <row r="3692">
          <cell r="C3692">
            <v>0</v>
          </cell>
          <cell r="D3692">
            <v>0</v>
          </cell>
          <cell r="E3692">
            <v>0</v>
          </cell>
          <cell r="F3692">
            <v>0</v>
          </cell>
          <cell r="H3692">
            <v>0</v>
          </cell>
          <cell r="O3692">
            <v>402649</v>
          </cell>
          <cell r="P3692"/>
          <cell r="Q3692" t="str">
            <v>EST BANQUETA BAR JOHN GRAZ H62 (FREIJO COR IMBUIA IMPORT 55)</v>
          </cell>
          <cell r="R3692"/>
          <cell r="S3692"/>
          <cell r="T3692">
            <v>0.48</v>
          </cell>
          <cell r="U3692">
            <v>0.52</v>
          </cell>
          <cell r="V3692">
            <v>0.9</v>
          </cell>
          <cell r="W3692">
            <v>0</v>
          </cell>
          <cell r="X3692" t="str">
            <v>EST BANQUETA BAR JOHN GRAZ H62 (FREIJO COR IMBUIA IMPORT 55) - 0,48x0,52x0,9H</v>
          </cell>
          <cell r="Y3692" t="e">
            <v>#VALUE!</v>
          </cell>
          <cell r="Z3692">
            <v>0.35</v>
          </cell>
          <cell r="AA3692" t="e">
            <v>#VALUE!</v>
          </cell>
          <cell r="AB3692"/>
        </row>
        <row r="3693">
          <cell r="C3693">
            <v>0</v>
          </cell>
          <cell r="D3693">
            <v>0</v>
          </cell>
          <cell r="E3693">
            <v>0</v>
          </cell>
          <cell r="F3693">
            <v>0</v>
          </cell>
          <cell r="H3693">
            <v>2</v>
          </cell>
          <cell r="O3693">
            <v>402650</v>
          </cell>
          <cell r="P3693"/>
          <cell r="Q3693" t="str">
            <v>EST BANQUETA BAR JOHN GRAZ H62 (FREIJO NATURAL IMPORT 53)</v>
          </cell>
          <cell r="R3693"/>
          <cell r="S3693"/>
          <cell r="T3693">
            <v>0.48</v>
          </cell>
          <cell r="U3693">
            <v>0.52</v>
          </cell>
          <cell r="V3693">
            <v>0.9</v>
          </cell>
          <cell r="W3693">
            <v>0</v>
          </cell>
          <cell r="X3693" t="str">
            <v>EST BANQUETA BAR JOHN GRAZ H62 (FREIJO NATURAL IMPORT 53) - 0,48x0,52x0,9H</v>
          </cell>
          <cell r="Y3693" t="e">
            <v>#VALUE!</v>
          </cell>
          <cell r="Z3693">
            <v>0.35</v>
          </cell>
          <cell r="AA3693" t="e">
            <v>#VALUE!</v>
          </cell>
          <cell r="AB3693"/>
        </row>
        <row r="3694">
          <cell r="C3694">
            <v>0</v>
          </cell>
          <cell r="D3694">
            <v>0</v>
          </cell>
          <cell r="E3694">
            <v>0</v>
          </cell>
          <cell r="F3694">
            <v>0</v>
          </cell>
          <cell r="H3694">
            <v>1</v>
          </cell>
          <cell r="O3694">
            <v>402720</v>
          </cell>
          <cell r="P3694"/>
          <cell r="Q3694" t="str">
            <v>EST BANQUETA TAGUAIBA (FAIA VNZ CONHAQUE) (CAMURCA BRONZE)</v>
          </cell>
          <cell r="R3694"/>
          <cell r="S3694"/>
          <cell r="T3694">
            <v>0.4</v>
          </cell>
          <cell r="U3694">
            <v>0.6</v>
          </cell>
          <cell r="V3694">
            <v>0.32</v>
          </cell>
          <cell r="W3694">
            <v>0</v>
          </cell>
          <cell r="X3694" t="str">
            <v>EST BANQUETA TAGUAIBA (FAIA VNZ CONHAQUE) (CAMURCA BRONZE) - 0,4x0,6x0,32H</v>
          </cell>
          <cell r="Y3694" t="e">
            <v>#VALUE!</v>
          </cell>
          <cell r="Z3694">
            <v>0.35</v>
          </cell>
          <cell r="AA3694" t="e">
            <v>#VALUE!</v>
          </cell>
          <cell r="AB3694"/>
        </row>
        <row r="3695">
          <cell r="C3695">
            <v>0</v>
          </cell>
          <cell r="D3695">
            <v>0</v>
          </cell>
          <cell r="E3695">
            <v>0</v>
          </cell>
          <cell r="F3695">
            <v>0</v>
          </cell>
          <cell r="H3695">
            <v>1</v>
          </cell>
          <cell r="O3695">
            <v>402747</v>
          </cell>
          <cell r="P3695"/>
          <cell r="Q3695" t="str">
            <v>EST BANQUETA BAR MARESIAS C/B (A) (NAUTICA OFF W CUMARU EPS)</v>
          </cell>
          <cell r="R3695"/>
          <cell r="S3695"/>
          <cell r="T3695">
            <v>0.59</v>
          </cell>
          <cell r="U3695">
            <v>0.53</v>
          </cell>
          <cell r="V3695">
            <v>1.01</v>
          </cell>
          <cell r="W3695">
            <v>0</v>
          </cell>
          <cell r="X3695" t="str">
            <v>EST BANQUETA BAR MARESIAS C/B (A) (NAUTICA OFF W CUMARU EPS) - 0,59x0,53x1,01H</v>
          </cell>
          <cell r="Y3695" t="e">
            <v>#VALUE!</v>
          </cell>
          <cell r="Z3695">
            <v>0.35</v>
          </cell>
          <cell r="AA3695" t="e">
            <v>#VALUE!</v>
          </cell>
          <cell r="AB3695"/>
        </row>
        <row r="3696">
          <cell r="C3696">
            <v>0</v>
          </cell>
          <cell r="D3696">
            <v>0</v>
          </cell>
          <cell r="E3696">
            <v>0</v>
          </cell>
          <cell r="F3696">
            <v>0</v>
          </cell>
          <cell r="H3696">
            <v>2</v>
          </cell>
          <cell r="O3696">
            <v>403841</v>
          </cell>
          <cell r="P3696"/>
          <cell r="Q3696" t="str">
            <v>EST POLTRONA OSCAR ESTAR (TELA NATURAL) (MAD B COR 3)</v>
          </cell>
          <cell r="R3696"/>
          <cell r="S3696"/>
          <cell r="T3696">
            <v>0.7</v>
          </cell>
          <cell r="U3696">
            <v>0.65</v>
          </cell>
          <cell r="V3696">
            <v>0.8</v>
          </cell>
          <cell r="W3696">
            <v>0</v>
          </cell>
          <cell r="X3696" t="str">
            <v>EST POLTRONA OSCAR ESTAR (TELA NATURAL) (MAD B COR 3) - 0,7x0,65x0,8H</v>
          </cell>
          <cell r="Y3696" t="e">
            <v>#VALUE!</v>
          </cell>
          <cell r="Z3696">
            <v>0.35</v>
          </cell>
          <cell r="AA3696" t="e">
            <v>#VALUE!</v>
          </cell>
          <cell r="AB3696"/>
        </row>
        <row r="3697">
          <cell r="C3697">
            <v>0</v>
          </cell>
          <cell r="D3697">
            <v>0</v>
          </cell>
          <cell r="E3697">
            <v>0</v>
          </cell>
          <cell r="F3697">
            <v>0</v>
          </cell>
          <cell r="H3697">
            <v>1</v>
          </cell>
          <cell r="O3697">
            <v>404116</v>
          </cell>
          <cell r="P3697"/>
          <cell r="Q3697" t="str">
            <v>EST MESA CENTRO CACAU (FREIJO NATURAL)</v>
          </cell>
          <cell r="R3697"/>
          <cell r="S3697"/>
          <cell r="T3697">
            <v>1.8</v>
          </cell>
          <cell r="U3697">
            <v>0.8</v>
          </cell>
          <cell r="V3697">
            <v>0.28000000000000003</v>
          </cell>
          <cell r="W3697">
            <v>0</v>
          </cell>
          <cell r="X3697" t="str">
            <v>EST MESA CENTRO CACAU (FREIJO NATURAL) - 1,8x0,8x0,28H</v>
          </cell>
          <cell r="Y3697" t="e">
            <v>#VALUE!</v>
          </cell>
          <cell r="Z3697">
            <v>0.35</v>
          </cell>
          <cell r="AA3697" t="e">
            <v>#VALUE!</v>
          </cell>
          <cell r="AB3697"/>
        </row>
        <row r="3698">
          <cell r="C3698" t="e">
            <v>#N/A</v>
          </cell>
          <cell r="D3698" t="e">
            <v>#N/A</v>
          </cell>
          <cell r="E3698" t="e">
            <v>#N/A</v>
          </cell>
          <cell r="F3698" t="e">
            <v>#N/A</v>
          </cell>
          <cell r="H3698" t="e">
            <v>#N/A</v>
          </cell>
          <cell r="O3698">
            <v>404478</v>
          </cell>
          <cell r="P3698"/>
          <cell r="Q3698" t="e">
            <v>#N/A</v>
          </cell>
          <cell r="R3698"/>
          <cell r="S3698"/>
          <cell r="T3698" t="e">
            <v>#N/A</v>
          </cell>
          <cell r="U3698" t="e">
            <v>#N/A</v>
          </cell>
          <cell r="V3698" t="e">
            <v>#N/A</v>
          </cell>
          <cell r="W3698" t="e">
            <v>#N/A</v>
          </cell>
          <cell r="X3698" t="e">
            <v>#N/A</v>
          </cell>
          <cell r="Y3698" t="e">
            <v>#VALUE!</v>
          </cell>
          <cell r="Z3698">
            <v>0.35</v>
          </cell>
          <cell r="AA3698" t="e">
            <v>#VALUE!</v>
          </cell>
          <cell r="AB3698"/>
        </row>
        <row r="3699">
          <cell r="C3699">
            <v>0</v>
          </cell>
          <cell r="D3699">
            <v>0</v>
          </cell>
          <cell r="E3699">
            <v>0</v>
          </cell>
          <cell r="F3699">
            <v>0</v>
          </cell>
          <cell r="H3699">
            <v>2</v>
          </cell>
          <cell r="O3699">
            <v>404480</v>
          </cell>
          <cell r="P3699"/>
          <cell r="Q3699" t="str">
            <v>EST COMPONENTE ESTRUTURA CADEIRA PAULISTANO (INOX POLIDO)</v>
          </cell>
          <cell r="R3699"/>
          <cell r="S3699"/>
          <cell r="T3699">
            <v>0.72</v>
          </cell>
          <cell r="U3699">
            <v>0.74</v>
          </cell>
          <cell r="V3699">
            <v>0.82</v>
          </cell>
          <cell r="W3699">
            <v>0</v>
          </cell>
          <cell r="X3699" t="str">
            <v>EST COMPONENTE ESTRUTURA CADEIRA PAULISTANO (INOX POLIDO) - 0,72x0,74x0,82H</v>
          </cell>
          <cell r="Y3699" t="e">
            <v>#VALUE!</v>
          </cell>
          <cell r="Z3699">
            <v>0.35</v>
          </cell>
          <cell r="AA3699" t="e">
            <v>#VALUE!</v>
          </cell>
          <cell r="AB3699"/>
        </row>
        <row r="3700">
          <cell r="C3700">
            <v>0</v>
          </cell>
          <cell r="D3700">
            <v>0</v>
          </cell>
          <cell r="E3700">
            <v>0</v>
          </cell>
          <cell r="F3700">
            <v>0</v>
          </cell>
          <cell r="H3700">
            <v>3</v>
          </cell>
          <cell r="O3700">
            <v>404481</v>
          </cell>
          <cell r="P3700"/>
          <cell r="Q3700" t="str">
            <v>EST COMPONENTE CAPA PAULISTANO (COURO PRETO)</v>
          </cell>
          <cell r="R3700"/>
          <cell r="S3700"/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 t="str">
            <v>EST COMPONENTE CAPA PAULISTANO (COURO PRETO) - Ø0x0H</v>
          </cell>
          <cell r="Y3700" t="e">
            <v>#VALUE!</v>
          </cell>
          <cell r="Z3700">
            <v>0.35</v>
          </cell>
          <cell r="AA3700" t="e">
            <v>#VALUE!</v>
          </cell>
          <cell r="AB3700"/>
        </row>
        <row r="3701">
          <cell r="C3701" t="e">
            <v>#N/A</v>
          </cell>
          <cell r="D3701" t="e">
            <v>#N/A</v>
          </cell>
          <cell r="E3701" t="e">
            <v>#N/A</v>
          </cell>
          <cell r="F3701" t="e">
            <v>#N/A</v>
          </cell>
          <cell r="H3701" t="e">
            <v>#N/A</v>
          </cell>
          <cell r="O3701">
            <v>404482</v>
          </cell>
          <cell r="P3701"/>
          <cell r="Q3701" t="e">
            <v>#N/A</v>
          </cell>
          <cell r="R3701"/>
          <cell r="S3701"/>
          <cell r="T3701" t="e">
            <v>#N/A</v>
          </cell>
          <cell r="U3701" t="e">
            <v>#N/A</v>
          </cell>
          <cell r="V3701" t="e">
            <v>#N/A</v>
          </cell>
          <cell r="W3701" t="e">
            <v>#N/A</v>
          </cell>
          <cell r="X3701" t="e">
            <v>#N/A</v>
          </cell>
          <cell r="Y3701" t="e">
            <v>#VALUE!</v>
          </cell>
          <cell r="Z3701">
            <v>0.35</v>
          </cell>
          <cell r="AA3701" t="e">
            <v>#VALUE!</v>
          </cell>
          <cell r="AB3701"/>
        </row>
        <row r="3702">
          <cell r="C3702">
            <v>0</v>
          </cell>
          <cell r="D3702">
            <v>0</v>
          </cell>
          <cell r="E3702">
            <v>0</v>
          </cell>
          <cell r="F3702">
            <v>0</v>
          </cell>
          <cell r="H3702">
            <v>2</v>
          </cell>
          <cell r="O3702">
            <v>404993</v>
          </cell>
          <cell r="P3702"/>
          <cell r="Q3702" t="str">
            <v>EST REVISTEIRO BO CHAO (LAMINA IMBUIA TABACO)</v>
          </cell>
          <cell r="R3702"/>
          <cell r="S3702"/>
          <cell r="T3702">
            <v>0.45</v>
          </cell>
          <cell r="U3702">
            <v>0.33</v>
          </cell>
          <cell r="V3702">
            <v>1.8</v>
          </cell>
          <cell r="W3702">
            <v>0</v>
          </cell>
          <cell r="X3702" t="str">
            <v>EST REVISTEIRO BO CHAO (LAMINA IMBUIA TABACO) - 0,45x0,33x1,8H</v>
          </cell>
          <cell r="Y3702" t="e">
            <v>#VALUE!</v>
          </cell>
          <cell r="Z3702">
            <v>0.35</v>
          </cell>
          <cell r="AA3702" t="e">
            <v>#VALUE!</v>
          </cell>
          <cell r="AB3702"/>
        </row>
        <row r="3703">
          <cell r="C3703">
            <v>0</v>
          </cell>
          <cell r="D3703">
            <v>0</v>
          </cell>
          <cell r="E3703">
            <v>0</v>
          </cell>
          <cell r="F3703">
            <v>0</v>
          </cell>
          <cell r="H3703">
            <v>2</v>
          </cell>
          <cell r="O3703">
            <v>405757</v>
          </cell>
          <cell r="P3703"/>
          <cell r="Q3703" t="str">
            <v>EST MESA CENTRO OBLONGO (PAU FERRO CLARO) ALTERNADOS PT</v>
          </cell>
          <cell r="R3703"/>
          <cell r="S3703"/>
          <cell r="T3703">
            <v>2.2000000000000002</v>
          </cell>
          <cell r="U3703">
            <v>0.8</v>
          </cell>
          <cell r="V3703">
            <v>0.3</v>
          </cell>
          <cell r="W3703">
            <v>0</v>
          </cell>
          <cell r="X3703" t="str">
            <v>EST MESA CENTRO OBLONGO (PAU FERRO CLARO) ALTERNADOS PT - 2,2x0,8x0,3H</v>
          </cell>
          <cell r="Y3703" t="e">
            <v>#VALUE!</v>
          </cell>
          <cell r="Z3703">
            <v>0.35</v>
          </cell>
          <cell r="AA3703" t="e">
            <v>#VALUE!</v>
          </cell>
          <cell r="AB3703"/>
        </row>
        <row r="3704">
          <cell r="C3704">
            <v>0</v>
          </cell>
          <cell r="D3704">
            <v>0</v>
          </cell>
          <cell r="E3704">
            <v>0</v>
          </cell>
          <cell r="F3704">
            <v>0</v>
          </cell>
          <cell r="H3704">
            <v>0</v>
          </cell>
          <cell r="O3704">
            <v>406125</v>
          </cell>
          <cell r="P3704"/>
          <cell r="Q3704" t="str">
            <v>EST POLTRONA ZECA (FREIJO ENV) TC MIKA CHIVE</v>
          </cell>
          <cell r="R3704"/>
          <cell r="S3704"/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 t="str">
            <v>EST POLTRONA ZECA (FREIJO ENV) TC MIKA CHIVE - Ø0x0H</v>
          </cell>
          <cell r="Y3704" t="e">
            <v>#VALUE!</v>
          </cell>
          <cell r="Z3704">
            <v>0.35</v>
          </cell>
          <cell r="AA3704" t="e">
            <v>#VALUE!</v>
          </cell>
          <cell r="AB3704"/>
        </row>
        <row r="3705">
          <cell r="C3705">
            <v>0</v>
          </cell>
          <cell r="D3705">
            <v>0</v>
          </cell>
          <cell r="E3705">
            <v>0</v>
          </cell>
          <cell r="F3705">
            <v>0</v>
          </cell>
          <cell r="H3705">
            <v>2</v>
          </cell>
          <cell r="O3705">
            <v>406828</v>
          </cell>
          <cell r="P3705"/>
          <cell r="Q3705" t="str">
            <v>EST BANCO TROY (MADEIRA VIMINALIS)</v>
          </cell>
          <cell r="R3705"/>
          <cell r="S3705"/>
          <cell r="T3705">
            <v>0.57999999999999996</v>
          </cell>
          <cell r="U3705">
            <v>0</v>
          </cell>
          <cell r="V3705">
            <v>0.41</v>
          </cell>
          <cell r="W3705">
            <v>0.57999999999999996</v>
          </cell>
          <cell r="X3705" t="str">
            <v>EST BANCO TROY (MADEIRA VIMINALIS) - Ø0,58x0,41H</v>
          </cell>
          <cell r="Y3705" t="e">
            <v>#VALUE!</v>
          </cell>
          <cell r="Z3705">
            <v>0.35</v>
          </cell>
          <cell r="AA3705" t="e">
            <v>#VALUE!</v>
          </cell>
          <cell r="AB3705"/>
        </row>
        <row r="3706">
          <cell r="C3706">
            <v>0</v>
          </cell>
          <cell r="D3706">
            <v>0</v>
          </cell>
          <cell r="E3706">
            <v>0</v>
          </cell>
          <cell r="F3706">
            <v>2</v>
          </cell>
          <cell r="H3706">
            <v>0</v>
          </cell>
          <cell r="O3706">
            <v>394917</v>
          </cell>
          <cell r="P3706" t="str">
            <v>2025/016-0114-01</v>
          </cell>
          <cell r="Q3706" t="str">
            <v>EST POLTRONA ELAN (GIR) (COURO ENCERADO GRIS) (FX G7135)</v>
          </cell>
          <cell r="R3706"/>
          <cell r="S3706"/>
          <cell r="T3706">
            <v>0.7</v>
          </cell>
          <cell r="U3706">
            <v>0.68</v>
          </cell>
          <cell r="V3706">
            <v>0.76</v>
          </cell>
          <cell r="W3706">
            <v>0</v>
          </cell>
          <cell r="X3706" t="str">
            <v>EST POLTRONA ELAN (GIR) (COURO ENCERADO GRIS) (FX G7135) - 0,7x0,68x0,76H</v>
          </cell>
          <cell r="Y3706">
            <v>11617.72</v>
          </cell>
          <cell r="Z3706">
            <v>0.35</v>
          </cell>
          <cell r="AA3706">
            <v>7551.518</v>
          </cell>
          <cell r="AB3706"/>
        </row>
        <row r="3707">
          <cell r="C3707">
            <v>0</v>
          </cell>
          <cell r="D3707">
            <v>0</v>
          </cell>
          <cell r="E3707">
            <v>0</v>
          </cell>
          <cell r="F3707">
            <v>2</v>
          </cell>
          <cell r="H3707">
            <v>0</v>
          </cell>
          <cell r="O3707">
            <v>394917</v>
          </cell>
          <cell r="P3707" t="str">
            <v>2025/016-0115-01</v>
          </cell>
          <cell r="Q3707" t="str">
            <v>EST POLTRONA ELAN (GIR) (COURO ENCERADO GRIS) (FX G7135)</v>
          </cell>
          <cell r="R3707"/>
          <cell r="S3707"/>
          <cell r="T3707">
            <v>0.7</v>
          </cell>
          <cell r="U3707">
            <v>0.68</v>
          </cell>
          <cell r="V3707">
            <v>0.76</v>
          </cell>
          <cell r="W3707">
            <v>0</v>
          </cell>
          <cell r="X3707" t="str">
            <v>EST POLTRONA ELAN (GIR) (COURO ENCERADO GRIS) (FX G7135) - 0,7x0,68x0,76H</v>
          </cell>
          <cell r="Y3707">
            <v>11617.72</v>
          </cell>
          <cell r="Z3707">
            <v>0.35</v>
          </cell>
          <cell r="AA3707">
            <v>7551.518</v>
          </cell>
          <cell r="AB3707"/>
        </row>
        <row r="3708">
          <cell r="C3708">
            <v>0</v>
          </cell>
          <cell r="D3708">
            <v>2</v>
          </cell>
          <cell r="E3708">
            <v>1</v>
          </cell>
          <cell r="F3708">
            <v>3</v>
          </cell>
          <cell r="H3708">
            <v>0</v>
          </cell>
          <cell r="O3708">
            <v>383974</v>
          </cell>
          <cell r="P3708" t="str">
            <v>2024/073-0036-01</v>
          </cell>
          <cell r="Q3708" t="str">
            <v>EST QUADRO (1510 PRETO)</v>
          </cell>
          <cell r="R3708"/>
          <cell r="S3708"/>
          <cell r="T3708">
            <v>1.5</v>
          </cell>
          <cell r="U3708">
            <v>2</v>
          </cell>
          <cell r="V3708">
            <v>0.06</v>
          </cell>
          <cell r="W3708">
            <v>0</v>
          </cell>
          <cell r="X3708" t="str">
            <v>EST QUADRO (1510 PRETO) - 1,5x2x0,06H</v>
          </cell>
          <cell r="Y3708">
            <v>5376</v>
          </cell>
          <cell r="Z3708">
            <v>0.35</v>
          </cell>
          <cell r="AA3708">
            <v>3494.4</v>
          </cell>
          <cell r="AB3708"/>
        </row>
        <row r="3709">
          <cell r="C3709">
            <v>0</v>
          </cell>
          <cell r="D3709">
            <v>2</v>
          </cell>
          <cell r="E3709">
            <v>1</v>
          </cell>
          <cell r="F3709">
            <v>3</v>
          </cell>
          <cell r="H3709">
            <v>0</v>
          </cell>
          <cell r="O3709">
            <v>383974</v>
          </cell>
          <cell r="P3709" t="str">
            <v>2024/073-0037-01</v>
          </cell>
          <cell r="Q3709" t="str">
            <v>EST QUADRO (1510 PRETO)</v>
          </cell>
          <cell r="R3709"/>
          <cell r="S3709"/>
          <cell r="T3709">
            <v>1.5</v>
          </cell>
          <cell r="U3709">
            <v>2</v>
          </cell>
          <cell r="V3709">
            <v>0.06</v>
          </cell>
          <cell r="W3709">
            <v>0</v>
          </cell>
          <cell r="X3709" t="str">
            <v>EST QUADRO (1510 PRETO) - 1,5x2x0,06H</v>
          </cell>
          <cell r="Y3709">
            <v>5376</v>
          </cell>
          <cell r="Z3709">
            <v>0.35</v>
          </cell>
          <cell r="AA3709">
            <v>3494.4</v>
          </cell>
          <cell r="AB3709"/>
        </row>
        <row r="3710">
          <cell r="C3710">
            <v>0</v>
          </cell>
          <cell r="D3710">
            <v>2</v>
          </cell>
          <cell r="E3710">
            <v>1</v>
          </cell>
          <cell r="F3710">
            <v>3</v>
          </cell>
          <cell r="H3710">
            <v>0</v>
          </cell>
          <cell r="O3710">
            <v>383974</v>
          </cell>
          <cell r="P3710" t="str">
            <v>2024/073-0038-01</v>
          </cell>
          <cell r="Q3710" t="str">
            <v>EST QUADRO (1510 PRETO)</v>
          </cell>
          <cell r="R3710"/>
          <cell r="S3710"/>
          <cell r="T3710">
            <v>1.5</v>
          </cell>
          <cell r="U3710">
            <v>2</v>
          </cell>
          <cell r="V3710">
            <v>0.06</v>
          </cell>
          <cell r="W3710">
            <v>0</v>
          </cell>
          <cell r="X3710" t="str">
            <v>EST QUADRO (1510 PRETO) - 1,5x2x0,06H</v>
          </cell>
          <cell r="Y3710">
            <v>5376</v>
          </cell>
          <cell r="Z3710">
            <v>0.35</v>
          </cell>
          <cell r="AA3710">
            <v>3494.4</v>
          </cell>
          <cell r="AB3710"/>
        </row>
        <row r="3711">
          <cell r="C3711">
            <v>0</v>
          </cell>
          <cell r="D3711">
            <v>0</v>
          </cell>
          <cell r="E3711">
            <v>0</v>
          </cell>
          <cell r="F3711">
            <v>0</v>
          </cell>
          <cell r="H3711">
            <v>1</v>
          </cell>
          <cell r="O3711">
            <v>232206</v>
          </cell>
          <cell r="P3711"/>
          <cell r="Q3711" t="str">
            <v>EST TAPETE AMON (AM02) 4-FE4-B</v>
          </cell>
          <cell r="R3711"/>
          <cell r="S3711"/>
          <cell r="T3711">
            <v>2</v>
          </cell>
          <cell r="U3711">
            <v>2.85</v>
          </cell>
          <cell r="V3711">
            <v>0</v>
          </cell>
          <cell r="W3711">
            <v>0</v>
          </cell>
          <cell r="X3711" t="str">
            <v>EST TAPETE AMON (AM02) 4-FE4-B - 2x2,85x0H</v>
          </cell>
          <cell r="Y3711">
            <v>12716.93</v>
          </cell>
          <cell r="Z3711">
            <v>0.35</v>
          </cell>
          <cell r="AA3711">
            <v>8266.0045000000009</v>
          </cell>
          <cell r="AB3711"/>
        </row>
        <row r="3712">
          <cell r="C3712">
            <v>0</v>
          </cell>
          <cell r="D3712">
            <v>0</v>
          </cell>
          <cell r="E3712">
            <v>0</v>
          </cell>
          <cell r="F3712">
            <v>0</v>
          </cell>
          <cell r="H3712">
            <v>1</v>
          </cell>
          <cell r="O3712">
            <v>63439</v>
          </cell>
          <cell r="P3712"/>
          <cell r="Q3712" t="str">
            <v>EST APARADOR JOVE (CARVALHO NATURAL)</v>
          </cell>
          <cell r="R3712"/>
          <cell r="S3712"/>
          <cell r="T3712">
            <v>1.8</v>
          </cell>
          <cell r="U3712">
            <v>0.45</v>
          </cell>
          <cell r="V3712">
            <v>0.8</v>
          </cell>
          <cell r="W3712">
            <v>0</v>
          </cell>
          <cell r="X3712" t="str">
            <v>EST APARADOR JOVE (CARVALHO NATURAL) - 1,8x0,45x0,8H</v>
          </cell>
          <cell r="Y3712">
            <v>0</v>
          </cell>
          <cell r="Z3712">
            <v>0.35</v>
          </cell>
          <cell r="AA3712">
            <v>0</v>
          </cell>
          <cell r="AB3712"/>
        </row>
        <row r="3713">
          <cell r="C3713">
            <v>0</v>
          </cell>
          <cell r="D3713">
            <v>0</v>
          </cell>
          <cell r="E3713">
            <v>0</v>
          </cell>
          <cell r="F3713">
            <v>0</v>
          </cell>
          <cell r="H3713">
            <v>1</v>
          </cell>
          <cell r="O3713">
            <v>63453</v>
          </cell>
          <cell r="P3713"/>
          <cell r="Q3713" t="str">
            <v>EST CADEIRA 5124 TC SINTETICO BRANCO CROMADA</v>
          </cell>
          <cell r="R3713"/>
          <cell r="S3713"/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 t="str">
            <v>EST CADEIRA 5124 TC SINTETICO BRANCO CROMADA - Ø0x0H</v>
          </cell>
          <cell r="Y3713">
            <v>0</v>
          </cell>
          <cell r="Z3713">
            <v>0.35</v>
          </cell>
          <cell r="AA3713">
            <v>0</v>
          </cell>
          <cell r="AB3713"/>
        </row>
        <row r="3714">
          <cell r="C3714">
            <v>0</v>
          </cell>
          <cell r="D3714">
            <v>0</v>
          </cell>
          <cell r="E3714">
            <v>0</v>
          </cell>
          <cell r="F3714">
            <v>0</v>
          </cell>
          <cell r="H3714">
            <v>2</v>
          </cell>
          <cell r="O3714">
            <v>63481</v>
          </cell>
          <cell r="P3714"/>
          <cell r="Q3714" t="str">
            <v>EST CADEIRA SARDEGNA (TABACO) TC MARROM CAFE</v>
          </cell>
          <cell r="R3714"/>
          <cell r="S3714"/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 t="str">
            <v>EST CADEIRA SARDEGNA (TABACO) TC MARROM CAFE - Ø0x0H</v>
          </cell>
          <cell r="Y3714">
            <v>0</v>
          </cell>
          <cell r="Z3714">
            <v>0.35</v>
          </cell>
          <cell r="AA3714">
            <v>0</v>
          </cell>
          <cell r="AB3714"/>
        </row>
        <row r="3715">
          <cell r="C3715">
            <v>0</v>
          </cell>
          <cell r="D3715">
            <v>0</v>
          </cell>
          <cell r="E3715">
            <v>0</v>
          </cell>
          <cell r="F3715">
            <v>0</v>
          </cell>
          <cell r="H3715">
            <v>1</v>
          </cell>
          <cell r="O3715">
            <v>63557</v>
          </cell>
          <cell r="P3715"/>
          <cell r="Q3715" t="str">
            <v>EST POLTRONA MILAO (MESCLADO AVELA) TC FORN</v>
          </cell>
          <cell r="R3715"/>
          <cell r="S3715"/>
          <cell r="T3715">
            <v>1</v>
          </cell>
          <cell r="U3715">
            <v>0.7</v>
          </cell>
          <cell r="V3715">
            <v>0.75</v>
          </cell>
          <cell r="W3715">
            <v>0</v>
          </cell>
          <cell r="X3715" t="str">
            <v>EST POLTRONA MILAO (MESCLADO AVELA) TC FORN - 1x0,7x0,75H</v>
          </cell>
          <cell r="Y3715">
            <v>0</v>
          </cell>
          <cell r="Z3715">
            <v>0.35</v>
          </cell>
          <cell r="AA3715">
            <v>0</v>
          </cell>
          <cell r="AB3715"/>
        </row>
        <row r="3716">
          <cell r="C3716">
            <v>0</v>
          </cell>
          <cell r="D3716">
            <v>0</v>
          </cell>
          <cell r="E3716">
            <v>0</v>
          </cell>
          <cell r="F3716">
            <v>0</v>
          </cell>
          <cell r="H3716">
            <v>1</v>
          </cell>
          <cell r="O3716">
            <v>63559</v>
          </cell>
          <cell r="P3716"/>
          <cell r="Q3716" t="str">
            <v>EST POLTRONA MOON (FIBERGLASS BRANCA) TC PLUMBEO GRAPE</v>
          </cell>
          <cell r="R3716"/>
          <cell r="S3716"/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 t="str">
            <v>EST POLTRONA MOON (FIBERGLASS BRANCA) TC PLUMBEO GRAPE - Ø0x0H</v>
          </cell>
          <cell r="Y3716">
            <v>0</v>
          </cell>
          <cell r="Z3716">
            <v>0.35</v>
          </cell>
          <cell r="AA3716">
            <v>0</v>
          </cell>
          <cell r="AB3716"/>
        </row>
        <row r="3717">
          <cell r="C3717">
            <v>0</v>
          </cell>
          <cell r="D3717">
            <v>0</v>
          </cell>
          <cell r="E3717">
            <v>0</v>
          </cell>
          <cell r="F3717">
            <v>0</v>
          </cell>
          <cell r="H3717">
            <v>1</v>
          </cell>
          <cell r="O3717">
            <v>63561</v>
          </cell>
          <cell r="P3717"/>
          <cell r="Q3717" t="str">
            <v>EST POLTRONA 5003 (GIRATORIA) TC VERMELHO</v>
          </cell>
          <cell r="R3717"/>
          <cell r="S3717"/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 t="str">
            <v>EST POLTRONA 5003 (GIRATORIA) TC VERMELHO - Ø0x0H</v>
          </cell>
          <cell r="Y3717">
            <v>0</v>
          </cell>
          <cell r="Z3717">
            <v>0.35</v>
          </cell>
          <cell r="AA3717">
            <v>0</v>
          </cell>
          <cell r="AB3717"/>
        </row>
        <row r="3718">
          <cell r="C3718">
            <v>0</v>
          </cell>
          <cell r="D3718">
            <v>0</v>
          </cell>
          <cell r="E3718">
            <v>0</v>
          </cell>
          <cell r="F3718">
            <v>0</v>
          </cell>
          <cell r="H3718">
            <v>1</v>
          </cell>
          <cell r="O3718">
            <v>63798</v>
          </cell>
          <cell r="P3718"/>
          <cell r="Q3718" t="str">
            <v>EST CADEIRA JULIANA (LOURO FREIJO)</v>
          </cell>
          <cell r="R3718"/>
          <cell r="S3718"/>
          <cell r="T3718">
            <v>0.6</v>
          </cell>
          <cell r="U3718">
            <v>0.54</v>
          </cell>
          <cell r="V3718">
            <v>0.73</v>
          </cell>
          <cell r="W3718">
            <v>0</v>
          </cell>
          <cell r="X3718" t="str">
            <v>EST CADEIRA JULIANA (LOURO FREIJO) - 0,6x0,54x0,73H</v>
          </cell>
          <cell r="Y3718">
            <v>0</v>
          </cell>
          <cell r="Z3718">
            <v>0.35</v>
          </cell>
          <cell r="AA3718">
            <v>0</v>
          </cell>
          <cell r="AB3718"/>
        </row>
        <row r="3719">
          <cell r="C3719">
            <v>0</v>
          </cell>
          <cell r="D3719">
            <v>0</v>
          </cell>
          <cell r="E3719">
            <v>0</v>
          </cell>
          <cell r="F3719">
            <v>0</v>
          </cell>
          <cell r="H3719">
            <v>7</v>
          </cell>
          <cell r="O3719">
            <v>64068</v>
          </cell>
          <cell r="P3719"/>
          <cell r="Q3719" t="str">
            <v>EST CADEIRA TEKA (FIBRA SINTETICA)</v>
          </cell>
          <cell r="R3719"/>
          <cell r="S3719"/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 t="str">
            <v>EST CADEIRA TEKA (FIBRA SINTETICA) - Ø0x0H</v>
          </cell>
          <cell r="Y3719">
            <v>0</v>
          </cell>
          <cell r="Z3719">
            <v>0.35</v>
          </cell>
          <cell r="AA3719">
            <v>0</v>
          </cell>
          <cell r="AB3719"/>
        </row>
        <row r="3720">
          <cell r="C3720">
            <v>0</v>
          </cell>
          <cell r="D3720">
            <v>0</v>
          </cell>
          <cell r="E3720">
            <v>1</v>
          </cell>
          <cell r="F3720">
            <v>0</v>
          </cell>
          <cell r="H3720">
            <v>0</v>
          </cell>
          <cell r="O3720">
            <v>64130</v>
          </cell>
          <cell r="P3720"/>
          <cell r="Q3720" t="str">
            <v>EST ESPELHO CONE ELIPS (BRANCO)</v>
          </cell>
          <cell r="R3720"/>
          <cell r="S3720"/>
          <cell r="T3720">
            <v>0.5</v>
          </cell>
          <cell r="U3720">
            <v>0</v>
          </cell>
          <cell r="V3720">
            <v>1.7</v>
          </cell>
          <cell r="W3720">
            <v>0.5</v>
          </cell>
          <cell r="X3720" t="str">
            <v>EST ESPELHO CONE ELIPS (BRANCO) - Ø0,5x1,7H</v>
          </cell>
          <cell r="Y3720">
            <v>0</v>
          </cell>
          <cell r="Z3720">
            <v>0.35</v>
          </cell>
          <cell r="AA3720">
            <v>0</v>
          </cell>
          <cell r="AB3720"/>
        </row>
        <row r="3721">
          <cell r="C3721">
            <v>0</v>
          </cell>
          <cell r="D3721">
            <v>0</v>
          </cell>
          <cell r="E3721">
            <v>0</v>
          </cell>
          <cell r="F3721">
            <v>0</v>
          </cell>
          <cell r="H3721">
            <v>1</v>
          </cell>
          <cell r="O3721">
            <v>64211</v>
          </cell>
          <cell r="P3721"/>
          <cell r="Q3721" t="str">
            <v>EST MESA CENTRO ANGRA (FIBRA SINTETICA)</v>
          </cell>
          <cell r="R3721"/>
          <cell r="S3721"/>
          <cell r="T3721">
            <v>1</v>
          </cell>
          <cell r="U3721">
            <v>1</v>
          </cell>
          <cell r="V3721">
            <v>0.45</v>
          </cell>
          <cell r="W3721">
            <v>0</v>
          </cell>
          <cell r="X3721" t="str">
            <v>EST MESA CENTRO ANGRA (FIBRA SINTETICA) - 1x1x0,45H</v>
          </cell>
          <cell r="Y3721">
            <v>0</v>
          </cell>
          <cell r="Z3721">
            <v>0.35</v>
          </cell>
          <cell r="AA3721">
            <v>0</v>
          </cell>
          <cell r="AB3721"/>
        </row>
        <row r="3722">
          <cell r="C3722">
            <v>0</v>
          </cell>
          <cell r="D3722">
            <v>0</v>
          </cell>
          <cell r="E3722">
            <v>0</v>
          </cell>
          <cell r="F3722">
            <v>0</v>
          </cell>
          <cell r="H3722">
            <v>1</v>
          </cell>
          <cell r="O3722">
            <v>64228</v>
          </cell>
          <cell r="P3722"/>
          <cell r="Q3722" t="str">
            <v>EST MESA CENTRO PD27 (CARVALHO CHOCOLATE)</v>
          </cell>
          <cell r="R3722"/>
          <cell r="S3722"/>
          <cell r="T3722">
            <v>1.5</v>
          </cell>
          <cell r="U3722">
            <v>0.5</v>
          </cell>
          <cell r="V3722">
            <v>0</v>
          </cell>
          <cell r="W3722">
            <v>0</v>
          </cell>
          <cell r="X3722" t="str">
            <v>EST MESA CENTRO PD27 (CARVALHO CHOCOLATE) - 1,5x0,5x0H</v>
          </cell>
          <cell r="Y3722">
            <v>0</v>
          </cell>
          <cell r="Z3722">
            <v>0.35</v>
          </cell>
          <cell r="AA3722">
            <v>0</v>
          </cell>
          <cell r="AB3722"/>
        </row>
        <row r="3723">
          <cell r="C3723">
            <v>0</v>
          </cell>
          <cell r="D3723">
            <v>0</v>
          </cell>
          <cell r="E3723">
            <v>0</v>
          </cell>
          <cell r="F3723">
            <v>0</v>
          </cell>
          <cell r="H3723">
            <v>1</v>
          </cell>
          <cell r="O3723">
            <v>64235</v>
          </cell>
          <cell r="P3723"/>
          <cell r="Q3723" t="str">
            <v>EST MESA CENTRO VIENA (FIBRA) (MADEIRA)</v>
          </cell>
          <cell r="R3723"/>
          <cell r="S3723"/>
          <cell r="T3723">
            <v>1.5</v>
          </cell>
          <cell r="U3723">
            <v>0.5</v>
          </cell>
          <cell r="V3723">
            <v>0</v>
          </cell>
          <cell r="W3723">
            <v>0</v>
          </cell>
          <cell r="X3723" t="str">
            <v>EST MESA CENTRO VIENA (FIBRA) (MADEIRA) - 1,5x0,5x0H</v>
          </cell>
          <cell r="Y3723">
            <v>0</v>
          </cell>
          <cell r="Z3723">
            <v>0.35</v>
          </cell>
          <cell r="AA3723">
            <v>0</v>
          </cell>
          <cell r="AB3723"/>
        </row>
        <row r="3724">
          <cell r="C3724">
            <v>0</v>
          </cell>
          <cell r="D3724">
            <v>0</v>
          </cell>
          <cell r="E3724">
            <v>0</v>
          </cell>
          <cell r="F3724">
            <v>0</v>
          </cell>
          <cell r="H3724">
            <v>1</v>
          </cell>
          <cell r="O3724">
            <v>65397</v>
          </cell>
          <cell r="P3724"/>
          <cell r="Q3724" t="str">
            <v>EST POLTRONA POLTRONETE TC SARJA CRU</v>
          </cell>
          <cell r="R3724"/>
          <cell r="S3724"/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 t="str">
            <v>EST POLTRONA POLTRONETE TC SARJA CRU - Ø0x0H</v>
          </cell>
          <cell r="Y3724" t="e">
            <v>#VALUE!</v>
          </cell>
          <cell r="Z3724">
            <v>0.35</v>
          </cell>
          <cell r="AA3724" t="e">
            <v>#VALUE!</v>
          </cell>
          <cell r="AB3724"/>
        </row>
        <row r="3725">
          <cell r="C3725">
            <v>0</v>
          </cell>
          <cell r="D3725">
            <v>0</v>
          </cell>
          <cell r="E3725">
            <v>0</v>
          </cell>
          <cell r="F3725">
            <v>0</v>
          </cell>
          <cell r="H3725">
            <v>1</v>
          </cell>
          <cell r="O3725">
            <v>65456</v>
          </cell>
          <cell r="P3725"/>
          <cell r="Q3725" t="str">
            <v>EST POLTRONA CANADA (FIBRA CHOCOLATE MESCLA) TC CRU</v>
          </cell>
          <cell r="R3725"/>
          <cell r="S3725"/>
          <cell r="T3725">
            <v>0.7</v>
          </cell>
          <cell r="U3725">
            <v>0.9</v>
          </cell>
          <cell r="V3725">
            <v>0.93</v>
          </cell>
          <cell r="W3725">
            <v>0</v>
          </cell>
          <cell r="X3725" t="str">
            <v>EST POLTRONA CANADA (FIBRA CHOCOLATE MESCLA) TC CRU - 0,7x0,9x0,93H</v>
          </cell>
          <cell r="Y3725">
            <v>0</v>
          </cell>
          <cell r="Z3725">
            <v>0.35</v>
          </cell>
          <cell r="AA3725">
            <v>0</v>
          </cell>
          <cell r="AB3725"/>
        </row>
        <row r="3726">
          <cell r="C3726">
            <v>0</v>
          </cell>
          <cell r="D3726">
            <v>0</v>
          </cell>
          <cell r="E3726">
            <v>0</v>
          </cell>
          <cell r="F3726">
            <v>0</v>
          </cell>
          <cell r="H3726">
            <v>0</v>
          </cell>
          <cell r="O3726">
            <v>65538</v>
          </cell>
          <cell r="P3726"/>
          <cell r="Q3726" t="str">
            <v>EST PF MERLIM 2042 TECIM 1X1 FIBRA CHOC MESCL TC 1400 CRU</v>
          </cell>
          <cell r="R3726"/>
          <cell r="S3726"/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 t="str">
            <v>EST PF MERLIM 2042 TECIM 1X1 FIBRA CHOC MESCL TC 1400 CRU - Ø0x0H</v>
          </cell>
          <cell r="Y3726">
            <v>0</v>
          </cell>
          <cell r="Z3726">
            <v>0.35</v>
          </cell>
          <cell r="AA3726">
            <v>0</v>
          </cell>
          <cell r="AB3726"/>
        </row>
        <row r="3727">
          <cell r="C3727">
            <v>0</v>
          </cell>
          <cell r="D3727">
            <v>0</v>
          </cell>
          <cell r="E3727">
            <v>0</v>
          </cell>
          <cell r="F3727">
            <v>0</v>
          </cell>
          <cell r="H3727">
            <v>1</v>
          </cell>
          <cell r="O3727">
            <v>69099</v>
          </cell>
          <cell r="P3727"/>
          <cell r="Q3727" t="str">
            <v>EST POLTRONA SU (INOX) TC 0190177</v>
          </cell>
          <cell r="R3727"/>
          <cell r="S3727"/>
          <cell r="T3727">
            <v>0.71</v>
          </cell>
          <cell r="U3727">
            <v>0.72</v>
          </cell>
          <cell r="V3727">
            <v>0.99</v>
          </cell>
          <cell r="W3727">
            <v>0</v>
          </cell>
          <cell r="X3727" t="str">
            <v>EST POLTRONA SU (INOX) TC 0190177 - 0,71x0,72x0,99H</v>
          </cell>
          <cell r="Y3727">
            <v>0</v>
          </cell>
          <cell r="Z3727">
            <v>0.35</v>
          </cell>
          <cell r="AA3727">
            <v>0</v>
          </cell>
          <cell r="AB3727"/>
        </row>
        <row r="3728">
          <cell r="C3728">
            <v>0</v>
          </cell>
          <cell r="D3728">
            <v>0</v>
          </cell>
          <cell r="E3728">
            <v>0</v>
          </cell>
          <cell r="F3728">
            <v>0</v>
          </cell>
          <cell r="H3728">
            <v>1</v>
          </cell>
          <cell r="O3728">
            <v>76776</v>
          </cell>
          <cell r="P3728"/>
          <cell r="Q3728" t="str">
            <v>EST POLTRONA ITA TC 5268</v>
          </cell>
          <cell r="R3728"/>
          <cell r="S3728"/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 t="str">
            <v>EST POLTRONA ITA TC 5268 - Ø0x0H</v>
          </cell>
          <cell r="Y3728">
            <v>0</v>
          </cell>
          <cell r="Z3728">
            <v>0.35</v>
          </cell>
          <cell r="AA3728">
            <v>0</v>
          </cell>
          <cell r="AB3728"/>
        </row>
        <row r="3729">
          <cell r="C3729">
            <v>0</v>
          </cell>
          <cell r="D3729">
            <v>0</v>
          </cell>
          <cell r="E3729">
            <v>0</v>
          </cell>
          <cell r="F3729">
            <v>0</v>
          </cell>
          <cell r="H3729">
            <v>1</v>
          </cell>
          <cell r="O3729">
            <v>77537</v>
          </cell>
          <cell r="P3729"/>
          <cell r="Q3729" t="str">
            <v>EST TAMPO CRISTAL LAPIDADO (15MM) INCOLOR CANTO TICK</v>
          </cell>
          <cell r="R3729"/>
          <cell r="S3729"/>
          <cell r="T3729">
            <v>1.5</v>
          </cell>
          <cell r="U3729">
            <v>1.5</v>
          </cell>
          <cell r="V3729">
            <v>0.01</v>
          </cell>
          <cell r="W3729">
            <v>0</v>
          </cell>
          <cell r="X3729" t="str">
            <v>EST TAMPO CRISTAL LAPIDADO (15MM) INCOLOR CANTO TICK - 1,5x1,5x0,01H</v>
          </cell>
          <cell r="Y3729" t="e">
            <v>#VALUE!</v>
          </cell>
          <cell r="Z3729">
            <v>0.35</v>
          </cell>
          <cell r="AA3729" t="e">
            <v>#VALUE!</v>
          </cell>
          <cell r="AB3729"/>
        </row>
        <row r="3730">
          <cell r="C3730">
            <v>0</v>
          </cell>
          <cell r="D3730">
            <v>0</v>
          </cell>
          <cell r="E3730">
            <v>0</v>
          </cell>
          <cell r="F3730">
            <v>0</v>
          </cell>
          <cell r="H3730">
            <v>1</v>
          </cell>
          <cell r="O3730">
            <v>80909</v>
          </cell>
          <cell r="P3730"/>
          <cell r="Q3730" t="str">
            <v>EST MODULO BRACO DIR ILHA BELA (PENA) TC AT520</v>
          </cell>
          <cell r="R3730"/>
          <cell r="S3730"/>
          <cell r="T3730">
            <v>1.52</v>
          </cell>
          <cell r="U3730">
            <v>0</v>
          </cell>
          <cell r="V3730">
            <v>0.79</v>
          </cell>
          <cell r="W3730">
            <v>0</v>
          </cell>
          <cell r="X3730" t="str">
            <v>EST MODULO BRACO DIR ILHA BELA (PENA) TC AT520 - Ø0x0,79H</v>
          </cell>
          <cell r="Y3730">
            <v>0</v>
          </cell>
          <cell r="Z3730">
            <v>0.35</v>
          </cell>
          <cell r="AA3730">
            <v>0</v>
          </cell>
          <cell r="AB3730"/>
        </row>
        <row r="3731">
          <cell r="C3731">
            <v>0</v>
          </cell>
          <cell r="D3731">
            <v>0</v>
          </cell>
          <cell r="E3731">
            <v>0</v>
          </cell>
          <cell r="F3731">
            <v>0</v>
          </cell>
          <cell r="H3731">
            <v>1</v>
          </cell>
          <cell r="O3731">
            <v>82236</v>
          </cell>
          <cell r="P3731"/>
          <cell r="Q3731" t="str">
            <v>EST BANCO FLOR (BRANCO)</v>
          </cell>
          <cell r="R3731"/>
          <cell r="S3731"/>
          <cell r="T3731">
            <v>0.4</v>
          </cell>
          <cell r="U3731">
            <v>0.4</v>
          </cell>
          <cell r="V3731">
            <v>0.4</v>
          </cell>
          <cell r="W3731">
            <v>0</v>
          </cell>
          <cell r="X3731" t="str">
            <v>EST BANCO FLOR (BRANCO) - 0,4x0,4x0,4H</v>
          </cell>
          <cell r="Y3731">
            <v>0</v>
          </cell>
          <cell r="Z3731">
            <v>0.35</v>
          </cell>
          <cell r="AA3731">
            <v>0</v>
          </cell>
          <cell r="AB3731"/>
        </row>
        <row r="3732">
          <cell r="C3732">
            <v>0</v>
          </cell>
          <cell r="D3732">
            <v>0</v>
          </cell>
          <cell r="E3732">
            <v>0</v>
          </cell>
          <cell r="F3732">
            <v>0</v>
          </cell>
          <cell r="H3732">
            <v>2</v>
          </cell>
          <cell r="O3732">
            <v>86812</v>
          </cell>
          <cell r="P3732"/>
          <cell r="Q3732" t="str">
            <v>EST BANCO LILLY II (LACA INDIGO BRILHO) TC M-7900</v>
          </cell>
          <cell r="R3732"/>
          <cell r="S3732"/>
          <cell r="T3732">
            <v>0.6</v>
          </cell>
          <cell r="U3732">
            <v>0.5</v>
          </cell>
          <cell r="V3732">
            <v>0.53</v>
          </cell>
          <cell r="W3732">
            <v>0</v>
          </cell>
          <cell r="X3732" t="str">
            <v>EST BANCO LILLY II (LACA INDIGO BRILHO) TC M-7900 - 0,6x0,5x0,53H</v>
          </cell>
          <cell r="Y3732">
            <v>0</v>
          </cell>
          <cell r="Z3732">
            <v>0.35</v>
          </cell>
          <cell r="AA3732">
            <v>0</v>
          </cell>
          <cell r="AB3732"/>
        </row>
        <row r="3733"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H3733">
            <v>1</v>
          </cell>
          <cell r="O3733">
            <v>86814</v>
          </cell>
          <cell r="P3733"/>
          <cell r="Q3733" t="str">
            <v>EST CADEIRA JOSEPHINA (LACA PRETA) TC CAMURCA GENGIBRE</v>
          </cell>
          <cell r="R3733"/>
          <cell r="S3733"/>
          <cell r="T3733">
            <v>0.53</v>
          </cell>
          <cell r="U3733">
            <v>0.62</v>
          </cell>
          <cell r="V3733">
            <v>0.95</v>
          </cell>
          <cell r="W3733">
            <v>0</v>
          </cell>
          <cell r="X3733" t="str">
            <v>EST CADEIRA JOSEPHINA (LACA PRETA) TC CAMURCA GENGIBRE - 0,53x0,62x0,95H</v>
          </cell>
          <cell r="Y3733">
            <v>0</v>
          </cell>
          <cell r="Z3733">
            <v>0.35</v>
          </cell>
          <cell r="AA3733">
            <v>0</v>
          </cell>
          <cell r="AB3733"/>
        </row>
        <row r="3734">
          <cell r="C3734">
            <v>0</v>
          </cell>
          <cell r="D3734">
            <v>0</v>
          </cell>
          <cell r="E3734">
            <v>0</v>
          </cell>
          <cell r="F3734">
            <v>0</v>
          </cell>
          <cell r="H3734">
            <v>0</v>
          </cell>
          <cell r="O3734">
            <v>88605</v>
          </cell>
          <cell r="P3734"/>
          <cell r="Q3734" t="str">
            <v>EST LUMINARIA VIC (P) (BASE EBANO) (CUPULA PEROBA DO CAMPO)</v>
          </cell>
          <cell r="R3734"/>
          <cell r="S3734"/>
          <cell r="T3734">
            <v>0.4</v>
          </cell>
          <cell r="U3734">
            <v>0</v>
          </cell>
          <cell r="V3734">
            <v>0.7</v>
          </cell>
          <cell r="W3734">
            <v>0.4</v>
          </cell>
          <cell r="X3734" t="str">
            <v>EST LUMINARIA VIC (P) (BASE EBANO) (CUPULA PEROBA DO CAMPO) - Ø0,4x0,7H</v>
          </cell>
          <cell r="Y3734">
            <v>0</v>
          </cell>
          <cell r="Z3734">
            <v>0.35</v>
          </cell>
          <cell r="AA3734">
            <v>0</v>
          </cell>
          <cell r="AB3734"/>
        </row>
        <row r="3735">
          <cell r="C3735">
            <v>0</v>
          </cell>
          <cell r="D3735">
            <v>0</v>
          </cell>
          <cell r="E3735">
            <v>0</v>
          </cell>
          <cell r="F3735">
            <v>0</v>
          </cell>
          <cell r="H3735">
            <v>1</v>
          </cell>
          <cell r="O3735">
            <v>88671</v>
          </cell>
          <cell r="P3735"/>
          <cell r="Q3735" t="str">
            <v>EST TAMPO SAARINEN OVAL 160X90 FORN 116 PAU FERRO</v>
          </cell>
          <cell r="R3735"/>
          <cell r="S3735"/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 t="str">
            <v>EST TAMPO SAARINEN OVAL 160X90 FORN 116 PAU FERRO - Ø0x0H</v>
          </cell>
          <cell r="Y3735">
            <v>0</v>
          </cell>
          <cell r="Z3735">
            <v>0.35</v>
          </cell>
          <cell r="AA3735">
            <v>0</v>
          </cell>
          <cell r="AB3735"/>
        </row>
        <row r="3736">
          <cell r="C3736">
            <v>0</v>
          </cell>
          <cell r="D3736">
            <v>0</v>
          </cell>
          <cell r="E3736">
            <v>0</v>
          </cell>
          <cell r="F3736">
            <v>0</v>
          </cell>
          <cell r="H3736">
            <v>1</v>
          </cell>
          <cell r="O3736">
            <v>89154</v>
          </cell>
          <cell r="P3736"/>
          <cell r="Q3736" t="str">
            <v>EST TAMPO CRISTAL LAPIDADO (12MM) INCOLOR (CIRCULAR)</v>
          </cell>
          <cell r="R3736"/>
          <cell r="S3736"/>
          <cell r="T3736">
            <v>1.5</v>
          </cell>
          <cell r="U3736">
            <v>0</v>
          </cell>
          <cell r="V3736">
            <v>0.01</v>
          </cell>
          <cell r="W3736">
            <v>1.5</v>
          </cell>
          <cell r="X3736" t="str">
            <v>EST TAMPO CRISTAL LAPIDADO (12MM) INCOLOR (CIRCULAR) - Ø1,5x0,01H</v>
          </cell>
          <cell r="Y3736" t="e">
            <v>#VALUE!</v>
          </cell>
          <cell r="Z3736">
            <v>0.35</v>
          </cell>
          <cell r="AA3736" t="e">
            <v>#VALUE!</v>
          </cell>
          <cell r="AB3736"/>
        </row>
        <row r="3737">
          <cell r="C3737">
            <v>0</v>
          </cell>
          <cell r="D3737">
            <v>0</v>
          </cell>
          <cell r="E3737">
            <v>0</v>
          </cell>
          <cell r="F3737">
            <v>0</v>
          </cell>
          <cell r="H3737">
            <v>1</v>
          </cell>
          <cell r="O3737">
            <v>90497</v>
          </cell>
          <cell r="P3737"/>
          <cell r="Q3737" t="str">
            <v>EST CADEIRA JET (JEQUITIBA NATURAL) TC SUED 405</v>
          </cell>
          <cell r="R3737"/>
          <cell r="S3737"/>
          <cell r="T3737">
            <v>0.46</v>
          </cell>
          <cell r="U3737">
            <v>0.59</v>
          </cell>
          <cell r="V3737">
            <v>0.85</v>
          </cell>
          <cell r="W3737">
            <v>0</v>
          </cell>
          <cell r="X3737" t="str">
            <v>EST CADEIRA JET (JEQUITIBA NATURAL) TC SUED 405 - 0,46x0,59x0,85H</v>
          </cell>
          <cell r="Y3737">
            <v>0</v>
          </cell>
          <cell r="Z3737">
            <v>0.35</v>
          </cell>
          <cell r="AA3737">
            <v>0</v>
          </cell>
          <cell r="AB3737"/>
        </row>
        <row r="3738">
          <cell r="C3738">
            <v>0</v>
          </cell>
          <cell r="D3738">
            <v>0</v>
          </cell>
          <cell r="E3738">
            <v>0</v>
          </cell>
          <cell r="F3738">
            <v>0</v>
          </cell>
          <cell r="H3738">
            <v>1</v>
          </cell>
          <cell r="O3738">
            <v>90922</v>
          </cell>
          <cell r="P3738"/>
          <cell r="Q3738" t="str">
            <v>EST CADEIRA MARTA (JEQUITIBA) TC BOUCLET 10394/13</v>
          </cell>
          <cell r="R3738"/>
          <cell r="S3738"/>
          <cell r="T3738">
            <v>0.64</v>
          </cell>
          <cell r="U3738">
            <v>0.52</v>
          </cell>
          <cell r="V3738">
            <v>74</v>
          </cell>
          <cell r="W3738">
            <v>0</v>
          </cell>
          <cell r="X3738" t="str">
            <v>EST CADEIRA MARTA (JEQUITIBA) TC BOUCLET 10394/13 - 0,64x0,52x74H</v>
          </cell>
          <cell r="Y3738">
            <v>0</v>
          </cell>
          <cell r="Z3738">
            <v>0.35</v>
          </cell>
          <cell r="AA3738">
            <v>0</v>
          </cell>
          <cell r="AB3738"/>
        </row>
        <row r="3739">
          <cell r="C3739">
            <v>0</v>
          </cell>
          <cell r="D3739">
            <v>0</v>
          </cell>
          <cell r="E3739">
            <v>0</v>
          </cell>
          <cell r="F3739">
            <v>0</v>
          </cell>
          <cell r="H3739">
            <v>1</v>
          </cell>
          <cell r="O3739">
            <v>94139</v>
          </cell>
          <cell r="P3739"/>
          <cell r="Q3739" t="str">
            <v>EST CADEIRA MIRA (CASTANHO) (FIBRA CASTANHO ENV) TC 514</v>
          </cell>
          <cell r="R3739"/>
          <cell r="S3739"/>
          <cell r="T3739">
            <v>0.55000000000000004</v>
          </cell>
          <cell r="U3739">
            <v>0.62</v>
          </cell>
          <cell r="V3739">
            <v>0.82</v>
          </cell>
          <cell r="W3739">
            <v>0</v>
          </cell>
          <cell r="X3739" t="str">
            <v>EST CADEIRA MIRA (CASTANHO) (FIBRA CASTANHO ENV) TC 514 - 0,55x0,62x0,82H</v>
          </cell>
          <cell r="Y3739">
            <v>0</v>
          </cell>
          <cell r="Z3739">
            <v>0.35</v>
          </cell>
          <cell r="AA3739">
            <v>0</v>
          </cell>
          <cell r="AB3739"/>
        </row>
        <row r="3740">
          <cell r="C3740">
            <v>0</v>
          </cell>
          <cell r="D3740">
            <v>0</v>
          </cell>
          <cell r="E3740">
            <v>0</v>
          </cell>
          <cell r="F3740">
            <v>0</v>
          </cell>
          <cell r="H3740">
            <v>1</v>
          </cell>
          <cell r="O3740">
            <v>101748</v>
          </cell>
          <cell r="P3740"/>
          <cell r="Q3740" t="str">
            <v>EST TAMPO CRISTAL LAPIDADO (15MM) INCOLOR OVAL</v>
          </cell>
          <cell r="R3740"/>
          <cell r="S3740"/>
          <cell r="T3740">
            <v>1.1000000000000001</v>
          </cell>
          <cell r="U3740">
            <v>0.7</v>
          </cell>
          <cell r="V3740">
            <v>0.01</v>
          </cell>
          <cell r="W3740">
            <v>0</v>
          </cell>
          <cell r="X3740" t="str">
            <v>EST TAMPO CRISTAL LAPIDADO (15MM) INCOLOR OVAL - 1,1x0,7x0,01H</v>
          </cell>
          <cell r="Y3740" t="e">
            <v>#VALUE!</v>
          </cell>
          <cell r="Z3740">
            <v>0.35</v>
          </cell>
          <cell r="AA3740" t="e">
            <v>#VALUE!</v>
          </cell>
          <cell r="AB3740"/>
        </row>
        <row r="3741">
          <cell r="C3741">
            <v>0</v>
          </cell>
          <cell r="D3741">
            <v>0</v>
          </cell>
          <cell r="E3741">
            <v>0</v>
          </cell>
          <cell r="F3741">
            <v>0</v>
          </cell>
          <cell r="H3741">
            <v>0</v>
          </cell>
          <cell r="O3741">
            <v>101884</v>
          </cell>
          <cell r="P3741"/>
          <cell r="Q3741" t="str">
            <v>EST ESPELHO OXY</v>
          </cell>
          <cell r="R3741"/>
          <cell r="S3741"/>
          <cell r="T3741">
            <v>0.35</v>
          </cell>
          <cell r="U3741">
            <v>0</v>
          </cell>
          <cell r="V3741">
            <v>1.8</v>
          </cell>
          <cell r="W3741">
            <v>0</v>
          </cell>
          <cell r="X3741" t="str">
            <v>EST ESPELHO OXY - Ø0x1,8H</v>
          </cell>
          <cell r="Y3741">
            <v>0</v>
          </cell>
          <cell r="Z3741">
            <v>0.35</v>
          </cell>
          <cell r="AA3741">
            <v>0</v>
          </cell>
          <cell r="AB3741"/>
        </row>
        <row r="3742">
          <cell r="C3742">
            <v>0</v>
          </cell>
          <cell r="D3742">
            <v>0</v>
          </cell>
          <cell r="E3742">
            <v>0</v>
          </cell>
          <cell r="F3742">
            <v>0</v>
          </cell>
          <cell r="H3742">
            <v>1</v>
          </cell>
          <cell r="O3742">
            <v>102495</v>
          </cell>
          <cell r="P3742"/>
          <cell r="Q3742" t="str">
            <v>EST BANCO WOOD TC IPANEMA COR 201 | 203</v>
          </cell>
          <cell r="R3742"/>
          <cell r="S3742"/>
          <cell r="T3742">
            <v>0.45</v>
          </cell>
          <cell r="U3742">
            <v>0.45</v>
          </cell>
          <cell r="V3742">
            <v>0.46</v>
          </cell>
          <cell r="W3742">
            <v>0</v>
          </cell>
          <cell r="X3742" t="str">
            <v>EST BANCO WOOD TC IPANEMA COR 201 | 203 - 0,45x0,45x0,46H</v>
          </cell>
          <cell r="Y3742">
            <v>0</v>
          </cell>
          <cell r="Z3742">
            <v>0.35</v>
          </cell>
          <cell r="AA3742">
            <v>0</v>
          </cell>
          <cell r="AB3742"/>
        </row>
        <row r="3743">
          <cell r="C3743">
            <v>0</v>
          </cell>
          <cell r="D3743">
            <v>0</v>
          </cell>
          <cell r="E3743">
            <v>0</v>
          </cell>
          <cell r="F3743">
            <v>0</v>
          </cell>
          <cell r="H3743">
            <v>3</v>
          </cell>
          <cell r="O3743">
            <v>113368</v>
          </cell>
          <cell r="P3743"/>
          <cell r="Q3743" t="str">
            <v>EST MESA ONDA (INFANTIL) (PRETA)</v>
          </cell>
          <cell r="R3743"/>
          <cell r="S3743"/>
          <cell r="T3743">
            <v>0.35</v>
          </cell>
          <cell r="U3743">
            <v>0.35</v>
          </cell>
          <cell r="V3743">
            <v>0.3</v>
          </cell>
          <cell r="W3743">
            <v>0</v>
          </cell>
          <cell r="X3743" t="str">
            <v>EST MESA ONDA (INFANTIL) (PRETA) - 0,35x0,35x0,3H</v>
          </cell>
          <cell r="Y3743">
            <v>1187.2</v>
          </cell>
          <cell r="Z3743">
            <v>0.35</v>
          </cell>
          <cell r="AA3743">
            <v>771.68000000000006</v>
          </cell>
          <cell r="AB3743"/>
        </row>
        <row r="3744"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H3744">
            <v>3</v>
          </cell>
          <cell r="O3744">
            <v>113368</v>
          </cell>
          <cell r="P3744"/>
          <cell r="Q3744" t="str">
            <v>EST MESA ONDA (INFANTIL) (PRETA)</v>
          </cell>
          <cell r="R3744"/>
          <cell r="S3744"/>
          <cell r="T3744">
            <v>0.35</v>
          </cell>
          <cell r="U3744">
            <v>0.35</v>
          </cell>
          <cell r="V3744">
            <v>0.3</v>
          </cell>
          <cell r="W3744">
            <v>0</v>
          </cell>
          <cell r="X3744" t="str">
            <v>EST MESA ONDA (INFANTIL) (PRETA) - 0,35x0,35x0,3H</v>
          </cell>
          <cell r="Y3744">
            <v>1187.2</v>
          </cell>
          <cell r="Z3744">
            <v>0.35</v>
          </cell>
          <cell r="AA3744">
            <v>771.68000000000006</v>
          </cell>
          <cell r="AB3744"/>
        </row>
        <row r="3745">
          <cell r="C3745">
            <v>0</v>
          </cell>
          <cell r="D3745">
            <v>0</v>
          </cell>
          <cell r="E3745">
            <v>0</v>
          </cell>
          <cell r="F3745">
            <v>0</v>
          </cell>
          <cell r="H3745">
            <v>3</v>
          </cell>
          <cell r="O3745">
            <v>113368</v>
          </cell>
          <cell r="P3745"/>
          <cell r="Q3745" t="str">
            <v>EST MESA ONDA (INFANTIL) (PRETA)</v>
          </cell>
          <cell r="R3745"/>
          <cell r="S3745"/>
          <cell r="T3745">
            <v>0.35</v>
          </cell>
          <cell r="U3745">
            <v>0.35</v>
          </cell>
          <cell r="V3745">
            <v>0.3</v>
          </cell>
          <cell r="W3745">
            <v>0</v>
          </cell>
          <cell r="X3745" t="str">
            <v>EST MESA ONDA (INFANTIL) (PRETA) - 0,35x0,35x0,3H</v>
          </cell>
          <cell r="Y3745">
            <v>1187.2</v>
          </cell>
          <cell r="Z3745">
            <v>0.35</v>
          </cell>
          <cell r="AA3745">
            <v>771.68000000000006</v>
          </cell>
          <cell r="AB3745"/>
        </row>
        <row r="3746">
          <cell r="C3746">
            <v>0</v>
          </cell>
          <cell r="D3746">
            <v>0</v>
          </cell>
          <cell r="E3746">
            <v>0</v>
          </cell>
          <cell r="F3746">
            <v>0</v>
          </cell>
          <cell r="H3746">
            <v>3</v>
          </cell>
          <cell r="O3746">
            <v>113368</v>
          </cell>
          <cell r="P3746"/>
          <cell r="Q3746" t="str">
            <v>EST MESA ONDA (INFANTIL) (PRETA)</v>
          </cell>
          <cell r="R3746"/>
          <cell r="S3746"/>
          <cell r="T3746">
            <v>0.35</v>
          </cell>
          <cell r="U3746">
            <v>0.35</v>
          </cell>
          <cell r="V3746">
            <v>0.3</v>
          </cell>
          <cell r="W3746">
            <v>0</v>
          </cell>
          <cell r="X3746" t="str">
            <v>EST MESA ONDA (INFANTIL) (PRETA) - 0,35x0,35x0,3H</v>
          </cell>
          <cell r="Y3746">
            <v>1187.2</v>
          </cell>
          <cell r="Z3746">
            <v>0.35</v>
          </cell>
          <cell r="AA3746">
            <v>771.68000000000006</v>
          </cell>
          <cell r="AB3746"/>
        </row>
        <row r="3747">
          <cell r="C3747">
            <v>0</v>
          </cell>
          <cell r="D3747">
            <v>0</v>
          </cell>
          <cell r="E3747">
            <v>0</v>
          </cell>
          <cell r="F3747">
            <v>0</v>
          </cell>
          <cell r="H3747">
            <v>2</v>
          </cell>
          <cell r="O3747">
            <v>113370</v>
          </cell>
          <cell r="P3747"/>
          <cell r="Q3747" t="str">
            <v>EST POLTRONA MARIA TC NEVOA</v>
          </cell>
          <cell r="R3747"/>
          <cell r="S3747"/>
          <cell r="T3747">
            <v>0.6</v>
          </cell>
          <cell r="U3747">
            <v>0.97</v>
          </cell>
          <cell r="V3747">
            <v>0.63</v>
          </cell>
          <cell r="W3747">
            <v>0</v>
          </cell>
          <cell r="X3747" t="str">
            <v>EST POLTRONA MARIA TC NEVOA - 0,6x0,97x0,63H</v>
          </cell>
          <cell r="Y3747">
            <v>0</v>
          </cell>
          <cell r="Z3747">
            <v>0.35</v>
          </cell>
          <cell r="AA3747">
            <v>0</v>
          </cell>
          <cell r="AB3747"/>
        </row>
        <row r="3748">
          <cell r="C3748">
            <v>0</v>
          </cell>
          <cell r="D3748">
            <v>0</v>
          </cell>
          <cell r="E3748">
            <v>0</v>
          </cell>
          <cell r="F3748">
            <v>0</v>
          </cell>
          <cell r="H3748">
            <v>1</v>
          </cell>
          <cell r="O3748">
            <v>120998</v>
          </cell>
          <cell r="P3748"/>
          <cell r="Q3748" t="str">
            <v>EST MESA CENTRO LEE (RESINA BRANCA)</v>
          </cell>
          <cell r="R3748"/>
          <cell r="S3748"/>
          <cell r="T3748">
            <v>1.2</v>
          </cell>
          <cell r="U3748">
            <v>1.2</v>
          </cell>
          <cell r="V3748">
            <v>0.3</v>
          </cell>
          <cell r="W3748">
            <v>0</v>
          </cell>
          <cell r="X3748" t="str">
            <v>EST MESA CENTRO LEE (RESINA BRANCA) - 1,2x1,2x0,3H</v>
          </cell>
          <cell r="Y3748" t="e">
            <v>#VALUE!</v>
          </cell>
          <cell r="Z3748">
            <v>0.35</v>
          </cell>
          <cell r="AA3748" t="e">
            <v>#VALUE!</v>
          </cell>
          <cell r="AB3748"/>
        </row>
        <row r="3749">
          <cell r="C3749">
            <v>0</v>
          </cell>
          <cell r="D3749">
            <v>0</v>
          </cell>
          <cell r="E3749">
            <v>0</v>
          </cell>
          <cell r="F3749">
            <v>0</v>
          </cell>
          <cell r="H3749">
            <v>1</v>
          </cell>
          <cell r="O3749">
            <v>128450</v>
          </cell>
          <cell r="P3749"/>
          <cell r="Q3749" t="str">
            <v>EST MESA CENTRO CASULO (LACA BRILHO AMARELA L272)</v>
          </cell>
          <cell r="R3749"/>
          <cell r="S3749"/>
          <cell r="T3749">
            <v>1.63</v>
          </cell>
          <cell r="U3749">
            <v>0.45</v>
          </cell>
          <cell r="V3749">
            <v>0.28000000000000003</v>
          </cell>
          <cell r="W3749">
            <v>0</v>
          </cell>
          <cell r="X3749" t="str">
            <v>EST MESA CENTRO CASULO (LACA BRILHO AMARELA L272) - 1,63x0,45x0,28H</v>
          </cell>
          <cell r="Y3749">
            <v>0</v>
          </cell>
          <cell r="Z3749">
            <v>0.35</v>
          </cell>
          <cell r="AA3749">
            <v>0</v>
          </cell>
          <cell r="AB3749"/>
        </row>
        <row r="3750">
          <cell r="C3750">
            <v>0</v>
          </cell>
          <cell r="D3750">
            <v>0</v>
          </cell>
          <cell r="E3750">
            <v>0</v>
          </cell>
          <cell r="F3750">
            <v>0</v>
          </cell>
          <cell r="H3750">
            <v>1</v>
          </cell>
          <cell r="O3750">
            <v>128485</v>
          </cell>
          <cell r="P3750"/>
          <cell r="Q3750" t="str">
            <v>EST CADEIRA BASEL (TABACO) TC 430A</v>
          </cell>
          <cell r="R3750"/>
          <cell r="S3750"/>
          <cell r="T3750">
            <v>0.52</v>
          </cell>
          <cell r="U3750">
            <v>0.56000000000000005</v>
          </cell>
          <cell r="V3750">
            <v>0.89</v>
          </cell>
          <cell r="W3750">
            <v>0</v>
          </cell>
          <cell r="X3750" t="str">
            <v>EST CADEIRA BASEL (TABACO) TC 430A - 0,52x0,56x0,89H</v>
          </cell>
          <cell r="Y3750">
            <v>0</v>
          </cell>
          <cell r="Z3750">
            <v>0.35</v>
          </cell>
          <cell r="AA3750">
            <v>0</v>
          </cell>
          <cell r="AB3750"/>
        </row>
        <row r="3751">
          <cell r="C3751">
            <v>0</v>
          </cell>
          <cell r="D3751">
            <v>0</v>
          </cell>
          <cell r="E3751">
            <v>0</v>
          </cell>
          <cell r="F3751">
            <v>0</v>
          </cell>
          <cell r="H3751">
            <v>1</v>
          </cell>
          <cell r="O3751">
            <v>128597</v>
          </cell>
          <cell r="P3751"/>
          <cell r="Q3751" t="str">
            <v>EST BUFFET THETYS (LACA BRILHO BRANCA) (ESPELHO PRATA)</v>
          </cell>
          <cell r="R3751"/>
          <cell r="S3751"/>
          <cell r="T3751">
            <v>2.2000000000000002</v>
          </cell>
          <cell r="U3751">
            <v>0.8</v>
          </cell>
          <cell r="V3751">
            <v>0.52</v>
          </cell>
          <cell r="W3751">
            <v>0</v>
          </cell>
          <cell r="X3751" t="str">
            <v>EST BUFFET THETYS (LACA BRILHO BRANCA) (ESPELHO PRATA) - 2,2x0,8x0,52H</v>
          </cell>
          <cell r="Y3751">
            <v>0</v>
          </cell>
          <cell r="Z3751">
            <v>0.35</v>
          </cell>
          <cell r="AA3751">
            <v>0</v>
          </cell>
          <cell r="AB3751"/>
        </row>
        <row r="3752">
          <cell r="C3752">
            <v>0</v>
          </cell>
          <cell r="D3752">
            <v>0</v>
          </cell>
          <cell r="E3752">
            <v>0</v>
          </cell>
          <cell r="F3752">
            <v>0</v>
          </cell>
          <cell r="H3752">
            <v>1</v>
          </cell>
          <cell r="O3752">
            <v>128948</v>
          </cell>
          <cell r="P3752"/>
          <cell r="Q3752" t="str">
            <v>EST MESA CENTRO MOENA (INOX) (ESPELHO PRATA)</v>
          </cell>
          <cell r="R3752"/>
          <cell r="S3752"/>
          <cell r="T3752">
            <v>1.26</v>
          </cell>
          <cell r="U3752">
            <v>1.1000000000000001</v>
          </cell>
          <cell r="V3752">
            <v>0.3</v>
          </cell>
          <cell r="W3752">
            <v>0</v>
          </cell>
          <cell r="X3752" t="str">
            <v>EST MESA CENTRO MOENA (INOX) (ESPELHO PRATA) - 1,26x1,1x0,3H</v>
          </cell>
          <cell r="Y3752">
            <v>0</v>
          </cell>
          <cell r="Z3752">
            <v>0.35</v>
          </cell>
          <cell r="AA3752">
            <v>0</v>
          </cell>
          <cell r="AB3752"/>
        </row>
        <row r="3753">
          <cell r="C3753">
            <v>0</v>
          </cell>
          <cell r="D3753">
            <v>0</v>
          </cell>
          <cell r="E3753">
            <v>0</v>
          </cell>
          <cell r="F3753">
            <v>0</v>
          </cell>
          <cell r="H3753">
            <v>1</v>
          </cell>
          <cell r="O3753">
            <v>128967</v>
          </cell>
          <cell r="P3753"/>
          <cell r="Q3753" t="str">
            <v>EST MESA CENTRO PASSAREDO (CRISTAL INCOLOR 12MM) (PRETO)</v>
          </cell>
          <cell r="R3753"/>
          <cell r="S3753"/>
          <cell r="T3753">
            <v>1.4</v>
          </cell>
          <cell r="U3753">
            <v>1.4</v>
          </cell>
          <cell r="V3753">
            <v>0.32</v>
          </cell>
          <cell r="W3753">
            <v>0</v>
          </cell>
          <cell r="X3753" t="str">
            <v>EST MESA CENTRO PASSAREDO (CRISTAL INCOLOR 12MM) (PRETO) - 1,4x1,4x0,32H</v>
          </cell>
          <cell r="Y3753">
            <v>0</v>
          </cell>
          <cell r="Z3753">
            <v>0.35</v>
          </cell>
          <cell r="AA3753">
            <v>0</v>
          </cell>
          <cell r="AB3753"/>
        </row>
        <row r="3754">
          <cell r="C3754">
            <v>0</v>
          </cell>
          <cell r="D3754">
            <v>0</v>
          </cell>
          <cell r="E3754">
            <v>0</v>
          </cell>
          <cell r="F3754">
            <v>0</v>
          </cell>
          <cell r="H3754">
            <v>1</v>
          </cell>
          <cell r="O3754">
            <v>139906</v>
          </cell>
          <cell r="P3754"/>
          <cell r="Q3754" t="str">
            <v>EST SOFA CLOUD (TRIPARTIDO) (ASS MOVEL) TC 14071</v>
          </cell>
          <cell r="R3754"/>
          <cell r="S3754"/>
          <cell r="T3754">
            <v>3.12</v>
          </cell>
          <cell r="U3754">
            <v>1.08</v>
          </cell>
          <cell r="V3754">
            <v>0</v>
          </cell>
          <cell r="W3754">
            <v>0</v>
          </cell>
          <cell r="X3754" t="str">
            <v>EST SOFA CLOUD (TRIPARTIDO) (ASS MOVEL) TC 14071 - 3,12x1,08x0H</v>
          </cell>
          <cell r="Y3754">
            <v>0</v>
          </cell>
          <cell r="Z3754">
            <v>0.35</v>
          </cell>
          <cell r="AA3754">
            <v>0</v>
          </cell>
          <cell r="AB3754"/>
        </row>
        <row r="3755">
          <cell r="C3755">
            <v>0</v>
          </cell>
          <cell r="D3755">
            <v>0</v>
          </cell>
          <cell r="E3755">
            <v>0</v>
          </cell>
          <cell r="F3755">
            <v>0</v>
          </cell>
          <cell r="H3755">
            <v>1</v>
          </cell>
          <cell r="O3755">
            <v>141358</v>
          </cell>
          <cell r="P3755" t="str">
            <v>2013/297-0037-01</v>
          </cell>
          <cell r="Q3755" t="str">
            <v>EST TAMPO CRISTAL LAPIDADO (15MM) INCOLOR (CIRCULAR)</v>
          </cell>
          <cell r="R3755"/>
          <cell r="S3755"/>
          <cell r="T3755">
            <v>1.8</v>
          </cell>
          <cell r="U3755">
            <v>0</v>
          </cell>
          <cell r="V3755">
            <v>0.01</v>
          </cell>
          <cell r="W3755">
            <v>1.8</v>
          </cell>
          <cell r="X3755" t="str">
            <v>EST TAMPO CRISTAL LAPIDADO (15MM) INCOLOR (CIRCULAR) - Ø1,8x0,01H</v>
          </cell>
          <cell r="Y3755">
            <v>21316.7376</v>
          </cell>
          <cell r="Z3755">
            <v>0.35</v>
          </cell>
          <cell r="AA3755">
            <v>13855.879440000001</v>
          </cell>
          <cell r="AB3755"/>
        </row>
        <row r="3756">
          <cell r="C3756">
            <v>0</v>
          </cell>
          <cell r="D3756">
            <v>0</v>
          </cell>
          <cell r="E3756">
            <v>0</v>
          </cell>
          <cell r="F3756">
            <v>0</v>
          </cell>
          <cell r="H3756">
            <v>1</v>
          </cell>
          <cell r="O3756">
            <v>142210</v>
          </cell>
          <cell r="P3756"/>
          <cell r="Q3756" t="str">
            <v>EST BANCO BETA (LACA BRILHO N109)</v>
          </cell>
          <cell r="R3756"/>
          <cell r="S3756"/>
          <cell r="T3756">
            <v>0.45</v>
          </cell>
          <cell r="U3756">
            <v>0.45</v>
          </cell>
          <cell r="V3756">
            <v>0.45</v>
          </cell>
          <cell r="W3756">
            <v>0</v>
          </cell>
          <cell r="X3756" t="str">
            <v>EST BANCO BETA (LACA BRILHO N109) - 0,45x0,45x0,45H</v>
          </cell>
          <cell r="Y3756">
            <v>0</v>
          </cell>
          <cell r="Z3756">
            <v>0.35</v>
          </cell>
          <cell r="AA3756">
            <v>0</v>
          </cell>
          <cell r="AB3756"/>
        </row>
        <row r="3757">
          <cell r="C3757">
            <v>0</v>
          </cell>
          <cell r="D3757">
            <v>0</v>
          </cell>
          <cell r="E3757">
            <v>0</v>
          </cell>
          <cell r="F3757">
            <v>0</v>
          </cell>
          <cell r="H3757">
            <v>2</v>
          </cell>
          <cell r="O3757">
            <v>142219</v>
          </cell>
          <cell r="P3757"/>
          <cell r="Q3757" t="str">
            <v>EST BANCO BETA (LACA BRILHO BERINJELA)</v>
          </cell>
          <cell r="R3757"/>
          <cell r="S3757"/>
          <cell r="T3757">
            <v>0.45</v>
          </cell>
          <cell r="U3757">
            <v>0.45</v>
          </cell>
          <cell r="V3757">
            <v>0.45</v>
          </cell>
          <cell r="W3757">
            <v>0</v>
          </cell>
          <cell r="X3757" t="str">
            <v>EST BANCO BETA (LACA BRILHO BERINJELA) - 0,45x0,45x0,45H</v>
          </cell>
          <cell r="Y3757">
            <v>0</v>
          </cell>
          <cell r="Z3757">
            <v>0.35</v>
          </cell>
          <cell r="AA3757">
            <v>0</v>
          </cell>
          <cell r="AB3757"/>
        </row>
        <row r="3758">
          <cell r="C3758">
            <v>0</v>
          </cell>
          <cell r="D3758">
            <v>0</v>
          </cell>
          <cell r="E3758">
            <v>0</v>
          </cell>
          <cell r="F3758">
            <v>0</v>
          </cell>
          <cell r="H3758">
            <v>1</v>
          </cell>
          <cell r="O3758">
            <v>144480</v>
          </cell>
          <cell r="P3758"/>
          <cell r="Q3758" t="str">
            <v>EST TAMPO CRISTAL LAPIDADO (15MM) INCOLOR CANTO TICK</v>
          </cell>
          <cell r="R3758"/>
          <cell r="S3758"/>
          <cell r="T3758">
            <v>1.4</v>
          </cell>
          <cell r="U3758">
            <v>1.4</v>
          </cell>
          <cell r="V3758">
            <v>0.01</v>
          </cell>
          <cell r="W3758">
            <v>0</v>
          </cell>
          <cell r="X3758" t="str">
            <v>EST TAMPO CRISTAL LAPIDADO (15MM) INCOLOR CANTO TICK - 1,4x1,4x0,01H</v>
          </cell>
          <cell r="Y3758">
            <v>11302.5556</v>
          </cell>
          <cell r="Z3758">
            <v>0.35</v>
          </cell>
          <cell r="AA3758">
            <v>7346.6611400000002</v>
          </cell>
          <cell r="AB3758"/>
        </row>
        <row r="3759">
          <cell r="C3759">
            <v>0</v>
          </cell>
          <cell r="D3759">
            <v>0</v>
          </cell>
          <cell r="E3759">
            <v>0</v>
          </cell>
          <cell r="F3759">
            <v>0</v>
          </cell>
          <cell r="H3759">
            <v>1</v>
          </cell>
          <cell r="O3759">
            <v>144647</v>
          </cell>
          <cell r="P3759"/>
          <cell r="Q3759" t="str">
            <v>EST CADEIRA FLORA C/BRACO (CASTANHO) TC 6236</v>
          </cell>
          <cell r="R3759"/>
          <cell r="S3759"/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 t="str">
            <v>EST CADEIRA FLORA C/BRACO (CASTANHO) TC 6236 - Ø0x0H</v>
          </cell>
          <cell r="Y3759" t="str">
            <v>EST</v>
          </cell>
          <cell r="Z3759">
            <v>0.35</v>
          </cell>
          <cell r="AA3759" t="e">
            <v>#VALUE!</v>
          </cell>
          <cell r="AB3759"/>
        </row>
        <row r="3760">
          <cell r="C3760">
            <v>0</v>
          </cell>
          <cell r="D3760">
            <v>0</v>
          </cell>
          <cell r="E3760">
            <v>0</v>
          </cell>
          <cell r="F3760">
            <v>0</v>
          </cell>
          <cell r="H3760">
            <v>2</v>
          </cell>
          <cell r="O3760">
            <v>145524</v>
          </cell>
          <cell r="P3760"/>
          <cell r="Q3760" t="str">
            <v>EST CADEIRA SMALL (EBANIZADO) TC 3013</v>
          </cell>
          <cell r="R3760"/>
          <cell r="S3760"/>
          <cell r="T3760">
            <v>0.46</v>
          </cell>
          <cell r="U3760">
            <v>0.56000000000000005</v>
          </cell>
          <cell r="V3760">
            <v>0.86</v>
          </cell>
          <cell r="W3760">
            <v>0</v>
          </cell>
          <cell r="X3760" t="str">
            <v>EST CADEIRA SMALL (EBANIZADO) TC 3013 - 0,46x0,56x0,86H</v>
          </cell>
          <cell r="Y3760">
            <v>0</v>
          </cell>
          <cell r="Z3760">
            <v>0.35</v>
          </cell>
          <cell r="AA3760">
            <v>0</v>
          </cell>
          <cell r="AB3760"/>
        </row>
        <row r="3761">
          <cell r="C3761">
            <v>0</v>
          </cell>
          <cell r="D3761">
            <v>0</v>
          </cell>
          <cell r="E3761">
            <v>0</v>
          </cell>
          <cell r="F3761">
            <v>0</v>
          </cell>
          <cell r="H3761">
            <v>2</v>
          </cell>
          <cell r="O3761">
            <v>145530</v>
          </cell>
          <cell r="P3761"/>
          <cell r="Q3761" t="str">
            <v>EST CADEIRA SMALL (EBANIZADO) TC PATRIA BONE</v>
          </cell>
          <cell r="R3761"/>
          <cell r="S3761"/>
          <cell r="T3761">
            <v>0.46</v>
          </cell>
          <cell r="U3761">
            <v>0.56000000000000005</v>
          </cell>
          <cell r="V3761">
            <v>0.86</v>
          </cell>
          <cell r="W3761">
            <v>0</v>
          </cell>
          <cell r="X3761" t="str">
            <v>EST CADEIRA SMALL (EBANIZADO) TC PATRIA BONE - 0,46x0,56x0,86H</v>
          </cell>
          <cell r="Y3761">
            <v>0</v>
          </cell>
          <cell r="Z3761">
            <v>0.35</v>
          </cell>
          <cell r="AA3761">
            <v>0</v>
          </cell>
          <cell r="AB3761"/>
        </row>
        <row r="3762">
          <cell r="C3762">
            <v>0</v>
          </cell>
          <cell r="D3762">
            <v>0</v>
          </cell>
          <cell r="E3762">
            <v>0</v>
          </cell>
          <cell r="F3762">
            <v>0</v>
          </cell>
          <cell r="H3762">
            <v>1</v>
          </cell>
          <cell r="O3762">
            <v>146079</v>
          </cell>
          <cell r="P3762"/>
          <cell r="Q3762" t="str">
            <v>EST TAMPO CRISTAL LAPIDADO (10MM) PINT BRACO CTO FILETADO</v>
          </cell>
          <cell r="R3762"/>
          <cell r="S3762"/>
          <cell r="T3762">
            <v>1.4</v>
          </cell>
          <cell r="U3762">
            <v>1.4</v>
          </cell>
          <cell r="V3762">
            <v>0.01</v>
          </cell>
          <cell r="W3762">
            <v>0</v>
          </cell>
          <cell r="X3762" t="str">
            <v>EST TAMPO CRISTAL LAPIDADO (10MM) PINT BRACO CTO FILETADO - 1,4x1,4x0,01H</v>
          </cell>
          <cell r="Y3762" t="e">
            <v>#VALUE!</v>
          </cell>
          <cell r="Z3762">
            <v>0.35</v>
          </cell>
          <cell r="AA3762" t="e">
            <v>#VALUE!</v>
          </cell>
          <cell r="AB3762"/>
        </row>
        <row r="3763">
          <cell r="C3763">
            <v>0</v>
          </cell>
          <cell r="D3763">
            <v>0</v>
          </cell>
          <cell r="E3763">
            <v>0</v>
          </cell>
          <cell r="F3763">
            <v>0</v>
          </cell>
          <cell r="H3763">
            <v>0</v>
          </cell>
          <cell r="O3763">
            <v>147533</v>
          </cell>
          <cell r="P3763"/>
          <cell r="Q3763" t="str">
            <v>EST BANCO GARDEN SEAT (CROCO)</v>
          </cell>
          <cell r="R3763"/>
          <cell r="S3763"/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 t="str">
            <v>EST BANCO GARDEN SEAT (CROCO) - Ø0x0H</v>
          </cell>
          <cell r="Y3763">
            <v>0</v>
          </cell>
          <cell r="Z3763">
            <v>0.35</v>
          </cell>
          <cell r="AA3763">
            <v>0</v>
          </cell>
          <cell r="AB3763"/>
        </row>
        <row r="3764">
          <cell r="C3764">
            <v>0</v>
          </cell>
          <cell r="D3764">
            <v>0</v>
          </cell>
          <cell r="E3764">
            <v>0</v>
          </cell>
          <cell r="F3764">
            <v>0</v>
          </cell>
          <cell r="H3764">
            <v>0</v>
          </cell>
          <cell r="O3764">
            <v>147539</v>
          </cell>
          <cell r="P3764"/>
          <cell r="Q3764" t="str">
            <v>EST BANCO GARDEN SEAT (TIEDIE VERDE)</v>
          </cell>
          <cell r="R3764"/>
          <cell r="S3764"/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 t="str">
            <v>EST BANCO GARDEN SEAT (TIEDIE VERDE) - Ø0x0H</v>
          </cell>
          <cell r="Y3764">
            <v>0</v>
          </cell>
          <cell r="Z3764">
            <v>0.35</v>
          </cell>
          <cell r="AA3764">
            <v>0</v>
          </cell>
          <cell r="AB3764"/>
        </row>
        <row r="3765">
          <cell r="C3765">
            <v>0</v>
          </cell>
          <cell r="D3765">
            <v>0</v>
          </cell>
          <cell r="E3765">
            <v>0</v>
          </cell>
          <cell r="F3765">
            <v>0</v>
          </cell>
          <cell r="H3765">
            <v>2</v>
          </cell>
          <cell r="O3765">
            <v>147559</v>
          </cell>
          <cell r="P3765"/>
          <cell r="Q3765" t="str">
            <v>EST BANCO GARDEN SEAT (TIE DYE) (SIG BERGAMIN)</v>
          </cell>
          <cell r="R3765"/>
          <cell r="S3765"/>
          <cell r="T3765">
            <v>0.37</v>
          </cell>
          <cell r="U3765">
            <v>0</v>
          </cell>
          <cell r="V3765">
            <v>0.46</v>
          </cell>
          <cell r="W3765">
            <v>0.37</v>
          </cell>
          <cell r="X3765" t="str">
            <v>EST BANCO GARDEN SEAT (TIE DYE) (SIG BERGAMIN) - Ø0,37x0,46H</v>
          </cell>
          <cell r="Y3765">
            <v>0</v>
          </cell>
          <cell r="Z3765">
            <v>0.35</v>
          </cell>
          <cell r="AA3765">
            <v>0</v>
          </cell>
          <cell r="AB3765"/>
        </row>
        <row r="3766">
          <cell r="C3766">
            <v>0</v>
          </cell>
          <cell r="D3766">
            <v>0</v>
          </cell>
          <cell r="E3766">
            <v>0</v>
          </cell>
          <cell r="F3766">
            <v>0</v>
          </cell>
          <cell r="H3766">
            <v>1</v>
          </cell>
          <cell r="O3766">
            <v>147571</v>
          </cell>
          <cell r="P3766"/>
          <cell r="Q3766" t="str">
            <v>EST BANCO GARDEN SEAT GOMILADA (DOURADO)</v>
          </cell>
          <cell r="R3766"/>
          <cell r="S3766"/>
          <cell r="T3766">
            <v>0.32</v>
          </cell>
          <cell r="U3766">
            <v>0</v>
          </cell>
          <cell r="V3766">
            <v>0.46</v>
          </cell>
          <cell r="W3766">
            <v>0.32</v>
          </cell>
          <cell r="X3766" t="str">
            <v>EST BANCO GARDEN SEAT GOMILADA (DOURADO) - Ø0,32x0,46H</v>
          </cell>
          <cell r="Y3766">
            <v>0</v>
          </cell>
          <cell r="Z3766">
            <v>0.35</v>
          </cell>
          <cell r="AA3766">
            <v>0</v>
          </cell>
          <cell r="AB3766"/>
        </row>
        <row r="3767">
          <cell r="C3767">
            <v>0</v>
          </cell>
          <cell r="D3767">
            <v>0</v>
          </cell>
          <cell r="E3767">
            <v>0</v>
          </cell>
          <cell r="F3767">
            <v>0</v>
          </cell>
          <cell r="H3767">
            <v>2</v>
          </cell>
          <cell r="O3767">
            <v>147797</v>
          </cell>
          <cell r="P3767"/>
          <cell r="Q3767" t="str">
            <v>EST CADEIRA FEMME FATALE (FUME)</v>
          </cell>
          <cell r="R3767"/>
          <cell r="S3767"/>
          <cell r="T3767">
            <v>0.51</v>
          </cell>
          <cell r="U3767">
            <v>0.54</v>
          </cell>
          <cell r="V3767">
            <v>0.81</v>
          </cell>
          <cell r="W3767">
            <v>0</v>
          </cell>
          <cell r="X3767" t="str">
            <v>EST CADEIRA FEMME FATALE (FUME) - 0,51x0,54x0,81H</v>
          </cell>
          <cell r="Y3767">
            <v>0</v>
          </cell>
          <cell r="Z3767">
            <v>0.35</v>
          </cell>
          <cell r="AA3767">
            <v>0</v>
          </cell>
          <cell r="AB3767"/>
        </row>
        <row r="3768">
          <cell r="C3768">
            <v>0</v>
          </cell>
          <cell r="D3768">
            <v>0</v>
          </cell>
          <cell r="E3768">
            <v>0</v>
          </cell>
          <cell r="F3768">
            <v>0</v>
          </cell>
          <cell r="H3768">
            <v>2</v>
          </cell>
          <cell r="O3768">
            <v>147798</v>
          </cell>
          <cell r="P3768"/>
          <cell r="Q3768" t="str">
            <v>EST CADEIRA VANITY C/BRACO (TRANSPARENTE)</v>
          </cell>
          <cell r="R3768"/>
          <cell r="S3768"/>
          <cell r="T3768">
            <v>0.56999999999999995</v>
          </cell>
          <cell r="U3768">
            <v>0.55000000000000004</v>
          </cell>
          <cell r="V3768">
            <v>0.88</v>
          </cell>
          <cell r="W3768">
            <v>0</v>
          </cell>
          <cell r="X3768" t="str">
            <v>EST CADEIRA VANITY C/BRACO (TRANSPARENTE) - 0,57x0,55x0,88H</v>
          </cell>
          <cell r="Y3768">
            <v>0</v>
          </cell>
          <cell r="Z3768">
            <v>0.35</v>
          </cell>
          <cell r="AA3768">
            <v>0</v>
          </cell>
          <cell r="AB3768"/>
        </row>
        <row r="3769">
          <cell r="C3769">
            <v>0</v>
          </cell>
          <cell r="D3769">
            <v>0</v>
          </cell>
          <cell r="E3769">
            <v>0</v>
          </cell>
          <cell r="F3769">
            <v>0</v>
          </cell>
          <cell r="H3769">
            <v>3</v>
          </cell>
          <cell r="O3769">
            <v>147799</v>
          </cell>
          <cell r="P3769"/>
          <cell r="Q3769" t="str">
            <v>EST CADEIRA VANITY (COLORIDO CINZA)</v>
          </cell>
          <cell r="R3769"/>
          <cell r="S3769"/>
          <cell r="T3769">
            <v>0.49</v>
          </cell>
          <cell r="U3769">
            <v>0.55000000000000004</v>
          </cell>
          <cell r="V3769">
            <v>0.88</v>
          </cell>
          <cell r="W3769">
            <v>0</v>
          </cell>
          <cell r="X3769" t="str">
            <v>EST CADEIRA VANITY (COLORIDO CINZA) - 0,49x0,55x0,88H</v>
          </cell>
          <cell r="Y3769">
            <v>0</v>
          </cell>
          <cell r="Z3769">
            <v>0.35</v>
          </cell>
          <cell r="AA3769">
            <v>0</v>
          </cell>
          <cell r="AB3769"/>
        </row>
        <row r="3770">
          <cell r="C3770">
            <v>0</v>
          </cell>
          <cell r="D3770">
            <v>0</v>
          </cell>
          <cell r="E3770">
            <v>0</v>
          </cell>
          <cell r="F3770">
            <v>0</v>
          </cell>
          <cell r="H3770">
            <v>1</v>
          </cell>
          <cell r="O3770">
            <v>147800</v>
          </cell>
          <cell r="P3770"/>
          <cell r="Q3770" t="str">
            <v>EST CADEIRA VANITY (COLORIDO BRANCA)</v>
          </cell>
          <cell r="R3770"/>
          <cell r="S3770"/>
          <cell r="T3770">
            <v>0.49</v>
          </cell>
          <cell r="U3770">
            <v>0.55000000000000004</v>
          </cell>
          <cell r="V3770">
            <v>0.88</v>
          </cell>
          <cell r="W3770">
            <v>0</v>
          </cell>
          <cell r="X3770" t="str">
            <v>EST CADEIRA VANITY (COLORIDO BRANCA) - 0,49x0,55x0,88H</v>
          </cell>
          <cell r="Y3770">
            <v>0</v>
          </cell>
          <cell r="Z3770">
            <v>0.35</v>
          </cell>
          <cell r="AA3770">
            <v>0</v>
          </cell>
          <cell r="AB3770"/>
        </row>
        <row r="3771">
          <cell r="C3771">
            <v>0</v>
          </cell>
          <cell r="D3771">
            <v>0</v>
          </cell>
          <cell r="E3771">
            <v>0</v>
          </cell>
          <cell r="F3771">
            <v>0</v>
          </cell>
          <cell r="H3771">
            <v>1</v>
          </cell>
          <cell r="O3771">
            <v>150094</v>
          </cell>
          <cell r="P3771" t="str">
            <v>2024/232-0006-01</v>
          </cell>
          <cell r="Q3771" t="str">
            <v>EST TAMPO CRISTAL LAPIDADO (15MM) INCOLOR CANTO TICK</v>
          </cell>
          <cell r="R3771"/>
          <cell r="S3771"/>
          <cell r="T3771">
            <v>1.2</v>
          </cell>
          <cell r="U3771">
            <v>1.2</v>
          </cell>
          <cell r="V3771">
            <v>0.01</v>
          </cell>
          <cell r="W3771">
            <v>0</v>
          </cell>
          <cell r="X3771" t="str">
            <v>EST TAMPO CRISTAL LAPIDADO (15MM) INCOLOR CANTO TICK - 1,2x1,2x0,01H</v>
          </cell>
          <cell r="Y3771">
            <v>8303.9183999999987</v>
          </cell>
          <cell r="Z3771">
            <v>0.35</v>
          </cell>
          <cell r="AA3771">
            <v>5397.5469599999997</v>
          </cell>
          <cell r="AB3771"/>
        </row>
        <row r="3772">
          <cell r="C3772">
            <v>0</v>
          </cell>
          <cell r="D3772">
            <v>0</v>
          </cell>
          <cell r="E3772">
            <v>0</v>
          </cell>
          <cell r="F3772">
            <v>0</v>
          </cell>
          <cell r="H3772">
            <v>1</v>
          </cell>
          <cell r="O3772">
            <v>150911</v>
          </cell>
          <cell r="P3772"/>
          <cell r="Q3772" t="str">
            <v>EST POLTRONA REVERE (CONCRETO BRILHO) TC 397-D</v>
          </cell>
          <cell r="R3772"/>
          <cell r="S3772"/>
          <cell r="T3772">
            <v>1.2</v>
          </cell>
          <cell r="U3772">
            <v>0.86</v>
          </cell>
          <cell r="V3772">
            <v>0.76</v>
          </cell>
          <cell r="W3772">
            <v>0</v>
          </cell>
          <cell r="X3772" t="str">
            <v>EST POLTRONA REVERE (CONCRETO BRILHO) TC 397-D - 1,2x0,86x0,76H</v>
          </cell>
          <cell r="Y3772">
            <v>0</v>
          </cell>
          <cell r="Z3772">
            <v>0.35</v>
          </cell>
          <cell r="AA3772">
            <v>0</v>
          </cell>
          <cell r="AB3772"/>
        </row>
        <row r="3773">
          <cell r="C3773">
            <v>0</v>
          </cell>
          <cell r="D3773">
            <v>0</v>
          </cell>
          <cell r="E3773">
            <v>0</v>
          </cell>
          <cell r="F3773">
            <v>0</v>
          </cell>
          <cell r="H3773">
            <v>1</v>
          </cell>
          <cell r="O3773">
            <v>151267</v>
          </cell>
          <cell r="P3773"/>
          <cell r="Q3773" t="str">
            <v>EST MESA CENTRO MOSS (LACA BRILHO ARGILA)</v>
          </cell>
          <cell r="R3773"/>
          <cell r="S3773"/>
          <cell r="T3773">
            <v>2.25</v>
          </cell>
          <cell r="U3773">
            <v>0.52</v>
          </cell>
          <cell r="V3773">
            <v>0.25</v>
          </cell>
          <cell r="W3773">
            <v>0</v>
          </cell>
          <cell r="X3773" t="str">
            <v>EST MESA CENTRO MOSS (LACA BRILHO ARGILA) - 2,25x0,52x0,25H</v>
          </cell>
          <cell r="Y3773">
            <v>0</v>
          </cell>
          <cell r="Z3773">
            <v>0.35</v>
          </cell>
          <cell r="AA3773">
            <v>0</v>
          </cell>
          <cell r="AB3773"/>
        </row>
        <row r="3774">
          <cell r="C3774">
            <v>0</v>
          </cell>
          <cell r="D3774">
            <v>0</v>
          </cell>
          <cell r="E3774">
            <v>0</v>
          </cell>
          <cell r="F3774">
            <v>0</v>
          </cell>
          <cell r="H3774">
            <v>0</v>
          </cell>
          <cell r="O3774">
            <v>151295</v>
          </cell>
          <cell r="P3774"/>
          <cell r="Q3774" t="str">
            <v>EST AC LUMINARIA TULIPA D30X155 FIBRA BRANCO COR 87</v>
          </cell>
          <cell r="R3774"/>
          <cell r="S3774"/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 t="str">
            <v>EST AC LUMINARIA TULIPA D30X155 FIBRA BRANCO COR 87 - Ø0x0H</v>
          </cell>
          <cell r="Y3774">
            <v>0</v>
          </cell>
          <cell r="Z3774">
            <v>0.35</v>
          </cell>
          <cell r="AA3774">
            <v>0</v>
          </cell>
          <cell r="AB3774"/>
        </row>
        <row r="3775">
          <cell r="C3775">
            <v>0</v>
          </cell>
          <cell r="D3775">
            <v>0</v>
          </cell>
          <cell r="E3775">
            <v>0</v>
          </cell>
          <cell r="F3775">
            <v>0</v>
          </cell>
          <cell r="H3775">
            <v>1</v>
          </cell>
          <cell r="O3775">
            <v>151297</v>
          </cell>
          <cell r="P3775"/>
          <cell r="Q3775" t="str">
            <v>EST MESA APOIO TULIPA (FIBRA NATURAL COR 76)</v>
          </cell>
          <cell r="R3775"/>
          <cell r="S3775"/>
          <cell r="T3775">
            <v>1</v>
          </cell>
          <cell r="U3775">
            <v>0</v>
          </cell>
          <cell r="V3775">
            <v>0.74</v>
          </cell>
          <cell r="W3775">
            <v>1</v>
          </cell>
          <cell r="X3775" t="str">
            <v>EST MESA APOIO TULIPA (FIBRA NATURAL COR 76) - Ø1x0,74H</v>
          </cell>
          <cell r="Y3775">
            <v>0</v>
          </cell>
          <cell r="Z3775">
            <v>0.35</v>
          </cell>
          <cell r="AA3775">
            <v>0</v>
          </cell>
          <cell r="AB3775"/>
        </row>
        <row r="3776">
          <cell r="C3776">
            <v>0</v>
          </cell>
          <cell r="D3776">
            <v>0</v>
          </cell>
          <cell r="E3776">
            <v>0</v>
          </cell>
          <cell r="F3776">
            <v>0</v>
          </cell>
          <cell r="H3776">
            <v>2</v>
          </cell>
          <cell r="O3776">
            <v>151312</v>
          </cell>
          <cell r="P3776"/>
          <cell r="Q3776" t="str">
            <v>EST POLTRONA ARENA (FIBRA NATURAL CASTANHO) TC LINHO 10711</v>
          </cell>
          <cell r="R3776"/>
          <cell r="S3776"/>
          <cell r="T3776">
            <v>0.9</v>
          </cell>
          <cell r="U3776">
            <v>0.78</v>
          </cell>
          <cell r="V3776">
            <v>0.73</v>
          </cell>
          <cell r="W3776">
            <v>0</v>
          </cell>
          <cell r="X3776" t="str">
            <v>EST POLTRONA ARENA (FIBRA NATURAL CASTANHO) TC LINHO 10711 - 0,9x0,78x0,73H</v>
          </cell>
          <cell r="Y3776">
            <v>0</v>
          </cell>
          <cell r="Z3776">
            <v>0.35</v>
          </cell>
          <cell r="AA3776">
            <v>0</v>
          </cell>
          <cell r="AB3776"/>
        </row>
        <row r="3777">
          <cell r="C3777">
            <v>0</v>
          </cell>
          <cell r="D3777">
            <v>0</v>
          </cell>
          <cell r="E3777">
            <v>0</v>
          </cell>
          <cell r="F3777">
            <v>0</v>
          </cell>
          <cell r="H3777">
            <v>2</v>
          </cell>
          <cell r="O3777">
            <v>151358</v>
          </cell>
          <cell r="P3777"/>
          <cell r="Q3777" t="str">
            <v>EST CADEIRA TEREZA C/BRACO (IMBUIA MEL) TC 11630</v>
          </cell>
          <cell r="R3777"/>
          <cell r="S3777"/>
          <cell r="T3777">
            <v>0.63</v>
          </cell>
          <cell r="U3777">
            <v>0.52</v>
          </cell>
          <cell r="V3777">
            <v>0.83</v>
          </cell>
          <cell r="W3777">
            <v>0</v>
          </cell>
          <cell r="X3777" t="str">
            <v>EST CADEIRA TEREZA C/BRACO (IMBUIA MEL) TC 11630 - 0,63x0,52x0,83H</v>
          </cell>
          <cell r="Y3777">
            <v>0</v>
          </cell>
          <cell r="Z3777">
            <v>0.35</v>
          </cell>
          <cell r="AA3777">
            <v>0</v>
          </cell>
          <cell r="AB3777"/>
        </row>
        <row r="3778">
          <cell r="C3778">
            <v>0</v>
          </cell>
          <cell r="D3778">
            <v>0</v>
          </cell>
          <cell r="E3778">
            <v>0</v>
          </cell>
          <cell r="F3778">
            <v>0</v>
          </cell>
          <cell r="H3778">
            <v>2</v>
          </cell>
          <cell r="O3778">
            <v>151376</v>
          </cell>
          <cell r="P3778"/>
          <cell r="Q3778" t="str">
            <v>EST BANCO GARDEN SEAT (ALCA) (FIBRA MARROM MESCLADO)</v>
          </cell>
          <cell r="R3778"/>
          <cell r="S3778"/>
          <cell r="T3778">
            <v>0.43</v>
          </cell>
          <cell r="U3778">
            <v>0</v>
          </cell>
          <cell r="V3778">
            <v>0.46</v>
          </cell>
          <cell r="W3778">
            <v>0.46</v>
          </cell>
          <cell r="X3778" t="str">
            <v>EST BANCO GARDEN SEAT (ALCA) (FIBRA MARROM MESCLADO) - Ø0,46x0,46H</v>
          </cell>
          <cell r="Y3778">
            <v>0</v>
          </cell>
          <cell r="Z3778">
            <v>0.35</v>
          </cell>
          <cell r="AA3778">
            <v>0</v>
          </cell>
          <cell r="AB3778"/>
        </row>
        <row r="3779">
          <cell r="C3779">
            <v>0</v>
          </cell>
          <cell r="D3779">
            <v>0</v>
          </cell>
          <cell r="E3779">
            <v>0</v>
          </cell>
          <cell r="F3779">
            <v>0</v>
          </cell>
          <cell r="H3779">
            <v>1</v>
          </cell>
          <cell r="O3779">
            <v>151382</v>
          </cell>
          <cell r="P3779"/>
          <cell r="Q3779" t="str">
            <v>EST SOFA BRISTOL (FIBRA 10MM ESTONADO TABACO) TC SOL</v>
          </cell>
          <cell r="R3779"/>
          <cell r="S3779"/>
          <cell r="T3779">
            <v>2.4</v>
          </cell>
          <cell r="U3779">
            <v>0.85</v>
          </cell>
          <cell r="V3779">
            <v>0.65</v>
          </cell>
          <cell r="W3779">
            <v>0</v>
          </cell>
          <cell r="X3779" t="str">
            <v>EST SOFA BRISTOL (FIBRA 10MM ESTONADO TABACO) TC SOL - 2,4x0,85x0,65H</v>
          </cell>
          <cell r="Y3779">
            <v>0</v>
          </cell>
          <cell r="Z3779">
            <v>0.35</v>
          </cell>
          <cell r="AA3779">
            <v>0</v>
          </cell>
          <cell r="AB3779"/>
        </row>
        <row r="3780">
          <cell r="C3780">
            <v>0</v>
          </cell>
          <cell r="D3780">
            <v>0</v>
          </cell>
          <cell r="E3780">
            <v>0</v>
          </cell>
          <cell r="F3780">
            <v>0</v>
          </cell>
          <cell r="H3780">
            <v>2</v>
          </cell>
          <cell r="O3780">
            <v>151385</v>
          </cell>
          <cell r="P3780"/>
          <cell r="Q3780" t="str">
            <v>EST BANCO CARTIER (FITA 10MM TABACO) TC SOL</v>
          </cell>
          <cell r="R3780"/>
          <cell r="S3780"/>
          <cell r="T3780">
            <v>1.3</v>
          </cell>
          <cell r="U3780">
            <v>0.4</v>
          </cell>
          <cell r="V3780">
            <v>0.45</v>
          </cell>
          <cell r="W3780">
            <v>0</v>
          </cell>
          <cell r="X3780" t="str">
            <v>EST BANCO CARTIER (FITA 10MM TABACO) TC SOL - 1,3x0,4x0,45H</v>
          </cell>
          <cell r="Y3780">
            <v>0</v>
          </cell>
          <cell r="Z3780">
            <v>0.35</v>
          </cell>
          <cell r="AA3780">
            <v>0</v>
          </cell>
          <cell r="AB3780"/>
        </row>
        <row r="3781">
          <cell r="C3781">
            <v>0</v>
          </cell>
          <cell r="D3781">
            <v>0</v>
          </cell>
          <cell r="E3781">
            <v>0</v>
          </cell>
          <cell r="F3781">
            <v>0</v>
          </cell>
          <cell r="H3781">
            <v>2</v>
          </cell>
          <cell r="O3781">
            <v>151386</v>
          </cell>
          <cell r="P3781"/>
          <cell r="Q3781" t="str">
            <v>EST APARADOR BRISTOL (FIBRA 10MM ESTONADO TABACO)</v>
          </cell>
          <cell r="R3781"/>
          <cell r="S3781"/>
          <cell r="T3781">
            <v>1.8</v>
          </cell>
          <cell r="U3781">
            <v>0.6</v>
          </cell>
          <cell r="V3781">
            <v>0.9</v>
          </cell>
          <cell r="W3781">
            <v>0</v>
          </cell>
          <cell r="X3781" t="str">
            <v>EST APARADOR BRISTOL (FIBRA 10MM ESTONADO TABACO) - 1,8x0,6x0,9H</v>
          </cell>
          <cell r="Y3781">
            <v>0</v>
          </cell>
          <cell r="Z3781">
            <v>0.35</v>
          </cell>
          <cell r="AA3781">
            <v>0</v>
          </cell>
          <cell r="AB3781"/>
        </row>
        <row r="3782">
          <cell r="C3782">
            <v>0</v>
          </cell>
          <cell r="D3782">
            <v>0</v>
          </cell>
          <cell r="E3782">
            <v>0</v>
          </cell>
          <cell r="F3782">
            <v>0</v>
          </cell>
          <cell r="H3782">
            <v>1</v>
          </cell>
          <cell r="O3782">
            <v>151430</v>
          </cell>
          <cell r="P3782"/>
          <cell r="Q3782" t="str">
            <v>EST MESA CENTRO CATARINA (INOX) (LACA BRILHO PAINA)</v>
          </cell>
          <cell r="R3782"/>
          <cell r="S3782"/>
          <cell r="T3782">
            <v>1.8</v>
          </cell>
          <cell r="U3782">
            <v>0.9</v>
          </cell>
          <cell r="V3782">
            <v>0.3</v>
          </cell>
          <cell r="W3782">
            <v>0</v>
          </cell>
          <cell r="X3782" t="str">
            <v>EST MESA CENTRO CATARINA (INOX) (LACA BRILHO PAINA) - 1,8x0,9x0,3H</v>
          </cell>
          <cell r="Y3782">
            <v>0</v>
          </cell>
          <cell r="Z3782">
            <v>0.35</v>
          </cell>
          <cell r="AA3782">
            <v>0</v>
          </cell>
          <cell r="AB3782"/>
        </row>
        <row r="3783">
          <cell r="C3783">
            <v>0</v>
          </cell>
          <cell r="D3783">
            <v>0</v>
          </cell>
          <cell r="E3783">
            <v>0</v>
          </cell>
          <cell r="F3783">
            <v>0</v>
          </cell>
          <cell r="H3783">
            <v>2</v>
          </cell>
          <cell r="O3783">
            <v>151433</v>
          </cell>
          <cell r="P3783"/>
          <cell r="Q3783" t="str">
            <v>EST CADEIRA 213 C/BRACO (MEL TABACO) TC 430A</v>
          </cell>
          <cell r="R3783"/>
          <cell r="S3783"/>
          <cell r="T3783">
            <v>0.57999999999999996</v>
          </cell>
          <cell r="U3783">
            <v>0.56000000000000005</v>
          </cell>
          <cell r="V3783">
            <v>0.89</v>
          </cell>
          <cell r="W3783">
            <v>0</v>
          </cell>
          <cell r="X3783" t="str">
            <v>EST CADEIRA 213 C/BRACO (MEL TABACO) TC 430A - 0,58x0,56x0,89H</v>
          </cell>
          <cell r="Y3783">
            <v>0</v>
          </cell>
          <cell r="Z3783">
            <v>0.35</v>
          </cell>
          <cell r="AA3783">
            <v>0</v>
          </cell>
          <cell r="AB3783"/>
        </row>
        <row r="3784">
          <cell r="C3784">
            <v>0</v>
          </cell>
          <cell r="D3784">
            <v>0</v>
          </cell>
          <cell r="E3784">
            <v>0</v>
          </cell>
          <cell r="F3784">
            <v>0</v>
          </cell>
          <cell r="H3784">
            <v>4</v>
          </cell>
          <cell r="O3784">
            <v>151434</v>
          </cell>
          <cell r="P3784"/>
          <cell r="Q3784" t="str">
            <v>EST CADEIRA ZAZ (TABACO) TC 507/B</v>
          </cell>
          <cell r="R3784"/>
          <cell r="S3784"/>
          <cell r="T3784">
            <v>0.61</v>
          </cell>
          <cell r="U3784">
            <v>0.62</v>
          </cell>
          <cell r="V3784">
            <v>0.77</v>
          </cell>
          <cell r="W3784">
            <v>0</v>
          </cell>
          <cell r="X3784" t="str">
            <v>EST CADEIRA ZAZ (TABACO) TC 507/B - 0,61x0,62x0,77H</v>
          </cell>
          <cell r="Y3784">
            <v>0</v>
          </cell>
          <cell r="Z3784">
            <v>0.35</v>
          </cell>
          <cell r="AA3784">
            <v>0</v>
          </cell>
          <cell r="AB3784"/>
        </row>
        <row r="3785">
          <cell r="C3785">
            <v>0</v>
          </cell>
          <cell r="D3785">
            <v>0</v>
          </cell>
          <cell r="E3785">
            <v>0</v>
          </cell>
          <cell r="F3785">
            <v>0</v>
          </cell>
          <cell r="H3785">
            <v>1</v>
          </cell>
          <cell r="O3785">
            <v>151436</v>
          </cell>
          <cell r="P3785"/>
          <cell r="Q3785" t="str">
            <v>EST CADEIRA DIX C/BRACO (NATURAL) (TELA NATURAL) TC621/A</v>
          </cell>
          <cell r="R3785"/>
          <cell r="S3785"/>
          <cell r="T3785">
            <v>0.56000000000000005</v>
          </cell>
          <cell r="U3785">
            <v>0.56999999999999995</v>
          </cell>
          <cell r="V3785">
            <v>0.83</v>
          </cell>
          <cell r="W3785">
            <v>0</v>
          </cell>
          <cell r="X3785" t="str">
            <v>EST CADEIRA DIX C/BRACO (NATURAL) (TELA NATURAL) TC621/A - 0,56x0,57x0,83H</v>
          </cell>
          <cell r="Y3785">
            <v>0</v>
          </cell>
          <cell r="Z3785">
            <v>0.35</v>
          </cell>
          <cell r="AA3785">
            <v>0</v>
          </cell>
          <cell r="AB3785"/>
        </row>
        <row r="3786">
          <cell r="C3786">
            <v>0</v>
          </cell>
          <cell r="D3786">
            <v>0</v>
          </cell>
          <cell r="E3786">
            <v>0</v>
          </cell>
          <cell r="F3786">
            <v>0</v>
          </cell>
          <cell r="H3786">
            <v>2</v>
          </cell>
          <cell r="O3786">
            <v>151438</v>
          </cell>
          <cell r="P3786"/>
          <cell r="Q3786" t="str">
            <v>EST CADEIRA 213 C/BRACO (MEL TABACO) TC 11632/007</v>
          </cell>
          <cell r="R3786"/>
          <cell r="S3786"/>
          <cell r="T3786">
            <v>0.57999999999999996</v>
          </cell>
          <cell r="U3786">
            <v>0.56000000000000005</v>
          </cell>
          <cell r="V3786">
            <v>0.89</v>
          </cell>
          <cell r="W3786">
            <v>0</v>
          </cell>
          <cell r="X3786" t="str">
            <v>EST CADEIRA 213 C/BRACO (MEL TABACO) TC 11632/007 - 0,58x0,56x0,89H</v>
          </cell>
          <cell r="Y3786">
            <v>0</v>
          </cell>
          <cell r="Z3786">
            <v>0.35</v>
          </cell>
          <cell r="AA3786">
            <v>0</v>
          </cell>
          <cell r="AB3786"/>
        </row>
        <row r="3787">
          <cell r="C3787">
            <v>0</v>
          </cell>
          <cell r="D3787">
            <v>0</v>
          </cell>
          <cell r="E3787">
            <v>0</v>
          </cell>
          <cell r="F3787">
            <v>0</v>
          </cell>
          <cell r="H3787">
            <v>2</v>
          </cell>
          <cell r="O3787">
            <v>151452</v>
          </cell>
          <cell r="P3787"/>
          <cell r="Q3787" t="str">
            <v>EST BANCO BRASILIS (LAMINADO COR 10)</v>
          </cell>
          <cell r="R3787"/>
          <cell r="S3787"/>
          <cell r="T3787">
            <v>1.8</v>
          </cell>
          <cell r="U3787">
            <v>0.5</v>
          </cell>
          <cell r="V3787">
            <v>0.42</v>
          </cell>
          <cell r="W3787">
            <v>0</v>
          </cell>
          <cell r="X3787" t="str">
            <v>EST BANCO BRASILIS (LAMINADO COR 10) - 1,8x0,5x0,42H</v>
          </cell>
          <cell r="Y3787">
            <v>0</v>
          </cell>
          <cell r="Z3787">
            <v>0.35</v>
          </cell>
          <cell r="AA3787">
            <v>0</v>
          </cell>
          <cell r="AB3787"/>
        </row>
        <row r="3788">
          <cell r="C3788">
            <v>0</v>
          </cell>
          <cell r="D3788">
            <v>0</v>
          </cell>
          <cell r="E3788">
            <v>0</v>
          </cell>
          <cell r="F3788">
            <v>0</v>
          </cell>
          <cell r="H3788">
            <v>4</v>
          </cell>
          <cell r="O3788">
            <v>151454</v>
          </cell>
          <cell r="P3788"/>
          <cell r="Q3788" t="str">
            <v>EST CADEIRA CRIS (APUI COR 10) TC 47/C</v>
          </cell>
          <cell r="R3788"/>
          <cell r="S3788"/>
          <cell r="T3788">
            <v>0.56999999999999995</v>
          </cell>
          <cell r="U3788">
            <v>0.63</v>
          </cell>
          <cell r="V3788">
            <v>0.95</v>
          </cell>
          <cell r="W3788">
            <v>0</v>
          </cell>
          <cell r="X3788" t="str">
            <v>EST CADEIRA CRIS (APUI COR 10) TC 47/C - 0,57x0,63x0,95H</v>
          </cell>
          <cell r="Y3788">
            <v>0</v>
          </cell>
          <cell r="Z3788">
            <v>0.35</v>
          </cell>
          <cell r="AA3788">
            <v>0</v>
          </cell>
          <cell r="AB3788"/>
        </row>
        <row r="3789">
          <cell r="C3789">
            <v>0</v>
          </cell>
          <cell r="D3789">
            <v>0</v>
          </cell>
          <cell r="E3789">
            <v>0</v>
          </cell>
          <cell r="F3789">
            <v>0</v>
          </cell>
          <cell r="H3789">
            <v>1</v>
          </cell>
          <cell r="O3789">
            <v>151467</v>
          </cell>
          <cell r="P3789"/>
          <cell r="Q3789" t="str">
            <v>EST POLTRONA SOLAR (APUI COR 6) TC 41</v>
          </cell>
          <cell r="R3789"/>
          <cell r="S3789"/>
          <cell r="T3789">
            <v>0.9</v>
          </cell>
          <cell r="U3789">
            <v>0.85</v>
          </cell>
          <cell r="V3789">
            <v>0.65</v>
          </cell>
          <cell r="W3789">
            <v>0</v>
          </cell>
          <cell r="X3789" t="str">
            <v>EST POLTRONA SOLAR (APUI COR 6) TC 41 - 0,9x0,85x0,65H</v>
          </cell>
          <cell r="Y3789">
            <v>0</v>
          </cell>
          <cell r="Z3789">
            <v>0.35</v>
          </cell>
          <cell r="AA3789">
            <v>0</v>
          </cell>
          <cell r="AB3789"/>
        </row>
        <row r="3790">
          <cell r="C3790">
            <v>0</v>
          </cell>
          <cell r="D3790">
            <v>0</v>
          </cell>
          <cell r="E3790">
            <v>0</v>
          </cell>
          <cell r="F3790">
            <v>0</v>
          </cell>
          <cell r="H3790">
            <v>3</v>
          </cell>
          <cell r="O3790">
            <v>151488</v>
          </cell>
          <cell r="P3790"/>
          <cell r="Q3790" t="str">
            <v>EST CADEIRA DALLAS (ALUMINO BRANCO FSC) TC OBRAVIA CHAMPAGNE</v>
          </cell>
          <cell r="R3790"/>
          <cell r="S3790"/>
          <cell r="T3790">
            <v>0.56999999999999995</v>
          </cell>
          <cell r="U3790">
            <v>0.59</v>
          </cell>
          <cell r="V3790">
            <v>0.82</v>
          </cell>
          <cell r="W3790">
            <v>0</v>
          </cell>
          <cell r="X3790" t="str">
            <v>EST CADEIRA DALLAS (ALUMINO BRANCO FSC) TC OBRAVIA CHAMPAGNE - 0,57x0,59x0,82H</v>
          </cell>
          <cell r="Y3790">
            <v>0</v>
          </cell>
          <cell r="Z3790">
            <v>0.35</v>
          </cell>
          <cell r="AA3790">
            <v>0</v>
          </cell>
          <cell r="AB3790"/>
        </row>
        <row r="3791">
          <cell r="C3791">
            <v>0</v>
          </cell>
          <cell r="D3791">
            <v>0</v>
          </cell>
          <cell r="E3791">
            <v>0</v>
          </cell>
          <cell r="F3791">
            <v>0</v>
          </cell>
          <cell r="H3791">
            <v>1</v>
          </cell>
          <cell r="O3791">
            <v>151503</v>
          </cell>
          <cell r="P3791"/>
          <cell r="Q3791" t="str">
            <v>EST MODULO PUFF AUSTIN (BRANCO) TC GH6K AZUL</v>
          </cell>
          <cell r="R3791"/>
          <cell r="S3791"/>
          <cell r="T3791">
            <v>1.5</v>
          </cell>
          <cell r="U3791">
            <v>0.89</v>
          </cell>
          <cell r="V3791">
            <v>0.4</v>
          </cell>
          <cell r="W3791">
            <v>0</v>
          </cell>
          <cell r="X3791" t="str">
            <v>EST MODULO PUFF AUSTIN (BRANCO) TC GH6K AZUL - 1,5x0,89x0,4H</v>
          </cell>
          <cell r="Y3791">
            <v>0</v>
          </cell>
          <cell r="Z3791">
            <v>0.35</v>
          </cell>
          <cell r="AA3791">
            <v>0</v>
          </cell>
          <cell r="AB3791"/>
        </row>
        <row r="3792">
          <cell r="C3792">
            <v>0</v>
          </cell>
          <cell r="D3792">
            <v>0</v>
          </cell>
          <cell r="E3792">
            <v>0</v>
          </cell>
          <cell r="F3792">
            <v>0</v>
          </cell>
          <cell r="H3792">
            <v>2</v>
          </cell>
          <cell r="O3792">
            <v>151513</v>
          </cell>
          <cell r="P3792"/>
          <cell r="Q3792" t="str">
            <v>EST CADEIRA SINUET (FIBRA 03MM BRONZE)</v>
          </cell>
          <cell r="R3792"/>
          <cell r="S3792"/>
          <cell r="T3792">
            <v>0.6</v>
          </cell>
          <cell r="U3792">
            <v>0.5</v>
          </cell>
          <cell r="V3792">
            <v>0.84</v>
          </cell>
          <cell r="W3792">
            <v>0</v>
          </cell>
          <cell r="X3792" t="str">
            <v>EST CADEIRA SINUET (FIBRA 03MM BRONZE) - 0,6x0,5x0,84H</v>
          </cell>
          <cell r="Y3792">
            <v>0</v>
          </cell>
          <cell r="Z3792">
            <v>0.35</v>
          </cell>
          <cell r="AA3792">
            <v>0</v>
          </cell>
          <cell r="AB3792"/>
        </row>
        <row r="3793">
          <cell r="C3793">
            <v>0</v>
          </cell>
          <cell r="D3793">
            <v>0</v>
          </cell>
          <cell r="E3793">
            <v>0</v>
          </cell>
          <cell r="F3793">
            <v>0</v>
          </cell>
          <cell r="H3793">
            <v>1</v>
          </cell>
          <cell r="O3793">
            <v>151546</v>
          </cell>
          <cell r="P3793"/>
          <cell r="Q3793" t="str">
            <v>EST POLTRONA FIRENZE (PRETA) TC NBX0092 COR002 CRU</v>
          </cell>
          <cell r="R3793"/>
          <cell r="S3793"/>
          <cell r="T3793">
            <v>0.8</v>
          </cell>
          <cell r="U3793">
            <v>0.8</v>
          </cell>
          <cell r="V3793">
            <v>0.9</v>
          </cell>
          <cell r="W3793">
            <v>0</v>
          </cell>
          <cell r="X3793" t="str">
            <v>EST POLTRONA FIRENZE (PRETA) TC NBX0092 COR002 CRU - 0,8x0,8x0,9H</v>
          </cell>
          <cell r="Y3793" t="str">
            <v>EST</v>
          </cell>
          <cell r="Z3793">
            <v>0.35</v>
          </cell>
          <cell r="AA3793" t="e">
            <v>#VALUE!</v>
          </cell>
          <cell r="AB3793"/>
        </row>
        <row r="3794">
          <cell r="C3794">
            <v>0</v>
          </cell>
          <cell r="D3794">
            <v>0</v>
          </cell>
          <cell r="E3794">
            <v>0</v>
          </cell>
          <cell r="F3794">
            <v>0</v>
          </cell>
          <cell r="H3794">
            <v>1</v>
          </cell>
          <cell r="O3794">
            <v>151597</v>
          </cell>
          <cell r="P3794"/>
          <cell r="Q3794" t="str">
            <v>EST APARADOR BALI (TABOA TRANCADA NATURAL)</v>
          </cell>
          <cell r="R3794"/>
          <cell r="S3794"/>
          <cell r="T3794">
            <v>1.8</v>
          </cell>
          <cell r="U3794">
            <v>0.45</v>
          </cell>
          <cell r="V3794">
            <v>0.8</v>
          </cell>
          <cell r="W3794">
            <v>0</v>
          </cell>
          <cell r="X3794" t="str">
            <v>EST APARADOR BALI (TABOA TRANCADA NATURAL) - 1,8x0,45x0,8H</v>
          </cell>
          <cell r="Y3794">
            <v>0</v>
          </cell>
          <cell r="Z3794">
            <v>0.35</v>
          </cell>
          <cell r="AA3794">
            <v>0</v>
          </cell>
          <cell r="AB3794"/>
        </row>
        <row r="3795">
          <cell r="C3795">
            <v>0</v>
          </cell>
          <cell r="D3795">
            <v>0</v>
          </cell>
          <cell r="E3795">
            <v>0</v>
          </cell>
          <cell r="F3795">
            <v>0</v>
          </cell>
          <cell r="H3795">
            <v>3</v>
          </cell>
          <cell r="O3795">
            <v>151611</v>
          </cell>
          <cell r="P3795"/>
          <cell r="Q3795" t="str">
            <v>EST POLTRONA KORINA (APUI) TC PRISMA BELLA AQUA</v>
          </cell>
          <cell r="R3795"/>
          <cell r="S3795"/>
          <cell r="T3795">
            <v>0.74</v>
          </cell>
          <cell r="U3795">
            <v>0.87</v>
          </cell>
          <cell r="V3795">
            <v>0.9</v>
          </cell>
          <cell r="W3795">
            <v>0</v>
          </cell>
          <cell r="X3795" t="str">
            <v>EST POLTRONA KORINA (APUI) TC PRISMA BELLA AQUA - 0,74x0,87x0,9H</v>
          </cell>
          <cell r="Y3795">
            <v>0</v>
          </cell>
          <cell r="Z3795">
            <v>0.35</v>
          </cell>
          <cell r="AA3795">
            <v>0</v>
          </cell>
          <cell r="AB3795"/>
        </row>
        <row r="3796">
          <cell r="C3796">
            <v>0</v>
          </cell>
          <cell r="D3796">
            <v>0</v>
          </cell>
          <cell r="E3796">
            <v>0</v>
          </cell>
          <cell r="F3796">
            <v>0</v>
          </cell>
          <cell r="H3796">
            <v>4</v>
          </cell>
          <cell r="O3796">
            <v>151612</v>
          </cell>
          <cell r="P3796"/>
          <cell r="Q3796" t="str">
            <v>EST POLTRONA VEGA (TABOA TRANCADA NATURAL) TC FOLEY/AQUA</v>
          </cell>
          <cell r="R3796"/>
          <cell r="S3796"/>
          <cell r="T3796">
            <v>0.77</v>
          </cell>
          <cell r="U3796">
            <v>0.88</v>
          </cell>
          <cell r="V3796">
            <v>0.88</v>
          </cell>
          <cell r="W3796">
            <v>0</v>
          </cell>
          <cell r="X3796" t="str">
            <v>EST POLTRONA VEGA (TABOA TRANCADA NATURAL) TC FOLEY/AQUA - 0,77x0,88x0,88H</v>
          </cell>
          <cell r="Y3796">
            <v>0</v>
          </cell>
          <cell r="Z3796">
            <v>0.35</v>
          </cell>
          <cell r="AA3796">
            <v>0</v>
          </cell>
          <cell r="AB3796"/>
        </row>
        <row r="3797">
          <cell r="C3797">
            <v>0</v>
          </cell>
          <cell r="D3797">
            <v>0</v>
          </cell>
          <cell r="E3797">
            <v>0</v>
          </cell>
          <cell r="F3797">
            <v>0</v>
          </cell>
          <cell r="H3797">
            <v>4</v>
          </cell>
          <cell r="O3797">
            <v>151638</v>
          </cell>
          <cell r="P3797"/>
          <cell r="Q3797" t="str">
            <v>EST CADEIRA MEDALHAO (ESTOFADA) (LACA PRETA) TC SEDA 9739</v>
          </cell>
          <cell r="R3797"/>
          <cell r="S3797"/>
          <cell r="T3797">
            <v>0.51</v>
          </cell>
          <cell r="U3797">
            <v>0.52</v>
          </cell>
          <cell r="V3797">
            <v>0.95</v>
          </cell>
          <cell r="W3797">
            <v>0</v>
          </cell>
          <cell r="X3797" t="str">
            <v>EST CADEIRA MEDALHAO (ESTOFADA) (LACA PRETA) TC SEDA 9739 - 0,51x0,52x0,95H</v>
          </cell>
          <cell r="Y3797">
            <v>0</v>
          </cell>
          <cell r="Z3797">
            <v>0.35</v>
          </cell>
          <cell r="AA3797">
            <v>0</v>
          </cell>
          <cell r="AB3797"/>
        </row>
        <row r="3798">
          <cell r="C3798">
            <v>0</v>
          </cell>
          <cell r="D3798">
            <v>0</v>
          </cell>
          <cell r="E3798">
            <v>0</v>
          </cell>
          <cell r="F3798">
            <v>0</v>
          </cell>
          <cell r="H3798">
            <v>1</v>
          </cell>
          <cell r="O3798">
            <v>151663</v>
          </cell>
          <cell r="P3798"/>
          <cell r="Q3798" t="str">
            <v>EST MESA CENTRO GALDI (INOX POLIDO) (TRAVERTINO ROMANO)</v>
          </cell>
          <cell r="R3798"/>
          <cell r="S3798"/>
          <cell r="T3798">
            <v>0.8</v>
          </cell>
          <cell r="U3798">
            <v>0.8</v>
          </cell>
          <cell r="V3798">
            <v>0.3</v>
          </cell>
          <cell r="W3798">
            <v>0</v>
          </cell>
          <cell r="X3798" t="str">
            <v>EST MESA CENTRO GALDI (INOX POLIDO) (TRAVERTINO ROMANO) - 0,8x0,8x0,3H</v>
          </cell>
          <cell r="Y3798" t="e">
            <v>#VALUE!</v>
          </cell>
          <cell r="Z3798">
            <v>0.35</v>
          </cell>
          <cell r="AA3798" t="e">
            <v>#VALUE!</v>
          </cell>
          <cell r="AB3798"/>
        </row>
        <row r="3799">
          <cell r="C3799">
            <v>0</v>
          </cell>
          <cell r="D3799">
            <v>0</v>
          </cell>
          <cell r="E3799">
            <v>0</v>
          </cell>
          <cell r="F3799">
            <v>0</v>
          </cell>
          <cell r="H3799">
            <v>1</v>
          </cell>
          <cell r="O3799">
            <v>151679</v>
          </cell>
          <cell r="P3799" t="str">
            <v>2014/197-0093-01</v>
          </cell>
          <cell r="Q3799" t="str">
            <v>EST TAMPO CRISTAL LAPIDADO 20° (15MM) INCOLOR CTO RETO</v>
          </cell>
          <cell r="R3799"/>
          <cell r="S3799"/>
          <cell r="T3799">
            <v>1.5</v>
          </cell>
          <cell r="U3799">
            <v>1.5</v>
          </cell>
          <cell r="V3799">
            <v>0.01</v>
          </cell>
          <cell r="W3799">
            <v>0</v>
          </cell>
          <cell r="X3799" t="str">
            <v>EST TAMPO CRISTAL LAPIDADO 20° (15MM) INCOLOR CTO RETO - 1,5x1,5x0,01H</v>
          </cell>
          <cell r="Y3799">
            <v>12974.872499999999</v>
          </cell>
          <cell r="Z3799">
            <v>0.35</v>
          </cell>
          <cell r="AA3799">
            <v>8433.6671249999999</v>
          </cell>
          <cell r="AB3799"/>
        </row>
        <row r="3800">
          <cell r="C3800">
            <v>0</v>
          </cell>
          <cell r="D3800">
            <v>0</v>
          </cell>
          <cell r="E3800">
            <v>0</v>
          </cell>
          <cell r="F3800">
            <v>0</v>
          </cell>
          <cell r="H3800">
            <v>1</v>
          </cell>
          <cell r="O3800">
            <v>151719</v>
          </cell>
          <cell r="P3800"/>
          <cell r="Q3800" t="str">
            <v>EST APARADOR VILALBA (LACA BRILHO GRAFITE METALIZADA)</v>
          </cell>
          <cell r="R3800"/>
          <cell r="S3800"/>
          <cell r="T3800">
            <v>2</v>
          </cell>
          <cell r="U3800">
            <v>0.55000000000000004</v>
          </cell>
          <cell r="V3800">
            <v>0.76</v>
          </cell>
          <cell r="W3800">
            <v>0</v>
          </cell>
          <cell r="X3800" t="str">
            <v>EST APARADOR VILALBA (LACA BRILHO GRAFITE METALIZADA) - 2x0,55x0,76H</v>
          </cell>
          <cell r="Y3800">
            <v>0</v>
          </cell>
          <cell r="Z3800">
            <v>0.35</v>
          </cell>
          <cell r="AA3800">
            <v>0</v>
          </cell>
          <cell r="AB3800"/>
        </row>
        <row r="3801">
          <cell r="C3801">
            <v>0</v>
          </cell>
          <cell r="D3801">
            <v>0</v>
          </cell>
          <cell r="E3801">
            <v>0</v>
          </cell>
          <cell r="F3801">
            <v>0</v>
          </cell>
          <cell r="H3801">
            <v>1</v>
          </cell>
          <cell r="O3801">
            <v>157054</v>
          </cell>
          <cell r="P3801"/>
          <cell r="Q3801" t="str">
            <v>EST TAMPO CRISTAL LAPIDADO (15MM) INCOLOR (CIRCULAR)</v>
          </cell>
          <cell r="R3801"/>
          <cell r="S3801"/>
          <cell r="T3801">
            <v>1.3</v>
          </cell>
          <cell r="U3801">
            <v>0</v>
          </cell>
          <cell r="V3801">
            <v>0.01</v>
          </cell>
          <cell r="W3801">
            <v>1.3</v>
          </cell>
          <cell r="X3801" t="str">
            <v>EST TAMPO CRISTAL LAPIDADO (15MM) INCOLOR (CIRCULAR) - Ø1,3x0,01H</v>
          </cell>
          <cell r="Y3801" t="e">
            <v>#VALUE!</v>
          </cell>
          <cell r="Z3801">
            <v>0.35</v>
          </cell>
          <cell r="AA3801" t="e">
            <v>#VALUE!</v>
          </cell>
          <cell r="AB3801"/>
        </row>
        <row r="3802">
          <cell r="C3802">
            <v>0</v>
          </cell>
          <cell r="D3802">
            <v>0</v>
          </cell>
          <cell r="E3802">
            <v>0</v>
          </cell>
          <cell r="F3802">
            <v>0</v>
          </cell>
          <cell r="H3802">
            <v>1</v>
          </cell>
          <cell r="O3802">
            <v>157469</v>
          </cell>
          <cell r="P3802"/>
          <cell r="Q3802" t="str">
            <v>EST MESA CENTRO LEE (LACA BRILHO BRANCA)</v>
          </cell>
          <cell r="R3802"/>
          <cell r="S3802"/>
          <cell r="T3802">
            <v>0.8</v>
          </cell>
          <cell r="U3802">
            <v>0.8</v>
          </cell>
          <cell r="V3802">
            <v>0.3</v>
          </cell>
          <cell r="W3802">
            <v>0</v>
          </cell>
          <cell r="X3802" t="str">
            <v>EST MESA CENTRO LEE (LACA BRILHO BRANCA) - 0,8x0,8x0,3H</v>
          </cell>
          <cell r="Y3802">
            <v>0</v>
          </cell>
          <cell r="Z3802">
            <v>0.35</v>
          </cell>
          <cell r="AA3802">
            <v>0</v>
          </cell>
          <cell r="AB3802"/>
        </row>
        <row r="3803">
          <cell r="C3803">
            <v>0</v>
          </cell>
          <cell r="D3803">
            <v>0</v>
          </cell>
          <cell r="E3803">
            <v>0</v>
          </cell>
          <cell r="F3803">
            <v>0</v>
          </cell>
          <cell r="H3803">
            <v>2</v>
          </cell>
          <cell r="O3803">
            <v>159364</v>
          </cell>
          <cell r="P3803"/>
          <cell r="Q3803" t="str">
            <v>EST CADEIRA SMALL (ENVELHECIDO) TC 3005</v>
          </cell>
          <cell r="R3803"/>
          <cell r="S3803"/>
          <cell r="T3803">
            <v>0.46</v>
          </cell>
          <cell r="U3803">
            <v>0.56000000000000005</v>
          </cell>
          <cell r="V3803">
            <v>0.86</v>
          </cell>
          <cell r="W3803">
            <v>0</v>
          </cell>
          <cell r="X3803" t="str">
            <v>EST CADEIRA SMALL (ENVELHECIDO) TC 3005 - 0,46x0,56x0,86H</v>
          </cell>
          <cell r="Y3803">
            <v>0</v>
          </cell>
          <cell r="Z3803">
            <v>0.35</v>
          </cell>
          <cell r="AA3803">
            <v>0</v>
          </cell>
          <cell r="AB3803"/>
        </row>
        <row r="3804">
          <cell r="C3804">
            <v>0</v>
          </cell>
          <cell r="D3804">
            <v>0</v>
          </cell>
          <cell r="E3804">
            <v>0</v>
          </cell>
          <cell r="F3804">
            <v>0</v>
          </cell>
          <cell r="H3804">
            <v>0</v>
          </cell>
          <cell r="O3804">
            <v>160738</v>
          </cell>
          <cell r="P3804"/>
          <cell r="Q3804" t="str">
            <v>EST POTE LEITEIRA JAYME B.DAMASCOS (COD. 10652)</v>
          </cell>
          <cell r="R3804"/>
          <cell r="S3804"/>
          <cell r="T3804">
            <v>0.23</v>
          </cell>
          <cell r="U3804">
            <v>0.37</v>
          </cell>
          <cell r="V3804">
            <v>0</v>
          </cell>
          <cell r="W3804">
            <v>0</v>
          </cell>
          <cell r="X3804" t="str">
            <v>EST POTE LEITEIRA JAYME B.DAMASCOS (COD. 10652) - 0,23x0,37x0H</v>
          </cell>
          <cell r="Y3804">
            <v>0</v>
          </cell>
          <cell r="Z3804">
            <v>0.35</v>
          </cell>
          <cell r="AA3804">
            <v>0</v>
          </cell>
          <cell r="AB3804"/>
        </row>
        <row r="3805">
          <cell r="C3805">
            <v>0</v>
          </cell>
          <cell r="D3805">
            <v>0</v>
          </cell>
          <cell r="E3805">
            <v>0</v>
          </cell>
          <cell r="F3805">
            <v>0</v>
          </cell>
          <cell r="H3805">
            <v>2</v>
          </cell>
          <cell r="O3805">
            <v>160943</v>
          </cell>
          <cell r="P3805" t="str">
            <v>2024/323-0016-01</v>
          </cell>
          <cell r="Q3805" t="str">
            <v>EST TAMPO CRISTAL LAPIDADO (15MM) INCOLOR RETILINEO</v>
          </cell>
          <cell r="R3805"/>
          <cell r="S3805"/>
          <cell r="T3805">
            <v>1.5</v>
          </cell>
          <cell r="U3805">
            <v>1.5</v>
          </cell>
          <cell r="V3805">
            <v>0.01</v>
          </cell>
          <cell r="W3805">
            <v>0</v>
          </cell>
          <cell r="X3805" t="str">
            <v>EST TAMPO CRISTAL LAPIDADO (15MM) INCOLOR RETILINEO - 1,5x1,5x0,01H</v>
          </cell>
          <cell r="Y3805">
            <v>12974.872499999999</v>
          </cell>
          <cell r="Z3805">
            <v>0.35</v>
          </cell>
          <cell r="AA3805">
            <v>8433.6671249999999</v>
          </cell>
          <cell r="AB3805"/>
        </row>
        <row r="3806">
          <cell r="C3806">
            <v>0</v>
          </cell>
          <cell r="D3806">
            <v>0</v>
          </cell>
          <cell r="E3806">
            <v>0</v>
          </cell>
          <cell r="F3806">
            <v>0</v>
          </cell>
          <cell r="H3806">
            <v>2</v>
          </cell>
          <cell r="O3806">
            <v>160943</v>
          </cell>
          <cell r="P3806" t="str">
            <v>2014/293-0001-01</v>
          </cell>
          <cell r="Q3806" t="str">
            <v>EST TAMPO CRISTAL LAPIDADO (15MM) INCOLOR RETILINEO</v>
          </cell>
          <cell r="R3806"/>
          <cell r="S3806"/>
          <cell r="T3806">
            <v>1.5</v>
          </cell>
          <cell r="U3806">
            <v>1.5</v>
          </cell>
          <cell r="V3806">
            <v>0.01</v>
          </cell>
          <cell r="W3806">
            <v>0</v>
          </cell>
          <cell r="X3806" t="str">
            <v>EST TAMPO CRISTAL LAPIDADO (15MM) INCOLOR RETILINEO - 1,5x1,5x0,01H</v>
          </cell>
          <cell r="Y3806">
            <v>12974.872499999999</v>
          </cell>
          <cell r="Z3806">
            <v>0.35</v>
          </cell>
          <cell r="AA3806">
            <v>8433.6671249999999</v>
          </cell>
          <cell r="AB3806"/>
        </row>
        <row r="3807">
          <cell r="C3807">
            <v>0</v>
          </cell>
          <cell r="D3807">
            <v>0</v>
          </cell>
          <cell r="E3807">
            <v>0</v>
          </cell>
          <cell r="F3807">
            <v>0</v>
          </cell>
          <cell r="H3807">
            <v>1</v>
          </cell>
          <cell r="O3807">
            <v>163364</v>
          </cell>
          <cell r="P3807"/>
          <cell r="Q3807" t="str">
            <v>EST COMODA MIXED (ROVERE NOGUEIRA) (GAVETA LACA BEGE)</v>
          </cell>
          <cell r="R3807"/>
          <cell r="S3807"/>
          <cell r="T3807">
            <v>1</v>
          </cell>
          <cell r="U3807">
            <v>0.5</v>
          </cell>
          <cell r="V3807">
            <v>0.9</v>
          </cell>
          <cell r="W3807">
            <v>0</v>
          </cell>
          <cell r="X3807" t="str">
            <v>EST COMODA MIXED (ROVERE NOGUEIRA) (GAVETA LACA BEGE) - 1x0,5x0,9H</v>
          </cell>
          <cell r="Y3807">
            <v>0</v>
          </cell>
          <cell r="Z3807">
            <v>0.35</v>
          </cell>
          <cell r="AA3807">
            <v>0</v>
          </cell>
          <cell r="AB3807"/>
        </row>
        <row r="3808">
          <cell r="C3808">
            <v>0</v>
          </cell>
          <cell r="D3808">
            <v>0</v>
          </cell>
          <cell r="E3808">
            <v>0</v>
          </cell>
          <cell r="F3808">
            <v>0</v>
          </cell>
          <cell r="H3808">
            <v>1</v>
          </cell>
          <cell r="O3808">
            <v>163757</v>
          </cell>
          <cell r="P3808"/>
          <cell r="Q3808" t="str">
            <v>EST CADEIRA SMALL (ENVELHECIDO) TC 2008</v>
          </cell>
          <cell r="R3808"/>
          <cell r="S3808"/>
          <cell r="T3808">
            <v>0.46</v>
          </cell>
          <cell r="U3808">
            <v>0.56000000000000005</v>
          </cell>
          <cell r="V3808">
            <v>0.86</v>
          </cell>
          <cell r="W3808">
            <v>0</v>
          </cell>
          <cell r="X3808" t="str">
            <v>EST CADEIRA SMALL (ENVELHECIDO) TC 2008 - 0,46x0,56x0,86H</v>
          </cell>
          <cell r="Y3808">
            <v>0</v>
          </cell>
          <cell r="Z3808">
            <v>0.35</v>
          </cell>
          <cell r="AA3808">
            <v>0</v>
          </cell>
          <cell r="AB3808"/>
        </row>
        <row r="3809">
          <cell r="C3809">
            <v>0</v>
          </cell>
          <cell r="D3809">
            <v>0</v>
          </cell>
          <cell r="E3809">
            <v>0</v>
          </cell>
          <cell r="F3809">
            <v>0</v>
          </cell>
          <cell r="H3809">
            <v>1</v>
          </cell>
          <cell r="O3809">
            <v>163804</v>
          </cell>
          <cell r="P3809"/>
          <cell r="Q3809" t="str">
            <v>EST APARADOR RIOS (MEL FOSCO)</v>
          </cell>
          <cell r="R3809"/>
          <cell r="S3809"/>
          <cell r="T3809">
            <v>2.2999999999999998</v>
          </cell>
          <cell r="U3809">
            <v>0.4</v>
          </cell>
          <cell r="V3809">
            <v>0.76</v>
          </cell>
          <cell r="W3809">
            <v>0</v>
          </cell>
          <cell r="X3809" t="str">
            <v>EST APARADOR RIOS (MEL FOSCO) - 2,3x0,4x0,76H</v>
          </cell>
          <cell r="Y3809">
            <v>0</v>
          </cell>
          <cell r="Z3809">
            <v>0.35</v>
          </cell>
          <cell r="AA3809">
            <v>0</v>
          </cell>
          <cell r="AB3809"/>
        </row>
        <row r="3810">
          <cell r="C3810">
            <v>0</v>
          </cell>
          <cell r="D3810">
            <v>0</v>
          </cell>
          <cell r="E3810">
            <v>0</v>
          </cell>
          <cell r="F3810">
            <v>0</v>
          </cell>
          <cell r="H3810">
            <v>1</v>
          </cell>
          <cell r="O3810">
            <v>166407</v>
          </cell>
          <cell r="P3810" t="str">
            <v>2015/044-0003-01</v>
          </cell>
          <cell r="Q3810" t="str">
            <v>EST TAMPO CRISTAL LAPIDADO (12MM) INCOLOR CTO MOEDA</v>
          </cell>
          <cell r="R3810"/>
          <cell r="S3810"/>
          <cell r="T3810">
            <v>1.7</v>
          </cell>
          <cell r="U3810">
            <v>1.1000000000000001</v>
          </cell>
          <cell r="V3810">
            <v>0.01</v>
          </cell>
          <cell r="W3810">
            <v>0</v>
          </cell>
          <cell r="X3810" t="str">
            <v>EST TAMPO CRISTAL LAPIDADO (12MM) INCOLOR CTO MOEDA - 1,7x1,1x0,01H</v>
          </cell>
          <cell r="Y3810">
            <v>7191.7582000000002</v>
          </cell>
          <cell r="Z3810">
            <v>0.35</v>
          </cell>
          <cell r="AA3810">
            <v>4674.6428300000007</v>
          </cell>
          <cell r="AB3810"/>
        </row>
        <row r="3811">
          <cell r="C3811">
            <v>0</v>
          </cell>
          <cell r="D3811">
            <v>0</v>
          </cell>
          <cell r="E3811">
            <v>0</v>
          </cell>
          <cell r="F3811">
            <v>0</v>
          </cell>
          <cell r="H3811">
            <v>2</v>
          </cell>
          <cell r="O3811">
            <v>174976</v>
          </cell>
          <cell r="P3811"/>
          <cell r="Q3811" t="str">
            <v>EST POLTROMA COOL (INOX) TC BOUCLE PRETO</v>
          </cell>
          <cell r="R3811"/>
          <cell r="S3811"/>
          <cell r="T3811">
            <v>0.8</v>
          </cell>
          <cell r="U3811">
            <v>0.3</v>
          </cell>
          <cell r="V3811">
            <v>0.68</v>
          </cell>
          <cell r="W3811">
            <v>0</v>
          </cell>
          <cell r="X3811" t="str">
            <v>EST POLTROMA COOL (INOX) TC BOUCLE PRETO - 0,8x0,3x0,68H</v>
          </cell>
          <cell r="Y3811">
            <v>0</v>
          </cell>
          <cell r="Z3811">
            <v>0.35</v>
          </cell>
          <cell r="AA3811">
            <v>0</v>
          </cell>
          <cell r="AB3811"/>
        </row>
        <row r="3812">
          <cell r="C3812">
            <v>0</v>
          </cell>
          <cell r="D3812">
            <v>0</v>
          </cell>
          <cell r="E3812">
            <v>0</v>
          </cell>
          <cell r="F3812">
            <v>0</v>
          </cell>
          <cell r="H3812">
            <v>1</v>
          </cell>
          <cell r="O3812">
            <v>175157</v>
          </cell>
          <cell r="P3812"/>
          <cell r="Q3812" t="str">
            <v>EST BUFFET MICHELLE II (CHAMPAGNE METALIC) (PELINO BRANCO)</v>
          </cell>
          <cell r="R3812"/>
          <cell r="S3812"/>
          <cell r="T3812">
            <v>2</v>
          </cell>
          <cell r="U3812">
            <v>0.5</v>
          </cell>
          <cell r="V3812">
            <v>0.8</v>
          </cell>
          <cell r="W3812">
            <v>0</v>
          </cell>
          <cell r="X3812" t="str">
            <v>EST BUFFET MICHELLE II (CHAMPAGNE METALIC) (PELINO BRANCO) - 2x0,5x0,8H</v>
          </cell>
          <cell r="Y3812">
            <v>0</v>
          </cell>
          <cell r="Z3812">
            <v>0.35</v>
          </cell>
          <cell r="AA3812">
            <v>0</v>
          </cell>
          <cell r="AB3812"/>
        </row>
        <row r="3813">
          <cell r="C3813">
            <v>0</v>
          </cell>
          <cell r="D3813">
            <v>0</v>
          </cell>
          <cell r="E3813">
            <v>0</v>
          </cell>
          <cell r="F3813">
            <v>0</v>
          </cell>
          <cell r="H3813">
            <v>1</v>
          </cell>
          <cell r="O3813">
            <v>175629</v>
          </cell>
          <cell r="P3813"/>
          <cell r="Q3813" t="str">
            <v>EST BANCO STRONGER (ALUMINIO PRETO)</v>
          </cell>
          <cell r="R3813"/>
          <cell r="S3813"/>
          <cell r="T3813">
            <v>2</v>
          </cell>
          <cell r="U3813">
            <v>0.6</v>
          </cell>
          <cell r="V3813">
            <v>0.45</v>
          </cell>
          <cell r="W3813">
            <v>0</v>
          </cell>
          <cell r="X3813" t="str">
            <v>EST BANCO STRONGER (ALUMINIO PRETO) - 2x0,6x0,45H</v>
          </cell>
          <cell r="Y3813" t="e">
            <v>#VALUE!</v>
          </cell>
          <cell r="Z3813">
            <v>0.35</v>
          </cell>
          <cell r="AA3813" t="e">
            <v>#VALUE!</v>
          </cell>
          <cell r="AB3813"/>
        </row>
        <row r="3814">
          <cell r="C3814">
            <v>0</v>
          </cell>
          <cell r="D3814">
            <v>0</v>
          </cell>
          <cell r="E3814">
            <v>0</v>
          </cell>
          <cell r="F3814">
            <v>0</v>
          </cell>
          <cell r="H3814">
            <v>1</v>
          </cell>
          <cell r="O3814">
            <v>178083</v>
          </cell>
          <cell r="P3814"/>
          <cell r="Q3814" t="str">
            <v>EST POLTRONA NANA (MEL CLARO) (TELA NATURAL)</v>
          </cell>
          <cell r="R3814"/>
          <cell r="S3814"/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 t="str">
            <v>EST POLTRONA NANA (MEL CLARO) (TELA NATURAL) - Ø0x0H</v>
          </cell>
          <cell r="Y3814">
            <v>0</v>
          </cell>
          <cell r="Z3814">
            <v>0.35</v>
          </cell>
          <cell r="AA3814">
            <v>0</v>
          </cell>
          <cell r="AB3814"/>
        </row>
        <row r="3815">
          <cell r="C3815">
            <v>0</v>
          </cell>
          <cell r="D3815">
            <v>0</v>
          </cell>
          <cell r="E3815">
            <v>0</v>
          </cell>
          <cell r="F3815">
            <v>0</v>
          </cell>
          <cell r="H3815">
            <v>2</v>
          </cell>
          <cell r="O3815">
            <v>178904</v>
          </cell>
          <cell r="P3815"/>
          <cell r="Q3815" t="str">
            <v>EST CADEIRA WILL ()TAEDA MARROM CLARO)</v>
          </cell>
          <cell r="R3815"/>
          <cell r="S3815"/>
          <cell r="T3815">
            <v>0.42</v>
          </cell>
          <cell r="U3815">
            <v>0.55000000000000004</v>
          </cell>
          <cell r="V3815">
            <v>0.79</v>
          </cell>
          <cell r="W3815">
            <v>0</v>
          </cell>
          <cell r="X3815" t="str">
            <v>EST CADEIRA WILL ()TAEDA MARROM CLARO) - 0,42x0,55x0,79H</v>
          </cell>
          <cell r="Y3815">
            <v>0</v>
          </cell>
          <cell r="Z3815">
            <v>0.35</v>
          </cell>
          <cell r="AA3815">
            <v>0</v>
          </cell>
          <cell r="AB3815"/>
        </row>
        <row r="3816">
          <cell r="C3816">
            <v>0</v>
          </cell>
          <cell r="D3816">
            <v>0</v>
          </cell>
          <cell r="E3816">
            <v>0</v>
          </cell>
          <cell r="F3816">
            <v>0</v>
          </cell>
          <cell r="H3816">
            <v>1</v>
          </cell>
          <cell r="O3816">
            <v>179026</v>
          </cell>
          <cell r="P3816" t="str">
            <v>2015/316-000-801</v>
          </cell>
          <cell r="Q3816" t="str">
            <v>EST TAMPO CRISTAL LAPIDADO (10MM) ULTRA CLEAR BCO CTO RETO</v>
          </cell>
          <cell r="R3816"/>
          <cell r="S3816"/>
          <cell r="T3816">
            <v>1.6</v>
          </cell>
          <cell r="U3816">
            <v>1.1000000000000001</v>
          </cell>
          <cell r="V3816">
            <v>0.01</v>
          </cell>
          <cell r="W3816">
            <v>0</v>
          </cell>
          <cell r="X3816" t="str">
            <v>EST TAMPO CRISTAL LAPIDADO (10MM) ULTRA CLEAR BCO CTO RETO - 1,6x1,1x0,01H</v>
          </cell>
          <cell r="Y3816">
            <v>12910.251200000001</v>
          </cell>
          <cell r="Z3816">
            <v>0.35</v>
          </cell>
          <cell r="AA3816">
            <v>8391.6632800000007</v>
          </cell>
          <cell r="AB3816"/>
        </row>
        <row r="3817">
          <cell r="C3817">
            <v>0</v>
          </cell>
          <cell r="D3817">
            <v>0</v>
          </cell>
          <cell r="E3817">
            <v>0</v>
          </cell>
          <cell r="F3817">
            <v>0</v>
          </cell>
          <cell r="H3817">
            <v>1</v>
          </cell>
          <cell r="O3817">
            <v>179052</v>
          </cell>
          <cell r="P3817"/>
          <cell r="Q3817" t="str">
            <v>EST MESA CENTRO TOM (NOGUEIRA) (PONTEIRAS LATAO) (VD OURO)</v>
          </cell>
          <cell r="R3817"/>
          <cell r="S3817"/>
          <cell r="T3817">
            <v>1.6</v>
          </cell>
          <cell r="U3817">
            <v>0.6</v>
          </cell>
          <cell r="V3817">
            <v>0.3</v>
          </cell>
          <cell r="W3817">
            <v>0</v>
          </cell>
          <cell r="X3817" t="str">
            <v>EST MESA CENTRO TOM (NOGUEIRA) (PONTEIRAS LATAO) (VD OURO) - 1,6x0,6x0,3H</v>
          </cell>
          <cell r="Y3817">
            <v>0</v>
          </cell>
          <cell r="Z3817">
            <v>0.35</v>
          </cell>
          <cell r="AA3817">
            <v>0</v>
          </cell>
          <cell r="AB3817"/>
        </row>
        <row r="3818">
          <cell r="C3818">
            <v>0</v>
          </cell>
          <cell r="D3818">
            <v>0</v>
          </cell>
          <cell r="E3818">
            <v>0</v>
          </cell>
          <cell r="F3818">
            <v>0</v>
          </cell>
          <cell r="H3818">
            <v>7</v>
          </cell>
          <cell r="O3818">
            <v>179057</v>
          </cell>
          <cell r="P3818"/>
          <cell r="Q3818" t="str">
            <v>EST BANCO BETA (LACA BRILHO M033)</v>
          </cell>
          <cell r="R3818"/>
          <cell r="S3818"/>
          <cell r="T3818">
            <v>0.45</v>
          </cell>
          <cell r="U3818">
            <v>0.45</v>
          </cell>
          <cell r="V3818">
            <v>0.45</v>
          </cell>
          <cell r="W3818">
            <v>0</v>
          </cell>
          <cell r="X3818" t="str">
            <v>EST BANCO BETA (LACA BRILHO M033) - 0,45x0,45x0,45H</v>
          </cell>
          <cell r="Y3818">
            <v>0</v>
          </cell>
          <cell r="Z3818">
            <v>0.35</v>
          </cell>
          <cell r="AA3818">
            <v>0</v>
          </cell>
          <cell r="AB3818"/>
        </row>
        <row r="3819">
          <cell r="C3819">
            <v>0</v>
          </cell>
          <cell r="D3819">
            <v>0</v>
          </cell>
          <cell r="E3819">
            <v>0</v>
          </cell>
          <cell r="F3819">
            <v>0</v>
          </cell>
          <cell r="H3819">
            <v>1</v>
          </cell>
          <cell r="O3819">
            <v>179253</v>
          </cell>
          <cell r="P3819"/>
          <cell r="Q3819" t="str">
            <v>EST MOVEL BAR BARTHO (LACA GRAFITE FSC) (VD PINTADO PRETO)</v>
          </cell>
          <cell r="R3819"/>
          <cell r="S3819"/>
          <cell r="T3819">
            <v>1.1599999999999999</v>
          </cell>
          <cell r="U3819">
            <v>0.46</v>
          </cell>
          <cell r="V3819">
            <v>0.99</v>
          </cell>
          <cell r="W3819">
            <v>0</v>
          </cell>
          <cell r="X3819" t="str">
            <v>EST MOVEL BAR BARTHO (LACA GRAFITE FSC) (VD PINTADO PRETO) - 1,16x0,46x0,99H</v>
          </cell>
          <cell r="Y3819">
            <v>0</v>
          </cell>
          <cell r="Z3819">
            <v>0.35</v>
          </cell>
          <cell r="AA3819">
            <v>0</v>
          </cell>
          <cell r="AB3819"/>
        </row>
        <row r="3820">
          <cell r="C3820">
            <v>0</v>
          </cell>
          <cell r="D3820">
            <v>0</v>
          </cell>
          <cell r="E3820">
            <v>0</v>
          </cell>
          <cell r="F3820">
            <v>0</v>
          </cell>
          <cell r="H3820">
            <v>1</v>
          </cell>
          <cell r="O3820">
            <v>179261</v>
          </cell>
          <cell r="P3820"/>
          <cell r="Q3820" t="str">
            <v>EST CADEIRA MEDALHAO FUTURE (IMBUIA) TC LINHO CRU</v>
          </cell>
          <cell r="R3820"/>
          <cell r="S3820"/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 t="str">
            <v>EST CADEIRA MEDALHAO FUTURE (IMBUIA) TC LINHO CRU - Ø0x0H</v>
          </cell>
          <cell r="Y3820">
            <v>0</v>
          </cell>
          <cell r="Z3820">
            <v>0.35</v>
          </cell>
          <cell r="AA3820">
            <v>0</v>
          </cell>
          <cell r="AB3820"/>
        </row>
        <row r="3821">
          <cell r="C3821">
            <v>0</v>
          </cell>
          <cell r="D3821">
            <v>0</v>
          </cell>
          <cell r="E3821">
            <v>0</v>
          </cell>
          <cell r="F3821">
            <v>0</v>
          </cell>
          <cell r="H3821">
            <v>0</v>
          </cell>
          <cell r="O3821">
            <v>181338</v>
          </cell>
          <cell r="P3821"/>
          <cell r="Q3821" t="str">
            <v>EST QUADRO PAGINAS (MP060B-4040-CV)</v>
          </cell>
          <cell r="R3821"/>
          <cell r="S3821"/>
          <cell r="T3821">
            <v>0.4</v>
          </cell>
          <cell r="U3821">
            <v>0.4</v>
          </cell>
          <cell r="V3821">
            <v>0</v>
          </cell>
          <cell r="W3821">
            <v>0</v>
          </cell>
          <cell r="X3821" t="str">
            <v>EST QUADRO PAGINAS (MP060B-4040-CV) - 0,4x0,4x0H</v>
          </cell>
          <cell r="Y3821">
            <v>0</v>
          </cell>
          <cell r="Z3821">
            <v>0.35</v>
          </cell>
          <cell r="AA3821">
            <v>0</v>
          </cell>
          <cell r="AB3821"/>
        </row>
        <row r="3822"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H3822">
            <v>1</v>
          </cell>
          <cell r="O3822">
            <v>182608</v>
          </cell>
          <cell r="P3822"/>
          <cell r="Q3822" t="str">
            <v>EST MESA CENTRO LUMINA (ALUMINIO CAPUCCINO)</v>
          </cell>
          <cell r="R3822"/>
          <cell r="S3822"/>
          <cell r="T3822">
            <v>1.5</v>
          </cell>
          <cell r="U3822">
            <v>0.75</v>
          </cell>
          <cell r="V3822">
            <v>0.25</v>
          </cell>
          <cell r="W3822">
            <v>0</v>
          </cell>
          <cell r="X3822" t="str">
            <v>EST MESA CENTRO LUMINA (ALUMINIO CAPUCCINO) - 1,5x0,75x0,25H</v>
          </cell>
          <cell r="Y3822">
            <v>0</v>
          </cell>
          <cell r="Z3822">
            <v>0.35</v>
          </cell>
          <cell r="AA3822">
            <v>0</v>
          </cell>
          <cell r="AB3822"/>
        </row>
        <row r="3823">
          <cell r="C3823">
            <v>0</v>
          </cell>
          <cell r="D3823">
            <v>0</v>
          </cell>
          <cell r="E3823">
            <v>0</v>
          </cell>
          <cell r="F3823">
            <v>0</v>
          </cell>
          <cell r="H3823">
            <v>1</v>
          </cell>
          <cell r="O3823">
            <v>182609</v>
          </cell>
          <cell r="P3823"/>
          <cell r="Q3823" t="str">
            <v>EST MESA CENTRO ALECRIM (FIBRA ESTONADO TABACO)</v>
          </cell>
          <cell r="R3823"/>
          <cell r="S3823"/>
          <cell r="T3823">
            <v>0.8</v>
          </cell>
          <cell r="U3823">
            <v>0.8</v>
          </cell>
          <cell r="V3823">
            <v>0.3</v>
          </cell>
          <cell r="W3823">
            <v>0</v>
          </cell>
          <cell r="X3823" t="str">
            <v>EST MESA CENTRO ALECRIM (FIBRA ESTONADO TABACO) - 0,8x0,8x0,3H</v>
          </cell>
          <cell r="Y3823">
            <v>0</v>
          </cell>
          <cell r="Z3823">
            <v>0.35</v>
          </cell>
          <cell r="AA3823">
            <v>0</v>
          </cell>
          <cell r="AB3823"/>
        </row>
        <row r="3824">
          <cell r="C3824">
            <v>1</v>
          </cell>
          <cell r="D3824">
            <v>0</v>
          </cell>
          <cell r="E3824">
            <v>0</v>
          </cell>
          <cell r="F3824">
            <v>0</v>
          </cell>
          <cell r="H3824">
            <v>2</v>
          </cell>
          <cell r="O3824">
            <v>182715</v>
          </cell>
          <cell r="P3824" t="str">
            <v>2016/019-0148-01</v>
          </cell>
          <cell r="Q3824" t="str">
            <v>EST SOFA TABLE POSITANO (EXTERNO ROVERE) (INTERNO BRANCO)</v>
          </cell>
          <cell r="R3824"/>
          <cell r="S3824"/>
          <cell r="T3824">
            <v>2.6</v>
          </cell>
          <cell r="U3824">
            <v>1</v>
          </cell>
          <cell r="V3824">
            <v>0.45</v>
          </cell>
          <cell r="W3824">
            <v>0</v>
          </cell>
          <cell r="X3824" t="str">
            <v>EST SOFA TABLE POSITANO (EXTERNO ROVERE) (INTERNO BRANCO) - 2,6x1x0,45H</v>
          </cell>
          <cell r="Y3824">
            <v>14135.7</v>
          </cell>
          <cell r="Z3824">
            <v>0.35</v>
          </cell>
          <cell r="AA3824">
            <v>9188.2050000000017</v>
          </cell>
          <cell r="AB3824"/>
        </row>
        <row r="3825">
          <cell r="C3825">
            <v>1</v>
          </cell>
          <cell r="D3825">
            <v>0</v>
          </cell>
          <cell r="E3825">
            <v>0</v>
          </cell>
          <cell r="F3825">
            <v>0</v>
          </cell>
          <cell r="H3825">
            <v>2</v>
          </cell>
          <cell r="O3825">
            <v>182715</v>
          </cell>
          <cell r="P3825" t="str">
            <v>2016/019-0149-01</v>
          </cell>
          <cell r="Q3825" t="str">
            <v>EST SOFA TABLE POSITANO (EXTERNO ROVERE) (INTERNO BRANCO)</v>
          </cell>
          <cell r="R3825"/>
          <cell r="S3825"/>
          <cell r="T3825">
            <v>2.6</v>
          </cell>
          <cell r="U3825">
            <v>1</v>
          </cell>
          <cell r="V3825">
            <v>0.45</v>
          </cell>
          <cell r="W3825">
            <v>0</v>
          </cell>
          <cell r="X3825" t="str">
            <v>EST SOFA TABLE POSITANO (EXTERNO ROVERE) (INTERNO BRANCO) - 2,6x1x0,45H</v>
          </cell>
          <cell r="Y3825">
            <v>14135.7</v>
          </cell>
          <cell r="Z3825">
            <v>0.35</v>
          </cell>
          <cell r="AA3825">
            <v>9188.2050000000017</v>
          </cell>
          <cell r="AB3825"/>
        </row>
        <row r="3826">
          <cell r="C3826">
            <v>0</v>
          </cell>
          <cell r="D3826">
            <v>0</v>
          </cell>
          <cell r="E3826">
            <v>0</v>
          </cell>
          <cell r="F3826">
            <v>0</v>
          </cell>
          <cell r="H3826">
            <v>1</v>
          </cell>
          <cell r="O3826">
            <v>183815</v>
          </cell>
          <cell r="P3826"/>
          <cell r="Q3826" t="str">
            <v>EST BANCO CLARICE (CUMARU)</v>
          </cell>
          <cell r="R3826"/>
          <cell r="S3826"/>
          <cell r="T3826">
            <v>2.4700000000000002</v>
          </cell>
          <cell r="U3826">
            <v>0.46</v>
          </cell>
          <cell r="V3826">
            <v>0.46</v>
          </cell>
          <cell r="W3826">
            <v>0</v>
          </cell>
          <cell r="X3826" t="str">
            <v>EST BANCO CLARICE (CUMARU) - 2,47x0,46x0,46H</v>
          </cell>
          <cell r="Y3826">
            <v>0</v>
          </cell>
          <cell r="Z3826">
            <v>0.35</v>
          </cell>
          <cell r="AA3826">
            <v>0</v>
          </cell>
          <cell r="AB3826"/>
        </row>
        <row r="3827">
          <cell r="C3827">
            <v>0</v>
          </cell>
          <cell r="D3827">
            <v>0</v>
          </cell>
          <cell r="E3827">
            <v>0</v>
          </cell>
          <cell r="F3827">
            <v>0</v>
          </cell>
          <cell r="H3827">
            <v>1</v>
          </cell>
          <cell r="O3827">
            <v>186330</v>
          </cell>
          <cell r="P3827"/>
          <cell r="Q3827" t="str">
            <v>EST POLTRONA LIVEA (ALUMINIO FENDI) TC 200031 C/VIVOS 3007</v>
          </cell>
          <cell r="R3827"/>
          <cell r="S3827"/>
          <cell r="T3827">
            <v>0.88</v>
          </cell>
          <cell r="U3827">
            <v>1.1499999999999999</v>
          </cell>
          <cell r="V3827">
            <v>0.98</v>
          </cell>
          <cell r="W3827">
            <v>0</v>
          </cell>
          <cell r="X3827" t="str">
            <v>EST POLTRONA LIVEA (ALUMINIO FENDI) TC 200031 C/VIVOS 3007 - 0,88x1,15x0,98H</v>
          </cell>
          <cell r="Y3827">
            <v>0</v>
          </cell>
          <cell r="Z3827">
            <v>0.35</v>
          </cell>
          <cell r="AA3827">
            <v>0</v>
          </cell>
          <cell r="AB3827"/>
        </row>
        <row r="3828">
          <cell r="C3828">
            <v>0</v>
          </cell>
          <cell r="D3828">
            <v>0</v>
          </cell>
          <cell r="E3828">
            <v>0</v>
          </cell>
          <cell r="F3828">
            <v>0</v>
          </cell>
          <cell r="H3828">
            <v>1</v>
          </cell>
          <cell r="O3828">
            <v>187342</v>
          </cell>
          <cell r="P3828"/>
          <cell r="Q3828" t="str">
            <v>EST MODULO CHAISE BRACO DIR AFTONE TC 4085 | TC F6034</v>
          </cell>
          <cell r="R3828"/>
          <cell r="S3828"/>
          <cell r="T3828">
            <v>1</v>
          </cell>
          <cell r="U3828">
            <v>2.85</v>
          </cell>
          <cell r="V3828">
            <v>0</v>
          </cell>
          <cell r="W3828">
            <v>0</v>
          </cell>
          <cell r="X3828" t="str">
            <v>EST MODULO CHAISE BRACO DIR AFTONE TC 4085 | TC F6034 - 1x2,85x0H</v>
          </cell>
          <cell r="Y3828">
            <v>0</v>
          </cell>
          <cell r="Z3828">
            <v>0.35</v>
          </cell>
          <cell r="AA3828">
            <v>0</v>
          </cell>
          <cell r="AB3828"/>
        </row>
        <row r="3829">
          <cell r="C3829">
            <v>0</v>
          </cell>
          <cell r="D3829">
            <v>0</v>
          </cell>
          <cell r="E3829">
            <v>0</v>
          </cell>
          <cell r="F3829">
            <v>0</v>
          </cell>
          <cell r="H3829">
            <v>2</v>
          </cell>
          <cell r="O3829">
            <v>187636</v>
          </cell>
          <cell r="P3829"/>
          <cell r="Q3829" t="str">
            <v>EST CADEIRA PLIS (CASTANHO) TC 7008 | TC 5343</v>
          </cell>
          <cell r="R3829"/>
          <cell r="S3829"/>
          <cell r="T3829">
            <v>0.57999999999999996</v>
          </cell>
          <cell r="U3829">
            <v>0.64</v>
          </cell>
          <cell r="V3829">
            <v>0.94</v>
          </cell>
          <cell r="W3829">
            <v>0</v>
          </cell>
          <cell r="X3829" t="str">
            <v>EST CADEIRA PLIS (CASTANHO) TC 7008 | TC 5343 - 0,58x0,64x0,94H</v>
          </cell>
          <cell r="Y3829" t="str">
            <v>EST</v>
          </cell>
          <cell r="Z3829">
            <v>0.35</v>
          </cell>
          <cell r="AA3829" t="e">
            <v>#VALUE!</v>
          </cell>
          <cell r="AB3829"/>
        </row>
        <row r="3830">
          <cell r="C3830">
            <v>0</v>
          </cell>
          <cell r="D3830">
            <v>0</v>
          </cell>
          <cell r="E3830">
            <v>0</v>
          </cell>
          <cell r="F3830">
            <v>0</v>
          </cell>
          <cell r="H3830">
            <v>1</v>
          </cell>
          <cell r="O3830">
            <v>191066</v>
          </cell>
          <cell r="P3830"/>
          <cell r="Q3830" t="str">
            <v>EST POLTRONA DIONE (PES REVESTIDOS) TC 647-B4</v>
          </cell>
          <cell r="R3830"/>
          <cell r="S3830"/>
          <cell r="T3830">
            <v>1.2</v>
          </cell>
          <cell r="U3830">
            <v>0.98</v>
          </cell>
          <cell r="V3830">
            <v>0.85</v>
          </cell>
          <cell r="W3830">
            <v>0</v>
          </cell>
          <cell r="X3830" t="str">
            <v>EST POLTRONA DIONE (PES REVESTIDOS) TC 647-B4 - 1,2x0,98x0,85H</v>
          </cell>
          <cell r="Y3830">
            <v>0</v>
          </cell>
          <cell r="Z3830">
            <v>0.35</v>
          </cell>
          <cell r="AA3830">
            <v>0</v>
          </cell>
          <cell r="AB3830"/>
        </row>
        <row r="3831"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H3831">
            <v>1</v>
          </cell>
          <cell r="O3831">
            <v>193067</v>
          </cell>
          <cell r="P3831"/>
          <cell r="Q3831" t="str">
            <v>EST MESA CENTRO MOOVE (INOX) (FREIJO) (LACA K155)</v>
          </cell>
          <cell r="R3831"/>
          <cell r="S3831"/>
          <cell r="T3831">
            <v>1.4</v>
          </cell>
          <cell r="U3831">
            <v>1.4</v>
          </cell>
          <cell r="V3831">
            <v>0.34</v>
          </cell>
          <cell r="W3831">
            <v>0</v>
          </cell>
          <cell r="X3831" t="str">
            <v>EST MESA CENTRO MOOVE (INOX) (FREIJO) (LACA K155) - 1,4x1,4x0,34H</v>
          </cell>
          <cell r="Y3831">
            <v>0</v>
          </cell>
          <cell r="Z3831">
            <v>0.35</v>
          </cell>
          <cell r="AA3831">
            <v>0</v>
          </cell>
          <cell r="AB3831"/>
        </row>
        <row r="3832">
          <cell r="C3832">
            <v>0</v>
          </cell>
          <cell r="D3832">
            <v>0</v>
          </cell>
          <cell r="E3832">
            <v>0</v>
          </cell>
          <cell r="F3832">
            <v>0</v>
          </cell>
          <cell r="H3832">
            <v>1</v>
          </cell>
          <cell r="O3832">
            <v>196057</v>
          </cell>
          <cell r="P3832"/>
          <cell r="Q3832" t="str">
            <v>EST MESA CENTRO BERTALHA (ALUMINIO CAPUCCINO)</v>
          </cell>
          <cell r="R3832"/>
          <cell r="S3832"/>
          <cell r="T3832">
            <v>1.1000000000000001</v>
          </cell>
          <cell r="U3832">
            <v>1.1000000000000001</v>
          </cell>
          <cell r="V3832">
            <v>0.23</v>
          </cell>
          <cell r="W3832">
            <v>0</v>
          </cell>
          <cell r="X3832" t="str">
            <v>EST MESA CENTRO BERTALHA (ALUMINIO CAPUCCINO) - 1,1x1,1x0,23H</v>
          </cell>
          <cell r="Y3832">
            <v>0</v>
          </cell>
          <cell r="Z3832">
            <v>0.35</v>
          </cell>
          <cell r="AA3832">
            <v>0</v>
          </cell>
          <cell r="AB3832"/>
        </row>
        <row r="3833">
          <cell r="C3833">
            <v>0</v>
          </cell>
          <cell r="D3833">
            <v>0</v>
          </cell>
          <cell r="E3833">
            <v>0</v>
          </cell>
          <cell r="F3833">
            <v>0</v>
          </cell>
          <cell r="H3833">
            <v>1</v>
          </cell>
          <cell r="O3833">
            <v>196058</v>
          </cell>
          <cell r="P3833"/>
          <cell r="Q3833" t="str">
            <v>EST POLTRONA EIXO (CAPUCCINO) (FB44/FB42) TC Q151</v>
          </cell>
          <cell r="R3833"/>
          <cell r="S3833"/>
          <cell r="T3833">
            <v>0.7</v>
          </cell>
          <cell r="U3833">
            <v>0.7</v>
          </cell>
          <cell r="V3833">
            <v>0.78</v>
          </cell>
          <cell r="W3833">
            <v>0</v>
          </cell>
          <cell r="X3833" t="str">
            <v>EST POLTRONA EIXO (CAPUCCINO) (FB44/FB42) TC Q151 - 0,7x0,7x0,78H</v>
          </cell>
          <cell r="Y3833">
            <v>0</v>
          </cell>
          <cell r="Z3833">
            <v>0.35</v>
          </cell>
          <cell r="AA3833">
            <v>0</v>
          </cell>
          <cell r="AB3833"/>
        </row>
        <row r="3834">
          <cell r="C3834">
            <v>0</v>
          </cell>
          <cell r="D3834">
            <v>0</v>
          </cell>
          <cell r="E3834">
            <v>0</v>
          </cell>
          <cell r="F3834">
            <v>0</v>
          </cell>
          <cell r="H3834">
            <v>2</v>
          </cell>
          <cell r="O3834">
            <v>196059</v>
          </cell>
          <cell r="P3834"/>
          <cell r="Q3834" t="str">
            <v>EST POLTRONA FLY (CAPUCCINO) (FIBRA FB42) TC Q135</v>
          </cell>
          <cell r="R3834"/>
          <cell r="S3834"/>
          <cell r="T3834">
            <v>0.7</v>
          </cell>
          <cell r="U3834">
            <v>0.69</v>
          </cell>
          <cell r="V3834">
            <v>0.81</v>
          </cell>
          <cell r="W3834">
            <v>0</v>
          </cell>
          <cell r="X3834" t="str">
            <v>EST POLTRONA FLY (CAPUCCINO) (FIBRA FB42) TC Q135 - 0,7x0,69x0,81H</v>
          </cell>
          <cell r="Y3834">
            <v>0</v>
          </cell>
          <cell r="Z3834">
            <v>0.35</v>
          </cell>
          <cell r="AA3834">
            <v>0</v>
          </cell>
          <cell r="AB3834"/>
        </row>
        <row r="3835"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H3835">
            <v>1</v>
          </cell>
          <cell r="O3835">
            <v>201241</v>
          </cell>
          <cell r="P3835"/>
          <cell r="Q3835" t="str">
            <v>EST POLTRONA DONNA (IMBUIA) TC 0116 D</v>
          </cell>
          <cell r="R3835"/>
          <cell r="S3835"/>
          <cell r="T3835">
            <v>0.9</v>
          </cell>
          <cell r="U3835">
            <v>0.84</v>
          </cell>
          <cell r="V3835">
            <v>0.85</v>
          </cell>
          <cell r="W3835">
            <v>0</v>
          </cell>
          <cell r="X3835" t="str">
            <v>EST POLTRONA DONNA (IMBUIA) TC 0116 D - 0,9x0,84x0,85H</v>
          </cell>
          <cell r="Y3835">
            <v>0</v>
          </cell>
          <cell r="Z3835">
            <v>0.35</v>
          </cell>
          <cell r="AA3835">
            <v>0</v>
          </cell>
          <cell r="AB3835"/>
        </row>
        <row r="3836"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H3836">
            <v>1</v>
          </cell>
          <cell r="O3836">
            <v>203130</v>
          </cell>
          <cell r="P3836"/>
          <cell r="Q3836" t="str">
            <v>EST POLTRONA PAETE (C/CAPA) (FIXA) TC 10030113</v>
          </cell>
          <cell r="R3836"/>
          <cell r="S3836"/>
          <cell r="T3836">
            <v>0.9</v>
          </cell>
          <cell r="U3836">
            <v>0.87</v>
          </cell>
          <cell r="V3836">
            <v>0.86</v>
          </cell>
          <cell r="W3836">
            <v>0</v>
          </cell>
          <cell r="X3836" t="str">
            <v>EST POLTRONA PAETE (C/CAPA) (FIXA) TC 10030113 - 0,9x0,87x0,86H</v>
          </cell>
          <cell r="Y3836">
            <v>0</v>
          </cell>
          <cell r="Z3836">
            <v>0.35</v>
          </cell>
          <cell r="AA3836">
            <v>0</v>
          </cell>
          <cell r="AB3836"/>
        </row>
        <row r="3837">
          <cell r="C3837">
            <v>0</v>
          </cell>
          <cell r="D3837">
            <v>0</v>
          </cell>
          <cell r="E3837">
            <v>0</v>
          </cell>
          <cell r="F3837">
            <v>0</v>
          </cell>
          <cell r="H3837">
            <v>1</v>
          </cell>
          <cell r="O3837">
            <v>203135</v>
          </cell>
          <cell r="P3837"/>
          <cell r="Q3837" t="str">
            <v>EST CADEIRA ZARA (MADEIRA IMBUIA MEL) TC P3339</v>
          </cell>
          <cell r="R3837"/>
          <cell r="S3837"/>
          <cell r="T3837">
            <v>0.48</v>
          </cell>
          <cell r="U3837">
            <v>0.53</v>
          </cell>
          <cell r="V3837">
            <v>0.85</v>
          </cell>
          <cell r="W3837">
            <v>0</v>
          </cell>
          <cell r="X3837" t="str">
            <v>EST CADEIRA ZARA (MADEIRA IMBUIA MEL) TC P3339 - 0,48x0,53x0,85H</v>
          </cell>
          <cell r="Y3837">
            <v>0</v>
          </cell>
          <cell r="Z3837">
            <v>0.35</v>
          </cell>
          <cell r="AA3837">
            <v>0</v>
          </cell>
          <cell r="AB3837"/>
        </row>
        <row r="3838">
          <cell r="C3838">
            <v>0</v>
          </cell>
          <cell r="D3838">
            <v>0</v>
          </cell>
          <cell r="E3838">
            <v>0</v>
          </cell>
          <cell r="F3838">
            <v>0</v>
          </cell>
          <cell r="H3838">
            <v>1</v>
          </cell>
          <cell r="O3838">
            <v>203139</v>
          </cell>
          <cell r="P3838"/>
          <cell r="Q3838" t="str">
            <v>EST POLTRONA VOGUE (MADEIRA MEL) TC P3321</v>
          </cell>
          <cell r="R3838"/>
          <cell r="S3838"/>
          <cell r="T3838">
            <v>0.55000000000000004</v>
          </cell>
          <cell r="U3838">
            <v>0.51</v>
          </cell>
          <cell r="V3838">
            <v>0.91</v>
          </cell>
          <cell r="W3838">
            <v>0</v>
          </cell>
          <cell r="X3838" t="str">
            <v>EST POLTRONA VOGUE (MADEIRA MEL) TC P3321 - 0,55x0,51x0,91H</v>
          </cell>
          <cell r="Y3838">
            <v>0</v>
          </cell>
          <cell r="Z3838">
            <v>0.35</v>
          </cell>
          <cell r="AA3838">
            <v>0</v>
          </cell>
          <cell r="AB3838"/>
        </row>
        <row r="3839"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H3839">
            <v>1</v>
          </cell>
          <cell r="O3839">
            <v>203140</v>
          </cell>
          <cell r="P3839"/>
          <cell r="Q3839" t="str">
            <v>EST POLTRONA VOGUE (MADEIRA IMBUIA MEL) TC G2228</v>
          </cell>
          <cell r="R3839"/>
          <cell r="S3839"/>
          <cell r="T3839">
            <v>0.55000000000000004</v>
          </cell>
          <cell r="U3839">
            <v>0.51</v>
          </cell>
          <cell r="V3839">
            <v>0.91</v>
          </cell>
          <cell r="W3839">
            <v>0</v>
          </cell>
          <cell r="X3839" t="str">
            <v>EST POLTRONA VOGUE (MADEIRA IMBUIA MEL) TC G2228 - 0,55x0,51x0,91H</v>
          </cell>
          <cell r="Y3839">
            <v>0</v>
          </cell>
          <cell r="Z3839">
            <v>0.35</v>
          </cell>
          <cell r="AA3839">
            <v>0</v>
          </cell>
          <cell r="AB3839"/>
        </row>
        <row r="3840"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H3840">
            <v>2</v>
          </cell>
          <cell r="O3840">
            <v>203600</v>
          </cell>
          <cell r="P3840"/>
          <cell r="Q3840" t="str">
            <v>EST QUADRO ROUND BAMBU RED LISO D74X7,2CM (RDL70-BB)</v>
          </cell>
          <cell r="R3840"/>
          <cell r="S3840"/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 t="str">
            <v>EST QUADRO ROUND BAMBU RED LISO D74X7,2CM (RDL70-BB) - Ø0x0H</v>
          </cell>
          <cell r="Y3840" t="e">
            <v>#VALUE!</v>
          </cell>
          <cell r="Z3840">
            <v>0.35</v>
          </cell>
          <cell r="AA3840" t="e">
            <v>#VALUE!</v>
          </cell>
          <cell r="AB3840"/>
        </row>
        <row r="3841"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H3841">
            <v>1</v>
          </cell>
          <cell r="O3841">
            <v>203601</v>
          </cell>
          <cell r="P3841"/>
          <cell r="Q3841" t="str">
            <v>EST QUADRO ROUND BAMBU RED LISO D64X7,2CM (RDL60-BB)</v>
          </cell>
          <cell r="R3841"/>
          <cell r="S3841"/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 t="str">
            <v>EST QUADRO ROUND BAMBU RED LISO D64X7,2CM (RDL60-BB) - Ø0x0H</v>
          </cell>
          <cell r="Y3841" t="e">
            <v>#VALUE!</v>
          </cell>
          <cell r="Z3841">
            <v>0.35</v>
          </cell>
          <cell r="AA3841" t="e">
            <v>#VALUE!</v>
          </cell>
          <cell r="AB3841"/>
        </row>
        <row r="3842"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H3842">
            <v>1</v>
          </cell>
          <cell r="O3842">
            <v>203827</v>
          </cell>
          <cell r="P3842"/>
          <cell r="Q3842" t="str">
            <v>EST APARADOR NEST (LACA BRILHO METALIZADA CHAMPAGNE)</v>
          </cell>
          <cell r="R3842"/>
          <cell r="S3842"/>
          <cell r="T3842">
            <v>1.5</v>
          </cell>
          <cell r="U3842">
            <v>0.4</v>
          </cell>
          <cell r="V3842">
            <v>0.76</v>
          </cell>
          <cell r="W3842">
            <v>0</v>
          </cell>
          <cell r="X3842" t="str">
            <v>EST APARADOR NEST (LACA BRILHO METALIZADA CHAMPAGNE) - 1,5x0,4x0,76H</v>
          </cell>
          <cell r="Y3842">
            <v>0</v>
          </cell>
          <cell r="Z3842">
            <v>0.35</v>
          </cell>
          <cell r="AA3842">
            <v>0</v>
          </cell>
          <cell r="AB3842"/>
        </row>
        <row r="3843"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H3843">
            <v>1</v>
          </cell>
          <cell r="O3843">
            <v>205161</v>
          </cell>
          <cell r="P3843"/>
          <cell r="Q3843" t="str">
            <v>EST MESA CENTRO KOBO (DUPLA) (LACA H155 | LEGNO)</v>
          </cell>
          <cell r="R3843"/>
          <cell r="S3843"/>
          <cell r="T3843">
            <v>1.9</v>
          </cell>
          <cell r="U3843">
            <v>1</v>
          </cell>
          <cell r="V3843">
            <v>0.34</v>
          </cell>
          <cell r="W3843">
            <v>0</v>
          </cell>
          <cell r="X3843" t="str">
            <v>EST MESA CENTRO KOBO (DUPLA) (LACA H155 | LEGNO) - 1,9x1x0,34H</v>
          </cell>
          <cell r="Y3843">
            <v>0</v>
          </cell>
          <cell r="Z3843">
            <v>0.35</v>
          </cell>
          <cell r="AA3843">
            <v>0</v>
          </cell>
          <cell r="AB3843"/>
        </row>
        <row r="3844"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H3844">
            <v>1</v>
          </cell>
          <cell r="O3844">
            <v>206588</v>
          </cell>
          <cell r="P3844"/>
          <cell r="Q3844" t="str">
            <v>EST CADEIRA MADDA (ACO CARBONO LAMINADO NOGAL) TC 551</v>
          </cell>
          <cell r="R3844"/>
          <cell r="S3844"/>
          <cell r="T3844">
            <v>0.64</v>
          </cell>
          <cell r="U3844">
            <v>0.57999999999999996</v>
          </cell>
          <cell r="V3844">
            <v>0.82</v>
          </cell>
          <cell r="W3844">
            <v>0</v>
          </cell>
          <cell r="X3844" t="str">
            <v>EST CADEIRA MADDA (ACO CARBONO LAMINADO NOGAL) TC 551 - 0,64x0,58x0,82H</v>
          </cell>
          <cell r="Y3844">
            <v>0</v>
          </cell>
          <cell r="Z3844">
            <v>0.35</v>
          </cell>
          <cell r="AA3844">
            <v>0</v>
          </cell>
          <cell r="AB3844"/>
        </row>
        <row r="3845"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H3845">
            <v>2</v>
          </cell>
          <cell r="O3845">
            <v>207223</v>
          </cell>
          <cell r="P3845"/>
          <cell r="Q3845" t="str">
            <v>EST CADEIRA FILO C/BRACO (IPE) COURO CAMURCA GRAFITE</v>
          </cell>
          <cell r="R3845"/>
          <cell r="S3845"/>
          <cell r="T3845">
            <v>0.56000000000000005</v>
          </cell>
          <cell r="U3845">
            <v>0.56000000000000005</v>
          </cell>
          <cell r="V3845">
            <v>0.81</v>
          </cell>
          <cell r="W3845">
            <v>0</v>
          </cell>
          <cell r="X3845" t="str">
            <v>EST CADEIRA FILO C/BRACO (IPE) COURO CAMURCA GRAFITE - 0,56x0,56x0,81H</v>
          </cell>
          <cell r="Y3845" t="e">
            <v>#VALUE!</v>
          </cell>
          <cell r="Z3845">
            <v>0.35</v>
          </cell>
          <cell r="AA3845" t="e">
            <v>#VALUE!</v>
          </cell>
          <cell r="AB3845"/>
        </row>
        <row r="3846"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H3846">
            <v>1</v>
          </cell>
          <cell r="O3846">
            <v>208851</v>
          </cell>
          <cell r="P3846"/>
          <cell r="Q3846" t="str">
            <v>EST CADEIRA DONNA (MEL CLARO) COURO GRAND CANYON 11</v>
          </cell>
          <cell r="R3846"/>
          <cell r="S3846"/>
          <cell r="T3846">
            <v>0.52</v>
          </cell>
          <cell r="U3846">
            <v>0.61</v>
          </cell>
          <cell r="V3846">
            <v>0.75</v>
          </cell>
          <cell r="W3846">
            <v>0</v>
          </cell>
          <cell r="X3846" t="str">
            <v>EST CADEIRA DONNA (MEL CLARO) COURO GRAND CANYON 11 - 0,52x0,61x0,75H</v>
          </cell>
          <cell r="Y3846">
            <v>0</v>
          </cell>
          <cell r="Z3846">
            <v>0.35</v>
          </cell>
          <cell r="AA3846">
            <v>0</v>
          </cell>
          <cell r="AB3846"/>
        </row>
        <row r="3847"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H3847">
            <v>4</v>
          </cell>
          <cell r="O3847">
            <v>210373</v>
          </cell>
          <cell r="P3847"/>
          <cell r="Q3847" t="str">
            <v>EST CADEIRA FLORA (ESTOFADA) TC 7008</v>
          </cell>
          <cell r="R3847"/>
          <cell r="S3847"/>
          <cell r="T3847">
            <v>0.51</v>
          </cell>
          <cell r="U3847">
            <v>0.65</v>
          </cell>
          <cell r="V3847">
            <v>0.88</v>
          </cell>
          <cell r="W3847">
            <v>0</v>
          </cell>
          <cell r="X3847" t="str">
            <v>EST CADEIRA FLORA (ESTOFADA) TC 7008 - 0,51x0,65x0,88H</v>
          </cell>
          <cell r="Y3847" t="str">
            <v>EST</v>
          </cell>
          <cell r="Z3847">
            <v>0.35</v>
          </cell>
          <cell r="AA3847" t="e">
            <v>#VALUE!</v>
          </cell>
          <cell r="AB3847"/>
        </row>
        <row r="3848"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H3848">
            <v>1</v>
          </cell>
          <cell r="O3848">
            <v>210376</v>
          </cell>
          <cell r="P3848"/>
          <cell r="Q3848" t="str">
            <v>EST APARADOR DONNA (LACA BRILHO BRANCA) (TAMPO ULTRACLEAR)</v>
          </cell>
          <cell r="R3848"/>
          <cell r="S3848"/>
          <cell r="T3848">
            <v>1.8</v>
          </cell>
          <cell r="U3848">
            <v>0.4</v>
          </cell>
          <cell r="V3848">
            <v>0.75</v>
          </cell>
          <cell r="W3848">
            <v>0</v>
          </cell>
          <cell r="X3848" t="str">
            <v>EST APARADOR DONNA (LACA BRILHO BRANCA) (TAMPO ULTRACLEAR) - 1,8x0,4x0,75H</v>
          </cell>
          <cell r="Y3848">
            <v>0</v>
          </cell>
          <cell r="Z3848">
            <v>0.35</v>
          </cell>
          <cell r="AA3848">
            <v>0</v>
          </cell>
          <cell r="AB3848"/>
        </row>
        <row r="3849"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H3849">
            <v>1</v>
          </cell>
          <cell r="O3849">
            <v>210386</v>
          </cell>
          <cell r="P3849"/>
          <cell r="Q3849" t="str">
            <v>EST CADEIRA GAVEA C/BRACO (MEL) COURO 20363</v>
          </cell>
          <cell r="R3849"/>
          <cell r="S3849"/>
          <cell r="T3849">
            <v>0.5</v>
          </cell>
          <cell r="U3849">
            <v>0.63</v>
          </cell>
          <cell r="V3849">
            <v>0.87</v>
          </cell>
          <cell r="W3849">
            <v>0</v>
          </cell>
          <cell r="X3849" t="str">
            <v>EST CADEIRA GAVEA C/BRACO (MEL) COURO 20363 - 0,5x0,63x0,87H</v>
          </cell>
          <cell r="Y3849">
            <v>0</v>
          </cell>
          <cell r="Z3849">
            <v>0.35</v>
          </cell>
          <cell r="AA3849">
            <v>0</v>
          </cell>
          <cell r="AB3849"/>
        </row>
        <row r="3850"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H3850">
            <v>2</v>
          </cell>
          <cell r="O3850">
            <v>210542</v>
          </cell>
          <cell r="P3850"/>
          <cell r="Q3850" t="str">
            <v>EST PUFF ZEN (IMBUIA) TC VELVET BAMBU DARKPURPLE</v>
          </cell>
          <cell r="R3850"/>
          <cell r="S3850"/>
          <cell r="T3850">
            <v>0.5</v>
          </cell>
          <cell r="U3850">
            <v>0</v>
          </cell>
          <cell r="V3850">
            <v>0.43</v>
          </cell>
          <cell r="W3850">
            <v>0.5</v>
          </cell>
          <cell r="X3850" t="str">
            <v>EST PUFF ZEN (IMBUIA) TC VELVET BAMBU DARKPURPLE - Ø0,5x0,43H</v>
          </cell>
          <cell r="Y3850">
            <v>0</v>
          </cell>
          <cell r="Z3850">
            <v>0.35</v>
          </cell>
          <cell r="AA3850">
            <v>0</v>
          </cell>
          <cell r="AB3850"/>
        </row>
        <row r="3851"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H3851">
            <v>1</v>
          </cell>
          <cell r="O3851">
            <v>219387</v>
          </cell>
          <cell r="P3851"/>
          <cell r="Q3851" t="str">
            <v>EST MESA CENTRO CLOS (INOX JASPER) (LACA BRILHO H155)</v>
          </cell>
          <cell r="R3851"/>
          <cell r="S3851"/>
          <cell r="T3851">
            <v>1.6</v>
          </cell>
          <cell r="U3851">
            <v>0.45</v>
          </cell>
          <cell r="V3851">
            <v>0.3</v>
          </cell>
          <cell r="W3851">
            <v>0</v>
          </cell>
          <cell r="X3851" t="str">
            <v>EST MESA CENTRO CLOS (INOX JASPER) (LACA BRILHO H155) - 1,6x0,45x0,3H</v>
          </cell>
          <cell r="Y3851">
            <v>0</v>
          </cell>
          <cell r="Z3851">
            <v>0.35</v>
          </cell>
          <cell r="AA3851">
            <v>0</v>
          </cell>
          <cell r="AB3851"/>
        </row>
        <row r="3852"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H3852">
            <v>1</v>
          </cell>
          <cell r="O3852">
            <v>219524</v>
          </cell>
          <cell r="P3852" t="str">
            <v>2018/213-0087-01</v>
          </cell>
          <cell r="Q3852" t="str">
            <v>EST TAMPO CRISTAL LAPIDADO (15MM) INCOLOR CANTO TICK</v>
          </cell>
          <cell r="R3852"/>
          <cell r="S3852"/>
          <cell r="T3852">
            <v>1.8</v>
          </cell>
          <cell r="U3852">
            <v>0.7</v>
          </cell>
          <cell r="V3852">
            <v>0.01</v>
          </cell>
          <cell r="W3852">
            <v>0</v>
          </cell>
          <cell r="X3852" t="str">
            <v>EST TAMPO CRISTAL LAPIDADO (15MM) INCOLOR CANTO TICK - 1,8x0,7x0,01H</v>
          </cell>
          <cell r="Y3852">
            <v>7265.9285999999993</v>
          </cell>
          <cell r="Z3852">
            <v>0.35</v>
          </cell>
          <cell r="AA3852">
            <v>4722.8535899999997</v>
          </cell>
          <cell r="AB3852"/>
        </row>
        <row r="3853"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H3853">
            <v>1</v>
          </cell>
          <cell r="O3853">
            <v>222971</v>
          </cell>
          <cell r="P3853" t="str">
            <v>2018/127-0031-01</v>
          </cell>
          <cell r="Q3853" t="str">
            <v>EST TAMPO CRISTAL LAPIDADO (15MM) INCOLOR CTO MOEDA</v>
          </cell>
          <cell r="R3853"/>
          <cell r="S3853"/>
          <cell r="T3853">
            <v>1.5</v>
          </cell>
          <cell r="U3853">
            <v>0.7</v>
          </cell>
          <cell r="V3853">
            <v>0.01</v>
          </cell>
          <cell r="W3853">
            <v>0</v>
          </cell>
          <cell r="X3853" t="str">
            <v>EST TAMPO CRISTAL LAPIDADO (15MM) INCOLOR CTO MOEDA - 1,5x0,7x0,01H</v>
          </cell>
          <cell r="Y3853">
            <v>5766.61</v>
          </cell>
          <cell r="Z3853">
            <v>0.35</v>
          </cell>
          <cell r="AA3853">
            <v>3748.2964999999999</v>
          </cell>
          <cell r="AB3853"/>
        </row>
        <row r="3854"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H3854">
            <v>1</v>
          </cell>
          <cell r="O3854">
            <v>223874</v>
          </cell>
          <cell r="P3854"/>
          <cell r="Q3854" t="str">
            <v>EST MESA CENTRO CLOS (INOX JASPER) (LACA BRILHO H155)</v>
          </cell>
          <cell r="R3854"/>
          <cell r="S3854"/>
          <cell r="T3854">
            <v>1.8</v>
          </cell>
          <cell r="U3854">
            <v>0.6</v>
          </cell>
          <cell r="V3854">
            <v>0.3</v>
          </cell>
          <cell r="W3854">
            <v>0</v>
          </cell>
          <cell r="X3854" t="str">
            <v>EST MESA CENTRO CLOS (INOX JASPER) (LACA BRILHO H155) - 1,8x0,6x0,3H</v>
          </cell>
          <cell r="Y3854">
            <v>0</v>
          </cell>
          <cell r="Z3854">
            <v>0.35</v>
          </cell>
          <cell r="AA3854">
            <v>0</v>
          </cell>
          <cell r="AB3854"/>
        </row>
        <row r="3855"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H3855">
            <v>0</v>
          </cell>
          <cell r="O3855">
            <v>224535</v>
          </cell>
          <cell r="P3855"/>
          <cell r="Q3855" t="str">
            <v>EST LUMINARIA XXO (BASE ACRILICO / CUPULA VIDRO)</v>
          </cell>
          <cell r="R3855"/>
          <cell r="S3855"/>
          <cell r="T3855">
            <v>0.25</v>
          </cell>
          <cell r="U3855">
            <v>0.25</v>
          </cell>
          <cell r="V3855">
            <v>0.2</v>
          </cell>
          <cell r="W3855">
            <v>0</v>
          </cell>
          <cell r="X3855" t="str">
            <v>EST LUMINARIA XXO (BASE ACRILICO / CUPULA VIDRO) - 0,25x0,25x0,2H</v>
          </cell>
          <cell r="Y3855">
            <v>0</v>
          </cell>
          <cell r="Z3855">
            <v>0.35</v>
          </cell>
          <cell r="AA3855">
            <v>0</v>
          </cell>
          <cell r="AB3855"/>
        </row>
        <row r="3856"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H3856">
            <v>2</v>
          </cell>
          <cell r="O3856">
            <v>231017</v>
          </cell>
          <cell r="P3856"/>
          <cell r="Q3856" t="str">
            <v>EST CADEIRA FLORA C/BRACO (ESTOFADA) TC 7040</v>
          </cell>
          <cell r="R3856"/>
          <cell r="S3856"/>
          <cell r="T3856">
            <v>0.63</v>
          </cell>
          <cell r="U3856">
            <v>0.65</v>
          </cell>
          <cell r="V3856">
            <v>0.88</v>
          </cell>
          <cell r="W3856">
            <v>0</v>
          </cell>
          <cell r="X3856" t="str">
            <v>EST CADEIRA FLORA C/BRACO (ESTOFADA) TC 7040 - 0,63x0,65x0,88H</v>
          </cell>
          <cell r="Y3856" t="str">
            <v>EST</v>
          </cell>
          <cell r="Z3856">
            <v>0.35</v>
          </cell>
          <cell r="AA3856" t="e">
            <v>#VALUE!</v>
          </cell>
          <cell r="AB3856"/>
        </row>
        <row r="3857"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H3857">
            <v>2</v>
          </cell>
          <cell r="O3857">
            <v>231876</v>
          </cell>
          <cell r="P3857"/>
          <cell r="Q3857" t="str">
            <v>EST CADEIRA SMALL (EBANIZADO) TC 3006</v>
          </cell>
          <cell r="R3857"/>
          <cell r="S3857"/>
          <cell r="T3857">
            <v>0.46</v>
          </cell>
          <cell r="U3857">
            <v>0.56000000000000005</v>
          </cell>
          <cell r="V3857">
            <v>0.86</v>
          </cell>
          <cell r="W3857">
            <v>0</v>
          </cell>
          <cell r="X3857" t="str">
            <v>EST CADEIRA SMALL (EBANIZADO) TC 3006 - 0,46x0,56x0,86H</v>
          </cell>
          <cell r="Y3857">
            <v>0</v>
          </cell>
          <cell r="Z3857">
            <v>0.35</v>
          </cell>
          <cell r="AA3857">
            <v>0</v>
          </cell>
          <cell r="AB3857"/>
        </row>
        <row r="3858"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H3858">
            <v>3</v>
          </cell>
          <cell r="O3858">
            <v>232110</v>
          </cell>
          <cell r="P3858" t="str">
            <v>2023/086-0036-01</v>
          </cell>
          <cell r="Q3858" t="str">
            <v>EST TAMPO CRISTAL LAPIDADO (15MM) INCOLOR (CIRCULAR)</v>
          </cell>
          <cell r="R3858"/>
          <cell r="S3858"/>
          <cell r="T3858">
            <v>1.4</v>
          </cell>
          <cell r="U3858">
            <v>0</v>
          </cell>
          <cell r="V3858">
            <v>0.01</v>
          </cell>
          <cell r="W3858">
            <v>1.4</v>
          </cell>
          <cell r="X3858" t="str">
            <v>EST TAMPO CRISTAL LAPIDADO (15MM) INCOLOR (CIRCULAR) - Ø1,4x0,01H</v>
          </cell>
          <cell r="Y3858">
            <v>12895.310399999998</v>
          </cell>
          <cell r="Z3858">
            <v>0.35</v>
          </cell>
          <cell r="AA3858">
            <v>8381.9517599999999</v>
          </cell>
          <cell r="AB3858"/>
        </row>
        <row r="3859"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H3859">
            <v>3</v>
          </cell>
          <cell r="O3859">
            <v>232110</v>
          </cell>
          <cell r="P3859" t="str">
            <v>2024/233-0027-01</v>
          </cell>
          <cell r="Q3859" t="str">
            <v>EST TAMPO CRISTAL LAPIDADO (15MM) INCOLOR (CIRCULAR)</v>
          </cell>
          <cell r="R3859"/>
          <cell r="S3859"/>
          <cell r="T3859">
            <v>1.4</v>
          </cell>
          <cell r="U3859">
            <v>0</v>
          </cell>
          <cell r="V3859">
            <v>0.01</v>
          </cell>
          <cell r="W3859">
            <v>1.4</v>
          </cell>
          <cell r="X3859" t="str">
            <v>EST TAMPO CRISTAL LAPIDADO (15MM) INCOLOR (CIRCULAR) - Ø1,4x0,01H</v>
          </cell>
          <cell r="Y3859">
            <v>12895.310399999998</v>
          </cell>
          <cell r="Z3859">
            <v>0.35</v>
          </cell>
          <cell r="AA3859">
            <v>8381.9517599999999</v>
          </cell>
          <cell r="AB3859"/>
        </row>
        <row r="3860"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H3860">
            <v>3</v>
          </cell>
          <cell r="O3860">
            <v>232110</v>
          </cell>
          <cell r="P3860" t="str">
            <v>2024/233-0026-01</v>
          </cell>
          <cell r="Q3860" t="str">
            <v>EST TAMPO CRISTAL LAPIDADO (15MM) INCOLOR (CIRCULAR)</v>
          </cell>
          <cell r="R3860"/>
          <cell r="S3860"/>
          <cell r="T3860">
            <v>1.4</v>
          </cell>
          <cell r="U3860">
            <v>0</v>
          </cell>
          <cell r="V3860">
            <v>0.01</v>
          </cell>
          <cell r="W3860">
            <v>1.4</v>
          </cell>
          <cell r="X3860" t="str">
            <v>EST TAMPO CRISTAL LAPIDADO (15MM) INCOLOR (CIRCULAR) - Ø1,4x0,01H</v>
          </cell>
          <cell r="Y3860">
            <v>12895.310399999998</v>
          </cell>
          <cell r="Z3860">
            <v>0.35</v>
          </cell>
          <cell r="AA3860">
            <v>8381.9517599999999</v>
          </cell>
          <cell r="AB3860"/>
        </row>
        <row r="3861"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H3861">
            <v>0</v>
          </cell>
          <cell r="O3861">
            <v>63478</v>
          </cell>
          <cell r="P3861"/>
          <cell r="Q3861" t="str">
            <v>EST CD ROMA IMBUIA MEDIA COURO RODEO</v>
          </cell>
          <cell r="R3861"/>
          <cell r="S3861"/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 t="str">
            <v>EST CD ROMA IMBUIA MEDIA COURO RODEO - Ø0x0H</v>
          </cell>
          <cell r="Y3861">
            <v>0</v>
          </cell>
          <cell r="Z3861">
            <v>0.35</v>
          </cell>
          <cell r="AA3861">
            <v>0</v>
          </cell>
          <cell r="AB3861"/>
        </row>
        <row r="3862"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H3862">
            <v>1</v>
          </cell>
          <cell r="O3862">
            <v>63998</v>
          </cell>
          <cell r="P3862"/>
          <cell r="Q3862" t="str">
            <v>EST BANCO PI (MACICA PINNUS ENVELHECIDO)</v>
          </cell>
          <cell r="R3862"/>
          <cell r="S3862"/>
          <cell r="T3862">
            <v>0.59</v>
          </cell>
          <cell r="U3862">
            <v>0.4</v>
          </cell>
          <cell r="V3862">
            <v>0.45</v>
          </cell>
          <cell r="W3862">
            <v>0</v>
          </cell>
          <cell r="X3862" t="str">
            <v>EST BANCO PI (MACICA PINNUS ENVELHECIDO) - 0,59x0,4x0,45H</v>
          </cell>
          <cell r="Y3862">
            <v>0</v>
          </cell>
          <cell r="Z3862">
            <v>0.35</v>
          </cell>
          <cell r="AA3862">
            <v>0</v>
          </cell>
          <cell r="AB3862"/>
        </row>
        <row r="3863"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H3863">
            <v>2</v>
          </cell>
          <cell r="O3863">
            <v>77581</v>
          </cell>
          <cell r="P3863"/>
          <cell r="Q3863" t="str">
            <v>EST ESTANTE VENEZIA (4 MODULOS) (FREIJO CASTANHO)</v>
          </cell>
          <cell r="R3863"/>
          <cell r="S3863"/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 t="str">
            <v>EST ESTANTE VENEZIA (4 MODULOS) (FREIJO CASTANHO) - Ø0x0H</v>
          </cell>
          <cell r="Y3863">
            <v>0</v>
          </cell>
          <cell r="Z3863">
            <v>0.35</v>
          </cell>
          <cell r="AA3863">
            <v>0</v>
          </cell>
          <cell r="AB3863"/>
        </row>
        <row r="3864"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H3864">
            <v>1</v>
          </cell>
          <cell r="O3864">
            <v>80036</v>
          </cell>
          <cell r="P3864"/>
          <cell r="Q3864" t="str">
            <v>EST BUFFET CROCCO (CATUABA AVELUDA) (LC V100 FOSCA)</v>
          </cell>
          <cell r="R3864"/>
          <cell r="S3864"/>
          <cell r="T3864">
            <v>2</v>
          </cell>
          <cell r="U3864">
            <v>0.5</v>
          </cell>
          <cell r="V3864">
            <v>0.75</v>
          </cell>
          <cell r="W3864">
            <v>0</v>
          </cell>
          <cell r="X3864" t="str">
            <v>EST BUFFET CROCCO (CATUABA AVELUDA) (LC V100 FOSCA) - 2x0,5x0,75H</v>
          </cell>
          <cell r="Y3864">
            <v>0</v>
          </cell>
          <cell r="Z3864">
            <v>0.35</v>
          </cell>
          <cell r="AA3864">
            <v>0</v>
          </cell>
          <cell r="AB3864"/>
        </row>
        <row r="3865"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H3865">
            <v>2</v>
          </cell>
          <cell r="O3865">
            <v>80044</v>
          </cell>
          <cell r="P3865"/>
          <cell r="Q3865" t="str">
            <v>EST POLTRONA CROCCO (CATUABA AVELUDADA) TC SARJA</v>
          </cell>
          <cell r="R3865"/>
          <cell r="S3865"/>
          <cell r="T3865">
            <v>0.74</v>
          </cell>
          <cell r="U3865">
            <v>0.72</v>
          </cell>
          <cell r="V3865">
            <v>0.81</v>
          </cell>
          <cell r="W3865">
            <v>0</v>
          </cell>
          <cell r="X3865" t="str">
            <v>EST POLTRONA CROCCO (CATUABA AVELUDADA) TC SARJA - 0,74x0,72x0,81H</v>
          </cell>
          <cell r="Y3865">
            <v>0</v>
          </cell>
          <cell r="Z3865">
            <v>0.35</v>
          </cell>
          <cell r="AA3865">
            <v>0</v>
          </cell>
          <cell r="AB3865"/>
        </row>
        <row r="3866"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H3866">
            <v>1</v>
          </cell>
          <cell r="O3866">
            <v>80189</v>
          </cell>
          <cell r="P3866"/>
          <cell r="Q3866" t="str">
            <v>EST BANCO CROCCO (CATUABA) (LACA V100)</v>
          </cell>
          <cell r="R3866"/>
          <cell r="S3866"/>
          <cell r="T3866">
            <v>0.4</v>
          </cell>
          <cell r="U3866">
            <v>0.4</v>
          </cell>
          <cell r="V3866">
            <v>0.45</v>
          </cell>
          <cell r="W3866">
            <v>0</v>
          </cell>
          <cell r="X3866" t="str">
            <v>EST BANCO CROCCO (CATUABA) (LACA V100) - 0,4x0,4x0,45H</v>
          </cell>
          <cell r="Y3866">
            <v>0</v>
          </cell>
          <cell r="Z3866">
            <v>0.35</v>
          </cell>
          <cell r="AA3866">
            <v>0</v>
          </cell>
          <cell r="AB3866"/>
        </row>
        <row r="3867"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H3867">
            <v>0</v>
          </cell>
          <cell r="O3867">
            <v>97400</v>
          </cell>
          <cell r="P3867"/>
          <cell r="Q3867" t="str">
            <v>EST AC LUM GRADIL MESA LACA FOSCA M140</v>
          </cell>
          <cell r="R3867"/>
          <cell r="S3867"/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 t="str">
            <v>EST AC LUM GRADIL MESA LACA FOSCA M140 - Ø0x0H</v>
          </cell>
          <cell r="Y3867">
            <v>0</v>
          </cell>
          <cell r="Z3867">
            <v>0.35</v>
          </cell>
          <cell r="AA3867">
            <v>0</v>
          </cell>
          <cell r="AB3867"/>
        </row>
        <row r="3868"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H3868">
            <v>1</v>
          </cell>
          <cell r="O3868">
            <v>113388</v>
          </cell>
          <cell r="P3868"/>
          <cell r="Q3868" t="str">
            <v>EST BANQUETA BAR ELDORADO (CATUABA AVELUDADA) (DET INOX)</v>
          </cell>
          <cell r="R3868"/>
          <cell r="S3868"/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 t="str">
            <v>EST BANQUETA BAR ELDORADO (CATUABA AVELUDADA) (DET INOX) - Ø0x0H</v>
          </cell>
          <cell r="Y3868">
            <v>0</v>
          </cell>
          <cell r="Z3868">
            <v>0.35</v>
          </cell>
          <cell r="AA3868">
            <v>0</v>
          </cell>
          <cell r="AB3868"/>
        </row>
        <row r="3869"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H3869">
            <v>1</v>
          </cell>
          <cell r="O3869">
            <v>142050</v>
          </cell>
          <cell r="P3869"/>
          <cell r="Q3869" t="str">
            <v>EST ESTANTE VENEZIA (LACA FOSCA PRETA)</v>
          </cell>
          <cell r="R3869"/>
          <cell r="S3869"/>
          <cell r="T3869">
            <v>0.35</v>
          </cell>
          <cell r="U3869">
            <v>0.35</v>
          </cell>
          <cell r="V3869">
            <v>0.52</v>
          </cell>
          <cell r="W3869">
            <v>0</v>
          </cell>
          <cell r="X3869" t="str">
            <v>EST ESTANTE VENEZIA (LACA FOSCA PRETA) - 0,35x0,35x0,52H</v>
          </cell>
          <cell r="Y3869">
            <v>0</v>
          </cell>
          <cell r="Z3869">
            <v>0.35</v>
          </cell>
          <cell r="AA3869">
            <v>0</v>
          </cell>
          <cell r="AB3869"/>
        </row>
        <row r="3870"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H3870">
            <v>4</v>
          </cell>
          <cell r="O3870">
            <v>151236</v>
          </cell>
          <cell r="P3870"/>
          <cell r="Q3870" t="str">
            <v>EST CADEIRA HELVETICA C/BRACO (CATUABA PU) TC 11202-249#02</v>
          </cell>
          <cell r="R3870"/>
          <cell r="S3870"/>
          <cell r="T3870">
            <v>0.55000000000000004</v>
          </cell>
          <cell r="U3870">
            <v>0.61</v>
          </cell>
          <cell r="V3870">
            <v>0.84</v>
          </cell>
          <cell r="W3870">
            <v>0</v>
          </cell>
          <cell r="X3870" t="str">
            <v>EST CADEIRA HELVETICA C/BRACO (CATUABA PU) TC 11202-249#02 - 0,55x0,61x0,84H</v>
          </cell>
          <cell r="Y3870">
            <v>0</v>
          </cell>
          <cell r="Z3870">
            <v>0.35</v>
          </cell>
          <cell r="AA3870">
            <v>0</v>
          </cell>
          <cell r="AB3870"/>
        </row>
        <row r="3871"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H3871">
            <v>3</v>
          </cell>
          <cell r="O3871">
            <v>151242</v>
          </cell>
          <cell r="P3871"/>
          <cell r="Q3871" t="str">
            <v>EST BANCO NINA (CATUABA AVELUDADA) TC 10839/12</v>
          </cell>
          <cell r="R3871"/>
          <cell r="S3871"/>
          <cell r="T3871">
            <v>0.47</v>
          </cell>
          <cell r="U3871">
            <v>0.48</v>
          </cell>
          <cell r="V3871">
            <v>0.42</v>
          </cell>
          <cell r="W3871">
            <v>0</v>
          </cell>
          <cell r="X3871" t="str">
            <v>EST BANCO NINA (CATUABA AVELUDADA) TC 10839/12 - 0,47x0,48x0,42H</v>
          </cell>
          <cell r="Y3871">
            <v>0</v>
          </cell>
          <cell r="Z3871">
            <v>0.35</v>
          </cell>
          <cell r="AA3871">
            <v>0</v>
          </cell>
          <cell r="AB3871"/>
        </row>
        <row r="3872"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H3872">
            <v>1</v>
          </cell>
          <cell r="O3872">
            <v>158312</v>
          </cell>
          <cell r="P3872"/>
          <cell r="Q3872" t="str">
            <v>EST HOME CINE (LACA BRILHO J155) (CINAMOMO)</v>
          </cell>
          <cell r="R3872"/>
          <cell r="S3872"/>
          <cell r="T3872">
            <v>2.6</v>
          </cell>
          <cell r="U3872">
            <v>0.46</v>
          </cell>
          <cell r="V3872">
            <v>0.55000000000000004</v>
          </cell>
          <cell r="W3872">
            <v>0</v>
          </cell>
          <cell r="X3872" t="str">
            <v>EST HOME CINE (LACA BRILHO J155) (CINAMOMO) - 2,6x0,46x0,55H</v>
          </cell>
          <cell r="Y3872" t="e">
            <v>#VALUE!</v>
          </cell>
          <cell r="Z3872">
            <v>0.35</v>
          </cell>
          <cell r="AA3872" t="e">
            <v>#VALUE!</v>
          </cell>
          <cell r="AB3872"/>
        </row>
        <row r="3873"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H3873">
            <v>1</v>
          </cell>
          <cell r="O3873">
            <v>158315</v>
          </cell>
          <cell r="P3873"/>
          <cell r="Q3873" t="str">
            <v>EST BUFFET COPA (LACA BRANCA) (MUIRACATIARA POA)</v>
          </cell>
          <cell r="R3873"/>
          <cell r="S3873"/>
          <cell r="T3873">
            <v>2.4</v>
          </cell>
          <cell r="U3873">
            <v>0.5</v>
          </cell>
          <cell r="V3873">
            <v>0.8</v>
          </cell>
          <cell r="W3873">
            <v>0</v>
          </cell>
          <cell r="X3873" t="str">
            <v>EST BUFFET COPA (LACA BRANCA) (MUIRACATIARA POA) - 2,4x0,5x0,8H</v>
          </cell>
          <cell r="Y3873">
            <v>0</v>
          </cell>
          <cell r="Z3873">
            <v>0.35</v>
          </cell>
          <cell r="AA3873">
            <v>0</v>
          </cell>
          <cell r="AB3873"/>
        </row>
        <row r="3874"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H3874">
            <v>2</v>
          </cell>
          <cell r="O3874">
            <v>163874</v>
          </cell>
          <cell r="P3874"/>
          <cell r="Q3874" t="str">
            <v>EST BANCO VITE (CINAMOMO EBANO) TC LINHO PANAMA CRU</v>
          </cell>
          <cell r="R3874"/>
          <cell r="S3874"/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 t="str">
            <v>EST BANCO VITE (CINAMOMO EBANO) TC LINHO PANAMA CRU - Ø0x0H</v>
          </cell>
          <cell r="Y3874">
            <v>0</v>
          </cell>
          <cell r="Z3874">
            <v>0.35</v>
          </cell>
          <cell r="AA3874">
            <v>0</v>
          </cell>
          <cell r="AB3874"/>
        </row>
        <row r="3875"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H3875">
            <v>1</v>
          </cell>
          <cell r="O3875">
            <v>240101</v>
          </cell>
          <cell r="P3875"/>
          <cell r="Q3875" t="str">
            <v>EST TAMPO CRISTAL LAPIDADO (12MM) INCOLOR RETILINEO</v>
          </cell>
          <cell r="R3875"/>
          <cell r="S3875"/>
          <cell r="T3875">
            <v>2.8</v>
          </cell>
          <cell r="U3875">
            <v>1.2</v>
          </cell>
          <cell r="V3875">
            <v>0.01</v>
          </cell>
          <cell r="W3875">
            <v>0</v>
          </cell>
          <cell r="X3875" t="str">
            <v>EST TAMPO CRISTAL LAPIDADO (12MM) INCOLOR RETILINEO - 2,8x1,2x0,01H</v>
          </cell>
          <cell r="Y3875">
            <v>0</v>
          </cell>
          <cell r="Z3875">
            <v>0.35</v>
          </cell>
          <cell r="AA3875">
            <v>0</v>
          </cell>
          <cell r="AB3875"/>
        </row>
        <row r="3876"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H3876">
            <v>1</v>
          </cell>
          <cell r="O3876">
            <v>250714</v>
          </cell>
          <cell r="P3876"/>
          <cell r="Q3876" t="str">
            <v>EST MESA JANTAR BARCELONA (SAY JO20.7666.913H C/VD LOW IRON)</v>
          </cell>
          <cell r="R3876"/>
          <cell r="S3876"/>
          <cell r="T3876">
            <v>2.2000000000000002</v>
          </cell>
          <cell r="U3876">
            <v>0</v>
          </cell>
          <cell r="V3876">
            <v>0.75</v>
          </cell>
          <cell r="W3876">
            <v>2.2000000000000002</v>
          </cell>
          <cell r="X3876" t="str">
            <v>EST MESA JANTAR BARCELONA (SAY JO20.7666.913H C/VD LOW IRON) - Ø2,2x0,75H</v>
          </cell>
          <cell r="Y3876" t="e">
            <v>#VALUE!</v>
          </cell>
          <cell r="Z3876">
            <v>0.35</v>
          </cell>
          <cell r="AA3876" t="e">
            <v>#VALUE!</v>
          </cell>
          <cell r="AB3876"/>
        </row>
        <row r="3877">
          <cell r="C3877">
            <v>0</v>
          </cell>
          <cell r="D3877">
            <v>1</v>
          </cell>
          <cell r="E3877">
            <v>0</v>
          </cell>
          <cell r="F3877">
            <v>0</v>
          </cell>
          <cell r="H3877">
            <v>1</v>
          </cell>
          <cell r="O3877">
            <v>251920</v>
          </cell>
          <cell r="P3877"/>
          <cell r="Q3877" t="str">
            <v>EST CENTRO DE MESA RET COL VERSO 80X20X6,5 CRU IL745CR0</v>
          </cell>
          <cell r="R3877"/>
          <cell r="S3877"/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 t="str">
            <v>EST CENTRO DE MESA RET COL VERSO 80X20X6,5 CRU IL745CR0 - Ø0x0H</v>
          </cell>
          <cell r="Y3877">
            <v>0</v>
          </cell>
          <cell r="Z3877">
            <v>0.35</v>
          </cell>
          <cell r="AA3877">
            <v>0</v>
          </cell>
          <cell r="AB3877"/>
        </row>
        <row r="3878">
          <cell r="C3878">
            <v>0</v>
          </cell>
          <cell r="D3878">
            <v>1</v>
          </cell>
          <cell r="E3878">
            <v>0</v>
          </cell>
          <cell r="F3878">
            <v>0</v>
          </cell>
          <cell r="H3878">
            <v>1</v>
          </cell>
          <cell r="O3878">
            <v>251925</v>
          </cell>
          <cell r="P3878"/>
          <cell r="Q3878" t="str">
            <v>EST CENTRO DE MESA BENTA (MADEIRA IL751MD1)</v>
          </cell>
          <cell r="R3878"/>
          <cell r="S3878"/>
          <cell r="T3878">
            <v>0.45</v>
          </cell>
          <cell r="U3878">
            <v>0</v>
          </cell>
          <cell r="V3878">
            <v>0.12</v>
          </cell>
          <cell r="W3878">
            <v>0.45</v>
          </cell>
          <cell r="X3878" t="str">
            <v>EST CENTRO DE MESA BENTA (MADEIRA IL751MD1) - Ø0,45x0,12H</v>
          </cell>
          <cell r="Y3878" t="e">
            <v>#VALUE!</v>
          </cell>
          <cell r="Z3878">
            <v>0.35</v>
          </cell>
          <cell r="AA3878" t="e">
            <v>#VALUE!</v>
          </cell>
          <cell r="AB3878"/>
        </row>
        <row r="3879"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H3879">
            <v>1</v>
          </cell>
          <cell r="O3879">
            <v>252391</v>
          </cell>
          <cell r="P3879"/>
          <cell r="Q3879" t="str">
            <v>EST PUFF REED (ACO PRETO) TC C3113</v>
          </cell>
          <cell r="R3879"/>
          <cell r="S3879"/>
          <cell r="T3879">
            <v>0.42</v>
          </cell>
          <cell r="U3879">
            <v>0.42</v>
          </cell>
          <cell r="V3879">
            <v>0.48</v>
          </cell>
          <cell r="W3879">
            <v>0</v>
          </cell>
          <cell r="X3879" t="str">
            <v>EST PUFF REED (ACO PRETO) TC C3113 - 0,42x0,42x0,48H</v>
          </cell>
          <cell r="Y3879">
            <v>0</v>
          </cell>
          <cell r="Z3879">
            <v>0.35</v>
          </cell>
          <cell r="AA3879">
            <v>0</v>
          </cell>
          <cell r="AB3879"/>
        </row>
        <row r="3880">
          <cell r="C3880">
            <v>4</v>
          </cell>
          <cell r="D3880">
            <v>0</v>
          </cell>
          <cell r="E3880">
            <v>0</v>
          </cell>
          <cell r="F3880">
            <v>0</v>
          </cell>
          <cell r="H3880">
            <v>0</v>
          </cell>
          <cell r="O3880">
            <v>252451</v>
          </cell>
          <cell r="P3880"/>
          <cell r="Q3880" t="str">
            <v>EST MANTA DOHA (LARANJA)</v>
          </cell>
          <cell r="R3880"/>
          <cell r="S3880"/>
          <cell r="T3880">
            <v>1.7</v>
          </cell>
          <cell r="U3880">
            <v>1.3</v>
          </cell>
          <cell r="V3880">
            <v>0.01</v>
          </cell>
          <cell r="W3880">
            <v>0</v>
          </cell>
          <cell r="X3880" t="str">
            <v>EST MANTA DOHA (LARANJA) - 1,7x1,3x0,01H</v>
          </cell>
          <cell r="Y3880">
            <v>0</v>
          </cell>
          <cell r="Z3880">
            <v>0.35</v>
          </cell>
          <cell r="AA3880">
            <v>0</v>
          </cell>
          <cell r="AB3880"/>
        </row>
        <row r="3881"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H3881">
            <v>0</v>
          </cell>
          <cell r="O3881">
            <v>255055</v>
          </cell>
          <cell r="P3881"/>
          <cell r="Q3881" t="str">
            <v>EST BANDEJA PLENN 2269S MARMORE EXOTIC D58X4</v>
          </cell>
          <cell r="R3881"/>
          <cell r="S3881"/>
          <cell r="T3881">
            <v>0.57999999999999996</v>
          </cell>
          <cell r="U3881">
            <v>0</v>
          </cell>
          <cell r="V3881">
            <v>0.04</v>
          </cell>
          <cell r="W3881">
            <v>0.57999999999999996</v>
          </cell>
          <cell r="X3881" t="str">
            <v>EST BANDEJA PLENN 2269S MARMORE EXOTIC D58X4 - Ø0,58x0,04H</v>
          </cell>
          <cell r="Y3881">
            <v>0</v>
          </cell>
          <cell r="Z3881">
            <v>0.35</v>
          </cell>
          <cell r="AA3881">
            <v>0</v>
          </cell>
          <cell r="AB3881"/>
        </row>
        <row r="3882"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H3882">
            <v>2</v>
          </cell>
          <cell r="O3882">
            <v>260259</v>
          </cell>
          <cell r="P3882"/>
          <cell r="Q3882" t="str">
            <v>EST CADEIRA DIX (MSITA) (MEL) (TELA CRU) TC 310A</v>
          </cell>
          <cell r="R3882"/>
          <cell r="S3882"/>
          <cell r="T3882">
            <v>0.56000000000000005</v>
          </cell>
          <cell r="U3882">
            <v>0.56999999999999995</v>
          </cell>
          <cell r="V3882">
            <v>0.81</v>
          </cell>
          <cell r="W3882">
            <v>0</v>
          </cell>
          <cell r="X3882" t="str">
            <v>EST CADEIRA DIX (MSITA) (MEL) (TELA CRU) TC 310A - 0,56x0,57x0,81H</v>
          </cell>
          <cell r="Y3882">
            <v>0</v>
          </cell>
          <cell r="Z3882">
            <v>0.35</v>
          </cell>
          <cell r="AA3882">
            <v>0</v>
          </cell>
          <cell r="AB3882"/>
        </row>
        <row r="3883">
          <cell r="C3883">
            <v>1</v>
          </cell>
          <cell r="D3883">
            <v>0</v>
          </cell>
          <cell r="E3883">
            <v>0</v>
          </cell>
          <cell r="F3883">
            <v>0</v>
          </cell>
          <cell r="H3883">
            <v>0</v>
          </cell>
          <cell r="O3883">
            <v>261250</v>
          </cell>
          <cell r="P3883"/>
          <cell r="Q3883" t="str">
            <v>EST FIGA LUMINARIA BAIXA 37X8X15 PRETA</v>
          </cell>
          <cell r="R3883"/>
          <cell r="S3883"/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 t="str">
            <v>EST FIGA LUMINARIA BAIXA 37X8X15 PRETA - Ø0x0H</v>
          </cell>
          <cell r="Y3883">
            <v>0</v>
          </cell>
          <cell r="Z3883">
            <v>0.35</v>
          </cell>
          <cell r="AA3883">
            <v>0</v>
          </cell>
          <cell r="AB3883"/>
        </row>
        <row r="3884">
          <cell r="C3884">
            <v>1</v>
          </cell>
          <cell r="D3884">
            <v>0</v>
          </cell>
          <cell r="E3884">
            <v>0</v>
          </cell>
          <cell r="F3884">
            <v>0</v>
          </cell>
          <cell r="H3884">
            <v>0</v>
          </cell>
          <cell r="O3884">
            <v>261254</v>
          </cell>
          <cell r="P3884"/>
          <cell r="Q3884" t="str">
            <v>EST LUMINARIA ALTA FIGA (IMBUIA | CORTEN)</v>
          </cell>
          <cell r="R3884"/>
          <cell r="S3884"/>
          <cell r="T3884">
            <v>0.47</v>
          </cell>
          <cell r="U3884">
            <v>0.08</v>
          </cell>
          <cell r="V3884">
            <v>0.15</v>
          </cell>
          <cell r="W3884">
            <v>0</v>
          </cell>
          <cell r="X3884" t="str">
            <v>EST LUMINARIA ALTA FIGA (IMBUIA | CORTEN) - 0,47x0,08x0,15H</v>
          </cell>
          <cell r="Y3884">
            <v>0</v>
          </cell>
          <cell r="Z3884">
            <v>0.35</v>
          </cell>
          <cell r="AA3884">
            <v>0</v>
          </cell>
          <cell r="AB3884"/>
        </row>
        <row r="3885">
          <cell r="C3885">
            <v>1</v>
          </cell>
          <cell r="D3885">
            <v>1</v>
          </cell>
          <cell r="E3885">
            <v>0</v>
          </cell>
          <cell r="F3885">
            <v>0</v>
          </cell>
          <cell r="H3885">
            <v>0</v>
          </cell>
          <cell r="O3885">
            <v>261255</v>
          </cell>
          <cell r="P3885"/>
          <cell r="Q3885" t="str">
            <v>EST LUMINARIA FIGA ALTA (PRETA)</v>
          </cell>
          <cell r="R3885"/>
          <cell r="S3885"/>
          <cell r="T3885">
            <v>0.47</v>
          </cell>
          <cell r="U3885">
            <v>0.08</v>
          </cell>
          <cell r="V3885">
            <v>0.15</v>
          </cell>
          <cell r="W3885">
            <v>0</v>
          </cell>
          <cell r="X3885" t="str">
            <v>EST LUMINARIA FIGA ALTA (PRETA) - 0,47x0,08x0,15H</v>
          </cell>
          <cell r="Y3885">
            <v>0</v>
          </cell>
          <cell r="Z3885">
            <v>0.35</v>
          </cell>
          <cell r="AA3885">
            <v>0</v>
          </cell>
          <cell r="AB3885"/>
        </row>
        <row r="3886"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H3886">
            <v>0</v>
          </cell>
          <cell r="O3886">
            <v>266071</v>
          </cell>
          <cell r="P3886"/>
          <cell r="Q3886" t="str">
            <v>EST AC QUADRO EQUILIBRIO (657) 65X55 M6 MOL F21 PASP BC CEN</v>
          </cell>
          <cell r="R3886"/>
          <cell r="S3886"/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 t="str">
            <v>EST AC QUADRO EQUILIBRIO (657) 65X55 M6 MOL F21 PASP BC CEN - Ø0x0H</v>
          </cell>
          <cell r="Y3886">
            <v>0</v>
          </cell>
          <cell r="Z3886">
            <v>0.35</v>
          </cell>
          <cell r="AA3886">
            <v>0</v>
          </cell>
          <cell r="AB3886"/>
        </row>
        <row r="3887"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H3887">
            <v>0</v>
          </cell>
          <cell r="O3887">
            <v>266077</v>
          </cell>
          <cell r="P3887"/>
          <cell r="Q3887" t="str">
            <v>EST QUADRO LUA E MONTANHAS (734) (G4 MOLDURA F20)</v>
          </cell>
          <cell r="R3887"/>
          <cell r="S3887"/>
          <cell r="T3887">
            <v>0.75</v>
          </cell>
          <cell r="U3887">
            <v>0.5</v>
          </cell>
          <cell r="V3887">
            <v>0</v>
          </cell>
          <cell r="W3887">
            <v>0</v>
          </cell>
          <cell r="X3887" t="str">
            <v>EST QUADRO LUA E MONTANHAS (734) (G4 MOLDURA F20) - 0,75x0,5x0H</v>
          </cell>
          <cell r="Y3887">
            <v>0</v>
          </cell>
          <cell r="Z3887">
            <v>0.35</v>
          </cell>
          <cell r="AA3887">
            <v>0</v>
          </cell>
          <cell r="AB3887"/>
        </row>
        <row r="3888">
          <cell r="C3888">
            <v>2</v>
          </cell>
          <cell r="D3888">
            <v>0</v>
          </cell>
          <cell r="E3888">
            <v>0</v>
          </cell>
          <cell r="F3888">
            <v>0</v>
          </cell>
          <cell r="H3888">
            <v>0</v>
          </cell>
          <cell r="O3888">
            <v>271480</v>
          </cell>
          <cell r="P3888"/>
          <cell r="Q3888" t="str">
            <v>EST AC CENTRO DE MESA DECORATI 1,75X29X29 MET ESMALTADO AZUL</v>
          </cell>
          <cell r="R3888"/>
          <cell r="S3888"/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 t="str">
            <v>EST AC CENTRO DE MESA DECORATI 1,75X29X29 MET ESMALTADO AZUL - Ø0x0H</v>
          </cell>
          <cell r="Y3888">
            <v>0</v>
          </cell>
          <cell r="Z3888">
            <v>0.35</v>
          </cell>
          <cell r="AA3888">
            <v>0</v>
          </cell>
          <cell r="AB3888"/>
        </row>
        <row r="3889">
          <cell r="C3889">
            <v>0</v>
          </cell>
          <cell r="D3889">
            <v>1</v>
          </cell>
          <cell r="E3889">
            <v>0</v>
          </cell>
          <cell r="F3889">
            <v>0</v>
          </cell>
          <cell r="H3889">
            <v>1</v>
          </cell>
          <cell r="O3889">
            <v>271507</v>
          </cell>
          <cell r="P3889"/>
          <cell r="Q3889" t="str">
            <v>EST MANTA TURK (ALGODAO) (AZUL)</v>
          </cell>
          <cell r="R3889"/>
          <cell r="S3889"/>
          <cell r="T3889">
            <v>2.14</v>
          </cell>
          <cell r="U3889">
            <v>1.3</v>
          </cell>
          <cell r="V3889">
            <v>0.01</v>
          </cell>
          <cell r="W3889">
            <v>0</v>
          </cell>
          <cell r="X3889" t="str">
            <v>EST MANTA TURK (ALGODAO) (AZUL) - 2,14x1,3x0,01H</v>
          </cell>
          <cell r="Y3889">
            <v>0</v>
          </cell>
          <cell r="Z3889">
            <v>0.35</v>
          </cell>
          <cell r="AA3889">
            <v>0</v>
          </cell>
          <cell r="AB3889"/>
        </row>
        <row r="3890"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H3890">
            <v>0</v>
          </cell>
          <cell r="O3890">
            <v>271721</v>
          </cell>
          <cell r="P3890"/>
          <cell r="Q3890" t="str">
            <v>EST AC ABATJOUR LILAC 44X73 INOX BS NUDE VD INC CUP LIN NUDE</v>
          </cell>
          <cell r="R3890"/>
          <cell r="S3890"/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 t="str">
            <v>EST AC ABATJOUR LILAC 44X73 INOX BS NUDE VD INC CUP LIN NUDE - Ø0x0H</v>
          </cell>
          <cell r="Y3890">
            <v>0</v>
          </cell>
          <cell r="Z3890">
            <v>0.35</v>
          </cell>
          <cell r="AA3890">
            <v>0</v>
          </cell>
          <cell r="AB3890"/>
        </row>
        <row r="3891"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H3891">
            <v>0</v>
          </cell>
          <cell r="O3891">
            <v>271725</v>
          </cell>
          <cell r="P3891"/>
          <cell r="Q3891" t="str">
            <v>EST AC BANDEJA MIDI 40X60X8 MD NUDE ACO INOX VD PINTADO</v>
          </cell>
          <cell r="R3891"/>
          <cell r="S3891"/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 t="str">
            <v>EST AC BANDEJA MIDI 40X60X8 MD NUDE ACO INOX VD PINTADO - Ø0x0H</v>
          </cell>
          <cell r="Y3891">
            <v>0</v>
          </cell>
          <cell r="Z3891">
            <v>0.35</v>
          </cell>
          <cell r="AA3891">
            <v>0</v>
          </cell>
          <cell r="AB3891"/>
        </row>
        <row r="3892">
          <cell r="C3892">
            <v>0</v>
          </cell>
          <cell r="D3892">
            <v>1</v>
          </cell>
          <cell r="E3892">
            <v>0</v>
          </cell>
          <cell r="F3892">
            <v>0</v>
          </cell>
          <cell r="H3892">
            <v>0</v>
          </cell>
          <cell r="O3892">
            <v>271727</v>
          </cell>
          <cell r="P3892"/>
          <cell r="Q3892" t="str">
            <v>EST AC BANDEJA ADAM 50X4 MADEIRA NUDE VD PINT FENDI E AZUL</v>
          </cell>
          <cell r="R3892"/>
          <cell r="S3892"/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 t="str">
            <v>EST AC BANDEJA ADAM 50X4 MADEIRA NUDE VD PINT FENDI E AZUL - Ø0x0H</v>
          </cell>
          <cell r="Y3892">
            <v>0</v>
          </cell>
          <cell r="Z3892">
            <v>0.35</v>
          </cell>
          <cell r="AA3892">
            <v>0</v>
          </cell>
          <cell r="AB3892"/>
        </row>
        <row r="3893">
          <cell r="C3893">
            <v>0</v>
          </cell>
          <cell r="D3893">
            <v>1</v>
          </cell>
          <cell r="E3893">
            <v>0</v>
          </cell>
          <cell r="F3893">
            <v>0</v>
          </cell>
          <cell r="H3893">
            <v>0</v>
          </cell>
          <cell r="O3893">
            <v>271729</v>
          </cell>
          <cell r="P3893"/>
          <cell r="Q3893" t="str">
            <v>EST AC BANDEJA BUD 61X41X4 MAD CHUMBO VD NUDE E AZUL</v>
          </cell>
          <cell r="R3893"/>
          <cell r="S3893"/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 t="str">
            <v>EST AC BANDEJA BUD 61X41X4 MAD CHUMBO VD NUDE E AZUL - Ø0x0H</v>
          </cell>
          <cell r="Y3893">
            <v>0</v>
          </cell>
          <cell r="Z3893">
            <v>0.35</v>
          </cell>
          <cell r="AA3893">
            <v>0</v>
          </cell>
          <cell r="AB3893"/>
        </row>
        <row r="3894">
          <cell r="C3894">
            <v>1</v>
          </cell>
          <cell r="D3894">
            <v>0</v>
          </cell>
          <cell r="E3894">
            <v>0</v>
          </cell>
          <cell r="F3894">
            <v>0</v>
          </cell>
          <cell r="H3894">
            <v>0</v>
          </cell>
          <cell r="O3894">
            <v>271756</v>
          </cell>
          <cell r="P3894"/>
          <cell r="Q3894" t="str">
            <v>EST LUSTRE OAK (INOX ESFERAS INCOLOR)</v>
          </cell>
          <cell r="R3894"/>
          <cell r="S3894"/>
          <cell r="T3894">
            <v>0.42</v>
          </cell>
          <cell r="U3894">
            <v>0</v>
          </cell>
          <cell r="V3894">
            <v>0.54</v>
          </cell>
          <cell r="W3894">
            <v>0</v>
          </cell>
          <cell r="X3894" t="str">
            <v>EST LUSTRE OAK (INOX ESFERAS INCOLOR) - Ø0x0,54H</v>
          </cell>
          <cell r="Y3894">
            <v>0</v>
          </cell>
          <cell r="Z3894">
            <v>0.35</v>
          </cell>
          <cell r="AA3894">
            <v>0</v>
          </cell>
          <cell r="AB3894"/>
        </row>
        <row r="3895"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H3895">
            <v>3</v>
          </cell>
          <cell r="O3895">
            <v>163876</v>
          </cell>
          <cell r="P3895"/>
          <cell r="Q3895" t="str">
            <v>EST CADEIRA PADAUNG (CATUABA PU) TC 11202-282 LINHO</v>
          </cell>
          <cell r="R3895"/>
          <cell r="S3895"/>
          <cell r="T3895">
            <v>0.46</v>
          </cell>
          <cell r="U3895">
            <v>0.6</v>
          </cell>
          <cell r="V3895">
            <v>0.84</v>
          </cell>
          <cell r="W3895">
            <v>0</v>
          </cell>
          <cell r="X3895" t="str">
            <v>EST CADEIRA PADAUNG (CATUABA PU) TC 11202-282 LINHO - 0,46x0,6x0,84H</v>
          </cell>
          <cell r="Y3895">
            <v>0</v>
          </cell>
          <cell r="Z3895">
            <v>0.35</v>
          </cell>
          <cell r="AA3895">
            <v>0</v>
          </cell>
          <cell r="AB3895"/>
        </row>
        <row r="3896"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H3896">
            <v>1</v>
          </cell>
          <cell r="O3896">
            <v>163878</v>
          </cell>
          <cell r="P3896"/>
          <cell r="Q3896" t="str">
            <v>EST POLTRONA CENA (JEQUITIBA EBANO) TC 11202-280 LINHO</v>
          </cell>
          <cell r="R3896"/>
          <cell r="S3896"/>
          <cell r="T3896">
            <v>0.79</v>
          </cell>
          <cell r="U3896">
            <v>0.93</v>
          </cell>
          <cell r="V3896">
            <v>1.1000000000000001</v>
          </cell>
          <cell r="W3896">
            <v>0</v>
          </cell>
          <cell r="X3896" t="str">
            <v>EST POLTRONA CENA (JEQUITIBA EBANO) TC 11202-280 LINHO - 0,79x0,93x1,1H</v>
          </cell>
          <cell r="Y3896">
            <v>0</v>
          </cell>
          <cell r="Z3896">
            <v>0.35</v>
          </cell>
          <cell r="AA3896">
            <v>0</v>
          </cell>
          <cell r="AB3896"/>
        </row>
        <row r="3897"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H3897">
            <v>1</v>
          </cell>
          <cell r="O3897">
            <v>190044</v>
          </cell>
          <cell r="P3897"/>
          <cell r="Q3897" t="str">
            <v>EST BASE JANTAR ESPLANADA (LOURO FREIJO ENV)</v>
          </cell>
          <cell r="R3897"/>
          <cell r="S3897"/>
          <cell r="T3897">
            <v>1.69</v>
          </cell>
          <cell r="U3897">
            <v>0.99</v>
          </cell>
          <cell r="V3897">
            <v>0.73</v>
          </cell>
          <cell r="W3897">
            <v>0</v>
          </cell>
          <cell r="X3897" t="str">
            <v>EST BASE JANTAR ESPLANADA (LOURO FREIJO ENV) - 1,69x0,99x0,73H</v>
          </cell>
          <cell r="Y3897">
            <v>0</v>
          </cell>
          <cell r="Z3897">
            <v>0.35</v>
          </cell>
          <cell r="AA3897">
            <v>0</v>
          </cell>
          <cell r="AB3897"/>
        </row>
        <row r="3898"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H3898">
            <v>1</v>
          </cell>
          <cell r="O3898">
            <v>217201</v>
          </cell>
          <cell r="P3898"/>
          <cell r="Q3898" t="str">
            <v>EST MANCEBO DIX (FREIJO NATURAL PU) (INOX ENVELHECIDO)</v>
          </cell>
          <cell r="R3898"/>
          <cell r="S3898"/>
          <cell r="T3898">
            <v>0.59</v>
          </cell>
          <cell r="U3898">
            <v>0.47</v>
          </cell>
          <cell r="V3898">
            <v>1.43</v>
          </cell>
          <cell r="W3898">
            <v>0</v>
          </cell>
          <cell r="X3898" t="str">
            <v>EST MANCEBO DIX (FREIJO NATURAL PU) (INOX ENVELHECIDO) - 0,59x0,47x1,43H</v>
          </cell>
          <cell r="Y3898">
            <v>0</v>
          </cell>
          <cell r="Z3898">
            <v>0.35</v>
          </cell>
          <cell r="AA3898">
            <v>0</v>
          </cell>
          <cell r="AB3898"/>
        </row>
        <row r="3899"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H3899">
            <v>1</v>
          </cell>
          <cell r="O3899">
            <v>217341</v>
          </cell>
          <cell r="P3899"/>
          <cell r="Q3899" t="str">
            <v>EST TAMPO MESA JANTAR QUADRATTA (MAD A CINAMOMO 03)</v>
          </cell>
          <cell r="R3899"/>
          <cell r="S3899"/>
          <cell r="T3899">
            <v>1</v>
          </cell>
          <cell r="U3899">
            <v>0</v>
          </cell>
          <cell r="V3899">
            <v>0</v>
          </cell>
          <cell r="W3899">
            <v>1</v>
          </cell>
          <cell r="X3899" t="str">
            <v>EST TAMPO MESA JANTAR QUADRATTA (MAD A CINAMOMO 03) - Ø1x0H</v>
          </cell>
          <cell r="Y3899">
            <v>0</v>
          </cell>
          <cell r="Z3899">
            <v>0.35</v>
          </cell>
          <cell r="AA3899">
            <v>0</v>
          </cell>
          <cell r="AB3899"/>
        </row>
        <row r="3900"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H3900">
            <v>1</v>
          </cell>
          <cell r="O3900">
            <v>228452</v>
          </cell>
          <cell r="P3900" t="str">
            <v>2018/317-0134-01</v>
          </cell>
          <cell r="Q3900" t="str">
            <v>EST BANQUETA BAR CILINDRO (MAD A MUIRACATIARA POA) COURO PTO</v>
          </cell>
          <cell r="R3900"/>
          <cell r="S3900"/>
          <cell r="T3900">
            <v>0.36</v>
          </cell>
          <cell r="U3900">
            <v>0</v>
          </cell>
          <cell r="V3900">
            <v>0.76</v>
          </cell>
          <cell r="W3900">
            <v>0.36</v>
          </cell>
          <cell r="X3900" t="str">
            <v>EST BANQUETA BAR CILINDRO (MAD A MUIRACATIARA POA) COURO PTO - Ø0,36x0,76H</v>
          </cell>
          <cell r="Y3900">
            <v>9628.4599999999991</v>
          </cell>
          <cell r="Z3900">
            <v>0.35</v>
          </cell>
          <cell r="AA3900">
            <v>6258.4989999999998</v>
          </cell>
          <cell r="AB3900"/>
        </row>
        <row r="3901"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H3901">
            <v>3</v>
          </cell>
          <cell r="O3901">
            <v>277906</v>
          </cell>
          <cell r="P3901"/>
          <cell r="Q3901" t="str">
            <v>EST ALMOFADA DECORATIVA (PENA) TC CAMBRAIA MARTINA</v>
          </cell>
          <cell r="R3901"/>
          <cell r="S3901"/>
          <cell r="T3901">
            <v>0.66</v>
          </cell>
          <cell r="U3901">
            <v>0.4</v>
          </cell>
          <cell r="V3901">
            <v>0.1</v>
          </cell>
          <cell r="W3901">
            <v>0</v>
          </cell>
          <cell r="X3901" t="str">
            <v>EST ALMOFADA DECORATIVA (PENA) TC CAMBRAIA MARTINA - 0,66x0,4x0,1H</v>
          </cell>
          <cell r="Y3901" t="e">
            <v>#VALUE!</v>
          </cell>
          <cell r="Z3901">
            <v>0.35</v>
          </cell>
          <cell r="AA3901" t="e">
            <v>#VALUE!</v>
          </cell>
          <cell r="AB3901"/>
        </row>
        <row r="3902"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H3902">
            <v>1</v>
          </cell>
          <cell r="O3902">
            <v>326871</v>
          </cell>
          <cell r="P3902"/>
          <cell r="Q3902" t="str">
            <v>EST MODUDLO PUFF LENCOIS M (DET CR5) (FX5416)</v>
          </cell>
          <cell r="R3902"/>
          <cell r="S3902"/>
          <cell r="T3902">
            <v>0.9</v>
          </cell>
          <cell r="U3902">
            <v>0.5</v>
          </cell>
          <cell r="V3902">
            <v>0.38</v>
          </cell>
          <cell r="W3902">
            <v>0</v>
          </cell>
          <cell r="X3902" t="str">
            <v>EST MODUDLO PUFF LENCOIS M (DET CR5) (FX5416) - 0,9x0,5x0,38H</v>
          </cell>
          <cell r="Y3902" t="e">
            <v>#VALUE!</v>
          </cell>
          <cell r="Z3902">
            <v>0.35</v>
          </cell>
          <cell r="AA3902" t="e">
            <v>#VALUE!</v>
          </cell>
          <cell r="AB3902"/>
        </row>
        <row r="3903">
          <cell r="C3903">
            <v>1</v>
          </cell>
          <cell r="D3903">
            <v>0</v>
          </cell>
          <cell r="E3903">
            <v>0</v>
          </cell>
          <cell r="F3903">
            <v>1</v>
          </cell>
          <cell r="H3903">
            <v>2</v>
          </cell>
          <cell r="O3903">
            <v>350046</v>
          </cell>
          <cell r="P3903"/>
          <cell r="Q3903" t="str">
            <v>EST LUMINARIA MATISSE ORGANICA DUPLA (VOIL BRANCO/ALG BRANC)</v>
          </cell>
          <cell r="R3903"/>
          <cell r="S3903"/>
          <cell r="T3903">
            <v>0.6</v>
          </cell>
          <cell r="U3903">
            <v>0.6</v>
          </cell>
          <cell r="V3903">
            <v>0.4</v>
          </cell>
          <cell r="W3903">
            <v>0</v>
          </cell>
          <cell r="X3903" t="str">
            <v>EST LUMINARIA MATISSE ORGANICA DUPLA (VOIL BRANCO/ALG BRANC) - 0,6x0,6x0,4H</v>
          </cell>
          <cell r="Y3903" t="e">
            <v>#VALUE!</v>
          </cell>
          <cell r="Z3903">
            <v>0.35</v>
          </cell>
          <cell r="AA3903" t="e">
            <v>#VALUE!</v>
          </cell>
          <cell r="AB3903"/>
        </row>
        <row r="3904">
          <cell r="C3904">
            <v>1</v>
          </cell>
          <cell r="D3904">
            <v>0</v>
          </cell>
          <cell r="E3904">
            <v>0</v>
          </cell>
          <cell r="F3904">
            <v>0</v>
          </cell>
          <cell r="H3904">
            <v>3</v>
          </cell>
          <cell r="O3904">
            <v>350047</v>
          </cell>
          <cell r="P3904"/>
          <cell r="Q3904" t="str">
            <v>EST LUMINARIA MATISSE DUPLA (VOIL BRANCO/ALG BRANCO)</v>
          </cell>
          <cell r="R3904"/>
          <cell r="S3904"/>
          <cell r="T3904">
            <v>0.3</v>
          </cell>
          <cell r="U3904">
            <v>0</v>
          </cell>
          <cell r="V3904">
            <v>0.4</v>
          </cell>
          <cell r="W3904">
            <v>0.4</v>
          </cell>
          <cell r="X3904" t="str">
            <v>EST LUMINARIA MATISSE DUPLA (VOIL BRANCO/ALG BRANCO) - Ø0,4x0,4H</v>
          </cell>
          <cell r="Y3904" t="e">
            <v>#VALUE!</v>
          </cell>
          <cell r="Z3904">
            <v>0.35</v>
          </cell>
          <cell r="AA3904" t="e">
            <v>#VALUE!</v>
          </cell>
          <cell r="AB3904"/>
        </row>
        <row r="3905">
          <cell r="C3905">
            <v>0</v>
          </cell>
          <cell r="D3905">
            <v>0</v>
          </cell>
          <cell r="E3905">
            <v>0</v>
          </cell>
          <cell r="F3905">
            <v>1</v>
          </cell>
          <cell r="H3905">
            <v>3</v>
          </cell>
          <cell r="O3905">
            <v>350048</v>
          </cell>
          <cell r="P3905"/>
          <cell r="Q3905" t="str">
            <v>EST LUMINARIA MATISSE SIMPLES (ALG BRANCO)</v>
          </cell>
          <cell r="R3905"/>
          <cell r="S3905"/>
          <cell r="T3905">
            <v>0.2</v>
          </cell>
          <cell r="U3905">
            <v>0</v>
          </cell>
          <cell r="V3905">
            <v>0.4</v>
          </cell>
          <cell r="W3905">
            <v>0.35</v>
          </cell>
          <cell r="X3905" t="str">
            <v>EST LUMINARIA MATISSE SIMPLES (ALG BRANCO) - Ø0,35x0,4H</v>
          </cell>
          <cell r="Y3905" t="e">
            <v>#VALUE!</v>
          </cell>
          <cell r="Z3905">
            <v>0.35</v>
          </cell>
          <cell r="AA3905" t="e">
            <v>#VALUE!</v>
          </cell>
          <cell r="AB3905"/>
        </row>
        <row r="3906"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H3906">
            <v>2</v>
          </cell>
          <cell r="O3906">
            <v>384056</v>
          </cell>
          <cell r="P3906" t="str">
            <v>2024/116-0006-01</v>
          </cell>
          <cell r="Q3906" t="str">
            <v>EST MESA JANTAR HIMALAYA (CONT) (MARM 1 ARMANI) (WALNUT)</v>
          </cell>
          <cell r="R3906"/>
          <cell r="S3906"/>
          <cell r="T3906">
            <v>1.4</v>
          </cell>
          <cell r="U3906">
            <v>1.4</v>
          </cell>
          <cell r="V3906">
            <v>0.75</v>
          </cell>
          <cell r="W3906">
            <v>0</v>
          </cell>
          <cell r="X3906" t="str">
            <v>EST MESA JANTAR HIMALAYA (CONT) (MARM 1 ARMANI) (WALNUT) - 1,4x1,4x0,75H</v>
          </cell>
          <cell r="Y3906">
            <v>75250.47</v>
          </cell>
          <cell r="Z3906">
            <v>0.35</v>
          </cell>
          <cell r="AA3906">
            <v>48912.805500000002</v>
          </cell>
          <cell r="AB3906"/>
        </row>
        <row r="3907"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H3907">
            <v>2</v>
          </cell>
          <cell r="O3907">
            <v>384056</v>
          </cell>
          <cell r="P3907" t="str">
            <v>2024/116-0007-01</v>
          </cell>
          <cell r="Q3907" t="str">
            <v>EST MESA JANTAR HIMALAYA (CONT) (MARM 1 ARMANI) (WALNUT)</v>
          </cell>
          <cell r="R3907"/>
          <cell r="S3907"/>
          <cell r="T3907">
            <v>1.4</v>
          </cell>
          <cell r="U3907">
            <v>1.4</v>
          </cell>
          <cell r="V3907">
            <v>0.75</v>
          </cell>
          <cell r="W3907">
            <v>0</v>
          </cell>
          <cell r="X3907" t="str">
            <v>EST MESA JANTAR HIMALAYA (CONT) (MARM 1 ARMANI) (WALNUT) - 1,4x1,4x0,75H</v>
          </cell>
          <cell r="Y3907">
            <v>75250.47</v>
          </cell>
          <cell r="Z3907">
            <v>0.35</v>
          </cell>
          <cell r="AA3907">
            <v>48912.805500000002</v>
          </cell>
          <cell r="AB3907"/>
        </row>
        <row r="3908"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H3908">
            <v>0</v>
          </cell>
          <cell r="O3908">
            <v>388235</v>
          </cell>
          <cell r="P3908"/>
          <cell r="Q3908" t="str">
            <v>EST QUADRO PAGINAS (MP060D-4040-CV)</v>
          </cell>
          <cell r="R3908"/>
          <cell r="S3908"/>
          <cell r="T3908">
            <v>0.4</v>
          </cell>
          <cell r="U3908">
            <v>0.4</v>
          </cell>
          <cell r="V3908">
            <v>0</v>
          </cell>
          <cell r="W3908">
            <v>0</v>
          </cell>
          <cell r="X3908" t="str">
            <v>EST QUADRO PAGINAS (MP060D-4040-CV) - 0,4x0,4x0H</v>
          </cell>
          <cell r="Y3908">
            <v>0</v>
          </cell>
          <cell r="Z3908">
            <v>0.35</v>
          </cell>
          <cell r="AA3908">
            <v>0</v>
          </cell>
          <cell r="AB3908"/>
        </row>
        <row r="3909"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H3909">
            <v>1</v>
          </cell>
          <cell r="O3909">
            <v>388618</v>
          </cell>
          <cell r="P3909" t="str">
            <v>2024/172-0006-01</v>
          </cell>
          <cell r="Q3909" t="str">
            <v>EST TAMPO CRISTAL LAPIDADO (15MM) INCOLOR CANTO MOEDA</v>
          </cell>
          <cell r="R3909"/>
          <cell r="S3909"/>
          <cell r="T3909">
            <v>2</v>
          </cell>
          <cell r="U3909">
            <v>0.7</v>
          </cell>
          <cell r="V3909">
            <v>0.01</v>
          </cell>
          <cell r="W3909">
            <v>0</v>
          </cell>
          <cell r="X3909" t="str">
            <v>EST TAMPO CRISTAL LAPIDADO (15MM) INCOLOR CANTO MOEDA - 2x0,7x0,01H</v>
          </cell>
          <cell r="Y3909">
            <v>8073.253999999999</v>
          </cell>
          <cell r="Z3909">
            <v>0.35</v>
          </cell>
          <cell r="AA3909">
            <v>5247.6150999999991</v>
          </cell>
          <cell r="AB3909"/>
        </row>
        <row r="3910"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H3910">
            <v>1</v>
          </cell>
          <cell r="O3910">
            <v>388698</v>
          </cell>
          <cell r="P3910" t="str">
            <v>2024/178-0024-01</v>
          </cell>
          <cell r="Q3910" t="str">
            <v>EST TAMPO CRISTAL LAPIDADO (10MM) INCOLOR CANTO RETO</v>
          </cell>
          <cell r="R3910"/>
          <cell r="S3910"/>
          <cell r="T3910">
            <v>1.7</v>
          </cell>
          <cell r="U3910">
            <v>0.56000000000000005</v>
          </cell>
          <cell r="V3910">
            <v>0.01</v>
          </cell>
          <cell r="W3910">
            <v>0</v>
          </cell>
          <cell r="X3910" t="str">
            <v>EST TAMPO CRISTAL LAPIDADO (10MM) INCOLOR CANTO RETO - 1,7x0,56x0,01H</v>
          </cell>
          <cell r="Y3910">
            <v>2964.1329999999998</v>
          </cell>
          <cell r="Z3910">
            <v>0.35</v>
          </cell>
          <cell r="AA3910">
            <v>1926.6864499999999</v>
          </cell>
          <cell r="AB3910"/>
        </row>
        <row r="3911"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H3911">
            <v>1</v>
          </cell>
          <cell r="O3911">
            <v>390794</v>
          </cell>
          <cell r="P3911" t="str">
            <v>2024/226-0033-01</v>
          </cell>
          <cell r="Q3911" t="str">
            <v>EST MESA CENTRO ORGAN (TP MARMORE TRAVERTINO/PES FREIJO)</v>
          </cell>
          <cell r="R3911"/>
          <cell r="S3911"/>
          <cell r="T3911">
            <v>1.1000000000000001</v>
          </cell>
          <cell r="U3911">
            <v>1.1000000000000001</v>
          </cell>
          <cell r="V3911">
            <v>0.27</v>
          </cell>
          <cell r="W3911">
            <v>0</v>
          </cell>
          <cell r="X3911" t="str">
            <v>EST MESA CENTRO ORGAN (TP MARMORE TRAVERTINO/PES FREIJO) - 1,1x1,1x0,27H</v>
          </cell>
          <cell r="Y3911">
            <v>42642.879999999997</v>
          </cell>
          <cell r="Z3911">
            <v>0.35</v>
          </cell>
          <cell r="AA3911">
            <v>27717.871999999999</v>
          </cell>
          <cell r="AB3911"/>
        </row>
        <row r="3912"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H3912">
            <v>1</v>
          </cell>
          <cell r="O3912">
            <v>390920</v>
          </cell>
          <cell r="P3912"/>
          <cell r="Q3912" t="str">
            <v>EST MESA LATERAL ARBOL (BS CAPICCINO/ TP PORCELANA BRANCA)</v>
          </cell>
          <cell r="R3912"/>
          <cell r="S3912"/>
          <cell r="T3912">
            <v>0.61</v>
          </cell>
          <cell r="U3912">
            <v>0.56999999999999995</v>
          </cell>
          <cell r="V3912">
            <v>0.7</v>
          </cell>
          <cell r="W3912">
            <v>0.3</v>
          </cell>
          <cell r="X3912" t="str">
            <v>EST MESA LATERAL ARBOL (BS CAPICCINO/ TP PORCELANA BRANCA) - 0,61x0,57x0,7H</v>
          </cell>
          <cell r="Y3912" t="e">
            <v>#VALUE!</v>
          </cell>
          <cell r="Z3912">
            <v>0.35</v>
          </cell>
          <cell r="AA3912" t="e">
            <v>#VALUE!</v>
          </cell>
          <cell r="AB3912"/>
        </row>
        <row r="3913"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H3913">
            <v>1</v>
          </cell>
          <cell r="O3913">
            <v>400396</v>
          </cell>
          <cell r="P3913" t="str">
            <v>2025/038-0002-01</v>
          </cell>
          <cell r="Q3913" t="str">
            <v>EST MESA CENTRO ECLIPSE (TPO LAMINA TABACO) (SUP BZE ARMANI)</v>
          </cell>
          <cell r="R3913"/>
          <cell r="S3913"/>
          <cell r="T3913">
            <v>1.5</v>
          </cell>
          <cell r="U3913">
            <v>1.1000000000000001</v>
          </cell>
          <cell r="V3913">
            <v>0.35</v>
          </cell>
          <cell r="W3913">
            <v>0</v>
          </cell>
          <cell r="X3913" t="str">
            <v>EST MESA CENTRO ECLIPSE (TPO LAMINA TABACO) (SUP BZE ARMANI) - 1,5x1,1x0,35H</v>
          </cell>
          <cell r="Y3913">
            <v>19514.66</v>
          </cell>
          <cell r="Z3913">
            <v>0.35</v>
          </cell>
          <cell r="AA3913">
            <v>12684.529</v>
          </cell>
          <cell r="AB3913"/>
        </row>
        <row r="3914"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H3914">
            <v>1</v>
          </cell>
          <cell r="O3914">
            <v>404506</v>
          </cell>
          <cell r="P3914"/>
          <cell r="Q3914" t="str">
            <v>EST MOVEL AUXILIAR ESPECIAL (CLASSICA)</v>
          </cell>
          <cell r="R3914"/>
          <cell r="S3914"/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 t="str">
            <v>EST MOVEL AUXILIAR ESPECIAL (CLASSICA) - Ø0x0H</v>
          </cell>
          <cell r="Y3914" t="e">
            <v>#VALUE!</v>
          </cell>
          <cell r="Z3914">
            <v>0.35</v>
          </cell>
          <cell r="AA3914" t="e">
            <v>#VALUE!</v>
          </cell>
          <cell r="AB3914"/>
        </row>
        <row r="3915"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H3915">
            <v>1</v>
          </cell>
          <cell r="O3915">
            <v>404507</v>
          </cell>
          <cell r="P3915"/>
          <cell r="Q3915" t="str">
            <v>EST GAVETEIRO ESPECIAL (CLASSICA)</v>
          </cell>
          <cell r="R3915"/>
          <cell r="S3915"/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 t="str">
            <v>EST GAVETEIRO ESPECIAL (CLASSICA) - Ø0x0H</v>
          </cell>
          <cell r="Y3915" t="e">
            <v>#VALUE!</v>
          </cell>
          <cell r="Z3915">
            <v>0.35</v>
          </cell>
          <cell r="AA3915" t="e">
            <v>#VALUE!</v>
          </cell>
          <cell r="AB3915"/>
        </row>
        <row r="3916"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H3916">
            <v>1</v>
          </cell>
          <cell r="O3916">
            <v>406769</v>
          </cell>
          <cell r="P3916"/>
          <cell r="Q3916" t="str">
            <v>EST MESA CENTRO CLASSICA (4 BASES)</v>
          </cell>
          <cell r="R3916"/>
          <cell r="S3916"/>
          <cell r="T3916">
            <v>1.5</v>
          </cell>
          <cell r="U3916">
            <v>1</v>
          </cell>
          <cell r="V3916">
            <v>0.4</v>
          </cell>
          <cell r="W3916">
            <v>0</v>
          </cell>
          <cell r="X3916" t="str">
            <v>EST MESA CENTRO CLASSICA (4 BASES) - 1,5x1x0,4H</v>
          </cell>
          <cell r="Y3916" t="e">
            <v>#VALUE!</v>
          </cell>
          <cell r="Z3916">
            <v>0.35</v>
          </cell>
          <cell r="AA3916" t="e">
            <v>#VALUE!</v>
          </cell>
          <cell r="AB3916"/>
        </row>
        <row r="3917"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H3917">
            <v>1</v>
          </cell>
          <cell r="O3917">
            <v>406929</v>
          </cell>
          <cell r="P3917" t="str">
            <v>2025/146-0004-01</v>
          </cell>
          <cell r="Q3917" t="str">
            <v>EST MESA CENTRO CRUX (DES) (LAM 2 FREIJO) (BS PTO FSC)</v>
          </cell>
          <cell r="R3917"/>
          <cell r="S3917"/>
          <cell r="T3917">
            <v>1.8</v>
          </cell>
          <cell r="U3917">
            <v>1.1000000000000001</v>
          </cell>
          <cell r="V3917">
            <v>0.35</v>
          </cell>
          <cell r="W3917">
            <v>0</v>
          </cell>
          <cell r="X3917" t="str">
            <v>EST MESA CENTRO CRUX (DES) (LAM 2 FREIJO) (BS PTO FSC) - 1,8x1,1x0,35H</v>
          </cell>
          <cell r="Y3917">
            <v>17835.64</v>
          </cell>
          <cell r="Z3917">
            <v>0.35</v>
          </cell>
          <cell r="AA3917">
            <v>11593.166000000001</v>
          </cell>
          <cell r="AB3917"/>
        </row>
        <row r="3918"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H3918">
            <v>2</v>
          </cell>
          <cell r="O3918">
            <v>65221</v>
          </cell>
          <cell r="P3918"/>
          <cell r="Q3918" t="str">
            <v>EST CADEIRA BOSSA ESTOFADA C/BRACO (L109 MARROM) TC FLORAL</v>
          </cell>
          <cell r="R3918"/>
          <cell r="S3918"/>
          <cell r="T3918">
            <v>0.56999999999999995</v>
          </cell>
          <cell r="U3918">
            <v>0.52</v>
          </cell>
          <cell r="V3918">
            <v>0.87</v>
          </cell>
          <cell r="W3918">
            <v>0</v>
          </cell>
          <cell r="X3918" t="str">
            <v>EST CADEIRA BOSSA ESTOFADA C/BRACO (L109 MARROM) TC FLORAL - 0,57x0,52x0,87H</v>
          </cell>
          <cell r="Y3918">
            <v>6952.96</v>
          </cell>
          <cell r="Z3918">
            <v>0.5</v>
          </cell>
          <cell r="AA3918">
            <v>3476.48</v>
          </cell>
          <cell r="AB3918"/>
        </row>
        <row r="3919"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H3919">
            <v>1</v>
          </cell>
          <cell r="O3919">
            <v>65446</v>
          </cell>
          <cell r="P3919"/>
          <cell r="Q3919" t="str">
            <v>EST CADEIRA BOSSA PALHA (EBANIZADA) TELA NATURAL</v>
          </cell>
          <cell r="R3919"/>
          <cell r="S3919"/>
          <cell r="T3919">
            <v>0.5</v>
          </cell>
          <cell r="U3919">
            <v>0.57999999999999996</v>
          </cell>
          <cell r="V3919">
            <v>0.88</v>
          </cell>
          <cell r="W3919">
            <v>0</v>
          </cell>
          <cell r="X3919" t="str">
            <v>EST CADEIRA BOSSA PALHA (EBANIZADA) TELA NATURAL - 0,5x0,58x0,88H</v>
          </cell>
          <cell r="Y3919">
            <v>5694.08</v>
          </cell>
          <cell r="Z3919">
            <v>0.5</v>
          </cell>
          <cell r="AA3919">
            <v>2847.04</v>
          </cell>
          <cell r="AB3919"/>
        </row>
        <row r="3920"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H3920">
            <v>1</v>
          </cell>
          <cell r="O3920">
            <v>88125</v>
          </cell>
          <cell r="P3920"/>
          <cell r="Q3920" t="str">
            <v>EST MESA CENTRO LEE LACA BRANCA BRILHANTE</v>
          </cell>
          <cell r="R3920"/>
          <cell r="S3920"/>
          <cell r="T3920">
            <v>1</v>
          </cell>
          <cell r="U3920">
            <v>1</v>
          </cell>
          <cell r="V3920">
            <v>0.24</v>
          </cell>
          <cell r="W3920">
            <v>0</v>
          </cell>
          <cell r="X3920" t="str">
            <v>EST MESA CENTRO LEE LACA BRANCA BRILHANTE - 1x1x0,24H</v>
          </cell>
          <cell r="Y3920">
            <v>10890.07</v>
          </cell>
          <cell r="Z3920">
            <v>0.5</v>
          </cell>
          <cell r="AA3920">
            <v>5445.0349999999999</v>
          </cell>
          <cell r="AB3920"/>
        </row>
        <row r="3921">
          <cell r="C3921">
            <v>0</v>
          </cell>
          <cell r="D3921">
            <v>0</v>
          </cell>
          <cell r="E3921">
            <v>0</v>
          </cell>
          <cell r="F3921">
            <v>0</v>
          </cell>
          <cell r="H3921">
            <v>1</v>
          </cell>
          <cell r="O3921">
            <v>94227</v>
          </cell>
          <cell r="P3921"/>
          <cell r="Q3921" t="str">
            <v>EST HOME CODE C004 C/GAVETAS E PRAT (IMBUA NEGRA)</v>
          </cell>
          <cell r="R3921"/>
          <cell r="S3921"/>
          <cell r="T3921">
            <v>0.62</v>
          </cell>
          <cell r="U3921">
            <v>0.5</v>
          </cell>
          <cell r="V3921">
            <v>0.55000000000000004</v>
          </cell>
          <cell r="W3921">
            <v>0</v>
          </cell>
          <cell r="X3921" t="str">
            <v>EST HOME CODE C004 C/GAVETAS E PRAT (IMBUA NEGRA) - 0,62x0,5x0,55H</v>
          </cell>
          <cell r="Y3921">
            <v>5281.92</v>
          </cell>
          <cell r="Z3921">
            <v>0.5</v>
          </cell>
          <cell r="AA3921">
            <v>2640.96</v>
          </cell>
          <cell r="AB3921"/>
        </row>
        <row r="3922">
          <cell r="C3922">
            <v>0</v>
          </cell>
          <cell r="D3922">
            <v>0</v>
          </cell>
          <cell r="E3922">
            <v>0</v>
          </cell>
          <cell r="F3922">
            <v>0</v>
          </cell>
          <cell r="H3922">
            <v>1</v>
          </cell>
          <cell r="O3922">
            <v>98952</v>
          </cell>
          <cell r="P3922" t="str">
            <v>1012/306-1374-01</v>
          </cell>
          <cell r="Q3922" t="str">
            <v>EST BANQUETA BAR GIU (TC 6134)</v>
          </cell>
          <cell r="R3922"/>
          <cell r="S3922"/>
          <cell r="T3922">
            <v>0.43</v>
          </cell>
          <cell r="U3922">
            <v>0.51</v>
          </cell>
          <cell r="V3922">
            <v>1</v>
          </cell>
          <cell r="W3922">
            <v>0</v>
          </cell>
          <cell r="X3922" t="str">
            <v>EST BANQUETA BAR GIU (TC 6134) - 0,43x0,51x1H</v>
          </cell>
          <cell r="Y3922">
            <v>5532.4</v>
          </cell>
          <cell r="Z3922">
            <v>0.5</v>
          </cell>
          <cell r="AA3922">
            <v>2766.2</v>
          </cell>
          <cell r="AB3922"/>
        </row>
        <row r="3923">
          <cell r="C3923" t="e">
            <v>#N/A</v>
          </cell>
          <cell r="D3923" t="e">
            <v>#N/A</v>
          </cell>
          <cell r="E3923" t="e">
            <v>#N/A</v>
          </cell>
          <cell r="F3923" t="e">
            <v>#N/A</v>
          </cell>
          <cell r="H3923" t="e">
            <v>#N/A</v>
          </cell>
          <cell r="O3923">
            <v>100474</v>
          </cell>
          <cell r="P3923"/>
          <cell r="Q3923" t="e">
            <v>#N/A</v>
          </cell>
          <cell r="R3923"/>
          <cell r="S3923"/>
          <cell r="T3923" t="e">
            <v>#N/A</v>
          </cell>
          <cell r="U3923" t="e">
            <v>#N/A</v>
          </cell>
          <cell r="V3923" t="e">
            <v>#N/A</v>
          </cell>
          <cell r="W3923" t="e">
            <v>#N/A</v>
          </cell>
          <cell r="X3923" t="e">
            <v>#N/A</v>
          </cell>
          <cell r="Y3923">
            <v>5694.08</v>
          </cell>
          <cell r="Z3923">
            <v>0.5</v>
          </cell>
          <cell r="AA3923">
            <v>2847.04</v>
          </cell>
          <cell r="AB3923"/>
        </row>
        <row r="3924">
          <cell r="C3924">
            <v>0</v>
          </cell>
          <cell r="D3924">
            <v>0</v>
          </cell>
          <cell r="E3924">
            <v>0</v>
          </cell>
          <cell r="F3924">
            <v>0</v>
          </cell>
          <cell r="H3924">
            <v>1</v>
          </cell>
          <cell r="O3924">
            <v>101791</v>
          </cell>
          <cell r="P3924"/>
          <cell r="Q3924" t="str">
            <v>EST MESA JANTAR EIFFEL C/VIDRO (CUMARU)</v>
          </cell>
          <cell r="R3924"/>
          <cell r="S3924"/>
          <cell r="T3924">
            <v>1.4</v>
          </cell>
          <cell r="U3924">
            <v>1.4</v>
          </cell>
          <cell r="V3924">
            <v>0.75</v>
          </cell>
          <cell r="W3924">
            <v>0</v>
          </cell>
          <cell r="X3924" t="str">
            <v>EST MESA JANTAR EIFFEL C/VIDRO (CUMARU) - 1,4x1,4x0,75H</v>
          </cell>
          <cell r="Y3924">
            <v>13976.55</v>
          </cell>
          <cell r="Z3924">
            <v>0.5</v>
          </cell>
          <cell r="AA3924">
            <v>6988.2749999999996</v>
          </cell>
          <cell r="AB3924"/>
        </row>
        <row r="3925">
          <cell r="C3925">
            <v>0</v>
          </cell>
          <cell r="D3925">
            <v>0</v>
          </cell>
          <cell r="E3925">
            <v>0</v>
          </cell>
          <cell r="F3925">
            <v>0</v>
          </cell>
          <cell r="H3925">
            <v>1</v>
          </cell>
          <cell r="O3925">
            <v>111890</v>
          </cell>
          <cell r="P3925"/>
          <cell r="Q3925" t="str">
            <v>EST PUFF SEIXOS 2 (COURO TIPO 4 FIORI ANTILOPE LISO)</v>
          </cell>
          <cell r="R3925"/>
          <cell r="S3925"/>
          <cell r="T3925">
            <v>1.08</v>
          </cell>
          <cell r="U3925">
            <v>0.76</v>
          </cell>
          <cell r="V3925">
            <v>0.38</v>
          </cell>
          <cell r="W3925">
            <v>0</v>
          </cell>
          <cell r="X3925" t="str">
            <v>EST PUFF SEIXOS 2 (COURO TIPO 4 FIORI ANTILOPE LISO) - 1,08x0,76x0,38H</v>
          </cell>
          <cell r="Y3925">
            <v>8512</v>
          </cell>
          <cell r="Z3925">
            <v>0.5</v>
          </cell>
          <cell r="AA3925">
            <v>4256</v>
          </cell>
          <cell r="AB3925"/>
        </row>
        <row r="3926">
          <cell r="C3926">
            <v>0</v>
          </cell>
          <cell r="D3926">
            <v>0</v>
          </cell>
          <cell r="E3926">
            <v>0</v>
          </cell>
          <cell r="F3926">
            <v>0</v>
          </cell>
          <cell r="H3926">
            <v>1</v>
          </cell>
          <cell r="O3926">
            <v>112239</v>
          </cell>
          <cell r="P3926"/>
          <cell r="Q3926" t="str">
            <v>EST BANQUETA BAR PHILLIPS (LACA BRILHO) (BASE GANE LAPIS)</v>
          </cell>
          <cell r="R3926"/>
          <cell r="S3926"/>
          <cell r="T3926">
            <v>0.35</v>
          </cell>
          <cell r="U3926">
            <v>0</v>
          </cell>
          <cell r="V3926">
            <v>0.7</v>
          </cell>
          <cell r="W3926">
            <v>0.35</v>
          </cell>
          <cell r="X3926" t="str">
            <v>EST BANQUETA BAR PHILLIPS (LACA BRILHO) (BASE GANE LAPIS) - Ø0,35x0,7H</v>
          </cell>
          <cell r="Y3926">
            <v>15008</v>
          </cell>
          <cell r="Z3926">
            <v>0.5</v>
          </cell>
          <cell r="AA3926">
            <v>7504</v>
          </cell>
          <cell r="AB3926"/>
        </row>
        <row r="3927">
          <cell r="C3927">
            <v>0</v>
          </cell>
          <cell r="D3927">
            <v>0</v>
          </cell>
          <cell r="E3927">
            <v>0</v>
          </cell>
          <cell r="F3927">
            <v>0</v>
          </cell>
          <cell r="H3927">
            <v>1</v>
          </cell>
          <cell r="O3927">
            <v>123063</v>
          </cell>
          <cell r="P3927" t="str">
            <v>1012/307-3851-01</v>
          </cell>
          <cell r="Q3927" t="str">
            <v>EST ESTANTE BASIC (NOGUEIRA/LACA BRANCA) (COMPLETA)</v>
          </cell>
          <cell r="R3927"/>
          <cell r="S3927"/>
          <cell r="T3927">
            <v>3.04</v>
          </cell>
          <cell r="U3927">
            <v>2</v>
          </cell>
          <cell r="V3927">
            <v>0</v>
          </cell>
          <cell r="W3927">
            <v>0</v>
          </cell>
          <cell r="X3927" t="str">
            <v>EST ESTANTE BASIC (NOGUEIRA/LACA BRANCA) (COMPLETA) - 3,04x2x0H</v>
          </cell>
          <cell r="Y3927">
            <v>27825.279999999999</v>
          </cell>
          <cell r="Z3927">
            <v>0.5</v>
          </cell>
          <cell r="AA3927">
            <v>13912.64</v>
          </cell>
          <cell r="AB3927"/>
        </row>
        <row r="3928">
          <cell r="C3928">
            <v>0</v>
          </cell>
          <cell r="D3928">
            <v>0</v>
          </cell>
          <cell r="E3928">
            <v>0</v>
          </cell>
          <cell r="F3928">
            <v>0</v>
          </cell>
          <cell r="H3928">
            <v>1</v>
          </cell>
          <cell r="O3928">
            <v>124400</v>
          </cell>
          <cell r="P3928"/>
          <cell r="Q3928" t="str">
            <v>EST MESA LATERAL FIX LACA BRILHANTE PLATINA</v>
          </cell>
          <cell r="R3928"/>
          <cell r="S3928"/>
          <cell r="T3928">
            <v>0.3</v>
          </cell>
          <cell r="U3928">
            <v>0.3</v>
          </cell>
          <cell r="V3928">
            <v>0.3</v>
          </cell>
          <cell r="W3928">
            <v>0</v>
          </cell>
          <cell r="X3928" t="str">
            <v>EST MESA LATERAL FIX LACA BRILHANTE PLATINA - 0,3x0,3x0,3H</v>
          </cell>
          <cell r="Y3928">
            <v>4018.56</v>
          </cell>
          <cell r="Z3928">
            <v>0.5</v>
          </cell>
          <cell r="AA3928">
            <v>2009.28</v>
          </cell>
          <cell r="AB3928"/>
        </row>
        <row r="3929">
          <cell r="C3929">
            <v>0</v>
          </cell>
          <cell r="D3929">
            <v>0</v>
          </cell>
          <cell r="E3929">
            <v>0</v>
          </cell>
          <cell r="F3929">
            <v>0</v>
          </cell>
          <cell r="H3929">
            <v>1</v>
          </cell>
          <cell r="O3929">
            <v>124936</v>
          </cell>
          <cell r="P3929"/>
          <cell r="Q3929" t="str">
            <v>EST POLTRONA MIRAH ESTOFADA (TAUARI IMBUIA MEL) TC 115#05</v>
          </cell>
          <cell r="R3929"/>
          <cell r="S3929"/>
          <cell r="T3929">
            <v>0.75</v>
          </cell>
          <cell r="U3929">
            <v>0.8</v>
          </cell>
          <cell r="V3929">
            <v>0.68</v>
          </cell>
          <cell r="W3929">
            <v>0</v>
          </cell>
          <cell r="X3929" t="str">
            <v>EST POLTRONA MIRAH ESTOFADA (TAUARI IMBUIA MEL) TC 115#05 - 0,75x0,8x0,68H</v>
          </cell>
          <cell r="Y3929">
            <v>24053.119999999999</v>
          </cell>
          <cell r="Z3929">
            <v>0.5</v>
          </cell>
          <cell r="AA3929">
            <v>12026.56</v>
          </cell>
          <cell r="AB3929"/>
        </row>
        <row r="3930">
          <cell r="C3930">
            <v>0</v>
          </cell>
          <cell r="D3930">
            <v>0</v>
          </cell>
          <cell r="E3930">
            <v>0</v>
          </cell>
          <cell r="F3930">
            <v>0</v>
          </cell>
          <cell r="H3930">
            <v>4</v>
          </cell>
          <cell r="O3930">
            <v>128908</v>
          </cell>
          <cell r="P3930"/>
          <cell r="Q3930" t="str">
            <v>EST CADEIRA PLIS (FX 4136) (TING CASTANHO)</v>
          </cell>
          <cell r="R3930"/>
          <cell r="S3930"/>
          <cell r="T3930">
            <v>0.57999999999999996</v>
          </cell>
          <cell r="U3930">
            <v>0.64</v>
          </cell>
          <cell r="V3930">
            <v>0.94</v>
          </cell>
          <cell r="W3930">
            <v>0</v>
          </cell>
          <cell r="X3930" t="str">
            <v>EST CADEIRA PLIS (FX 4136) (TING CASTANHO) - 0,58x0,64x0,94H</v>
          </cell>
          <cell r="Y3930">
            <v>5891.2</v>
          </cell>
          <cell r="Z3930">
            <v>0.5</v>
          </cell>
          <cell r="AA3930">
            <v>2945.6</v>
          </cell>
          <cell r="AB3930"/>
        </row>
        <row r="3931">
          <cell r="C3931">
            <v>0</v>
          </cell>
          <cell r="D3931">
            <v>0</v>
          </cell>
          <cell r="E3931">
            <v>0</v>
          </cell>
          <cell r="F3931">
            <v>0</v>
          </cell>
          <cell r="H3931">
            <v>1</v>
          </cell>
          <cell r="O3931">
            <v>129593</v>
          </cell>
          <cell r="P3931"/>
          <cell r="Q3931" t="str">
            <v>EST BANQUETA BAR FINN (ASS/ENC ESTOF) (TAUARI NAT) (TC 92#5)</v>
          </cell>
          <cell r="R3931"/>
          <cell r="S3931"/>
          <cell r="T3931">
            <v>0.45</v>
          </cell>
          <cell r="U3931">
            <v>0.43</v>
          </cell>
          <cell r="V3931">
            <v>0.92</v>
          </cell>
          <cell r="W3931">
            <v>0</v>
          </cell>
          <cell r="X3931" t="str">
            <v>EST BANQUETA BAR FINN (ASS/ENC ESTOF) (TAUARI NAT) (TC 92#5) - 0,45x0,43x0,92H</v>
          </cell>
          <cell r="Y3931">
            <v>5930.36</v>
          </cell>
          <cell r="Z3931">
            <v>0.5</v>
          </cell>
          <cell r="AA3931">
            <v>2965.18</v>
          </cell>
          <cell r="AB3931"/>
        </row>
        <row r="3932">
          <cell r="C3932">
            <v>0</v>
          </cell>
          <cell r="D3932">
            <v>0</v>
          </cell>
          <cell r="E3932">
            <v>0</v>
          </cell>
          <cell r="F3932">
            <v>0</v>
          </cell>
          <cell r="H3932">
            <v>1</v>
          </cell>
          <cell r="O3932">
            <v>137163</v>
          </cell>
          <cell r="P3932" t="str">
            <v>2013/241-0007-01</v>
          </cell>
          <cell r="Q3932" t="str">
            <v>EST CADEIRA GIU C/BRACO (TC 4158)</v>
          </cell>
          <cell r="R3932"/>
          <cell r="S3932"/>
          <cell r="T3932">
            <v>0.57999999999999996</v>
          </cell>
          <cell r="U3932">
            <v>0.59</v>
          </cell>
          <cell r="V3932">
            <v>0.85</v>
          </cell>
          <cell r="W3932">
            <v>0</v>
          </cell>
          <cell r="X3932" t="str">
            <v>EST CADEIRA GIU C/BRACO (TC 4158) - 0,58x0,59x0,85H</v>
          </cell>
          <cell r="Y3932">
            <v>5098.37</v>
          </cell>
          <cell r="Z3932">
            <v>0.5</v>
          </cell>
          <cell r="AA3932">
            <v>2549.1849999999999</v>
          </cell>
          <cell r="AB3932"/>
        </row>
        <row r="3933">
          <cell r="C3933">
            <v>0</v>
          </cell>
          <cell r="D3933">
            <v>0</v>
          </cell>
          <cell r="E3933">
            <v>0</v>
          </cell>
          <cell r="F3933">
            <v>0</v>
          </cell>
          <cell r="H3933">
            <v>2</v>
          </cell>
          <cell r="O3933">
            <v>142198</v>
          </cell>
          <cell r="P3933"/>
          <cell r="Q3933" t="str">
            <v>EST BANCO KEI (CATEDRAL CHAMPAGNE) (BS METALIC CHAMPAGNE)</v>
          </cell>
          <cell r="R3933"/>
          <cell r="S3933"/>
          <cell r="T3933">
            <v>0.45</v>
          </cell>
          <cell r="U3933">
            <v>0.45</v>
          </cell>
          <cell r="V3933">
            <v>0.45</v>
          </cell>
          <cell r="W3933">
            <v>0</v>
          </cell>
          <cell r="X3933" t="str">
            <v>EST BANCO KEI (CATEDRAL CHAMPAGNE) (BS METALIC CHAMPAGNE) - 0,45x0,45x0,45H</v>
          </cell>
          <cell r="Y3933">
            <v>8382.5300000000007</v>
          </cell>
          <cell r="Z3933">
            <v>0.5</v>
          </cell>
          <cell r="AA3933">
            <v>4191.2650000000003</v>
          </cell>
          <cell r="AB3933"/>
        </row>
        <row r="3934">
          <cell r="C3934">
            <v>0</v>
          </cell>
          <cell r="D3934">
            <v>0</v>
          </cell>
          <cell r="E3934">
            <v>0</v>
          </cell>
          <cell r="F3934">
            <v>0</v>
          </cell>
          <cell r="H3934">
            <v>2</v>
          </cell>
          <cell r="O3934">
            <v>147891</v>
          </cell>
          <cell r="P3934"/>
          <cell r="Q3934" t="str">
            <v>EST CADEIRA PRIMA C/BRACO (ESTOFADO) (EBANIZADA) TC 99#05</v>
          </cell>
          <cell r="R3934"/>
          <cell r="S3934"/>
          <cell r="T3934">
            <v>0.55000000000000004</v>
          </cell>
          <cell r="U3934">
            <v>0.57999999999999996</v>
          </cell>
          <cell r="V3934">
            <v>0.82</v>
          </cell>
          <cell r="W3934">
            <v>0</v>
          </cell>
          <cell r="X3934" t="str">
            <v>EST CADEIRA PRIMA C/BRACO (ESTOFADO) (EBANIZADA) TC 99#05 - 0,55x0,58x0,82H</v>
          </cell>
          <cell r="Y3934">
            <v>4374.72</v>
          </cell>
          <cell r="Z3934">
            <v>0.5</v>
          </cell>
          <cell r="AA3934">
            <v>2187.36</v>
          </cell>
          <cell r="AB3934"/>
        </row>
        <row r="3935">
          <cell r="C3935">
            <v>0</v>
          </cell>
          <cell r="D3935">
            <v>0</v>
          </cell>
          <cell r="E3935">
            <v>0</v>
          </cell>
          <cell r="F3935">
            <v>0</v>
          </cell>
          <cell r="H3935">
            <v>0</v>
          </cell>
          <cell r="O3935">
            <v>150742</v>
          </cell>
          <cell r="P3935" t="str">
            <v>2014/202-0003-01</v>
          </cell>
          <cell r="Q3935" t="str">
            <v>EST POLTRONA PRINCE (EBANIZADO) FX G7129</v>
          </cell>
          <cell r="R3935"/>
          <cell r="S3935"/>
          <cell r="T3935">
            <v>0.67</v>
          </cell>
          <cell r="U3935">
            <v>0.78</v>
          </cell>
          <cell r="V3935">
            <v>0.88</v>
          </cell>
          <cell r="W3935">
            <v>0</v>
          </cell>
          <cell r="X3935" t="str">
            <v>EST POLTRONA PRINCE (EBANIZADO) FX G7129 - 0,67x0,78x0,88H</v>
          </cell>
          <cell r="Y3935">
            <v>3584.67</v>
          </cell>
          <cell r="Z3935">
            <v>0.5</v>
          </cell>
          <cell r="AA3935">
            <v>1792.335</v>
          </cell>
          <cell r="AB3935"/>
        </row>
        <row r="3936">
          <cell r="C3936">
            <v>0</v>
          </cell>
          <cell r="D3936">
            <v>0</v>
          </cell>
          <cell r="E3936">
            <v>0</v>
          </cell>
          <cell r="F3936">
            <v>0</v>
          </cell>
          <cell r="H3936">
            <v>0</v>
          </cell>
          <cell r="O3936">
            <v>150742</v>
          </cell>
          <cell r="P3936" t="str">
            <v>2014/202-0004-01</v>
          </cell>
          <cell r="Q3936" t="str">
            <v>EST POLTRONA PRINCE (EBANIZADO) FX G7129</v>
          </cell>
          <cell r="R3936"/>
          <cell r="S3936"/>
          <cell r="T3936">
            <v>0.67</v>
          </cell>
          <cell r="U3936">
            <v>0.78</v>
          </cell>
          <cell r="V3936">
            <v>0.88</v>
          </cell>
          <cell r="W3936">
            <v>0</v>
          </cell>
          <cell r="X3936" t="str">
            <v>EST POLTRONA PRINCE (EBANIZADO) FX G7129 - 0,67x0,78x0,88H</v>
          </cell>
          <cell r="Y3936">
            <v>3584.67</v>
          </cell>
          <cell r="Z3936">
            <v>0.5</v>
          </cell>
          <cell r="AA3936">
            <v>1792.335</v>
          </cell>
          <cell r="AB3936"/>
        </row>
        <row r="3937">
          <cell r="C3937">
            <v>0</v>
          </cell>
          <cell r="D3937">
            <v>0</v>
          </cell>
          <cell r="E3937">
            <v>0</v>
          </cell>
          <cell r="F3937">
            <v>0</v>
          </cell>
          <cell r="H3937">
            <v>0</v>
          </cell>
          <cell r="O3937">
            <v>150742</v>
          </cell>
          <cell r="P3937" t="str">
            <v>2014/202-0006-01</v>
          </cell>
          <cell r="Q3937" t="str">
            <v>EST POLTRONA PRINCE (EBANIZADO) FX G7129</v>
          </cell>
          <cell r="R3937"/>
          <cell r="S3937"/>
          <cell r="T3937">
            <v>0.67</v>
          </cell>
          <cell r="U3937">
            <v>0.78</v>
          </cell>
          <cell r="V3937">
            <v>0.88</v>
          </cell>
          <cell r="W3937">
            <v>0</v>
          </cell>
          <cell r="X3937" t="str">
            <v>EST POLTRONA PRINCE (EBANIZADO) FX G7129 - 0,67x0,78x0,88H</v>
          </cell>
          <cell r="Y3937">
            <v>3584.67</v>
          </cell>
          <cell r="Z3937">
            <v>0.5</v>
          </cell>
          <cell r="AA3937">
            <v>1792.335</v>
          </cell>
          <cell r="AB3937"/>
        </row>
        <row r="3938">
          <cell r="C3938">
            <v>0</v>
          </cell>
          <cell r="D3938">
            <v>0</v>
          </cell>
          <cell r="E3938">
            <v>0</v>
          </cell>
          <cell r="F3938">
            <v>0</v>
          </cell>
          <cell r="H3938">
            <v>0</v>
          </cell>
          <cell r="O3938">
            <v>150742</v>
          </cell>
          <cell r="P3938" t="str">
            <v>2014/202-0007-01</v>
          </cell>
          <cell r="Q3938" t="str">
            <v>EST POLTRONA PRINCE (EBANIZADO) FX G7129</v>
          </cell>
          <cell r="R3938"/>
          <cell r="S3938"/>
          <cell r="T3938">
            <v>0.67</v>
          </cell>
          <cell r="U3938">
            <v>0.78</v>
          </cell>
          <cell r="V3938">
            <v>0.88</v>
          </cell>
          <cell r="W3938">
            <v>0</v>
          </cell>
          <cell r="X3938" t="str">
            <v>EST POLTRONA PRINCE (EBANIZADO) FX G7129 - 0,67x0,78x0,88H</v>
          </cell>
          <cell r="Y3938">
            <v>3584.67</v>
          </cell>
          <cell r="Z3938">
            <v>0.5</v>
          </cell>
          <cell r="AA3938">
            <v>1792.335</v>
          </cell>
          <cell r="AB3938"/>
        </row>
        <row r="3939">
          <cell r="C3939">
            <v>0</v>
          </cell>
          <cell r="D3939">
            <v>0</v>
          </cell>
          <cell r="E3939">
            <v>0</v>
          </cell>
          <cell r="F3939">
            <v>0</v>
          </cell>
          <cell r="H3939">
            <v>1</v>
          </cell>
          <cell r="O3939">
            <v>150912</v>
          </cell>
          <cell r="P3939"/>
          <cell r="Q3939" t="str">
            <v>EST SOFA REVERE (PES NOGUEIRA AMERICANA) TC 1124-C</v>
          </cell>
          <cell r="R3939"/>
          <cell r="S3939"/>
          <cell r="T3939">
            <v>2.6</v>
          </cell>
          <cell r="U3939">
            <v>0.86</v>
          </cell>
          <cell r="V3939">
            <v>0.76</v>
          </cell>
          <cell r="W3939">
            <v>0</v>
          </cell>
          <cell r="X3939" t="str">
            <v>EST SOFA REVERE (PES NOGUEIRA AMERICANA) TC 1124-C - 2,6x0,86x0,76H</v>
          </cell>
          <cell r="Y3939">
            <v>27838.720000000001</v>
          </cell>
          <cell r="Z3939">
            <v>0.5</v>
          </cell>
          <cell r="AA3939">
            <v>13919.36</v>
          </cell>
          <cell r="AB3939"/>
        </row>
        <row r="3940">
          <cell r="C3940">
            <v>0</v>
          </cell>
          <cell r="D3940">
            <v>0</v>
          </cell>
          <cell r="E3940">
            <v>0</v>
          </cell>
          <cell r="F3940">
            <v>0</v>
          </cell>
          <cell r="H3940">
            <v>1</v>
          </cell>
          <cell r="O3940">
            <v>151361</v>
          </cell>
          <cell r="P3940"/>
          <cell r="Q3940" t="str">
            <v>EST MESA CENTRO NEST (LC BRILHO OFFWHITE)</v>
          </cell>
          <cell r="R3940"/>
          <cell r="S3940"/>
          <cell r="T3940">
            <v>1.63</v>
          </cell>
          <cell r="U3940">
            <v>0.45</v>
          </cell>
          <cell r="V3940">
            <v>0.28999999999999998</v>
          </cell>
          <cell r="W3940">
            <v>0</v>
          </cell>
          <cell r="X3940" t="str">
            <v>EST MESA CENTRO NEST (LC BRILHO OFFWHITE) - 1,63x0,45x0,29H</v>
          </cell>
          <cell r="Y3940">
            <v>5303.42</v>
          </cell>
          <cell r="Z3940">
            <v>0.5</v>
          </cell>
          <cell r="AA3940">
            <v>2651.71</v>
          </cell>
          <cell r="AB3940"/>
        </row>
        <row r="3941">
          <cell r="C3941">
            <v>0</v>
          </cell>
          <cell r="D3941">
            <v>0</v>
          </cell>
          <cell r="E3941">
            <v>0</v>
          </cell>
          <cell r="F3941">
            <v>0</v>
          </cell>
          <cell r="H3941">
            <v>1</v>
          </cell>
          <cell r="O3941">
            <v>151366</v>
          </cell>
          <cell r="P3941" t="str">
            <v>2014/191-0101-01</v>
          </cell>
          <cell r="Q3941" t="str">
            <v>EST APARADOR NEST ROVERE CATERAL BRONZE</v>
          </cell>
          <cell r="R3941"/>
          <cell r="S3941"/>
          <cell r="T3941">
            <v>2</v>
          </cell>
          <cell r="U3941">
            <v>0.5</v>
          </cell>
          <cell r="V3941">
            <v>0.76</v>
          </cell>
          <cell r="W3941">
            <v>0</v>
          </cell>
          <cell r="X3941" t="str">
            <v>EST APARADOR NEST ROVERE CATERAL BRONZE - 2x0,5x0,76H</v>
          </cell>
          <cell r="Y3941">
            <v>13022.91</v>
          </cell>
          <cell r="Z3941">
            <v>0.5</v>
          </cell>
          <cell r="AA3941">
            <v>6511.4549999999999</v>
          </cell>
          <cell r="AB3941"/>
        </row>
        <row r="3942">
          <cell r="C3942">
            <v>1</v>
          </cell>
          <cell r="D3942">
            <v>0</v>
          </cell>
          <cell r="E3942">
            <v>0</v>
          </cell>
          <cell r="F3942">
            <v>0</v>
          </cell>
          <cell r="H3942">
            <v>2</v>
          </cell>
          <cell r="O3942">
            <v>151387</v>
          </cell>
          <cell r="P3942" t="str">
            <v>2014/219-0302-01</v>
          </cell>
          <cell r="Q3942" t="str">
            <v>EST PUFF BRISTOL (C/ALCA) (FIBRA 10MM) OURO PRETO RASPADO</v>
          </cell>
          <cell r="R3942"/>
          <cell r="S3942"/>
          <cell r="T3942">
            <v>0.4</v>
          </cell>
          <cell r="U3942">
            <v>0.4</v>
          </cell>
          <cell r="V3942">
            <v>0.4</v>
          </cell>
          <cell r="W3942">
            <v>0</v>
          </cell>
          <cell r="X3942" t="str">
            <v>EST PUFF BRISTOL (C/ALCA) (FIBRA 10MM) OURO PRETO RASPADO - 0,4x0,4x0,4H</v>
          </cell>
          <cell r="Y3942">
            <v>3551.52</v>
          </cell>
          <cell r="Z3942">
            <v>0.5</v>
          </cell>
          <cell r="AA3942">
            <v>1775.76</v>
          </cell>
          <cell r="AB3942"/>
        </row>
        <row r="3943">
          <cell r="C3943">
            <v>1</v>
          </cell>
          <cell r="D3943">
            <v>0</v>
          </cell>
          <cell r="E3943">
            <v>0</v>
          </cell>
          <cell r="F3943">
            <v>0</v>
          </cell>
          <cell r="H3943">
            <v>2</v>
          </cell>
          <cell r="O3943">
            <v>151387</v>
          </cell>
          <cell r="P3943" t="str">
            <v>2014/219-0358-01</v>
          </cell>
          <cell r="Q3943" t="str">
            <v>EST PUFF BRISTOL (C/ALCA) (FIBRA 10MM) OURO PRETO RASPADO</v>
          </cell>
          <cell r="R3943"/>
          <cell r="S3943"/>
          <cell r="T3943">
            <v>0.4</v>
          </cell>
          <cell r="U3943">
            <v>0.4</v>
          </cell>
          <cell r="V3943">
            <v>0.4</v>
          </cell>
          <cell r="W3943">
            <v>0</v>
          </cell>
          <cell r="X3943" t="str">
            <v>EST PUFF BRISTOL (C/ALCA) (FIBRA 10MM) OURO PRETO RASPADO - 0,4x0,4x0,4H</v>
          </cell>
          <cell r="Y3943">
            <v>3551.52</v>
          </cell>
          <cell r="Z3943">
            <v>0.5</v>
          </cell>
          <cell r="AA3943">
            <v>1775.76</v>
          </cell>
          <cell r="AB3943"/>
        </row>
        <row r="3944">
          <cell r="C3944">
            <v>0</v>
          </cell>
          <cell r="D3944">
            <v>0</v>
          </cell>
          <cell r="E3944">
            <v>0</v>
          </cell>
          <cell r="F3944">
            <v>0</v>
          </cell>
          <cell r="H3944">
            <v>1</v>
          </cell>
          <cell r="O3944">
            <v>151462</v>
          </cell>
          <cell r="P3944"/>
          <cell r="Q3944" t="str">
            <v>EST PUFF RAVENNA (FIBRA BANANEIRA) PES MADEIRA MACICA</v>
          </cell>
          <cell r="R3944"/>
          <cell r="S3944"/>
          <cell r="T3944">
            <v>0.8</v>
          </cell>
          <cell r="U3944">
            <v>0.8</v>
          </cell>
          <cell r="V3944">
            <v>0.45</v>
          </cell>
          <cell r="W3944">
            <v>0</v>
          </cell>
          <cell r="X3944" t="str">
            <v>EST PUFF RAVENNA (FIBRA BANANEIRA) PES MADEIRA MACICA - 0,8x0,8x0,45H</v>
          </cell>
          <cell r="Y3944">
            <v>15680</v>
          </cell>
          <cell r="Z3944">
            <v>0.5</v>
          </cell>
          <cell r="AA3944">
            <v>7840</v>
          </cell>
          <cell r="AB3944"/>
        </row>
        <row r="3945">
          <cell r="C3945">
            <v>0</v>
          </cell>
          <cell r="D3945">
            <v>0</v>
          </cell>
          <cell r="E3945">
            <v>0</v>
          </cell>
          <cell r="F3945">
            <v>0</v>
          </cell>
          <cell r="H3945">
            <v>10</v>
          </cell>
          <cell r="O3945">
            <v>151468</v>
          </cell>
          <cell r="P3945"/>
          <cell r="Q3945" t="str">
            <v>EST POLTRONA JULIA II (JUNCO COR 10) (TC 47/C)</v>
          </cell>
          <cell r="R3945"/>
          <cell r="S3945"/>
          <cell r="T3945">
            <v>0.6</v>
          </cell>
          <cell r="U3945">
            <v>0.6</v>
          </cell>
          <cell r="V3945">
            <v>0.75</v>
          </cell>
          <cell r="W3945">
            <v>0</v>
          </cell>
          <cell r="X3945" t="str">
            <v>EST POLTRONA JULIA II (JUNCO COR 10) (TC 47/C) - 0,6x0,6x0,75H</v>
          </cell>
          <cell r="Y3945">
            <v>8064</v>
          </cell>
          <cell r="Z3945">
            <v>0.5</v>
          </cell>
          <cell r="AA3945">
            <v>4032</v>
          </cell>
          <cell r="AB3945"/>
        </row>
        <row r="3946">
          <cell r="C3946">
            <v>0</v>
          </cell>
          <cell r="D3946">
            <v>0</v>
          </cell>
          <cell r="E3946">
            <v>0</v>
          </cell>
          <cell r="F3946">
            <v>0</v>
          </cell>
          <cell r="H3946">
            <v>2</v>
          </cell>
          <cell r="O3946">
            <v>151533</v>
          </cell>
          <cell r="P3946" t="str">
            <v>2014/219-0105-01</v>
          </cell>
          <cell r="Q3946" t="str">
            <v>EST CADEIRA C/BARCO GIU (TC CHEVRON 11632/005)</v>
          </cell>
          <cell r="R3946"/>
          <cell r="S3946"/>
          <cell r="T3946">
            <v>0.57999999999999996</v>
          </cell>
          <cell r="U3946">
            <v>0.59</v>
          </cell>
          <cell r="V3946">
            <v>0.85</v>
          </cell>
          <cell r="W3946">
            <v>0</v>
          </cell>
          <cell r="X3946" t="str">
            <v>EST CADEIRA C/BARCO GIU (TC CHEVRON 11632/005) - 0,58x0,59x0,85H</v>
          </cell>
          <cell r="Y3946">
            <v>6205.38</v>
          </cell>
          <cell r="Z3946">
            <v>0.5</v>
          </cell>
          <cell r="AA3946">
            <v>3102.69</v>
          </cell>
          <cell r="AB3946"/>
        </row>
        <row r="3947">
          <cell r="C3947">
            <v>0</v>
          </cell>
          <cell r="D3947">
            <v>0</v>
          </cell>
          <cell r="E3947">
            <v>0</v>
          </cell>
          <cell r="F3947">
            <v>0</v>
          </cell>
          <cell r="H3947">
            <v>2</v>
          </cell>
          <cell r="O3947">
            <v>151533</v>
          </cell>
          <cell r="P3947" t="str">
            <v>2014/219-0106-01</v>
          </cell>
          <cell r="Q3947" t="str">
            <v>EST CADEIRA C/BARCO GIU (TC CHEVRON 11632/005)</v>
          </cell>
          <cell r="R3947"/>
          <cell r="S3947"/>
          <cell r="T3947">
            <v>0.57999999999999996</v>
          </cell>
          <cell r="U3947">
            <v>0.59</v>
          </cell>
          <cell r="V3947">
            <v>0.85</v>
          </cell>
          <cell r="W3947">
            <v>0</v>
          </cell>
          <cell r="X3947" t="str">
            <v>EST CADEIRA C/BARCO GIU (TC CHEVRON 11632/005) - 0,58x0,59x0,85H</v>
          </cell>
          <cell r="Y3947">
            <v>6205.38</v>
          </cell>
          <cell r="Z3947">
            <v>0.5</v>
          </cell>
          <cell r="AA3947">
            <v>3102.69</v>
          </cell>
          <cell r="AB3947"/>
        </row>
        <row r="3948">
          <cell r="C3948">
            <v>0</v>
          </cell>
          <cell r="D3948">
            <v>0</v>
          </cell>
          <cell r="E3948">
            <v>0</v>
          </cell>
          <cell r="F3948">
            <v>0</v>
          </cell>
          <cell r="H3948">
            <v>1</v>
          </cell>
          <cell r="O3948">
            <v>151548</v>
          </cell>
          <cell r="P3948"/>
          <cell r="Q3948" t="str">
            <v>EST POLTRONA STUART TC OFFWHITE</v>
          </cell>
          <cell r="R3948"/>
          <cell r="S3948"/>
          <cell r="T3948">
            <v>0.85</v>
          </cell>
          <cell r="U3948">
            <v>0.95</v>
          </cell>
          <cell r="V3948">
            <v>0.73</v>
          </cell>
          <cell r="W3948">
            <v>0</v>
          </cell>
          <cell r="X3948" t="str">
            <v>EST POLTRONA STUART TC OFFWHITE - 0,85x0,95x0,73H</v>
          </cell>
          <cell r="Y3948">
            <v>14851.2</v>
          </cell>
          <cell r="Z3948">
            <v>0.5</v>
          </cell>
          <cell r="AA3948">
            <v>7425.6</v>
          </cell>
          <cell r="AB3948"/>
        </row>
        <row r="3949">
          <cell r="C3949">
            <v>0</v>
          </cell>
          <cell r="D3949">
            <v>0</v>
          </cell>
          <cell r="E3949">
            <v>0</v>
          </cell>
          <cell r="F3949">
            <v>0</v>
          </cell>
          <cell r="H3949">
            <v>1</v>
          </cell>
          <cell r="O3949">
            <v>151549</v>
          </cell>
          <cell r="P3949" t="str">
            <v>2014/209-0085-01</v>
          </cell>
          <cell r="Q3949" t="str">
            <v>EST MODULO BRACO ESQ C/AVANCO BASE STUART (TC CINZA CLARO)</v>
          </cell>
          <cell r="R3949"/>
          <cell r="S3949"/>
          <cell r="T3949">
            <v>1.5</v>
          </cell>
          <cell r="U3949">
            <v>0.95</v>
          </cell>
          <cell r="V3949">
            <v>0.73</v>
          </cell>
          <cell r="W3949">
            <v>0</v>
          </cell>
          <cell r="X3949" t="str">
            <v>EST MODULO BRACO ESQ C/AVANCO BASE STUART (TC CINZA CLARO) - 1,5x0,95x0,73H</v>
          </cell>
          <cell r="Y3949">
            <v>18816</v>
          </cell>
          <cell r="Z3949">
            <v>0.5</v>
          </cell>
          <cell r="AA3949">
            <v>9408</v>
          </cell>
          <cell r="AB3949"/>
        </row>
        <row r="3950">
          <cell r="C3950">
            <v>0</v>
          </cell>
          <cell r="D3950">
            <v>0</v>
          </cell>
          <cell r="E3950">
            <v>0</v>
          </cell>
          <cell r="F3950">
            <v>0</v>
          </cell>
          <cell r="H3950">
            <v>2</v>
          </cell>
          <cell r="O3950">
            <v>151668</v>
          </cell>
          <cell r="P3950" t="str">
            <v>2014/218-0001-01</v>
          </cell>
          <cell r="Q3950" t="str">
            <v>EST MESA LATERAL EROS (INOX POLIDO) (TP CARV GRAFITE BRILHO)</v>
          </cell>
          <cell r="R3950"/>
          <cell r="S3950"/>
          <cell r="T3950">
            <v>0.56000000000000005</v>
          </cell>
          <cell r="U3950">
            <v>0.4</v>
          </cell>
          <cell r="V3950">
            <v>0.65</v>
          </cell>
          <cell r="W3950">
            <v>0</v>
          </cell>
          <cell r="X3950" t="str">
            <v>EST MESA LATERAL EROS (INOX POLIDO) (TP CARV GRAFITE BRILHO) - 0,56x0,4x0,65H</v>
          </cell>
          <cell r="Y3950">
            <v>9434.8799999999992</v>
          </cell>
          <cell r="Z3950">
            <v>0.5</v>
          </cell>
          <cell r="AA3950">
            <v>4717.4399999999996</v>
          </cell>
          <cell r="AB3950"/>
        </row>
        <row r="3951">
          <cell r="C3951">
            <v>0</v>
          </cell>
          <cell r="D3951">
            <v>0</v>
          </cell>
          <cell r="E3951">
            <v>0</v>
          </cell>
          <cell r="F3951">
            <v>0</v>
          </cell>
          <cell r="H3951">
            <v>1</v>
          </cell>
          <cell r="O3951">
            <v>151676</v>
          </cell>
          <cell r="P3951" t="str">
            <v>2014/197-0089-01</v>
          </cell>
          <cell r="Q3951" t="str">
            <v>EST TAMPO CRISTAL LAPIDADO (15MM) INCOLOR (CIRCULAR)</v>
          </cell>
          <cell r="R3951"/>
          <cell r="S3951"/>
          <cell r="T3951">
            <v>1</v>
          </cell>
          <cell r="U3951">
            <v>0</v>
          </cell>
          <cell r="V3951">
            <v>0.01</v>
          </cell>
          <cell r="W3951">
            <v>1</v>
          </cell>
          <cell r="X3951" t="str">
            <v>EST TAMPO CRISTAL LAPIDADO (15MM) INCOLOR (CIRCULAR) - Ø1x0,01H</v>
          </cell>
          <cell r="Y3951">
            <v>6579.24</v>
          </cell>
          <cell r="Z3951">
            <v>0.5</v>
          </cell>
          <cell r="AA3951">
            <v>3289.62</v>
          </cell>
          <cell r="AB3951"/>
        </row>
        <row r="3952">
          <cell r="C3952">
            <v>0</v>
          </cell>
          <cell r="D3952">
            <v>0</v>
          </cell>
          <cell r="E3952">
            <v>0</v>
          </cell>
          <cell r="F3952">
            <v>0</v>
          </cell>
          <cell r="H3952">
            <v>2</v>
          </cell>
          <cell r="O3952">
            <v>151722</v>
          </cell>
          <cell r="P3952" t="str">
            <v>2014/204-0099-01</v>
          </cell>
          <cell r="Q3952" t="str">
            <v>EST MESA JANTAR ALTAMIRA CARVALHO TITANIUM MTZ FOSCO</v>
          </cell>
          <cell r="R3952"/>
          <cell r="S3952"/>
          <cell r="T3952">
            <v>2.6</v>
          </cell>
          <cell r="U3952">
            <v>1.2</v>
          </cell>
          <cell r="V3952">
            <v>0.76</v>
          </cell>
          <cell r="W3952">
            <v>0</v>
          </cell>
          <cell r="X3952" t="str">
            <v>EST MESA JANTAR ALTAMIRA CARVALHO TITANIUM MTZ FOSCO - 2,6x1,2x0,76H</v>
          </cell>
          <cell r="Y3952">
            <v>40096</v>
          </cell>
          <cell r="Z3952">
            <v>0.5</v>
          </cell>
          <cell r="AA3952">
            <v>20048</v>
          </cell>
          <cell r="AB3952"/>
        </row>
        <row r="3953">
          <cell r="C3953">
            <v>0</v>
          </cell>
          <cell r="D3953">
            <v>0</v>
          </cell>
          <cell r="E3953">
            <v>0</v>
          </cell>
          <cell r="F3953">
            <v>0</v>
          </cell>
          <cell r="H3953">
            <v>2</v>
          </cell>
          <cell r="O3953">
            <v>151722</v>
          </cell>
          <cell r="P3953" t="str">
            <v>2014/199-0117-01</v>
          </cell>
          <cell r="Q3953" t="str">
            <v>EST MESA JANTAR ALTAMIRA CARVALHO TITANIUM MTZ FOSCO</v>
          </cell>
          <cell r="R3953"/>
          <cell r="S3953"/>
          <cell r="T3953">
            <v>2.6</v>
          </cell>
          <cell r="U3953">
            <v>1.2</v>
          </cell>
          <cell r="V3953">
            <v>0.76</v>
          </cell>
          <cell r="W3953">
            <v>0</v>
          </cell>
          <cell r="X3953" t="str">
            <v>EST MESA JANTAR ALTAMIRA CARVALHO TITANIUM MTZ FOSCO - 2,6x1,2x0,76H</v>
          </cell>
          <cell r="Y3953">
            <v>40096</v>
          </cell>
          <cell r="Z3953">
            <v>0.5</v>
          </cell>
          <cell r="AA3953">
            <v>20048</v>
          </cell>
          <cell r="AB3953"/>
        </row>
        <row r="3954">
          <cell r="C3954">
            <v>0</v>
          </cell>
          <cell r="D3954">
            <v>0</v>
          </cell>
          <cell r="E3954">
            <v>0</v>
          </cell>
          <cell r="F3954">
            <v>0</v>
          </cell>
          <cell r="H3954">
            <v>1</v>
          </cell>
          <cell r="O3954">
            <v>152614</v>
          </cell>
          <cell r="P3954" t="str">
            <v>2014/185-0109-01</v>
          </cell>
          <cell r="Q3954" t="str">
            <v>EST APARADOR PHOENIX (LACA POLIESTER BRILHO BRANCA)</v>
          </cell>
          <cell r="R3954"/>
          <cell r="S3954"/>
          <cell r="T3954">
            <v>1.8</v>
          </cell>
          <cell r="U3954">
            <v>0.55000000000000004</v>
          </cell>
          <cell r="V3954">
            <v>0.6</v>
          </cell>
          <cell r="W3954">
            <v>0</v>
          </cell>
          <cell r="X3954" t="str">
            <v>EST APARADOR PHOENIX (LACA POLIESTER BRILHO BRANCA) - 1,8x0,55x0,6H</v>
          </cell>
          <cell r="Y3954">
            <v>15023.81</v>
          </cell>
          <cell r="Z3954">
            <v>0.5</v>
          </cell>
          <cell r="AA3954">
            <v>7511.9049999999997</v>
          </cell>
          <cell r="AB3954"/>
        </row>
        <row r="3955">
          <cell r="C3955">
            <v>0</v>
          </cell>
          <cell r="D3955">
            <v>0</v>
          </cell>
          <cell r="E3955">
            <v>0</v>
          </cell>
          <cell r="F3955">
            <v>0</v>
          </cell>
          <cell r="H3955">
            <v>1</v>
          </cell>
          <cell r="O3955">
            <v>157538</v>
          </cell>
          <cell r="P3955"/>
          <cell r="Q3955" t="str">
            <v>EST BANQUETA BAR PHILLIPS (NOGUEIRA) ((BASE LATAO)</v>
          </cell>
          <cell r="R3955"/>
          <cell r="S3955"/>
          <cell r="T3955">
            <v>0.35</v>
          </cell>
          <cell r="U3955">
            <v>0</v>
          </cell>
          <cell r="V3955">
            <v>0.7</v>
          </cell>
          <cell r="W3955">
            <v>0.35</v>
          </cell>
          <cell r="X3955" t="str">
            <v>EST BANQUETA BAR PHILLIPS (NOGUEIRA) ((BASE LATAO) - Ø0,35x0,7H</v>
          </cell>
          <cell r="Y3955">
            <v>15008</v>
          </cell>
          <cell r="Z3955">
            <v>0.5</v>
          </cell>
          <cell r="AA3955">
            <v>7504</v>
          </cell>
          <cell r="AB3955"/>
        </row>
        <row r="3956">
          <cell r="C3956">
            <v>0</v>
          </cell>
          <cell r="D3956">
            <v>0</v>
          </cell>
          <cell r="E3956">
            <v>0</v>
          </cell>
          <cell r="F3956">
            <v>0</v>
          </cell>
          <cell r="H3956">
            <v>2</v>
          </cell>
          <cell r="O3956">
            <v>161699</v>
          </cell>
          <cell r="P3956"/>
          <cell r="Q3956" t="str">
            <v>EST TAMPO CRISTAL LAPIDADO (06MM) LAQUEADO BRONZE RETILINEO</v>
          </cell>
          <cell r="R3956"/>
          <cell r="S3956"/>
          <cell r="T3956">
            <v>0.43</v>
          </cell>
          <cell r="U3956">
            <v>0.4</v>
          </cell>
          <cell r="V3956">
            <v>0</v>
          </cell>
          <cell r="W3956">
            <v>0</v>
          </cell>
          <cell r="X3956" t="str">
            <v>EST TAMPO CRISTAL LAPIDADO (06MM) LAQUEADO BRONZE RETILINEO - 0,43x0,4x0H</v>
          </cell>
          <cell r="Y3956">
            <v>717.56</v>
          </cell>
          <cell r="Z3956">
            <v>0.5</v>
          </cell>
          <cell r="AA3956">
            <v>358.78</v>
          </cell>
          <cell r="AB3956"/>
        </row>
        <row r="3957">
          <cell r="C3957">
            <v>0</v>
          </cell>
          <cell r="D3957">
            <v>1</v>
          </cell>
          <cell r="E3957">
            <v>0</v>
          </cell>
          <cell r="F3957">
            <v>0</v>
          </cell>
          <cell r="H3957">
            <v>1</v>
          </cell>
          <cell r="O3957">
            <v>163826</v>
          </cell>
          <cell r="P3957"/>
          <cell r="Q3957" t="str">
            <v>EST BUFFET CURVO (LC CINZA 70010CZ) JEQUITIBA NATURAL</v>
          </cell>
          <cell r="R3957"/>
          <cell r="S3957"/>
          <cell r="T3957">
            <v>2</v>
          </cell>
          <cell r="U3957">
            <v>0.5</v>
          </cell>
          <cell r="V3957">
            <v>0.67</v>
          </cell>
          <cell r="W3957">
            <v>0</v>
          </cell>
          <cell r="X3957" t="str">
            <v>EST BUFFET CURVO (LC CINZA 70010CZ) JEQUITIBA NATURAL - 2x0,5x0,67H</v>
          </cell>
          <cell r="Y3957">
            <v>20182.400000000001</v>
          </cell>
          <cell r="Z3957">
            <v>0.5</v>
          </cell>
          <cell r="AA3957">
            <v>10091.200000000001</v>
          </cell>
          <cell r="AB3957"/>
        </row>
        <row r="3958">
          <cell r="C3958">
            <v>0</v>
          </cell>
          <cell r="D3958">
            <v>0</v>
          </cell>
          <cell r="E3958">
            <v>0</v>
          </cell>
          <cell r="F3958">
            <v>0</v>
          </cell>
          <cell r="H3958">
            <v>1</v>
          </cell>
          <cell r="O3958">
            <v>164378</v>
          </cell>
          <cell r="P3958"/>
          <cell r="Q3958" t="str">
            <v>EST MESA CENTRO TRAVES MAIOR (LACA BRILHO BEGE)</v>
          </cell>
          <cell r="R3958"/>
          <cell r="S3958"/>
          <cell r="T3958">
            <v>2.4</v>
          </cell>
          <cell r="U3958">
            <v>0.7</v>
          </cell>
          <cell r="V3958">
            <v>0.26</v>
          </cell>
          <cell r="W3958">
            <v>0</v>
          </cell>
          <cell r="X3958" t="str">
            <v>EST MESA CENTRO TRAVES MAIOR (LACA BRILHO BEGE) - 2,4x0,7x0,26H</v>
          </cell>
          <cell r="Y3958">
            <v>9856</v>
          </cell>
          <cell r="Z3958">
            <v>0.5</v>
          </cell>
          <cell r="AA3958">
            <v>4928</v>
          </cell>
          <cell r="AB3958"/>
        </row>
        <row r="3959">
          <cell r="C3959">
            <v>0</v>
          </cell>
          <cell r="D3959">
            <v>0</v>
          </cell>
          <cell r="E3959">
            <v>0</v>
          </cell>
          <cell r="F3959">
            <v>0</v>
          </cell>
          <cell r="H3959">
            <v>1</v>
          </cell>
          <cell r="O3959">
            <v>164393</v>
          </cell>
          <cell r="P3959" t="str">
            <v>2015/062-0066-01</v>
          </cell>
          <cell r="Q3959" t="str">
            <v>EST POLTRONA ACCOR FX D4034</v>
          </cell>
          <cell r="R3959"/>
          <cell r="S3959"/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 t="str">
            <v>EST POLTRONA ACCOR FX D4034 - Ø0x0H</v>
          </cell>
          <cell r="Y3959">
            <v>7436.8</v>
          </cell>
          <cell r="Z3959">
            <v>0.5</v>
          </cell>
          <cell r="AA3959">
            <v>3718.4</v>
          </cell>
          <cell r="AB3959"/>
        </row>
        <row r="3960">
          <cell r="C3960">
            <v>0</v>
          </cell>
          <cell r="D3960">
            <v>0</v>
          </cell>
          <cell r="E3960">
            <v>0</v>
          </cell>
          <cell r="F3960">
            <v>0</v>
          </cell>
          <cell r="H3960">
            <v>2</v>
          </cell>
          <cell r="O3960">
            <v>174050</v>
          </cell>
          <cell r="P3960"/>
          <cell r="Q3960" t="str">
            <v>EST CADEIRA GIO C/BRACO ESTOFADA (TAUARI COR 01) (TC 90#5)</v>
          </cell>
          <cell r="R3960"/>
          <cell r="S3960"/>
          <cell r="T3960">
            <v>0.54</v>
          </cell>
          <cell r="U3960">
            <v>0.6</v>
          </cell>
          <cell r="V3960">
            <v>0.83</v>
          </cell>
          <cell r="W3960">
            <v>0</v>
          </cell>
          <cell r="X3960" t="str">
            <v>EST CADEIRA GIO C/BRACO ESTOFADA (TAUARI COR 01) (TC 90#5) - 0,54x0,6x0,83H</v>
          </cell>
          <cell r="Y3960">
            <v>5461.12</v>
          </cell>
          <cell r="Z3960">
            <v>0.5</v>
          </cell>
          <cell r="AA3960">
            <v>2730.56</v>
          </cell>
          <cell r="AB3960"/>
        </row>
        <row r="3961">
          <cell r="C3961">
            <v>0</v>
          </cell>
          <cell r="D3961">
            <v>0</v>
          </cell>
          <cell r="E3961">
            <v>0</v>
          </cell>
          <cell r="F3961">
            <v>0</v>
          </cell>
          <cell r="H3961">
            <v>2</v>
          </cell>
          <cell r="O3961">
            <v>174077</v>
          </cell>
          <cell r="P3961" t="str">
            <v>2015/309-0012-01</v>
          </cell>
          <cell r="Q3961" t="str">
            <v>EST PUFF ELLUS (C/RODIZIOS) COURO CINZA CLARO</v>
          </cell>
          <cell r="R3961"/>
          <cell r="S3961"/>
          <cell r="T3961">
            <v>0.86</v>
          </cell>
          <cell r="U3961">
            <v>0.6</v>
          </cell>
          <cell r="V3961">
            <v>0.42</v>
          </cell>
          <cell r="W3961">
            <v>0</v>
          </cell>
          <cell r="X3961" t="str">
            <v>EST PUFF ELLUS (C/RODIZIOS) COURO CINZA CLARO - 0,86x0,6x0,42H</v>
          </cell>
          <cell r="Y3961">
            <v>12417.13</v>
          </cell>
          <cell r="Z3961">
            <v>0.5</v>
          </cell>
          <cell r="AA3961">
            <v>6208.5649999999996</v>
          </cell>
          <cell r="AB3961"/>
        </row>
        <row r="3962">
          <cell r="C3962">
            <v>0</v>
          </cell>
          <cell r="D3962">
            <v>0</v>
          </cell>
          <cell r="E3962">
            <v>0</v>
          </cell>
          <cell r="F3962">
            <v>0</v>
          </cell>
          <cell r="H3962">
            <v>2</v>
          </cell>
          <cell r="O3962">
            <v>174077</v>
          </cell>
          <cell r="P3962" t="str">
            <v>2015/309-0013-01</v>
          </cell>
          <cell r="Q3962" t="str">
            <v>EST PUFF ELLUS (C/RODIZIOS) COURO CINZA CLARO</v>
          </cell>
          <cell r="R3962"/>
          <cell r="S3962"/>
          <cell r="T3962">
            <v>0.86</v>
          </cell>
          <cell r="U3962">
            <v>0.6</v>
          </cell>
          <cell r="V3962">
            <v>0.42</v>
          </cell>
          <cell r="W3962">
            <v>0</v>
          </cell>
          <cell r="X3962" t="str">
            <v>EST PUFF ELLUS (C/RODIZIOS) COURO CINZA CLARO - 0,86x0,6x0,42H</v>
          </cell>
          <cell r="Y3962">
            <v>12417.13</v>
          </cell>
          <cell r="Z3962">
            <v>0.5</v>
          </cell>
          <cell r="AA3962">
            <v>6208.5649999999996</v>
          </cell>
          <cell r="AB3962"/>
        </row>
        <row r="3963">
          <cell r="C3963">
            <v>0</v>
          </cell>
          <cell r="D3963">
            <v>0</v>
          </cell>
          <cell r="E3963">
            <v>0</v>
          </cell>
          <cell r="F3963">
            <v>0</v>
          </cell>
          <cell r="H3963">
            <v>1</v>
          </cell>
          <cell r="O3963">
            <v>176810</v>
          </cell>
          <cell r="P3963"/>
          <cell r="Q3963" t="str">
            <v>EST SOFA ARMANI CODE (BASE FRONTAL) TC 244 00686 TRAM AL</v>
          </cell>
          <cell r="R3963"/>
          <cell r="S3963"/>
          <cell r="T3963">
            <v>3</v>
          </cell>
          <cell r="U3963">
            <v>1.1000000000000001</v>
          </cell>
          <cell r="V3963">
            <v>0.8</v>
          </cell>
          <cell r="W3963">
            <v>0</v>
          </cell>
          <cell r="X3963" t="str">
            <v>EST SOFA ARMANI CODE (BASE FRONTAL) TC 244 00686 TRAM AL - 3x1,1x0,8H</v>
          </cell>
          <cell r="Y3963">
            <v>38990.870000000003</v>
          </cell>
          <cell r="Z3963">
            <v>0.5</v>
          </cell>
          <cell r="AA3963">
            <v>19495.435000000001</v>
          </cell>
          <cell r="AB3963"/>
        </row>
        <row r="3964">
          <cell r="C3964">
            <v>0</v>
          </cell>
          <cell r="D3964">
            <v>0</v>
          </cell>
          <cell r="E3964">
            <v>0</v>
          </cell>
          <cell r="F3964">
            <v>0</v>
          </cell>
          <cell r="H3964">
            <v>2</v>
          </cell>
          <cell r="O3964">
            <v>178054</v>
          </cell>
          <cell r="P3964"/>
          <cell r="Q3964" t="str">
            <v>EST BANCO SALOMI (FIBRA BANANEIRA) 14B TC 48/C</v>
          </cell>
          <cell r="R3964"/>
          <cell r="S3964"/>
          <cell r="T3964">
            <v>0.5</v>
          </cell>
          <cell r="U3964">
            <v>0</v>
          </cell>
          <cell r="V3964">
            <v>0.47</v>
          </cell>
          <cell r="W3964">
            <v>0.5</v>
          </cell>
          <cell r="X3964" t="str">
            <v>EST BANCO SALOMI (FIBRA BANANEIRA) 14B TC 48/C - Ø0,5x0,47H</v>
          </cell>
          <cell r="Y3964">
            <v>8960</v>
          </cell>
          <cell r="Z3964">
            <v>0.5</v>
          </cell>
          <cell r="AA3964">
            <v>4480</v>
          </cell>
          <cell r="AB3964"/>
        </row>
        <row r="3965">
          <cell r="C3965">
            <v>0</v>
          </cell>
          <cell r="D3965">
            <v>0</v>
          </cell>
          <cell r="E3965">
            <v>0</v>
          </cell>
          <cell r="F3965">
            <v>0</v>
          </cell>
          <cell r="H3965">
            <v>1</v>
          </cell>
          <cell r="O3965">
            <v>178893</v>
          </cell>
          <cell r="P3965"/>
          <cell r="Q3965" t="str">
            <v>EST BANCO CHINO MARROM ESCURO</v>
          </cell>
          <cell r="R3965"/>
          <cell r="S3965"/>
          <cell r="T3965">
            <v>0.45</v>
          </cell>
          <cell r="U3965">
            <v>0.45</v>
          </cell>
          <cell r="V3965">
            <v>0.45</v>
          </cell>
          <cell r="W3965">
            <v>0</v>
          </cell>
          <cell r="X3965" t="str">
            <v>EST BANCO CHINO MARROM ESCURO - 0,45x0,45x0,45H</v>
          </cell>
          <cell r="Y3965">
            <v>2542.71</v>
          </cell>
          <cell r="Z3965">
            <v>0.5</v>
          </cell>
          <cell r="AA3965">
            <v>1271.355</v>
          </cell>
          <cell r="AB3965"/>
        </row>
        <row r="3966">
          <cell r="C3966">
            <v>0</v>
          </cell>
          <cell r="D3966">
            <v>0</v>
          </cell>
          <cell r="E3966">
            <v>0</v>
          </cell>
          <cell r="F3966">
            <v>0</v>
          </cell>
          <cell r="H3966">
            <v>2</v>
          </cell>
          <cell r="O3966">
            <v>178920</v>
          </cell>
          <cell r="P3966"/>
          <cell r="Q3966" t="str">
            <v>EST POLTRONA CUBO ECO (C/ASS MOVEL) TC 12830</v>
          </cell>
          <cell r="R3966"/>
          <cell r="S3966"/>
          <cell r="T3966">
            <v>1.28</v>
          </cell>
          <cell r="U3966">
            <v>1.08</v>
          </cell>
          <cell r="V3966">
            <v>0.85</v>
          </cell>
          <cell r="W3966">
            <v>0</v>
          </cell>
          <cell r="X3966" t="str">
            <v>EST POLTRONA CUBO ECO (C/ASS MOVEL) TC 12830 - 1,28x1,08x0,85H</v>
          </cell>
          <cell r="Y3966">
            <v>13120.8</v>
          </cell>
          <cell r="Z3966">
            <v>0.5</v>
          </cell>
          <cell r="AA3966">
            <v>6560.4</v>
          </cell>
          <cell r="AB3966"/>
        </row>
        <row r="3967">
          <cell r="C3967">
            <v>0</v>
          </cell>
          <cell r="D3967">
            <v>0</v>
          </cell>
          <cell r="E3967">
            <v>0</v>
          </cell>
          <cell r="F3967">
            <v>0</v>
          </cell>
          <cell r="H3967">
            <v>2</v>
          </cell>
          <cell r="O3967">
            <v>179149</v>
          </cell>
          <cell r="P3967"/>
          <cell r="Q3967" t="str">
            <v>EST POLTRONA FLEX (BC 20CM) PES LC BRANC FSC/TC 10945</v>
          </cell>
          <cell r="R3967"/>
          <cell r="S3967"/>
          <cell r="T3967">
            <v>0.8</v>
          </cell>
          <cell r="U3967">
            <v>1.03</v>
          </cell>
          <cell r="V3967">
            <v>0.83</v>
          </cell>
          <cell r="W3967">
            <v>0</v>
          </cell>
          <cell r="X3967" t="str">
            <v>EST POLTRONA FLEX (BC 20CM) PES LC BRANC FSC/TC 10945 - 0,8x1,03x0,83H</v>
          </cell>
          <cell r="Y3967">
            <v>13022.11</v>
          </cell>
          <cell r="Z3967">
            <v>0.5</v>
          </cell>
          <cell r="AA3967">
            <v>6511.0550000000003</v>
          </cell>
          <cell r="AB3967"/>
        </row>
        <row r="3968">
          <cell r="C3968">
            <v>0</v>
          </cell>
          <cell r="D3968">
            <v>0</v>
          </cell>
          <cell r="E3968">
            <v>0</v>
          </cell>
          <cell r="F3968">
            <v>0</v>
          </cell>
          <cell r="H3968">
            <v>1</v>
          </cell>
          <cell r="O3968">
            <v>180804</v>
          </cell>
          <cell r="P3968"/>
          <cell r="Q3968" t="str">
            <v>EST MESA CENTRO CHINO MARROM CLARO</v>
          </cell>
          <cell r="R3968"/>
          <cell r="S3968"/>
          <cell r="T3968">
            <v>1.6</v>
          </cell>
          <cell r="U3968">
            <v>0.45</v>
          </cell>
          <cell r="V3968">
            <v>0.35</v>
          </cell>
          <cell r="W3968">
            <v>0</v>
          </cell>
          <cell r="X3968" t="str">
            <v>EST MESA CENTRO CHINO MARROM CLARO - 1,6x0,45x0,35H</v>
          </cell>
          <cell r="Y3968">
            <v>4206.18</v>
          </cell>
          <cell r="Z3968">
            <v>0.5</v>
          </cell>
          <cell r="AA3968">
            <v>2103.09</v>
          </cell>
          <cell r="AB3968"/>
        </row>
        <row r="3969">
          <cell r="C3969">
            <v>0</v>
          </cell>
          <cell r="D3969">
            <v>0</v>
          </cell>
          <cell r="E3969">
            <v>0</v>
          </cell>
          <cell r="F3969">
            <v>0</v>
          </cell>
          <cell r="H3969">
            <v>2</v>
          </cell>
          <cell r="O3969">
            <v>181321</v>
          </cell>
          <cell r="P3969"/>
          <cell r="Q3969" t="str">
            <v>EST BANQUETA BAR BOSSA (TELA NATURAL) (SAYER L-137)</v>
          </cell>
          <cell r="R3969"/>
          <cell r="S3969"/>
          <cell r="T3969">
            <v>0.44</v>
          </cell>
          <cell r="U3969">
            <v>0.51</v>
          </cell>
          <cell r="V3969">
            <v>1</v>
          </cell>
          <cell r="W3969">
            <v>0</v>
          </cell>
          <cell r="X3969" t="str">
            <v>EST BANQUETA BAR BOSSA (TELA NATURAL) (SAYER L-137) - 0,44x0,51x1H</v>
          </cell>
          <cell r="Y3969">
            <v>6720</v>
          </cell>
          <cell r="Z3969">
            <v>0.5</v>
          </cell>
          <cell r="AA3969">
            <v>3360</v>
          </cell>
          <cell r="AB3969"/>
        </row>
        <row r="3970">
          <cell r="C3970" t="e">
            <v>#N/A</v>
          </cell>
          <cell r="D3970" t="e">
            <v>#N/A</v>
          </cell>
          <cell r="E3970" t="e">
            <v>#N/A</v>
          </cell>
          <cell r="F3970" t="e">
            <v>#N/A</v>
          </cell>
          <cell r="H3970" t="e">
            <v>#N/A</v>
          </cell>
          <cell r="O3970">
            <v>183925</v>
          </cell>
          <cell r="P3970"/>
          <cell r="Q3970" t="e">
            <v>#N/A</v>
          </cell>
          <cell r="R3970"/>
          <cell r="S3970"/>
          <cell r="T3970" t="e">
            <v>#N/A</v>
          </cell>
          <cell r="U3970" t="e">
            <v>#N/A</v>
          </cell>
          <cell r="V3970" t="e">
            <v>#N/A</v>
          </cell>
          <cell r="W3970" t="e">
            <v>#N/A</v>
          </cell>
          <cell r="X3970" t="e">
            <v>#N/A</v>
          </cell>
          <cell r="Y3970">
            <v>70040.05</v>
          </cell>
          <cell r="Z3970">
            <v>0.5</v>
          </cell>
          <cell r="AA3970">
            <v>35020.025000000001</v>
          </cell>
          <cell r="AB3970"/>
        </row>
        <row r="3971">
          <cell r="C3971">
            <v>0</v>
          </cell>
          <cell r="D3971">
            <v>0</v>
          </cell>
          <cell r="E3971">
            <v>0</v>
          </cell>
          <cell r="F3971">
            <v>0</v>
          </cell>
          <cell r="H3971">
            <v>1</v>
          </cell>
          <cell r="O3971">
            <v>187162</v>
          </cell>
          <cell r="P3971" t="str">
            <v>2016/119-0014-01</v>
          </cell>
          <cell r="Q3971" t="str">
            <v>EST POLTRONA CAPITU MEL CLARO/TELA NOG/TC521</v>
          </cell>
          <cell r="R3971"/>
          <cell r="S3971"/>
          <cell r="T3971">
            <v>0.8</v>
          </cell>
          <cell r="U3971">
            <v>0.76</v>
          </cell>
          <cell r="V3971">
            <v>0.76</v>
          </cell>
          <cell r="W3971">
            <v>0</v>
          </cell>
          <cell r="X3971" t="str">
            <v>EST POLTRONA CAPITU MEL CLARO/TELA NOG/TC521 - 0,8x0,76x0,76H</v>
          </cell>
          <cell r="Y3971">
            <v>17028.48</v>
          </cell>
          <cell r="Z3971">
            <v>0.5</v>
          </cell>
          <cell r="AA3971">
            <v>8514.24</v>
          </cell>
          <cell r="AB3971"/>
        </row>
        <row r="3972">
          <cell r="C3972">
            <v>0</v>
          </cell>
          <cell r="D3972">
            <v>0</v>
          </cell>
          <cell r="E3972">
            <v>0</v>
          </cell>
          <cell r="F3972">
            <v>0</v>
          </cell>
          <cell r="H3972">
            <v>1</v>
          </cell>
          <cell r="O3972">
            <v>190129</v>
          </cell>
          <cell r="P3972"/>
          <cell r="Q3972" t="str">
            <v>EST POLTRONA CUBO ECO (C/ASS MOVEL) TC 14830</v>
          </cell>
          <cell r="R3972"/>
          <cell r="S3972"/>
          <cell r="T3972">
            <v>1.28</v>
          </cell>
          <cell r="U3972">
            <v>1.08</v>
          </cell>
          <cell r="V3972">
            <v>0.85</v>
          </cell>
          <cell r="W3972">
            <v>0</v>
          </cell>
          <cell r="X3972" t="str">
            <v>EST POLTRONA CUBO ECO (C/ASS MOVEL) TC 14830 - 1,28x1,08x0,85H</v>
          </cell>
          <cell r="Y3972">
            <v>12250.2</v>
          </cell>
          <cell r="Z3972">
            <v>0.5</v>
          </cell>
          <cell r="AA3972">
            <v>6125.1</v>
          </cell>
          <cell r="AB3972"/>
        </row>
        <row r="3973">
          <cell r="C3973">
            <v>0</v>
          </cell>
          <cell r="D3973">
            <v>0</v>
          </cell>
          <cell r="E3973">
            <v>0</v>
          </cell>
          <cell r="F3973">
            <v>0</v>
          </cell>
          <cell r="H3973">
            <v>1</v>
          </cell>
          <cell r="O3973">
            <v>191075</v>
          </cell>
          <cell r="P3973" t="str">
            <v>2016/145-0011-01</v>
          </cell>
          <cell r="Q3973" t="str">
            <v>EST MESA CENTRO PEAO BAND INF LAM NOGUEIR/MTX JH014</v>
          </cell>
          <cell r="R3973"/>
          <cell r="S3973"/>
          <cell r="T3973">
            <v>0.59</v>
          </cell>
          <cell r="U3973">
            <v>0.59</v>
          </cell>
          <cell r="V3973">
            <v>0.32</v>
          </cell>
          <cell r="W3973">
            <v>0</v>
          </cell>
          <cell r="X3973" t="str">
            <v>EST MESA CENTRO PEAO BAND INF LAM NOGUEIR/MTX JH014 - 0,59x0,59x0,32H</v>
          </cell>
          <cell r="Y3973">
            <v>5532.8</v>
          </cell>
          <cell r="Z3973">
            <v>0.5</v>
          </cell>
          <cell r="AA3973">
            <v>2766.4</v>
          </cell>
          <cell r="AB3973"/>
        </row>
        <row r="3974">
          <cell r="C3974">
            <v>0</v>
          </cell>
          <cell r="D3974">
            <v>0</v>
          </cell>
          <cell r="E3974">
            <v>0</v>
          </cell>
          <cell r="F3974">
            <v>0</v>
          </cell>
          <cell r="H3974">
            <v>1</v>
          </cell>
          <cell r="O3974">
            <v>191078</v>
          </cell>
          <cell r="P3974" t="str">
            <v>2016/204-0056-01</v>
          </cell>
          <cell r="Q3974" t="str">
            <v>EST MESA CENTRO PEAO CUBO LAM NOGUEIR/MTX JH014</v>
          </cell>
          <cell r="R3974"/>
          <cell r="S3974"/>
          <cell r="T3974">
            <v>0.6</v>
          </cell>
          <cell r="U3974">
            <v>0.6</v>
          </cell>
          <cell r="V3974">
            <v>0.32</v>
          </cell>
          <cell r="W3974">
            <v>0</v>
          </cell>
          <cell r="X3974" t="str">
            <v>EST MESA CENTRO PEAO CUBO LAM NOGUEIR/MTX JH014 - 0,6x0,6x0,32H</v>
          </cell>
          <cell r="Y3974">
            <v>5640.32</v>
          </cell>
          <cell r="Z3974">
            <v>0.5</v>
          </cell>
          <cell r="AA3974">
            <v>2820.16</v>
          </cell>
          <cell r="AB3974"/>
        </row>
        <row r="3975"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H3975">
            <v>2</v>
          </cell>
          <cell r="O3975">
            <v>203138</v>
          </cell>
          <cell r="P3975"/>
          <cell r="Q3975" t="str">
            <v>EST CADEIRA PRADA MADEIRA MEL TC G2229</v>
          </cell>
          <cell r="R3975"/>
          <cell r="S3975"/>
          <cell r="T3975">
            <v>0.44</v>
          </cell>
          <cell r="U3975">
            <v>0.51</v>
          </cell>
          <cell r="V3975">
            <v>0.86</v>
          </cell>
          <cell r="W3975">
            <v>0</v>
          </cell>
          <cell r="X3975" t="str">
            <v>EST CADEIRA PRADA MADEIRA MEL TC G2229 - 0,44x0,51x0,86H</v>
          </cell>
          <cell r="Y3975">
            <v>1704.1</v>
          </cell>
          <cell r="Z3975">
            <v>0.5</v>
          </cell>
          <cell r="AA3975">
            <v>852.05</v>
          </cell>
          <cell r="AB3975"/>
        </row>
        <row r="3976">
          <cell r="C3976">
            <v>0</v>
          </cell>
          <cell r="D3976">
            <v>0</v>
          </cell>
          <cell r="E3976">
            <v>0</v>
          </cell>
          <cell r="F3976">
            <v>0</v>
          </cell>
          <cell r="H3976">
            <v>2</v>
          </cell>
          <cell r="O3976">
            <v>203621</v>
          </cell>
          <cell r="P3976" t="str">
            <v>2016/330-0019-01</v>
          </cell>
          <cell r="Q3976" t="str">
            <v>EST PUFF FREMONT (TC D4073)</v>
          </cell>
          <cell r="R3976"/>
          <cell r="S3976"/>
          <cell r="T3976">
            <v>0.7</v>
          </cell>
          <cell r="U3976">
            <v>0.7</v>
          </cell>
          <cell r="V3976">
            <v>0.45</v>
          </cell>
          <cell r="W3976">
            <v>0</v>
          </cell>
          <cell r="X3976" t="str">
            <v>EST PUFF FREMONT (TC D4073) - 0,7x0,7x0,45H</v>
          </cell>
          <cell r="Y3976">
            <v>4175.3599999999997</v>
          </cell>
          <cell r="Z3976">
            <v>0.5</v>
          </cell>
          <cell r="AA3976">
            <v>2087.6799999999998</v>
          </cell>
          <cell r="AB3976"/>
        </row>
        <row r="3977">
          <cell r="C3977">
            <v>0</v>
          </cell>
          <cell r="D3977">
            <v>0</v>
          </cell>
          <cell r="E3977">
            <v>0</v>
          </cell>
          <cell r="F3977">
            <v>0</v>
          </cell>
          <cell r="H3977">
            <v>2</v>
          </cell>
          <cell r="O3977">
            <v>203621</v>
          </cell>
          <cell r="P3977" t="str">
            <v>2016/330-0020-01</v>
          </cell>
          <cell r="Q3977" t="str">
            <v>EST PUFF FREMONT (TC D4073)</v>
          </cell>
          <cell r="R3977"/>
          <cell r="S3977"/>
          <cell r="T3977">
            <v>0.7</v>
          </cell>
          <cell r="U3977">
            <v>0.7</v>
          </cell>
          <cell r="V3977">
            <v>0.45</v>
          </cell>
          <cell r="W3977">
            <v>0</v>
          </cell>
          <cell r="X3977" t="str">
            <v>EST PUFF FREMONT (TC D4073) - 0,7x0,7x0,45H</v>
          </cell>
          <cell r="Y3977">
            <v>4175.3599999999997</v>
          </cell>
          <cell r="Z3977">
            <v>0.5</v>
          </cell>
          <cell r="AA3977">
            <v>2087.6799999999998</v>
          </cell>
          <cell r="AB3977"/>
        </row>
        <row r="3978">
          <cell r="C3978">
            <v>0</v>
          </cell>
          <cell r="D3978">
            <v>0</v>
          </cell>
          <cell r="E3978">
            <v>0</v>
          </cell>
          <cell r="F3978">
            <v>0</v>
          </cell>
          <cell r="H3978">
            <v>1</v>
          </cell>
          <cell r="O3978">
            <v>204057</v>
          </cell>
          <cell r="P3978"/>
          <cell r="Q3978" t="str">
            <v>EST BANQUETA BAR BOSSA (TELA NATURAL) (TAUARI COR 02)</v>
          </cell>
          <cell r="R3978"/>
          <cell r="S3978"/>
          <cell r="T3978">
            <v>0.44</v>
          </cell>
          <cell r="U3978">
            <v>0.51</v>
          </cell>
          <cell r="V3978">
            <v>1</v>
          </cell>
          <cell r="W3978">
            <v>0</v>
          </cell>
          <cell r="X3978" t="str">
            <v>EST BANQUETA BAR BOSSA (TELA NATURAL) (TAUARI COR 02) - 0,44x0,51x1H</v>
          </cell>
          <cell r="Y3978">
            <v>6720</v>
          </cell>
          <cell r="Z3978">
            <v>0.5</v>
          </cell>
          <cell r="AA3978">
            <v>3360</v>
          </cell>
          <cell r="AB3978"/>
        </row>
        <row r="3979">
          <cell r="C3979">
            <v>0</v>
          </cell>
          <cell r="D3979">
            <v>0</v>
          </cell>
          <cell r="E3979">
            <v>0</v>
          </cell>
          <cell r="F3979">
            <v>0</v>
          </cell>
          <cell r="H3979">
            <v>1</v>
          </cell>
          <cell r="O3979">
            <v>204485</v>
          </cell>
          <cell r="P3979"/>
          <cell r="Q3979" t="str">
            <v>EST MESA LATERAL BUNI (GANE OURO ROSA BRILHO)</v>
          </cell>
          <cell r="R3979"/>
          <cell r="S3979"/>
          <cell r="T3979">
            <v>0.45</v>
          </cell>
          <cell r="U3979">
            <v>0</v>
          </cell>
          <cell r="V3979">
            <v>0.4</v>
          </cell>
          <cell r="W3979">
            <v>0.45</v>
          </cell>
          <cell r="X3979" t="str">
            <v>EST MESA LATERAL BUNI (GANE OURO ROSA BRILHO) - Ø0,45x0,4H</v>
          </cell>
          <cell r="Y3979">
            <v>8781.92</v>
          </cell>
          <cell r="Z3979">
            <v>0.5</v>
          </cell>
          <cell r="AA3979">
            <v>4390.96</v>
          </cell>
          <cell r="AB3979"/>
        </row>
        <row r="3980">
          <cell r="C3980">
            <v>0</v>
          </cell>
          <cell r="D3980">
            <v>0</v>
          </cell>
          <cell r="E3980">
            <v>0</v>
          </cell>
          <cell r="F3980">
            <v>0</v>
          </cell>
          <cell r="H3980">
            <v>2</v>
          </cell>
          <cell r="O3980">
            <v>210359</v>
          </cell>
          <cell r="P3980"/>
          <cell r="Q3980" t="str">
            <v>EST BANCO GAL (PINTURA COBRE)</v>
          </cell>
          <cell r="R3980"/>
          <cell r="S3980"/>
          <cell r="T3980">
            <v>0.45</v>
          </cell>
          <cell r="U3980">
            <v>0.45</v>
          </cell>
          <cell r="V3980">
            <v>0.45</v>
          </cell>
          <cell r="W3980">
            <v>0</v>
          </cell>
          <cell r="X3980" t="str">
            <v>EST BANCO GAL (PINTURA COBRE) - 0,45x0,45x0,45H</v>
          </cell>
          <cell r="Y3980">
            <v>7934.75</v>
          </cell>
          <cell r="Z3980">
            <v>0.5</v>
          </cell>
          <cell r="AA3980">
            <v>3967.375</v>
          </cell>
          <cell r="AB3980"/>
        </row>
        <row r="3981">
          <cell r="C3981">
            <v>0</v>
          </cell>
          <cell r="D3981">
            <v>0</v>
          </cell>
          <cell r="E3981">
            <v>0</v>
          </cell>
          <cell r="F3981">
            <v>0</v>
          </cell>
          <cell r="H3981">
            <v>1</v>
          </cell>
          <cell r="O3981">
            <v>210370</v>
          </cell>
          <cell r="P3981"/>
          <cell r="Q3981" t="str">
            <v>EST BANQUETA BAR GIU (TC 7008) (TING CASTANHO)</v>
          </cell>
          <cell r="R3981"/>
          <cell r="S3981"/>
          <cell r="T3981">
            <v>0.43</v>
          </cell>
          <cell r="U3981">
            <v>0.51</v>
          </cell>
          <cell r="V3981">
            <v>1</v>
          </cell>
          <cell r="W3981">
            <v>0</v>
          </cell>
          <cell r="X3981" t="str">
            <v>EST BANQUETA BAR GIU (TC 7008) (TING CASTANHO) - 0,43x0,51x1H</v>
          </cell>
          <cell r="Y3981">
            <v>5766.07</v>
          </cell>
          <cell r="Z3981">
            <v>0.5</v>
          </cell>
          <cell r="AA3981">
            <v>2883.0349999999999</v>
          </cell>
          <cell r="AB3981"/>
        </row>
        <row r="3982">
          <cell r="C3982">
            <v>0</v>
          </cell>
          <cell r="D3982">
            <v>0</v>
          </cell>
          <cell r="E3982">
            <v>0</v>
          </cell>
          <cell r="F3982">
            <v>0</v>
          </cell>
          <cell r="H3982">
            <v>2</v>
          </cell>
          <cell r="O3982">
            <v>210381</v>
          </cell>
          <cell r="P3982"/>
          <cell r="Q3982" t="str">
            <v>EST APARADOR BARCENA (FREIJO) (BASE LACA FOSCA H155)</v>
          </cell>
          <cell r="R3982"/>
          <cell r="S3982"/>
          <cell r="T3982">
            <v>1.8</v>
          </cell>
          <cell r="U3982">
            <v>0.45</v>
          </cell>
          <cell r="V3982">
            <v>0.76</v>
          </cell>
          <cell r="W3982">
            <v>0</v>
          </cell>
          <cell r="X3982" t="str">
            <v>EST APARADOR BARCENA (FREIJO) (BASE LACA FOSCA H155) - 1,8x0,45x0,76H</v>
          </cell>
          <cell r="Y3982">
            <v>21389.45</v>
          </cell>
          <cell r="Z3982">
            <v>0.5</v>
          </cell>
          <cell r="AA3982">
            <v>10694.725</v>
          </cell>
          <cell r="AB3982"/>
        </row>
        <row r="3983">
          <cell r="C3983">
            <v>0</v>
          </cell>
          <cell r="D3983">
            <v>0</v>
          </cell>
          <cell r="E3983">
            <v>0</v>
          </cell>
          <cell r="F3983">
            <v>0</v>
          </cell>
          <cell r="H3983">
            <v>0</v>
          </cell>
          <cell r="O3983">
            <v>210387</v>
          </cell>
          <cell r="P3983" t="str">
            <v>2017/151-0012-01</v>
          </cell>
          <cell r="Q3983" t="str">
            <v>EST CADEIRA DIX (ESTOFADA) (NATURAL) TC 403A</v>
          </cell>
          <cell r="R3983"/>
          <cell r="S3983"/>
          <cell r="T3983">
            <v>0.56000000000000005</v>
          </cell>
          <cell r="U3983">
            <v>0.56999999999999995</v>
          </cell>
          <cell r="V3983">
            <v>0.81</v>
          </cell>
          <cell r="W3983">
            <v>0</v>
          </cell>
          <cell r="X3983" t="str">
            <v>EST CADEIRA DIX (ESTOFADA) (NATURAL) TC 403A - 0,56x0,57x0,81H</v>
          </cell>
          <cell r="Y3983">
            <v>3808</v>
          </cell>
          <cell r="Z3983">
            <v>0.5</v>
          </cell>
          <cell r="AA3983">
            <v>1904</v>
          </cell>
          <cell r="AB3983"/>
        </row>
        <row r="3984">
          <cell r="C3984">
            <v>0</v>
          </cell>
          <cell r="D3984">
            <v>0</v>
          </cell>
          <cell r="E3984">
            <v>0</v>
          </cell>
          <cell r="F3984">
            <v>0</v>
          </cell>
          <cell r="H3984">
            <v>1</v>
          </cell>
          <cell r="O3984">
            <v>210409</v>
          </cell>
          <cell r="P3984"/>
          <cell r="Q3984" t="str">
            <v>EST APARADOR LISA (LACA BRILHO CONCRETO)</v>
          </cell>
          <cell r="R3984"/>
          <cell r="S3984"/>
          <cell r="T3984">
            <v>2.2999999999999998</v>
          </cell>
          <cell r="U3984">
            <v>0.4</v>
          </cell>
          <cell r="V3984">
            <v>0.76</v>
          </cell>
          <cell r="W3984">
            <v>0</v>
          </cell>
          <cell r="X3984" t="str">
            <v>EST APARADOR LISA (LACA BRILHO CONCRETO) - 2,3x0,4x0,76H</v>
          </cell>
          <cell r="Y3984">
            <v>7526.4</v>
          </cell>
          <cell r="Z3984">
            <v>0.5</v>
          </cell>
          <cell r="AA3984">
            <v>3763.2</v>
          </cell>
          <cell r="AB3984"/>
        </row>
        <row r="3985">
          <cell r="C3985">
            <v>0</v>
          </cell>
          <cell r="D3985">
            <v>0</v>
          </cell>
          <cell r="E3985">
            <v>0</v>
          </cell>
          <cell r="F3985">
            <v>0</v>
          </cell>
          <cell r="H3985">
            <v>1</v>
          </cell>
          <cell r="O3985">
            <v>210423</v>
          </cell>
          <cell r="P3985" t="str">
            <v>2017/152-0025-01</v>
          </cell>
          <cell r="Q3985" t="str">
            <v>EST BANCO STRONGER (ALUMINIO CHAMPAGNE)</v>
          </cell>
          <cell r="R3985"/>
          <cell r="S3985"/>
          <cell r="T3985">
            <v>2</v>
          </cell>
          <cell r="U3985">
            <v>0.6</v>
          </cell>
          <cell r="V3985">
            <v>0.45</v>
          </cell>
          <cell r="W3985">
            <v>0</v>
          </cell>
          <cell r="X3985" t="str">
            <v>EST BANCO STRONGER (ALUMINIO CHAMPAGNE) - 2x0,6x0,45H</v>
          </cell>
          <cell r="Y3985">
            <v>9340.7999999999993</v>
          </cell>
          <cell r="Z3985">
            <v>0.5</v>
          </cell>
          <cell r="AA3985">
            <v>4670.3999999999996</v>
          </cell>
          <cell r="AB3985"/>
        </row>
        <row r="3986">
          <cell r="C3986">
            <v>0</v>
          </cell>
          <cell r="D3986">
            <v>0</v>
          </cell>
          <cell r="E3986">
            <v>0</v>
          </cell>
          <cell r="F3986">
            <v>0</v>
          </cell>
          <cell r="H3986">
            <v>1</v>
          </cell>
          <cell r="O3986">
            <v>210555</v>
          </cell>
          <cell r="P3986"/>
          <cell r="Q3986" t="str">
            <v>EST BANQUETA BAR AYLA ACAB MEL TC 2013</v>
          </cell>
          <cell r="R3986"/>
          <cell r="S3986"/>
          <cell r="T3986">
            <v>0.42</v>
          </cell>
          <cell r="U3986">
            <v>0.43</v>
          </cell>
          <cell r="V3986">
            <v>1.08</v>
          </cell>
          <cell r="W3986">
            <v>0</v>
          </cell>
          <cell r="X3986" t="str">
            <v>EST BANQUETA BAR AYLA ACAB MEL TC 2013 - 0,42x0,43x1,08H</v>
          </cell>
          <cell r="Y3986">
            <v>2291.34</v>
          </cell>
          <cell r="Z3986">
            <v>0.5</v>
          </cell>
          <cell r="AA3986">
            <v>1145.67</v>
          </cell>
          <cell r="AB3986"/>
        </row>
        <row r="3987">
          <cell r="C3987">
            <v>0</v>
          </cell>
          <cell r="D3987">
            <v>0</v>
          </cell>
          <cell r="E3987">
            <v>0</v>
          </cell>
          <cell r="F3987">
            <v>0</v>
          </cell>
          <cell r="H3987">
            <v>1</v>
          </cell>
          <cell r="O3987">
            <v>210569</v>
          </cell>
          <cell r="P3987"/>
          <cell r="Q3987" t="str">
            <v>EST MESA LATERAL ZARA ESPELHO PRATA</v>
          </cell>
          <cell r="R3987"/>
          <cell r="S3987"/>
          <cell r="T3987">
            <v>0.6</v>
          </cell>
          <cell r="U3987">
            <v>0.6</v>
          </cell>
          <cell r="V3987">
            <v>0.6</v>
          </cell>
          <cell r="W3987">
            <v>0</v>
          </cell>
          <cell r="X3987" t="str">
            <v>EST MESA LATERAL ZARA ESPELHO PRATA - 0,6x0,6x0,6H</v>
          </cell>
          <cell r="Y3987">
            <v>6852.16</v>
          </cell>
          <cell r="Z3987">
            <v>0.5</v>
          </cell>
          <cell r="AA3987">
            <v>3426.08</v>
          </cell>
          <cell r="AB3987"/>
        </row>
        <row r="3988">
          <cell r="C3988">
            <v>0</v>
          </cell>
          <cell r="D3988">
            <v>0</v>
          </cell>
          <cell r="E3988">
            <v>0</v>
          </cell>
          <cell r="F3988">
            <v>0</v>
          </cell>
          <cell r="H3988">
            <v>2</v>
          </cell>
          <cell r="O3988">
            <v>212906</v>
          </cell>
          <cell r="P3988"/>
          <cell r="Q3988" t="str">
            <v>EST CADEIRA 128 ASS TC120#4/LAMNINA NOGUEIRA</v>
          </cell>
          <cell r="R3988"/>
          <cell r="S3988"/>
          <cell r="T3988">
            <v>0.59</v>
          </cell>
          <cell r="U3988">
            <v>0.55000000000000004</v>
          </cell>
          <cell r="V3988">
            <v>0.83</v>
          </cell>
          <cell r="W3988">
            <v>0</v>
          </cell>
          <cell r="X3988" t="str">
            <v>EST CADEIRA 128 ASS TC120#4/LAMNINA NOGUEIRA - 0,59x0,55x0,83H</v>
          </cell>
          <cell r="Y3988">
            <v>4606.34</v>
          </cell>
          <cell r="Z3988">
            <v>0.5</v>
          </cell>
          <cell r="AA3988">
            <v>2303.17</v>
          </cell>
          <cell r="AB3988"/>
        </row>
        <row r="3989">
          <cell r="C3989">
            <v>0</v>
          </cell>
          <cell r="D3989">
            <v>0</v>
          </cell>
          <cell r="E3989">
            <v>0</v>
          </cell>
          <cell r="F3989">
            <v>0</v>
          </cell>
          <cell r="H3989">
            <v>1</v>
          </cell>
          <cell r="O3989">
            <v>212974</v>
          </cell>
          <cell r="P3989"/>
          <cell r="Q3989" t="str">
            <v>EST BANQUETA BAR PLATTA RETA (COR 102) (COURO 50118 #7)</v>
          </cell>
          <cell r="R3989"/>
          <cell r="S3989"/>
          <cell r="T3989">
            <v>0.43</v>
          </cell>
          <cell r="U3989">
            <v>0.45</v>
          </cell>
          <cell r="V3989">
            <v>0.97</v>
          </cell>
          <cell r="W3989">
            <v>0</v>
          </cell>
          <cell r="X3989" t="str">
            <v>EST BANQUETA BAR PLATTA RETA (COR 102) (COURO 50118 #7) - 0,43x0,45x0,97H</v>
          </cell>
          <cell r="Y3989">
            <v>6837.78</v>
          </cell>
          <cell r="Z3989">
            <v>0.5</v>
          </cell>
          <cell r="AA3989">
            <v>3418.89</v>
          </cell>
          <cell r="AB3989"/>
        </row>
        <row r="3990">
          <cell r="C3990">
            <v>0</v>
          </cell>
          <cell r="D3990">
            <v>0</v>
          </cell>
          <cell r="E3990">
            <v>0</v>
          </cell>
          <cell r="F3990">
            <v>0</v>
          </cell>
          <cell r="H3990">
            <v>1</v>
          </cell>
          <cell r="O3990">
            <v>212975</v>
          </cell>
          <cell r="P3990"/>
          <cell r="Q3990" t="str">
            <v>EST BANQUETA BAR PHILLIPS (LOURO PRETO) (BASE PRETO MTX)</v>
          </cell>
          <cell r="R3990"/>
          <cell r="S3990"/>
          <cell r="T3990">
            <v>0.35</v>
          </cell>
          <cell r="U3990">
            <v>0</v>
          </cell>
          <cell r="V3990">
            <v>0.7</v>
          </cell>
          <cell r="W3990">
            <v>0.35</v>
          </cell>
          <cell r="X3990" t="str">
            <v>EST BANQUETA BAR PHILLIPS (LOURO PRETO) (BASE PRETO MTX) - Ø0,35x0,7H</v>
          </cell>
          <cell r="Y3990">
            <v>15008</v>
          </cell>
          <cell r="Z3990">
            <v>0.5</v>
          </cell>
          <cell r="AA3990">
            <v>7504</v>
          </cell>
          <cell r="AB3990"/>
        </row>
        <row r="3991">
          <cell r="C3991">
            <v>0</v>
          </cell>
          <cell r="D3991">
            <v>0</v>
          </cell>
          <cell r="E3991">
            <v>0</v>
          </cell>
          <cell r="F3991">
            <v>0</v>
          </cell>
          <cell r="H3991">
            <v>1</v>
          </cell>
          <cell r="O3991">
            <v>214530</v>
          </cell>
          <cell r="P3991"/>
          <cell r="Q3991" t="str">
            <v>EST BANQUETA BAR AYLA TC2013/ESTRUTURA MEL</v>
          </cell>
          <cell r="R3991"/>
          <cell r="S3991"/>
          <cell r="T3991">
            <v>0.42</v>
          </cell>
          <cell r="U3991">
            <v>0.42</v>
          </cell>
          <cell r="V3991">
            <v>1.08</v>
          </cell>
          <cell r="W3991">
            <v>0</v>
          </cell>
          <cell r="X3991" t="str">
            <v>EST BANQUETA BAR AYLA TC2013/ESTRUTURA MEL - 0,42x0,42x1,08H</v>
          </cell>
          <cell r="Y3991">
            <v>2291.34</v>
          </cell>
          <cell r="Z3991">
            <v>0.5</v>
          </cell>
          <cell r="AA3991">
            <v>1145.67</v>
          </cell>
          <cell r="AB3991"/>
        </row>
        <row r="3992">
          <cell r="C3992">
            <v>0</v>
          </cell>
          <cell r="D3992">
            <v>0</v>
          </cell>
          <cell r="E3992">
            <v>0</v>
          </cell>
          <cell r="F3992">
            <v>0</v>
          </cell>
          <cell r="H3992">
            <v>1</v>
          </cell>
          <cell r="O3992">
            <v>214577</v>
          </cell>
          <cell r="P3992"/>
          <cell r="Q3992" t="str">
            <v>EST BANQUETA BAR PRIMA (NOGUEIRA) TC 127 #3</v>
          </cell>
          <cell r="R3992"/>
          <cell r="S3992"/>
          <cell r="T3992">
            <v>0.52</v>
          </cell>
          <cell r="U3992">
            <v>0.57999999999999996</v>
          </cell>
          <cell r="V3992">
            <v>0.95</v>
          </cell>
          <cell r="W3992">
            <v>0</v>
          </cell>
          <cell r="X3992" t="str">
            <v>EST BANQUETA BAR PRIMA (NOGUEIRA) TC 127 #3 - 0,52x0,58x0,95H</v>
          </cell>
          <cell r="Y3992">
            <v>5223.68</v>
          </cell>
          <cell r="Z3992">
            <v>0.5</v>
          </cell>
          <cell r="AA3992">
            <v>2611.84</v>
          </cell>
          <cell r="AB3992"/>
        </row>
        <row r="3993">
          <cell r="C3993">
            <v>0</v>
          </cell>
          <cell r="D3993">
            <v>0</v>
          </cell>
          <cell r="E3993">
            <v>0</v>
          </cell>
          <cell r="F3993">
            <v>0</v>
          </cell>
          <cell r="H3993">
            <v>1</v>
          </cell>
          <cell r="O3993">
            <v>217682</v>
          </cell>
          <cell r="P3993"/>
          <cell r="Q3993" t="str">
            <v>EST BANQUETA BAR PAULISTA REAL/TELA CRU SEXTAVADA/TC124</v>
          </cell>
          <cell r="R3993"/>
          <cell r="S3993"/>
          <cell r="T3993">
            <v>0.46</v>
          </cell>
          <cell r="U3993">
            <v>0.54</v>
          </cell>
          <cell r="V3993">
            <v>0.98</v>
          </cell>
          <cell r="W3993">
            <v>0</v>
          </cell>
          <cell r="X3993" t="str">
            <v>EST BANQUETA BAR PAULISTA REAL/TELA CRU SEXTAVADA/TC124 - 0,46x0,54x0,98H</v>
          </cell>
          <cell r="Y3993">
            <v>3380.12</v>
          </cell>
          <cell r="Z3993">
            <v>0.5</v>
          </cell>
          <cell r="AA3993">
            <v>1690.06</v>
          </cell>
          <cell r="AB3993"/>
        </row>
        <row r="3994">
          <cell r="C3994">
            <v>0</v>
          </cell>
          <cell r="D3994">
            <v>0</v>
          </cell>
          <cell r="E3994">
            <v>0</v>
          </cell>
          <cell r="F3994">
            <v>0</v>
          </cell>
          <cell r="H3994">
            <v>2</v>
          </cell>
          <cell r="O3994">
            <v>217687</v>
          </cell>
          <cell r="P3994"/>
          <cell r="Q3994" t="str">
            <v>EST PUFF SOHO (FX F8160) (TING IMBUIA)</v>
          </cell>
          <cell r="R3994"/>
          <cell r="S3994"/>
          <cell r="T3994">
            <v>1.1000000000000001</v>
          </cell>
          <cell r="U3994">
            <v>0</v>
          </cell>
          <cell r="V3994">
            <v>0.3</v>
          </cell>
          <cell r="W3994">
            <v>1.1000000000000001</v>
          </cell>
          <cell r="X3994" t="str">
            <v>EST PUFF SOHO (FX F8160) (TING IMBUIA) - Ø1,1x0,3H</v>
          </cell>
          <cell r="Y3994">
            <v>7874.14</v>
          </cell>
          <cell r="Z3994">
            <v>0.5</v>
          </cell>
          <cell r="AA3994">
            <v>3937.07</v>
          </cell>
          <cell r="AB3994"/>
        </row>
        <row r="3995">
          <cell r="C3995">
            <v>0</v>
          </cell>
          <cell r="D3995">
            <v>0</v>
          </cell>
          <cell r="E3995">
            <v>0</v>
          </cell>
          <cell r="F3995">
            <v>0</v>
          </cell>
          <cell r="H3995">
            <v>1</v>
          </cell>
          <cell r="O3995">
            <v>217873</v>
          </cell>
          <cell r="P3995"/>
          <cell r="Q3995" t="str">
            <v>EST MESA JANTAR MATRIZ (INT LAMIANA NOGUEIRA) (EXT ACO CRU)</v>
          </cell>
          <cell r="R3995"/>
          <cell r="S3995"/>
          <cell r="T3995">
            <v>1.9</v>
          </cell>
          <cell r="U3995">
            <v>0.7</v>
          </cell>
          <cell r="V3995">
            <v>0.75</v>
          </cell>
          <cell r="W3995">
            <v>0</v>
          </cell>
          <cell r="X3995" t="str">
            <v>EST MESA JANTAR MATRIZ (INT LAMIANA NOGUEIRA) (EXT ACO CRU) - 1,9x0,7x0,75H</v>
          </cell>
          <cell r="Y3995">
            <v>34496</v>
          </cell>
          <cell r="Z3995">
            <v>0.5</v>
          </cell>
          <cell r="AA3995">
            <v>17248</v>
          </cell>
          <cell r="AB3995"/>
        </row>
        <row r="3996">
          <cell r="C3996">
            <v>0</v>
          </cell>
          <cell r="D3996">
            <v>0</v>
          </cell>
          <cell r="E3996">
            <v>0</v>
          </cell>
          <cell r="F3996">
            <v>0</v>
          </cell>
          <cell r="H3996">
            <v>1</v>
          </cell>
          <cell r="O3996">
            <v>218640</v>
          </cell>
          <cell r="P3996"/>
          <cell r="Q3996" t="str">
            <v>EST CADEIRA BOSSA PALHA (TAUARI COR 03) TELA NATURAL</v>
          </cell>
          <cell r="R3996"/>
          <cell r="S3996"/>
          <cell r="T3996">
            <v>0.5</v>
          </cell>
          <cell r="U3996">
            <v>0.52</v>
          </cell>
          <cell r="V3996">
            <v>0.87</v>
          </cell>
          <cell r="W3996">
            <v>0</v>
          </cell>
          <cell r="X3996" t="str">
            <v>EST CADEIRA BOSSA PALHA (TAUARI COR 03) TELA NATURAL - 0,5x0,52x0,87H</v>
          </cell>
          <cell r="Y3996">
            <v>6035.72</v>
          </cell>
          <cell r="Z3996">
            <v>0.5</v>
          </cell>
          <cell r="AA3996">
            <v>3017.86</v>
          </cell>
          <cell r="AB3996"/>
        </row>
        <row r="3997">
          <cell r="C3997">
            <v>0</v>
          </cell>
          <cell r="D3997">
            <v>0</v>
          </cell>
          <cell r="E3997">
            <v>0</v>
          </cell>
          <cell r="F3997">
            <v>0</v>
          </cell>
          <cell r="H3997">
            <v>1</v>
          </cell>
          <cell r="O3997">
            <v>219073</v>
          </cell>
          <cell r="P3997" t="str">
            <v>2017/312-0010-01</v>
          </cell>
          <cell r="Q3997" t="str">
            <v>EST BANCO UZI (MAD DEMOLICAO) PEROBA ROSA IMBUIA NITRO</v>
          </cell>
          <cell r="R3997"/>
          <cell r="S3997"/>
          <cell r="T3997">
            <v>2.4</v>
          </cell>
          <cell r="U3997">
            <v>0.5</v>
          </cell>
          <cell r="V3997">
            <v>0.45</v>
          </cell>
          <cell r="W3997">
            <v>0</v>
          </cell>
          <cell r="X3997" t="str">
            <v>EST BANCO UZI (MAD DEMOLICAO) PEROBA ROSA IMBUIA NITRO - 2,4x0,5x0,45H</v>
          </cell>
          <cell r="Y3997">
            <v>10080</v>
          </cell>
          <cell r="Z3997">
            <v>0.5</v>
          </cell>
          <cell r="AA3997">
            <v>5040</v>
          </cell>
          <cell r="AB3997"/>
        </row>
        <row r="3998">
          <cell r="C3998">
            <v>0</v>
          </cell>
          <cell r="D3998">
            <v>0</v>
          </cell>
          <cell r="E3998">
            <v>0</v>
          </cell>
          <cell r="F3998">
            <v>0</v>
          </cell>
          <cell r="H3998">
            <v>4</v>
          </cell>
          <cell r="O3998">
            <v>221136</v>
          </cell>
          <cell r="P3998" t="str">
            <v>2018/082-0032-01</v>
          </cell>
          <cell r="Q3998" t="str">
            <v>EST CADEIRA JOY ESTOFADA (IMBUIA) (COURO 515 AZUL CLARO)</v>
          </cell>
          <cell r="R3998"/>
          <cell r="S3998"/>
          <cell r="T3998">
            <v>0.44</v>
          </cell>
          <cell r="U3998">
            <v>0.56999999999999995</v>
          </cell>
          <cell r="V3998">
            <v>0.8</v>
          </cell>
          <cell r="W3998">
            <v>0</v>
          </cell>
          <cell r="X3998" t="str">
            <v>EST CADEIRA JOY ESTOFADA (IMBUIA) (COURO 515 AZUL CLARO) - 0,44x0,57x0,8H</v>
          </cell>
          <cell r="Y3998">
            <v>7223.91</v>
          </cell>
          <cell r="Z3998">
            <v>0.5</v>
          </cell>
          <cell r="AA3998">
            <v>3611.9549999999999</v>
          </cell>
          <cell r="AB3998"/>
        </row>
        <row r="3999">
          <cell r="C3999">
            <v>0</v>
          </cell>
          <cell r="D3999">
            <v>0</v>
          </cell>
          <cell r="E3999">
            <v>0</v>
          </cell>
          <cell r="F3999">
            <v>0</v>
          </cell>
          <cell r="H3999">
            <v>4</v>
          </cell>
          <cell r="O3999">
            <v>221136</v>
          </cell>
          <cell r="P3999" t="str">
            <v>2018/082-0033-01</v>
          </cell>
          <cell r="Q3999" t="str">
            <v>EST CADEIRA JOY ESTOFADA (IMBUIA) (COURO 515 AZUL CLARO)</v>
          </cell>
          <cell r="R3999"/>
          <cell r="S3999"/>
          <cell r="T3999">
            <v>0.44</v>
          </cell>
          <cell r="U3999">
            <v>0.56999999999999995</v>
          </cell>
          <cell r="V3999">
            <v>0.8</v>
          </cell>
          <cell r="W3999">
            <v>0</v>
          </cell>
          <cell r="X3999" t="str">
            <v>EST CADEIRA JOY ESTOFADA (IMBUIA) (COURO 515 AZUL CLARO) - 0,44x0,57x0,8H</v>
          </cell>
          <cell r="Y3999">
            <v>7223.91</v>
          </cell>
          <cell r="Z3999">
            <v>0.5</v>
          </cell>
          <cell r="AA3999">
            <v>3611.9549999999999</v>
          </cell>
          <cell r="AB3999"/>
        </row>
        <row r="4000">
          <cell r="C4000">
            <v>0</v>
          </cell>
          <cell r="D4000">
            <v>0</v>
          </cell>
          <cell r="E4000">
            <v>0</v>
          </cell>
          <cell r="F4000">
            <v>0</v>
          </cell>
          <cell r="H4000">
            <v>4</v>
          </cell>
          <cell r="O4000">
            <v>221136</v>
          </cell>
          <cell r="P4000" t="str">
            <v>2018/082-0034-01</v>
          </cell>
          <cell r="Q4000" t="str">
            <v>EST CADEIRA JOY ESTOFADA (IMBUIA) (COURO 515 AZUL CLARO)</v>
          </cell>
          <cell r="R4000"/>
          <cell r="S4000"/>
          <cell r="T4000">
            <v>0.44</v>
          </cell>
          <cell r="U4000">
            <v>0.56999999999999995</v>
          </cell>
          <cell r="V4000">
            <v>0.8</v>
          </cell>
          <cell r="W4000">
            <v>0</v>
          </cell>
          <cell r="X4000" t="str">
            <v>EST CADEIRA JOY ESTOFADA (IMBUIA) (COURO 515 AZUL CLARO) - 0,44x0,57x0,8H</v>
          </cell>
          <cell r="Y4000">
            <v>7223.91</v>
          </cell>
          <cell r="Z4000">
            <v>0.5</v>
          </cell>
          <cell r="AA4000">
            <v>3611.9549999999999</v>
          </cell>
          <cell r="AB4000"/>
        </row>
        <row r="4001">
          <cell r="C4001">
            <v>0</v>
          </cell>
          <cell r="D4001">
            <v>0</v>
          </cell>
          <cell r="E4001">
            <v>0</v>
          </cell>
          <cell r="F4001">
            <v>0</v>
          </cell>
          <cell r="H4001">
            <v>4</v>
          </cell>
          <cell r="O4001">
            <v>221136</v>
          </cell>
          <cell r="P4001" t="str">
            <v>2018/082-0035-01</v>
          </cell>
          <cell r="Q4001" t="str">
            <v>EST CADEIRA JOY ESTOFADA (IMBUIA) (COURO 515 AZUL CLARO)</v>
          </cell>
          <cell r="R4001"/>
          <cell r="S4001"/>
          <cell r="T4001">
            <v>0.44</v>
          </cell>
          <cell r="U4001">
            <v>0.56999999999999995</v>
          </cell>
          <cell r="V4001">
            <v>0.8</v>
          </cell>
          <cell r="W4001">
            <v>0</v>
          </cell>
          <cell r="X4001" t="str">
            <v>EST CADEIRA JOY ESTOFADA (IMBUIA) (COURO 515 AZUL CLARO) - 0,44x0,57x0,8H</v>
          </cell>
          <cell r="Y4001">
            <v>7223.91</v>
          </cell>
          <cell r="Z4001">
            <v>0.5</v>
          </cell>
          <cell r="AA4001">
            <v>3611.9549999999999</v>
          </cell>
          <cell r="AB4001"/>
        </row>
        <row r="4002">
          <cell r="C4002">
            <v>0</v>
          </cell>
          <cell r="D4002">
            <v>0</v>
          </cell>
          <cell r="E4002">
            <v>0</v>
          </cell>
          <cell r="F4002">
            <v>0</v>
          </cell>
          <cell r="H4002">
            <v>1</v>
          </cell>
          <cell r="O4002">
            <v>221623</v>
          </cell>
          <cell r="P4002"/>
          <cell r="Q4002" t="str">
            <v>EST POLTRONA SOHO (COURO TP2 MATTE SAFARI/MATTE FENDI) PRETO</v>
          </cell>
          <cell r="R4002"/>
          <cell r="S4002"/>
          <cell r="T4002">
            <v>0.85</v>
          </cell>
          <cell r="U4002">
            <v>0.85</v>
          </cell>
          <cell r="V4002">
            <v>0.79</v>
          </cell>
          <cell r="W4002">
            <v>0</v>
          </cell>
          <cell r="X4002" t="str">
            <v>EST POLTRONA SOHO (COURO TP2 MATTE SAFARI/MATTE FENDI) PRETO - 0,85x0,85x0,79H</v>
          </cell>
          <cell r="Y4002">
            <v>15680</v>
          </cell>
          <cell r="Z4002">
            <v>0.5</v>
          </cell>
          <cell r="AA4002">
            <v>7840</v>
          </cell>
          <cell r="AB4002"/>
        </row>
        <row r="4003">
          <cell r="C4003">
            <v>1</v>
          </cell>
          <cell r="D4003">
            <v>0</v>
          </cell>
          <cell r="E4003">
            <v>0</v>
          </cell>
          <cell r="F4003">
            <v>0</v>
          </cell>
          <cell r="H4003">
            <v>0</v>
          </cell>
          <cell r="O4003">
            <v>223326</v>
          </cell>
          <cell r="P4003" t="str">
            <v>2019/074-0059-01</v>
          </cell>
          <cell r="Q4003" t="str">
            <v>EST APARADOR ZINA (LAMINA 3 PAU FERRO PC) (LACA FOSCA PRETA)</v>
          </cell>
          <cell r="R4003"/>
          <cell r="S4003"/>
          <cell r="T4003">
            <v>1.9</v>
          </cell>
          <cell r="U4003">
            <v>0.5</v>
          </cell>
          <cell r="V4003">
            <v>0.8</v>
          </cell>
          <cell r="W4003">
            <v>0</v>
          </cell>
          <cell r="X4003" t="str">
            <v>EST APARADOR ZINA (LAMINA 3 PAU FERRO PC) (LACA FOSCA PRETA) - 1,9x0,5x0,8H</v>
          </cell>
          <cell r="Y4003">
            <v>26879.42</v>
          </cell>
          <cell r="Z4003">
            <v>0.5</v>
          </cell>
          <cell r="AA4003">
            <v>13439.71</v>
          </cell>
          <cell r="AB4003"/>
        </row>
        <row r="4004">
          <cell r="C4004">
            <v>1</v>
          </cell>
          <cell r="D4004">
            <v>0</v>
          </cell>
          <cell r="E4004">
            <v>0</v>
          </cell>
          <cell r="F4004">
            <v>0</v>
          </cell>
          <cell r="H4004">
            <v>0</v>
          </cell>
          <cell r="O4004">
            <v>223326</v>
          </cell>
          <cell r="P4004" t="str">
            <v>2020/155-0087-01</v>
          </cell>
          <cell r="Q4004" t="str">
            <v>EST APARADOR ZINA (LAMINA 3 PAU FERRO PC) (LACA FOSCA PRETA)</v>
          </cell>
          <cell r="R4004"/>
          <cell r="S4004"/>
          <cell r="T4004">
            <v>1.9</v>
          </cell>
          <cell r="U4004">
            <v>0.5</v>
          </cell>
          <cell r="V4004">
            <v>0.8</v>
          </cell>
          <cell r="W4004">
            <v>0</v>
          </cell>
          <cell r="X4004" t="str">
            <v>EST APARADOR ZINA (LAMINA 3 PAU FERRO PC) (LACA FOSCA PRETA) - 1,9x0,5x0,8H</v>
          </cell>
          <cell r="Y4004">
            <v>26879.42</v>
          </cell>
          <cell r="Z4004">
            <v>0.5</v>
          </cell>
          <cell r="AA4004">
            <v>13439.71</v>
          </cell>
          <cell r="AB4004"/>
        </row>
        <row r="4005">
          <cell r="C4005">
            <v>0</v>
          </cell>
          <cell r="D4005">
            <v>0</v>
          </cell>
          <cell r="E4005">
            <v>0</v>
          </cell>
          <cell r="F4005">
            <v>0</v>
          </cell>
          <cell r="H4005">
            <v>2</v>
          </cell>
          <cell r="O4005">
            <v>223331</v>
          </cell>
          <cell r="P4005" t="str">
            <v>2018/171-0184-01</v>
          </cell>
          <cell r="Q4005" t="str">
            <v>EST POLTRONA DORA TC 835 VELUDO VINHO</v>
          </cell>
          <cell r="R4005"/>
          <cell r="S4005"/>
          <cell r="T4005">
            <v>0.76</v>
          </cell>
          <cell r="U4005">
            <v>0.87</v>
          </cell>
          <cell r="V4005">
            <v>0.71</v>
          </cell>
          <cell r="W4005">
            <v>0</v>
          </cell>
          <cell r="X4005" t="str">
            <v>EST POLTRONA DORA TC 835 VELUDO VINHO - 0,76x0,87x0,71H</v>
          </cell>
          <cell r="Y4005">
            <v>17726.02</v>
          </cell>
          <cell r="Z4005">
            <v>0.5</v>
          </cell>
          <cell r="AA4005">
            <v>8863.01</v>
          </cell>
          <cell r="AB4005"/>
        </row>
        <row r="4006">
          <cell r="C4006">
            <v>0</v>
          </cell>
          <cell r="D4006">
            <v>0</v>
          </cell>
          <cell r="E4006">
            <v>0</v>
          </cell>
          <cell r="F4006">
            <v>0</v>
          </cell>
          <cell r="H4006">
            <v>2</v>
          </cell>
          <cell r="O4006">
            <v>223331</v>
          </cell>
          <cell r="P4006" t="str">
            <v>2018/171-0185-01</v>
          </cell>
          <cell r="Q4006" t="str">
            <v>EST POLTRONA DORA TC 835 VELUDO VINHO</v>
          </cell>
          <cell r="R4006"/>
          <cell r="S4006"/>
          <cell r="T4006">
            <v>0.76</v>
          </cell>
          <cell r="U4006">
            <v>0.87</v>
          </cell>
          <cell r="V4006">
            <v>0.71</v>
          </cell>
          <cell r="W4006">
            <v>0</v>
          </cell>
          <cell r="X4006" t="str">
            <v>EST POLTRONA DORA TC 835 VELUDO VINHO - 0,76x0,87x0,71H</v>
          </cell>
          <cell r="Y4006">
            <v>17726.02</v>
          </cell>
          <cell r="Z4006">
            <v>0.5</v>
          </cell>
          <cell r="AA4006">
            <v>8863.01</v>
          </cell>
          <cell r="AB4006"/>
        </row>
        <row r="4007">
          <cell r="C4007">
            <v>0</v>
          </cell>
          <cell r="D4007">
            <v>0</v>
          </cell>
          <cell r="E4007">
            <v>0</v>
          </cell>
          <cell r="F4007">
            <v>0</v>
          </cell>
          <cell r="H4007">
            <v>1</v>
          </cell>
          <cell r="O4007">
            <v>223338</v>
          </cell>
          <cell r="P4007" t="str">
            <v>2018/214-0031-01</v>
          </cell>
          <cell r="Q4007" t="str">
            <v>EST APARADOR TAY II (C/GAV) (LACA POLIESTER BRILHO F100)</v>
          </cell>
          <cell r="R4007"/>
          <cell r="S4007"/>
          <cell r="T4007">
            <v>2</v>
          </cell>
          <cell r="U4007">
            <v>0.45</v>
          </cell>
          <cell r="V4007">
            <v>0.76</v>
          </cell>
          <cell r="W4007">
            <v>0</v>
          </cell>
          <cell r="X4007" t="str">
            <v>EST APARADOR TAY II (C/GAV) (LACA POLIESTER BRILHO F100) - 2x0,45x0,76H</v>
          </cell>
          <cell r="Y4007">
            <v>20925.990000000002</v>
          </cell>
          <cell r="Z4007">
            <v>0.5</v>
          </cell>
          <cell r="AA4007">
            <v>10462.995000000001</v>
          </cell>
          <cell r="AB4007"/>
        </row>
        <row r="4008">
          <cell r="C4008">
            <v>0</v>
          </cell>
          <cell r="D4008">
            <v>0</v>
          </cell>
          <cell r="E4008">
            <v>0</v>
          </cell>
          <cell r="F4008">
            <v>0</v>
          </cell>
          <cell r="H4008">
            <v>2</v>
          </cell>
          <cell r="O4008">
            <v>223394</v>
          </cell>
          <cell r="P4008" t="str">
            <v>2018/214-0019-01</v>
          </cell>
          <cell r="Q4008" t="str">
            <v>EST MESA CENTRO TUNIS (LACA POLIESTER BRILHO J155)</v>
          </cell>
          <cell r="R4008"/>
          <cell r="S4008"/>
          <cell r="T4008">
            <v>1.8</v>
          </cell>
          <cell r="U4008">
            <v>0.7</v>
          </cell>
          <cell r="V4008">
            <v>0.23</v>
          </cell>
          <cell r="W4008">
            <v>0</v>
          </cell>
          <cell r="X4008" t="str">
            <v>EST MESA CENTRO TUNIS (LACA POLIESTER BRILHO J155) - 1,8x0,7x0,23H</v>
          </cell>
          <cell r="Y4008">
            <v>16035.13</v>
          </cell>
          <cell r="Z4008">
            <v>0.5</v>
          </cell>
          <cell r="AA4008">
            <v>8017.5649999999996</v>
          </cell>
          <cell r="AB4008"/>
        </row>
        <row r="4009">
          <cell r="C4009">
            <v>0</v>
          </cell>
          <cell r="D4009">
            <v>0</v>
          </cell>
          <cell r="E4009">
            <v>0</v>
          </cell>
          <cell r="F4009">
            <v>0</v>
          </cell>
          <cell r="H4009">
            <v>4</v>
          </cell>
          <cell r="O4009">
            <v>224131</v>
          </cell>
          <cell r="P4009" t="str">
            <v>2018/176-0043-01</v>
          </cell>
          <cell r="Q4009" t="str">
            <v>EST CADEIRA GAVEA (MEL CLARO) TC 310A</v>
          </cell>
          <cell r="R4009"/>
          <cell r="S4009"/>
          <cell r="T4009">
            <v>0.51</v>
          </cell>
          <cell r="U4009">
            <v>0.62</v>
          </cell>
          <cell r="V4009">
            <v>0.87</v>
          </cell>
          <cell r="W4009">
            <v>0</v>
          </cell>
          <cell r="X4009" t="str">
            <v>EST CADEIRA GAVEA (MEL CLARO) TC 310A - 0,51x0,62x0,87H</v>
          </cell>
          <cell r="Y4009">
            <v>4928</v>
          </cell>
          <cell r="Z4009">
            <v>0.5</v>
          </cell>
          <cell r="AA4009">
            <v>2464</v>
          </cell>
          <cell r="AB4009"/>
        </row>
        <row r="4010">
          <cell r="C4010">
            <v>0</v>
          </cell>
          <cell r="D4010">
            <v>0</v>
          </cell>
          <cell r="E4010">
            <v>0</v>
          </cell>
          <cell r="F4010">
            <v>0</v>
          </cell>
          <cell r="H4010">
            <v>4</v>
          </cell>
          <cell r="O4010">
            <v>224131</v>
          </cell>
          <cell r="P4010" t="str">
            <v>2018/212-0081-01</v>
          </cell>
          <cell r="Q4010" t="str">
            <v>EST CADEIRA GAVEA (MEL CLARO) TC 310A</v>
          </cell>
          <cell r="R4010"/>
          <cell r="S4010"/>
          <cell r="T4010">
            <v>0.51</v>
          </cell>
          <cell r="U4010">
            <v>0.62</v>
          </cell>
          <cell r="V4010">
            <v>0.87</v>
          </cell>
          <cell r="W4010">
            <v>0</v>
          </cell>
          <cell r="X4010" t="str">
            <v>EST CADEIRA GAVEA (MEL CLARO) TC 310A - 0,51x0,62x0,87H</v>
          </cell>
          <cell r="Y4010">
            <v>4928</v>
          </cell>
          <cell r="Z4010">
            <v>0.5</v>
          </cell>
          <cell r="AA4010">
            <v>2464</v>
          </cell>
          <cell r="AB4010"/>
        </row>
        <row r="4011">
          <cell r="C4011">
            <v>0</v>
          </cell>
          <cell r="D4011">
            <v>0</v>
          </cell>
          <cell r="E4011">
            <v>0</v>
          </cell>
          <cell r="F4011">
            <v>0</v>
          </cell>
          <cell r="H4011">
            <v>4</v>
          </cell>
          <cell r="O4011">
            <v>224131</v>
          </cell>
          <cell r="P4011" t="str">
            <v>2018/212-0082-01</v>
          </cell>
          <cell r="Q4011" t="str">
            <v>EST CADEIRA GAVEA (MEL CLARO) TC 310A</v>
          </cell>
          <cell r="R4011"/>
          <cell r="S4011"/>
          <cell r="T4011">
            <v>0.51</v>
          </cell>
          <cell r="U4011">
            <v>0.62</v>
          </cell>
          <cell r="V4011">
            <v>0.87</v>
          </cell>
          <cell r="W4011">
            <v>0</v>
          </cell>
          <cell r="X4011" t="str">
            <v>EST CADEIRA GAVEA (MEL CLARO) TC 310A - 0,51x0,62x0,87H</v>
          </cell>
          <cell r="Y4011">
            <v>4928</v>
          </cell>
          <cell r="Z4011">
            <v>0.5</v>
          </cell>
          <cell r="AA4011">
            <v>2464</v>
          </cell>
          <cell r="AB4011"/>
        </row>
        <row r="4012">
          <cell r="C4012">
            <v>0</v>
          </cell>
          <cell r="D4012">
            <v>0</v>
          </cell>
          <cell r="E4012">
            <v>0</v>
          </cell>
          <cell r="F4012">
            <v>0</v>
          </cell>
          <cell r="H4012">
            <v>4</v>
          </cell>
          <cell r="O4012">
            <v>224131</v>
          </cell>
          <cell r="P4012" t="str">
            <v>2018/212-0083-01</v>
          </cell>
          <cell r="Q4012" t="str">
            <v>EST CADEIRA GAVEA (MEL CLARO) TC 310A</v>
          </cell>
          <cell r="R4012"/>
          <cell r="S4012"/>
          <cell r="T4012">
            <v>0.51</v>
          </cell>
          <cell r="U4012">
            <v>0.62</v>
          </cell>
          <cell r="V4012">
            <v>0.87</v>
          </cell>
          <cell r="W4012">
            <v>0</v>
          </cell>
          <cell r="X4012" t="str">
            <v>EST CADEIRA GAVEA (MEL CLARO) TC 310A - 0,51x0,62x0,87H</v>
          </cell>
          <cell r="Y4012">
            <v>4928</v>
          </cell>
          <cell r="Z4012">
            <v>0.5</v>
          </cell>
          <cell r="AA4012">
            <v>2464</v>
          </cell>
          <cell r="AB4012"/>
        </row>
        <row r="4013">
          <cell r="C4013">
            <v>0</v>
          </cell>
          <cell r="D4013">
            <v>0</v>
          </cell>
          <cell r="E4013">
            <v>0</v>
          </cell>
          <cell r="F4013">
            <v>0</v>
          </cell>
          <cell r="H4013">
            <v>2</v>
          </cell>
          <cell r="O4013">
            <v>224531</v>
          </cell>
          <cell r="P4013" t="str">
            <v>2018/207-0005-01</v>
          </cell>
          <cell r="Q4013" t="str">
            <v>EST BUFFET TOKYO SUSPENSO (CORPO/PORTA NOG/DET MTX PRETO)</v>
          </cell>
          <cell r="R4013"/>
          <cell r="S4013"/>
          <cell r="T4013">
            <v>2.4</v>
          </cell>
          <cell r="U4013">
            <v>0.45</v>
          </cell>
          <cell r="V4013">
            <v>0.45</v>
          </cell>
          <cell r="W4013">
            <v>0</v>
          </cell>
          <cell r="X4013" t="str">
            <v>EST BUFFET TOKYO SUSPENSO (CORPO/PORTA NOG/DET MTX PRETO) - 2,4x0,45x0,45H</v>
          </cell>
          <cell r="Y4013">
            <v>36012.93</v>
          </cell>
          <cell r="Z4013">
            <v>0.5</v>
          </cell>
          <cell r="AA4013">
            <v>18006.465</v>
          </cell>
          <cell r="AB4013"/>
        </row>
        <row r="4014">
          <cell r="C4014">
            <v>0</v>
          </cell>
          <cell r="D4014">
            <v>0</v>
          </cell>
          <cell r="E4014">
            <v>0</v>
          </cell>
          <cell r="F4014">
            <v>0</v>
          </cell>
          <cell r="H4014">
            <v>2</v>
          </cell>
          <cell r="O4014">
            <v>224531</v>
          </cell>
          <cell r="P4014" t="str">
            <v>2018/234-0011-01</v>
          </cell>
          <cell r="Q4014" t="str">
            <v>EST BUFFET TOKYO SUSPENSO (CORPO/PORTA NOG/DET MTX PRETO)</v>
          </cell>
          <cell r="R4014"/>
          <cell r="S4014"/>
          <cell r="T4014">
            <v>2.4</v>
          </cell>
          <cell r="U4014">
            <v>0.45</v>
          </cell>
          <cell r="V4014">
            <v>0.45</v>
          </cell>
          <cell r="W4014">
            <v>0</v>
          </cell>
          <cell r="X4014" t="str">
            <v>EST BUFFET TOKYO SUSPENSO (CORPO/PORTA NOG/DET MTX PRETO) - 2,4x0,45x0,45H</v>
          </cell>
          <cell r="Y4014">
            <v>36012.93</v>
          </cell>
          <cell r="Z4014">
            <v>0.5</v>
          </cell>
          <cell r="AA4014">
            <v>18006.465</v>
          </cell>
          <cell r="AB4014"/>
        </row>
        <row r="4015">
          <cell r="C4015">
            <v>0</v>
          </cell>
          <cell r="D4015">
            <v>0</v>
          </cell>
          <cell r="E4015">
            <v>0</v>
          </cell>
          <cell r="F4015">
            <v>0</v>
          </cell>
          <cell r="H4015">
            <v>1</v>
          </cell>
          <cell r="O4015">
            <v>226719</v>
          </cell>
          <cell r="P4015" t="str">
            <v>2018/233-0044-01</v>
          </cell>
          <cell r="Q4015" t="str">
            <v>EST CADEIRA EVO C/BRACO (TAP DISTRESS 20363) MAD MEL CLARO</v>
          </cell>
          <cell r="R4015"/>
          <cell r="S4015"/>
          <cell r="T4015">
            <v>0.53</v>
          </cell>
          <cell r="U4015">
            <v>0.47</v>
          </cell>
          <cell r="V4015">
            <v>0.82</v>
          </cell>
          <cell r="W4015">
            <v>0</v>
          </cell>
          <cell r="X4015" t="str">
            <v>EST CADEIRA EVO C/BRACO (TAP DISTRESS 20363) MAD MEL CLARO - 0,53x0,47x0,82H</v>
          </cell>
          <cell r="Y4015">
            <v>6988.67</v>
          </cell>
          <cell r="Z4015">
            <v>0.5</v>
          </cell>
          <cell r="AA4015">
            <v>3494.335</v>
          </cell>
          <cell r="AB4015"/>
        </row>
        <row r="4016">
          <cell r="C4016">
            <v>0</v>
          </cell>
          <cell r="D4016">
            <v>0</v>
          </cell>
          <cell r="E4016">
            <v>0</v>
          </cell>
          <cell r="F4016">
            <v>0</v>
          </cell>
          <cell r="H4016">
            <v>2</v>
          </cell>
          <cell r="O4016">
            <v>230075</v>
          </cell>
          <cell r="P4016"/>
          <cell r="Q4016" t="str">
            <v>EST BANCO PHILLIPS (LACA NUDE GRADIENTE FOSCA)</v>
          </cell>
          <cell r="R4016"/>
          <cell r="S4016"/>
          <cell r="T4016">
            <v>0.35</v>
          </cell>
          <cell r="U4016">
            <v>0</v>
          </cell>
          <cell r="V4016">
            <v>0.45</v>
          </cell>
          <cell r="W4016">
            <v>0.35</v>
          </cell>
          <cell r="X4016" t="str">
            <v>EST BANCO PHILLIPS (LACA NUDE GRADIENTE FOSCA) - Ø0,35x0,45H</v>
          </cell>
          <cell r="Y4016">
            <v>7271.35</v>
          </cell>
          <cell r="Z4016">
            <v>0.5</v>
          </cell>
          <cell r="AA4016">
            <v>3635.6750000000002</v>
          </cell>
          <cell r="AB4016"/>
        </row>
        <row r="4017">
          <cell r="C4017">
            <v>0</v>
          </cell>
          <cell r="D4017">
            <v>0</v>
          </cell>
          <cell r="E4017">
            <v>0</v>
          </cell>
          <cell r="F4017">
            <v>0</v>
          </cell>
          <cell r="H4017">
            <v>2</v>
          </cell>
          <cell r="O4017">
            <v>232359</v>
          </cell>
          <cell r="P4017"/>
          <cell r="Q4017" t="str">
            <v>EST ESTANTE MORE (LAM CARBO LISO ESTR FAKE BRONZE)</v>
          </cell>
          <cell r="R4017"/>
          <cell r="S4017"/>
          <cell r="T4017">
            <v>1.2</v>
          </cell>
          <cell r="U4017">
            <v>0.4</v>
          </cell>
          <cell r="V4017">
            <v>1.6</v>
          </cell>
          <cell r="W4017">
            <v>0</v>
          </cell>
          <cell r="X4017" t="str">
            <v>EST ESTANTE MORE (LAM CARBO LISO ESTR FAKE BRONZE) - 1,2x0,4x1,6H</v>
          </cell>
          <cell r="Y4017">
            <v>33137.129999999997</v>
          </cell>
          <cell r="Z4017">
            <v>0.5</v>
          </cell>
          <cell r="AA4017">
            <v>16568.564999999999</v>
          </cell>
          <cell r="AB4017"/>
        </row>
        <row r="4018">
          <cell r="C4018">
            <v>0</v>
          </cell>
          <cell r="D4018">
            <v>0</v>
          </cell>
          <cell r="E4018">
            <v>0</v>
          </cell>
          <cell r="F4018">
            <v>0</v>
          </cell>
          <cell r="H4018">
            <v>1</v>
          </cell>
          <cell r="O4018">
            <v>233108</v>
          </cell>
          <cell r="P4018" t="str">
            <v>2019/106-0045-01</v>
          </cell>
          <cell r="Q4018" t="str">
            <v>EST MESA LATERAL MARI (SAYRELACK M524)</v>
          </cell>
          <cell r="R4018"/>
          <cell r="S4018"/>
          <cell r="T4018">
            <v>0.32</v>
          </cell>
          <cell r="U4018">
            <v>0</v>
          </cell>
          <cell r="V4018">
            <v>0.5</v>
          </cell>
          <cell r="W4018">
            <v>0.32</v>
          </cell>
          <cell r="X4018" t="str">
            <v>EST MESA LATERAL MARI (SAYRELACK M524) - Ø0,32x0,5H</v>
          </cell>
          <cell r="Y4018">
            <v>5155.3999999999996</v>
          </cell>
          <cell r="Z4018">
            <v>0.5</v>
          </cell>
          <cell r="AA4018">
            <v>2577.6999999999998</v>
          </cell>
          <cell r="AB4018"/>
        </row>
        <row r="4019">
          <cell r="C4019">
            <v>0</v>
          </cell>
          <cell r="D4019">
            <v>0</v>
          </cell>
          <cell r="E4019">
            <v>0</v>
          </cell>
          <cell r="F4019">
            <v>0</v>
          </cell>
          <cell r="H4019">
            <v>2</v>
          </cell>
          <cell r="O4019">
            <v>233159</v>
          </cell>
          <cell r="P4019" t="str">
            <v>2019/108-0010-01</v>
          </cell>
          <cell r="Q4019" t="str">
            <v>EST PUFF UFO Ø75 TC C3081/ZIPER PRETO</v>
          </cell>
          <cell r="R4019"/>
          <cell r="S4019"/>
          <cell r="T4019">
            <v>0</v>
          </cell>
          <cell r="U4019">
            <v>0</v>
          </cell>
          <cell r="V4019">
            <v>0.44</v>
          </cell>
          <cell r="W4019">
            <v>0.75</v>
          </cell>
          <cell r="X4019" t="str">
            <v>EST PUFF UFO Ø75 TC C3081/ZIPER PRETO - Ø0,75x0,44H</v>
          </cell>
          <cell r="Y4019">
            <v>5926.73</v>
          </cell>
          <cell r="Z4019">
            <v>0.5</v>
          </cell>
          <cell r="AA4019">
            <v>2963.3649999999998</v>
          </cell>
          <cell r="AB4019"/>
        </row>
        <row r="4020">
          <cell r="C4020">
            <v>0</v>
          </cell>
          <cell r="D4020">
            <v>0</v>
          </cell>
          <cell r="E4020">
            <v>0</v>
          </cell>
          <cell r="F4020">
            <v>0</v>
          </cell>
          <cell r="H4020">
            <v>2</v>
          </cell>
          <cell r="O4020">
            <v>233159</v>
          </cell>
          <cell r="P4020" t="str">
            <v>2019/105-0083-01</v>
          </cell>
          <cell r="Q4020" t="str">
            <v>EST PUFF UFO Ø75 TC C3081/ZIPER PRETO</v>
          </cell>
          <cell r="R4020"/>
          <cell r="S4020"/>
          <cell r="T4020">
            <v>0</v>
          </cell>
          <cell r="U4020">
            <v>0</v>
          </cell>
          <cell r="V4020">
            <v>0.44</v>
          </cell>
          <cell r="W4020">
            <v>0.75</v>
          </cell>
          <cell r="X4020" t="str">
            <v>EST PUFF UFO Ø75 TC C3081/ZIPER PRETO - Ø0,75x0,44H</v>
          </cell>
          <cell r="Y4020">
            <v>5926.73</v>
          </cell>
          <cell r="Z4020">
            <v>0.5</v>
          </cell>
          <cell r="AA4020">
            <v>2963.3649999999998</v>
          </cell>
          <cell r="AB4020"/>
        </row>
        <row r="4021">
          <cell r="C4021">
            <v>0</v>
          </cell>
          <cell r="D4021">
            <v>0</v>
          </cell>
          <cell r="E4021">
            <v>0</v>
          </cell>
          <cell r="F4021">
            <v>0</v>
          </cell>
          <cell r="H4021">
            <v>2</v>
          </cell>
          <cell r="O4021">
            <v>233552</v>
          </cell>
          <cell r="P4021" t="str">
            <v>2019/149-0089-01</v>
          </cell>
          <cell r="Q4021" t="str">
            <v>EST CADEIRA LIA (ASS/ENC EST) (TAUARI TING 2) TC ROCKYRO CHA</v>
          </cell>
          <cell r="R4021"/>
          <cell r="S4021"/>
          <cell r="T4021">
            <v>0.46</v>
          </cell>
          <cell r="U4021">
            <v>0.55000000000000004</v>
          </cell>
          <cell r="V4021">
            <v>0.8</v>
          </cell>
          <cell r="W4021">
            <v>0</v>
          </cell>
          <cell r="X4021" t="str">
            <v>EST CADEIRA LIA (ASS/ENC EST) (TAUARI TING 2) TC ROCKYRO CHA - 0,46x0,55x0,8H</v>
          </cell>
          <cell r="Y4021">
            <v>4928</v>
          </cell>
          <cell r="Z4021">
            <v>0.5</v>
          </cell>
          <cell r="AA4021">
            <v>2464</v>
          </cell>
          <cell r="AB4021"/>
        </row>
        <row r="4022">
          <cell r="C4022">
            <v>0</v>
          </cell>
          <cell r="D4022">
            <v>0</v>
          </cell>
          <cell r="E4022">
            <v>0</v>
          </cell>
          <cell r="F4022">
            <v>0</v>
          </cell>
          <cell r="H4022">
            <v>2</v>
          </cell>
          <cell r="O4022">
            <v>233552</v>
          </cell>
          <cell r="P4022" t="str">
            <v>2019/149-0101-01</v>
          </cell>
          <cell r="Q4022" t="str">
            <v>EST CADEIRA LIA (ASS/ENC EST) (TAUARI TING 2) TC ROCKYRO CHA</v>
          </cell>
          <cell r="R4022"/>
          <cell r="S4022"/>
          <cell r="T4022">
            <v>0.46</v>
          </cell>
          <cell r="U4022">
            <v>0.55000000000000004</v>
          </cell>
          <cell r="V4022">
            <v>0.8</v>
          </cell>
          <cell r="W4022">
            <v>0</v>
          </cell>
          <cell r="X4022" t="str">
            <v>EST CADEIRA LIA (ASS/ENC EST) (TAUARI TING 2) TC ROCKYRO CHA - 0,46x0,55x0,8H</v>
          </cell>
          <cell r="Y4022">
            <v>4928</v>
          </cell>
          <cell r="Z4022">
            <v>0.5</v>
          </cell>
          <cell r="AA4022">
            <v>2464</v>
          </cell>
          <cell r="AB4022"/>
        </row>
        <row r="4023">
          <cell r="C4023">
            <v>0</v>
          </cell>
          <cell r="D4023">
            <v>0</v>
          </cell>
          <cell r="E4023">
            <v>0</v>
          </cell>
          <cell r="F4023">
            <v>0</v>
          </cell>
          <cell r="H4023">
            <v>2</v>
          </cell>
          <cell r="O4023">
            <v>233552</v>
          </cell>
          <cell r="P4023" t="str">
            <v>2019/149-0141-01</v>
          </cell>
          <cell r="Q4023" t="str">
            <v>EST CADEIRA LIA (ASS/ENC EST) (TAUARI TING 2) TC ROCKYRO CHA</v>
          </cell>
          <cell r="R4023"/>
          <cell r="S4023"/>
          <cell r="T4023">
            <v>0.46</v>
          </cell>
          <cell r="U4023">
            <v>0.55000000000000004</v>
          </cell>
          <cell r="V4023">
            <v>0.8</v>
          </cell>
          <cell r="W4023">
            <v>0</v>
          </cell>
          <cell r="X4023" t="str">
            <v>EST CADEIRA LIA (ASS/ENC EST) (TAUARI TING 2) TC ROCKYRO CHA - 0,46x0,55x0,8H</v>
          </cell>
          <cell r="Y4023">
            <v>4928</v>
          </cell>
          <cell r="Z4023">
            <v>0.5</v>
          </cell>
          <cell r="AA4023">
            <v>2464</v>
          </cell>
          <cell r="AB4023"/>
        </row>
        <row r="4024">
          <cell r="C4024">
            <v>0</v>
          </cell>
          <cell r="D4024">
            <v>0</v>
          </cell>
          <cell r="E4024">
            <v>0</v>
          </cell>
          <cell r="F4024">
            <v>0</v>
          </cell>
          <cell r="H4024">
            <v>2</v>
          </cell>
          <cell r="O4024">
            <v>234069</v>
          </cell>
          <cell r="P4024" t="str">
            <v>2019/105-0011-01</v>
          </cell>
          <cell r="Q4024" t="str">
            <v>EST CADEIRA GOLF (TING EBANIZ/TELA SEXT NAT) TC213</v>
          </cell>
          <cell r="R4024"/>
          <cell r="S4024"/>
          <cell r="T4024">
            <v>0.51</v>
          </cell>
          <cell r="U4024">
            <v>0.6</v>
          </cell>
          <cell r="V4024">
            <v>0.9</v>
          </cell>
          <cell r="W4024">
            <v>0</v>
          </cell>
          <cell r="X4024" t="str">
            <v>EST CADEIRA GOLF (TING EBANIZ/TELA SEXT NAT) TC213 - 0,51x0,6x0,9H</v>
          </cell>
          <cell r="Y4024">
            <v>3953.96</v>
          </cell>
          <cell r="Z4024">
            <v>0.5</v>
          </cell>
          <cell r="AA4024">
            <v>1976.98</v>
          </cell>
          <cell r="AB4024"/>
        </row>
        <row r="4025">
          <cell r="C4025">
            <v>0</v>
          </cell>
          <cell r="D4025">
            <v>0</v>
          </cell>
          <cell r="E4025">
            <v>0</v>
          </cell>
          <cell r="F4025">
            <v>0</v>
          </cell>
          <cell r="H4025">
            <v>2</v>
          </cell>
          <cell r="O4025">
            <v>234069</v>
          </cell>
          <cell r="P4025" t="str">
            <v>2019/143-0083-01</v>
          </cell>
          <cell r="Q4025" t="str">
            <v>EST CADEIRA GOLF (TING EBANIZ/TELA SEXT NAT) TC213</v>
          </cell>
          <cell r="R4025"/>
          <cell r="S4025"/>
          <cell r="T4025">
            <v>0.51</v>
          </cell>
          <cell r="U4025">
            <v>0.6</v>
          </cell>
          <cell r="V4025">
            <v>0.9</v>
          </cell>
          <cell r="W4025">
            <v>0</v>
          </cell>
          <cell r="X4025" t="str">
            <v>EST CADEIRA GOLF (TING EBANIZ/TELA SEXT NAT) TC213 - 0,51x0,6x0,9H</v>
          </cell>
          <cell r="Y4025">
            <v>3953.96</v>
          </cell>
          <cell r="Z4025">
            <v>0.5</v>
          </cell>
          <cell r="AA4025">
            <v>1976.98</v>
          </cell>
          <cell r="AB4025"/>
        </row>
        <row r="4026">
          <cell r="C4026">
            <v>0</v>
          </cell>
          <cell r="D4026">
            <v>0</v>
          </cell>
          <cell r="E4026">
            <v>0</v>
          </cell>
          <cell r="F4026">
            <v>0</v>
          </cell>
          <cell r="H4026">
            <v>2</v>
          </cell>
          <cell r="O4026">
            <v>234069</v>
          </cell>
          <cell r="P4026" t="str">
            <v>2019/143-0088-01</v>
          </cell>
          <cell r="Q4026" t="str">
            <v>EST CADEIRA GOLF (TING EBANIZ/TELA SEXT NAT) TC213</v>
          </cell>
          <cell r="R4026"/>
          <cell r="S4026"/>
          <cell r="T4026">
            <v>0.51</v>
          </cell>
          <cell r="U4026">
            <v>0.6</v>
          </cell>
          <cell r="V4026">
            <v>0.9</v>
          </cell>
          <cell r="W4026">
            <v>0</v>
          </cell>
          <cell r="X4026" t="str">
            <v>EST CADEIRA GOLF (TING EBANIZ/TELA SEXT NAT) TC213 - 0,51x0,6x0,9H</v>
          </cell>
          <cell r="Y4026">
            <v>3953.96</v>
          </cell>
          <cell r="Z4026">
            <v>0.5</v>
          </cell>
          <cell r="AA4026">
            <v>1976.98</v>
          </cell>
          <cell r="AB4026"/>
        </row>
        <row r="4027">
          <cell r="C4027">
            <v>0</v>
          </cell>
          <cell r="D4027">
            <v>0</v>
          </cell>
          <cell r="E4027">
            <v>0</v>
          </cell>
          <cell r="F4027">
            <v>0</v>
          </cell>
          <cell r="H4027">
            <v>2</v>
          </cell>
          <cell r="O4027">
            <v>234069</v>
          </cell>
          <cell r="P4027" t="str">
            <v>2019/326-0001-01</v>
          </cell>
          <cell r="Q4027" t="str">
            <v>EST CADEIRA GOLF (TING EBANIZ/TELA SEXT NAT) TC213</v>
          </cell>
          <cell r="R4027"/>
          <cell r="S4027"/>
          <cell r="T4027">
            <v>0.51</v>
          </cell>
          <cell r="U4027">
            <v>0.6</v>
          </cell>
          <cell r="V4027">
            <v>0.9</v>
          </cell>
          <cell r="W4027">
            <v>0</v>
          </cell>
          <cell r="X4027" t="str">
            <v>EST CADEIRA GOLF (TING EBANIZ/TELA SEXT NAT) TC213 - 0,51x0,6x0,9H</v>
          </cell>
          <cell r="Y4027">
            <v>3953.96</v>
          </cell>
          <cell r="Z4027">
            <v>0.5</v>
          </cell>
          <cell r="AA4027">
            <v>1976.98</v>
          </cell>
          <cell r="AB4027"/>
        </row>
        <row r="4028">
          <cell r="C4028">
            <v>0</v>
          </cell>
          <cell r="D4028">
            <v>0</v>
          </cell>
          <cell r="E4028">
            <v>0</v>
          </cell>
          <cell r="F4028">
            <v>0</v>
          </cell>
          <cell r="H4028">
            <v>1</v>
          </cell>
          <cell r="O4028">
            <v>234229</v>
          </cell>
          <cell r="P4028" t="str">
            <v>2019/149-0201-01</v>
          </cell>
          <cell r="Q4028" t="str">
            <v>EST MESA CENTRO VERSO (EBANIZADO) (PRETO FSC)</v>
          </cell>
          <cell r="R4028"/>
          <cell r="S4028"/>
          <cell r="T4028">
            <v>1.2</v>
          </cell>
          <cell r="U4028">
            <v>0.4</v>
          </cell>
          <cell r="V4028">
            <v>0.3</v>
          </cell>
          <cell r="W4028">
            <v>0</v>
          </cell>
          <cell r="X4028" t="str">
            <v>EST MESA CENTRO VERSO (EBANIZADO) (PRETO FSC) - 1,2x0,4x0,3H</v>
          </cell>
          <cell r="Y4028">
            <v>7526.4</v>
          </cell>
          <cell r="Z4028">
            <v>0.5</v>
          </cell>
          <cell r="AA4028">
            <v>3763.2</v>
          </cell>
          <cell r="AB4028"/>
        </row>
        <row r="4029">
          <cell r="C4029">
            <v>0</v>
          </cell>
          <cell r="D4029">
            <v>0</v>
          </cell>
          <cell r="E4029">
            <v>0</v>
          </cell>
          <cell r="F4029">
            <v>0</v>
          </cell>
          <cell r="H4029">
            <v>1</v>
          </cell>
          <cell r="O4029">
            <v>234340</v>
          </cell>
          <cell r="P4029" t="str">
            <v>2019/212-0036-01</v>
          </cell>
          <cell r="Q4029" t="str">
            <v>EST MESA CENTRO LODD (MOD 4) TP VD FUME/HS/BS PRETO</v>
          </cell>
          <cell r="R4029"/>
          <cell r="S4029"/>
          <cell r="T4029">
            <v>1</v>
          </cell>
          <cell r="U4029">
            <v>0</v>
          </cell>
          <cell r="V4029">
            <v>0.4</v>
          </cell>
          <cell r="W4029">
            <v>1</v>
          </cell>
          <cell r="X4029" t="str">
            <v>EST MESA CENTRO LODD (MOD 4) TP VD FUME/HS/BS PRETO - Ø1x0,4H</v>
          </cell>
          <cell r="Y4029">
            <v>19504.669999999998</v>
          </cell>
          <cell r="Z4029">
            <v>0.5</v>
          </cell>
          <cell r="AA4029">
            <v>9752.3349999999991</v>
          </cell>
          <cell r="AB4029"/>
        </row>
        <row r="4030">
          <cell r="C4030">
            <v>0</v>
          </cell>
          <cell r="D4030">
            <v>0</v>
          </cell>
          <cell r="E4030">
            <v>0</v>
          </cell>
          <cell r="F4030">
            <v>0</v>
          </cell>
          <cell r="H4030">
            <v>1</v>
          </cell>
          <cell r="O4030">
            <v>234546</v>
          </cell>
          <cell r="P4030" t="str">
            <v>2019/261-0111-01</v>
          </cell>
          <cell r="Q4030" t="str">
            <v>EST CADEIRA ELLA MD1 (COU OXI#7) BANHO OXID TAUAR FEU 2</v>
          </cell>
          <cell r="R4030"/>
          <cell r="S4030"/>
          <cell r="T4030">
            <v>0.6</v>
          </cell>
          <cell r="U4030">
            <v>0.63</v>
          </cell>
          <cell r="V4030">
            <v>0.76</v>
          </cell>
          <cell r="W4030">
            <v>0</v>
          </cell>
          <cell r="X4030" t="str">
            <v>EST CADEIRA ELLA MD1 (COU OXI#7) BANHO OXID TAUAR FEU 2 - 0,6x0,63x0,76H</v>
          </cell>
          <cell r="Y4030">
            <v>17691.52</v>
          </cell>
          <cell r="Z4030">
            <v>0.5</v>
          </cell>
          <cell r="AA4030">
            <v>8845.76</v>
          </cell>
          <cell r="AB4030"/>
        </row>
        <row r="4031">
          <cell r="C4031">
            <v>0</v>
          </cell>
          <cell r="D4031">
            <v>0</v>
          </cell>
          <cell r="E4031">
            <v>0</v>
          </cell>
          <cell r="F4031">
            <v>1</v>
          </cell>
          <cell r="H4031">
            <v>1</v>
          </cell>
          <cell r="O4031">
            <v>234734</v>
          </cell>
          <cell r="P4031" t="str">
            <v>2019/168-0045-01</v>
          </cell>
          <cell r="Q4031" t="str">
            <v>EST CADEIRA ALE (LAM CARV PT) (REC MARROM) SOLETA MARROM</v>
          </cell>
          <cell r="R4031"/>
          <cell r="S4031"/>
          <cell r="T4031">
            <v>0.56000000000000005</v>
          </cell>
          <cell r="U4031">
            <v>0.55000000000000004</v>
          </cell>
          <cell r="V4031">
            <v>0.78</v>
          </cell>
          <cell r="W4031">
            <v>0</v>
          </cell>
          <cell r="X4031" t="str">
            <v>EST CADEIRA ALE (LAM CARV PT) (REC MARROM) SOLETA MARROM - 0,56x0,55x0,78H</v>
          </cell>
          <cell r="Y4031">
            <v>9327.9</v>
          </cell>
          <cell r="Z4031">
            <v>0.5</v>
          </cell>
          <cell r="AA4031">
            <v>4663.95</v>
          </cell>
          <cell r="AB4031"/>
        </row>
        <row r="4032">
          <cell r="C4032">
            <v>0</v>
          </cell>
          <cell r="D4032">
            <v>0</v>
          </cell>
          <cell r="E4032">
            <v>0</v>
          </cell>
          <cell r="F4032">
            <v>0</v>
          </cell>
          <cell r="H4032">
            <v>1</v>
          </cell>
          <cell r="O4032">
            <v>238325</v>
          </cell>
          <cell r="P4032" t="str">
            <v>2019/169-0128-01</v>
          </cell>
          <cell r="Q4032" t="str">
            <v>EST CADEIRA EVO (MADEIRA IMBUIA NEGRA)</v>
          </cell>
          <cell r="R4032"/>
          <cell r="S4032"/>
          <cell r="T4032">
            <v>0.49</v>
          </cell>
          <cell r="U4032">
            <v>0.47</v>
          </cell>
          <cell r="V4032">
            <v>0.82</v>
          </cell>
          <cell r="W4032">
            <v>0</v>
          </cell>
          <cell r="X4032" t="str">
            <v>EST CADEIRA EVO (MADEIRA IMBUIA NEGRA) - 0,49x0,47x0,82H</v>
          </cell>
          <cell r="Y4032">
            <v>5314.67</v>
          </cell>
          <cell r="Z4032">
            <v>0.5</v>
          </cell>
          <cell r="AA4032">
            <v>2657.335</v>
          </cell>
          <cell r="AB4032"/>
        </row>
        <row r="4033">
          <cell r="C4033">
            <v>0</v>
          </cell>
          <cell r="D4033">
            <v>0</v>
          </cell>
          <cell r="E4033">
            <v>0</v>
          </cell>
          <cell r="F4033">
            <v>0</v>
          </cell>
          <cell r="H4033">
            <v>1</v>
          </cell>
          <cell r="O4033">
            <v>250026</v>
          </cell>
          <cell r="P4033" t="str">
            <v>2019/224-0076-01</v>
          </cell>
          <cell r="Q4033" t="str">
            <v>EST BANQUETA BAR EVO (MADEIRA MEL)</v>
          </cell>
          <cell r="R4033"/>
          <cell r="S4033"/>
          <cell r="T4033">
            <v>0.43</v>
          </cell>
          <cell r="U4033">
            <v>0.42</v>
          </cell>
          <cell r="V4033">
            <v>1.03</v>
          </cell>
          <cell r="W4033">
            <v>0</v>
          </cell>
          <cell r="X4033" t="str">
            <v>EST BANQUETA BAR EVO (MADEIRA MEL) - 0,43x0,42x1,03H</v>
          </cell>
          <cell r="Y4033">
            <v>5392.44</v>
          </cell>
          <cell r="Z4033">
            <v>0.5</v>
          </cell>
          <cell r="AA4033">
            <v>2696.22</v>
          </cell>
          <cell r="AB4033"/>
        </row>
        <row r="4034">
          <cell r="C4034">
            <v>0</v>
          </cell>
          <cell r="D4034">
            <v>0</v>
          </cell>
          <cell r="E4034">
            <v>0</v>
          </cell>
          <cell r="F4034">
            <v>0</v>
          </cell>
          <cell r="H4034">
            <v>1</v>
          </cell>
          <cell r="O4034">
            <v>250027</v>
          </cell>
          <cell r="P4034" t="str">
            <v>2019/238-0057-01</v>
          </cell>
          <cell r="Q4034" t="str">
            <v>EST BANQUETA BAR EVO (MADEIRA EBANIZADA)</v>
          </cell>
          <cell r="R4034"/>
          <cell r="S4034"/>
          <cell r="T4034">
            <v>0.43</v>
          </cell>
          <cell r="U4034">
            <v>0.42</v>
          </cell>
          <cell r="V4034">
            <v>1.03</v>
          </cell>
          <cell r="W4034">
            <v>0</v>
          </cell>
          <cell r="X4034" t="str">
            <v>EST BANQUETA BAR EVO (MADEIRA EBANIZADA) - 0,43x0,42x1,03H</v>
          </cell>
          <cell r="Y4034">
            <v>5392.44</v>
          </cell>
          <cell r="Z4034">
            <v>0.5</v>
          </cell>
          <cell r="AA4034">
            <v>2696.22</v>
          </cell>
          <cell r="AB4034"/>
        </row>
        <row r="4035">
          <cell r="C4035">
            <v>0</v>
          </cell>
          <cell r="D4035">
            <v>0</v>
          </cell>
          <cell r="E4035">
            <v>0</v>
          </cell>
          <cell r="F4035">
            <v>0</v>
          </cell>
          <cell r="H4035">
            <v>1</v>
          </cell>
          <cell r="O4035">
            <v>250143</v>
          </cell>
          <cell r="P4035" t="str">
            <v>2019/252-0145-01</v>
          </cell>
          <cell r="Q4035" t="str">
            <v>EST PUFF MAFALDA TERRACOTA M2 AVESSA COD 4042</v>
          </cell>
          <cell r="R4035"/>
          <cell r="S4035"/>
          <cell r="T4035">
            <v>0.6</v>
          </cell>
          <cell r="U4035">
            <v>0</v>
          </cell>
          <cell r="V4035">
            <v>0.5</v>
          </cell>
          <cell r="W4035">
            <v>0.6</v>
          </cell>
          <cell r="X4035" t="str">
            <v>EST PUFF MAFALDA TERRACOTA M2 AVESSA COD 4042 - Ø0,6x0,5H</v>
          </cell>
          <cell r="Y4035">
            <v>3296.38</v>
          </cell>
          <cell r="Z4035">
            <v>0.5</v>
          </cell>
          <cell r="AA4035">
            <v>1648.19</v>
          </cell>
          <cell r="AB4035"/>
        </row>
        <row r="4036">
          <cell r="C4036">
            <v>0</v>
          </cell>
          <cell r="D4036">
            <v>0</v>
          </cell>
          <cell r="E4036">
            <v>0</v>
          </cell>
          <cell r="F4036">
            <v>0</v>
          </cell>
          <cell r="H4036">
            <v>2</v>
          </cell>
          <cell r="O4036">
            <v>250144</v>
          </cell>
          <cell r="P4036" t="str">
            <v>2019/252-0147-01</v>
          </cell>
          <cell r="Q4036" t="str">
            <v>EST PUFF MAFALDA NATURAL M3 TRANCA LARGA COD 4041</v>
          </cell>
          <cell r="R4036"/>
          <cell r="S4036"/>
          <cell r="T4036">
            <v>0.5</v>
          </cell>
          <cell r="U4036">
            <v>0</v>
          </cell>
          <cell r="V4036">
            <v>0.45</v>
          </cell>
          <cell r="W4036">
            <v>0.5</v>
          </cell>
          <cell r="X4036" t="str">
            <v>EST PUFF MAFALDA NATURAL M3 TRANCA LARGA COD 4041 - Ø0,5x0,45H</v>
          </cell>
          <cell r="Y4036">
            <v>2887.45</v>
          </cell>
          <cell r="Z4036">
            <v>0.5</v>
          </cell>
          <cell r="AA4036">
            <v>1443.7249999999999</v>
          </cell>
          <cell r="AB4036"/>
        </row>
        <row r="4037">
          <cell r="C4037">
            <v>0</v>
          </cell>
          <cell r="D4037">
            <v>0</v>
          </cell>
          <cell r="E4037">
            <v>0</v>
          </cell>
          <cell r="F4037">
            <v>0</v>
          </cell>
          <cell r="H4037">
            <v>2</v>
          </cell>
          <cell r="O4037">
            <v>250144</v>
          </cell>
          <cell r="P4037" t="str">
            <v>2019/252-0148-01</v>
          </cell>
          <cell r="Q4037" t="str">
            <v>EST PUFF MAFALDA NATURAL M3 TRANCA LARGA COD 4041</v>
          </cell>
          <cell r="R4037"/>
          <cell r="S4037"/>
          <cell r="T4037">
            <v>0.5</v>
          </cell>
          <cell r="U4037">
            <v>0</v>
          </cell>
          <cell r="V4037">
            <v>0.45</v>
          </cell>
          <cell r="W4037">
            <v>0.5</v>
          </cell>
          <cell r="X4037" t="str">
            <v>EST PUFF MAFALDA NATURAL M3 TRANCA LARGA COD 4041 - Ø0,5x0,45H</v>
          </cell>
          <cell r="Y4037">
            <v>2887.45</v>
          </cell>
          <cell r="Z4037">
            <v>0.5</v>
          </cell>
          <cell r="AA4037">
            <v>1443.7249999999999</v>
          </cell>
          <cell r="AB4037"/>
        </row>
        <row r="4038">
          <cell r="C4038">
            <v>0</v>
          </cell>
          <cell r="D4038">
            <v>0</v>
          </cell>
          <cell r="E4038">
            <v>0</v>
          </cell>
          <cell r="F4038">
            <v>0</v>
          </cell>
          <cell r="H4038">
            <v>3</v>
          </cell>
          <cell r="O4038">
            <v>250460</v>
          </cell>
          <cell r="P4038" t="str">
            <v>2019/260-0043-01</v>
          </cell>
          <cell r="Q4038" t="str">
            <v>EST BANQUETA KAZZ FX C4010/REC 2562/PINT PRETO</v>
          </cell>
          <cell r="R4038"/>
          <cell r="S4038"/>
          <cell r="T4038">
            <v>0.72</v>
          </cell>
          <cell r="U4038">
            <v>0.52</v>
          </cell>
          <cell r="V4038">
            <v>0.4</v>
          </cell>
          <cell r="W4038">
            <v>0</v>
          </cell>
          <cell r="X4038" t="str">
            <v>EST BANQUETA KAZZ FX C4010/REC 2562/PINT PRETO - 0,72x0,52x0,4H</v>
          </cell>
          <cell r="Y4038">
            <v>9267.8700000000008</v>
          </cell>
          <cell r="Z4038">
            <v>0.5</v>
          </cell>
          <cell r="AA4038">
            <v>4633.9350000000004</v>
          </cell>
          <cell r="AB4038"/>
        </row>
        <row r="4039">
          <cell r="C4039">
            <v>0</v>
          </cell>
          <cell r="D4039">
            <v>0</v>
          </cell>
          <cell r="E4039">
            <v>0</v>
          </cell>
          <cell r="F4039">
            <v>0</v>
          </cell>
          <cell r="H4039">
            <v>3</v>
          </cell>
          <cell r="O4039">
            <v>250460</v>
          </cell>
          <cell r="P4039" t="str">
            <v>2019/260-0045-01</v>
          </cell>
          <cell r="Q4039" t="str">
            <v>EST BANQUETA KAZZ FX C4010/REC 2562/PINT PRETO</v>
          </cell>
          <cell r="R4039"/>
          <cell r="S4039"/>
          <cell r="T4039">
            <v>0.72</v>
          </cell>
          <cell r="U4039">
            <v>0.52</v>
          </cell>
          <cell r="V4039">
            <v>0.4</v>
          </cell>
          <cell r="W4039">
            <v>0</v>
          </cell>
          <cell r="X4039" t="str">
            <v>EST BANQUETA KAZZ FX C4010/REC 2562/PINT PRETO - 0,72x0,52x0,4H</v>
          </cell>
          <cell r="Y4039">
            <v>9267.8700000000008</v>
          </cell>
          <cell r="Z4039">
            <v>0.5</v>
          </cell>
          <cell r="AA4039">
            <v>4633.9350000000004</v>
          </cell>
          <cell r="AB4039"/>
        </row>
        <row r="4040">
          <cell r="C4040">
            <v>0</v>
          </cell>
          <cell r="D4040">
            <v>0</v>
          </cell>
          <cell r="E4040">
            <v>0</v>
          </cell>
          <cell r="F4040">
            <v>0</v>
          </cell>
          <cell r="H4040">
            <v>3</v>
          </cell>
          <cell r="O4040">
            <v>250460</v>
          </cell>
          <cell r="P4040" t="str">
            <v>2019/260-0061-01</v>
          </cell>
          <cell r="Q4040" t="str">
            <v>EST BANQUETA KAZZ FX C4010/REC 2562/PINT PRETO</v>
          </cell>
          <cell r="R4040"/>
          <cell r="S4040"/>
          <cell r="T4040">
            <v>0.72</v>
          </cell>
          <cell r="U4040">
            <v>0.52</v>
          </cell>
          <cell r="V4040">
            <v>0.4</v>
          </cell>
          <cell r="W4040">
            <v>0</v>
          </cell>
          <cell r="X4040" t="str">
            <v>EST BANQUETA KAZZ FX C4010/REC 2562/PINT PRETO - 0,72x0,52x0,4H</v>
          </cell>
          <cell r="Y4040">
            <v>9267.8700000000008</v>
          </cell>
          <cell r="Z4040">
            <v>0.5</v>
          </cell>
          <cell r="AA4040">
            <v>4633.9350000000004</v>
          </cell>
          <cell r="AB4040"/>
        </row>
        <row r="4041">
          <cell r="C4041">
            <v>0</v>
          </cell>
          <cell r="D4041">
            <v>0</v>
          </cell>
          <cell r="E4041">
            <v>0</v>
          </cell>
          <cell r="F4041">
            <v>0</v>
          </cell>
          <cell r="H4041">
            <v>2</v>
          </cell>
          <cell r="O4041">
            <v>252100</v>
          </cell>
          <cell r="P4041" t="str">
            <v>2019/284-0001-01</v>
          </cell>
          <cell r="Q4041" t="str">
            <v>EST POLTRONA LUNA ESTOFADA TC1118 MTZ MARROM FOSCO</v>
          </cell>
          <cell r="R4041"/>
          <cell r="S4041"/>
          <cell r="T4041">
            <v>0.71</v>
          </cell>
          <cell r="U4041">
            <v>0.78</v>
          </cell>
          <cell r="V4041">
            <v>0.9</v>
          </cell>
          <cell r="W4041">
            <v>0</v>
          </cell>
          <cell r="X4041" t="str">
            <v>EST POLTRONA LUNA ESTOFADA TC1118 MTZ MARROM FOSCO - 0,71x0,78x0,9H</v>
          </cell>
          <cell r="Y4041">
            <v>13653.38</v>
          </cell>
          <cell r="Z4041">
            <v>0.5</v>
          </cell>
          <cell r="AA4041">
            <v>6826.69</v>
          </cell>
          <cell r="AB4041"/>
        </row>
        <row r="4042">
          <cell r="C4042">
            <v>0</v>
          </cell>
          <cell r="D4042">
            <v>0</v>
          </cell>
          <cell r="E4042">
            <v>0</v>
          </cell>
          <cell r="F4042">
            <v>0</v>
          </cell>
          <cell r="H4042">
            <v>2</v>
          </cell>
          <cell r="O4042">
            <v>252100</v>
          </cell>
          <cell r="P4042" t="str">
            <v>2019/284-0002-01</v>
          </cell>
          <cell r="Q4042" t="str">
            <v>EST POLTRONA LUNA ESTOFADA TC1118 MTZ MARROM FOSCO</v>
          </cell>
          <cell r="R4042"/>
          <cell r="S4042"/>
          <cell r="T4042">
            <v>0.71</v>
          </cell>
          <cell r="U4042">
            <v>0.78</v>
          </cell>
          <cell r="V4042">
            <v>0.9</v>
          </cell>
          <cell r="W4042">
            <v>0</v>
          </cell>
          <cell r="X4042" t="str">
            <v>EST POLTRONA LUNA ESTOFADA TC1118 MTZ MARROM FOSCO - 0,71x0,78x0,9H</v>
          </cell>
          <cell r="Y4042">
            <v>13653.38</v>
          </cell>
          <cell r="Z4042">
            <v>0.5</v>
          </cell>
          <cell r="AA4042">
            <v>6826.69</v>
          </cell>
          <cell r="AB4042"/>
        </row>
        <row r="4043">
          <cell r="C4043">
            <v>0</v>
          </cell>
          <cell r="D4043">
            <v>0</v>
          </cell>
          <cell r="E4043">
            <v>0</v>
          </cell>
          <cell r="F4043">
            <v>0</v>
          </cell>
          <cell r="H4043">
            <v>4</v>
          </cell>
          <cell r="O4043">
            <v>252101</v>
          </cell>
          <cell r="P4043" t="str">
            <v>2019/291-0026-01</v>
          </cell>
          <cell r="Q4043" t="str">
            <v>EST POLTRONA LUNA LAMINA 37 TC3305 MTZ MARROM FOSCO</v>
          </cell>
          <cell r="R4043"/>
          <cell r="S4043"/>
          <cell r="T4043">
            <v>0.71</v>
          </cell>
          <cell r="U4043">
            <v>0.78</v>
          </cell>
          <cell r="V4043">
            <v>0.9</v>
          </cell>
          <cell r="W4043">
            <v>0</v>
          </cell>
          <cell r="X4043" t="str">
            <v>EST POLTRONA LUNA LAMINA 37 TC3305 MTZ MARROM FOSCO - 0,71x0,78x0,9H</v>
          </cell>
          <cell r="Y4043">
            <v>13653.38</v>
          </cell>
          <cell r="Z4043">
            <v>0.5</v>
          </cell>
          <cell r="AA4043">
            <v>6826.69</v>
          </cell>
          <cell r="AB4043"/>
        </row>
        <row r="4044">
          <cell r="C4044">
            <v>0</v>
          </cell>
          <cell r="D4044">
            <v>0</v>
          </cell>
          <cell r="E4044">
            <v>0</v>
          </cell>
          <cell r="F4044">
            <v>0</v>
          </cell>
          <cell r="H4044">
            <v>4</v>
          </cell>
          <cell r="O4044">
            <v>252101</v>
          </cell>
          <cell r="P4044" t="str">
            <v>2019/291-0027-01</v>
          </cell>
          <cell r="Q4044" t="str">
            <v>EST POLTRONA LUNA LAMINA 37 TC3305 MTZ MARROM FOSCO</v>
          </cell>
          <cell r="R4044"/>
          <cell r="S4044"/>
          <cell r="T4044">
            <v>0.71</v>
          </cell>
          <cell r="U4044">
            <v>0.78</v>
          </cell>
          <cell r="V4044">
            <v>0.9</v>
          </cell>
          <cell r="W4044">
            <v>0</v>
          </cell>
          <cell r="X4044" t="str">
            <v>EST POLTRONA LUNA LAMINA 37 TC3305 MTZ MARROM FOSCO - 0,71x0,78x0,9H</v>
          </cell>
          <cell r="Y4044">
            <v>13653.38</v>
          </cell>
          <cell r="Z4044">
            <v>0.5</v>
          </cell>
          <cell r="AA4044">
            <v>6826.69</v>
          </cell>
          <cell r="AB4044"/>
        </row>
        <row r="4045">
          <cell r="C4045">
            <v>0</v>
          </cell>
          <cell r="D4045">
            <v>0</v>
          </cell>
          <cell r="E4045">
            <v>0</v>
          </cell>
          <cell r="F4045">
            <v>0</v>
          </cell>
          <cell r="H4045">
            <v>4</v>
          </cell>
          <cell r="O4045">
            <v>252101</v>
          </cell>
          <cell r="P4045" t="str">
            <v>2019/291-0028-01</v>
          </cell>
          <cell r="Q4045" t="str">
            <v>EST POLTRONA LUNA LAMINA 37 TC3305 MTZ MARROM FOSCO</v>
          </cell>
          <cell r="R4045"/>
          <cell r="S4045"/>
          <cell r="T4045">
            <v>0.71</v>
          </cell>
          <cell r="U4045">
            <v>0.78</v>
          </cell>
          <cell r="V4045">
            <v>0.9</v>
          </cell>
          <cell r="W4045">
            <v>0</v>
          </cell>
          <cell r="X4045" t="str">
            <v>EST POLTRONA LUNA LAMINA 37 TC3305 MTZ MARROM FOSCO - 0,71x0,78x0,9H</v>
          </cell>
          <cell r="Y4045">
            <v>13653.38</v>
          </cell>
          <cell r="Z4045">
            <v>0.5</v>
          </cell>
          <cell r="AA4045">
            <v>6826.69</v>
          </cell>
          <cell r="AB4045"/>
        </row>
        <row r="4046">
          <cell r="C4046">
            <v>0</v>
          </cell>
          <cell r="D4046">
            <v>0</v>
          </cell>
          <cell r="E4046">
            <v>0</v>
          </cell>
          <cell r="F4046">
            <v>0</v>
          </cell>
          <cell r="H4046">
            <v>4</v>
          </cell>
          <cell r="O4046">
            <v>252101</v>
          </cell>
          <cell r="P4046" t="str">
            <v>2019/291-0029-01</v>
          </cell>
          <cell r="Q4046" t="str">
            <v>EST POLTRONA LUNA LAMINA 37 TC3305 MTZ MARROM FOSCO</v>
          </cell>
          <cell r="R4046"/>
          <cell r="S4046"/>
          <cell r="T4046">
            <v>0.71</v>
          </cell>
          <cell r="U4046">
            <v>0.78</v>
          </cell>
          <cell r="V4046">
            <v>0.9</v>
          </cell>
          <cell r="W4046">
            <v>0</v>
          </cell>
          <cell r="X4046" t="str">
            <v>EST POLTRONA LUNA LAMINA 37 TC3305 MTZ MARROM FOSCO - 0,71x0,78x0,9H</v>
          </cell>
          <cell r="Y4046">
            <v>13653.38</v>
          </cell>
          <cell r="Z4046">
            <v>0.5</v>
          </cell>
          <cell r="AA4046">
            <v>6826.69</v>
          </cell>
          <cell r="AB4046"/>
        </row>
        <row r="4047">
          <cell r="C4047">
            <v>0</v>
          </cell>
          <cell r="D4047">
            <v>0</v>
          </cell>
          <cell r="E4047">
            <v>0</v>
          </cell>
          <cell r="F4047">
            <v>0</v>
          </cell>
          <cell r="H4047">
            <v>3</v>
          </cell>
          <cell r="O4047">
            <v>253216</v>
          </cell>
          <cell r="P4047" t="str">
            <v>2019/326-0115-01</v>
          </cell>
          <cell r="Q4047" t="str">
            <v>EST CADEIRA MADRE TC F21/EST NOGUEIRA</v>
          </cell>
          <cell r="R4047"/>
          <cell r="S4047"/>
          <cell r="T4047">
            <v>0.85</v>
          </cell>
          <cell r="U4047">
            <v>0.54</v>
          </cell>
          <cell r="V4047">
            <v>0.61</v>
          </cell>
          <cell r="W4047">
            <v>0</v>
          </cell>
          <cell r="X4047" t="str">
            <v>EST CADEIRA MADRE TC F21/EST NOGUEIRA - 0,85x0,54x0,61H</v>
          </cell>
          <cell r="Y4047">
            <v>4256</v>
          </cell>
          <cell r="Z4047">
            <v>0.5</v>
          </cell>
          <cell r="AA4047">
            <v>2128</v>
          </cell>
          <cell r="AB4047"/>
        </row>
        <row r="4048">
          <cell r="C4048">
            <v>0</v>
          </cell>
          <cell r="D4048">
            <v>0</v>
          </cell>
          <cell r="E4048">
            <v>0</v>
          </cell>
          <cell r="F4048">
            <v>0</v>
          </cell>
          <cell r="H4048">
            <v>3</v>
          </cell>
          <cell r="O4048">
            <v>253216</v>
          </cell>
          <cell r="P4048" t="str">
            <v>2019/326-0116-01</v>
          </cell>
          <cell r="Q4048" t="str">
            <v>EST CADEIRA MADRE TC F21/EST NOGUEIRA</v>
          </cell>
          <cell r="R4048"/>
          <cell r="S4048"/>
          <cell r="T4048">
            <v>0.85</v>
          </cell>
          <cell r="U4048">
            <v>0.54</v>
          </cell>
          <cell r="V4048">
            <v>0.61</v>
          </cell>
          <cell r="W4048">
            <v>0</v>
          </cell>
          <cell r="X4048" t="str">
            <v>EST CADEIRA MADRE TC F21/EST NOGUEIRA - 0,85x0,54x0,61H</v>
          </cell>
          <cell r="Y4048">
            <v>4256</v>
          </cell>
          <cell r="Z4048">
            <v>0.5</v>
          </cell>
          <cell r="AA4048">
            <v>2128</v>
          </cell>
          <cell r="AB4048"/>
        </row>
        <row r="4049">
          <cell r="C4049">
            <v>0</v>
          </cell>
          <cell r="D4049">
            <v>0</v>
          </cell>
          <cell r="E4049">
            <v>0</v>
          </cell>
          <cell r="F4049">
            <v>0</v>
          </cell>
          <cell r="H4049">
            <v>3</v>
          </cell>
          <cell r="O4049">
            <v>253216</v>
          </cell>
          <cell r="P4049" t="str">
            <v>2019/326-0117-01</v>
          </cell>
          <cell r="Q4049" t="str">
            <v>EST CADEIRA MADRE TC F21/EST NOGUEIRA</v>
          </cell>
          <cell r="R4049"/>
          <cell r="S4049"/>
          <cell r="T4049">
            <v>0.85</v>
          </cell>
          <cell r="U4049">
            <v>0.54</v>
          </cell>
          <cell r="V4049">
            <v>0.61</v>
          </cell>
          <cell r="W4049">
            <v>0</v>
          </cell>
          <cell r="X4049" t="str">
            <v>EST CADEIRA MADRE TC F21/EST NOGUEIRA - 0,85x0,54x0,61H</v>
          </cell>
          <cell r="Y4049">
            <v>4256</v>
          </cell>
          <cell r="Z4049">
            <v>0.5</v>
          </cell>
          <cell r="AA4049">
            <v>2128</v>
          </cell>
          <cell r="AB4049"/>
        </row>
        <row r="4050">
          <cell r="C4050">
            <v>0</v>
          </cell>
          <cell r="D4050">
            <v>0</v>
          </cell>
          <cell r="E4050">
            <v>0</v>
          </cell>
          <cell r="F4050">
            <v>0</v>
          </cell>
          <cell r="H4050">
            <v>2</v>
          </cell>
          <cell r="O4050">
            <v>253546</v>
          </cell>
          <cell r="P4050" t="str">
            <v>2019/323-0137-01</v>
          </cell>
          <cell r="Q4050" t="str">
            <v>EST POLTRONA EOS TC673 VERDE/PRETO</v>
          </cell>
          <cell r="R4050"/>
          <cell r="S4050"/>
          <cell r="T4050">
            <v>0.84</v>
          </cell>
          <cell r="U4050">
            <v>0.74</v>
          </cell>
          <cell r="V4050">
            <v>0.68</v>
          </cell>
          <cell r="W4050">
            <v>0</v>
          </cell>
          <cell r="X4050" t="str">
            <v>EST POLTRONA EOS TC673 VERDE/PRETO - 0,84x0,74x0,68H</v>
          </cell>
          <cell r="Y4050">
            <v>9856</v>
          </cell>
          <cell r="Z4050">
            <v>0.5</v>
          </cell>
          <cell r="AA4050">
            <v>4928</v>
          </cell>
          <cell r="AB4050"/>
        </row>
        <row r="4051">
          <cell r="C4051">
            <v>0</v>
          </cell>
          <cell r="D4051">
            <v>0</v>
          </cell>
          <cell r="E4051">
            <v>0</v>
          </cell>
          <cell r="F4051">
            <v>0</v>
          </cell>
          <cell r="H4051">
            <v>2</v>
          </cell>
          <cell r="O4051">
            <v>253546</v>
          </cell>
          <cell r="P4051" t="str">
            <v>2019/323-0138-01</v>
          </cell>
          <cell r="Q4051" t="str">
            <v>EST POLTRONA EOS TC673 VERDE/PRETO</v>
          </cell>
          <cell r="R4051"/>
          <cell r="S4051"/>
          <cell r="T4051">
            <v>0.84</v>
          </cell>
          <cell r="U4051">
            <v>0.74</v>
          </cell>
          <cell r="V4051">
            <v>0.68</v>
          </cell>
          <cell r="W4051">
            <v>0</v>
          </cell>
          <cell r="X4051" t="str">
            <v>EST POLTRONA EOS TC673 VERDE/PRETO - 0,84x0,74x0,68H</v>
          </cell>
          <cell r="Y4051">
            <v>9856</v>
          </cell>
          <cell r="Z4051">
            <v>0.5</v>
          </cell>
          <cell r="AA4051">
            <v>4928</v>
          </cell>
          <cell r="AB4051"/>
        </row>
        <row r="4052">
          <cell r="C4052">
            <v>0</v>
          </cell>
          <cell r="D4052">
            <v>0</v>
          </cell>
          <cell r="E4052">
            <v>0</v>
          </cell>
          <cell r="F4052">
            <v>0</v>
          </cell>
          <cell r="H4052">
            <v>1</v>
          </cell>
          <cell r="O4052">
            <v>253732</v>
          </cell>
          <cell r="P4052" t="str">
            <v>2019/301-0095-01</v>
          </cell>
          <cell r="Q4052" t="str">
            <v>EST TAMPO CRISTAL BISOTADO (15MM) INCOLOR CANTO TICK</v>
          </cell>
          <cell r="R4052"/>
          <cell r="S4052"/>
          <cell r="T4052">
            <v>2.8</v>
          </cell>
          <cell r="U4052">
            <v>1.2</v>
          </cell>
          <cell r="V4052">
            <v>0.01</v>
          </cell>
          <cell r="W4052">
            <v>0</v>
          </cell>
          <cell r="X4052" t="str">
            <v>EST TAMPO CRISTAL BISOTADO (15MM) INCOLOR CANTO TICK - 2,8x1,2x0,01H</v>
          </cell>
          <cell r="Y4052">
            <v>19375.809599999997</v>
          </cell>
          <cell r="Z4052">
            <v>0.5</v>
          </cell>
          <cell r="AA4052">
            <v>9687.9047999999984</v>
          </cell>
          <cell r="AB4052"/>
        </row>
        <row r="4053">
          <cell r="C4053">
            <v>0</v>
          </cell>
          <cell r="D4053">
            <v>0</v>
          </cell>
          <cell r="E4053">
            <v>0</v>
          </cell>
          <cell r="F4053">
            <v>0</v>
          </cell>
          <cell r="H4053">
            <v>1</v>
          </cell>
          <cell r="O4053">
            <v>253860</v>
          </cell>
          <cell r="P4053" t="str">
            <v>2019/330-0018-01</v>
          </cell>
          <cell r="Q4053" t="str">
            <v>EST APARADOR UNI (LAMINA 1 SUCUPIRA PAG) BASE PRETA FOSCA</v>
          </cell>
          <cell r="R4053"/>
          <cell r="S4053"/>
          <cell r="T4053">
            <v>1.83</v>
          </cell>
          <cell r="U4053">
            <v>0.5</v>
          </cell>
          <cell r="V4053">
            <v>0.82</v>
          </cell>
          <cell r="W4053">
            <v>0</v>
          </cell>
          <cell r="X4053" t="str">
            <v>EST APARADOR UNI (LAMINA 1 SUCUPIRA PAG) BASE PRETA FOSCA - 1,83x0,5x0,82H</v>
          </cell>
          <cell r="Y4053">
            <v>54996.57</v>
          </cell>
          <cell r="Z4053">
            <v>0.5</v>
          </cell>
          <cell r="AA4053">
            <v>27498.285</v>
          </cell>
          <cell r="AB4053"/>
        </row>
        <row r="4054">
          <cell r="C4054">
            <v>0</v>
          </cell>
          <cell r="D4054">
            <v>1</v>
          </cell>
          <cell r="E4054">
            <v>0</v>
          </cell>
          <cell r="F4054">
            <v>0</v>
          </cell>
          <cell r="H4054">
            <v>1</v>
          </cell>
          <cell r="O4054">
            <v>255059</v>
          </cell>
          <cell r="P4054" t="str">
            <v>2020/066-0043-01</v>
          </cell>
          <cell r="Q4054" t="str">
            <v>EST MESA CENTRO NOMAN (TP LAM FAJO) (AUT FRAPE)</v>
          </cell>
          <cell r="R4054"/>
          <cell r="S4054"/>
          <cell r="T4054">
            <v>0.91</v>
          </cell>
          <cell r="U4054">
            <v>0.91</v>
          </cell>
          <cell r="V4054">
            <v>0.24</v>
          </cell>
          <cell r="W4054">
            <v>0</v>
          </cell>
          <cell r="X4054" t="str">
            <v>EST MESA CENTRO NOMAN (TP LAM FAJO) (AUT FRAPE) - 0,91x0,91x0,24H</v>
          </cell>
          <cell r="Y4054">
            <v>12763.52</v>
          </cell>
          <cell r="Z4054">
            <v>0.5</v>
          </cell>
          <cell r="AA4054">
            <v>6381.76</v>
          </cell>
          <cell r="AB4054"/>
        </row>
        <row r="4055">
          <cell r="C4055">
            <v>0</v>
          </cell>
          <cell r="D4055">
            <v>0</v>
          </cell>
          <cell r="E4055">
            <v>0</v>
          </cell>
          <cell r="F4055">
            <v>0</v>
          </cell>
          <cell r="H4055">
            <v>2</v>
          </cell>
          <cell r="O4055">
            <v>255073</v>
          </cell>
          <cell r="P4055" t="str">
            <v>2020/051-0052-01</v>
          </cell>
          <cell r="Q4055" t="str">
            <v>EST CARRINHO BAR MIMO FREIJO NAT/PT GAV LACA FENDI</v>
          </cell>
          <cell r="R4055"/>
          <cell r="S4055"/>
          <cell r="T4055">
            <v>0.51</v>
          </cell>
          <cell r="U4055">
            <v>0.4</v>
          </cell>
          <cell r="V4055">
            <v>1.5</v>
          </cell>
          <cell r="W4055">
            <v>0</v>
          </cell>
          <cell r="X4055" t="str">
            <v>EST CARRINHO BAR MIMO FREIJO NAT/PT GAV LACA FENDI - 0,51x0,4x1,5H</v>
          </cell>
          <cell r="Y4055">
            <v>23208.68</v>
          </cell>
          <cell r="Z4055">
            <v>0.5</v>
          </cell>
          <cell r="AA4055">
            <v>11604.34</v>
          </cell>
          <cell r="AB4055"/>
        </row>
        <row r="4056">
          <cell r="C4056">
            <v>0</v>
          </cell>
          <cell r="D4056">
            <v>0</v>
          </cell>
          <cell r="E4056">
            <v>0</v>
          </cell>
          <cell r="F4056">
            <v>0</v>
          </cell>
          <cell r="H4056">
            <v>2</v>
          </cell>
          <cell r="O4056">
            <v>255776</v>
          </cell>
          <cell r="P4056" t="str">
            <v>2020/017-0004-01</v>
          </cell>
          <cell r="Q4056" t="str">
            <v>EST PUFF DIXON (FX E6235) (PES PRETOS FOSCOS)</v>
          </cell>
          <cell r="R4056"/>
          <cell r="S4056"/>
          <cell r="T4056">
            <v>1</v>
          </cell>
          <cell r="U4056">
            <v>1</v>
          </cell>
          <cell r="V4056">
            <v>0.44</v>
          </cell>
          <cell r="W4056">
            <v>0</v>
          </cell>
          <cell r="X4056" t="str">
            <v>EST PUFF DIXON (FX E6235) (PES PRETOS FOSCOS) - 1x1x0,44H</v>
          </cell>
          <cell r="Y4056">
            <v>8976.93</v>
          </cell>
          <cell r="Z4056">
            <v>0.5</v>
          </cell>
          <cell r="AA4056">
            <v>4488.4650000000001</v>
          </cell>
          <cell r="AB4056"/>
        </row>
        <row r="4057">
          <cell r="C4057">
            <v>0</v>
          </cell>
          <cell r="D4057">
            <v>0</v>
          </cell>
          <cell r="E4057">
            <v>0</v>
          </cell>
          <cell r="F4057">
            <v>0</v>
          </cell>
          <cell r="H4057">
            <v>2</v>
          </cell>
          <cell r="O4057">
            <v>255776</v>
          </cell>
          <cell r="P4057" t="str">
            <v>2020/017-0005-01</v>
          </cell>
          <cell r="Q4057" t="str">
            <v>EST PUFF DIXON (FX E6235) (PES PRETOS FOSCOS)</v>
          </cell>
          <cell r="R4057"/>
          <cell r="S4057"/>
          <cell r="T4057">
            <v>1</v>
          </cell>
          <cell r="U4057">
            <v>1</v>
          </cell>
          <cell r="V4057">
            <v>0.44</v>
          </cell>
          <cell r="W4057">
            <v>0</v>
          </cell>
          <cell r="X4057" t="str">
            <v>EST PUFF DIXON (FX E6235) (PES PRETOS FOSCOS) - 1x1x0,44H</v>
          </cell>
          <cell r="Y4057">
            <v>8976.93</v>
          </cell>
          <cell r="Z4057">
            <v>0.5</v>
          </cell>
          <cell r="AA4057">
            <v>4488.4650000000001</v>
          </cell>
          <cell r="AB4057"/>
        </row>
        <row r="4058">
          <cell r="C4058">
            <v>0</v>
          </cell>
          <cell r="D4058">
            <v>0</v>
          </cell>
          <cell r="E4058">
            <v>0</v>
          </cell>
          <cell r="F4058">
            <v>0</v>
          </cell>
          <cell r="H4058">
            <v>1</v>
          </cell>
          <cell r="O4058">
            <v>255780</v>
          </cell>
          <cell r="P4058" t="str">
            <v>2020/016-0026-01</v>
          </cell>
          <cell r="Q4058" t="str">
            <v>EST APARADOR COOLER (TP LAM MATT BLACK) (PRETO FSC)</v>
          </cell>
          <cell r="R4058"/>
          <cell r="S4058"/>
          <cell r="T4058">
            <v>2.2000000000000002</v>
          </cell>
          <cell r="U4058">
            <v>0.45</v>
          </cell>
          <cell r="V4058">
            <v>0.75</v>
          </cell>
          <cell r="W4058">
            <v>0</v>
          </cell>
          <cell r="X4058" t="str">
            <v>EST APARADOR COOLER (TP LAM MATT BLACK) (PRETO FSC) - 2,2x0,45x0,75H</v>
          </cell>
          <cell r="Y4058">
            <v>16329.51</v>
          </cell>
          <cell r="Z4058">
            <v>0.5</v>
          </cell>
          <cell r="AA4058">
            <v>8164.7550000000001</v>
          </cell>
          <cell r="AB4058"/>
        </row>
        <row r="4059">
          <cell r="C4059">
            <v>0</v>
          </cell>
          <cell r="D4059">
            <v>0</v>
          </cell>
          <cell r="E4059">
            <v>0</v>
          </cell>
          <cell r="F4059">
            <v>0</v>
          </cell>
          <cell r="H4059">
            <v>1</v>
          </cell>
          <cell r="O4059">
            <v>256184</v>
          </cell>
          <cell r="P4059" t="str">
            <v>2021/183-0057-01</v>
          </cell>
          <cell r="Q4059" t="str">
            <v>EST MESA CENTRO POSH BD MROM MSC/CARV PALH/C CAMEL</v>
          </cell>
          <cell r="R4059"/>
          <cell r="S4059"/>
          <cell r="T4059">
            <v>2</v>
          </cell>
          <cell r="U4059">
            <v>0.45</v>
          </cell>
          <cell r="V4059">
            <v>0.49</v>
          </cell>
          <cell r="W4059">
            <v>0</v>
          </cell>
          <cell r="X4059" t="str">
            <v>EST MESA CENTRO POSH BD MROM MSC/CARV PALH/C CAMEL - 2x0,45x0,49H</v>
          </cell>
          <cell r="Y4059">
            <v>13180.16</v>
          </cell>
          <cell r="Z4059">
            <v>0.5</v>
          </cell>
          <cell r="AA4059">
            <v>6590.08</v>
          </cell>
          <cell r="AB4059"/>
        </row>
        <row r="4060">
          <cell r="C4060">
            <v>0</v>
          </cell>
          <cell r="D4060">
            <v>0</v>
          </cell>
          <cell r="E4060">
            <v>0</v>
          </cell>
          <cell r="F4060">
            <v>0</v>
          </cell>
          <cell r="H4060">
            <v>0</v>
          </cell>
          <cell r="O4060">
            <v>257375</v>
          </cell>
          <cell r="P4060" t="str">
            <v>2020/105-0017-01</v>
          </cell>
          <cell r="Q4060" t="str">
            <v>EST BUFFET MUMBAI (PES CHAMP) NOGUEIRA/TP CRISTAL CHAMP</v>
          </cell>
          <cell r="R4060"/>
          <cell r="S4060"/>
          <cell r="T4060">
            <v>2.4</v>
          </cell>
          <cell r="U4060">
            <v>0.5</v>
          </cell>
          <cell r="V4060">
            <v>0.8</v>
          </cell>
          <cell r="W4060">
            <v>0</v>
          </cell>
          <cell r="X4060" t="str">
            <v>EST BUFFET MUMBAI (PES CHAMP) NOGUEIRA/TP CRISTAL CHAMP - 2,4x0,5x0,8H</v>
          </cell>
          <cell r="Y4060">
            <v>31190.07</v>
          </cell>
          <cell r="Z4060">
            <v>0.5</v>
          </cell>
          <cell r="AA4060">
            <v>15595.035</v>
          </cell>
          <cell r="AB4060"/>
        </row>
        <row r="4061">
          <cell r="C4061">
            <v>0</v>
          </cell>
          <cell r="D4061">
            <v>0</v>
          </cell>
          <cell r="E4061">
            <v>0</v>
          </cell>
          <cell r="F4061">
            <v>0</v>
          </cell>
          <cell r="H4061">
            <v>1</v>
          </cell>
          <cell r="O4061">
            <v>258015</v>
          </cell>
          <cell r="P4061" t="str">
            <v>2020/126-0079-01</v>
          </cell>
          <cell r="Q4061" t="str">
            <v>EST BUFFET CHAN C/PTAS CARV TING IMBUIA MEL CLARO</v>
          </cell>
          <cell r="R4061"/>
          <cell r="S4061"/>
          <cell r="T4061">
            <v>1.8</v>
          </cell>
          <cell r="U4061">
            <v>0.5</v>
          </cell>
          <cell r="V4061">
            <v>0.75</v>
          </cell>
          <cell r="W4061">
            <v>0</v>
          </cell>
          <cell r="X4061" t="str">
            <v>EST BUFFET CHAN C/PTAS CARV TING IMBUIA MEL CLARO - 1,8x0,5x0,75H</v>
          </cell>
          <cell r="Y4061">
            <v>29489.15</v>
          </cell>
          <cell r="Z4061">
            <v>0.5</v>
          </cell>
          <cell r="AA4061">
            <v>14744.575000000001</v>
          </cell>
          <cell r="AB4061"/>
        </row>
        <row r="4062">
          <cell r="C4062">
            <v>0</v>
          </cell>
          <cell r="D4062">
            <v>0</v>
          </cell>
          <cell r="E4062">
            <v>0</v>
          </cell>
          <cell r="F4062">
            <v>0</v>
          </cell>
          <cell r="H4062">
            <v>1</v>
          </cell>
          <cell r="O4062">
            <v>260823</v>
          </cell>
          <cell r="P4062" t="str">
            <v>2020/177-0019-01</v>
          </cell>
          <cell r="Q4062" t="str">
            <v>EST MESA JANTAR MANZANA LIGHT (VD COMUM OXI/BS NOG/MTZ OXI)</v>
          </cell>
          <cell r="R4062"/>
          <cell r="S4062"/>
          <cell r="T4062">
            <v>2.69</v>
          </cell>
          <cell r="U4062">
            <v>1.18</v>
          </cell>
          <cell r="V4062">
            <v>0.75</v>
          </cell>
          <cell r="W4062">
            <v>0</v>
          </cell>
          <cell r="X4062" t="str">
            <v>EST MESA JANTAR MANZANA LIGHT (VD COMUM OXI/BS NOG/MTZ OXI) - 2,69x1,18x0,75H</v>
          </cell>
          <cell r="Y4062">
            <v>51913.66</v>
          </cell>
          <cell r="Z4062">
            <v>0.5</v>
          </cell>
          <cell r="AA4062">
            <v>25956.83</v>
          </cell>
          <cell r="AB4062"/>
        </row>
        <row r="4063">
          <cell r="C4063">
            <v>0</v>
          </cell>
          <cell r="D4063">
            <v>1</v>
          </cell>
          <cell r="E4063">
            <v>0</v>
          </cell>
          <cell r="F4063">
            <v>0</v>
          </cell>
          <cell r="H4063">
            <v>1</v>
          </cell>
          <cell r="O4063">
            <v>260959</v>
          </cell>
          <cell r="P4063" t="str">
            <v>2020/192-0031-01</v>
          </cell>
          <cell r="Q4063" t="str">
            <v>EST MESA LATERAL MARINA (IMBUIA) CAMURCA AVELA 25/LT ENV</v>
          </cell>
          <cell r="R4063"/>
          <cell r="S4063"/>
          <cell r="T4063">
            <v>0.85</v>
          </cell>
          <cell r="U4063">
            <v>0.5</v>
          </cell>
          <cell r="V4063">
            <v>0.45</v>
          </cell>
          <cell r="W4063">
            <v>0</v>
          </cell>
          <cell r="X4063" t="str">
            <v>EST MESA LATERAL MARINA (IMBUIA) CAMURCA AVELA 25/LT ENV - 0,85x0,5x0,45H</v>
          </cell>
          <cell r="Y4063">
            <v>15154.94</v>
          </cell>
          <cell r="Z4063">
            <v>0.5</v>
          </cell>
          <cell r="AA4063">
            <v>7577.47</v>
          </cell>
          <cell r="AB4063"/>
        </row>
        <row r="4064">
          <cell r="C4064">
            <v>0</v>
          </cell>
          <cell r="D4064">
            <v>0</v>
          </cell>
          <cell r="E4064">
            <v>0</v>
          </cell>
          <cell r="F4064">
            <v>0</v>
          </cell>
          <cell r="H4064">
            <v>1</v>
          </cell>
          <cell r="O4064">
            <v>261383</v>
          </cell>
          <cell r="P4064" t="str">
            <v>2020/184-0007-01</v>
          </cell>
          <cell r="Q4064" t="str">
            <v>EST MESA JANTAR PREMIUM (LAMINA A3 P FERRO COMP) BS PRET FSC</v>
          </cell>
          <cell r="R4064"/>
          <cell r="S4064"/>
          <cell r="T4064">
            <v>3</v>
          </cell>
          <cell r="U4064">
            <v>1.2</v>
          </cell>
          <cell r="V4064">
            <v>0.76</v>
          </cell>
          <cell r="W4064">
            <v>0</v>
          </cell>
          <cell r="X4064" t="str">
            <v>EST MESA JANTAR PREMIUM (LAMINA A3 P FERRO COMP) BS PRET FSC - 3x1,2x0,76H</v>
          </cell>
          <cell r="Y4064">
            <v>59702.18</v>
          </cell>
          <cell r="Z4064">
            <v>0.5</v>
          </cell>
          <cell r="AA4064">
            <v>29851.09</v>
          </cell>
          <cell r="AB4064"/>
        </row>
        <row r="4065">
          <cell r="C4065">
            <v>0</v>
          </cell>
          <cell r="D4065">
            <v>0</v>
          </cell>
          <cell r="E4065">
            <v>0</v>
          </cell>
          <cell r="F4065">
            <v>0</v>
          </cell>
          <cell r="H4065">
            <v>3</v>
          </cell>
          <cell r="O4065">
            <v>266776</v>
          </cell>
          <cell r="P4065" t="str">
            <v>2020/302-0132-01</v>
          </cell>
          <cell r="Q4065" t="str">
            <v>EST CADEIRA MUNICK (TAUARI TING IMBUIA MEL 3) ( TC#8 SANDED)</v>
          </cell>
          <cell r="R4065"/>
          <cell r="S4065"/>
          <cell r="T4065">
            <v>0.63</v>
          </cell>
          <cell r="U4065">
            <v>0.65</v>
          </cell>
          <cell r="V4065">
            <v>0.81</v>
          </cell>
          <cell r="W4065">
            <v>0</v>
          </cell>
          <cell r="X4065" t="str">
            <v>EST CADEIRA MUNICK (TAUARI TING IMBUIA MEL 3) ( TC#8 SANDED) - 0,63x0,65x0,81H</v>
          </cell>
          <cell r="Y4065">
            <v>20361.599999999999</v>
          </cell>
          <cell r="Z4065">
            <v>0.5</v>
          </cell>
          <cell r="AA4065">
            <v>10180.799999999999</v>
          </cell>
          <cell r="AB4065"/>
        </row>
        <row r="4066">
          <cell r="C4066">
            <v>0</v>
          </cell>
          <cell r="D4066">
            <v>0</v>
          </cell>
          <cell r="E4066">
            <v>0</v>
          </cell>
          <cell r="F4066">
            <v>0</v>
          </cell>
          <cell r="H4066">
            <v>3</v>
          </cell>
          <cell r="O4066">
            <v>266776</v>
          </cell>
          <cell r="P4066" t="str">
            <v>2020/302-0135-01</v>
          </cell>
          <cell r="Q4066" t="str">
            <v>EST CADEIRA MUNICK (TAUARI TING IMBUIA MEL 3) ( TC#8 SANDED)</v>
          </cell>
          <cell r="R4066"/>
          <cell r="S4066"/>
          <cell r="T4066">
            <v>0.63</v>
          </cell>
          <cell r="U4066">
            <v>0.65</v>
          </cell>
          <cell r="V4066">
            <v>0.81</v>
          </cell>
          <cell r="W4066">
            <v>0</v>
          </cell>
          <cell r="X4066" t="str">
            <v>EST CADEIRA MUNICK (TAUARI TING IMBUIA MEL 3) ( TC#8 SANDED) - 0,63x0,65x0,81H</v>
          </cell>
          <cell r="Y4066">
            <v>20361.599999999999</v>
          </cell>
          <cell r="Z4066">
            <v>0.5</v>
          </cell>
          <cell r="AA4066">
            <v>10180.799999999999</v>
          </cell>
          <cell r="AB4066"/>
        </row>
        <row r="4067">
          <cell r="C4067">
            <v>0</v>
          </cell>
          <cell r="D4067">
            <v>0</v>
          </cell>
          <cell r="E4067">
            <v>0</v>
          </cell>
          <cell r="F4067">
            <v>0</v>
          </cell>
          <cell r="H4067">
            <v>3</v>
          </cell>
          <cell r="O4067">
            <v>266776</v>
          </cell>
          <cell r="P4067" t="str">
            <v>2020/302-0134-01</v>
          </cell>
          <cell r="Q4067" t="str">
            <v>EST CADEIRA MUNICK (TAUARI TING IMBUIA MEL 3) ( TC#8 SANDED)</v>
          </cell>
          <cell r="R4067"/>
          <cell r="S4067"/>
          <cell r="T4067">
            <v>0.63</v>
          </cell>
          <cell r="U4067">
            <v>0.65</v>
          </cell>
          <cell r="V4067">
            <v>0.81</v>
          </cell>
          <cell r="W4067">
            <v>0</v>
          </cell>
          <cell r="X4067" t="str">
            <v>EST CADEIRA MUNICK (TAUARI TING IMBUIA MEL 3) ( TC#8 SANDED) - 0,63x0,65x0,81H</v>
          </cell>
          <cell r="Y4067">
            <v>20361.599999999999</v>
          </cell>
          <cell r="Z4067">
            <v>0.5</v>
          </cell>
          <cell r="AA4067">
            <v>10180.799999999999</v>
          </cell>
          <cell r="AB4067"/>
        </row>
        <row r="4068">
          <cell r="C4068">
            <v>0</v>
          </cell>
          <cell r="D4068">
            <v>0</v>
          </cell>
          <cell r="E4068">
            <v>0</v>
          </cell>
          <cell r="F4068">
            <v>0</v>
          </cell>
          <cell r="H4068">
            <v>1</v>
          </cell>
          <cell r="O4068">
            <v>269183</v>
          </cell>
          <cell r="P4068" t="str">
            <v>2020/303-0249-01</v>
          </cell>
          <cell r="Q4068" t="str">
            <v>EST APARADOR RENE (TP G2 FREIJO BRANCO/EST PINT MARROM 235)</v>
          </cell>
          <cell r="R4068"/>
          <cell r="S4068"/>
          <cell r="T4068">
            <v>2.2000000000000002</v>
          </cell>
          <cell r="U4068">
            <v>0.4</v>
          </cell>
          <cell r="V4068">
            <v>0.75</v>
          </cell>
          <cell r="W4068">
            <v>0</v>
          </cell>
          <cell r="X4068" t="str">
            <v>EST APARADOR RENE (TP G2 FREIJO BRANCO/EST PINT MARROM 235) - 2,2x0,4x0,75H</v>
          </cell>
          <cell r="Y4068">
            <v>15464.74</v>
          </cell>
          <cell r="Z4068">
            <v>0.5</v>
          </cell>
          <cell r="AA4068">
            <v>7732.37</v>
          </cell>
          <cell r="AB4068"/>
        </row>
        <row r="4069">
          <cell r="C4069">
            <v>0</v>
          </cell>
          <cell r="D4069">
            <v>0</v>
          </cell>
          <cell r="E4069">
            <v>1</v>
          </cell>
          <cell r="F4069">
            <v>0</v>
          </cell>
          <cell r="H4069">
            <v>1</v>
          </cell>
          <cell r="O4069">
            <v>270428</v>
          </cell>
          <cell r="P4069" t="str">
            <v>2021/053-0011401</v>
          </cell>
          <cell r="Q4069" t="str">
            <v>EST CADEIRA FINA C/B (FREIJO) (TELA RATTAN AB NT)</v>
          </cell>
          <cell r="R4069"/>
          <cell r="S4069"/>
          <cell r="T4069">
            <v>0.55000000000000004</v>
          </cell>
          <cell r="U4069">
            <v>0.57999999999999996</v>
          </cell>
          <cell r="V4069">
            <v>0.85</v>
          </cell>
          <cell r="W4069">
            <v>0</v>
          </cell>
          <cell r="X4069" t="str">
            <v>EST CADEIRA FINA C/B (FREIJO) (TELA RATTAN AB NT) - 0,55x0,58x0,85H</v>
          </cell>
          <cell r="Y4069">
            <v>9924.99</v>
          </cell>
          <cell r="Z4069">
            <v>0.5</v>
          </cell>
          <cell r="AA4069">
            <v>4962.4949999999999</v>
          </cell>
          <cell r="AB4069"/>
        </row>
        <row r="4070">
          <cell r="C4070">
            <v>0</v>
          </cell>
          <cell r="D4070">
            <v>0</v>
          </cell>
          <cell r="E4070">
            <v>0</v>
          </cell>
          <cell r="F4070">
            <v>0</v>
          </cell>
          <cell r="H4070">
            <v>1</v>
          </cell>
          <cell r="O4070">
            <v>270463</v>
          </cell>
          <cell r="P4070"/>
          <cell r="Q4070" t="str">
            <v>EST CADEIRA TWIN (GIR) (EBANIZADO) TC 4019</v>
          </cell>
          <cell r="R4070"/>
          <cell r="S4070"/>
          <cell r="T4070">
            <v>0.51</v>
          </cell>
          <cell r="U4070">
            <v>0.6</v>
          </cell>
          <cell r="V4070">
            <v>0.83</v>
          </cell>
          <cell r="W4070">
            <v>0</v>
          </cell>
          <cell r="X4070" t="str">
            <v>EST CADEIRA TWIN (GIR) (EBANIZADO) TC 4019 - 0,51x0,6x0,83H</v>
          </cell>
          <cell r="Y4070">
            <v>4002.66</v>
          </cell>
          <cell r="Z4070">
            <v>0.5</v>
          </cell>
          <cell r="AA4070">
            <v>2001.33</v>
          </cell>
          <cell r="AB4070"/>
        </row>
        <row r="4071">
          <cell r="C4071">
            <v>0</v>
          </cell>
          <cell r="D4071">
            <v>0</v>
          </cell>
          <cell r="E4071">
            <v>0</v>
          </cell>
          <cell r="F4071">
            <v>0</v>
          </cell>
          <cell r="H4071">
            <v>0</v>
          </cell>
          <cell r="O4071">
            <v>270467</v>
          </cell>
          <cell r="P4071" t="str">
            <v>2020/290-0004-01</v>
          </cell>
          <cell r="Q4071" t="str">
            <v>EST MESA CENTRO OFFSET TP CRIST BRONZE/ESP BRONZE ACID/PINT</v>
          </cell>
          <cell r="R4071"/>
          <cell r="S4071"/>
          <cell r="T4071">
            <v>1.8</v>
          </cell>
          <cell r="U4071">
            <v>0.9</v>
          </cell>
          <cell r="V4071">
            <v>0.32</v>
          </cell>
          <cell r="W4071">
            <v>0</v>
          </cell>
          <cell r="X4071" t="str">
            <v>EST MESA CENTRO OFFSET TP CRIST BRONZE/ESP BRONZE ACID/PINT - 1,8x0,9x0,32H</v>
          </cell>
          <cell r="Y4071">
            <v>24639.55</v>
          </cell>
          <cell r="Z4071">
            <v>0.5</v>
          </cell>
          <cell r="AA4071">
            <v>12319.775</v>
          </cell>
          <cell r="AB4071"/>
        </row>
        <row r="4072">
          <cell r="C4072">
            <v>0</v>
          </cell>
          <cell r="D4072">
            <v>0</v>
          </cell>
          <cell r="E4072">
            <v>0</v>
          </cell>
          <cell r="F4072">
            <v>0</v>
          </cell>
          <cell r="H4072">
            <v>1</v>
          </cell>
          <cell r="O4072">
            <v>270491</v>
          </cell>
          <cell r="P4072" t="str">
            <v>2020/331-0068-01</v>
          </cell>
          <cell r="Q4072" t="str">
            <v>EST MESA CENTRO SMITH (PINT ELETRO MARROM CORTEN/TP VD FUME)</v>
          </cell>
          <cell r="R4072"/>
          <cell r="S4072"/>
          <cell r="T4072">
            <v>0.9</v>
          </cell>
          <cell r="U4072">
            <v>0</v>
          </cell>
          <cell r="V4072">
            <v>0.32</v>
          </cell>
          <cell r="W4072">
            <v>0.9</v>
          </cell>
          <cell r="X4072" t="str">
            <v>EST MESA CENTRO SMITH (PINT ELETRO MARROM CORTEN/TP VD FUME) - Ø0,9x0,32H</v>
          </cell>
          <cell r="Y4072">
            <v>6182.4</v>
          </cell>
          <cell r="Z4072">
            <v>0.5</v>
          </cell>
          <cell r="AA4072">
            <v>3091.2</v>
          </cell>
          <cell r="AB4072"/>
        </row>
        <row r="4073">
          <cell r="C4073">
            <v>0</v>
          </cell>
          <cell r="D4073">
            <v>1</v>
          </cell>
          <cell r="E4073">
            <v>0</v>
          </cell>
          <cell r="F4073">
            <v>0</v>
          </cell>
          <cell r="H4073">
            <v>1</v>
          </cell>
          <cell r="O4073">
            <v>270548</v>
          </cell>
          <cell r="P4073" t="str">
            <v>2020/332-0003-01</v>
          </cell>
          <cell r="Q4073" t="str">
            <v>EST CADEIRA MEG C/BRACO (MARFIM CASTANHO) (COURO CARAMELO)</v>
          </cell>
          <cell r="R4073"/>
          <cell r="S4073"/>
          <cell r="T4073">
            <v>0.63</v>
          </cell>
          <cell r="U4073">
            <v>0.63</v>
          </cell>
          <cell r="V4073">
            <v>0.81</v>
          </cell>
          <cell r="W4073">
            <v>0</v>
          </cell>
          <cell r="X4073" t="str">
            <v>EST CADEIRA MEG C/BRACO (MARFIM CASTANHO) (COURO CARAMELO) - 0,63x0,63x0,81H</v>
          </cell>
          <cell r="Y4073">
            <v>7312.66</v>
          </cell>
          <cell r="Z4073">
            <v>0.5</v>
          </cell>
          <cell r="AA4073">
            <v>3656.33</v>
          </cell>
          <cell r="AB4073"/>
        </row>
        <row r="4074">
          <cell r="C4074">
            <v>0</v>
          </cell>
          <cell r="D4074">
            <v>0</v>
          </cell>
          <cell r="E4074">
            <v>0</v>
          </cell>
          <cell r="F4074">
            <v>0</v>
          </cell>
          <cell r="H4074">
            <v>1</v>
          </cell>
          <cell r="O4074">
            <v>270550</v>
          </cell>
          <cell r="P4074" t="str">
            <v>2020/332-0011-01</v>
          </cell>
          <cell r="Q4074" t="str">
            <v>EST CADEIRA DYLAN (MARFIM NOCCE) (FX A1097)</v>
          </cell>
          <cell r="R4074"/>
          <cell r="S4074"/>
          <cell r="T4074">
            <v>0.5</v>
          </cell>
          <cell r="U4074">
            <v>0.57999999999999996</v>
          </cell>
          <cell r="V4074">
            <v>0.8</v>
          </cell>
          <cell r="W4074">
            <v>0</v>
          </cell>
          <cell r="X4074" t="str">
            <v>EST CADEIRA DYLAN (MARFIM NOCCE) (FX A1097) - 0,5x0,58x0,8H</v>
          </cell>
          <cell r="Y4074">
            <v>2949.41</v>
          </cell>
          <cell r="Z4074">
            <v>0.5</v>
          </cell>
          <cell r="AA4074">
            <v>1474.7049999999999</v>
          </cell>
          <cell r="AB4074"/>
        </row>
        <row r="4075">
          <cell r="C4075">
            <v>0</v>
          </cell>
          <cell r="D4075">
            <v>0</v>
          </cell>
          <cell r="E4075">
            <v>0</v>
          </cell>
          <cell r="F4075">
            <v>0</v>
          </cell>
          <cell r="H4075">
            <v>1</v>
          </cell>
          <cell r="O4075">
            <v>270550</v>
          </cell>
          <cell r="P4075" t="str">
            <v>2020/332-0010-01</v>
          </cell>
          <cell r="Q4075" t="str">
            <v>EST CADEIRA DYLAN (MARFIM NOCCE) (FX A1097)</v>
          </cell>
          <cell r="R4075"/>
          <cell r="S4075"/>
          <cell r="T4075">
            <v>0.5</v>
          </cell>
          <cell r="U4075">
            <v>0.57999999999999996</v>
          </cell>
          <cell r="V4075">
            <v>0.8</v>
          </cell>
          <cell r="W4075">
            <v>0</v>
          </cell>
          <cell r="X4075" t="str">
            <v>EST CADEIRA DYLAN (MARFIM NOCCE) (FX A1097) - 0,5x0,58x0,8H</v>
          </cell>
          <cell r="Y4075">
            <v>2949.41</v>
          </cell>
          <cell r="Z4075">
            <v>0.5</v>
          </cell>
          <cell r="AA4075">
            <v>1474.7049999999999</v>
          </cell>
          <cell r="AB4075"/>
        </row>
        <row r="4076">
          <cell r="C4076">
            <v>6</v>
          </cell>
          <cell r="D4076">
            <v>0</v>
          </cell>
          <cell r="E4076">
            <v>0</v>
          </cell>
          <cell r="F4076">
            <v>0</v>
          </cell>
          <cell r="H4076">
            <v>2</v>
          </cell>
          <cell r="O4076">
            <v>270562</v>
          </cell>
          <cell r="P4076" t="str">
            <v>2020/356-0034-01</v>
          </cell>
          <cell r="Q4076" t="str">
            <v>EST CADEIRA LUIZA C/BRACO COU 2 MARROM ENVELH/JEQ CAST CLARO</v>
          </cell>
          <cell r="R4076"/>
          <cell r="S4076"/>
          <cell r="T4076">
            <v>0.59</v>
          </cell>
          <cell r="U4076">
            <v>0.56000000000000005</v>
          </cell>
          <cell r="V4076">
            <v>0.74</v>
          </cell>
          <cell r="W4076">
            <v>0</v>
          </cell>
          <cell r="X4076" t="str">
            <v>EST CADEIRA LUIZA C/BRACO COU 2 MARROM ENVELH/JEQ CAST CLARO - 0,59x0,56x0,74H</v>
          </cell>
          <cell r="Y4076">
            <v>9433.94</v>
          </cell>
          <cell r="Z4076">
            <v>0.5</v>
          </cell>
          <cell r="AA4076">
            <v>4716.97</v>
          </cell>
          <cell r="AB4076"/>
        </row>
        <row r="4077">
          <cell r="C4077">
            <v>6</v>
          </cell>
          <cell r="D4077">
            <v>0</v>
          </cell>
          <cell r="E4077">
            <v>0</v>
          </cell>
          <cell r="F4077">
            <v>0</v>
          </cell>
          <cell r="H4077">
            <v>2</v>
          </cell>
          <cell r="O4077">
            <v>270562</v>
          </cell>
          <cell r="P4077" t="str">
            <v>2020/356-0035-01</v>
          </cell>
          <cell r="Q4077" t="str">
            <v>EST CADEIRA LUIZA C/BRACO COU 2 MARROM ENVELH/JEQ CAST CLARO</v>
          </cell>
          <cell r="R4077"/>
          <cell r="S4077"/>
          <cell r="T4077">
            <v>0.59</v>
          </cell>
          <cell r="U4077">
            <v>0.56000000000000005</v>
          </cell>
          <cell r="V4077">
            <v>0.74</v>
          </cell>
          <cell r="W4077">
            <v>0</v>
          </cell>
          <cell r="X4077" t="str">
            <v>EST CADEIRA LUIZA C/BRACO COU 2 MARROM ENVELH/JEQ CAST CLARO - 0,59x0,56x0,74H</v>
          </cell>
          <cell r="Y4077">
            <v>9433.94</v>
          </cell>
          <cell r="Z4077">
            <v>0.5</v>
          </cell>
          <cell r="AA4077">
            <v>4716.97</v>
          </cell>
          <cell r="AB4077"/>
        </row>
        <row r="4078">
          <cell r="C4078">
            <v>0</v>
          </cell>
          <cell r="D4078">
            <v>0</v>
          </cell>
          <cell r="E4078">
            <v>0</v>
          </cell>
          <cell r="F4078">
            <v>0</v>
          </cell>
          <cell r="H4078">
            <v>1</v>
          </cell>
          <cell r="O4078">
            <v>270701</v>
          </cell>
          <cell r="P4078" t="str">
            <v>2020/315-0026-01</v>
          </cell>
          <cell r="Q4078" t="str">
            <v>EST POLTRONA LEYVA FX C3130/BS GIR ACO CARB PIN MTZ PRETO</v>
          </cell>
          <cell r="R4078"/>
          <cell r="S4078"/>
          <cell r="T4078">
            <v>0.8</v>
          </cell>
          <cell r="U4078">
            <v>0.83</v>
          </cell>
          <cell r="V4078">
            <v>0.86</v>
          </cell>
          <cell r="W4078">
            <v>0</v>
          </cell>
          <cell r="X4078" t="str">
            <v>EST POLTRONA LEYVA FX C3130/BS GIR ACO CARB PIN MTZ PRETO - 0,8x0,83x0,86H</v>
          </cell>
          <cell r="Y4078">
            <v>12735.16</v>
          </cell>
          <cell r="Z4078">
            <v>0.5</v>
          </cell>
          <cell r="AA4078">
            <v>6367.58</v>
          </cell>
          <cell r="AB4078"/>
        </row>
        <row r="4079">
          <cell r="C4079">
            <v>0</v>
          </cell>
          <cell r="D4079">
            <v>0</v>
          </cell>
          <cell r="E4079">
            <v>0</v>
          </cell>
          <cell r="F4079">
            <v>0</v>
          </cell>
          <cell r="H4079">
            <v>1</v>
          </cell>
          <cell r="O4079">
            <v>270755</v>
          </cell>
          <cell r="P4079" t="str">
            <v>2020/338-0106-01</v>
          </cell>
          <cell r="Q4079" t="str">
            <v>EST MODULO CHAISE BRACO DIR TARANTO TC B2109</v>
          </cell>
          <cell r="R4079"/>
          <cell r="S4079"/>
          <cell r="T4079">
            <v>1.1000000000000001</v>
          </cell>
          <cell r="U4079">
            <v>1.6</v>
          </cell>
          <cell r="V4079">
            <v>0.95</v>
          </cell>
          <cell r="W4079">
            <v>0</v>
          </cell>
          <cell r="X4079" t="str">
            <v>EST MODULO CHAISE BRACO DIR TARANTO TC B2109 - 1,1x1,6x0,95H</v>
          </cell>
          <cell r="Y4079">
            <v>14629.4</v>
          </cell>
          <cell r="Z4079">
            <v>0.5</v>
          </cell>
          <cell r="AA4079">
            <v>7314.7</v>
          </cell>
          <cell r="AB4079"/>
        </row>
        <row r="4080">
          <cell r="C4080">
            <v>0</v>
          </cell>
          <cell r="D4080">
            <v>0</v>
          </cell>
          <cell r="E4080">
            <v>0</v>
          </cell>
          <cell r="F4080">
            <v>0</v>
          </cell>
          <cell r="H4080">
            <v>1</v>
          </cell>
          <cell r="O4080">
            <v>271264</v>
          </cell>
          <cell r="P4080" t="str">
            <v>2021/021-0022-01</v>
          </cell>
          <cell r="Q4080" t="str">
            <v>EST SOFA ANDROS (2B) FX C3079 (BASE LAMINA WALNUT)</v>
          </cell>
          <cell r="R4080"/>
          <cell r="S4080"/>
          <cell r="T4080">
            <v>3</v>
          </cell>
          <cell r="U4080">
            <v>1.5</v>
          </cell>
          <cell r="V4080">
            <v>0.76</v>
          </cell>
          <cell r="W4080">
            <v>0</v>
          </cell>
          <cell r="X4080" t="str">
            <v>EST SOFA ANDROS (2B) FX C3079 (BASE LAMINA WALNUT) - 3x1,5x0,76H</v>
          </cell>
          <cell r="Y4080">
            <v>48220.08</v>
          </cell>
          <cell r="Z4080">
            <v>0.5</v>
          </cell>
          <cell r="AA4080">
            <v>24110.04</v>
          </cell>
          <cell r="AB4080"/>
        </row>
        <row r="4081">
          <cell r="C4081">
            <v>0</v>
          </cell>
          <cell r="D4081">
            <v>0</v>
          </cell>
          <cell r="E4081">
            <v>0</v>
          </cell>
          <cell r="F4081">
            <v>0</v>
          </cell>
          <cell r="H4081">
            <v>1</v>
          </cell>
          <cell r="O4081">
            <v>271418</v>
          </cell>
          <cell r="P4081" t="str">
            <v>2020/354-0028-01</v>
          </cell>
          <cell r="Q4081" t="str">
            <v>EST QUADRO GRAMPH VERTICAL G2 (1394) MOLDURA BRONZE</v>
          </cell>
          <cell r="R4081"/>
          <cell r="S4081"/>
          <cell r="T4081">
            <v>0.6</v>
          </cell>
          <cell r="U4081">
            <v>0.9</v>
          </cell>
          <cell r="V4081">
            <v>0</v>
          </cell>
          <cell r="W4081">
            <v>0</v>
          </cell>
          <cell r="X4081" t="str">
            <v>EST QUADRO GRAMPH VERTICAL G2 (1394) MOLDURA BRONZE - 0,6x0,9x0H</v>
          </cell>
          <cell r="Y4081">
            <v>1952.16</v>
          </cell>
          <cell r="Z4081">
            <v>0.5</v>
          </cell>
          <cell r="AA4081">
            <v>976.08</v>
          </cell>
          <cell r="AB4081"/>
        </row>
        <row r="4082">
          <cell r="C4082">
            <v>0</v>
          </cell>
          <cell r="D4082">
            <v>0</v>
          </cell>
          <cell r="E4082">
            <v>0</v>
          </cell>
          <cell r="F4082">
            <v>0</v>
          </cell>
          <cell r="H4082">
            <v>1</v>
          </cell>
          <cell r="O4082">
            <v>273329</v>
          </cell>
          <cell r="P4082" t="str">
            <v>2021/048-0023-01</v>
          </cell>
          <cell r="Q4082" t="str">
            <v>EST CHAISE MARAIS TC CURATOR GALACTICA WHITE/BS PRETA FSC</v>
          </cell>
          <cell r="R4082"/>
          <cell r="S4082"/>
          <cell r="T4082">
            <v>2.02</v>
          </cell>
          <cell r="U4082">
            <v>0.81</v>
          </cell>
          <cell r="V4082">
            <v>0.57999999999999996</v>
          </cell>
          <cell r="W4082">
            <v>0</v>
          </cell>
          <cell r="X4082" t="str">
            <v>EST CHAISE MARAIS TC CURATOR GALACTICA WHITE/BS PRETA FSC - 2,02x0,81x0,58H</v>
          </cell>
          <cell r="Y4082">
            <v>27825.15</v>
          </cell>
          <cell r="Z4082">
            <v>0.5</v>
          </cell>
          <cell r="AA4082">
            <v>13912.575000000001</v>
          </cell>
          <cell r="AB4082"/>
        </row>
        <row r="4083">
          <cell r="C4083">
            <v>0</v>
          </cell>
          <cell r="D4083">
            <v>0</v>
          </cell>
          <cell r="E4083">
            <v>0</v>
          </cell>
          <cell r="F4083">
            <v>0</v>
          </cell>
          <cell r="H4083">
            <v>1</v>
          </cell>
          <cell r="O4083">
            <v>273330</v>
          </cell>
          <cell r="P4083" t="str">
            <v>2021/076-0101-01</v>
          </cell>
          <cell r="Q4083" t="str">
            <v>EST CHAISE MARAIS TC LINHO C531/BS PRETO FSC</v>
          </cell>
          <cell r="R4083"/>
          <cell r="S4083"/>
          <cell r="T4083">
            <v>2.02</v>
          </cell>
          <cell r="U4083">
            <v>0.81</v>
          </cell>
          <cell r="V4083">
            <v>0.57999999999999996</v>
          </cell>
          <cell r="W4083">
            <v>0</v>
          </cell>
          <cell r="X4083" t="str">
            <v>EST CHAISE MARAIS TC LINHO C531/BS PRETO FSC - 2,02x0,81x0,58H</v>
          </cell>
          <cell r="Y4083">
            <v>27825.15</v>
          </cell>
          <cell r="Z4083">
            <v>0.5</v>
          </cell>
          <cell r="AA4083">
            <v>13912.575000000001</v>
          </cell>
          <cell r="AB4083"/>
        </row>
        <row r="4084">
          <cell r="C4084">
            <v>0</v>
          </cell>
          <cell r="D4084">
            <v>1</v>
          </cell>
          <cell r="E4084">
            <v>0</v>
          </cell>
          <cell r="F4084">
            <v>1</v>
          </cell>
          <cell r="H4084">
            <v>3</v>
          </cell>
          <cell r="O4084">
            <v>273338</v>
          </cell>
          <cell r="P4084" t="str">
            <v>2021/076-0102-01</v>
          </cell>
          <cell r="Q4084" t="str">
            <v>EST CADEIRA RAMONA (COURO BOUT LA PAZ PINHAO) PINT PRETA</v>
          </cell>
          <cell r="R4084"/>
          <cell r="S4084"/>
          <cell r="T4084">
            <v>0.5</v>
          </cell>
          <cell r="U4084">
            <v>0.56000000000000005</v>
          </cell>
          <cell r="V4084">
            <v>0.76</v>
          </cell>
          <cell r="W4084">
            <v>0</v>
          </cell>
          <cell r="X4084" t="str">
            <v>EST CADEIRA RAMONA (COURO BOUT LA PAZ PINHAO) PINT PRETA - 0,5x0,56x0,76H</v>
          </cell>
          <cell r="Y4084">
            <v>10826.37</v>
          </cell>
          <cell r="Z4084">
            <v>0.5</v>
          </cell>
          <cell r="AA4084">
            <v>5413.1850000000004</v>
          </cell>
          <cell r="AB4084"/>
        </row>
        <row r="4085">
          <cell r="C4085">
            <v>0</v>
          </cell>
          <cell r="D4085">
            <v>1</v>
          </cell>
          <cell r="E4085">
            <v>0</v>
          </cell>
          <cell r="F4085">
            <v>1</v>
          </cell>
          <cell r="H4085">
            <v>3</v>
          </cell>
          <cell r="O4085">
            <v>273338</v>
          </cell>
          <cell r="P4085" t="str">
            <v>2021/076-0104-01</v>
          </cell>
          <cell r="Q4085" t="str">
            <v>EST CADEIRA RAMONA (COURO BOUT LA PAZ PINHAO) PINT PRETA</v>
          </cell>
          <cell r="R4085"/>
          <cell r="S4085"/>
          <cell r="T4085">
            <v>0.5</v>
          </cell>
          <cell r="U4085">
            <v>0.56000000000000005</v>
          </cell>
          <cell r="V4085">
            <v>0.76</v>
          </cell>
          <cell r="W4085">
            <v>0</v>
          </cell>
          <cell r="X4085" t="str">
            <v>EST CADEIRA RAMONA (COURO BOUT LA PAZ PINHAO) PINT PRETA - 0,5x0,56x0,76H</v>
          </cell>
          <cell r="Y4085">
            <v>10826.37</v>
          </cell>
          <cell r="Z4085">
            <v>0.5</v>
          </cell>
          <cell r="AA4085">
            <v>5413.1850000000004</v>
          </cell>
          <cell r="AB4085"/>
        </row>
        <row r="4086">
          <cell r="C4086">
            <v>0</v>
          </cell>
          <cell r="D4086">
            <v>1</v>
          </cell>
          <cell r="E4086">
            <v>0</v>
          </cell>
          <cell r="F4086">
            <v>1</v>
          </cell>
          <cell r="H4086">
            <v>3</v>
          </cell>
          <cell r="O4086">
            <v>273338</v>
          </cell>
          <cell r="P4086" t="str">
            <v>2021/076-0106-01</v>
          </cell>
          <cell r="Q4086" t="str">
            <v>EST CADEIRA RAMONA (COURO BOUT LA PAZ PINHAO) PINT PRETA</v>
          </cell>
          <cell r="R4086"/>
          <cell r="S4086"/>
          <cell r="T4086">
            <v>0.5</v>
          </cell>
          <cell r="U4086">
            <v>0.56000000000000005</v>
          </cell>
          <cell r="V4086">
            <v>0.76</v>
          </cell>
          <cell r="W4086">
            <v>0</v>
          </cell>
          <cell r="X4086" t="str">
            <v>EST CADEIRA RAMONA (COURO BOUT LA PAZ PINHAO) PINT PRETA - 0,5x0,56x0,76H</v>
          </cell>
          <cell r="Y4086">
            <v>10826.37</v>
          </cell>
          <cell r="Z4086">
            <v>0.5</v>
          </cell>
          <cell r="AA4086">
            <v>5413.1850000000004</v>
          </cell>
          <cell r="AB4086"/>
        </row>
        <row r="4087">
          <cell r="C4087">
            <v>0</v>
          </cell>
          <cell r="D4087">
            <v>1</v>
          </cell>
          <cell r="E4087">
            <v>0</v>
          </cell>
          <cell r="F4087">
            <v>1</v>
          </cell>
          <cell r="H4087">
            <v>3</v>
          </cell>
          <cell r="O4087">
            <v>273338</v>
          </cell>
          <cell r="P4087" t="str">
            <v>2021/076-0111-01</v>
          </cell>
          <cell r="Q4087" t="str">
            <v>EST CADEIRA RAMONA (COURO BOUT LA PAZ PINHAO) PINT PRETA</v>
          </cell>
          <cell r="R4087"/>
          <cell r="S4087"/>
          <cell r="T4087">
            <v>0.5</v>
          </cell>
          <cell r="U4087">
            <v>0.56000000000000005</v>
          </cell>
          <cell r="V4087">
            <v>0.76</v>
          </cell>
          <cell r="W4087">
            <v>0</v>
          </cell>
          <cell r="X4087" t="str">
            <v>EST CADEIRA RAMONA (COURO BOUT LA PAZ PINHAO) PINT PRETA - 0,5x0,56x0,76H</v>
          </cell>
          <cell r="Y4087">
            <v>10826.37</v>
          </cell>
          <cell r="Z4087">
            <v>0.5</v>
          </cell>
          <cell r="AA4087">
            <v>5413.1850000000004</v>
          </cell>
          <cell r="AB4087"/>
        </row>
        <row r="4088">
          <cell r="C4088">
            <v>0</v>
          </cell>
          <cell r="D4088">
            <v>0</v>
          </cell>
          <cell r="E4088">
            <v>0</v>
          </cell>
          <cell r="F4088">
            <v>0</v>
          </cell>
          <cell r="H4088">
            <v>1</v>
          </cell>
          <cell r="O4088">
            <v>273340</v>
          </cell>
          <cell r="P4088" t="str">
            <v>2021/124-0088-01</v>
          </cell>
          <cell r="Q4088" t="str">
            <v>EST POLTRONA RAMONA (COURO BOUT LA PAZ CAMEL) PINT PRETA</v>
          </cell>
          <cell r="R4088"/>
          <cell r="S4088"/>
          <cell r="T4088">
            <v>0.63</v>
          </cell>
          <cell r="U4088">
            <v>0.77</v>
          </cell>
          <cell r="V4088">
            <v>0.66</v>
          </cell>
          <cell r="W4088">
            <v>0</v>
          </cell>
          <cell r="X4088" t="str">
            <v>EST POLTRONA RAMONA (COURO BOUT LA PAZ CAMEL) PINT PRETA - 0,63x0,77x0,66H</v>
          </cell>
          <cell r="Y4088">
            <v>20720.990000000002</v>
          </cell>
          <cell r="Z4088">
            <v>0.5</v>
          </cell>
          <cell r="AA4088">
            <v>10360.495000000001</v>
          </cell>
          <cell r="AB4088"/>
        </row>
        <row r="4089">
          <cell r="C4089">
            <v>0</v>
          </cell>
          <cell r="D4089">
            <v>0</v>
          </cell>
          <cell r="E4089">
            <v>0</v>
          </cell>
          <cell r="F4089">
            <v>0</v>
          </cell>
          <cell r="H4089">
            <v>1</v>
          </cell>
          <cell r="O4089">
            <v>273340</v>
          </cell>
          <cell r="P4089" t="str">
            <v>2021/124-0087-01</v>
          </cell>
          <cell r="Q4089" t="str">
            <v>EST POLTRONA RAMONA (COURO BOUT LA PAZ CAMEL) PINT PRETA</v>
          </cell>
          <cell r="R4089"/>
          <cell r="S4089"/>
          <cell r="T4089">
            <v>0.63</v>
          </cell>
          <cell r="U4089">
            <v>0.77</v>
          </cell>
          <cell r="V4089">
            <v>0.66</v>
          </cell>
          <cell r="W4089">
            <v>0</v>
          </cell>
          <cell r="X4089" t="str">
            <v>EST POLTRONA RAMONA (COURO BOUT LA PAZ CAMEL) PINT PRETA - 0,63x0,77x0,66H</v>
          </cell>
          <cell r="Y4089">
            <v>20720.990000000002</v>
          </cell>
          <cell r="Z4089">
            <v>0.5</v>
          </cell>
          <cell r="AA4089">
            <v>10360.495000000001</v>
          </cell>
          <cell r="AB4089"/>
        </row>
        <row r="4090">
          <cell r="C4090">
            <v>0</v>
          </cell>
          <cell r="D4090">
            <v>0</v>
          </cell>
          <cell r="E4090">
            <v>0</v>
          </cell>
          <cell r="F4090">
            <v>0</v>
          </cell>
          <cell r="H4090">
            <v>3</v>
          </cell>
          <cell r="O4090">
            <v>274154</v>
          </cell>
          <cell r="P4090" t="str">
            <v>2021/067-0035-01</v>
          </cell>
          <cell r="Q4090" t="str">
            <v>EST CADEIRA GOLF (TING EBANIZ/TELA SEXT NAT) TC213</v>
          </cell>
          <cell r="R4090"/>
          <cell r="S4090"/>
          <cell r="T4090">
            <v>0.59</v>
          </cell>
          <cell r="U4090">
            <v>0.6</v>
          </cell>
          <cell r="V4090">
            <v>0.9</v>
          </cell>
          <cell r="W4090">
            <v>0</v>
          </cell>
          <cell r="X4090" t="str">
            <v>EST CADEIRA GOLF (TING EBANIZ/TELA SEXT NAT) TC213 - 0,59x0,6x0,9H</v>
          </cell>
          <cell r="Y4090">
            <v>3953.96</v>
          </cell>
          <cell r="Z4090">
            <v>0.5</v>
          </cell>
          <cell r="AA4090">
            <v>1976.98</v>
          </cell>
          <cell r="AB4090"/>
        </row>
        <row r="4091">
          <cell r="C4091">
            <v>0</v>
          </cell>
          <cell r="D4091">
            <v>0</v>
          </cell>
          <cell r="E4091">
            <v>0</v>
          </cell>
          <cell r="F4091">
            <v>0</v>
          </cell>
          <cell r="H4091">
            <v>3</v>
          </cell>
          <cell r="O4091">
            <v>274154</v>
          </cell>
          <cell r="P4091" t="str">
            <v>2021/067-0036-01</v>
          </cell>
          <cell r="Q4091" t="str">
            <v>EST CADEIRA GOLF (TING EBANIZ/TELA SEXT NAT) TC213</v>
          </cell>
          <cell r="R4091"/>
          <cell r="S4091"/>
          <cell r="T4091">
            <v>0.59</v>
          </cell>
          <cell r="U4091">
            <v>0.6</v>
          </cell>
          <cell r="V4091">
            <v>0.9</v>
          </cell>
          <cell r="W4091">
            <v>0</v>
          </cell>
          <cell r="X4091" t="str">
            <v>EST CADEIRA GOLF (TING EBANIZ/TELA SEXT NAT) TC213 - 0,59x0,6x0,9H</v>
          </cell>
          <cell r="Y4091">
            <v>3953.96</v>
          </cell>
          <cell r="Z4091">
            <v>0.5</v>
          </cell>
          <cell r="AA4091">
            <v>1976.98</v>
          </cell>
          <cell r="AB4091"/>
        </row>
        <row r="4092">
          <cell r="C4092">
            <v>0</v>
          </cell>
          <cell r="D4092">
            <v>0</v>
          </cell>
          <cell r="E4092">
            <v>0</v>
          </cell>
          <cell r="F4092">
            <v>0</v>
          </cell>
          <cell r="H4092">
            <v>3</v>
          </cell>
          <cell r="O4092">
            <v>274154</v>
          </cell>
          <cell r="P4092" t="str">
            <v>2021/067-0037-01</v>
          </cell>
          <cell r="Q4092" t="str">
            <v>EST CADEIRA GOLF (TING EBANIZ/TELA SEXT NAT) TC213</v>
          </cell>
          <cell r="R4092"/>
          <cell r="S4092"/>
          <cell r="T4092">
            <v>0.59</v>
          </cell>
          <cell r="U4092">
            <v>0.6</v>
          </cell>
          <cell r="V4092">
            <v>0.9</v>
          </cell>
          <cell r="W4092">
            <v>0</v>
          </cell>
          <cell r="X4092" t="str">
            <v>EST CADEIRA GOLF (TING EBANIZ/TELA SEXT NAT) TC213 - 0,59x0,6x0,9H</v>
          </cell>
          <cell r="Y4092">
            <v>3953.96</v>
          </cell>
          <cell r="Z4092">
            <v>0.5</v>
          </cell>
          <cell r="AA4092">
            <v>1976.98</v>
          </cell>
          <cell r="AB4092"/>
        </row>
        <row r="4093">
          <cell r="C4093">
            <v>0</v>
          </cell>
          <cell r="D4093">
            <v>0</v>
          </cell>
          <cell r="E4093">
            <v>0</v>
          </cell>
          <cell r="F4093">
            <v>0</v>
          </cell>
          <cell r="H4093">
            <v>3</v>
          </cell>
          <cell r="O4093">
            <v>274363</v>
          </cell>
          <cell r="P4093" t="str">
            <v>2021/041-0005-01</v>
          </cell>
          <cell r="Q4093" t="str">
            <v>EST CADEIRA MADRE TC1107/EST NOGUEIRA</v>
          </cell>
          <cell r="R4093"/>
          <cell r="S4093"/>
          <cell r="T4093">
            <v>0.85</v>
          </cell>
          <cell r="U4093">
            <v>0.54</v>
          </cell>
          <cell r="V4093">
            <v>0.61</v>
          </cell>
          <cell r="W4093">
            <v>0</v>
          </cell>
          <cell r="X4093" t="str">
            <v>EST CADEIRA MADRE TC1107/EST NOGUEIRA - 0,85x0,54x0,61H</v>
          </cell>
          <cell r="Y4093">
            <v>4256</v>
          </cell>
          <cell r="Z4093">
            <v>0.5</v>
          </cell>
          <cell r="AA4093">
            <v>2128</v>
          </cell>
          <cell r="AB4093"/>
        </row>
        <row r="4094">
          <cell r="C4094">
            <v>0</v>
          </cell>
          <cell r="D4094">
            <v>0</v>
          </cell>
          <cell r="E4094">
            <v>0</v>
          </cell>
          <cell r="F4094">
            <v>0</v>
          </cell>
          <cell r="H4094">
            <v>3</v>
          </cell>
          <cell r="O4094">
            <v>274363</v>
          </cell>
          <cell r="P4094" t="str">
            <v>2021/041-0007-01</v>
          </cell>
          <cell r="Q4094" t="str">
            <v>EST CADEIRA MADRE TC1107/EST NOGUEIRA</v>
          </cell>
          <cell r="R4094"/>
          <cell r="S4094"/>
          <cell r="T4094">
            <v>0.85</v>
          </cell>
          <cell r="U4094">
            <v>0.54</v>
          </cell>
          <cell r="V4094">
            <v>0.61</v>
          </cell>
          <cell r="W4094">
            <v>0</v>
          </cell>
          <cell r="X4094" t="str">
            <v>EST CADEIRA MADRE TC1107/EST NOGUEIRA - 0,85x0,54x0,61H</v>
          </cell>
          <cell r="Y4094">
            <v>4256</v>
          </cell>
          <cell r="Z4094">
            <v>0.5</v>
          </cell>
          <cell r="AA4094">
            <v>2128</v>
          </cell>
          <cell r="AB4094"/>
        </row>
        <row r="4095">
          <cell r="C4095">
            <v>0</v>
          </cell>
          <cell r="D4095">
            <v>0</v>
          </cell>
          <cell r="E4095">
            <v>0</v>
          </cell>
          <cell r="F4095">
            <v>0</v>
          </cell>
          <cell r="H4095">
            <v>3</v>
          </cell>
          <cell r="O4095">
            <v>274363</v>
          </cell>
          <cell r="P4095" t="str">
            <v>2021/041-0011-01</v>
          </cell>
          <cell r="Q4095" t="str">
            <v>EST CADEIRA MADRE TC1107/EST NOGUEIRA</v>
          </cell>
          <cell r="R4095"/>
          <cell r="S4095"/>
          <cell r="T4095">
            <v>0.85</v>
          </cell>
          <cell r="U4095">
            <v>0.54</v>
          </cell>
          <cell r="V4095">
            <v>0.61</v>
          </cell>
          <cell r="W4095">
            <v>0</v>
          </cell>
          <cell r="X4095" t="str">
            <v>EST CADEIRA MADRE TC1107/EST NOGUEIRA - 0,85x0,54x0,61H</v>
          </cell>
          <cell r="Y4095">
            <v>4256</v>
          </cell>
          <cell r="Z4095">
            <v>0.5</v>
          </cell>
          <cell r="AA4095">
            <v>2128</v>
          </cell>
          <cell r="AB4095"/>
        </row>
        <row r="4096">
          <cell r="C4096">
            <v>0</v>
          </cell>
          <cell r="D4096">
            <v>0</v>
          </cell>
          <cell r="E4096">
            <v>0</v>
          </cell>
          <cell r="F4096">
            <v>0</v>
          </cell>
          <cell r="H4096">
            <v>3</v>
          </cell>
          <cell r="O4096">
            <v>274740</v>
          </cell>
          <cell r="P4096" t="str">
            <v>20211/400-037-01</v>
          </cell>
          <cell r="Q4096" t="str">
            <v>EST PUFF ALCALA (BASE LAMINADA EBONY PT) FX C3079</v>
          </cell>
          <cell r="R4096"/>
          <cell r="S4096"/>
          <cell r="T4096">
            <v>1</v>
          </cell>
          <cell r="U4096">
            <v>1</v>
          </cell>
          <cell r="V4096">
            <v>0.4</v>
          </cell>
          <cell r="W4096">
            <v>0</v>
          </cell>
          <cell r="X4096" t="str">
            <v>EST PUFF ALCALA (BASE LAMINADA EBONY PT) FX C3079 - 1x1x0,4H</v>
          </cell>
          <cell r="Y4096">
            <v>11735.58</v>
          </cell>
          <cell r="Z4096">
            <v>0.5</v>
          </cell>
          <cell r="AA4096">
            <v>5867.79</v>
          </cell>
          <cell r="AB4096"/>
        </row>
        <row r="4097">
          <cell r="C4097">
            <v>0</v>
          </cell>
          <cell r="D4097">
            <v>0</v>
          </cell>
          <cell r="E4097">
            <v>0</v>
          </cell>
          <cell r="F4097">
            <v>0</v>
          </cell>
          <cell r="H4097">
            <v>3</v>
          </cell>
          <cell r="O4097">
            <v>274740</v>
          </cell>
          <cell r="P4097" t="str">
            <v>20211/400-038-01</v>
          </cell>
          <cell r="Q4097" t="str">
            <v>EST PUFF ALCALA (BASE LAMINADA EBONY PT) FX C3079</v>
          </cell>
          <cell r="R4097"/>
          <cell r="S4097"/>
          <cell r="T4097">
            <v>1</v>
          </cell>
          <cell r="U4097">
            <v>1</v>
          </cell>
          <cell r="V4097">
            <v>0.4</v>
          </cell>
          <cell r="W4097">
            <v>0</v>
          </cell>
          <cell r="X4097" t="str">
            <v>EST PUFF ALCALA (BASE LAMINADA EBONY PT) FX C3079 - 1x1x0,4H</v>
          </cell>
          <cell r="Y4097">
            <v>11735.58</v>
          </cell>
          <cell r="Z4097">
            <v>0.5</v>
          </cell>
          <cell r="AA4097">
            <v>5867.79</v>
          </cell>
          <cell r="AB4097"/>
        </row>
        <row r="4098">
          <cell r="C4098">
            <v>0</v>
          </cell>
          <cell r="D4098">
            <v>0</v>
          </cell>
          <cell r="E4098">
            <v>0</v>
          </cell>
          <cell r="F4098">
            <v>0</v>
          </cell>
          <cell r="H4098">
            <v>3</v>
          </cell>
          <cell r="O4098">
            <v>274740</v>
          </cell>
          <cell r="P4098" t="str">
            <v>20211/400-039-01</v>
          </cell>
          <cell r="Q4098" t="str">
            <v>EST PUFF ALCALA (BASE LAMINADA EBONY PT) FX C3079</v>
          </cell>
          <cell r="R4098"/>
          <cell r="S4098"/>
          <cell r="T4098">
            <v>1</v>
          </cell>
          <cell r="U4098">
            <v>1</v>
          </cell>
          <cell r="V4098">
            <v>0.4</v>
          </cell>
          <cell r="W4098">
            <v>0</v>
          </cell>
          <cell r="X4098" t="str">
            <v>EST PUFF ALCALA (BASE LAMINADA EBONY PT) FX C3079 - 1x1x0,4H</v>
          </cell>
          <cell r="Y4098">
            <v>11735.58</v>
          </cell>
          <cell r="Z4098">
            <v>0.5</v>
          </cell>
          <cell r="AA4098">
            <v>5867.79</v>
          </cell>
          <cell r="AB4098"/>
        </row>
        <row r="4099">
          <cell r="C4099">
            <v>0</v>
          </cell>
          <cell r="D4099">
            <v>0</v>
          </cell>
          <cell r="E4099">
            <v>0</v>
          </cell>
          <cell r="F4099">
            <v>0</v>
          </cell>
          <cell r="H4099">
            <v>1</v>
          </cell>
          <cell r="O4099">
            <v>274900</v>
          </cell>
          <cell r="P4099" t="str">
            <v>2022/094-0004-01</v>
          </cell>
          <cell r="Q4099" t="str">
            <v>EST MODULO PUFF LENCOIS M (RVST BG4) (FX6509)</v>
          </cell>
          <cell r="R4099"/>
          <cell r="S4099"/>
          <cell r="T4099">
            <v>1.18</v>
          </cell>
          <cell r="U4099">
            <v>0.6</v>
          </cell>
          <cell r="V4099">
            <v>0.38</v>
          </cell>
          <cell r="W4099">
            <v>0</v>
          </cell>
          <cell r="X4099" t="str">
            <v>EST MODULO PUFF LENCOIS M (RVST BG4) (FX6509) - 1,18x0,6x0,38H</v>
          </cell>
          <cell r="Y4099">
            <v>16064.34</v>
          </cell>
          <cell r="Z4099">
            <v>0.5</v>
          </cell>
          <cell r="AA4099">
            <v>8032.17</v>
          </cell>
          <cell r="AB4099"/>
        </row>
        <row r="4100">
          <cell r="C4100">
            <v>0</v>
          </cell>
          <cell r="D4100">
            <v>0</v>
          </cell>
          <cell r="E4100">
            <v>0</v>
          </cell>
          <cell r="F4100">
            <v>0</v>
          </cell>
          <cell r="H4100">
            <v>1</v>
          </cell>
          <cell r="O4100">
            <v>275008</v>
          </cell>
          <cell r="P4100" t="str">
            <v>2021/165-0085-01</v>
          </cell>
          <cell r="Q4100" t="str">
            <v>EST MESA CENTRO ARAL (TP FREIJO/BS MTX M BLANC)</v>
          </cell>
          <cell r="R4100"/>
          <cell r="S4100"/>
          <cell r="T4100">
            <v>1.25</v>
          </cell>
          <cell r="U4100">
            <v>1.1000000000000001</v>
          </cell>
          <cell r="V4100">
            <v>0.27</v>
          </cell>
          <cell r="W4100">
            <v>0</v>
          </cell>
          <cell r="X4100" t="str">
            <v>EST MESA CENTRO ARAL (TP FREIJO/BS MTX M BLANC) - 1,25x1,1x0,27H</v>
          </cell>
          <cell r="Y4100">
            <v>19842.86</v>
          </cell>
          <cell r="Z4100">
            <v>0.5</v>
          </cell>
          <cell r="AA4100">
            <v>9921.43</v>
          </cell>
          <cell r="AB4100"/>
        </row>
        <row r="4101">
          <cell r="C4101">
            <v>0</v>
          </cell>
          <cell r="D4101">
            <v>0</v>
          </cell>
          <cell r="E4101">
            <v>0</v>
          </cell>
          <cell r="F4101">
            <v>0</v>
          </cell>
          <cell r="H4101">
            <v>0</v>
          </cell>
          <cell r="O4101">
            <v>275016</v>
          </cell>
          <cell r="P4101" t="str">
            <v>2021/162-0038-01</v>
          </cell>
          <cell r="Q4101" t="str">
            <v>EST ESTANTE FARMACO (LAMINADO NOGUEIRA/NICHO M NERO)</v>
          </cell>
          <cell r="R4101"/>
          <cell r="S4101"/>
          <cell r="T4101">
            <v>0.7</v>
          </cell>
          <cell r="U4101">
            <v>0.3</v>
          </cell>
          <cell r="V4101">
            <v>1.6</v>
          </cell>
          <cell r="W4101">
            <v>0</v>
          </cell>
          <cell r="X4101" t="str">
            <v>EST ESTANTE FARMACO (LAMINADO NOGUEIRA/NICHO M NERO) - 0,7x0,3x1,6H</v>
          </cell>
          <cell r="Y4101">
            <v>35707.97</v>
          </cell>
          <cell r="Z4101">
            <v>0.5</v>
          </cell>
          <cell r="AA4101">
            <v>17853.985000000001</v>
          </cell>
          <cell r="AB4101"/>
        </row>
        <row r="4102">
          <cell r="C4102">
            <v>0</v>
          </cell>
          <cell r="D4102">
            <v>0</v>
          </cell>
          <cell r="E4102">
            <v>0</v>
          </cell>
          <cell r="F4102">
            <v>0</v>
          </cell>
          <cell r="H4102">
            <v>2</v>
          </cell>
          <cell r="O4102">
            <v>275019</v>
          </cell>
          <cell r="P4102" t="str">
            <v>2021/162-0041-01</v>
          </cell>
          <cell r="Q4102" t="str">
            <v>EST MESA CENTRO ORGAN (TP FREIJO MACICO/PES LAMINADO FREIJO)</v>
          </cell>
          <cell r="R4102"/>
          <cell r="S4102"/>
          <cell r="T4102">
            <v>1.2</v>
          </cell>
          <cell r="U4102">
            <v>1.2</v>
          </cell>
          <cell r="V4102">
            <v>0.27</v>
          </cell>
          <cell r="W4102">
            <v>0</v>
          </cell>
          <cell r="X4102" t="str">
            <v>EST MESA CENTRO ORGAN (TP FREIJO MACICO/PES LAMINADO FREIJO) - 1,2x1,2x0,27H</v>
          </cell>
          <cell r="Y4102">
            <v>27701.18</v>
          </cell>
          <cell r="Z4102">
            <v>0.5</v>
          </cell>
          <cell r="AA4102">
            <v>13850.59</v>
          </cell>
          <cell r="AB4102"/>
        </row>
        <row r="4103">
          <cell r="C4103">
            <v>0</v>
          </cell>
          <cell r="D4103">
            <v>0</v>
          </cell>
          <cell r="E4103">
            <v>0</v>
          </cell>
          <cell r="F4103">
            <v>0</v>
          </cell>
          <cell r="H4103">
            <v>2</v>
          </cell>
          <cell r="O4103">
            <v>275019</v>
          </cell>
          <cell r="P4103" t="str">
            <v>2021/165-0117-01</v>
          </cell>
          <cell r="Q4103" t="str">
            <v>EST MESA CENTRO ORGAN (TP FREIJO MACICO/PES LAMINADO FREIJO)</v>
          </cell>
          <cell r="R4103"/>
          <cell r="S4103"/>
          <cell r="T4103">
            <v>1.2</v>
          </cell>
          <cell r="U4103">
            <v>1.2</v>
          </cell>
          <cell r="V4103">
            <v>0.27</v>
          </cell>
          <cell r="W4103">
            <v>0</v>
          </cell>
          <cell r="X4103" t="str">
            <v>EST MESA CENTRO ORGAN (TP FREIJO MACICO/PES LAMINADO FREIJO) - 1,2x1,2x0,27H</v>
          </cell>
          <cell r="Y4103">
            <v>27701.18</v>
          </cell>
          <cell r="Z4103">
            <v>0.5</v>
          </cell>
          <cell r="AA4103">
            <v>13850.59</v>
          </cell>
          <cell r="AB4103"/>
        </row>
        <row r="4104">
          <cell r="C4104">
            <v>0</v>
          </cell>
          <cell r="D4104">
            <v>0</v>
          </cell>
          <cell r="E4104">
            <v>0</v>
          </cell>
          <cell r="F4104">
            <v>0</v>
          </cell>
          <cell r="H4104">
            <v>1</v>
          </cell>
          <cell r="O4104">
            <v>275020</v>
          </cell>
          <cell r="P4104" t="str">
            <v>2021/165-0092-01</v>
          </cell>
          <cell r="Q4104" t="str">
            <v>EST MESA CENTRO ORGAN (TP MARMORE TRAVERTINO/PES FREIJO)</v>
          </cell>
          <cell r="R4104"/>
          <cell r="S4104"/>
          <cell r="T4104">
            <v>1.1000000000000001</v>
          </cell>
          <cell r="U4104">
            <v>1.1000000000000001</v>
          </cell>
          <cell r="V4104">
            <v>0.27</v>
          </cell>
          <cell r="W4104">
            <v>0</v>
          </cell>
          <cell r="X4104" t="str">
            <v>EST MESA CENTRO ORGAN (TP MARMORE TRAVERTINO/PES FREIJO) - 1,1x1,1x0,27H</v>
          </cell>
          <cell r="Y4104">
            <v>42642.879999999997</v>
          </cell>
          <cell r="Z4104">
            <v>0.5</v>
          </cell>
          <cell r="AA4104">
            <v>21321.439999999999</v>
          </cell>
          <cell r="AB4104"/>
        </row>
        <row r="4105">
          <cell r="C4105">
            <v>0</v>
          </cell>
          <cell r="D4105">
            <v>0</v>
          </cell>
          <cell r="E4105">
            <v>0</v>
          </cell>
          <cell r="F4105">
            <v>0</v>
          </cell>
          <cell r="H4105">
            <v>1</v>
          </cell>
          <cell r="O4105">
            <v>275020</v>
          </cell>
          <cell r="P4105" t="str">
            <v>2021/162-0042-01</v>
          </cell>
          <cell r="Q4105" t="str">
            <v>EST MESA CENTRO ORGAN (TP MARMORE TRAVERTINO/PES FREIJO)</v>
          </cell>
          <cell r="R4105"/>
          <cell r="S4105"/>
          <cell r="T4105">
            <v>1.1000000000000001</v>
          </cell>
          <cell r="U4105">
            <v>1.1000000000000001</v>
          </cell>
          <cell r="V4105">
            <v>0.27</v>
          </cell>
          <cell r="W4105">
            <v>0</v>
          </cell>
          <cell r="X4105" t="str">
            <v>EST MESA CENTRO ORGAN (TP MARMORE TRAVERTINO/PES FREIJO) - 1,1x1,1x0,27H</v>
          </cell>
          <cell r="Y4105">
            <v>42642.879999999997</v>
          </cell>
          <cell r="Z4105">
            <v>0.5</v>
          </cell>
          <cell r="AA4105">
            <v>21321.439999999999</v>
          </cell>
          <cell r="AB4105"/>
        </row>
        <row r="4106">
          <cell r="C4106">
            <v>1</v>
          </cell>
          <cell r="D4106">
            <v>0</v>
          </cell>
          <cell r="E4106">
            <v>0</v>
          </cell>
          <cell r="F4106">
            <v>0</v>
          </cell>
          <cell r="H4106">
            <v>1</v>
          </cell>
          <cell r="O4106">
            <v>275021</v>
          </cell>
          <cell r="P4106" t="str">
            <v>2022/245-0073-01</v>
          </cell>
          <cell r="Q4106" t="str">
            <v>EST MESA JANTAR TRIBECA (TP/BS NOGUEIRA) DETALHE MTZ OXI</v>
          </cell>
          <cell r="R4106"/>
          <cell r="S4106"/>
          <cell r="T4106">
            <v>2.7</v>
          </cell>
          <cell r="U4106">
            <v>1.2</v>
          </cell>
          <cell r="V4106">
            <v>0.75</v>
          </cell>
          <cell r="W4106">
            <v>0</v>
          </cell>
          <cell r="X4106" t="str">
            <v>EST MESA JANTAR TRIBECA (TP/BS NOGUEIRA) DETALHE MTZ OXI - 2,7x1,2x0,75H</v>
          </cell>
          <cell r="Y4106">
            <v>53412.44</v>
          </cell>
          <cell r="Z4106">
            <v>0.5</v>
          </cell>
          <cell r="AA4106">
            <v>26706.22</v>
          </cell>
          <cell r="AB4106"/>
        </row>
        <row r="4107">
          <cell r="C4107">
            <v>0</v>
          </cell>
          <cell r="D4107">
            <v>0</v>
          </cell>
          <cell r="E4107">
            <v>0</v>
          </cell>
          <cell r="F4107">
            <v>0</v>
          </cell>
          <cell r="H4107">
            <v>1</v>
          </cell>
          <cell r="O4107">
            <v>275022</v>
          </cell>
          <cell r="P4107" t="str">
            <v>2021/162-0043-01</v>
          </cell>
          <cell r="Q4107" t="str">
            <v>EST MESA JANTAR TRIBECA (TP/BASE FREIJO NAT) DET MTX M BLANC</v>
          </cell>
          <cell r="R4107"/>
          <cell r="S4107"/>
          <cell r="T4107">
            <v>2.7</v>
          </cell>
          <cell r="U4107">
            <v>1.2</v>
          </cell>
          <cell r="V4107">
            <v>0.75</v>
          </cell>
          <cell r="W4107">
            <v>0</v>
          </cell>
          <cell r="X4107" t="str">
            <v>EST MESA JANTAR TRIBECA (TP/BASE FREIJO NAT) DET MTX M BLANC - 2,7x1,2x0,75H</v>
          </cell>
          <cell r="Y4107">
            <v>53412.44</v>
          </cell>
          <cell r="Z4107">
            <v>0.5</v>
          </cell>
          <cell r="AA4107">
            <v>26706.22</v>
          </cell>
          <cell r="AB4107"/>
        </row>
        <row r="4108">
          <cell r="C4108">
            <v>0</v>
          </cell>
          <cell r="D4108">
            <v>0</v>
          </cell>
          <cell r="E4108">
            <v>0</v>
          </cell>
          <cell r="F4108">
            <v>0</v>
          </cell>
          <cell r="H4108">
            <v>1</v>
          </cell>
          <cell r="O4108">
            <v>277919</v>
          </cell>
          <cell r="P4108" t="str">
            <v>2021/203-0036-01</v>
          </cell>
          <cell r="Q4108" t="str">
            <v>EST POLTRONA MARE COURO TP2 (PROMO) GRANO SANDSTORM/CHAMPAG</v>
          </cell>
          <cell r="R4108"/>
          <cell r="S4108"/>
          <cell r="T4108">
            <v>0.93</v>
          </cell>
          <cell r="U4108">
            <v>1.06</v>
          </cell>
          <cell r="V4108">
            <v>0.83</v>
          </cell>
          <cell r="W4108">
            <v>0</v>
          </cell>
          <cell r="X4108" t="str">
            <v>EST POLTRONA MARE COURO TP2 (PROMO) GRANO SANDSTORM/CHAMPAG - 0,93x1,06x0,83H</v>
          </cell>
          <cell r="Y4108">
            <v>20456.93</v>
          </cell>
          <cell r="Z4108">
            <v>0.5</v>
          </cell>
          <cell r="AA4108">
            <v>10228.465</v>
          </cell>
          <cell r="AB4108"/>
        </row>
        <row r="4109">
          <cell r="C4109">
            <v>0</v>
          </cell>
          <cell r="D4109">
            <v>0</v>
          </cell>
          <cell r="E4109">
            <v>0</v>
          </cell>
          <cell r="F4109">
            <v>0</v>
          </cell>
          <cell r="H4109">
            <v>1</v>
          </cell>
          <cell r="O4109">
            <v>277920</v>
          </cell>
          <cell r="P4109" t="str">
            <v>2021/203-0030-01</v>
          </cell>
          <cell r="Q4109" t="str">
            <v>EST POLTRONA MARE (COURO TP2 MATTE GREY) PRETO</v>
          </cell>
          <cell r="R4109"/>
          <cell r="S4109"/>
          <cell r="T4109">
            <v>0.93</v>
          </cell>
          <cell r="U4109">
            <v>1.06</v>
          </cell>
          <cell r="V4109">
            <v>0.83</v>
          </cell>
          <cell r="W4109">
            <v>0</v>
          </cell>
          <cell r="X4109" t="str">
            <v>EST POLTRONA MARE (COURO TP2 MATTE GREY) PRETO - 0,93x1,06x0,83H</v>
          </cell>
          <cell r="Y4109">
            <v>22036.58</v>
          </cell>
          <cell r="Z4109">
            <v>0.5</v>
          </cell>
          <cell r="AA4109">
            <v>11018.29</v>
          </cell>
          <cell r="AB4109"/>
        </row>
        <row r="4110">
          <cell r="C4110">
            <v>0</v>
          </cell>
          <cell r="D4110">
            <v>0</v>
          </cell>
          <cell r="E4110">
            <v>0</v>
          </cell>
          <cell r="F4110">
            <v>0</v>
          </cell>
          <cell r="H4110">
            <v>1</v>
          </cell>
          <cell r="O4110">
            <v>277922</v>
          </cell>
          <cell r="P4110" t="str">
            <v>2021/203-0037-01</v>
          </cell>
          <cell r="Q4110" t="str">
            <v>EST BANQUETA MARE COURO TP2 (PROMO) GRANO SANDSTORM/CHAMPAG</v>
          </cell>
          <cell r="R4110"/>
          <cell r="S4110"/>
          <cell r="T4110">
            <v>0.91</v>
          </cell>
          <cell r="U4110">
            <v>0.56999999999999995</v>
          </cell>
          <cell r="V4110">
            <v>0.4</v>
          </cell>
          <cell r="W4110">
            <v>0</v>
          </cell>
          <cell r="X4110" t="str">
            <v>EST BANQUETA MARE COURO TP2 (PROMO) GRANO SANDSTORM/CHAMPAG - 0,91x0,57x0,4H</v>
          </cell>
          <cell r="Y4110">
            <v>8620.24</v>
          </cell>
          <cell r="Z4110">
            <v>0.5</v>
          </cell>
          <cell r="AA4110">
            <v>4310.12</v>
          </cell>
          <cell r="AB4110"/>
        </row>
        <row r="4111">
          <cell r="C4111">
            <v>0</v>
          </cell>
          <cell r="D4111">
            <v>0</v>
          </cell>
          <cell r="E4111">
            <v>0</v>
          </cell>
          <cell r="F4111">
            <v>0</v>
          </cell>
          <cell r="H4111">
            <v>1</v>
          </cell>
          <cell r="O4111">
            <v>277923</v>
          </cell>
          <cell r="P4111" t="str">
            <v>2021/203-0031-01</v>
          </cell>
          <cell r="Q4111" t="str">
            <v>EST BANQUETA MARE (COURO TP2 MATTE GREY) PRETO</v>
          </cell>
          <cell r="R4111"/>
          <cell r="S4111"/>
          <cell r="T4111">
            <v>0.91</v>
          </cell>
          <cell r="U4111">
            <v>0.56999999999999995</v>
          </cell>
          <cell r="V4111">
            <v>0.4</v>
          </cell>
          <cell r="W4111">
            <v>0</v>
          </cell>
          <cell r="X4111" t="str">
            <v>EST BANQUETA MARE (COURO TP2 MATTE GREY) PRETO - 0,91x0,57x0,4H</v>
          </cell>
          <cell r="Y4111">
            <v>10221.34</v>
          </cell>
          <cell r="Z4111">
            <v>0.5</v>
          </cell>
          <cell r="AA4111">
            <v>5110.67</v>
          </cell>
          <cell r="AB4111"/>
        </row>
        <row r="4112">
          <cell r="C4112">
            <v>0</v>
          </cell>
          <cell r="D4112">
            <v>0</v>
          </cell>
          <cell r="E4112">
            <v>0</v>
          </cell>
          <cell r="F4112">
            <v>0</v>
          </cell>
          <cell r="H4112">
            <v>2</v>
          </cell>
          <cell r="O4112">
            <v>278062</v>
          </cell>
          <cell r="P4112" t="str">
            <v>2021/182-0039-01</v>
          </cell>
          <cell r="Q4112" t="str">
            <v>EST CADEIRA RENDEIRA (FX 50038/TELA LEVE NAT) (NATURE MATT)</v>
          </cell>
          <cell r="R4112"/>
          <cell r="S4112"/>
          <cell r="T4112">
            <v>0.48</v>
          </cell>
          <cell r="U4112">
            <v>0.59</v>
          </cell>
          <cell r="V4112">
            <v>0.8</v>
          </cell>
          <cell r="W4112">
            <v>0</v>
          </cell>
          <cell r="X4112" t="str">
            <v>EST CADEIRA RENDEIRA (FX 50038/TELA LEVE NAT) (NATURE MATT) - 0,48x0,59x0,8H</v>
          </cell>
          <cell r="Y4112">
            <v>6796.25</v>
          </cell>
          <cell r="Z4112">
            <v>0.5</v>
          </cell>
          <cell r="AA4112">
            <v>3398.125</v>
          </cell>
          <cell r="AB4112"/>
        </row>
        <row r="4113">
          <cell r="C4113">
            <v>0</v>
          </cell>
          <cell r="D4113">
            <v>0</v>
          </cell>
          <cell r="E4113">
            <v>0</v>
          </cell>
          <cell r="F4113">
            <v>0</v>
          </cell>
          <cell r="H4113">
            <v>2</v>
          </cell>
          <cell r="O4113">
            <v>278062</v>
          </cell>
          <cell r="P4113" t="str">
            <v>2021/182-0040-01</v>
          </cell>
          <cell r="Q4113" t="str">
            <v>EST CADEIRA RENDEIRA (FX 50038/TELA LEVE NAT) (NATURE MATT)</v>
          </cell>
          <cell r="R4113"/>
          <cell r="S4113"/>
          <cell r="T4113">
            <v>0.48</v>
          </cell>
          <cell r="U4113">
            <v>0.59</v>
          </cell>
          <cell r="V4113">
            <v>0.8</v>
          </cell>
          <cell r="W4113">
            <v>0</v>
          </cell>
          <cell r="X4113" t="str">
            <v>EST CADEIRA RENDEIRA (FX 50038/TELA LEVE NAT) (NATURE MATT) - 0,48x0,59x0,8H</v>
          </cell>
          <cell r="Y4113">
            <v>6796.25</v>
          </cell>
          <cell r="Z4113">
            <v>0.5</v>
          </cell>
          <cell r="AA4113">
            <v>3398.125</v>
          </cell>
          <cell r="AB4113"/>
        </row>
        <row r="4114">
          <cell r="C4114">
            <v>0</v>
          </cell>
          <cell r="D4114">
            <v>0</v>
          </cell>
          <cell r="E4114">
            <v>0</v>
          </cell>
          <cell r="F4114">
            <v>0</v>
          </cell>
          <cell r="H4114">
            <v>2</v>
          </cell>
          <cell r="O4114">
            <v>299525</v>
          </cell>
          <cell r="P4114" t="str">
            <v>2021/354-0045-01</v>
          </cell>
          <cell r="Q4114" t="str">
            <v>EST PUFF OLY H45 FX E7120/HASTE METAL 2415</v>
          </cell>
          <cell r="R4114"/>
          <cell r="S4114"/>
          <cell r="T4114">
            <v>0.6</v>
          </cell>
          <cell r="U4114">
            <v>0</v>
          </cell>
          <cell r="V4114">
            <v>0.45</v>
          </cell>
          <cell r="W4114">
            <v>0.6</v>
          </cell>
          <cell r="X4114" t="str">
            <v>EST PUFF OLY H45 FX E7120/HASTE METAL 2415 - Ø0,6x0,45H</v>
          </cell>
          <cell r="Y4114">
            <v>7411.49</v>
          </cell>
          <cell r="Z4114">
            <v>0.5</v>
          </cell>
          <cell r="AA4114">
            <v>3705.7449999999999</v>
          </cell>
          <cell r="AB4114"/>
        </row>
        <row r="4115">
          <cell r="C4115">
            <v>0</v>
          </cell>
          <cell r="D4115">
            <v>0</v>
          </cell>
          <cell r="E4115">
            <v>0</v>
          </cell>
          <cell r="F4115">
            <v>0</v>
          </cell>
          <cell r="H4115">
            <v>2</v>
          </cell>
          <cell r="O4115">
            <v>299525</v>
          </cell>
          <cell r="P4115" t="str">
            <v>2021/354-0046-01</v>
          </cell>
          <cell r="Q4115" t="str">
            <v>EST PUFF OLY H45 FX E7120/HASTE METAL 2415</v>
          </cell>
          <cell r="R4115"/>
          <cell r="S4115"/>
          <cell r="T4115">
            <v>0.6</v>
          </cell>
          <cell r="U4115">
            <v>0</v>
          </cell>
          <cell r="V4115">
            <v>0.45</v>
          </cell>
          <cell r="W4115">
            <v>0.6</v>
          </cell>
          <cell r="X4115" t="str">
            <v>EST PUFF OLY H45 FX E7120/HASTE METAL 2415 - Ø0,6x0,45H</v>
          </cell>
          <cell r="Y4115">
            <v>7411.49</v>
          </cell>
          <cell r="Z4115">
            <v>0.5</v>
          </cell>
          <cell r="AA4115">
            <v>3705.7449999999999</v>
          </cell>
          <cell r="AB4115"/>
        </row>
        <row r="4116">
          <cell r="C4116">
            <v>0</v>
          </cell>
          <cell r="D4116">
            <v>0</v>
          </cell>
          <cell r="E4116">
            <v>0</v>
          </cell>
          <cell r="F4116">
            <v>0</v>
          </cell>
          <cell r="H4116">
            <v>1</v>
          </cell>
          <cell r="O4116">
            <v>299531</v>
          </cell>
          <cell r="P4116" t="str">
            <v>2022/034-0012-01</v>
          </cell>
          <cell r="Q4116" t="str">
            <v>EST APARADOR REGIA (LAMINA 3 LOURO PRETO)</v>
          </cell>
          <cell r="R4116"/>
          <cell r="S4116"/>
          <cell r="T4116">
            <v>2.2000000000000002</v>
          </cell>
          <cell r="U4116">
            <v>0.7</v>
          </cell>
          <cell r="V4116">
            <v>0.82</v>
          </cell>
          <cell r="W4116">
            <v>0</v>
          </cell>
          <cell r="X4116" t="str">
            <v>EST APARADOR REGIA (LAMINA 3 LOURO PRETO) - 2,2x0,7x0,82H</v>
          </cell>
          <cell r="Y4116">
            <v>37230.19</v>
          </cell>
          <cell r="Z4116">
            <v>0.5</v>
          </cell>
          <cell r="AA4116">
            <v>18615.095000000001</v>
          </cell>
          <cell r="AB4116"/>
        </row>
        <row r="4117"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H4117">
            <v>1</v>
          </cell>
          <cell r="O4117">
            <v>300252</v>
          </cell>
          <cell r="P4117" t="str">
            <v>2022/007-0003-01</v>
          </cell>
          <cell r="Q4117" t="str">
            <v>EST MODULO CHAISE S/BRACO DALOA FX B2072 FREIJO</v>
          </cell>
          <cell r="R4117"/>
          <cell r="S4117"/>
          <cell r="T4117">
            <v>1.55</v>
          </cell>
          <cell r="U4117">
            <v>1.8</v>
          </cell>
          <cell r="V4117">
            <v>0</v>
          </cell>
          <cell r="W4117">
            <v>0</v>
          </cell>
          <cell r="X4117" t="str">
            <v>EST MODULO CHAISE S/BRACO DALOA FX B2072 FREIJO - 1,55x1,8x0H</v>
          </cell>
          <cell r="Y4117">
            <v>28305</v>
          </cell>
          <cell r="Z4117">
            <v>0.5</v>
          </cell>
          <cell r="AA4117">
            <v>14152.5</v>
          </cell>
          <cell r="AB4117"/>
        </row>
        <row r="4118">
          <cell r="C4118">
            <v>0</v>
          </cell>
          <cell r="D4118">
            <v>0</v>
          </cell>
          <cell r="E4118">
            <v>0</v>
          </cell>
          <cell r="F4118">
            <v>0</v>
          </cell>
          <cell r="H4118">
            <v>1</v>
          </cell>
          <cell r="O4118">
            <v>302827</v>
          </cell>
          <cell r="P4118" t="str">
            <v>2021/308-0022-01</v>
          </cell>
          <cell r="Q4118" t="str">
            <v>EST MESA CENTRO WHITE (PINT PX) (TC LISO LINHO PT) (TP CER)</v>
          </cell>
          <cell r="R4118"/>
          <cell r="S4118"/>
          <cell r="T4118">
            <v>1.4</v>
          </cell>
          <cell r="U4118">
            <v>0.95</v>
          </cell>
          <cell r="V4118">
            <v>0.34</v>
          </cell>
          <cell r="W4118">
            <v>0</v>
          </cell>
          <cell r="X4118" t="str">
            <v>EST MESA CENTRO WHITE (PINT PX) (TC LISO LINHO PT) (TP CER) - 1,4x0,95x0,34H</v>
          </cell>
          <cell r="Y4118">
            <v>15362.77</v>
          </cell>
          <cell r="Z4118">
            <v>0.5</v>
          </cell>
          <cell r="AA4118">
            <v>7681.3850000000002</v>
          </cell>
          <cell r="AB4118"/>
        </row>
        <row r="4119">
          <cell r="C4119">
            <v>0</v>
          </cell>
          <cell r="D4119">
            <v>0</v>
          </cell>
          <cell r="E4119">
            <v>0</v>
          </cell>
          <cell r="F4119">
            <v>0</v>
          </cell>
          <cell r="H4119">
            <v>8</v>
          </cell>
          <cell r="O4119">
            <v>307826</v>
          </cell>
          <cell r="P4119" t="str">
            <v>2021/350-0123-01</v>
          </cell>
          <cell r="Q4119" t="str">
            <v>EST CADEIRA KEEF C/BRACO (JEQ TING NOG) (MISTA) (C4 PINHAO)</v>
          </cell>
          <cell r="R4119"/>
          <cell r="S4119"/>
          <cell r="T4119">
            <v>0.55000000000000004</v>
          </cell>
          <cell r="U4119">
            <v>0.54</v>
          </cell>
          <cell r="V4119">
            <v>0.89</v>
          </cell>
          <cell r="W4119">
            <v>0</v>
          </cell>
          <cell r="X4119" t="str">
            <v>EST CADEIRA KEEF C/BRACO (JEQ TING NOG) (MISTA) (C4 PINHAO) - 0,55x0,54x0,89H</v>
          </cell>
          <cell r="Y4119">
            <v>9927.3700000000008</v>
          </cell>
          <cell r="Z4119">
            <v>0.5</v>
          </cell>
          <cell r="AA4119">
            <v>4963.6850000000004</v>
          </cell>
          <cell r="AB4119"/>
        </row>
        <row r="4120">
          <cell r="C4120">
            <v>0</v>
          </cell>
          <cell r="D4120">
            <v>0</v>
          </cell>
          <cell r="E4120">
            <v>0</v>
          </cell>
          <cell r="F4120">
            <v>0</v>
          </cell>
          <cell r="H4120">
            <v>8</v>
          </cell>
          <cell r="O4120">
            <v>307826</v>
          </cell>
          <cell r="P4120" t="str">
            <v>2021/350-0121-01</v>
          </cell>
          <cell r="Q4120" t="str">
            <v>EST CADEIRA KEEF C/BRACO (JEQ TING NOG) (MISTA) (C4 PINHAO)</v>
          </cell>
          <cell r="R4120"/>
          <cell r="S4120"/>
          <cell r="T4120">
            <v>0.55000000000000004</v>
          </cell>
          <cell r="U4120">
            <v>0.54</v>
          </cell>
          <cell r="V4120">
            <v>0.89</v>
          </cell>
          <cell r="W4120">
            <v>0</v>
          </cell>
          <cell r="X4120" t="str">
            <v>EST CADEIRA KEEF C/BRACO (JEQ TING NOG) (MISTA) (C4 PINHAO) - 0,55x0,54x0,89H</v>
          </cell>
          <cell r="Y4120">
            <v>9927.3700000000008</v>
          </cell>
          <cell r="Z4120">
            <v>0.5</v>
          </cell>
          <cell r="AA4120">
            <v>4963.6850000000004</v>
          </cell>
          <cell r="AB4120"/>
        </row>
        <row r="4121">
          <cell r="C4121">
            <v>0</v>
          </cell>
          <cell r="D4121">
            <v>0</v>
          </cell>
          <cell r="E4121">
            <v>0</v>
          </cell>
          <cell r="F4121">
            <v>0</v>
          </cell>
          <cell r="H4121">
            <v>8</v>
          </cell>
          <cell r="O4121">
            <v>307831</v>
          </cell>
          <cell r="P4121" t="str">
            <v>2021/350-0143-01</v>
          </cell>
          <cell r="Q4121" t="str">
            <v>EST CADEIRA KEEF C/BRACO (JEQ TING NOG) (MADEIRA)</v>
          </cell>
          <cell r="R4121"/>
          <cell r="S4121"/>
          <cell r="T4121">
            <v>0.55000000000000004</v>
          </cell>
          <cell r="U4121">
            <v>0.54</v>
          </cell>
          <cell r="V4121">
            <v>0.89</v>
          </cell>
          <cell r="W4121">
            <v>0</v>
          </cell>
          <cell r="X4121" t="str">
            <v>EST CADEIRA KEEF C/BRACO (JEQ TING NOG) (MADEIRA) - 0,55x0,54x0,89H</v>
          </cell>
          <cell r="Y4121">
            <v>9339.19</v>
          </cell>
          <cell r="Z4121">
            <v>0.5</v>
          </cell>
          <cell r="AA4121">
            <v>4669.5950000000003</v>
          </cell>
          <cell r="AB4121"/>
        </row>
        <row r="4122">
          <cell r="C4122">
            <v>0</v>
          </cell>
          <cell r="D4122">
            <v>0</v>
          </cell>
          <cell r="E4122">
            <v>0</v>
          </cell>
          <cell r="F4122">
            <v>0</v>
          </cell>
          <cell r="H4122">
            <v>8</v>
          </cell>
          <cell r="O4122">
            <v>307831</v>
          </cell>
          <cell r="P4122" t="str">
            <v>2021/350-0140-01</v>
          </cell>
          <cell r="Q4122" t="str">
            <v>EST CADEIRA KEEF C/BRACO (JEQ TING NOG) (MADEIRA)</v>
          </cell>
          <cell r="R4122"/>
          <cell r="S4122"/>
          <cell r="T4122">
            <v>0.55000000000000004</v>
          </cell>
          <cell r="U4122">
            <v>0.54</v>
          </cell>
          <cell r="V4122">
            <v>0.89</v>
          </cell>
          <cell r="W4122">
            <v>0</v>
          </cell>
          <cell r="X4122" t="str">
            <v>EST CADEIRA KEEF C/BRACO (JEQ TING NOG) (MADEIRA) - 0,55x0,54x0,89H</v>
          </cell>
          <cell r="Y4122">
            <v>9339.19</v>
          </cell>
          <cell r="Z4122">
            <v>0.5</v>
          </cell>
          <cell r="AA4122">
            <v>4669.5950000000003</v>
          </cell>
          <cell r="AB4122"/>
        </row>
        <row r="4123">
          <cell r="C4123">
            <v>0</v>
          </cell>
          <cell r="D4123">
            <v>0</v>
          </cell>
          <cell r="E4123">
            <v>0</v>
          </cell>
          <cell r="F4123">
            <v>0</v>
          </cell>
          <cell r="H4123">
            <v>8</v>
          </cell>
          <cell r="O4123">
            <v>307831</v>
          </cell>
          <cell r="P4123" t="str">
            <v>2021/350-0142-01</v>
          </cell>
          <cell r="Q4123" t="str">
            <v>EST CADEIRA KEEF C/BRACO (JEQ TING NOG) (MADEIRA)</v>
          </cell>
          <cell r="R4123"/>
          <cell r="S4123"/>
          <cell r="T4123">
            <v>0.55000000000000004</v>
          </cell>
          <cell r="U4123">
            <v>0.54</v>
          </cell>
          <cell r="V4123">
            <v>0.89</v>
          </cell>
          <cell r="W4123">
            <v>0</v>
          </cell>
          <cell r="X4123" t="str">
            <v>EST CADEIRA KEEF C/BRACO (JEQ TING NOG) (MADEIRA) - 0,55x0,54x0,89H</v>
          </cell>
          <cell r="Y4123">
            <v>9339.19</v>
          </cell>
          <cell r="Z4123">
            <v>0.5</v>
          </cell>
          <cell r="AA4123">
            <v>4669.5950000000003</v>
          </cell>
          <cell r="AB4123"/>
        </row>
        <row r="4124">
          <cell r="C4124">
            <v>0</v>
          </cell>
          <cell r="D4124">
            <v>0</v>
          </cell>
          <cell r="E4124">
            <v>0</v>
          </cell>
          <cell r="F4124">
            <v>0</v>
          </cell>
          <cell r="H4124">
            <v>8</v>
          </cell>
          <cell r="O4124">
            <v>307831</v>
          </cell>
          <cell r="P4124" t="str">
            <v>2021/350-0138-01</v>
          </cell>
          <cell r="Q4124" t="str">
            <v>EST CADEIRA KEEF C/BRACO (JEQ TING NOG) (MADEIRA)</v>
          </cell>
          <cell r="R4124"/>
          <cell r="S4124"/>
          <cell r="T4124">
            <v>0.55000000000000004</v>
          </cell>
          <cell r="U4124">
            <v>0.54</v>
          </cell>
          <cell r="V4124">
            <v>0.89</v>
          </cell>
          <cell r="W4124">
            <v>0</v>
          </cell>
          <cell r="X4124" t="str">
            <v>EST CADEIRA KEEF C/BRACO (JEQ TING NOG) (MADEIRA) - 0,55x0,54x0,89H</v>
          </cell>
          <cell r="Y4124">
            <v>9339.19</v>
          </cell>
          <cell r="Z4124">
            <v>0.5</v>
          </cell>
          <cell r="AA4124">
            <v>4669.5950000000003</v>
          </cell>
          <cell r="AB4124"/>
        </row>
        <row r="4125">
          <cell r="C4125">
            <v>0</v>
          </cell>
          <cell r="D4125">
            <v>0</v>
          </cell>
          <cell r="E4125">
            <v>0</v>
          </cell>
          <cell r="F4125">
            <v>0</v>
          </cell>
          <cell r="H4125">
            <v>8</v>
          </cell>
          <cell r="O4125">
            <v>307831</v>
          </cell>
          <cell r="P4125" t="str">
            <v>2021/350-0145-01</v>
          </cell>
          <cell r="Q4125" t="str">
            <v>EST CADEIRA KEEF C/BRACO (JEQ TING NOG) (MADEIRA)</v>
          </cell>
          <cell r="R4125"/>
          <cell r="S4125"/>
          <cell r="T4125">
            <v>0.55000000000000004</v>
          </cell>
          <cell r="U4125">
            <v>0.54</v>
          </cell>
          <cell r="V4125">
            <v>0.89</v>
          </cell>
          <cell r="W4125">
            <v>0</v>
          </cell>
          <cell r="X4125" t="str">
            <v>EST CADEIRA KEEF C/BRACO (JEQ TING NOG) (MADEIRA) - 0,55x0,54x0,89H</v>
          </cell>
          <cell r="Y4125">
            <v>9339.19</v>
          </cell>
          <cell r="Z4125">
            <v>0.5</v>
          </cell>
          <cell r="AA4125">
            <v>4669.5950000000003</v>
          </cell>
          <cell r="AB4125"/>
        </row>
        <row r="4126">
          <cell r="C4126">
            <v>0</v>
          </cell>
          <cell r="D4126">
            <v>0</v>
          </cell>
          <cell r="E4126">
            <v>0</v>
          </cell>
          <cell r="F4126">
            <v>0</v>
          </cell>
          <cell r="H4126">
            <v>8</v>
          </cell>
          <cell r="O4126">
            <v>307831</v>
          </cell>
          <cell r="P4126" t="str">
            <v>2021/350-0139-01</v>
          </cell>
          <cell r="Q4126" t="str">
            <v>EST CADEIRA KEEF C/BRACO (JEQ TING NOG) (MADEIRA)</v>
          </cell>
          <cell r="R4126"/>
          <cell r="S4126"/>
          <cell r="T4126">
            <v>0.55000000000000004</v>
          </cell>
          <cell r="U4126">
            <v>0.54</v>
          </cell>
          <cell r="V4126">
            <v>0.89</v>
          </cell>
          <cell r="W4126">
            <v>0</v>
          </cell>
          <cell r="X4126" t="str">
            <v>EST CADEIRA KEEF C/BRACO (JEQ TING NOG) (MADEIRA) - 0,55x0,54x0,89H</v>
          </cell>
          <cell r="Y4126">
            <v>9339.19</v>
          </cell>
          <cell r="Z4126">
            <v>0.5</v>
          </cell>
          <cell r="AA4126">
            <v>4669.5950000000003</v>
          </cell>
          <cell r="AB4126"/>
        </row>
        <row r="4127">
          <cell r="C4127">
            <v>0</v>
          </cell>
          <cell r="D4127">
            <v>0</v>
          </cell>
          <cell r="E4127">
            <v>0</v>
          </cell>
          <cell r="F4127">
            <v>0</v>
          </cell>
          <cell r="H4127">
            <v>1</v>
          </cell>
          <cell r="O4127">
            <v>308170</v>
          </cell>
          <cell r="P4127" t="str">
            <v>2022/018-0059-01</v>
          </cell>
          <cell r="Q4127" t="str">
            <v>EST CHAISE REGIA COURO VQ604/TC V8003/PES MTZ RB03</v>
          </cell>
          <cell r="R4127"/>
          <cell r="S4127"/>
          <cell r="T4127">
            <v>1.68</v>
          </cell>
          <cell r="U4127">
            <v>1.65</v>
          </cell>
          <cell r="V4127">
            <v>0.85</v>
          </cell>
          <cell r="W4127">
            <v>0</v>
          </cell>
          <cell r="X4127" t="str">
            <v>EST CHAISE REGIA COURO VQ604/TC V8003/PES MTZ RB03 - 1,68x1,65x0,85H</v>
          </cell>
          <cell r="Y4127">
            <v>60453.75</v>
          </cell>
          <cell r="Z4127">
            <v>0.5</v>
          </cell>
          <cell r="AA4127">
            <v>30226.875</v>
          </cell>
          <cell r="AB4127"/>
        </row>
        <row r="4128">
          <cell r="C4128">
            <v>0</v>
          </cell>
          <cell r="D4128">
            <v>0</v>
          </cell>
          <cell r="E4128">
            <v>0</v>
          </cell>
          <cell r="F4128">
            <v>0</v>
          </cell>
          <cell r="H4128">
            <v>1</v>
          </cell>
          <cell r="O4128">
            <v>308171</v>
          </cell>
          <cell r="P4128" t="str">
            <v>2022/018-0046-01</v>
          </cell>
          <cell r="Q4128" t="str">
            <v>EST POLTRONA CACAU TC N2021 (BRACO LADO DIREITO)</v>
          </cell>
          <cell r="R4128"/>
          <cell r="S4128"/>
          <cell r="T4128">
            <v>1.27</v>
          </cell>
          <cell r="U4128">
            <v>0.93</v>
          </cell>
          <cell r="V4128">
            <v>0.74</v>
          </cell>
          <cell r="W4128">
            <v>0</v>
          </cell>
          <cell r="X4128" t="str">
            <v>EST POLTRONA CACAU TC N2021 (BRACO LADO DIREITO) - 1,27x0,93x0,74H</v>
          </cell>
          <cell r="Y4128">
            <v>21825.040000000001</v>
          </cell>
          <cell r="Z4128">
            <v>0.5</v>
          </cell>
          <cell r="AA4128">
            <v>10912.52</v>
          </cell>
          <cell r="AB4128"/>
        </row>
        <row r="4129">
          <cell r="C4129">
            <v>0</v>
          </cell>
          <cell r="D4129">
            <v>0</v>
          </cell>
          <cell r="E4129">
            <v>0</v>
          </cell>
          <cell r="F4129">
            <v>0</v>
          </cell>
          <cell r="H4129">
            <v>1</v>
          </cell>
          <cell r="O4129">
            <v>308172</v>
          </cell>
          <cell r="P4129" t="str">
            <v>2022/018-0047-01</v>
          </cell>
          <cell r="Q4129" t="str">
            <v>EST BANQUETA CACAU TC N2021</v>
          </cell>
          <cell r="R4129"/>
          <cell r="S4129"/>
          <cell r="T4129">
            <v>0.92</v>
          </cell>
          <cell r="U4129">
            <v>0.57999999999999996</v>
          </cell>
          <cell r="V4129">
            <v>0.4</v>
          </cell>
          <cell r="W4129">
            <v>0</v>
          </cell>
          <cell r="X4129" t="str">
            <v>EST BANQUETA CACAU TC N2021 - 0,92x0,58x0,4H</v>
          </cell>
          <cell r="Y4129">
            <v>11427.76</v>
          </cell>
          <cell r="Z4129">
            <v>0.5</v>
          </cell>
          <cell r="AA4129">
            <v>5713.88</v>
          </cell>
          <cell r="AB4129"/>
        </row>
        <row r="4130">
          <cell r="C4130">
            <v>0</v>
          </cell>
          <cell r="D4130">
            <v>0</v>
          </cell>
          <cell r="E4130">
            <v>0</v>
          </cell>
          <cell r="F4130">
            <v>0</v>
          </cell>
          <cell r="H4130">
            <v>1</v>
          </cell>
          <cell r="O4130">
            <v>308175</v>
          </cell>
          <cell r="P4130" t="str">
            <v>2022/018-0037-01</v>
          </cell>
          <cell r="Q4130" t="str">
            <v>EST POLTRONA CACAU TC N2008 (BRACO LADO DIREITO)</v>
          </cell>
          <cell r="R4130"/>
          <cell r="S4130"/>
          <cell r="T4130">
            <v>1.27</v>
          </cell>
          <cell r="U4130">
            <v>0.93</v>
          </cell>
          <cell r="V4130">
            <v>0.74</v>
          </cell>
          <cell r="W4130">
            <v>0</v>
          </cell>
          <cell r="X4130" t="str">
            <v>EST POLTRONA CACAU TC N2008 (BRACO LADO DIREITO) - 1,27x0,93x0,74H</v>
          </cell>
          <cell r="Y4130">
            <v>21825.040000000001</v>
          </cell>
          <cell r="Z4130">
            <v>0.5</v>
          </cell>
          <cell r="AA4130">
            <v>10912.52</v>
          </cell>
          <cell r="AB4130"/>
        </row>
        <row r="4131">
          <cell r="C4131">
            <v>0</v>
          </cell>
          <cell r="D4131">
            <v>0</v>
          </cell>
          <cell r="E4131">
            <v>0</v>
          </cell>
          <cell r="F4131">
            <v>0</v>
          </cell>
          <cell r="H4131">
            <v>1</v>
          </cell>
          <cell r="O4131">
            <v>308176</v>
          </cell>
          <cell r="P4131" t="str">
            <v>2022/018-0038-01</v>
          </cell>
          <cell r="Q4131" t="str">
            <v>EST BANQUETA CACAU TC N2008</v>
          </cell>
          <cell r="R4131"/>
          <cell r="S4131"/>
          <cell r="T4131">
            <v>0.92</v>
          </cell>
          <cell r="U4131">
            <v>0.57999999999999996</v>
          </cell>
          <cell r="V4131">
            <v>0.4</v>
          </cell>
          <cell r="W4131">
            <v>0</v>
          </cell>
          <cell r="X4131" t="str">
            <v>EST BANQUETA CACAU TC N2008 - 0,92x0,58x0,4H</v>
          </cell>
          <cell r="Y4131">
            <v>11427.76</v>
          </cell>
          <cell r="Z4131">
            <v>0.5</v>
          </cell>
          <cell r="AA4131">
            <v>5713.88</v>
          </cell>
          <cell r="AB4131"/>
        </row>
        <row r="4132">
          <cell r="C4132">
            <v>0</v>
          </cell>
          <cell r="D4132">
            <v>0</v>
          </cell>
          <cell r="E4132">
            <v>0</v>
          </cell>
          <cell r="F4132">
            <v>0</v>
          </cell>
          <cell r="H4132">
            <v>2</v>
          </cell>
          <cell r="O4132">
            <v>308179</v>
          </cell>
          <cell r="P4132" t="str">
            <v>2021/354-0047-01</v>
          </cell>
          <cell r="Q4132" t="str">
            <v>EST ACESSORIO BANDEJA OCA MARMORE JADORE</v>
          </cell>
          <cell r="R4132"/>
          <cell r="S4132"/>
          <cell r="T4132">
            <v>0.3</v>
          </cell>
          <cell r="U4132">
            <v>0</v>
          </cell>
          <cell r="V4132">
            <v>0.02</v>
          </cell>
          <cell r="W4132">
            <v>0.32</v>
          </cell>
          <cell r="X4132" t="str">
            <v>EST ACESSORIO BANDEJA OCA MARMORE JADORE - Ø0,32x0,02H</v>
          </cell>
          <cell r="Y4132">
            <v>4243.68</v>
          </cell>
          <cell r="Z4132">
            <v>0.5</v>
          </cell>
          <cell r="AA4132">
            <v>2121.84</v>
          </cell>
          <cell r="AB4132"/>
        </row>
        <row r="4133">
          <cell r="C4133">
            <v>0</v>
          </cell>
          <cell r="D4133">
            <v>0</v>
          </cell>
          <cell r="E4133">
            <v>0</v>
          </cell>
          <cell r="F4133">
            <v>0</v>
          </cell>
          <cell r="H4133">
            <v>1</v>
          </cell>
          <cell r="O4133">
            <v>308716</v>
          </cell>
          <cell r="P4133" t="str">
            <v>2021/287-0004-01</v>
          </cell>
          <cell r="Q4133" t="str">
            <v>EST BUFFET DIXIE (TP NERO/LAMINADO CARV OAK PRETO/MTX PRETO)</v>
          </cell>
          <cell r="R4133"/>
          <cell r="S4133"/>
          <cell r="T4133">
            <v>1.6</v>
          </cell>
          <cell r="U4133">
            <v>0.51</v>
          </cell>
          <cell r="V4133">
            <v>0.76</v>
          </cell>
          <cell r="W4133">
            <v>0</v>
          </cell>
          <cell r="X4133" t="str">
            <v>EST BUFFET DIXIE (TP NERO/LAMINADO CARV OAK PRETO/MTX PRETO) - 1,6x0,51x0,76H</v>
          </cell>
          <cell r="Y4133">
            <v>59354.400000000001</v>
          </cell>
          <cell r="Z4133">
            <v>0.5</v>
          </cell>
          <cell r="AA4133">
            <v>29677.200000000001</v>
          </cell>
          <cell r="AB4133"/>
        </row>
        <row r="4134">
          <cell r="C4134">
            <v>0</v>
          </cell>
          <cell r="D4134">
            <v>1</v>
          </cell>
          <cell r="E4134">
            <v>0</v>
          </cell>
          <cell r="F4134">
            <v>0</v>
          </cell>
          <cell r="H4134">
            <v>7</v>
          </cell>
          <cell r="O4134">
            <v>308799</v>
          </cell>
          <cell r="P4134" t="str">
            <v>2022/165-0015-01</v>
          </cell>
          <cell r="Q4134" t="str">
            <v>EST CADEIRA 60 C/BRACO (EUC EBANIZ) CS0125/BOUT COURO 3815-1</v>
          </cell>
          <cell r="R4134"/>
          <cell r="S4134"/>
          <cell r="T4134">
            <v>0.56000000000000005</v>
          </cell>
          <cell r="U4134">
            <v>0.59</v>
          </cell>
          <cell r="V4134">
            <v>0.84</v>
          </cell>
          <cell r="W4134">
            <v>0</v>
          </cell>
          <cell r="X4134" t="str">
            <v>EST CADEIRA 60 C/BRACO (EUC EBANIZ) CS0125/BOUT COURO 3815-1 - 0,56x0,59x0,84H</v>
          </cell>
          <cell r="Y4134">
            <v>7016.8</v>
          </cell>
          <cell r="Z4134">
            <v>0.5</v>
          </cell>
          <cell r="AA4134">
            <v>3508.4</v>
          </cell>
          <cell r="AB4134"/>
        </row>
        <row r="4135">
          <cell r="C4135">
            <v>0</v>
          </cell>
          <cell r="D4135">
            <v>1</v>
          </cell>
          <cell r="E4135">
            <v>0</v>
          </cell>
          <cell r="F4135">
            <v>0</v>
          </cell>
          <cell r="H4135">
            <v>7</v>
          </cell>
          <cell r="O4135">
            <v>308799</v>
          </cell>
          <cell r="P4135" t="str">
            <v>2022/165-0016-01</v>
          </cell>
          <cell r="Q4135" t="str">
            <v>EST CADEIRA 60 C/BRACO (EUC EBANIZ) CS0125/BOUT COURO 3815-1</v>
          </cell>
          <cell r="R4135"/>
          <cell r="S4135"/>
          <cell r="T4135">
            <v>0.56000000000000005</v>
          </cell>
          <cell r="U4135">
            <v>0.59</v>
          </cell>
          <cell r="V4135">
            <v>0.84</v>
          </cell>
          <cell r="W4135">
            <v>0</v>
          </cell>
          <cell r="X4135" t="str">
            <v>EST CADEIRA 60 C/BRACO (EUC EBANIZ) CS0125/BOUT COURO 3815-1 - 0,56x0,59x0,84H</v>
          </cell>
          <cell r="Y4135">
            <v>7016.8</v>
          </cell>
          <cell r="Z4135">
            <v>0.5</v>
          </cell>
          <cell r="AA4135">
            <v>3508.4</v>
          </cell>
          <cell r="AB4135"/>
        </row>
        <row r="4136">
          <cell r="C4136">
            <v>0</v>
          </cell>
          <cell r="D4136">
            <v>1</v>
          </cell>
          <cell r="E4136">
            <v>0</v>
          </cell>
          <cell r="F4136">
            <v>0</v>
          </cell>
          <cell r="H4136">
            <v>7</v>
          </cell>
          <cell r="O4136">
            <v>308799</v>
          </cell>
          <cell r="P4136" t="str">
            <v>2022/165-0017-01</v>
          </cell>
          <cell r="Q4136" t="str">
            <v>EST CADEIRA 60 C/BRACO (EUC EBANIZ) CS0125/BOUT COURO 3815-1</v>
          </cell>
          <cell r="R4136"/>
          <cell r="S4136"/>
          <cell r="T4136">
            <v>0.56000000000000005</v>
          </cell>
          <cell r="U4136">
            <v>0.59</v>
          </cell>
          <cell r="V4136">
            <v>0.84</v>
          </cell>
          <cell r="W4136">
            <v>0</v>
          </cell>
          <cell r="X4136" t="str">
            <v>EST CADEIRA 60 C/BRACO (EUC EBANIZ) CS0125/BOUT COURO 3815-1 - 0,56x0,59x0,84H</v>
          </cell>
          <cell r="Y4136">
            <v>7016.8</v>
          </cell>
          <cell r="Z4136">
            <v>0.5</v>
          </cell>
          <cell r="AA4136">
            <v>3508.4</v>
          </cell>
          <cell r="AB4136"/>
        </row>
        <row r="4137">
          <cell r="C4137">
            <v>0</v>
          </cell>
          <cell r="D4137">
            <v>1</v>
          </cell>
          <cell r="E4137">
            <v>0</v>
          </cell>
          <cell r="F4137">
            <v>0</v>
          </cell>
          <cell r="H4137">
            <v>7</v>
          </cell>
          <cell r="O4137">
            <v>308799</v>
          </cell>
          <cell r="P4137" t="str">
            <v>2022/165-0018-01</v>
          </cell>
          <cell r="Q4137" t="str">
            <v>EST CADEIRA 60 C/BRACO (EUC EBANIZ) CS0125/BOUT COURO 3815-1</v>
          </cell>
          <cell r="R4137"/>
          <cell r="S4137"/>
          <cell r="T4137">
            <v>0.56000000000000005</v>
          </cell>
          <cell r="U4137">
            <v>0.59</v>
          </cell>
          <cell r="V4137">
            <v>0.84</v>
          </cell>
          <cell r="W4137">
            <v>0</v>
          </cell>
          <cell r="X4137" t="str">
            <v>EST CADEIRA 60 C/BRACO (EUC EBANIZ) CS0125/BOUT COURO 3815-1 - 0,56x0,59x0,84H</v>
          </cell>
          <cell r="Y4137">
            <v>7016.8</v>
          </cell>
          <cell r="Z4137">
            <v>0.5</v>
          </cell>
          <cell r="AA4137">
            <v>3508.4</v>
          </cell>
          <cell r="AB4137"/>
        </row>
        <row r="4138">
          <cell r="C4138">
            <v>0</v>
          </cell>
          <cell r="D4138">
            <v>1</v>
          </cell>
          <cell r="E4138">
            <v>0</v>
          </cell>
          <cell r="F4138">
            <v>0</v>
          </cell>
          <cell r="H4138">
            <v>7</v>
          </cell>
          <cell r="O4138">
            <v>308799</v>
          </cell>
          <cell r="P4138" t="str">
            <v>2022/165-0019-01</v>
          </cell>
          <cell r="Q4138" t="str">
            <v>EST CADEIRA 60 C/BRACO (EUC EBANIZ) CS0125/BOUT COURO 3815-1</v>
          </cell>
          <cell r="R4138"/>
          <cell r="S4138"/>
          <cell r="T4138">
            <v>0.56000000000000005</v>
          </cell>
          <cell r="U4138">
            <v>0.59</v>
          </cell>
          <cell r="V4138">
            <v>0.84</v>
          </cell>
          <cell r="W4138">
            <v>0</v>
          </cell>
          <cell r="X4138" t="str">
            <v>EST CADEIRA 60 C/BRACO (EUC EBANIZ) CS0125/BOUT COURO 3815-1 - 0,56x0,59x0,84H</v>
          </cell>
          <cell r="Y4138">
            <v>7016.8</v>
          </cell>
          <cell r="Z4138">
            <v>0.5</v>
          </cell>
          <cell r="AA4138">
            <v>3508.4</v>
          </cell>
          <cell r="AB4138"/>
        </row>
        <row r="4139">
          <cell r="C4139">
            <v>0</v>
          </cell>
          <cell r="D4139">
            <v>1</v>
          </cell>
          <cell r="E4139">
            <v>0</v>
          </cell>
          <cell r="F4139">
            <v>0</v>
          </cell>
          <cell r="H4139">
            <v>7</v>
          </cell>
          <cell r="O4139">
            <v>308799</v>
          </cell>
          <cell r="P4139" t="str">
            <v>2022/165-0020-01</v>
          </cell>
          <cell r="Q4139" t="str">
            <v>EST CADEIRA 60 C/BRACO (EUC EBANIZ) CS0125/BOUT COURO 3815-1</v>
          </cell>
          <cell r="R4139"/>
          <cell r="S4139"/>
          <cell r="T4139">
            <v>0.56000000000000005</v>
          </cell>
          <cell r="U4139">
            <v>0.59</v>
          </cell>
          <cell r="V4139">
            <v>0.84</v>
          </cell>
          <cell r="W4139">
            <v>0</v>
          </cell>
          <cell r="X4139" t="str">
            <v>EST CADEIRA 60 C/BRACO (EUC EBANIZ) CS0125/BOUT COURO 3815-1 - 0,56x0,59x0,84H</v>
          </cell>
          <cell r="Y4139">
            <v>7016.8</v>
          </cell>
          <cell r="Z4139">
            <v>0.5</v>
          </cell>
          <cell r="AA4139">
            <v>3508.4</v>
          </cell>
          <cell r="AB4139"/>
        </row>
        <row r="4140">
          <cell r="C4140">
            <v>0</v>
          </cell>
          <cell r="D4140">
            <v>1</v>
          </cell>
          <cell r="E4140">
            <v>0</v>
          </cell>
          <cell r="F4140">
            <v>0</v>
          </cell>
          <cell r="H4140">
            <v>7</v>
          </cell>
          <cell r="O4140">
            <v>308799</v>
          </cell>
          <cell r="P4140" t="str">
            <v>2022/165-0021-01</v>
          </cell>
          <cell r="Q4140" t="str">
            <v>EST CADEIRA 60 C/BRACO (EUC EBANIZ) CS0125/BOUT COURO 3815-1</v>
          </cell>
          <cell r="R4140"/>
          <cell r="S4140"/>
          <cell r="T4140">
            <v>0.56000000000000005</v>
          </cell>
          <cell r="U4140">
            <v>0.59</v>
          </cell>
          <cell r="V4140">
            <v>0.84</v>
          </cell>
          <cell r="W4140">
            <v>0</v>
          </cell>
          <cell r="X4140" t="str">
            <v>EST CADEIRA 60 C/BRACO (EUC EBANIZ) CS0125/BOUT COURO 3815-1 - 0,56x0,59x0,84H</v>
          </cell>
          <cell r="Y4140">
            <v>7016.8</v>
          </cell>
          <cell r="Z4140">
            <v>0.5</v>
          </cell>
          <cell r="AA4140">
            <v>3508.4</v>
          </cell>
          <cell r="AB4140"/>
        </row>
        <row r="4141">
          <cell r="C4141">
            <v>0</v>
          </cell>
          <cell r="D4141">
            <v>0</v>
          </cell>
          <cell r="E4141">
            <v>0</v>
          </cell>
          <cell r="F4141">
            <v>0</v>
          </cell>
          <cell r="H4141">
            <v>5</v>
          </cell>
          <cell r="O4141">
            <v>309891</v>
          </cell>
          <cell r="P4141" t="str">
            <v>2021/354-0039-01</v>
          </cell>
          <cell r="Q4141" t="str">
            <v>EST COMPONENTE PRATELEIRA ESTANTE VO (UNIAO) (LAM 2 NOG)</v>
          </cell>
          <cell r="R4141"/>
          <cell r="S4141"/>
          <cell r="T4141">
            <v>0.6</v>
          </cell>
          <cell r="U4141">
            <v>0.39</v>
          </cell>
          <cell r="V4141">
            <v>0.02</v>
          </cell>
          <cell r="W4141">
            <v>0</v>
          </cell>
          <cell r="X4141" t="str">
            <v>EST COMPONENTE PRATELEIRA ESTANTE VO (UNIAO) (LAM 2 NOG) - 0,6x0,39x0,02H</v>
          </cell>
          <cell r="Y4141">
            <v>2603.1</v>
          </cell>
          <cell r="Z4141">
            <v>0.5</v>
          </cell>
          <cell r="AA4141">
            <v>1301.55</v>
          </cell>
          <cell r="AB4141"/>
        </row>
        <row r="4142">
          <cell r="C4142">
            <v>0</v>
          </cell>
          <cell r="D4142">
            <v>0</v>
          </cell>
          <cell r="E4142">
            <v>0</v>
          </cell>
          <cell r="F4142">
            <v>0</v>
          </cell>
          <cell r="H4142">
            <v>5</v>
          </cell>
          <cell r="O4142">
            <v>309891</v>
          </cell>
          <cell r="P4142" t="str">
            <v>2021/354-0040-01</v>
          </cell>
          <cell r="Q4142" t="str">
            <v>EST COMPONENTE PRATELEIRA ESTANTE VO (UNIAO) (LAM 2 NOG)</v>
          </cell>
          <cell r="R4142"/>
          <cell r="S4142"/>
          <cell r="T4142">
            <v>0.6</v>
          </cell>
          <cell r="U4142">
            <v>0.39</v>
          </cell>
          <cell r="V4142">
            <v>0.02</v>
          </cell>
          <cell r="W4142">
            <v>0</v>
          </cell>
          <cell r="X4142" t="str">
            <v>EST COMPONENTE PRATELEIRA ESTANTE VO (UNIAO) (LAM 2 NOG) - 0,6x0,39x0,02H</v>
          </cell>
          <cell r="Y4142">
            <v>2603.1</v>
          </cell>
          <cell r="Z4142">
            <v>0.5</v>
          </cell>
          <cell r="AA4142">
            <v>1301.55</v>
          </cell>
          <cell r="AB4142"/>
        </row>
        <row r="4143">
          <cell r="C4143">
            <v>0</v>
          </cell>
          <cell r="D4143">
            <v>0</v>
          </cell>
          <cell r="E4143">
            <v>0</v>
          </cell>
          <cell r="F4143">
            <v>0</v>
          </cell>
          <cell r="H4143">
            <v>5</v>
          </cell>
          <cell r="O4143">
            <v>309891</v>
          </cell>
          <cell r="P4143" t="str">
            <v>2021/354-0041-01</v>
          </cell>
          <cell r="Q4143" t="str">
            <v>EST COMPONENTE PRATELEIRA ESTANTE VO (UNIAO) (LAM 2 NOG)</v>
          </cell>
          <cell r="R4143"/>
          <cell r="S4143"/>
          <cell r="T4143">
            <v>0.6</v>
          </cell>
          <cell r="U4143">
            <v>0.39</v>
          </cell>
          <cell r="V4143">
            <v>0.02</v>
          </cell>
          <cell r="W4143">
            <v>0</v>
          </cell>
          <cell r="X4143" t="str">
            <v>EST COMPONENTE PRATELEIRA ESTANTE VO (UNIAO) (LAM 2 NOG) - 0,6x0,39x0,02H</v>
          </cell>
          <cell r="Y4143">
            <v>2603.1</v>
          </cell>
          <cell r="Z4143">
            <v>0.5</v>
          </cell>
          <cell r="AA4143">
            <v>1301.55</v>
          </cell>
          <cell r="AB4143"/>
        </row>
        <row r="4144">
          <cell r="C4144">
            <v>0</v>
          </cell>
          <cell r="D4144">
            <v>0</v>
          </cell>
          <cell r="E4144">
            <v>0</v>
          </cell>
          <cell r="F4144">
            <v>0</v>
          </cell>
          <cell r="H4144">
            <v>5</v>
          </cell>
          <cell r="O4144">
            <v>309891</v>
          </cell>
          <cell r="P4144" t="str">
            <v>2021/354-0042-01</v>
          </cell>
          <cell r="Q4144" t="str">
            <v>EST COMPONENTE PRATELEIRA ESTANTE VO (UNIAO) (LAM 2 NOG)</v>
          </cell>
          <cell r="R4144"/>
          <cell r="S4144"/>
          <cell r="T4144">
            <v>0.6</v>
          </cell>
          <cell r="U4144">
            <v>0.39</v>
          </cell>
          <cell r="V4144">
            <v>0.02</v>
          </cell>
          <cell r="W4144">
            <v>0</v>
          </cell>
          <cell r="X4144" t="str">
            <v>EST COMPONENTE PRATELEIRA ESTANTE VO (UNIAO) (LAM 2 NOG) - 0,6x0,39x0,02H</v>
          </cell>
          <cell r="Y4144">
            <v>2603.1</v>
          </cell>
          <cell r="Z4144">
            <v>0.5</v>
          </cell>
          <cell r="AA4144">
            <v>1301.55</v>
          </cell>
          <cell r="AB4144"/>
        </row>
        <row r="4145">
          <cell r="C4145">
            <v>0</v>
          </cell>
          <cell r="D4145">
            <v>0</v>
          </cell>
          <cell r="E4145">
            <v>0</v>
          </cell>
          <cell r="F4145">
            <v>0</v>
          </cell>
          <cell r="H4145">
            <v>5</v>
          </cell>
          <cell r="O4145">
            <v>309891</v>
          </cell>
          <cell r="P4145" t="str">
            <v>2021/354-0043-01</v>
          </cell>
          <cell r="Q4145" t="str">
            <v>EST COMPONENTE PRATELEIRA ESTANTE VO (UNIAO) (LAM 2 NOG)</v>
          </cell>
          <cell r="R4145"/>
          <cell r="S4145"/>
          <cell r="T4145">
            <v>0.6</v>
          </cell>
          <cell r="U4145">
            <v>0.39</v>
          </cell>
          <cell r="V4145">
            <v>0.02</v>
          </cell>
          <cell r="W4145">
            <v>0</v>
          </cell>
          <cell r="X4145" t="str">
            <v>EST COMPONENTE PRATELEIRA ESTANTE VO (UNIAO) (LAM 2 NOG) - 0,6x0,39x0,02H</v>
          </cell>
          <cell r="Y4145">
            <v>2603.1</v>
          </cell>
          <cell r="Z4145">
            <v>0.5</v>
          </cell>
          <cell r="AA4145">
            <v>1301.55</v>
          </cell>
          <cell r="AB4145"/>
        </row>
        <row r="4146">
          <cell r="C4146">
            <v>0</v>
          </cell>
          <cell r="D4146">
            <v>0</v>
          </cell>
          <cell r="E4146">
            <v>0</v>
          </cell>
          <cell r="F4146">
            <v>0</v>
          </cell>
          <cell r="H4146">
            <v>5</v>
          </cell>
          <cell r="O4146">
            <v>309891</v>
          </cell>
          <cell r="P4146" t="str">
            <v>2021/354-0044-01</v>
          </cell>
          <cell r="Q4146" t="str">
            <v>EST COMPONENTE PRATELEIRA ESTANTE VO (UNIAO) (LAM 2 NOG)</v>
          </cell>
          <cell r="R4146"/>
          <cell r="S4146"/>
          <cell r="T4146">
            <v>0.6</v>
          </cell>
          <cell r="U4146">
            <v>0.39</v>
          </cell>
          <cell r="V4146">
            <v>0.02</v>
          </cell>
          <cell r="W4146">
            <v>0</v>
          </cell>
          <cell r="X4146" t="str">
            <v>EST COMPONENTE PRATELEIRA ESTANTE VO (UNIAO) (LAM 2 NOG) - 0,6x0,39x0,02H</v>
          </cell>
          <cell r="Y4146">
            <v>2603.1</v>
          </cell>
          <cell r="Z4146">
            <v>0.5</v>
          </cell>
          <cell r="AA4146">
            <v>1301.55</v>
          </cell>
          <cell r="AB4146"/>
        </row>
        <row r="4147">
          <cell r="C4147">
            <v>0</v>
          </cell>
          <cell r="D4147">
            <v>0</v>
          </cell>
          <cell r="E4147">
            <v>0</v>
          </cell>
          <cell r="F4147">
            <v>0</v>
          </cell>
          <cell r="H4147">
            <v>1</v>
          </cell>
          <cell r="O4147">
            <v>76865</v>
          </cell>
          <cell r="P4147" t="str">
            <v>1012/303-0355-01</v>
          </cell>
          <cell r="Q4147" t="str">
            <v>EST BASE JANTAR MULTILAMINADA (FREIJO NATURAL)</v>
          </cell>
          <cell r="R4147"/>
          <cell r="S4147"/>
          <cell r="T4147">
            <v>0.75</v>
          </cell>
          <cell r="U4147">
            <v>0</v>
          </cell>
          <cell r="V4147">
            <v>0.75</v>
          </cell>
          <cell r="W4147">
            <v>0.75</v>
          </cell>
          <cell r="X4147" t="str">
            <v>EST BASE JANTAR MULTILAMINADA (FREIJO NATURAL) - Ø0,75x0,75H</v>
          </cell>
          <cell r="Y4147">
            <v>4480</v>
          </cell>
          <cell r="Z4147">
            <v>0.5</v>
          </cell>
          <cell r="AA4147">
            <v>2240</v>
          </cell>
          <cell r="AB4147"/>
        </row>
        <row r="4148">
          <cell r="C4148">
            <v>0</v>
          </cell>
          <cell r="D4148">
            <v>0</v>
          </cell>
          <cell r="E4148">
            <v>1</v>
          </cell>
          <cell r="F4148">
            <v>0</v>
          </cell>
          <cell r="H4148">
            <v>1</v>
          </cell>
          <cell r="O4148">
            <v>312421</v>
          </cell>
          <cell r="P4148" t="str">
            <v>2022/039-0002-01</v>
          </cell>
          <cell r="Q4148" t="str">
            <v>EST QUADRO CARBONE DIAGONAL</v>
          </cell>
          <cell r="R4148"/>
          <cell r="S4148"/>
          <cell r="T4148">
            <v>1</v>
          </cell>
          <cell r="U4148">
            <v>0.7</v>
          </cell>
          <cell r="V4148">
            <v>0</v>
          </cell>
          <cell r="W4148">
            <v>0</v>
          </cell>
          <cell r="X4148" t="str">
            <v>EST QUADRO CARBONE DIAGONAL - 1x0,7x0H</v>
          </cell>
          <cell r="Y4148">
            <v>3245.76</v>
          </cell>
          <cell r="Z4148">
            <v>0.5</v>
          </cell>
          <cell r="AA4148">
            <v>1622.88</v>
          </cell>
          <cell r="AB4148"/>
        </row>
        <row r="4149">
          <cell r="C4149">
            <v>0</v>
          </cell>
          <cell r="D4149">
            <v>0</v>
          </cell>
          <cell r="E4149">
            <v>1</v>
          </cell>
          <cell r="F4149">
            <v>0</v>
          </cell>
          <cell r="H4149">
            <v>1</v>
          </cell>
          <cell r="O4149">
            <v>312421</v>
          </cell>
          <cell r="P4149" t="str">
            <v>2022/039-0004-01</v>
          </cell>
          <cell r="Q4149" t="str">
            <v>EST QUADRO CARBONE DIAGONAL</v>
          </cell>
          <cell r="R4149"/>
          <cell r="S4149"/>
          <cell r="T4149">
            <v>1</v>
          </cell>
          <cell r="U4149">
            <v>0.7</v>
          </cell>
          <cell r="V4149">
            <v>0</v>
          </cell>
          <cell r="W4149">
            <v>0</v>
          </cell>
          <cell r="X4149" t="str">
            <v>EST QUADRO CARBONE DIAGONAL - 1x0,7x0H</v>
          </cell>
          <cell r="Y4149">
            <v>3245.76</v>
          </cell>
          <cell r="Z4149">
            <v>0.5</v>
          </cell>
          <cell r="AA4149">
            <v>1622.88</v>
          </cell>
          <cell r="AB4149"/>
        </row>
        <row r="4150">
          <cell r="C4150">
            <v>0</v>
          </cell>
          <cell r="D4150">
            <v>0</v>
          </cell>
          <cell r="E4150">
            <v>2</v>
          </cell>
          <cell r="F4150">
            <v>0</v>
          </cell>
          <cell r="H4150">
            <v>0</v>
          </cell>
          <cell r="O4150">
            <v>312422</v>
          </cell>
          <cell r="P4150" t="str">
            <v>2022/039-0005-01</v>
          </cell>
          <cell r="Q4150" t="str">
            <v>EST QUADRO CARBONE VERTICAL</v>
          </cell>
          <cell r="R4150"/>
          <cell r="S4150"/>
          <cell r="T4150">
            <v>1</v>
          </cell>
          <cell r="U4150">
            <v>0.7</v>
          </cell>
          <cell r="V4150">
            <v>0</v>
          </cell>
          <cell r="W4150">
            <v>0</v>
          </cell>
          <cell r="X4150" t="str">
            <v>EST QUADRO CARBONE VERTICAL - 1x0,7x0H</v>
          </cell>
          <cell r="Y4150">
            <v>3245.76</v>
          </cell>
          <cell r="Z4150">
            <v>0.5</v>
          </cell>
          <cell r="AA4150">
            <v>1622.88</v>
          </cell>
          <cell r="AB4150"/>
        </row>
        <row r="4151">
          <cell r="C4151">
            <v>0</v>
          </cell>
          <cell r="D4151">
            <v>0</v>
          </cell>
          <cell r="E4151">
            <v>2</v>
          </cell>
          <cell r="F4151">
            <v>0</v>
          </cell>
          <cell r="H4151">
            <v>0</v>
          </cell>
          <cell r="O4151">
            <v>312422</v>
          </cell>
          <cell r="P4151" t="str">
            <v>2022/039-0007-01</v>
          </cell>
          <cell r="Q4151" t="str">
            <v>EST QUADRO CARBONE VERTICAL</v>
          </cell>
          <cell r="R4151"/>
          <cell r="S4151"/>
          <cell r="T4151">
            <v>1</v>
          </cell>
          <cell r="U4151">
            <v>0.7</v>
          </cell>
          <cell r="V4151">
            <v>0</v>
          </cell>
          <cell r="W4151">
            <v>0</v>
          </cell>
          <cell r="X4151" t="str">
            <v>EST QUADRO CARBONE VERTICAL - 1x0,7x0H</v>
          </cell>
          <cell r="Y4151">
            <v>3245.76</v>
          </cell>
          <cell r="Z4151">
            <v>0.5</v>
          </cell>
          <cell r="AA4151">
            <v>1622.88</v>
          </cell>
          <cell r="AB4151"/>
        </row>
        <row r="4152">
          <cell r="C4152">
            <v>0</v>
          </cell>
          <cell r="D4152">
            <v>0</v>
          </cell>
          <cell r="E4152">
            <v>0</v>
          </cell>
          <cell r="F4152">
            <v>0</v>
          </cell>
          <cell r="H4152">
            <v>3</v>
          </cell>
          <cell r="O4152">
            <v>312427</v>
          </cell>
          <cell r="P4152" t="str">
            <v>2022/039-0018-01</v>
          </cell>
          <cell r="Q4152" t="str">
            <v>EST QUADRO GALEE BAEM (COD960)</v>
          </cell>
          <cell r="R4152"/>
          <cell r="S4152"/>
          <cell r="T4152">
            <v>1.7</v>
          </cell>
          <cell r="U4152">
            <v>1</v>
          </cell>
          <cell r="V4152">
            <v>0</v>
          </cell>
          <cell r="W4152">
            <v>0</v>
          </cell>
          <cell r="X4152" t="str">
            <v>EST QUADRO GALEE BAEM (COD960) - 1,7x1x0H</v>
          </cell>
          <cell r="Y4152">
            <v>5597.76</v>
          </cell>
          <cell r="Z4152">
            <v>0.5</v>
          </cell>
          <cell r="AA4152">
            <v>2798.88</v>
          </cell>
          <cell r="AB4152"/>
        </row>
        <row r="4153">
          <cell r="C4153">
            <v>0</v>
          </cell>
          <cell r="D4153">
            <v>0</v>
          </cell>
          <cell r="E4153">
            <v>0</v>
          </cell>
          <cell r="F4153">
            <v>0</v>
          </cell>
          <cell r="H4153">
            <v>3</v>
          </cell>
          <cell r="O4153">
            <v>312427</v>
          </cell>
          <cell r="P4153" t="str">
            <v>2022/039-0016-01</v>
          </cell>
          <cell r="Q4153" t="str">
            <v>EST QUADRO GALEE BAEM (COD960)</v>
          </cell>
          <cell r="R4153"/>
          <cell r="S4153"/>
          <cell r="T4153">
            <v>1.7</v>
          </cell>
          <cell r="U4153">
            <v>1</v>
          </cell>
          <cell r="V4153">
            <v>0</v>
          </cell>
          <cell r="W4153">
            <v>0</v>
          </cell>
          <cell r="X4153" t="str">
            <v>EST QUADRO GALEE BAEM (COD960) - 1,7x1x0H</v>
          </cell>
          <cell r="Y4153">
            <v>5597.76</v>
          </cell>
          <cell r="Z4153">
            <v>0.5</v>
          </cell>
          <cell r="AA4153">
            <v>2798.88</v>
          </cell>
          <cell r="AB4153"/>
        </row>
        <row r="4154">
          <cell r="C4154">
            <v>0</v>
          </cell>
          <cell r="D4154">
            <v>0</v>
          </cell>
          <cell r="E4154">
            <v>0</v>
          </cell>
          <cell r="F4154">
            <v>0</v>
          </cell>
          <cell r="H4154">
            <v>2</v>
          </cell>
          <cell r="O4154">
            <v>312428</v>
          </cell>
          <cell r="P4154" t="str">
            <v>2022/039-0021-01</v>
          </cell>
          <cell r="Q4154" t="str">
            <v>EST QUADRO GALEE SAREE (COD961)</v>
          </cell>
          <cell r="R4154"/>
          <cell r="S4154"/>
          <cell r="T4154">
            <v>1.7</v>
          </cell>
          <cell r="U4154">
            <v>1</v>
          </cell>
          <cell r="V4154">
            <v>0</v>
          </cell>
          <cell r="W4154">
            <v>0</v>
          </cell>
          <cell r="X4154" t="str">
            <v>EST QUADRO GALEE SAREE (COD961) - 1,7x1x0H</v>
          </cell>
          <cell r="Y4154">
            <v>5597.76</v>
          </cell>
          <cell r="Z4154">
            <v>0.5</v>
          </cell>
          <cell r="AA4154">
            <v>2798.88</v>
          </cell>
          <cell r="AB4154"/>
        </row>
        <row r="4155">
          <cell r="C4155">
            <v>0</v>
          </cell>
          <cell r="D4155">
            <v>0</v>
          </cell>
          <cell r="E4155">
            <v>0</v>
          </cell>
          <cell r="F4155">
            <v>0</v>
          </cell>
          <cell r="H4155">
            <v>2</v>
          </cell>
          <cell r="O4155">
            <v>312428</v>
          </cell>
          <cell r="P4155" t="str">
            <v>2024/289-0104-01</v>
          </cell>
          <cell r="Q4155" t="str">
            <v>EST QUADRO GALEE SAREE (COD961)</v>
          </cell>
          <cell r="R4155"/>
          <cell r="S4155"/>
          <cell r="T4155">
            <v>1.7</v>
          </cell>
          <cell r="U4155">
            <v>1</v>
          </cell>
          <cell r="V4155">
            <v>0</v>
          </cell>
          <cell r="W4155">
            <v>0</v>
          </cell>
          <cell r="X4155" t="str">
            <v>EST QUADRO GALEE SAREE (COD961) - 1,7x1x0H</v>
          </cell>
          <cell r="Y4155">
            <v>5597.76</v>
          </cell>
          <cell r="Z4155">
            <v>0.5</v>
          </cell>
          <cell r="AA4155">
            <v>2798.88</v>
          </cell>
          <cell r="AB4155"/>
        </row>
        <row r="4156">
          <cell r="C4156">
            <v>1</v>
          </cell>
          <cell r="D4156">
            <v>0</v>
          </cell>
          <cell r="E4156">
            <v>0</v>
          </cell>
          <cell r="F4156">
            <v>0</v>
          </cell>
          <cell r="H4156">
            <v>1</v>
          </cell>
          <cell r="O4156">
            <v>312433</v>
          </cell>
          <cell r="P4156" t="str">
            <v>2022/039-0036-01</v>
          </cell>
          <cell r="Q4156" t="str">
            <v>EST QUADRO SAVANA TARTARUGA (LADO DIREITO)</v>
          </cell>
          <cell r="R4156"/>
          <cell r="S4156"/>
          <cell r="T4156">
            <v>1</v>
          </cell>
          <cell r="U4156">
            <v>0.7</v>
          </cell>
          <cell r="V4156">
            <v>0</v>
          </cell>
          <cell r="W4156">
            <v>0</v>
          </cell>
          <cell r="X4156" t="str">
            <v>EST QUADRO SAVANA TARTARUGA (LADO DIREITO) - 1x0,7x0H</v>
          </cell>
          <cell r="Y4156">
            <v>2676.58</v>
          </cell>
          <cell r="Z4156">
            <v>0.5</v>
          </cell>
          <cell r="AA4156">
            <v>1338.29</v>
          </cell>
          <cell r="AB4156"/>
        </row>
        <row r="4157">
          <cell r="C4157">
            <v>2</v>
          </cell>
          <cell r="D4157">
            <v>4</v>
          </cell>
          <cell r="E4157">
            <v>0</v>
          </cell>
          <cell r="F4157">
            <v>0</v>
          </cell>
          <cell r="H4157">
            <v>0</v>
          </cell>
          <cell r="O4157">
            <v>314842</v>
          </cell>
          <cell r="P4157" t="str">
            <v>2021/344-0155-01</v>
          </cell>
          <cell r="Q4157" t="str">
            <v>EST ALMOFADA TRESSE CASTOR</v>
          </cell>
          <cell r="R4157"/>
          <cell r="S4157"/>
          <cell r="T4157">
            <v>0.5</v>
          </cell>
          <cell r="U4157">
            <v>0.5</v>
          </cell>
          <cell r="V4157">
            <v>0</v>
          </cell>
          <cell r="W4157">
            <v>0</v>
          </cell>
          <cell r="X4157" t="str">
            <v>EST ALMOFADA TRESSE CASTOR - 0,5x0,5x0H</v>
          </cell>
          <cell r="Y4157">
            <v>1320.7</v>
          </cell>
          <cell r="Z4157">
            <v>0.5</v>
          </cell>
          <cell r="AA4157">
            <v>660.35</v>
          </cell>
          <cell r="AB4157"/>
        </row>
        <row r="4158">
          <cell r="C4158">
            <v>2</v>
          </cell>
          <cell r="D4158">
            <v>4</v>
          </cell>
          <cell r="E4158">
            <v>0</v>
          </cell>
          <cell r="F4158">
            <v>0</v>
          </cell>
          <cell r="H4158">
            <v>0</v>
          </cell>
          <cell r="O4158">
            <v>314842</v>
          </cell>
          <cell r="P4158" t="str">
            <v>2021/344-0159-01</v>
          </cell>
          <cell r="Q4158" t="str">
            <v>EST ALMOFADA TRESSE CASTOR</v>
          </cell>
          <cell r="R4158"/>
          <cell r="S4158"/>
          <cell r="T4158">
            <v>0.5</v>
          </cell>
          <cell r="U4158">
            <v>0.5</v>
          </cell>
          <cell r="V4158">
            <v>0</v>
          </cell>
          <cell r="W4158">
            <v>0</v>
          </cell>
          <cell r="X4158" t="str">
            <v>EST ALMOFADA TRESSE CASTOR - 0,5x0,5x0H</v>
          </cell>
          <cell r="Y4158">
            <v>1320.7</v>
          </cell>
          <cell r="Z4158">
            <v>0.5</v>
          </cell>
          <cell r="AA4158">
            <v>660.35</v>
          </cell>
          <cell r="AB4158"/>
        </row>
        <row r="4159">
          <cell r="C4159">
            <v>0</v>
          </cell>
          <cell r="D4159">
            <v>0</v>
          </cell>
          <cell r="E4159">
            <v>0</v>
          </cell>
          <cell r="F4159">
            <v>0</v>
          </cell>
          <cell r="H4159">
            <v>1</v>
          </cell>
          <cell r="O4159">
            <v>316571</v>
          </cell>
          <cell r="P4159" t="str">
            <v>2022/034-0028-01</v>
          </cell>
          <cell r="Q4159" t="str">
            <v>EST ESTANTE VO (A) (MTZ ONIX PRETO) (LAM 2 NOGUEIRA)</v>
          </cell>
          <cell r="R4159"/>
          <cell r="S4159"/>
          <cell r="T4159">
            <v>1.04</v>
          </cell>
          <cell r="U4159">
            <v>0.45</v>
          </cell>
          <cell r="V4159">
            <v>2.11</v>
          </cell>
          <cell r="W4159">
            <v>0</v>
          </cell>
          <cell r="X4159" t="str">
            <v>EST ESTANTE VO (A) (MTZ ONIX PRETO) (LAM 2 NOGUEIRA) - 1,04x0,45x2,11H</v>
          </cell>
          <cell r="Y4159">
            <v>63617.43</v>
          </cell>
          <cell r="Z4159">
            <v>0.5</v>
          </cell>
          <cell r="AA4159">
            <v>31808.715</v>
          </cell>
          <cell r="AB4159"/>
        </row>
        <row r="4160">
          <cell r="C4160">
            <v>0</v>
          </cell>
          <cell r="D4160">
            <v>0</v>
          </cell>
          <cell r="E4160">
            <v>0</v>
          </cell>
          <cell r="F4160">
            <v>0</v>
          </cell>
          <cell r="H4160">
            <v>1</v>
          </cell>
          <cell r="O4160">
            <v>319905</v>
          </cell>
          <cell r="P4160" t="str">
            <v>2021/340-0001-01</v>
          </cell>
          <cell r="Q4160" t="str">
            <v>EST BANCO DALI FX D4163 PES ALUMINIO POLIDO</v>
          </cell>
          <cell r="R4160"/>
          <cell r="S4160"/>
          <cell r="T4160">
            <v>1.8</v>
          </cell>
          <cell r="U4160">
            <v>0.6</v>
          </cell>
          <cell r="V4160">
            <v>0.44</v>
          </cell>
          <cell r="W4160">
            <v>0</v>
          </cell>
          <cell r="X4160" t="str">
            <v>EST BANCO DALI FX D4163 PES ALUMINIO POLIDO - 1,8x0,6x0,44H</v>
          </cell>
          <cell r="Y4160">
            <v>11400.84</v>
          </cell>
          <cell r="Z4160">
            <v>0.5</v>
          </cell>
          <cell r="AA4160">
            <v>5700.42</v>
          </cell>
          <cell r="AB4160"/>
        </row>
        <row r="4161">
          <cell r="C4161">
            <v>0</v>
          </cell>
          <cell r="D4161">
            <v>0</v>
          </cell>
          <cell r="E4161">
            <v>0</v>
          </cell>
          <cell r="F4161">
            <v>0</v>
          </cell>
          <cell r="H4161">
            <v>8</v>
          </cell>
          <cell r="O4161">
            <v>320670</v>
          </cell>
          <cell r="P4161" t="str">
            <v>2022/083-0009-01</v>
          </cell>
          <cell r="Q4161" t="str">
            <v>EST CADEIRA JULIA C/BRACO (COURO PIG 42 VERDE) (PRETO FSC)</v>
          </cell>
          <cell r="R4161"/>
          <cell r="S4161"/>
          <cell r="T4161">
            <v>0.61</v>
          </cell>
          <cell r="U4161">
            <v>0.54</v>
          </cell>
          <cell r="V4161">
            <v>0.76</v>
          </cell>
          <cell r="W4161">
            <v>0</v>
          </cell>
          <cell r="X4161" t="str">
            <v>EST CADEIRA JULIA C/BRACO (COURO PIG 42 VERDE) (PRETO FSC) - 0,61x0,54x0,76H</v>
          </cell>
          <cell r="Y4161">
            <v>8798.630000000001</v>
          </cell>
          <cell r="Z4161">
            <v>0.5</v>
          </cell>
          <cell r="AA4161">
            <v>4399.3150000000005</v>
          </cell>
          <cell r="AB4161"/>
        </row>
        <row r="4162">
          <cell r="C4162">
            <v>0</v>
          </cell>
          <cell r="D4162">
            <v>0</v>
          </cell>
          <cell r="E4162">
            <v>0</v>
          </cell>
          <cell r="F4162">
            <v>0</v>
          </cell>
          <cell r="H4162">
            <v>8</v>
          </cell>
          <cell r="O4162">
            <v>320670</v>
          </cell>
          <cell r="P4162" t="str">
            <v>2022/083-0010-01</v>
          </cell>
          <cell r="Q4162" t="str">
            <v>EST CADEIRA JULIA C/BRACO (COURO PIG 42 VERDE) (PRETO FSC)</v>
          </cell>
          <cell r="R4162"/>
          <cell r="S4162"/>
          <cell r="T4162">
            <v>0.61</v>
          </cell>
          <cell r="U4162">
            <v>0.54</v>
          </cell>
          <cell r="V4162">
            <v>0.76</v>
          </cell>
          <cell r="W4162">
            <v>0</v>
          </cell>
          <cell r="X4162" t="str">
            <v>EST CADEIRA JULIA C/BRACO (COURO PIG 42 VERDE) (PRETO FSC) - 0,61x0,54x0,76H</v>
          </cell>
          <cell r="Y4162">
            <v>8798.630000000001</v>
          </cell>
          <cell r="Z4162">
            <v>0.5</v>
          </cell>
          <cell r="AA4162">
            <v>4399.3150000000005</v>
          </cell>
          <cell r="AB4162"/>
        </row>
        <row r="4163">
          <cell r="C4163">
            <v>0</v>
          </cell>
          <cell r="D4163">
            <v>0</v>
          </cell>
          <cell r="E4163">
            <v>0</v>
          </cell>
          <cell r="F4163">
            <v>0</v>
          </cell>
          <cell r="H4163">
            <v>1</v>
          </cell>
          <cell r="O4163">
            <v>320759</v>
          </cell>
          <cell r="P4163" t="str">
            <v>2022/053-0043-01</v>
          </cell>
          <cell r="Q4163" t="str">
            <v>EST POLTRONA PATER (IMBUIA) TAURUS 30/ALMOF FX6363</v>
          </cell>
          <cell r="R4163"/>
          <cell r="S4163"/>
          <cell r="T4163">
            <v>0.82</v>
          </cell>
          <cell r="U4163">
            <v>0.94</v>
          </cell>
          <cell r="V4163">
            <v>0.83</v>
          </cell>
          <cell r="W4163">
            <v>0</v>
          </cell>
          <cell r="X4163" t="str">
            <v>EST POLTRONA PATER (IMBUIA) TAURUS 30/ALMOF FX6363 - 0,82x0,94x0,83H</v>
          </cell>
          <cell r="Y4163">
            <v>30546.75</v>
          </cell>
          <cell r="Z4163">
            <v>0.5</v>
          </cell>
          <cell r="AA4163">
            <v>15273.375</v>
          </cell>
          <cell r="AB4163"/>
        </row>
        <row r="4164">
          <cell r="C4164">
            <v>0</v>
          </cell>
          <cell r="D4164">
            <v>0</v>
          </cell>
          <cell r="E4164">
            <v>0</v>
          </cell>
          <cell r="F4164">
            <v>0</v>
          </cell>
          <cell r="H4164">
            <v>1</v>
          </cell>
          <cell r="O4164">
            <v>320759</v>
          </cell>
          <cell r="P4164" t="str">
            <v>2022/061-0072-01</v>
          </cell>
          <cell r="Q4164" t="str">
            <v>EST POLTRONA PATER (IMBUIA) TAURUS 30/ALMOF FX6363</v>
          </cell>
          <cell r="R4164"/>
          <cell r="S4164"/>
          <cell r="T4164">
            <v>0.82</v>
          </cell>
          <cell r="U4164">
            <v>0.94</v>
          </cell>
          <cell r="V4164">
            <v>0.83</v>
          </cell>
          <cell r="W4164">
            <v>0</v>
          </cell>
          <cell r="X4164" t="str">
            <v>EST POLTRONA PATER (IMBUIA) TAURUS 30/ALMOF FX6363 - 0,82x0,94x0,83H</v>
          </cell>
          <cell r="Y4164">
            <v>30546.75</v>
          </cell>
          <cell r="Z4164">
            <v>0.5</v>
          </cell>
          <cell r="AA4164">
            <v>15273.375</v>
          </cell>
          <cell r="AB4164"/>
        </row>
        <row r="4165">
          <cell r="C4165">
            <v>0</v>
          </cell>
          <cell r="D4165">
            <v>0</v>
          </cell>
          <cell r="E4165">
            <v>0</v>
          </cell>
          <cell r="F4165">
            <v>0</v>
          </cell>
          <cell r="H4165">
            <v>1</v>
          </cell>
          <cell r="O4165">
            <v>320759</v>
          </cell>
          <cell r="P4165" t="str">
            <v>2022/061-0071-01</v>
          </cell>
          <cell r="Q4165" t="str">
            <v>EST POLTRONA PATER (IMBUIA) TAURUS 30/ALMOF FX6363</v>
          </cell>
          <cell r="R4165"/>
          <cell r="S4165"/>
          <cell r="T4165">
            <v>0.82</v>
          </cell>
          <cell r="U4165">
            <v>0.94</v>
          </cell>
          <cell r="V4165">
            <v>0.83</v>
          </cell>
          <cell r="W4165">
            <v>0</v>
          </cell>
          <cell r="X4165" t="str">
            <v>EST POLTRONA PATER (IMBUIA) TAURUS 30/ALMOF FX6363 - 0,82x0,94x0,83H</v>
          </cell>
          <cell r="Y4165">
            <v>30546.75</v>
          </cell>
          <cell r="Z4165">
            <v>0.5</v>
          </cell>
          <cell r="AA4165">
            <v>15273.375</v>
          </cell>
          <cell r="AB4165"/>
        </row>
        <row r="4166">
          <cell r="C4166">
            <v>0</v>
          </cell>
          <cell r="D4166">
            <v>0</v>
          </cell>
          <cell r="E4166">
            <v>0</v>
          </cell>
          <cell r="F4166">
            <v>0</v>
          </cell>
          <cell r="H4166">
            <v>1</v>
          </cell>
          <cell r="O4166">
            <v>320759</v>
          </cell>
          <cell r="P4166" t="str">
            <v>2022/053-0044-01</v>
          </cell>
          <cell r="Q4166" t="str">
            <v>EST POLTRONA PATER (IMBUIA) TAURUS 30/ALMOF FX6363</v>
          </cell>
          <cell r="R4166"/>
          <cell r="S4166"/>
          <cell r="T4166">
            <v>0.82</v>
          </cell>
          <cell r="U4166">
            <v>0.94</v>
          </cell>
          <cell r="V4166">
            <v>0.83</v>
          </cell>
          <cell r="W4166">
            <v>0</v>
          </cell>
          <cell r="X4166" t="str">
            <v>EST POLTRONA PATER (IMBUIA) TAURUS 30/ALMOF FX6363 - 0,82x0,94x0,83H</v>
          </cell>
          <cell r="Y4166">
            <v>30546.75</v>
          </cell>
          <cell r="Z4166">
            <v>0.5</v>
          </cell>
          <cell r="AA4166">
            <v>15273.375</v>
          </cell>
          <cell r="AB4166"/>
        </row>
        <row r="4167">
          <cell r="C4167">
            <v>0</v>
          </cell>
          <cell r="D4167">
            <v>0</v>
          </cell>
          <cell r="E4167">
            <v>0</v>
          </cell>
          <cell r="F4167">
            <v>0</v>
          </cell>
          <cell r="H4167">
            <v>1</v>
          </cell>
          <cell r="O4167">
            <v>320804</v>
          </cell>
          <cell r="P4167" t="str">
            <v>2021/347-0150-01</v>
          </cell>
          <cell r="Q4167" t="str">
            <v>EST MESA CENTRO PISAC (RET) (MTZ CAPUCCINO) (LAMINA WALNUT)</v>
          </cell>
          <cell r="R4167"/>
          <cell r="S4167"/>
          <cell r="T4167">
            <v>1.4</v>
          </cell>
          <cell r="U4167">
            <v>0.7</v>
          </cell>
          <cell r="V4167">
            <v>0.4</v>
          </cell>
          <cell r="W4167">
            <v>0</v>
          </cell>
          <cell r="X4167" t="str">
            <v>EST MESA CENTRO PISAC (RET) (MTZ CAPUCCINO) (LAMINA WALNUT) - 1,4x0,7x0,4H</v>
          </cell>
          <cell r="Y4167">
            <v>16851.34</v>
          </cell>
          <cell r="Z4167">
            <v>0.5</v>
          </cell>
          <cell r="AA4167">
            <v>8425.67</v>
          </cell>
          <cell r="AB4167"/>
        </row>
        <row r="4168">
          <cell r="C4168">
            <v>0</v>
          </cell>
          <cell r="D4168">
            <v>2</v>
          </cell>
          <cell r="E4168">
            <v>0</v>
          </cell>
          <cell r="F4168">
            <v>0</v>
          </cell>
          <cell r="H4168">
            <v>0</v>
          </cell>
          <cell r="O4168">
            <v>324018</v>
          </cell>
          <cell r="P4168" t="str">
            <v>2022/090-0055-01</v>
          </cell>
          <cell r="Q4168" t="str">
            <v>EST TAPETE PEROLA (LIST DENSO) (2 CORES) (10MM) F:1236/5061</v>
          </cell>
          <cell r="R4168"/>
          <cell r="S4168"/>
          <cell r="T4168">
            <v>3</v>
          </cell>
          <cell r="U4168">
            <v>4</v>
          </cell>
          <cell r="V4168">
            <v>0.01</v>
          </cell>
          <cell r="W4168">
            <v>0</v>
          </cell>
          <cell r="X4168" t="str">
            <v>EST TAPETE PEROLA (LIST DENSO) (2 CORES) (10MM) F:1236/5061 - 3x4x0,01H</v>
          </cell>
          <cell r="Y4168">
            <v>26772.48</v>
          </cell>
          <cell r="Z4168">
            <v>0.5</v>
          </cell>
          <cell r="AA4168">
            <v>13386.24</v>
          </cell>
          <cell r="AB4168"/>
        </row>
        <row r="4169">
          <cell r="C4169">
            <v>0</v>
          </cell>
          <cell r="D4169">
            <v>2</v>
          </cell>
          <cell r="E4169">
            <v>0</v>
          </cell>
          <cell r="F4169">
            <v>0</v>
          </cell>
          <cell r="H4169">
            <v>0</v>
          </cell>
          <cell r="O4169">
            <v>324018</v>
          </cell>
          <cell r="P4169" t="str">
            <v>2022/090-0056-01</v>
          </cell>
          <cell r="Q4169" t="str">
            <v>EST TAPETE PEROLA (LIST DENSO) (2 CORES) (10MM) F:1236/5061</v>
          </cell>
          <cell r="R4169"/>
          <cell r="S4169"/>
          <cell r="T4169">
            <v>3</v>
          </cell>
          <cell r="U4169">
            <v>4</v>
          </cell>
          <cell r="V4169">
            <v>0.01</v>
          </cell>
          <cell r="W4169">
            <v>0</v>
          </cell>
          <cell r="X4169" t="str">
            <v>EST TAPETE PEROLA (LIST DENSO) (2 CORES) (10MM) F:1236/5061 - 3x4x0,01H</v>
          </cell>
          <cell r="Y4169">
            <v>26772.48</v>
          </cell>
          <cell r="Z4169">
            <v>0.5</v>
          </cell>
          <cell r="AA4169">
            <v>13386.24</v>
          </cell>
          <cell r="AB4169"/>
        </row>
        <row r="4170">
          <cell r="C4170">
            <v>0</v>
          </cell>
          <cell r="D4170">
            <v>1</v>
          </cell>
          <cell r="E4170">
            <v>0</v>
          </cell>
          <cell r="F4170">
            <v>0</v>
          </cell>
          <cell r="H4170">
            <v>1</v>
          </cell>
          <cell r="O4170">
            <v>324020</v>
          </cell>
          <cell r="P4170" t="str">
            <v>2022/090-0057-01</v>
          </cell>
          <cell r="Q4170" t="str">
            <v>EST TAPETE ONDA (ESCULPIDO) (1 COR) (14MM) F: 5056</v>
          </cell>
          <cell r="R4170"/>
          <cell r="S4170"/>
          <cell r="T4170">
            <v>3.5</v>
          </cell>
          <cell r="U4170">
            <v>4.5</v>
          </cell>
          <cell r="V4170">
            <v>0.01</v>
          </cell>
          <cell r="W4170">
            <v>0</v>
          </cell>
          <cell r="X4170" t="str">
            <v>EST TAPETE ONDA (ESCULPIDO) (1 COR) (14MM) F: 5056 - 3,5x4,5x0,01H</v>
          </cell>
          <cell r="Y4170">
            <v>49039.199999999997</v>
          </cell>
          <cell r="Z4170">
            <v>0.5</v>
          </cell>
          <cell r="AA4170">
            <v>24519.599999999999</v>
          </cell>
          <cell r="AB4170"/>
        </row>
        <row r="4171">
          <cell r="C4171">
            <v>0</v>
          </cell>
          <cell r="D4171">
            <v>1</v>
          </cell>
          <cell r="E4171">
            <v>0</v>
          </cell>
          <cell r="F4171">
            <v>0</v>
          </cell>
          <cell r="H4171">
            <v>1</v>
          </cell>
          <cell r="O4171">
            <v>324020</v>
          </cell>
          <cell r="P4171" t="str">
            <v>2022/101-0066-01</v>
          </cell>
          <cell r="Q4171" t="str">
            <v>EST TAPETE ONDA (ESCULPIDO) (1 COR) (14MM) F: 5056</v>
          </cell>
          <cell r="R4171"/>
          <cell r="S4171"/>
          <cell r="T4171">
            <v>3.5</v>
          </cell>
          <cell r="U4171">
            <v>4.5</v>
          </cell>
          <cell r="V4171">
            <v>0.01</v>
          </cell>
          <cell r="W4171">
            <v>0</v>
          </cell>
          <cell r="X4171" t="str">
            <v>EST TAPETE ONDA (ESCULPIDO) (1 COR) (14MM) F: 5056 - 3,5x4,5x0,01H</v>
          </cell>
          <cell r="Y4171">
            <v>49039.199999999997</v>
          </cell>
          <cell r="Z4171">
            <v>0.5</v>
          </cell>
          <cell r="AA4171">
            <v>24519.599999999999</v>
          </cell>
          <cell r="AB4171"/>
        </row>
        <row r="4172">
          <cell r="C4172">
            <v>0</v>
          </cell>
          <cell r="D4172">
            <v>0</v>
          </cell>
          <cell r="E4172">
            <v>0</v>
          </cell>
          <cell r="F4172">
            <v>0</v>
          </cell>
          <cell r="H4172">
            <v>2</v>
          </cell>
          <cell r="O4172">
            <v>325591</v>
          </cell>
          <cell r="P4172"/>
          <cell r="Q4172" t="str">
            <v>EST CADEIRA MADRE TC FORN FAIRLEY DARKSTONE</v>
          </cell>
          <cell r="R4172"/>
          <cell r="S4172"/>
          <cell r="T4172">
            <v>0.85</v>
          </cell>
          <cell r="U4172">
            <v>0.54</v>
          </cell>
          <cell r="V4172">
            <v>0.61</v>
          </cell>
          <cell r="W4172">
            <v>0</v>
          </cell>
          <cell r="X4172" t="str">
            <v>EST CADEIRA MADRE TC FORN FAIRLEY DARKSTONE - 0,85x0,54x0,61H</v>
          </cell>
          <cell r="Y4172">
            <v>4928</v>
          </cell>
          <cell r="Z4172">
            <v>0.5</v>
          </cell>
          <cell r="AA4172">
            <v>2464</v>
          </cell>
          <cell r="AB4172"/>
        </row>
        <row r="4173">
          <cell r="C4173">
            <v>0</v>
          </cell>
          <cell r="D4173">
            <v>0</v>
          </cell>
          <cell r="E4173">
            <v>0</v>
          </cell>
          <cell r="F4173">
            <v>0</v>
          </cell>
          <cell r="H4173">
            <v>2</v>
          </cell>
          <cell r="O4173">
            <v>325591</v>
          </cell>
          <cell r="P4173"/>
          <cell r="Q4173" t="str">
            <v>EST CADEIRA MADRE TC FORN FAIRLEY DARKSTONE</v>
          </cell>
          <cell r="R4173"/>
          <cell r="S4173"/>
          <cell r="T4173">
            <v>0.85</v>
          </cell>
          <cell r="U4173">
            <v>0.54</v>
          </cell>
          <cell r="V4173">
            <v>0.61</v>
          </cell>
          <cell r="W4173">
            <v>0</v>
          </cell>
          <cell r="X4173" t="str">
            <v>EST CADEIRA MADRE TC FORN FAIRLEY DARKSTONE - 0,85x0,54x0,61H</v>
          </cell>
          <cell r="Y4173">
            <v>4928</v>
          </cell>
          <cell r="Z4173">
            <v>0.5</v>
          </cell>
          <cell r="AA4173">
            <v>2464</v>
          </cell>
          <cell r="AB4173"/>
        </row>
        <row r="4174">
          <cell r="C4174">
            <v>0</v>
          </cell>
          <cell r="D4174">
            <v>0</v>
          </cell>
          <cell r="E4174">
            <v>0</v>
          </cell>
          <cell r="F4174">
            <v>0</v>
          </cell>
          <cell r="H4174">
            <v>1</v>
          </cell>
          <cell r="O4174">
            <v>328653</v>
          </cell>
          <cell r="P4174" t="str">
            <v>2022/181-0008-01</v>
          </cell>
          <cell r="Q4174" t="str">
            <v>EST PUFF ALCALA (BASE LAMINADA WALNUT) FX C3092</v>
          </cell>
          <cell r="R4174"/>
          <cell r="S4174"/>
          <cell r="T4174">
            <v>1</v>
          </cell>
          <cell r="U4174">
            <v>1</v>
          </cell>
          <cell r="V4174">
            <v>0.4</v>
          </cell>
          <cell r="W4174">
            <v>0</v>
          </cell>
          <cell r="X4174" t="str">
            <v>EST PUFF ALCALA (BASE LAMINADA WALNUT) FX C3092 - 1x1x0,4H</v>
          </cell>
          <cell r="Y4174">
            <v>11735.58</v>
          </cell>
          <cell r="Z4174">
            <v>0.5</v>
          </cell>
          <cell r="AA4174">
            <v>5867.79</v>
          </cell>
          <cell r="AB4174"/>
        </row>
        <row r="4175">
          <cell r="C4175">
            <v>1</v>
          </cell>
          <cell r="D4175">
            <v>6</v>
          </cell>
          <cell r="E4175">
            <v>0</v>
          </cell>
          <cell r="F4175">
            <v>0</v>
          </cell>
          <cell r="H4175">
            <v>1</v>
          </cell>
          <cell r="O4175">
            <v>328721</v>
          </cell>
          <cell r="P4175" t="str">
            <v>2022/172-0041-01</v>
          </cell>
          <cell r="Q4175" t="str">
            <v>EST CADEIRA MELIZA (GIR) (FX 60004) (TING NOGAL)</v>
          </cell>
          <cell r="R4175"/>
          <cell r="S4175"/>
          <cell r="T4175">
            <v>0.6</v>
          </cell>
          <cell r="U4175">
            <v>0.49</v>
          </cell>
          <cell r="V4175">
            <v>0.79</v>
          </cell>
          <cell r="W4175">
            <v>0</v>
          </cell>
          <cell r="X4175" t="str">
            <v>EST CADEIRA MELIZA (GIR) (FX 60004) (TING NOGAL) - 0,6x0,49x0,79H</v>
          </cell>
          <cell r="Y4175">
            <v>5980.67</v>
          </cell>
          <cell r="Z4175">
            <v>0.5</v>
          </cell>
          <cell r="AA4175">
            <v>2990.335</v>
          </cell>
          <cell r="AB4175"/>
        </row>
        <row r="4176">
          <cell r="C4176">
            <v>0</v>
          </cell>
          <cell r="D4176">
            <v>0</v>
          </cell>
          <cell r="E4176">
            <v>0</v>
          </cell>
          <cell r="F4176">
            <v>0</v>
          </cell>
          <cell r="H4176">
            <v>1</v>
          </cell>
          <cell r="O4176">
            <v>328889</v>
          </cell>
          <cell r="P4176" t="str">
            <v>2022/207-0041-01</v>
          </cell>
          <cell r="Q4176" t="str">
            <v>EST MESA CENTRO BALLET II (FX5 SAARA FSC) (AUT SAND)</v>
          </cell>
          <cell r="R4176"/>
          <cell r="S4176"/>
          <cell r="T4176">
            <v>1</v>
          </cell>
          <cell r="U4176">
            <v>0</v>
          </cell>
          <cell r="V4176">
            <v>0.35</v>
          </cell>
          <cell r="W4176">
            <v>1</v>
          </cell>
          <cell r="X4176" t="str">
            <v>EST MESA CENTRO BALLET II (FX5 SAARA FSC) (AUT SAND) - Ø1x0,35H</v>
          </cell>
          <cell r="Y4176">
            <v>56312.26</v>
          </cell>
          <cell r="Z4176">
            <v>0.5</v>
          </cell>
          <cell r="AA4176">
            <v>28156.13</v>
          </cell>
          <cell r="AB4176"/>
        </row>
        <row r="4177">
          <cell r="C4177">
            <v>0</v>
          </cell>
          <cell r="D4177">
            <v>0</v>
          </cell>
          <cell r="E4177">
            <v>0</v>
          </cell>
          <cell r="F4177">
            <v>0</v>
          </cell>
          <cell r="H4177">
            <v>1</v>
          </cell>
          <cell r="O4177">
            <v>329025</v>
          </cell>
          <cell r="P4177" t="str">
            <v>2022/196-0004-01</v>
          </cell>
          <cell r="Q4177" t="str">
            <v>EST APARADOR ZINA (LAMINA 3 LOURO PARDO) (LACA FOSCA PRETA)</v>
          </cell>
          <cell r="R4177"/>
          <cell r="S4177"/>
          <cell r="T4177">
            <v>1.9</v>
          </cell>
          <cell r="U4177">
            <v>0.5</v>
          </cell>
          <cell r="V4177">
            <v>0.8</v>
          </cell>
          <cell r="W4177">
            <v>0</v>
          </cell>
          <cell r="X4177" t="str">
            <v>EST APARADOR ZINA (LAMINA 3 LOURO PARDO) (LACA FOSCA PRETA) - 1,9x0,5x0,8H</v>
          </cell>
          <cell r="Y4177">
            <v>26879.42</v>
          </cell>
          <cell r="Z4177">
            <v>0.5</v>
          </cell>
          <cell r="AA4177">
            <v>13439.71</v>
          </cell>
          <cell r="AB4177"/>
        </row>
        <row r="4178">
          <cell r="C4178">
            <v>0</v>
          </cell>
          <cell r="D4178">
            <v>0</v>
          </cell>
          <cell r="E4178">
            <v>0</v>
          </cell>
          <cell r="F4178">
            <v>0</v>
          </cell>
          <cell r="H4178">
            <v>1</v>
          </cell>
          <cell r="O4178">
            <v>329026</v>
          </cell>
          <cell r="P4178" t="str">
            <v>2022/207-0042-01</v>
          </cell>
          <cell r="Q4178" t="str">
            <v>EST MESA CENTRO BALLET II (TP MAD PINT AUT SAND) (AUT SAND)</v>
          </cell>
          <cell r="R4178"/>
          <cell r="S4178"/>
          <cell r="T4178">
            <v>1</v>
          </cell>
          <cell r="U4178">
            <v>1</v>
          </cell>
          <cell r="V4178">
            <v>0.3</v>
          </cell>
          <cell r="W4178">
            <v>0</v>
          </cell>
          <cell r="X4178" t="str">
            <v>EST MESA CENTRO BALLET II (TP MAD PINT AUT SAND) (AUT SAND) - 1x1x0,3H</v>
          </cell>
          <cell r="Y4178">
            <v>32350.84</v>
          </cell>
          <cell r="Z4178">
            <v>0.5</v>
          </cell>
          <cell r="AA4178">
            <v>16175.42</v>
          </cell>
          <cell r="AB4178"/>
        </row>
        <row r="4179">
          <cell r="C4179">
            <v>0</v>
          </cell>
          <cell r="D4179">
            <v>0</v>
          </cell>
          <cell r="E4179">
            <v>0</v>
          </cell>
          <cell r="F4179">
            <v>0</v>
          </cell>
          <cell r="H4179">
            <v>1</v>
          </cell>
          <cell r="O4179">
            <v>330635</v>
          </cell>
          <cell r="P4179" t="str">
            <v>2022/161-0023-01</v>
          </cell>
          <cell r="Q4179" t="str">
            <v>EST POLTRONA CACAU TC N2063 (BRACO LADO DIREITO)</v>
          </cell>
          <cell r="R4179"/>
          <cell r="S4179"/>
          <cell r="T4179">
            <v>1.27</v>
          </cell>
          <cell r="U4179">
            <v>0.93</v>
          </cell>
          <cell r="V4179">
            <v>0.74</v>
          </cell>
          <cell r="W4179">
            <v>0</v>
          </cell>
          <cell r="X4179" t="str">
            <v>EST POLTRONA CACAU TC N2063 (BRACO LADO DIREITO) - 1,27x0,93x0,74H</v>
          </cell>
          <cell r="Y4179">
            <v>21825.040000000001</v>
          </cell>
          <cell r="Z4179">
            <v>0.5</v>
          </cell>
          <cell r="AA4179">
            <v>10912.52</v>
          </cell>
          <cell r="AB4179"/>
        </row>
        <row r="4180">
          <cell r="C4180">
            <v>0</v>
          </cell>
          <cell r="D4180">
            <v>0</v>
          </cell>
          <cell r="E4180">
            <v>0</v>
          </cell>
          <cell r="F4180">
            <v>0</v>
          </cell>
          <cell r="H4180">
            <v>1</v>
          </cell>
          <cell r="O4180">
            <v>330637</v>
          </cell>
          <cell r="P4180" t="str">
            <v>2022/161-0024-01</v>
          </cell>
          <cell r="Q4180" t="str">
            <v>EST BANQUETA CACAU TC N 2063</v>
          </cell>
          <cell r="R4180"/>
          <cell r="S4180"/>
          <cell r="T4180">
            <v>0.92</v>
          </cell>
          <cell r="U4180">
            <v>0.57999999999999996</v>
          </cell>
          <cell r="V4180">
            <v>0.4</v>
          </cell>
          <cell r="W4180">
            <v>0</v>
          </cell>
          <cell r="X4180" t="str">
            <v>EST BANQUETA CACAU TC N 2063 - 0,92x0,58x0,4H</v>
          </cell>
          <cell r="Y4180">
            <v>11427.76</v>
          </cell>
          <cell r="Z4180">
            <v>0.5</v>
          </cell>
          <cell r="AA4180">
            <v>5713.88</v>
          </cell>
          <cell r="AB4180"/>
        </row>
        <row r="4181">
          <cell r="C4181">
            <v>0</v>
          </cell>
          <cell r="D4181">
            <v>0</v>
          </cell>
          <cell r="E4181">
            <v>0</v>
          </cell>
          <cell r="F4181">
            <v>0</v>
          </cell>
          <cell r="H4181">
            <v>2</v>
          </cell>
          <cell r="O4181">
            <v>334160</v>
          </cell>
          <cell r="P4181" t="str">
            <v>2022/214-0022-01</v>
          </cell>
          <cell r="Q4181" t="str">
            <v>EST CADEIRA 60 C/BRACO (EUC TABACO) INOX/ BOUT COURO MARROM</v>
          </cell>
          <cell r="R4181"/>
          <cell r="S4181"/>
          <cell r="T4181">
            <v>0.56000000000000005</v>
          </cell>
          <cell r="U4181">
            <v>0.59</v>
          </cell>
          <cell r="V4181">
            <v>0.84</v>
          </cell>
          <cell r="W4181">
            <v>0</v>
          </cell>
          <cell r="X4181" t="str">
            <v>EST CADEIRA 60 C/BRACO (EUC TABACO) INOX/ BOUT COURO MARROM - 0,56x0,59x0,84H</v>
          </cell>
          <cell r="Y4181">
            <v>7016.8</v>
          </cell>
          <cell r="Z4181">
            <v>0.5</v>
          </cell>
          <cell r="AA4181">
            <v>3508.4</v>
          </cell>
          <cell r="AB4181"/>
        </row>
        <row r="4182">
          <cell r="C4182">
            <v>0</v>
          </cell>
          <cell r="D4182">
            <v>0</v>
          </cell>
          <cell r="E4182">
            <v>0</v>
          </cell>
          <cell r="F4182">
            <v>0</v>
          </cell>
          <cell r="H4182">
            <v>2</v>
          </cell>
          <cell r="O4182">
            <v>334160</v>
          </cell>
          <cell r="P4182" t="str">
            <v>2022/214-0026-01</v>
          </cell>
          <cell r="Q4182" t="str">
            <v>EST CADEIRA 60 C/BRACO (EUC TABACO) INOX/ BOUT COURO MARROM</v>
          </cell>
          <cell r="R4182"/>
          <cell r="S4182"/>
          <cell r="T4182">
            <v>0.56000000000000005</v>
          </cell>
          <cell r="U4182">
            <v>0.59</v>
          </cell>
          <cell r="V4182">
            <v>0.84</v>
          </cell>
          <cell r="W4182">
            <v>0</v>
          </cell>
          <cell r="X4182" t="str">
            <v>EST CADEIRA 60 C/BRACO (EUC TABACO) INOX/ BOUT COURO MARROM - 0,56x0,59x0,84H</v>
          </cell>
          <cell r="Y4182">
            <v>7016.8</v>
          </cell>
          <cell r="Z4182">
            <v>0.5</v>
          </cell>
          <cell r="AA4182">
            <v>3508.4</v>
          </cell>
          <cell r="AB4182"/>
        </row>
        <row r="4183">
          <cell r="C4183">
            <v>0</v>
          </cell>
          <cell r="D4183">
            <v>0</v>
          </cell>
          <cell r="E4183">
            <v>0</v>
          </cell>
          <cell r="F4183">
            <v>0</v>
          </cell>
          <cell r="H4183">
            <v>1</v>
          </cell>
          <cell r="O4183">
            <v>334162</v>
          </cell>
          <cell r="P4183" t="str">
            <v>2022/206-0042-01</v>
          </cell>
          <cell r="Q4183" t="str">
            <v>EST SOFA ANDROS (2B) FX D4142 (BASE LAMINA EBONY)</v>
          </cell>
          <cell r="R4183"/>
          <cell r="S4183"/>
          <cell r="T4183">
            <v>3</v>
          </cell>
          <cell r="U4183">
            <v>1.5</v>
          </cell>
          <cell r="V4183">
            <v>0.76</v>
          </cell>
          <cell r="W4183">
            <v>0</v>
          </cell>
          <cell r="X4183" t="str">
            <v>EST SOFA ANDROS (2B) FX D4142 (BASE LAMINA EBONY) - 3x1,5x0,76H</v>
          </cell>
          <cell r="Y4183">
            <v>50640.98</v>
          </cell>
          <cell r="Z4183">
            <v>0.5</v>
          </cell>
          <cell r="AA4183">
            <v>25320.49</v>
          </cell>
          <cell r="AB4183"/>
        </row>
        <row r="4184">
          <cell r="C4184">
            <v>0</v>
          </cell>
          <cell r="D4184">
            <v>0</v>
          </cell>
          <cell r="E4184">
            <v>0</v>
          </cell>
          <cell r="F4184">
            <v>0</v>
          </cell>
          <cell r="H4184">
            <v>1</v>
          </cell>
          <cell r="O4184">
            <v>334167</v>
          </cell>
          <cell r="P4184" t="str">
            <v>2022/214-0035-01</v>
          </cell>
          <cell r="Q4184" t="str">
            <v>EST APARADOR RENE (TP G4 GOF 235 MARROM/EST PINT PRETA)</v>
          </cell>
          <cell r="R4184"/>
          <cell r="S4184"/>
          <cell r="T4184">
            <v>1.8</v>
          </cell>
          <cell r="U4184">
            <v>0.4</v>
          </cell>
          <cell r="V4184">
            <v>0.75</v>
          </cell>
          <cell r="W4184">
            <v>0</v>
          </cell>
          <cell r="X4184" t="str">
            <v>EST APARADOR RENE (TP G4 GOF 235 MARROM/EST PINT PRETA) - 1,8x0,4x0,75H</v>
          </cell>
          <cell r="Y4184">
            <v>13869.32</v>
          </cell>
          <cell r="Z4184">
            <v>0.5</v>
          </cell>
          <cell r="AA4184">
            <v>6934.66</v>
          </cell>
          <cell r="AB4184"/>
        </row>
        <row r="4185">
          <cell r="C4185">
            <v>0</v>
          </cell>
          <cell r="D4185">
            <v>0</v>
          </cell>
          <cell r="E4185">
            <v>0</v>
          </cell>
          <cell r="F4185">
            <v>0</v>
          </cell>
          <cell r="H4185">
            <v>1</v>
          </cell>
          <cell r="O4185">
            <v>113384</v>
          </cell>
          <cell r="P4185" t="str">
            <v>1012/306-1998-01</v>
          </cell>
          <cell r="Q4185" t="str">
            <v>EST POLTRONA BEBELA INOX POLIDO/CORDA BEGE/CRU TC4588 ESC07</v>
          </cell>
          <cell r="R4185"/>
          <cell r="S4185"/>
          <cell r="T4185">
            <v>0.74</v>
          </cell>
          <cell r="U4185">
            <v>0.78</v>
          </cell>
          <cell r="V4185">
            <v>0.85</v>
          </cell>
          <cell r="W4185">
            <v>0</v>
          </cell>
          <cell r="X4185" t="str">
            <v>EST POLTRONA BEBELA INOX POLIDO/CORDA BEGE/CRU TC4588 ESC07 - 0,74x0,78x0,85H</v>
          </cell>
          <cell r="Y4185">
            <v>10719.16</v>
          </cell>
          <cell r="Z4185">
            <v>0.5</v>
          </cell>
          <cell r="AA4185">
            <v>5359.58</v>
          </cell>
          <cell r="AB4185"/>
        </row>
        <row r="4186">
          <cell r="C4186">
            <v>0</v>
          </cell>
          <cell r="D4186">
            <v>0</v>
          </cell>
          <cell r="E4186">
            <v>0</v>
          </cell>
          <cell r="F4186">
            <v>0</v>
          </cell>
          <cell r="H4186">
            <v>1</v>
          </cell>
          <cell r="O4186">
            <v>120615</v>
          </cell>
          <cell r="P4186" t="str">
            <v>1012/303-0422-01</v>
          </cell>
          <cell r="Q4186" t="str">
            <v>EST POLTRONA BEBELA ACO INOX PINT M017/CORDA AZUL/TC11202263</v>
          </cell>
          <cell r="R4186"/>
          <cell r="S4186"/>
          <cell r="T4186">
            <v>0.74</v>
          </cell>
          <cell r="U4186">
            <v>0.78</v>
          </cell>
          <cell r="V4186">
            <v>0.85</v>
          </cell>
          <cell r="W4186">
            <v>0</v>
          </cell>
          <cell r="X4186" t="str">
            <v>EST POLTRONA BEBELA ACO INOX PINT M017/CORDA AZUL/TC11202263 - 0,74x0,78x0,85H</v>
          </cell>
          <cell r="Y4186">
            <v>10719.16</v>
          </cell>
          <cell r="Z4186">
            <v>0.5</v>
          </cell>
          <cell r="AA4186">
            <v>5359.58</v>
          </cell>
          <cell r="AB4186"/>
        </row>
        <row r="4187">
          <cell r="C4187">
            <v>1</v>
          </cell>
          <cell r="D4187">
            <v>1</v>
          </cell>
          <cell r="E4187">
            <v>0</v>
          </cell>
          <cell r="F4187">
            <v>0</v>
          </cell>
          <cell r="H4187">
            <v>1</v>
          </cell>
          <cell r="O4187">
            <v>120741</v>
          </cell>
          <cell r="P4187" t="str">
            <v>1012/305-0004-01</v>
          </cell>
          <cell r="Q4187" t="str">
            <v>EST BANQUETA BAR CHICAGO (TELA DUP) (CATUABA AVELA)</v>
          </cell>
          <cell r="R4187"/>
          <cell r="S4187"/>
          <cell r="T4187">
            <v>0.45</v>
          </cell>
          <cell r="U4187">
            <v>0.49</v>
          </cell>
          <cell r="V4187">
            <v>1.03</v>
          </cell>
          <cell r="W4187">
            <v>0</v>
          </cell>
          <cell r="X4187" t="str">
            <v>EST BANQUETA BAR CHICAGO (TELA DUP) (CATUABA AVELA) - 0,45x0,49x1,03H</v>
          </cell>
          <cell r="Y4187">
            <v>5915.66</v>
          </cell>
          <cell r="Z4187">
            <v>0.5</v>
          </cell>
          <cell r="AA4187">
            <v>2957.83</v>
          </cell>
          <cell r="AB4187"/>
        </row>
        <row r="4188">
          <cell r="C4188">
            <v>0</v>
          </cell>
          <cell r="D4188">
            <v>0</v>
          </cell>
          <cell r="E4188">
            <v>0</v>
          </cell>
          <cell r="F4188">
            <v>0</v>
          </cell>
          <cell r="H4188">
            <v>1</v>
          </cell>
          <cell r="O4188">
            <v>334176</v>
          </cell>
          <cell r="P4188" t="str">
            <v>2022/206-0009-01</v>
          </cell>
          <cell r="Q4188" t="str">
            <v>EST APARADOR X (FREIJO EBANIZADO) DET LC PRETA FSC</v>
          </cell>
          <cell r="R4188"/>
          <cell r="S4188"/>
          <cell r="T4188">
            <v>2.6</v>
          </cell>
          <cell r="U4188">
            <v>0.48</v>
          </cell>
          <cell r="V4188">
            <v>0.75</v>
          </cell>
          <cell r="W4188">
            <v>0</v>
          </cell>
          <cell r="X4188" t="str">
            <v>EST APARADOR X (FREIJO EBANIZADO) DET LC PRETA FSC - 2,6x0,48x0,75H</v>
          </cell>
          <cell r="Y4188">
            <v>30533.4</v>
          </cell>
          <cell r="Z4188">
            <v>0.5</v>
          </cell>
          <cell r="AA4188">
            <v>15266.7</v>
          </cell>
          <cell r="AB4188"/>
        </row>
        <row r="4189">
          <cell r="C4189">
            <v>0</v>
          </cell>
          <cell r="D4189">
            <v>0</v>
          </cell>
          <cell r="E4189">
            <v>0</v>
          </cell>
          <cell r="F4189">
            <v>0</v>
          </cell>
          <cell r="H4189">
            <v>1</v>
          </cell>
          <cell r="O4189">
            <v>120867</v>
          </cell>
          <cell r="P4189"/>
          <cell r="Q4189" t="str">
            <v>EST PUFF TOPOGRAFIA H41 (CATUABA AVEL) TC11202-258</v>
          </cell>
          <cell r="R4189"/>
          <cell r="S4189"/>
          <cell r="T4189">
            <v>0.45</v>
          </cell>
          <cell r="U4189">
            <v>0</v>
          </cell>
          <cell r="V4189">
            <v>0.41</v>
          </cell>
          <cell r="W4189">
            <v>0.45</v>
          </cell>
          <cell r="X4189" t="str">
            <v>EST PUFF TOPOGRAFIA H41 (CATUABA AVEL) TC11202-258 - Ø0,45x0,41H</v>
          </cell>
          <cell r="Y4189">
            <v>5647.4</v>
          </cell>
          <cell r="Z4189">
            <v>0.5</v>
          </cell>
          <cell r="AA4189">
            <v>2823.7</v>
          </cell>
          <cell r="AB4189"/>
        </row>
        <row r="4190">
          <cell r="C4190">
            <v>0</v>
          </cell>
          <cell r="D4190">
            <v>0</v>
          </cell>
          <cell r="E4190">
            <v>0</v>
          </cell>
          <cell r="F4190">
            <v>0</v>
          </cell>
          <cell r="H4190">
            <v>1</v>
          </cell>
          <cell r="O4190">
            <v>128711</v>
          </cell>
          <cell r="P4190" t="str">
            <v>2013/169-0113-01</v>
          </cell>
          <cell r="Q4190" t="str">
            <v>EST POLTRONA CUSCO (CATUABA PU) LINHO BELGICA NAT17 COSTURA</v>
          </cell>
          <cell r="R4190"/>
          <cell r="S4190"/>
          <cell r="T4190">
            <v>1</v>
          </cell>
          <cell r="U4190">
            <v>0.82</v>
          </cell>
          <cell r="V4190">
            <v>0.72</v>
          </cell>
          <cell r="W4190">
            <v>0</v>
          </cell>
          <cell r="X4190" t="str">
            <v>EST POLTRONA CUSCO (CATUABA PU) LINHO BELGICA NAT17 COSTURA - 1x0,82x0,72H</v>
          </cell>
          <cell r="Y4190">
            <v>15648.64</v>
          </cell>
          <cell r="Z4190">
            <v>0.5</v>
          </cell>
          <cell r="AA4190">
            <v>7824.32</v>
          </cell>
          <cell r="AB4190"/>
        </row>
        <row r="4191">
          <cell r="C4191">
            <v>0</v>
          </cell>
          <cell r="D4191">
            <v>0</v>
          </cell>
          <cell r="E4191">
            <v>0</v>
          </cell>
          <cell r="F4191">
            <v>0</v>
          </cell>
          <cell r="H4191">
            <v>1</v>
          </cell>
          <cell r="O4191">
            <v>334189</v>
          </cell>
          <cell r="P4191" t="str">
            <v>2022/173-0033-01</v>
          </cell>
          <cell r="Q4191" t="str">
            <v>EST BANQUETA CACAU TC V8002</v>
          </cell>
          <cell r="R4191"/>
          <cell r="S4191"/>
          <cell r="T4191">
            <v>0.92</v>
          </cell>
          <cell r="U4191">
            <v>0.57999999999999996</v>
          </cell>
          <cell r="V4191">
            <v>0.4</v>
          </cell>
          <cell r="W4191">
            <v>0</v>
          </cell>
          <cell r="X4191" t="str">
            <v>EST BANQUETA CACAU TC V8002 - 0,92x0,58x0,4H</v>
          </cell>
          <cell r="Y4191">
            <v>11952.73</v>
          </cell>
          <cell r="Z4191">
            <v>0.5</v>
          </cell>
          <cell r="AA4191">
            <v>5976.3649999999998</v>
          </cell>
          <cell r="AB4191"/>
        </row>
        <row r="4192">
          <cell r="C4192">
            <v>0</v>
          </cell>
          <cell r="D4192">
            <v>0</v>
          </cell>
          <cell r="E4192">
            <v>0</v>
          </cell>
          <cell r="F4192">
            <v>0</v>
          </cell>
          <cell r="H4192">
            <v>1</v>
          </cell>
          <cell r="O4192">
            <v>334190</v>
          </cell>
          <cell r="P4192" t="str">
            <v>2022/173-0034-01</v>
          </cell>
          <cell r="Q4192" t="str">
            <v>EST POLTRONA CACAU TC V8002 (BRACO LADO ESQUERDO)</v>
          </cell>
          <cell r="R4192"/>
          <cell r="S4192"/>
          <cell r="T4192">
            <v>1.27</v>
          </cell>
          <cell r="U4192">
            <v>0.93</v>
          </cell>
          <cell r="V4192">
            <v>0.74</v>
          </cell>
          <cell r="W4192">
            <v>0</v>
          </cell>
          <cell r="X4192" t="str">
            <v>EST POLTRONA CACAU TC V8002 (BRACO LADO ESQUERDO) - 1,27x0,93x0,74H</v>
          </cell>
          <cell r="Y4192">
            <v>23254.07</v>
          </cell>
          <cell r="Z4192">
            <v>0.5</v>
          </cell>
          <cell r="AA4192">
            <v>11627.035</v>
          </cell>
          <cell r="AB4192"/>
        </row>
        <row r="4193">
          <cell r="C4193">
            <v>0</v>
          </cell>
          <cell r="D4193">
            <v>0</v>
          </cell>
          <cell r="E4193">
            <v>0</v>
          </cell>
          <cell r="F4193">
            <v>0</v>
          </cell>
          <cell r="H4193">
            <v>1</v>
          </cell>
          <cell r="O4193">
            <v>334217</v>
          </cell>
          <cell r="P4193" t="str">
            <v>2022/216-0088-01</v>
          </cell>
          <cell r="Q4193" t="str">
            <v>EST CHAISE MARAIS TC CURATOR 136195/003/BS CS125</v>
          </cell>
          <cell r="R4193"/>
          <cell r="S4193"/>
          <cell r="T4193">
            <v>2.02</v>
          </cell>
          <cell r="U4193">
            <v>0.81</v>
          </cell>
          <cell r="V4193">
            <v>0.57999999999999996</v>
          </cell>
          <cell r="W4193">
            <v>0</v>
          </cell>
          <cell r="X4193" t="str">
            <v>EST CHAISE MARAIS TC CURATOR 136195/003/BS CS125 - 2,02x0,81x0,58H</v>
          </cell>
          <cell r="Y4193">
            <v>27825.15</v>
          </cell>
          <cell r="Z4193">
            <v>0.5</v>
          </cell>
          <cell r="AA4193">
            <v>13912.575000000001</v>
          </cell>
          <cell r="AB4193"/>
        </row>
        <row r="4194">
          <cell r="C4194">
            <v>0</v>
          </cell>
          <cell r="D4194">
            <v>0</v>
          </cell>
          <cell r="E4194">
            <v>0</v>
          </cell>
          <cell r="F4194">
            <v>0</v>
          </cell>
          <cell r="H4194">
            <v>8</v>
          </cell>
          <cell r="O4194">
            <v>334219</v>
          </cell>
          <cell r="P4194" t="str">
            <v>2022/166-0087-01</v>
          </cell>
          <cell r="Q4194" t="str">
            <v>EST CADEIRA MOI (PINT MARROM FSC) (TC LISO BRUN CRU)</v>
          </cell>
          <cell r="R4194"/>
          <cell r="S4194"/>
          <cell r="T4194">
            <v>0.48</v>
          </cell>
          <cell r="U4194">
            <v>0.56999999999999995</v>
          </cell>
          <cell r="V4194">
            <v>0.82</v>
          </cell>
          <cell r="W4194">
            <v>0</v>
          </cell>
          <cell r="X4194" t="str">
            <v>EST CADEIRA MOI (PINT MARROM FSC) (TC LISO BRUN CRU) - 0,48x0,57x0,82H</v>
          </cell>
          <cell r="Y4194">
            <v>8103.02</v>
          </cell>
          <cell r="Z4194">
            <v>0.5</v>
          </cell>
          <cell r="AA4194">
            <v>4051.51</v>
          </cell>
          <cell r="AB4194"/>
        </row>
        <row r="4195">
          <cell r="C4195">
            <v>0</v>
          </cell>
          <cell r="D4195">
            <v>0</v>
          </cell>
          <cell r="E4195">
            <v>0</v>
          </cell>
          <cell r="F4195">
            <v>0</v>
          </cell>
          <cell r="H4195">
            <v>8</v>
          </cell>
          <cell r="O4195">
            <v>334219</v>
          </cell>
          <cell r="P4195" t="str">
            <v>2022/166-0094-01</v>
          </cell>
          <cell r="Q4195" t="str">
            <v>EST CADEIRA MOI (PINT MARROM FSC) (TC LISO BRUN CRU)</v>
          </cell>
          <cell r="R4195"/>
          <cell r="S4195"/>
          <cell r="T4195">
            <v>0.48</v>
          </cell>
          <cell r="U4195">
            <v>0.56999999999999995</v>
          </cell>
          <cell r="V4195">
            <v>0.82</v>
          </cell>
          <cell r="W4195">
            <v>0</v>
          </cell>
          <cell r="X4195" t="str">
            <v>EST CADEIRA MOI (PINT MARROM FSC) (TC LISO BRUN CRU) - 0,48x0,57x0,82H</v>
          </cell>
          <cell r="Y4195">
            <v>8103.02</v>
          </cell>
          <cell r="Z4195">
            <v>0.5</v>
          </cell>
          <cell r="AA4195">
            <v>4051.51</v>
          </cell>
          <cell r="AB4195"/>
        </row>
        <row r="4196">
          <cell r="C4196">
            <v>0</v>
          </cell>
          <cell r="D4196">
            <v>0</v>
          </cell>
          <cell r="E4196">
            <v>0</v>
          </cell>
          <cell r="F4196">
            <v>0</v>
          </cell>
          <cell r="H4196">
            <v>1</v>
          </cell>
          <cell r="O4196">
            <v>334228</v>
          </cell>
          <cell r="P4196" t="str">
            <v>2022/235-0067-01</v>
          </cell>
          <cell r="Q4196" t="str">
            <v>EST CHAISE ALF (BRACO ESQ) CURATOR 110115/910/CS 125</v>
          </cell>
          <cell r="R4196"/>
          <cell r="S4196"/>
          <cell r="T4196">
            <v>1.6</v>
          </cell>
          <cell r="U4196">
            <v>0.95</v>
          </cell>
          <cell r="V4196">
            <v>0.8</v>
          </cell>
          <cell r="W4196">
            <v>0</v>
          </cell>
          <cell r="X4196" t="str">
            <v>EST CHAISE ALF (BRACO ESQ) CURATOR 110115/910/CS 125 - 1,6x0,95x0,8H</v>
          </cell>
          <cell r="Y4196">
            <v>25862.86</v>
          </cell>
          <cell r="Z4196">
            <v>0.5</v>
          </cell>
          <cell r="AA4196">
            <v>12931.43</v>
          </cell>
          <cell r="AB4196"/>
        </row>
        <row r="4197">
          <cell r="C4197">
            <v>1</v>
          </cell>
          <cell r="D4197">
            <v>0</v>
          </cell>
          <cell r="E4197">
            <v>0</v>
          </cell>
          <cell r="F4197">
            <v>0</v>
          </cell>
          <cell r="H4197">
            <v>4</v>
          </cell>
          <cell r="O4197">
            <v>334238</v>
          </cell>
          <cell r="P4197" t="str">
            <v>2022/166-0100-01</v>
          </cell>
          <cell r="Q4197" t="str">
            <v>EST CADEIRA ALE (LAM FREIJO MEL) (REC CARAM) SOLETA CARAMELO</v>
          </cell>
          <cell r="R4197"/>
          <cell r="S4197"/>
          <cell r="T4197">
            <v>0.56000000000000005</v>
          </cell>
          <cell r="U4197">
            <v>0.55000000000000004</v>
          </cell>
          <cell r="V4197">
            <v>0.78</v>
          </cell>
          <cell r="W4197">
            <v>0</v>
          </cell>
          <cell r="X4197" t="str">
            <v>EST CADEIRA ALE (LAM FREIJO MEL) (REC CARAM) SOLETA CARAMELO - 0,56x0,55x0,78H</v>
          </cell>
          <cell r="Y4197">
            <v>9327.9</v>
          </cell>
          <cell r="Z4197">
            <v>0.5</v>
          </cell>
          <cell r="AA4197">
            <v>4663.95</v>
          </cell>
          <cell r="AB4197"/>
        </row>
        <row r="4198">
          <cell r="C4198">
            <v>1</v>
          </cell>
          <cell r="D4198">
            <v>0</v>
          </cell>
          <cell r="E4198">
            <v>0</v>
          </cell>
          <cell r="F4198">
            <v>0</v>
          </cell>
          <cell r="H4198">
            <v>4</v>
          </cell>
          <cell r="O4198">
            <v>334238</v>
          </cell>
          <cell r="P4198" t="str">
            <v>2022/166-0101-01</v>
          </cell>
          <cell r="Q4198" t="str">
            <v>EST CADEIRA ALE (LAM FREIJO MEL) (REC CARAM) SOLETA CARAMELO</v>
          </cell>
          <cell r="R4198"/>
          <cell r="S4198"/>
          <cell r="T4198">
            <v>0.56000000000000005</v>
          </cell>
          <cell r="U4198">
            <v>0.55000000000000004</v>
          </cell>
          <cell r="V4198">
            <v>0.78</v>
          </cell>
          <cell r="W4198">
            <v>0</v>
          </cell>
          <cell r="X4198" t="str">
            <v>EST CADEIRA ALE (LAM FREIJO MEL) (REC CARAM) SOLETA CARAMELO - 0,56x0,55x0,78H</v>
          </cell>
          <cell r="Y4198">
            <v>9327.9</v>
          </cell>
          <cell r="Z4198">
            <v>0.5</v>
          </cell>
          <cell r="AA4198">
            <v>4663.95</v>
          </cell>
          <cell r="AB4198"/>
        </row>
        <row r="4199">
          <cell r="C4199">
            <v>0</v>
          </cell>
          <cell r="D4199">
            <v>0</v>
          </cell>
          <cell r="E4199">
            <v>0</v>
          </cell>
          <cell r="F4199">
            <v>0</v>
          </cell>
          <cell r="H4199">
            <v>2</v>
          </cell>
          <cell r="O4199">
            <v>334250</v>
          </cell>
          <cell r="P4199" t="str">
            <v>2022/203-0089-01</v>
          </cell>
          <cell r="Q4199" t="str">
            <v>EST ALMOFADA BRACO PARATY (FX 40030) (COFFEE MATT)</v>
          </cell>
          <cell r="R4199"/>
          <cell r="S4199"/>
          <cell r="T4199">
            <v>0.52</v>
          </cell>
          <cell r="U4199">
            <v>0.23</v>
          </cell>
          <cell r="V4199">
            <v>0.14000000000000001</v>
          </cell>
          <cell r="W4199">
            <v>0</v>
          </cell>
          <cell r="X4199" t="str">
            <v>EST ALMOFADA BRACO PARATY (FX 40030) (COFFEE MATT) - 0,52x0,23x0,14H</v>
          </cell>
          <cell r="Y4199">
            <v>1513.39</v>
          </cell>
          <cell r="Z4199">
            <v>0.5</v>
          </cell>
          <cell r="AA4199">
            <v>756.69500000000005</v>
          </cell>
          <cell r="AB4199"/>
        </row>
        <row r="4200">
          <cell r="C4200">
            <v>0</v>
          </cell>
          <cell r="D4200">
            <v>0</v>
          </cell>
          <cell r="E4200">
            <v>0</v>
          </cell>
          <cell r="F4200">
            <v>0</v>
          </cell>
          <cell r="H4200">
            <v>2</v>
          </cell>
          <cell r="O4200">
            <v>334250</v>
          </cell>
          <cell r="P4200" t="str">
            <v>2022/203-0090-01</v>
          </cell>
          <cell r="Q4200" t="str">
            <v>EST ALMOFADA BRACO PARATY (FX 40030) (COFFEE MATT)</v>
          </cell>
          <cell r="R4200"/>
          <cell r="S4200"/>
          <cell r="T4200">
            <v>0.52</v>
          </cell>
          <cell r="U4200">
            <v>0.23</v>
          </cell>
          <cell r="V4200">
            <v>0.14000000000000001</v>
          </cell>
          <cell r="W4200">
            <v>0</v>
          </cell>
          <cell r="X4200" t="str">
            <v>EST ALMOFADA BRACO PARATY (FX 40030) (COFFEE MATT) - 0,52x0,23x0,14H</v>
          </cell>
          <cell r="Y4200">
            <v>1513.39</v>
          </cell>
          <cell r="Z4200">
            <v>0.5</v>
          </cell>
          <cell r="AA4200">
            <v>756.69500000000005</v>
          </cell>
          <cell r="AB4200"/>
        </row>
        <row r="4201">
          <cell r="C4201">
            <v>0</v>
          </cell>
          <cell r="D4201">
            <v>0</v>
          </cell>
          <cell r="E4201">
            <v>0</v>
          </cell>
          <cell r="F4201">
            <v>0</v>
          </cell>
          <cell r="H4201">
            <v>1</v>
          </cell>
          <cell r="O4201">
            <v>334270</v>
          </cell>
          <cell r="P4201" t="str">
            <v>2022/203-0131-01</v>
          </cell>
          <cell r="Q4201" t="str">
            <v>EST CHAISE SAN ANDRES (2B) (MTX MARROM) FX D4139/COUR EQUUS</v>
          </cell>
          <cell r="R4201"/>
          <cell r="S4201"/>
          <cell r="T4201">
            <v>1.1000000000000001</v>
          </cell>
          <cell r="U4201">
            <v>1.6</v>
          </cell>
          <cell r="V4201">
            <v>0.82</v>
          </cell>
          <cell r="W4201">
            <v>0</v>
          </cell>
          <cell r="X4201" t="str">
            <v>EST CHAISE SAN ANDRES (2B) (MTX MARROM) FX D4139/COUR EQUUS - 1,1x1,6x0,82H</v>
          </cell>
          <cell r="Y4201">
            <v>35362.480000000003</v>
          </cell>
          <cell r="Z4201">
            <v>0.5</v>
          </cell>
          <cell r="AA4201">
            <v>17681.240000000002</v>
          </cell>
          <cell r="AB4201"/>
        </row>
        <row r="4202">
          <cell r="C4202">
            <v>0</v>
          </cell>
          <cell r="D4202">
            <v>0</v>
          </cell>
          <cell r="E4202">
            <v>0</v>
          </cell>
          <cell r="F4202">
            <v>0</v>
          </cell>
          <cell r="H4202">
            <v>1</v>
          </cell>
          <cell r="O4202">
            <v>334344</v>
          </cell>
          <cell r="P4202" t="str">
            <v>2022/157-0026-01</v>
          </cell>
          <cell r="Q4202" t="str">
            <v>EST BANQUETA YUMI COURO 2 8002/JEQ EBANIZADO</v>
          </cell>
          <cell r="R4202"/>
          <cell r="S4202"/>
          <cell r="T4202">
            <v>0.69</v>
          </cell>
          <cell r="U4202">
            <v>0.53</v>
          </cell>
          <cell r="V4202">
            <v>0.4</v>
          </cell>
          <cell r="W4202">
            <v>0</v>
          </cell>
          <cell r="X4202" t="str">
            <v>EST BANQUETA YUMI COURO 2 8002/JEQ EBANIZADO - 0,69x0,53x0,4H</v>
          </cell>
          <cell r="Y4202">
            <v>13868.56</v>
          </cell>
          <cell r="Z4202">
            <v>0.5</v>
          </cell>
          <cell r="AA4202">
            <v>6934.28</v>
          </cell>
          <cell r="AB4202"/>
        </row>
        <row r="4203">
          <cell r="C4203">
            <v>0</v>
          </cell>
          <cell r="D4203">
            <v>0</v>
          </cell>
          <cell r="E4203">
            <v>0</v>
          </cell>
          <cell r="F4203">
            <v>0</v>
          </cell>
          <cell r="H4203">
            <v>1</v>
          </cell>
          <cell r="O4203">
            <v>334351</v>
          </cell>
          <cell r="P4203" t="str">
            <v>2022/185-0093-01</v>
          </cell>
          <cell r="Q4203" t="str">
            <v>EST CHAISE REGIA COURO VQ222/V8003/MTZ RB 02</v>
          </cell>
          <cell r="R4203"/>
          <cell r="S4203"/>
          <cell r="T4203">
            <v>1.68</v>
          </cell>
          <cell r="U4203">
            <v>1.65</v>
          </cell>
          <cell r="V4203">
            <v>0.85</v>
          </cell>
          <cell r="W4203">
            <v>0</v>
          </cell>
          <cell r="X4203" t="str">
            <v>EST CHAISE REGIA COURO VQ222/V8003/MTZ RB 02 - 1,68x1,65x0,85H</v>
          </cell>
          <cell r="Y4203">
            <v>60453.75</v>
          </cell>
          <cell r="Z4203">
            <v>0.5</v>
          </cell>
          <cell r="AA4203">
            <v>30226.875</v>
          </cell>
          <cell r="AB4203"/>
        </row>
        <row r="4204">
          <cell r="C4204">
            <v>0</v>
          </cell>
          <cell r="D4204">
            <v>0</v>
          </cell>
          <cell r="E4204">
            <v>0</v>
          </cell>
          <cell r="F4204">
            <v>0</v>
          </cell>
          <cell r="H4204">
            <v>1</v>
          </cell>
          <cell r="O4204">
            <v>334356</v>
          </cell>
          <cell r="P4204" t="str">
            <v>2024/022-0018-01</v>
          </cell>
          <cell r="Q4204" t="str">
            <v>EST MESA JANTAR MAR ADENTRO (LAMINA 1 EBANIZADO/BS PRETA)</v>
          </cell>
          <cell r="R4204"/>
          <cell r="S4204"/>
          <cell r="T4204">
            <v>3.5</v>
          </cell>
          <cell r="U4204">
            <v>1.2</v>
          </cell>
          <cell r="V4204">
            <v>0.75</v>
          </cell>
          <cell r="W4204">
            <v>0</v>
          </cell>
          <cell r="X4204" t="str">
            <v>EST MESA JANTAR MAR ADENTRO (LAMINA 1 EBANIZADO/BS PRETA) - 3,5x1,2x0,75H</v>
          </cell>
          <cell r="Y4204">
            <v>71290.42</v>
          </cell>
          <cell r="Z4204">
            <v>0.5</v>
          </cell>
          <cell r="AA4204">
            <v>35645.21</v>
          </cell>
          <cell r="AB4204"/>
        </row>
        <row r="4205">
          <cell r="C4205">
            <v>0</v>
          </cell>
          <cell r="D4205">
            <v>0</v>
          </cell>
          <cell r="E4205">
            <v>0</v>
          </cell>
          <cell r="F4205">
            <v>0</v>
          </cell>
          <cell r="H4205">
            <v>2</v>
          </cell>
          <cell r="O4205">
            <v>334436</v>
          </cell>
          <cell r="P4205" t="str">
            <v>2022/210-0068-01</v>
          </cell>
          <cell r="Q4205" t="str">
            <v>EST POLTRONA ALBA VERNIZ TABACO) FX G7092</v>
          </cell>
          <cell r="R4205"/>
          <cell r="S4205"/>
          <cell r="T4205">
            <v>0.63</v>
          </cell>
          <cell r="U4205">
            <v>0.79</v>
          </cell>
          <cell r="V4205">
            <v>0.76</v>
          </cell>
          <cell r="W4205">
            <v>0</v>
          </cell>
          <cell r="X4205" t="str">
            <v>EST POLTRONA ALBA VERNIZ TABACO) FX G7092 - 0,63x0,79x0,76H</v>
          </cell>
          <cell r="Y4205">
            <v>9392.23</v>
          </cell>
          <cell r="Z4205">
            <v>0.5</v>
          </cell>
          <cell r="AA4205">
            <v>4696.1149999999998</v>
          </cell>
          <cell r="AB4205"/>
        </row>
        <row r="4206">
          <cell r="C4206">
            <v>0</v>
          </cell>
          <cell r="D4206">
            <v>0</v>
          </cell>
          <cell r="E4206">
            <v>0</v>
          </cell>
          <cell r="F4206">
            <v>0</v>
          </cell>
          <cell r="H4206">
            <v>2</v>
          </cell>
          <cell r="O4206">
            <v>334436</v>
          </cell>
          <cell r="P4206" t="str">
            <v>2022/210-0069-01</v>
          </cell>
          <cell r="Q4206" t="str">
            <v>EST POLTRONA ALBA VERNIZ TABACO) FX G7092</v>
          </cell>
          <cell r="R4206"/>
          <cell r="S4206"/>
          <cell r="T4206">
            <v>0.63</v>
          </cell>
          <cell r="U4206">
            <v>0.79</v>
          </cell>
          <cell r="V4206">
            <v>0.76</v>
          </cell>
          <cell r="W4206">
            <v>0</v>
          </cell>
          <cell r="X4206" t="str">
            <v>EST POLTRONA ALBA VERNIZ TABACO) FX G7092 - 0,63x0,79x0,76H</v>
          </cell>
          <cell r="Y4206">
            <v>9392.23</v>
          </cell>
          <cell r="Z4206">
            <v>0.5</v>
          </cell>
          <cell r="AA4206">
            <v>4696.1149999999998</v>
          </cell>
          <cell r="AB4206"/>
        </row>
        <row r="4207">
          <cell r="C4207">
            <v>0</v>
          </cell>
          <cell r="D4207">
            <v>0</v>
          </cell>
          <cell r="E4207">
            <v>0</v>
          </cell>
          <cell r="F4207">
            <v>0</v>
          </cell>
          <cell r="H4207">
            <v>1</v>
          </cell>
          <cell r="O4207">
            <v>334437</v>
          </cell>
          <cell r="P4207" t="str">
            <v>2022/224-0048-01</v>
          </cell>
          <cell r="Q4207" t="str">
            <v>EST MESA CENTRO SANTIAGO (TRI) (MTX MARROM) (MARM VERDE)</v>
          </cell>
          <cell r="R4207"/>
          <cell r="S4207"/>
          <cell r="T4207">
            <v>1.4</v>
          </cell>
          <cell r="U4207">
            <v>1.5</v>
          </cell>
          <cell r="V4207">
            <v>0.32</v>
          </cell>
          <cell r="W4207">
            <v>0</v>
          </cell>
          <cell r="X4207" t="str">
            <v>EST MESA CENTRO SANTIAGO (TRI) (MTX MARROM) (MARM VERDE) - 1,4x1,5x0,32H</v>
          </cell>
          <cell r="Y4207">
            <v>32531.19</v>
          </cell>
          <cell r="Z4207">
            <v>0.5</v>
          </cell>
          <cell r="AA4207">
            <v>16265.594999999999</v>
          </cell>
          <cell r="AB4207"/>
        </row>
        <row r="4208">
          <cell r="C4208">
            <v>0</v>
          </cell>
          <cell r="D4208">
            <v>0</v>
          </cell>
          <cell r="E4208">
            <v>0</v>
          </cell>
          <cell r="F4208">
            <v>0</v>
          </cell>
          <cell r="H4208">
            <v>1</v>
          </cell>
          <cell r="O4208">
            <v>334446</v>
          </cell>
          <cell r="P4208" t="str">
            <v>2022/216-0089-01</v>
          </cell>
          <cell r="Q4208" t="str">
            <v>EST BANQUETA MARE COURO TP3 LA PAZ VERDE/MARROM</v>
          </cell>
          <cell r="R4208"/>
          <cell r="S4208"/>
          <cell r="T4208">
            <v>0.91</v>
          </cell>
          <cell r="U4208">
            <v>0.56999999999999995</v>
          </cell>
          <cell r="V4208">
            <v>0.4</v>
          </cell>
          <cell r="W4208">
            <v>0</v>
          </cell>
          <cell r="X4208" t="str">
            <v>EST BANQUETA MARE COURO TP3 LA PAZ VERDE/MARROM - 0,91x0,57x0,4H</v>
          </cell>
          <cell r="Y4208">
            <v>10778.88</v>
          </cell>
          <cell r="Z4208">
            <v>0.5</v>
          </cell>
          <cell r="AA4208">
            <v>5389.44</v>
          </cell>
          <cell r="AB4208"/>
        </row>
        <row r="4209">
          <cell r="C4209">
            <v>0</v>
          </cell>
          <cell r="D4209">
            <v>0</v>
          </cell>
          <cell r="E4209">
            <v>0</v>
          </cell>
          <cell r="F4209">
            <v>0</v>
          </cell>
          <cell r="H4209">
            <v>1</v>
          </cell>
          <cell r="O4209">
            <v>334447</v>
          </cell>
          <cell r="P4209" t="str">
            <v>2022/216-0090-01</v>
          </cell>
          <cell r="Q4209" t="str">
            <v>EST POLTRONA MARE COURO TP3 LA PAZ VERDE/MARROM</v>
          </cell>
          <cell r="R4209"/>
          <cell r="S4209"/>
          <cell r="T4209">
            <v>0.93</v>
          </cell>
          <cell r="U4209">
            <v>1.06</v>
          </cell>
          <cell r="V4209">
            <v>0.83</v>
          </cell>
          <cell r="W4209">
            <v>0</v>
          </cell>
          <cell r="X4209" t="str">
            <v>EST POLTRONA MARE COURO TP3 LA PAZ VERDE/MARROM - 0,93x1,06x0,83H</v>
          </cell>
          <cell r="Y4209">
            <v>22958.66</v>
          </cell>
          <cell r="Z4209">
            <v>0.5</v>
          </cell>
          <cell r="AA4209">
            <v>11479.33</v>
          </cell>
          <cell r="AB4209"/>
        </row>
        <row r="4210">
          <cell r="C4210">
            <v>0</v>
          </cell>
          <cell r="D4210">
            <v>2</v>
          </cell>
          <cell r="E4210">
            <v>0</v>
          </cell>
          <cell r="F4210">
            <v>0</v>
          </cell>
          <cell r="H4210">
            <v>0</v>
          </cell>
          <cell r="O4210">
            <v>334448</v>
          </cell>
          <cell r="P4210" t="str">
            <v>2022/222-0015-01</v>
          </cell>
          <cell r="Q4210" t="str">
            <v>EST ESTANTE BURLE (MTX MARROM FSC) (LAM 2 PRAT NOGUEIRA)</v>
          </cell>
          <cell r="R4210"/>
          <cell r="S4210"/>
          <cell r="T4210">
            <v>1.3</v>
          </cell>
          <cell r="U4210">
            <v>1.45</v>
          </cell>
          <cell r="V4210">
            <v>1.83</v>
          </cell>
          <cell r="W4210">
            <v>0</v>
          </cell>
          <cell r="X4210" t="str">
            <v>EST ESTANTE BURLE (MTX MARROM FSC) (LAM 2 PRAT NOGUEIRA) - 1,3x1,45x1,83H</v>
          </cell>
          <cell r="Y4210">
            <v>44856.36</v>
          </cell>
          <cell r="Z4210">
            <v>0.5</v>
          </cell>
          <cell r="AA4210">
            <v>22428.18</v>
          </cell>
          <cell r="AB4210"/>
        </row>
        <row r="4211">
          <cell r="C4211">
            <v>0</v>
          </cell>
          <cell r="D4211">
            <v>2</v>
          </cell>
          <cell r="E4211">
            <v>0</v>
          </cell>
          <cell r="F4211">
            <v>0</v>
          </cell>
          <cell r="H4211">
            <v>0</v>
          </cell>
          <cell r="O4211">
            <v>334448</v>
          </cell>
          <cell r="P4211" t="str">
            <v>2022/222-0014-01</v>
          </cell>
          <cell r="Q4211" t="str">
            <v>EST ESTANTE BURLE (MTX MARROM FSC) (LAM 2 PRAT NOGUEIRA)</v>
          </cell>
          <cell r="R4211"/>
          <cell r="S4211"/>
          <cell r="T4211">
            <v>1.3</v>
          </cell>
          <cell r="U4211">
            <v>1.45</v>
          </cell>
          <cell r="V4211">
            <v>1.83</v>
          </cell>
          <cell r="W4211">
            <v>0</v>
          </cell>
          <cell r="X4211" t="str">
            <v>EST ESTANTE BURLE (MTX MARROM FSC) (LAM 2 PRAT NOGUEIRA) - 1,3x1,45x1,83H</v>
          </cell>
          <cell r="Y4211">
            <v>44856.36</v>
          </cell>
          <cell r="Z4211">
            <v>0.5</v>
          </cell>
          <cell r="AA4211">
            <v>22428.18</v>
          </cell>
          <cell r="AB4211"/>
        </row>
        <row r="4212">
          <cell r="C4212">
            <v>0</v>
          </cell>
          <cell r="D4212">
            <v>0</v>
          </cell>
          <cell r="E4212">
            <v>0</v>
          </cell>
          <cell r="F4212">
            <v>0</v>
          </cell>
          <cell r="H4212">
            <v>1</v>
          </cell>
          <cell r="O4212">
            <v>334454</v>
          </cell>
          <cell r="P4212" t="str">
            <v>2022/189-0020-01</v>
          </cell>
          <cell r="Q4212" t="str">
            <v>EST SOFA OCA COURO VQ425/PES PRETO/AVANCO DIREITO</v>
          </cell>
          <cell r="R4212"/>
          <cell r="S4212"/>
          <cell r="T4212">
            <v>2.75</v>
          </cell>
          <cell r="U4212">
            <v>1.01</v>
          </cell>
          <cell r="V4212">
            <v>0.78</v>
          </cell>
          <cell r="W4212">
            <v>0</v>
          </cell>
          <cell r="X4212" t="str">
            <v>EST SOFA OCA COURO VQ425/PES PRETO/AVANCO DIREITO - 2,75x1,01x0,78H</v>
          </cell>
          <cell r="Y4212">
            <v>87348.62</v>
          </cell>
          <cell r="Z4212">
            <v>0.5</v>
          </cell>
          <cell r="AA4212">
            <v>43674.31</v>
          </cell>
          <cell r="AB4212"/>
        </row>
        <row r="4213">
          <cell r="C4213">
            <v>0</v>
          </cell>
          <cell r="D4213">
            <v>0</v>
          </cell>
          <cell r="E4213">
            <v>0</v>
          </cell>
          <cell r="F4213">
            <v>0</v>
          </cell>
          <cell r="H4213">
            <v>2</v>
          </cell>
          <cell r="O4213">
            <v>334521</v>
          </cell>
          <cell r="P4213" t="str">
            <v>2022/199-0087-01</v>
          </cell>
          <cell r="Q4213" t="str">
            <v>EST PUFF OLY H45 FX F8027 HASTE METAL MARROM CLARO</v>
          </cell>
          <cell r="R4213"/>
          <cell r="S4213"/>
          <cell r="T4213">
            <v>0.6</v>
          </cell>
          <cell r="U4213">
            <v>0</v>
          </cell>
          <cell r="V4213">
            <v>0.45</v>
          </cell>
          <cell r="W4213">
            <v>0.6</v>
          </cell>
          <cell r="X4213" t="str">
            <v>EST PUFF OLY H45 FX F8027 HASTE METAL MARROM CLARO - Ø0,6x0,45H</v>
          </cell>
          <cell r="Y4213">
            <v>7494.64</v>
          </cell>
          <cell r="Z4213">
            <v>0.5</v>
          </cell>
          <cell r="AA4213">
            <v>3747.32</v>
          </cell>
          <cell r="AB4213"/>
        </row>
        <row r="4214">
          <cell r="C4214">
            <v>0</v>
          </cell>
          <cell r="D4214">
            <v>0</v>
          </cell>
          <cell r="E4214">
            <v>0</v>
          </cell>
          <cell r="F4214">
            <v>0</v>
          </cell>
          <cell r="H4214">
            <v>1</v>
          </cell>
          <cell r="O4214">
            <v>334565</v>
          </cell>
          <cell r="P4214" t="str">
            <v>2022/228-0030-01</v>
          </cell>
          <cell r="Q4214" t="str">
            <v>EST MESA CENTRO IPANEMA (LACA BRILHO PRETA C/CRISTAL PRETO)</v>
          </cell>
          <cell r="R4214"/>
          <cell r="S4214"/>
          <cell r="T4214">
            <v>1</v>
          </cell>
          <cell r="U4214">
            <v>0</v>
          </cell>
          <cell r="V4214">
            <v>0.32</v>
          </cell>
          <cell r="W4214">
            <v>1</v>
          </cell>
          <cell r="X4214" t="str">
            <v>EST MESA CENTRO IPANEMA (LACA BRILHO PRETA C/CRISTAL PRETO) - Ø1x0,32H</v>
          </cell>
          <cell r="Y4214">
            <v>11298.47</v>
          </cell>
          <cell r="Z4214">
            <v>0.5</v>
          </cell>
          <cell r="AA4214">
            <v>5649.2349999999997</v>
          </cell>
          <cell r="AB4214"/>
        </row>
        <row r="4215">
          <cell r="C4215">
            <v>0</v>
          </cell>
          <cell r="D4215">
            <v>0</v>
          </cell>
          <cell r="E4215">
            <v>0</v>
          </cell>
          <cell r="F4215">
            <v>0</v>
          </cell>
          <cell r="H4215">
            <v>8</v>
          </cell>
          <cell r="O4215">
            <v>334629</v>
          </cell>
          <cell r="P4215" t="str">
            <v>2022/259-0048-01</v>
          </cell>
          <cell r="Q4215" t="str">
            <v>EST CADEIRA KEEF C/BRACO (JEQ TING DARK) (MISTA) (C4 COFFEE)</v>
          </cell>
          <cell r="R4215"/>
          <cell r="S4215"/>
          <cell r="T4215">
            <v>0.55000000000000004</v>
          </cell>
          <cell r="U4215">
            <v>0.54</v>
          </cell>
          <cell r="V4215">
            <v>0.89</v>
          </cell>
          <cell r="W4215">
            <v>0</v>
          </cell>
          <cell r="X4215" t="str">
            <v>EST CADEIRA KEEF C/BRACO (JEQ TING DARK) (MISTA) (C4 COFFEE) - 0,55x0,54x0,89H</v>
          </cell>
          <cell r="Y4215">
            <v>9927.3700000000008</v>
          </cell>
          <cell r="Z4215">
            <v>0.5</v>
          </cell>
          <cell r="AA4215">
            <v>4963.6850000000004</v>
          </cell>
          <cell r="AB4215"/>
        </row>
        <row r="4216">
          <cell r="C4216">
            <v>0</v>
          </cell>
          <cell r="D4216">
            <v>0</v>
          </cell>
          <cell r="E4216">
            <v>0</v>
          </cell>
          <cell r="F4216">
            <v>0</v>
          </cell>
          <cell r="H4216">
            <v>1</v>
          </cell>
          <cell r="O4216">
            <v>334648</v>
          </cell>
          <cell r="P4216" t="str">
            <v>2022/210-0133-01</v>
          </cell>
          <cell r="Q4216" t="str">
            <v>EST MESA CENTRO BALLET II (FX4 CALACATA FSC) (AUT OXI)</v>
          </cell>
          <cell r="R4216"/>
          <cell r="S4216"/>
          <cell r="T4216">
            <v>1.8</v>
          </cell>
          <cell r="U4216">
            <v>0.8</v>
          </cell>
          <cell r="V4216">
            <v>0.3</v>
          </cell>
          <cell r="W4216">
            <v>0</v>
          </cell>
          <cell r="X4216" t="str">
            <v>EST MESA CENTRO BALLET II (FX4 CALACATA FSC) (AUT OXI) - 1,8x0,8x0,3H</v>
          </cell>
          <cell r="Y4216">
            <v>56537.96</v>
          </cell>
          <cell r="Z4216">
            <v>0.5</v>
          </cell>
          <cell r="AA4216">
            <v>28268.98</v>
          </cell>
          <cell r="AB4216"/>
        </row>
        <row r="4217">
          <cell r="C4217">
            <v>1</v>
          </cell>
          <cell r="D4217">
            <v>0</v>
          </cell>
          <cell r="E4217">
            <v>1</v>
          </cell>
          <cell r="F4217">
            <v>0</v>
          </cell>
          <cell r="H4217">
            <v>1</v>
          </cell>
          <cell r="O4217">
            <v>335084</v>
          </cell>
          <cell r="P4217" t="str">
            <v>2022/349-0020-01</v>
          </cell>
          <cell r="Q4217" t="str">
            <v>EST LUMINARIA PISO TROY (2101) ACO/JEQ NT/CUP LIN OFF WHITE</v>
          </cell>
          <cell r="R4217"/>
          <cell r="S4217"/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 t="str">
            <v>EST LUMINARIA PISO TROY (2101) ACO/JEQ NT/CUP LIN OFF WHITE - Ø0x0H</v>
          </cell>
          <cell r="Y4217">
            <v>5152</v>
          </cell>
          <cell r="Z4217">
            <v>0.5</v>
          </cell>
          <cell r="AA4217">
            <v>2576</v>
          </cell>
          <cell r="AB4217"/>
        </row>
        <row r="4218">
          <cell r="C4218">
            <v>0</v>
          </cell>
          <cell r="D4218">
            <v>0</v>
          </cell>
          <cell r="E4218">
            <v>0</v>
          </cell>
          <cell r="F4218">
            <v>0</v>
          </cell>
          <cell r="H4218">
            <v>1</v>
          </cell>
          <cell r="O4218">
            <v>146965</v>
          </cell>
          <cell r="P4218" t="str">
            <v>2016/053-0050-01</v>
          </cell>
          <cell r="Q4218" t="str">
            <v>EST CADEIRA CHICAGO C/B (TELA DUP) (CATUABA PU) FACTOR BR</v>
          </cell>
          <cell r="R4218"/>
          <cell r="S4218"/>
          <cell r="T4218">
            <v>0.45</v>
          </cell>
          <cell r="U4218">
            <v>0.52</v>
          </cell>
          <cell r="V4218">
            <v>0.84</v>
          </cell>
          <cell r="W4218">
            <v>0</v>
          </cell>
          <cell r="X4218" t="str">
            <v>EST CADEIRA CHICAGO C/B (TELA DUP) (CATUABA PU) FACTOR BR - 0,45x0,52x0,84H</v>
          </cell>
          <cell r="Y4218">
            <v>4403.21</v>
          </cell>
          <cell r="Z4218">
            <v>0.5</v>
          </cell>
          <cell r="AA4218">
            <v>2201.605</v>
          </cell>
          <cell r="AB4218"/>
        </row>
        <row r="4219">
          <cell r="C4219">
            <v>0</v>
          </cell>
          <cell r="D4219">
            <v>0</v>
          </cell>
          <cell r="E4219">
            <v>0</v>
          </cell>
          <cell r="F4219">
            <v>0</v>
          </cell>
          <cell r="H4219">
            <v>1</v>
          </cell>
          <cell r="O4219">
            <v>335232</v>
          </cell>
          <cell r="P4219" t="str">
            <v>2022/217-0024-01</v>
          </cell>
          <cell r="Q4219" t="str">
            <v>EST BANCO EOS Ø40 (PINT MARROM) (BOU STELLA 225)</v>
          </cell>
          <cell r="R4219"/>
          <cell r="S4219"/>
          <cell r="T4219">
            <v>0.4</v>
          </cell>
          <cell r="U4219">
            <v>0</v>
          </cell>
          <cell r="V4219">
            <v>0.43</v>
          </cell>
          <cell r="W4219">
            <v>0.4</v>
          </cell>
          <cell r="X4219" t="str">
            <v>EST BANCO EOS Ø40 (PINT MARROM) (BOU STELLA 225) - Ø0,4x0,43H</v>
          </cell>
          <cell r="Y4219">
            <v>3801.28</v>
          </cell>
          <cell r="Z4219">
            <v>0.5</v>
          </cell>
          <cell r="AA4219">
            <v>1900.64</v>
          </cell>
          <cell r="AB4219"/>
        </row>
        <row r="4220">
          <cell r="C4220">
            <v>0</v>
          </cell>
          <cell r="D4220">
            <v>0</v>
          </cell>
          <cell r="E4220">
            <v>0</v>
          </cell>
          <cell r="F4220">
            <v>0</v>
          </cell>
          <cell r="H4220">
            <v>1</v>
          </cell>
          <cell r="O4220">
            <v>335248</v>
          </cell>
          <cell r="P4220" t="str">
            <v>2022/221-0009-01</v>
          </cell>
          <cell r="Q4220" t="str">
            <v>EST MESA JANTAR MAR ADENTRO (LAMINA 2 LOURO PARDO/BS CS125)</v>
          </cell>
          <cell r="R4220"/>
          <cell r="S4220"/>
          <cell r="T4220">
            <v>3</v>
          </cell>
          <cell r="U4220">
            <v>1.2</v>
          </cell>
          <cell r="V4220">
            <v>0.75</v>
          </cell>
          <cell r="W4220">
            <v>0</v>
          </cell>
          <cell r="X4220" t="str">
            <v>EST MESA JANTAR MAR ADENTRO (LAMINA 2 LOURO PARDO/BS CS125) - 3x1,2x0,75H</v>
          </cell>
          <cell r="Y4220">
            <v>67216.62</v>
          </cell>
          <cell r="Z4220">
            <v>0.5</v>
          </cell>
          <cell r="AA4220">
            <v>33608.31</v>
          </cell>
          <cell r="AB4220"/>
        </row>
        <row r="4221">
          <cell r="C4221">
            <v>0</v>
          </cell>
          <cell r="D4221">
            <v>0</v>
          </cell>
          <cell r="E4221">
            <v>0</v>
          </cell>
          <cell r="F4221">
            <v>0</v>
          </cell>
          <cell r="H4221">
            <v>10</v>
          </cell>
          <cell r="O4221">
            <v>335331</v>
          </cell>
          <cell r="P4221" t="str">
            <v>2022/298-0071-01</v>
          </cell>
          <cell r="Q4221" t="str">
            <v>EST CADEIRA CLARA (JEQ TING NOG) (ESTOF) (C4 NERO)</v>
          </cell>
          <cell r="R4221"/>
          <cell r="S4221"/>
          <cell r="T4221">
            <v>0.48</v>
          </cell>
          <cell r="U4221">
            <v>0.56999999999999995</v>
          </cell>
          <cell r="V4221">
            <v>0.86</v>
          </cell>
          <cell r="W4221">
            <v>0</v>
          </cell>
          <cell r="X4221" t="str">
            <v>EST CADEIRA CLARA (JEQ TING NOG) (ESTOF) (C4 NERO) - 0,48x0,57x0,86H</v>
          </cell>
          <cell r="Y4221">
            <v>8042.5</v>
          </cell>
          <cell r="Z4221">
            <v>0.5</v>
          </cell>
          <cell r="AA4221">
            <v>4021.25</v>
          </cell>
          <cell r="AB4221"/>
        </row>
        <row r="4222">
          <cell r="C4222">
            <v>0</v>
          </cell>
          <cell r="D4222">
            <v>0</v>
          </cell>
          <cell r="E4222">
            <v>0</v>
          </cell>
          <cell r="F4222">
            <v>0</v>
          </cell>
          <cell r="H4222">
            <v>10</v>
          </cell>
          <cell r="O4222">
            <v>335331</v>
          </cell>
          <cell r="P4222" t="str">
            <v>2022/298-0072-01</v>
          </cell>
          <cell r="Q4222" t="str">
            <v>EST CADEIRA CLARA (JEQ TING NOG) (ESTOF) (C4 NERO)</v>
          </cell>
          <cell r="R4222"/>
          <cell r="S4222"/>
          <cell r="T4222">
            <v>0.48</v>
          </cell>
          <cell r="U4222">
            <v>0.56999999999999995</v>
          </cell>
          <cell r="V4222">
            <v>0.86</v>
          </cell>
          <cell r="W4222">
            <v>0</v>
          </cell>
          <cell r="X4222" t="str">
            <v>EST CADEIRA CLARA (JEQ TING NOG) (ESTOF) (C4 NERO) - 0,48x0,57x0,86H</v>
          </cell>
          <cell r="Y4222">
            <v>8042.5</v>
          </cell>
          <cell r="Z4222">
            <v>0.5</v>
          </cell>
          <cell r="AA4222">
            <v>4021.25</v>
          </cell>
          <cell r="AB4222"/>
        </row>
        <row r="4223">
          <cell r="C4223">
            <v>0</v>
          </cell>
          <cell r="D4223">
            <v>0</v>
          </cell>
          <cell r="E4223">
            <v>0</v>
          </cell>
          <cell r="F4223">
            <v>0</v>
          </cell>
          <cell r="H4223">
            <v>10</v>
          </cell>
          <cell r="O4223">
            <v>335331</v>
          </cell>
          <cell r="P4223" t="str">
            <v>2022/298-0073-01</v>
          </cell>
          <cell r="Q4223" t="str">
            <v>EST CADEIRA CLARA (JEQ TING NOG) (ESTOF) (C4 NERO)</v>
          </cell>
          <cell r="R4223"/>
          <cell r="S4223"/>
          <cell r="T4223">
            <v>0.48</v>
          </cell>
          <cell r="U4223">
            <v>0.56999999999999995</v>
          </cell>
          <cell r="V4223">
            <v>0.86</v>
          </cell>
          <cell r="W4223">
            <v>0</v>
          </cell>
          <cell r="X4223" t="str">
            <v>EST CADEIRA CLARA (JEQ TING NOG) (ESTOF) (C4 NERO) - 0,48x0,57x0,86H</v>
          </cell>
          <cell r="Y4223">
            <v>8042.5</v>
          </cell>
          <cell r="Z4223">
            <v>0.5</v>
          </cell>
          <cell r="AA4223">
            <v>4021.25</v>
          </cell>
          <cell r="AB4223"/>
        </row>
        <row r="4224">
          <cell r="C4224">
            <v>0</v>
          </cell>
          <cell r="D4224">
            <v>0</v>
          </cell>
          <cell r="E4224">
            <v>0</v>
          </cell>
          <cell r="F4224">
            <v>0</v>
          </cell>
          <cell r="H4224">
            <v>10</v>
          </cell>
          <cell r="O4224">
            <v>335331</v>
          </cell>
          <cell r="P4224" t="str">
            <v>2022/298-0074-01</v>
          </cell>
          <cell r="Q4224" t="str">
            <v>EST CADEIRA CLARA (JEQ TING NOG) (ESTOF) (C4 NERO)</v>
          </cell>
          <cell r="R4224"/>
          <cell r="S4224"/>
          <cell r="T4224">
            <v>0.48</v>
          </cell>
          <cell r="U4224">
            <v>0.56999999999999995</v>
          </cell>
          <cell r="V4224">
            <v>0.86</v>
          </cell>
          <cell r="W4224">
            <v>0</v>
          </cell>
          <cell r="X4224" t="str">
            <v>EST CADEIRA CLARA (JEQ TING NOG) (ESTOF) (C4 NERO) - 0,48x0,57x0,86H</v>
          </cell>
          <cell r="Y4224">
            <v>8042.5</v>
          </cell>
          <cell r="Z4224">
            <v>0.5</v>
          </cell>
          <cell r="AA4224">
            <v>4021.25</v>
          </cell>
          <cell r="AB4224"/>
        </row>
        <row r="4225">
          <cell r="C4225">
            <v>0</v>
          </cell>
          <cell r="D4225">
            <v>0</v>
          </cell>
          <cell r="E4225">
            <v>0</v>
          </cell>
          <cell r="F4225">
            <v>0</v>
          </cell>
          <cell r="H4225">
            <v>10</v>
          </cell>
          <cell r="O4225">
            <v>335331</v>
          </cell>
          <cell r="P4225" t="str">
            <v>2022/298-0075-01</v>
          </cell>
          <cell r="Q4225" t="str">
            <v>EST CADEIRA CLARA (JEQ TING NOG) (ESTOF) (C4 NERO)</v>
          </cell>
          <cell r="R4225"/>
          <cell r="S4225"/>
          <cell r="T4225">
            <v>0.48</v>
          </cell>
          <cell r="U4225">
            <v>0.56999999999999995</v>
          </cell>
          <cell r="V4225">
            <v>0.86</v>
          </cell>
          <cell r="W4225">
            <v>0</v>
          </cell>
          <cell r="X4225" t="str">
            <v>EST CADEIRA CLARA (JEQ TING NOG) (ESTOF) (C4 NERO) - 0,48x0,57x0,86H</v>
          </cell>
          <cell r="Y4225">
            <v>8042.5</v>
          </cell>
          <cell r="Z4225">
            <v>0.5</v>
          </cell>
          <cell r="AA4225">
            <v>4021.25</v>
          </cell>
          <cell r="AB4225"/>
        </row>
        <row r="4226">
          <cell r="C4226">
            <v>0</v>
          </cell>
          <cell r="D4226">
            <v>0</v>
          </cell>
          <cell r="E4226">
            <v>0</v>
          </cell>
          <cell r="F4226">
            <v>0</v>
          </cell>
          <cell r="H4226">
            <v>10</v>
          </cell>
          <cell r="O4226">
            <v>335331</v>
          </cell>
          <cell r="P4226" t="str">
            <v>2022/298-0077-01</v>
          </cell>
          <cell r="Q4226" t="str">
            <v>EST CADEIRA CLARA (JEQ TING NOG) (ESTOF) (C4 NERO)</v>
          </cell>
          <cell r="R4226"/>
          <cell r="S4226"/>
          <cell r="T4226">
            <v>0.48</v>
          </cell>
          <cell r="U4226">
            <v>0.56999999999999995</v>
          </cell>
          <cell r="V4226">
            <v>0.86</v>
          </cell>
          <cell r="W4226">
            <v>0</v>
          </cell>
          <cell r="X4226" t="str">
            <v>EST CADEIRA CLARA (JEQ TING NOG) (ESTOF) (C4 NERO) - 0,48x0,57x0,86H</v>
          </cell>
          <cell r="Y4226">
            <v>8042.5</v>
          </cell>
          <cell r="Z4226">
            <v>0.5</v>
          </cell>
          <cell r="AA4226">
            <v>4021.25</v>
          </cell>
          <cell r="AB4226"/>
        </row>
        <row r="4227">
          <cell r="C4227">
            <v>0</v>
          </cell>
          <cell r="D4227">
            <v>0</v>
          </cell>
          <cell r="E4227">
            <v>0</v>
          </cell>
          <cell r="F4227">
            <v>0</v>
          </cell>
          <cell r="H4227">
            <v>10</v>
          </cell>
          <cell r="O4227">
            <v>335331</v>
          </cell>
          <cell r="P4227" t="str">
            <v>2022/298-0079-01</v>
          </cell>
          <cell r="Q4227" t="str">
            <v>EST CADEIRA CLARA (JEQ TING NOG) (ESTOF) (C4 NERO)</v>
          </cell>
          <cell r="R4227"/>
          <cell r="S4227"/>
          <cell r="T4227">
            <v>0.48</v>
          </cell>
          <cell r="U4227">
            <v>0.56999999999999995</v>
          </cell>
          <cell r="V4227">
            <v>0.86</v>
          </cell>
          <cell r="W4227">
            <v>0</v>
          </cell>
          <cell r="X4227" t="str">
            <v>EST CADEIRA CLARA (JEQ TING NOG) (ESTOF) (C4 NERO) - 0,48x0,57x0,86H</v>
          </cell>
          <cell r="Y4227">
            <v>8042.5</v>
          </cell>
          <cell r="Z4227">
            <v>0.5</v>
          </cell>
          <cell r="AA4227">
            <v>4021.25</v>
          </cell>
          <cell r="AB4227"/>
        </row>
        <row r="4228">
          <cell r="C4228">
            <v>0</v>
          </cell>
          <cell r="D4228">
            <v>0</v>
          </cell>
          <cell r="E4228">
            <v>0</v>
          </cell>
          <cell r="F4228">
            <v>0</v>
          </cell>
          <cell r="H4228">
            <v>10</v>
          </cell>
          <cell r="O4228">
            <v>335331</v>
          </cell>
          <cell r="P4228" t="str">
            <v>2022/298-0080-01</v>
          </cell>
          <cell r="Q4228" t="str">
            <v>EST CADEIRA CLARA (JEQ TING NOG) (ESTOF) (C4 NERO)</v>
          </cell>
          <cell r="R4228"/>
          <cell r="S4228"/>
          <cell r="T4228">
            <v>0.48</v>
          </cell>
          <cell r="U4228">
            <v>0.56999999999999995</v>
          </cell>
          <cell r="V4228">
            <v>0.86</v>
          </cell>
          <cell r="W4228">
            <v>0</v>
          </cell>
          <cell r="X4228" t="str">
            <v>EST CADEIRA CLARA (JEQ TING NOG) (ESTOF) (C4 NERO) - 0,48x0,57x0,86H</v>
          </cell>
          <cell r="Y4228">
            <v>8042.5</v>
          </cell>
          <cell r="Z4228">
            <v>0.5</v>
          </cell>
          <cell r="AA4228">
            <v>4021.25</v>
          </cell>
          <cell r="AB4228"/>
        </row>
        <row r="4229">
          <cell r="C4229">
            <v>0</v>
          </cell>
          <cell r="D4229">
            <v>0</v>
          </cell>
          <cell r="E4229">
            <v>0</v>
          </cell>
          <cell r="F4229">
            <v>0</v>
          </cell>
          <cell r="H4229">
            <v>10</v>
          </cell>
          <cell r="O4229">
            <v>335331</v>
          </cell>
          <cell r="P4229" t="str">
            <v>2022/298-0076-01</v>
          </cell>
          <cell r="Q4229" t="str">
            <v>EST CADEIRA CLARA (JEQ TING NOG) (ESTOF) (C4 NERO)</v>
          </cell>
          <cell r="R4229"/>
          <cell r="S4229"/>
          <cell r="T4229">
            <v>0.48</v>
          </cell>
          <cell r="U4229">
            <v>0.56999999999999995</v>
          </cell>
          <cell r="V4229">
            <v>0.86</v>
          </cell>
          <cell r="W4229">
            <v>0</v>
          </cell>
          <cell r="X4229" t="str">
            <v>EST CADEIRA CLARA (JEQ TING NOG) (ESTOF) (C4 NERO) - 0,48x0,57x0,86H</v>
          </cell>
          <cell r="Y4229">
            <v>8042.5</v>
          </cell>
          <cell r="Z4229">
            <v>0.5</v>
          </cell>
          <cell r="AA4229">
            <v>4021.25</v>
          </cell>
          <cell r="AB4229"/>
        </row>
        <row r="4230">
          <cell r="C4230">
            <v>0</v>
          </cell>
          <cell r="D4230">
            <v>0</v>
          </cell>
          <cell r="E4230">
            <v>0</v>
          </cell>
          <cell r="F4230">
            <v>0</v>
          </cell>
          <cell r="H4230">
            <v>10</v>
          </cell>
          <cell r="O4230">
            <v>335331</v>
          </cell>
          <cell r="P4230" t="str">
            <v>2022/298-0078-01</v>
          </cell>
          <cell r="Q4230" t="str">
            <v>EST CADEIRA CLARA (JEQ TING NOG) (ESTOF) (C4 NERO)</v>
          </cell>
          <cell r="R4230"/>
          <cell r="S4230"/>
          <cell r="T4230">
            <v>0.48</v>
          </cell>
          <cell r="U4230">
            <v>0.56999999999999995</v>
          </cell>
          <cell r="V4230">
            <v>0.86</v>
          </cell>
          <cell r="W4230">
            <v>0</v>
          </cell>
          <cell r="X4230" t="str">
            <v>EST CADEIRA CLARA (JEQ TING NOG) (ESTOF) (C4 NERO) - 0,48x0,57x0,86H</v>
          </cell>
          <cell r="Y4230">
            <v>8042.5</v>
          </cell>
          <cell r="Z4230">
            <v>0.5</v>
          </cell>
          <cell r="AA4230">
            <v>4021.25</v>
          </cell>
          <cell r="AB4230"/>
        </row>
        <row r="4231">
          <cell r="C4231">
            <v>0</v>
          </cell>
          <cell r="D4231">
            <v>0</v>
          </cell>
          <cell r="E4231">
            <v>0</v>
          </cell>
          <cell r="F4231">
            <v>0</v>
          </cell>
          <cell r="H4231">
            <v>1</v>
          </cell>
          <cell r="O4231">
            <v>151224</v>
          </cell>
          <cell r="P4231"/>
          <cell r="Q4231" t="str">
            <v>EST POLTRONA HAPI (ANEL INOX) (CINAM NERO)/TC 11202-260#05</v>
          </cell>
          <cell r="R4231"/>
          <cell r="S4231"/>
          <cell r="T4231">
            <v>0.96</v>
          </cell>
          <cell r="U4231">
            <v>0.84</v>
          </cell>
          <cell r="V4231">
            <v>0.96</v>
          </cell>
          <cell r="W4231">
            <v>0</v>
          </cell>
          <cell r="X4231" t="str">
            <v>EST POLTRONA HAPI (ANEL INOX) (CINAM NERO)/TC 11202-260#05 - 0,96x0,84x0,96H</v>
          </cell>
          <cell r="Y4231">
            <v>14222.7</v>
          </cell>
          <cell r="Z4231">
            <v>0.5</v>
          </cell>
          <cell r="AA4231">
            <v>7111.35</v>
          </cell>
          <cell r="AB4231"/>
        </row>
        <row r="4232"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H4232">
            <v>4</v>
          </cell>
          <cell r="O4232">
            <v>178949</v>
          </cell>
          <cell r="P4232"/>
          <cell r="Q4232" t="str">
            <v>EST PUFF TOPOGRAFIA H41 (LC H155 FSC) VELVET BAMBOO AQ 4027</v>
          </cell>
          <cell r="R4232"/>
          <cell r="S4232"/>
          <cell r="T4232">
            <v>0.45</v>
          </cell>
          <cell r="U4232">
            <v>0</v>
          </cell>
          <cell r="V4232">
            <v>0.41</v>
          </cell>
          <cell r="W4232">
            <v>0.45</v>
          </cell>
          <cell r="X4232" t="str">
            <v>EST PUFF TOPOGRAFIA H41 (LC H155 FSC) VELVET BAMBOO AQ 4027 - Ø0,45x0,41H</v>
          </cell>
          <cell r="Y4232">
            <v>6230.25</v>
          </cell>
          <cell r="Z4232">
            <v>0.5</v>
          </cell>
          <cell r="AA4232">
            <v>3115.125</v>
          </cell>
          <cell r="AB4232"/>
        </row>
        <row r="4233">
          <cell r="C4233">
            <v>0</v>
          </cell>
          <cell r="D4233">
            <v>0</v>
          </cell>
          <cell r="E4233">
            <v>0</v>
          </cell>
          <cell r="F4233">
            <v>0</v>
          </cell>
          <cell r="H4233">
            <v>0</v>
          </cell>
          <cell r="O4233">
            <v>196066</v>
          </cell>
          <cell r="P4233" t="str">
            <v>2018/047-0057-01</v>
          </cell>
          <cell r="Q4233" t="str">
            <v>EST MESA JANTAR BOSQUE (CATUABA AVELUDADA) (ARO LC BRANCA)</v>
          </cell>
          <cell r="R4233"/>
          <cell r="S4233"/>
          <cell r="T4233">
            <v>2.4</v>
          </cell>
          <cell r="U4233">
            <v>1.2</v>
          </cell>
          <cell r="V4233">
            <v>0.75</v>
          </cell>
          <cell r="W4233">
            <v>0</v>
          </cell>
          <cell r="X4233" t="str">
            <v>EST MESA JANTAR BOSQUE (CATUABA AVELUDADA) (ARO LC BRANCA) - 2,4x1,2x0,75H</v>
          </cell>
          <cell r="Y4233">
            <v>16520.63</v>
          </cell>
          <cell r="Z4233">
            <v>0.5</v>
          </cell>
          <cell r="AA4233">
            <v>8260.3150000000005</v>
          </cell>
          <cell r="AB4233"/>
        </row>
        <row r="4234">
          <cell r="C4234">
            <v>0</v>
          </cell>
          <cell r="D4234">
            <v>0</v>
          </cell>
          <cell r="E4234">
            <v>0</v>
          </cell>
          <cell r="F4234">
            <v>0</v>
          </cell>
          <cell r="H4234">
            <v>0</v>
          </cell>
          <cell r="O4234">
            <v>196066</v>
          </cell>
          <cell r="P4234"/>
          <cell r="Q4234" t="str">
            <v>EST MESA JANTAR BOSQUE (CATUABA AVELUDADA) (ARO LC BRANCA)</v>
          </cell>
          <cell r="R4234"/>
          <cell r="S4234"/>
          <cell r="T4234">
            <v>2.4</v>
          </cell>
          <cell r="U4234">
            <v>1.2</v>
          </cell>
          <cell r="V4234">
            <v>0.75</v>
          </cell>
          <cell r="W4234">
            <v>0</v>
          </cell>
          <cell r="X4234" t="str">
            <v>EST MESA JANTAR BOSQUE (CATUABA AVELUDADA) (ARO LC BRANCA) - 2,4x1,2x0,75H</v>
          </cell>
          <cell r="Y4234">
            <v>16520.63</v>
          </cell>
          <cell r="Z4234">
            <v>0.5</v>
          </cell>
          <cell r="AA4234">
            <v>8260.3150000000005</v>
          </cell>
          <cell r="AB4234"/>
        </row>
        <row r="4235">
          <cell r="C4235">
            <v>0</v>
          </cell>
          <cell r="D4235">
            <v>0</v>
          </cell>
          <cell r="E4235">
            <v>0</v>
          </cell>
          <cell r="F4235">
            <v>0</v>
          </cell>
          <cell r="H4235">
            <v>2</v>
          </cell>
          <cell r="O4235">
            <v>210392</v>
          </cell>
          <cell r="P4235" t="str">
            <v>2017/150-0030-01</v>
          </cell>
          <cell r="Q4235" t="str">
            <v>EST POLTRONA CUSCO (CINAMOMO COLONIAL) TC11202-317/11202-335</v>
          </cell>
          <cell r="R4235"/>
          <cell r="S4235"/>
          <cell r="T4235">
            <v>1</v>
          </cell>
          <cell r="U4235">
            <v>0.82</v>
          </cell>
          <cell r="V4235">
            <v>0.72</v>
          </cell>
          <cell r="W4235">
            <v>0</v>
          </cell>
          <cell r="X4235" t="str">
            <v>EST POLTRONA CUSCO (CINAMOMO COLONIAL) TC11202-317/11202-335 - 1x0,82x0,72H</v>
          </cell>
          <cell r="Y4235">
            <v>17472</v>
          </cell>
          <cell r="Z4235">
            <v>0.5</v>
          </cell>
          <cell r="AA4235">
            <v>8736</v>
          </cell>
          <cell r="AB4235"/>
        </row>
        <row r="4236">
          <cell r="C4236">
            <v>0</v>
          </cell>
          <cell r="D4236">
            <v>0</v>
          </cell>
          <cell r="E4236">
            <v>0</v>
          </cell>
          <cell r="F4236">
            <v>0</v>
          </cell>
          <cell r="H4236">
            <v>2</v>
          </cell>
          <cell r="O4236">
            <v>210392</v>
          </cell>
          <cell r="P4236" t="str">
            <v>2017/170-0039-01</v>
          </cell>
          <cell r="Q4236" t="str">
            <v>EST POLTRONA CUSCO (CINAMOMO COLONIAL) TC11202-317/11202-335</v>
          </cell>
          <cell r="R4236"/>
          <cell r="S4236"/>
          <cell r="T4236">
            <v>1</v>
          </cell>
          <cell r="U4236">
            <v>0.82</v>
          </cell>
          <cell r="V4236">
            <v>0.72</v>
          </cell>
          <cell r="W4236">
            <v>0</v>
          </cell>
          <cell r="X4236" t="str">
            <v>EST POLTRONA CUSCO (CINAMOMO COLONIAL) TC11202-317/11202-335 - 1x0,82x0,72H</v>
          </cell>
          <cell r="Y4236">
            <v>17472</v>
          </cell>
          <cell r="Z4236">
            <v>0.5</v>
          </cell>
          <cell r="AA4236">
            <v>8736</v>
          </cell>
          <cell r="AB4236"/>
        </row>
        <row r="4237">
          <cell r="C4237">
            <v>0</v>
          </cell>
          <cell r="D4237">
            <v>0</v>
          </cell>
          <cell r="E4237">
            <v>0</v>
          </cell>
          <cell r="F4237">
            <v>0</v>
          </cell>
          <cell r="H4237">
            <v>1</v>
          </cell>
          <cell r="O4237">
            <v>216681</v>
          </cell>
          <cell r="P4237"/>
          <cell r="Q4237" t="str">
            <v>EST BANCO ROCCO (PINNUS ENVELHECIDO)</v>
          </cell>
          <cell r="R4237"/>
          <cell r="S4237"/>
          <cell r="T4237">
            <v>1.4</v>
          </cell>
          <cell r="U4237">
            <v>0.35</v>
          </cell>
          <cell r="V4237">
            <v>0.32</v>
          </cell>
          <cell r="W4237">
            <v>0</v>
          </cell>
          <cell r="X4237" t="str">
            <v>EST BANCO ROCCO (PINNUS ENVELHECIDO) - 1,4x0,35x0,32H</v>
          </cell>
          <cell r="Y4237">
            <v>8960</v>
          </cell>
          <cell r="Z4237">
            <v>0.5</v>
          </cell>
          <cell r="AA4237">
            <v>4480</v>
          </cell>
          <cell r="AB4237"/>
        </row>
        <row r="4238">
          <cell r="C4238">
            <v>0</v>
          </cell>
          <cell r="D4238">
            <v>0</v>
          </cell>
          <cell r="E4238">
            <v>0</v>
          </cell>
          <cell r="F4238">
            <v>0</v>
          </cell>
          <cell r="H4238">
            <v>1</v>
          </cell>
          <cell r="O4238">
            <v>223617</v>
          </cell>
          <cell r="P4238" t="str">
            <v>2018/184-0101-01</v>
          </cell>
          <cell r="Q4238" t="str">
            <v>EST CARRINHO BAR CARRELLO (INOX ENV) (MAD A MUIRAC POA)</v>
          </cell>
          <cell r="R4238"/>
          <cell r="S4238"/>
          <cell r="T4238">
            <v>0.8</v>
          </cell>
          <cell r="U4238">
            <v>0.5</v>
          </cell>
          <cell r="V4238">
            <v>0.7</v>
          </cell>
          <cell r="W4238">
            <v>0</v>
          </cell>
          <cell r="X4238" t="str">
            <v>EST CARRINHO BAR CARRELLO (INOX ENV) (MAD A MUIRAC POA) - 0,8x0,5x0,7H</v>
          </cell>
          <cell r="Y4238">
            <v>16817.25</v>
          </cell>
          <cell r="Z4238">
            <v>0.5</v>
          </cell>
          <cell r="AA4238">
            <v>8408.625</v>
          </cell>
          <cell r="AB4238"/>
        </row>
        <row r="4239">
          <cell r="C4239">
            <v>0</v>
          </cell>
          <cell r="D4239">
            <v>0</v>
          </cell>
          <cell r="E4239">
            <v>0</v>
          </cell>
          <cell r="F4239">
            <v>0</v>
          </cell>
          <cell r="H4239">
            <v>2</v>
          </cell>
          <cell r="O4239">
            <v>228451</v>
          </cell>
          <cell r="P4239" t="str">
            <v>2018/309-0057-01</v>
          </cell>
          <cell r="Q4239" t="str">
            <v>EST CARRINHO BAR CARRELLO (INOX ENV) (MAD A MUIRAC POA)</v>
          </cell>
          <cell r="R4239"/>
          <cell r="S4239"/>
          <cell r="T4239">
            <v>0.8</v>
          </cell>
          <cell r="U4239">
            <v>0.5</v>
          </cell>
          <cell r="V4239">
            <v>0.7</v>
          </cell>
          <cell r="W4239">
            <v>0</v>
          </cell>
          <cell r="X4239" t="str">
            <v>EST CARRINHO BAR CARRELLO (INOX ENV) (MAD A MUIRAC POA) - 0,8x0,5x0,7H</v>
          </cell>
          <cell r="Y4239">
            <v>16817.25</v>
          </cell>
          <cell r="Z4239">
            <v>0.5</v>
          </cell>
          <cell r="AA4239">
            <v>8408.625</v>
          </cell>
          <cell r="AB4239"/>
        </row>
        <row r="4240">
          <cell r="C4240">
            <v>0</v>
          </cell>
          <cell r="D4240">
            <v>0</v>
          </cell>
          <cell r="E4240">
            <v>0</v>
          </cell>
          <cell r="F4240">
            <v>0</v>
          </cell>
          <cell r="H4240">
            <v>2</v>
          </cell>
          <cell r="O4240">
            <v>228451</v>
          </cell>
          <cell r="P4240" t="str">
            <v>2024/281-0106-01</v>
          </cell>
          <cell r="Q4240" t="str">
            <v>EST CARRINHO BAR CARRELLO (INOX ENV) (MAD A MUIRAC POA)</v>
          </cell>
          <cell r="R4240"/>
          <cell r="S4240"/>
          <cell r="T4240">
            <v>0.8</v>
          </cell>
          <cell r="U4240">
            <v>0.5</v>
          </cell>
          <cell r="V4240">
            <v>0.7</v>
          </cell>
          <cell r="W4240">
            <v>0</v>
          </cell>
          <cell r="X4240" t="str">
            <v>EST CARRINHO BAR CARRELLO (INOX ENV) (MAD A MUIRAC POA) - 0,8x0,5x0,7H</v>
          </cell>
          <cell r="Y4240">
            <v>16817.25</v>
          </cell>
          <cell r="Z4240">
            <v>0.5</v>
          </cell>
          <cell r="AA4240">
            <v>8408.625</v>
          </cell>
          <cell r="AB4240"/>
        </row>
        <row r="4241">
          <cell r="C4241">
            <v>1</v>
          </cell>
          <cell r="D4241">
            <v>0</v>
          </cell>
          <cell r="E4241">
            <v>0</v>
          </cell>
          <cell r="F4241">
            <v>0</v>
          </cell>
          <cell r="H4241">
            <v>1</v>
          </cell>
          <cell r="O4241">
            <v>232126</v>
          </cell>
          <cell r="P4241" t="str">
            <v>2019/078-0065-01</v>
          </cell>
          <cell r="Q4241" t="str">
            <v>EST CADEIRA CHICAGO C/B (TELA DUP) (FREIJO NT) TC 11203353</v>
          </cell>
          <cell r="R4241"/>
          <cell r="S4241"/>
          <cell r="T4241">
            <v>0.52</v>
          </cell>
          <cell r="U4241">
            <v>0.53</v>
          </cell>
          <cell r="V4241">
            <v>0.84</v>
          </cell>
          <cell r="W4241">
            <v>0</v>
          </cell>
          <cell r="X4241" t="str">
            <v>EST CADEIRA CHICAGO C/B (TELA DUP) (FREIJO NT) TC 11203353 - 0,52x0,53x0,84H</v>
          </cell>
          <cell r="Y4241">
            <v>6255.16</v>
          </cell>
          <cell r="Z4241">
            <v>0.5</v>
          </cell>
          <cell r="AA4241">
            <v>3127.58</v>
          </cell>
          <cell r="AB4241"/>
        </row>
        <row r="4242">
          <cell r="C4242">
            <v>0</v>
          </cell>
          <cell r="D4242">
            <v>0</v>
          </cell>
          <cell r="E4242">
            <v>0</v>
          </cell>
          <cell r="F4242">
            <v>0</v>
          </cell>
          <cell r="H4242">
            <v>2</v>
          </cell>
          <cell r="O4242">
            <v>232131</v>
          </cell>
          <cell r="P4242" t="str">
            <v>2019/122-0018-01</v>
          </cell>
          <cell r="Q4242" t="str">
            <v>EST POLTRONA ABAS (MAD B LOURO ESP) G11-11202300 AZ 907</v>
          </cell>
          <cell r="R4242"/>
          <cell r="S4242"/>
          <cell r="T4242">
            <v>0.9</v>
          </cell>
          <cell r="U4242">
            <v>0.97</v>
          </cell>
          <cell r="V4242">
            <v>0.61</v>
          </cell>
          <cell r="W4242">
            <v>0</v>
          </cell>
          <cell r="X4242" t="str">
            <v>EST POLTRONA ABAS (MAD B LOURO ESP) G11-11202300 AZ 907 - 0,9x0,97x0,61H</v>
          </cell>
          <cell r="Y4242">
            <v>10975.51</v>
          </cell>
          <cell r="Z4242">
            <v>0.5</v>
          </cell>
          <cell r="AA4242">
            <v>5487.7550000000001</v>
          </cell>
          <cell r="AB4242"/>
        </row>
        <row r="4243">
          <cell r="C4243">
            <v>0</v>
          </cell>
          <cell r="D4243">
            <v>0</v>
          </cell>
          <cell r="E4243">
            <v>0</v>
          </cell>
          <cell r="F4243">
            <v>0</v>
          </cell>
          <cell r="H4243">
            <v>2</v>
          </cell>
          <cell r="O4243">
            <v>232131</v>
          </cell>
          <cell r="P4243" t="str">
            <v>2019/122-0019-01</v>
          </cell>
          <cell r="Q4243" t="str">
            <v>EST POLTRONA ABAS (MAD B LOURO ESP) G11-11202300 AZ 907</v>
          </cell>
          <cell r="R4243"/>
          <cell r="S4243"/>
          <cell r="T4243">
            <v>0.9</v>
          </cell>
          <cell r="U4243">
            <v>0.97</v>
          </cell>
          <cell r="V4243">
            <v>0.61</v>
          </cell>
          <cell r="W4243">
            <v>0</v>
          </cell>
          <cell r="X4243" t="str">
            <v>EST POLTRONA ABAS (MAD B LOURO ESP) G11-11202300 AZ 907 - 0,9x0,97x0,61H</v>
          </cell>
          <cell r="Y4243">
            <v>10975.51</v>
          </cell>
          <cell r="Z4243">
            <v>0.5</v>
          </cell>
          <cell r="AA4243">
            <v>5487.7550000000001</v>
          </cell>
          <cell r="AB4243"/>
        </row>
        <row r="4244">
          <cell r="C4244">
            <v>1</v>
          </cell>
          <cell r="D4244">
            <v>0</v>
          </cell>
          <cell r="E4244">
            <v>0</v>
          </cell>
          <cell r="F4244">
            <v>0</v>
          </cell>
          <cell r="H4244">
            <v>2</v>
          </cell>
          <cell r="O4244">
            <v>238164</v>
          </cell>
          <cell r="P4244" t="str">
            <v>2019/211-0039-01</v>
          </cell>
          <cell r="Q4244" t="str">
            <v>EST BASE JANTAR GRAZ (MAD B LOURO ESPECIAL) (INOX ENV)</v>
          </cell>
          <cell r="R4244"/>
          <cell r="S4244"/>
          <cell r="T4244">
            <v>2.5499999999999998</v>
          </cell>
          <cell r="U4244">
            <v>1</v>
          </cell>
          <cell r="V4244">
            <v>0.74</v>
          </cell>
          <cell r="W4244">
            <v>0</v>
          </cell>
          <cell r="X4244" t="str">
            <v>EST BASE JANTAR GRAZ (MAD B LOURO ESPECIAL) (INOX ENV) - 2,55x1x0,74H</v>
          </cell>
          <cell r="Y4244">
            <v>43907.09</v>
          </cell>
          <cell r="Z4244">
            <v>0.5</v>
          </cell>
          <cell r="AA4244">
            <v>21953.544999999998</v>
          </cell>
          <cell r="AB4244"/>
        </row>
        <row r="4245">
          <cell r="C4245">
            <v>1</v>
          </cell>
          <cell r="D4245">
            <v>0</v>
          </cell>
          <cell r="E4245">
            <v>0</v>
          </cell>
          <cell r="F4245">
            <v>0</v>
          </cell>
          <cell r="H4245">
            <v>2</v>
          </cell>
          <cell r="O4245">
            <v>238164</v>
          </cell>
          <cell r="P4245" t="str">
            <v>2019/211-0044-01</v>
          </cell>
          <cell r="Q4245" t="str">
            <v>EST BASE JANTAR GRAZ (MAD B LOURO ESPECIAL) (INOX ENV)</v>
          </cell>
          <cell r="R4245"/>
          <cell r="S4245"/>
          <cell r="T4245">
            <v>2.5499999999999998</v>
          </cell>
          <cell r="U4245">
            <v>1</v>
          </cell>
          <cell r="V4245">
            <v>0.74</v>
          </cell>
          <cell r="W4245">
            <v>0</v>
          </cell>
          <cell r="X4245" t="str">
            <v>EST BASE JANTAR GRAZ (MAD B LOURO ESPECIAL) (INOX ENV) - 2,55x1x0,74H</v>
          </cell>
          <cell r="Y4245">
            <v>43907.09</v>
          </cell>
          <cell r="Z4245">
            <v>0.5</v>
          </cell>
          <cell r="AA4245">
            <v>21953.544999999998</v>
          </cell>
          <cell r="AB4245"/>
        </row>
        <row r="4246">
          <cell r="C4246">
            <v>0</v>
          </cell>
          <cell r="D4246">
            <v>0</v>
          </cell>
          <cell r="E4246">
            <v>0</v>
          </cell>
          <cell r="F4246">
            <v>0</v>
          </cell>
          <cell r="H4246">
            <v>1</v>
          </cell>
          <cell r="O4246">
            <v>276135</v>
          </cell>
          <cell r="P4246" t="str">
            <v>2021/165-0063-01</v>
          </cell>
          <cell r="Q4246" t="str">
            <v>EST BASE JANTAR GRAZ (MAD B FREIJO TING ENV) (INOX FSC)</v>
          </cell>
          <cell r="R4246"/>
          <cell r="S4246"/>
          <cell r="T4246">
            <v>1.6</v>
          </cell>
          <cell r="U4246">
            <v>1.6</v>
          </cell>
          <cell r="V4246">
            <v>0.73</v>
          </cell>
          <cell r="W4246">
            <v>0</v>
          </cell>
          <cell r="X4246" t="str">
            <v>EST BASE JANTAR GRAZ (MAD B FREIJO TING ENV) (INOX FSC) - 1,6x1,6x0,73H</v>
          </cell>
          <cell r="Y4246">
            <v>35313.47</v>
          </cell>
          <cell r="Z4246">
            <v>0.5</v>
          </cell>
          <cell r="AA4246">
            <v>17656.735000000001</v>
          </cell>
          <cell r="AB4246"/>
        </row>
        <row r="4247">
          <cell r="C4247">
            <v>0</v>
          </cell>
          <cell r="D4247">
            <v>0</v>
          </cell>
          <cell r="E4247">
            <v>0</v>
          </cell>
          <cell r="F4247">
            <v>0</v>
          </cell>
          <cell r="H4247">
            <v>1</v>
          </cell>
          <cell r="O4247">
            <v>334173</v>
          </cell>
          <cell r="P4247" t="str">
            <v>2022/210-0040-01</v>
          </cell>
          <cell r="Q4247" t="str">
            <v>EST MESA CENTRO MATIZ (MOD 01) (CARRARA) (MAD A CINAM 05)</v>
          </cell>
          <cell r="R4247"/>
          <cell r="S4247"/>
          <cell r="T4247">
            <v>1.63</v>
          </cell>
          <cell r="U4247">
            <v>0.43</v>
          </cell>
          <cell r="V4247">
            <v>0.25</v>
          </cell>
          <cell r="W4247">
            <v>0</v>
          </cell>
          <cell r="X4247" t="str">
            <v>EST MESA CENTRO MATIZ (MOD 01) (CARRARA) (MAD A CINAM 05) - 1,63x0,43x0,25H</v>
          </cell>
          <cell r="Y4247">
            <v>36511.370000000003</v>
          </cell>
          <cell r="Z4247">
            <v>0.5</v>
          </cell>
          <cell r="AA4247">
            <v>18255.685000000001</v>
          </cell>
          <cell r="AB4247"/>
        </row>
        <row r="4248">
          <cell r="C4248">
            <v>0</v>
          </cell>
          <cell r="D4248">
            <v>0</v>
          </cell>
          <cell r="E4248">
            <v>0</v>
          </cell>
          <cell r="F4248">
            <v>0</v>
          </cell>
          <cell r="H4248">
            <v>1</v>
          </cell>
          <cell r="O4248">
            <v>334174</v>
          </cell>
          <cell r="P4248" t="str">
            <v>2022/210-0041-01</v>
          </cell>
          <cell r="Q4248" t="str">
            <v>EST MESA CENTRO MATIZ (MOD 02) (MAD A CINAM 05) PT FSC</v>
          </cell>
          <cell r="R4248"/>
          <cell r="S4248"/>
          <cell r="T4248">
            <v>1.63</v>
          </cell>
          <cell r="U4248">
            <v>0.52</v>
          </cell>
          <cell r="V4248">
            <v>0.25</v>
          </cell>
          <cell r="W4248">
            <v>0</v>
          </cell>
          <cell r="X4248" t="str">
            <v>EST MESA CENTRO MATIZ (MOD 02) (MAD A CINAM 05) PT FSC - 1,63x0,52x0,25H</v>
          </cell>
          <cell r="Y4248">
            <v>17104.009999999998</v>
          </cell>
          <cell r="Z4248">
            <v>0.5</v>
          </cell>
          <cell r="AA4248">
            <v>8552.0049999999992</v>
          </cell>
          <cell r="AB4248"/>
        </row>
        <row r="4249">
          <cell r="C4249">
            <v>0</v>
          </cell>
          <cell r="D4249">
            <v>0</v>
          </cell>
          <cell r="E4249">
            <v>0</v>
          </cell>
          <cell r="F4249">
            <v>0</v>
          </cell>
          <cell r="H4249">
            <v>1</v>
          </cell>
          <cell r="O4249">
            <v>335334</v>
          </cell>
          <cell r="P4249" t="str">
            <v>2022/251-0047-01</v>
          </cell>
          <cell r="Q4249" t="str">
            <v>EST MESA JANTAR LISBOA (MAD A CINAM NOG) INOX ENVELHECIDO</v>
          </cell>
          <cell r="R4249"/>
          <cell r="S4249"/>
          <cell r="T4249">
            <v>2.8</v>
          </cell>
          <cell r="U4249">
            <v>1.2</v>
          </cell>
          <cell r="V4249">
            <v>0.75</v>
          </cell>
          <cell r="W4249">
            <v>0</v>
          </cell>
          <cell r="X4249" t="str">
            <v>EST MESA JANTAR LISBOA (MAD A CINAM NOG) INOX ENVELHECIDO - 2,8x1,2x0,75H</v>
          </cell>
          <cell r="Y4249">
            <v>48074.43</v>
          </cell>
          <cell r="Z4249">
            <v>0.5</v>
          </cell>
          <cell r="AA4249">
            <v>24037.215</v>
          </cell>
          <cell r="AB4249"/>
        </row>
        <row r="4250">
          <cell r="C4250">
            <v>0</v>
          </cell>
          <cell r="D4250">
            <v>0</v>
          </cell>
          <cell r="E4250">
            <v>0</v>
          </cell>
          <cell r="F4250">
            <v>0</v>
          </cell>
          <cell r="H4250">
            <v>1</v>
          </cell>
          <cell r="O4250">
            <v>335340</v>
          </cell>
          <cell r="P4250" t="str">
            <v>2022/292-0037-01</v>
          </cell>
          <cell r="Q4250" t="str">
            <v>EST MESA LATERAL LUSA (RED CER AZUL) (MAD A CINAM NOG)</v>
          </cell>
          <cell r="R4250"/>
          <cell r="S4250"/>
          <cell r="T4250">
            <v>0.4</v>
          </cell>
          <cell r="U4250">
            <v>0</v>
          </cell>
          <cell r="V4250">
            <v>0.72</v>
          </cell>
          <cell r="W4250">
            <v>0.4</v>
          </cell>
          <cell r="X4250" t="str">
            <v>EST MESA LATERAL LUSA (RED CER AZUL) (MAD A CINAM NOG) - Ø0,4x0,72H</v>
          </cell>
          <cell r="Y4250">
            <v>13265.1</v>
          </cell>
          <cell r="Z4250">
            <v>0.5</v>
          </cell>
          <cell r="AA4250">
            <v>6632.55</v>
          </cell>
          <cell r="AB4250"/>
        </row>
        <row r="4251">
          <cell r="C4251">
            <v>0</v>
          </cell>
          <cell r="D4251">
            <v>0</v>
          </cell>
          <cell r="E4251">
            <v>0</v>
          </cell>
          <cell r="F4251">
            <v>0</v>
          </cell>
          <cell r="H4251">
            <v>1</v>
          </cell>
          <cell r="O4251">
            <v>335342</v>
          </cell>
          <cell r="P4251" t="str">
            <v>2022/277-0085-01</v>
          </cell>
          <cell r="Q4251" t="str">
            <v>EST MESA LATERAL LUSA (OBL CER BEGE) (MAD A CINAM NOG)</v>
          </cell>
          <cell r="R4251"/>
          <cell r="S4251"/>
          <cell r="T4251">
            <v>0.45</v>
          </cell>
          <cell r="U4251">
            <v>0.28000000000000003</v>
          </cell>
          <cell r="V4251">
            <v>0.62</v>
          </cell>
          <cell r="W4251">
            <v>0</v>
          </cell>
          <cell r="X4251" t="str">
            <v>EST MESA LATERAL LUSA (OBL CER BEGE) (MAD A CINAM NOG) - 0,45x0,28x0,62H</v>
          </cell>
          <cell r="Y4251">
            <v>12538.94</v>
          </cell>
          <cell r="Z4251">
            <v>0.5</v>
          </cell>
          <cell r="AA4251">
            <v>6269.47</v>
          </cell>
          <cell r="AB4251"/>
        </row>
        <row r="4252">
          <cell r="C4252">
            <v>0</v>
          </cell>
          <cell r="D4252">
            <v>0</v>
          </cell>
          <cell r="E4252">
            <v>0</v>
          </cell>
          <cell r="F4252">
            <v>0</v>
          </cell>
          <cell r="H4252">
            <v>1</v>
          </cell>
          <cell r="O4252">
            <v>335343</v>
          </cell>
          <cell r="P4252" t="str">
            <v>2022/292-0038-01</v>
          </cell>
          <cell r="Q4252" t="str">
            <v>EST MESA LATERAL LUSA (OBL CER AZUL) (MAD A CINAM NOG)</v>
          </cell>
          <cell r="R4252"/>
          <cell r="S4252"/>
          <cell r="T4252">
            <v>0.45</v>
          </cell>
          <cell r="U4252">
            <v>0.28000000000000003</v>
          </cell>
          <cell r="V4252">
            <v>0.62</v>
          </cell>
          <cell r="W4252">
            <v>0</v>
          </cell>
          <cell r="X4252" t="str">
            <v>EST MESA LATERAL LUSA (OBL CER AZUL) (MAD A CINAM NOG) - 0,45x0,28x0,62H</v>
          </cell>
          <cell r="Y4252">
            <v>12538.94</v>
          </cell>
          <cell r="Z4252">
            <v>0.5</v>
          </cell>
          <cell r="AA4252">
            <v>6269.47</v>
          </cell>
          <cell r="AB4252"/>
        </row>
        <row r="4253">
          <cell r="C4253">
            <v>0</v>
          </cell>
          <cell r="D4253">
            <v>0</v>
          </cell>
          <cell r="E4253">
            <v>0</v>
          </cell>
          <cell r="F4253">
            <v>1</v>
          </cell>
          <cell r="H4253">
            <v>6</v>
          </cell>
          <cell r="O4253">
            <v>336546</v>
          </cell>
          <cell r="P4253" t="str">
            <v>2022/248-0003-01</v>
          </cell>
          <cell r="Q4253" t="str">
            <v>EST CADEIRA NINA (MAD B LOURO ESP) 74 CAMEL/SEXT NAT</v>
          </cell>
          <cell r="R4253"/>
          <cell r="S4253"/>
          <cell r="T4253">
            <v>0.5</v>
          </cell>
          <cell r="U4253">
            <v>0.61</v>
          </cell>
          <cell r="V4253">
            <v>0.88</v>
          </cell>
          <cell r="W4253">
            <v>0</v>
          </cell>
          <cell r="X4253" t="str">
            <v>EST CADEIRA NINA (MAD B LOURO ESP) 74 CAMEL/SEXT NAT - 0,5x0,61x0,88H</v>
          </cell>
          <cell r="Y4253">
            <v>9597.32</v>
          </cell>
          <cell r="Z4253">
            <v>0.5</v>
          </cell>
          <cell r="AA4253">
            <v>4798.66</v>
          </cell>
          <cell r="AB4253"/>
        </row>
        <row r="4254">
          <cell r="C4254">
            <v>0</v>
          </cell>
          <cell r="D4254">
            <v>0</v>
          </cell>
          <cell r="E4254">
            <v>0</v>
          </cell>
          <cell r="F4254">
            <v>1</v>
          </cell>
          <cell r="H4254">
            <v>6</v>
          </cell>
          <cell r="O4254">
            <v>336546</v>
          </cell>
          <cell r="P4254" t="str">
            <v>2022/248-0004-01</v>
          </cell>
          <cell r="Q4254" t="str">
            <v>EST CADEIRA NINA (MAD B LOURO ESP) 74 CAMEL/SEXT NAT</v>
          </cell>
          <cell r="R4254"/>
          <cell r="S4254"/>
          <cell r="T4254">
            <v>0.5</v>
          </cell>
          <cell r="U4254">
            <v>0.61</v>
          </cell>
          <cell r="V4254">
            <v>0.88</v>
          </cell>
          <cell r="W4254">
            <v>0</v>
          </cell>
          <cell r="X4254" t="str">
            <v>EST CADEIRA NINA (MAD B LOURO ESP) 74 CAMEL/SEXT NAT - 0,5x0,61x0,88H</v>
          </cell>
          <cell r="Y4254">
            <v>9597.32</v>
          </cell>
          <cell r="Z4254">
            <v>0.5</v>
          </cell>
          <cell r="AA4254">
            <v>4798.66</v>
          </cell>
          <cell r="AB4254"/>
        </row>
        <row r="4255">
          <cell r="C4255">
            <v>0</v>
          </cell>
          <cell r="D4255">
            <v>0</v>
          </cell>
          <cell r="E4255">
            <v>0</v>
          </cell>
          <cell r="F4255">
            <v>1</v>
          </cell>
          <cell r="H4255">
            <v>6</v>
          </cell>
          <cell r="O4255">
            <v>336546</v>
          </cell>
          <cell r="P4255" t="str">
            <v>2022/248-0005-01</v>
          </cell>
          <cell r="Q4255" t="str">
            <v>EST CADEIRA NINA (MAD B LOURO ESP) 74 CAMEL/SEXT NAT</v>
          </cell>
          <cell r="R4255"/>
          <cell r="S4255"/>
          <cell r="T4255">
            <v>0.5</v>
          </cell>
          <cell r="U4255">
            <v>0.61</v>
          </cell>
          <cell r="V4255">
            <v>0.88</v>
          </cell>
          <cell r="W4255">
            <v>0</v>
          </cell>
          <cell r="X4255" t="str">
            <v>EST CADEIRA NINA (MAD B LOURO ESP) 74 CAMEL/SEXT NAT - 0,5x0,61x0,88H</v>
          </cell>
          <cell r="Y4255">
            <v>9597.32</v>
          </cell>
          <cell r="Z4255">
            <v>0.5</v>
          </cell>
          <cell r="AA4255">
            <v>4798.66</v>
          </cell>
          <cell r="AB4255"/>
        </row>
        <row r="4256">
          <cell r="C4256">
            <v>0</v>
          </cell>
          <cell r="D4256">
            <v>0</v>
          </cell>
          <cell r="E4256">
            <v>0</v>
          </cell>
          <cell r="F4256">
            <v>1</v>
          </cell>
          <cell r="H4256">
            <v>6</v>
          </cell>
          <cell r="O4256">
            <v>336546</v>
          </cell>
          <cell r="P4256" t="str">
            <v>2022/248-0006-01</v>
          </cell>
          <cell r="Q4256" t="str">
            <v>EST CADEIRA NINA (MAD B LOURO ESP) 74 CAMEL/SEXT NAT</v>
          </cell>
          <cell r="R4256"/>
          <cell r="S4256"/>
          <cell r="T4256">
            <v>0.5</v>
          </cell>
          <cell r="U4256">
            <v>0.61</v>
          </cell>
          <cell r="V4256">
            <v>0.88</v>
          </cell>
          <cell r="W4256">
            <v>0</v>
          </cell>
          <cell r="X4256" t="str">
            <v>EST CADEIRA NINA (MAD B LOURO ESP) 74 CAMEL/SEXT NAT - 0,5x0,61x0,88H</v>
          </cell>
          <cell r="Y4256">
            <v>9597.32</v>
          </cell>
          <cell r="Z4256">
            <v>0.5</v>
          </cell>
          <cell r="AA4256">
            <v>4798.66</v>
          </cell>
          <cell r="AB4256"/>
        </row>
        <row r="4257">
          <cell r="C4257">
            <v>0</v>
          </cell>
          <cell r="D4257">
            <v>0</v>
          </cell>
          <cell r="E4257">
            <v>0</v>
          </cell>
          <cell r="F4257">
            <v>0</v>
          </cell>
          <cell r="H4257">
            <v>1</v>
          </cell>
          <cell r="O4257">
            <v>336616</v>
          </cell>
          <cell r="P4257" t="str">
            <v>2022/236-0046-01</v>
          </cell>
          <cell r="Q4257" t="str">
            <v>EST APARADOR MAR ADENTRO (PINTURA CS125)</v>
          </cell>
          <cell r="R4257"/>
          <cell r="S4257"/>
          <cell r="T4257">
            <v>2.0699999999999998</v>
          </cell>
          <cell r="U4257">
            <v>0.47</v>
          </cell>
          <cell r="V4257">
            <v>0.84</v>
          </cell>
          <cell r="W4257">
            <v>0</v>
          </cell>
          <cell r="X4257" t="str">
            <v>EST APARADOR MAR ADENTRO (PINTURA CS125) - 2,07x0,47x0,84H</v>
          </cell>
          <cell r="Y4257">
            <v>29795.05</v>
          </cell>
          <cell r="Z4257">
            <v>0.5</v>
          </cell>
          <cell r="AA4257">
            <v>14897.525</v>
          </cell>
          <cell r="AB4257"/>
        </row>
        <row r="4258">
          <cell r="C4258">
            <v>0</v>
          </cell>
          <cell r="D4258">
            <v>0</v>
          </cell>
          <cell r="E4258">
            <v>0</v>
          </cell>
          <cell r="F4258">
            <v>1</v>
          </cell>
          <cell r="H4258">
            <v>6</v>
          </cell>
          <cell r="O4258">
            <v>336546</v>
          </cell>
          <cell r="P4258" t="str">
            <v>2022/248-0008-01</v>
          </cell>
          <cell r="Q4258" t="str">
            <v>EST CADEIRA NINA (MAD B LOURO ESP) 74 CAMEL/SEXT NAT</v>
          </cell>
          <cell r="R4258"/>
          <cell r="S4258"/>
          <cell r="T4258">
            <v>0.5</v>
          </cell>
          <cell r="U4258">
            <v>0.61</v>
          </cell>
          <cell r="V4258">
            <v>0.88</v>
          </cell>
          <cell r="W4258">
            <v>0</v>
          </cell>
          <cell r="X4258" t="str">
            <v>EST CADEIRA NINA (MAD B LOURO ESP) 74 CAMEL/SEXT NAT - 0,5x0,61x0,88H</v>
          </cell>
          <cell r="Y4258">
            <v>9597.32</v>
          </cell>
          <cell r="Z4258">
            <v>0.5</v>
          </cell>
          <cell r="AA4258">
            <v>4798.66</v>
          </cell>
          <cell r="AB4258"/>
        </row>
        <row r="4259">
          <cell r="C4259">
            <v>0</v>
          </cell>
          <cell r="D4259">
            <v>0</v>
          </cell>
          <cell r="E4259">
            <v>0</v>
          </cell>
          <cell r="F4259">
            <v>1</v>
          </cell>
          <cell r="H4259">
            <v>6</v>
          </cell>
          <cell r="O4259">
            <v>336546</v>
          </cell>
          <cell r="P4259" t="str">
            <v>2022/248-0009-01</v>
          </cell>
          <cell r="Q4259" t="str">
            <v>EST CADEIRA NINA (MAD B LOURO ESP) 74 CAMEL/SEXT NAT</v>
          </cell>
          <cell r="R4259"/>
          <cell r="S4259"/>
          <cell r="T4259">
            <v>0.5</v>
          </cell>
          <cell r="U4259">
            <v>0.61</v>
          </cell>
          <cell r="V4259">
            <v>0.88</v>
          </cell>
          <cell r="W4259">
            <v>0</v>
          </cell>
          <cell r="X4259" t="str">
            <v>EST CADEIRA NINA (MAD B LOURO ESP) 74 CAMEL/SEXT NAT - 0,5x0,61x0,88H</v>
          </cell>
          <cell r="Y4259">
            <v>9597.32</v>
          </cell>
          <cell r="Z4259">
            <v>0.5</v>
          </cell>
          <cell r="AA4259">
            <v>4798.66</v>
          </cell>
          <cell r="AB4259"/>
        </row>
        <row r="4260">
          <cell r="C4260">
            <v>0</v>
          </cell>
          <cell r="D4260">
            <v>0</v>
          </cell>
          <cell r="E4260">
            <v>0</v>
          </cell>
          <cell r="F4260">
            <v>1</v>
          </cell>
          <cell r="H4260">
            <v>6</v>
          </cell>
          <cell r="O4260">
            <v>336546</v>
          </cell>
          <cell r="P4260" t="str">
            <v>2022/248-0010-01</v>
          </cell>
          <cell r="Q4260" t="str">
            <v>EST CADEIRA NINA (MAD B LOURO ESP) 74 CAMEL/SEXT NAT</v>
          </cell>
          <cell r="R4260"/>
          <cell r="S4260"/>
          <cell r="T4260">
            <v>0.5</v>
          </cell>
          <cell r="U4260">
            <v>0.61</v>
          </cell>
          <cell r="V4260">
            <v>0.88</v>
          </cell>
          <cell r="W4260">
            <v>0</v>
          </cell>
          <cell r="X4260" t="str">
            <v>EST CADEIRA NINA (MAD B LOURO ESP) 74 CAMEL/SEXT NAT - 0,5x0,61x0,88H</v>
          </cell>
          <cell r="Y4260">
            <v>9597.32</v>
          </cell>
          <cell r="Z4260">
            <v>0.5</v>
          </cell>
          <cell r="AA4260">
            <v>4798.66</v>
          </cell>
          <cell r="AB4260"/>
        </row>
        <row r="4261">
          <cell r="C4261">
            <v>0</v>
          </cell>
          <cell r="D4261">
            <v>0</v>
          </cell>
          <cell r="E4261">
            <v>0</v>
          </cell>
          <cell r="F4261">
            <v>0</v>
          </cell>
          <cell r="H4261">
            <v>1</v>
          </cell>
          <cell r="O4261">
            <v>336556</v>
          </cell>
          <cell r="P4261" t="str">
            <v>2022/248-0013-01</v>
          </cell>
          <cell r="Q4261" t="str">
            <v>EST POLTRONA PACO (MAD A TAUARI POA) TC RUST BRUN 5230/231</v>
          </cell>
          <cell r="R4261"/>
          <cell r="S4261"/>
          <cell r="T4261">
            <v>0.88</v>
          </cell>
          <cell r="U4261">
            <v>1.04</v>
          </cell>
          <cell r="V4261">
            <v>0.81</v>
          </cell>
          <cell r="W4261">
            <v>0</v>
          </cell>
          <cell r="X4261" t="str">
            <v>EST POLTRONA PACO (MAD A TAUARI POA) TC RUST BRUN 5230/231 - 0,88x1,04x0,81H</v>
          </cell>
          <cell r="Y4261">
            <v>35879.56</v>
          </cell>
          <cell r="Z4261">
            <v>0.5</v>
          </cell>
          <cell r="AA4261">
            <v>17939.78</v>
          </cell>
          <cell r="AB4261"/>
        </row>
        <row r="4262">
          <cell r="C4262">
            <v>0</v>
          </cell>
          <cell r="D4262">
            <v>0</v>
          </cell>
          <cell r="E4262">
            <v>0</v>
          </cell>
          <cell r="F4262">
            <v>0</v>
          </cell>
          <cell r="H4262">
            <v>1</v>
          </cell>
          <cell r="O4262">
            <v>336619</v>
          </cell>
          <cell r="P4262" t="str">
            <v>2022/307-0063-01</v>
          </cell>
          <cell r="Q4262" t="str">
            <v>EST MESA LATERAL LUSA (RED CER BEGE) (MAD A TAUAR ENV)</v>
          </cell>
          <cell r="R4262"/>
          <cell r="S4262"/>
          <cell r="T4262">
            <v>0.4</v>
          </cell>
          <cell r="U4262">
            <v>0.45</v>
          </cell>
          <cell r="V4262">
            <v>0.67</v>
          </cell>
          <cell r="W4262">
            <v>0</v>
          </cell>
          <cell r="X4262" t="str">
            <v>EST MESA LATERAL LUSA (RED CER BEGE) (MAD A TAUAR ENV) - 0,4x0,45x0,67H</v>
          </cell>
          <cell r="Y4262">
            <v>12723.96</v>
          </cell>
          <cell r="Z4262">
            <v>0.5</v>
          </cell>
          <cell r="AA4262">
            <v>6361.98</v>
          </cell>
          <cell r="AB4262"/>
        </row>
        <row r="4263">
          <cell r="C4263">
            <v>0</v>
          </cell>
          <cell r="D4263">
            <v>0</v>
          </cell>
          <cell r="E4263">
            <v>0</v>
          </cell>
          <cell r="F4263">
            <v>0</v>
          </cell>
          <cell r="H4263">
            <v>3</v>
          </cell>
          <cell r="O4263">
            <v>336696</v>
          </cell>
          <cell r="P4263" t="str">
            <v>2022/243-0016-01</v>
          </cell>
          <cell r="Q4263" t="str">
            <v>EST POLTRONA PACO (MAD A TAUARI ENV) TC G10-11202-343</v>
          </cell>
          <cell r="R4263"/>
          <cell r="S4263"/>
          <cell r="T4263">
            <v>0.88</v>
          </cell>
          <cell r="U4263">
            <v>1.04</v>
          </cell>
          <cell r="V4263">
            <v>0.81</v>
          </cell>
          <cell r="W4263">
            <v>0</v>
          </cell>
          <cell r="X4263" t="str">
            <v>EST POLTRONA PACO (MAD A TAUARI ENV) TC G10-11202-343 - 0,88x1,04x0,81H</v>
          </cell>
          <cell r="Y4263">
            <v>37838.620000000003</v>
          </cell>
          <cell r="Z4263">
            <v>0.5</v>
          </cell>
          <cell r="AA4263">
            <v>18919.310000000001</v>
          </cell>
          <cell r="AB4263"/>
        </row>
        <row r="4264">
          <cell r="C4264">
            <v>0</v>
          </cell>
          <cell r="D4264">
            <v>0</v>
          </cell>
          <cell r="E4264">
            <v>0</v>
          </cell>
          <cell r="F4264">
            <v>0</v>
          </cell>
          <cell r="H4264">
            <v>1</v>
          </cell>
          <cell r="O4264">
            <v>336697</v>
          </cell>
          <cell r="P4264" t="str">
            <v>2022/230-0031-01</v>
          </cell>
          <cell r="Q4264" t="str">
            <v>EST MESA JANTAR LISBOA (MAD A CINAM NOG) INOX ENVELHECIDO</v>
          </cell>
          <cell r="R4264"/>
          <cell r="S4264"/>
          <cell r="T4264">
            <v>3</v>
          </cell>
          <cell r="U4264">
            <v>1.2</v>
          </cell>
          <cell r="V4264">
            <v>0.75</v>
          </cell>
          <cell r="W4264">
            <v>0</v>
          </cell>
          <cell r="X4264" t="str">
            <v>EST MESA JANTAR LISBOA (MAD A CINAM NOG) INOX ENVELHECIDO - 3x1,2x0,75H</v>
          </cell>
          <cell r="Y4264">
            <v>51922.57</v>
          </cell>
          <cell r="Z4264">
            <v>0.5</v>
          </cell>
          <cell r="AA4264">
            <v>25961.285</v>
          </cell>
          <cell r="AB4264"/>
        </row>
        <row r="4265">
          <cell r="C4265">
            <v>0</v>
          </cell>
          <cell r="D4265">
            <v>0</v>
          </cell>
          <cell r="E4265">
            <v>0</v>
          </cell>
          <cell r="F4265">
            <v>0</v>
          </cell>
          <cell r="H4265">
            <v>1</v>
          </cell>
          <cell r="O4265">
            <v>336699</v>
          </cell>
          <cell r="P4265" t="str">
            <v>2022/277-0065-01</v>
          </cell>
          <cell r="Q4265" t="str">
            <v>EST MESA LATERAL LUSA (OBL CER BEGE) (MAD B FREIJO NT)</v>
          </cell>
          <cell r="R4265"/>
          <cell r="S4265"/>
          <cell r="T4265">
            <v>0.51</v>
          </cell>
          <cell r="U4265">
            <v>0.28000000000000003</v>
          </cell>
          <cell r="V4265">
            <v>0.62</v>
          </cell>
          <cell r="W4265">
            <v>0</v>
          </cell>
          <cell r="X4265" t="str">
            <v>EST MESA LATERAL LUSA (OBL CER BEGE) (MAD B FREIJO NT) - 0,51x0,28x0,62H</v>
          </cell>
          <cell r="Y4265">
            <v>14419.781000000001</v>
          </cell>
          <cell r="Z4265">
            <v>0.5</v>
          </cell>
          <cell r="AA4265">
            <v>7209.8905000000004</v>
          </cell>
          <cell r="AB4265"/>
        </row>
        <row r="4266">
          <cell r="C4266">
            <v>0</v>
          </cell>
          <cell r="D4266">
            <v>0</v>
          </cell>
          <cell r="E4266">
            <v>0</v>
          </cell>
          <cell r="F4266">
            <v>0</v>
          </cell>
          <cell r="H4266">
            <v>1</v>
          </cell>
          <cell r="O4266">
            <v>336701</v>
          </cell>
          <cell r="P4266" t="str">
            <v>2022/277-0066-01</v>
          </cell>
          <cell r="Q4266" t="str">
            <v>EST MESA LATERAL LUSA (RED CER AZUL) (MAD B FREIJO NT)</v>
          </cell>
          <cell r="R4266"/>
          <cell r="S4266"/>
          <cell r="T4266">
            <v>0.4</v>
          </cell>
          <cell r="U4266">
            <v>0.45</v>
          </cell>
          <cell r="V4266">
            <v>0.72</v>
          </cell>
          <cell r="W4266">
            <v>0</v>
          </cell>
          <cell r="X4266" t="str">
            <v>EST MESA LATERAL LUSA (RED CER AZUL) (MAD B FREIJO NT) - 0,4x0,45x0,72H</v>
          </cell>
          <cell r="Y4266">
            <v>15254.865</v>
          </cell>
          <cell r="Z4266">
            <v>0.5</v>
          </cell>
          <cell r="AA4266">
            <v>7627.4324999999999</v>
          </cell>
          <cell r="AB4266"/>
        </row>
        <row r="4267">
          <cell r="C4267">
            <v>0</v>
          </cell>
          <cell r="D4267">
            <v>0</v>
          </cell>
          <cell r="E4267">
            <v>1</v>
          </cell>
          <cell r="F4267">
            <v>0</v>
          </cell>
          <cell r="H4267">
            <v>5</v>
          </cell>
          <cell r="O4267">
            <v>336728</v>
          </cell>
          <cell r="P4267" t="str">
            <v>2022/223-0045-01</v>
          </cell>
          <cell r="Q4267" t="str">
            <v>EST CADEIRA PLIE (MAD A TAUARI ENV) COURO 74 CAMEL</v>
          </cell>
          <cell r="R4267"/>
          <cell r="S4267"/>
          <cell r="T4267">
            <v>0.47</v>
          </cell>
          <cell r="U4267">
            <v>0.55000000000000004</v>
          </cell>
          <cell r="V4267">
            <v>0.8</v>
          </cell>
          <cell r="W4267">
            <v>0</v>
          </cell>
          <cell r="X4267" t="str">
            <v>EST CADEIRA PLIE (MAD A TAUARI ENV) COURO 74 CAMEL - 0,47x0,55x0,8H</v>
          </cell>
          <cell r="Y4267">
            <v>13574.98</v>
          </cell>
          <cell r="Z4267">
            <v>0.5</v>
          </cell>
          <cell r="AA4267">
            <v>6787.49</v>
          </cell>
          <cell r="AB4267"/>
        </row>
        <row r="4268">
          <cell r="C4268">
            <v>0</v>
          </cell>
          <cell r="D4268">
            <v>0</v>
          </cell>
          <cell r="E4268">
            <v>1</v>
          </cell>
          <cell r="F4268">
            <v>0</v>
          </cell>
          <cell r="H4268">
            <v>5</v>
          </cell>
          <cell r="O4268">
            <v>336728</v>
          </cell>
          <cell r="P4268" t="str">
            <v>2022/223-0046-01</v>
          </cell>
          <cell r="Q4268" t="str">
            <v>EST CADEIRA PLIE (MAD A TAUARI ENV) COURO 74 CAMEL</v>
          </cell>
          <cell r="R4268"/>
          <cell r="S4268"/>
          <cell r="T4268">
            <v>0.47</v>
          </cell>
          <cell r="U4268">
            <v>0.55000000000000004</v>
          </cell>
          <cell r="V4268">
            <v>0.8</v>
          </cell>
          <cell r="W4268">
            <v>0</v>
          </cell>
          <cell r="X4268" t="str">
            <v>EST CADEIRA PLIE (MAD A TAUARI ENV) COURO 74 CAMEL - 0,47x0,55x0,8H</v>
          </cell>
          <cell r="Y4268">
            <v>13574.98</v>
          </cell>
          <cell r="Z4268">
            <v>0.5</v>
          </cell>
          <cell r="AA4268">
            <v>6787.49</v>
          </cell>
          <cell r="AB4268"/>
        </row>
        <row r="4269">
          <cell r="C4269">
            <v>0</v>
          </cell>
          <cell r="D4269">
            <v>0</v>
          </cell>
          <cell r="E4269">
            <v>1</v>
          </cell>
          <cell r="F4269">
            <v>0</v>
          </cell>
          <cell r="H4269">
            <v>5</v>
          </cell>
          <cell r="O4269">
            <v>336728</v>
          </cell>
          <cell r="P4269" t="str">
            <v>2022/223-0048-01</v>
          </cell>
          <cell r="Q4269" t="str">
            <v>EST CADEIRA PLIE (MAD A TAUARI ENV) COURO 74 CAMEL</v>
          </cell>
          <cell r="R4269"/>
          <cell r="S4269"/>
          <cell r="T4269">
            <v>0.47</v>
          </cell>
          <cell r="U4269">
            <v>0.55000000000000004</v>
          </cell>
          <cell r="V4269">
            <v>0.8</v>
          </cell>
          <cell r="W4269">
            <v>0</v>
          </cell>
          <cell r="X4269" t="str">
            <v>EST CADEIRA PLIE (MAD A TAUARI ENV) COURO 74 CAMEL - 0,47x0,55x0,8H</v>
          </cell>
          <cell r="Y4269">
            <v>13574.98</v>
          </cell>
          <cell r="Z4269">
            <v>0.5</v>
          </cell>
          <cell r="AA4269">
            <v>6787.49</v>
          </cell>
          <cell r="AB4269"/>
        </row>
        <row r="4270">
          <cell r="C4270">
            <v>0</v>
          </cell>
          <cell r="D4270">
            <v>0</v>
          </cell>
          <cell r="E4270">
            <v>0</v>
          </cell>
          <cell r="F4270">
            <v>0</v>
          </cell>
          <cell r="H4270">
            <v>1</v>
          </cell>
          <cell r="O4270">
            <v>377302</v>
          </cell>
          <cell r="P4270" t="str">
            <v>2023/331-0025-01</v>
          </cell>
          <cell r="Q4270" t="str">
            <v>EST MESA JANTAR LISBOA (MAD A TAUARI ENV) INOX ENV</v>
          </cell>
          <cell r="R4270"/>
          <cell r="S4270"/>
          <cell r="T4270">
            <v>3</v>
          </cell>
          <cell r="U4270">
            <v>1.2</v>
          </cell>
          <cell r="V4270">
            <v>0.75</v>
          </cell>
          <cell r="W4270">
            <v>0</v>
          </cell>
          <cell r="X4270" t="str">
            <v>EST MESA JANTAR LISBOA (MAD A TAUARI ENV) INOX ENV - 3x1,2x0,75H</v>
          </cell>
          <cell r="Y4270">
            <v>51922.57</v>
          </cell>
          <cell r="Z4270">
            <v>0.5</v>
          </cell>
          <cell r="AA4270">
            <v>25961.285</v>
          </cell>
          <cell r="AB4270"/>
        </row>
        <row r="4271">
          <cell r="C4271">
            <v>0</v>
          </cell>
          <cell r="D4271">
            <v>0</v>
          </cell>
          <cell r="E4271">
            <v>0</v>
          </cell>
          <cell r="F4271">
            <v>0</v>
          </cell>
          <cell r="H4271">
            <v>1</v>
          </cell>
          <cell r="O4271">
            <v>336715</v>
          </cell>
          <cell r="P4271" t="str">
            <v>2022/251-0008-01</v>
          </cell>
          <cell r="Q4271" t="str">
            <v>EST APARADOR VELL 02 (JEQ FENDI) (TP JEQ FENDI) (PRETO TXT)</v>
          </cell>
          <cell r="R4271"/>
          <cell r="S4271"/>
          <cell r="T4271">
            <v>2.2000000000000002</v>
          </cell>
          <cell r="U4271">
            <v>0.5</v>
          </cell>
          <cell r="V4271">
            <v>0.75</v>
          </cell>
          <cell r="W4271">
            <v>0</v>
          </cell>
          <cell r="X4271" t="str">
            <v>EST APARADOR VELL 02 (JEQ FENDI) (TP JEQ FENDI) (PRETO TXT) - 2,2x0,5x0,75H</v>
          </cell>
          <cell r="Y4271">
            <v>29653.97</v>
          </cell>
          <cell r="Z4271">
            <v>0.5</v>
          </cell>
          <cell r="AA4271">
            <v>14826.985000000001</v>
          </cell>
          <cell r="AB4271"/>
        </row>
        <row r="4272">
          <cell r="C4272">
            <v>0</v>
          </cell>
          <cell r="D4272">
            <v>0</v>
          </cell>
          <cell r="E4272">
            <v>0</v>
          </cell>
          <cell r="F4272">
            <v>0</v>
          </cell>
          <cell r="H4272">
            <v>10</v>
          </cell>
          <cell r="O4272">
            <v>336720</v>
          </cell>
          <cell r="P4272" t="str">
            <v>2022/237-0041-01</v>
          </cell>
          <cell r="Q4272" t="str">
            <v>EST CADEIRA CLARA (JEQ TING SMOKE) (ESTOF) (C3 PRETO)</v>
          </cell>
          <cell r="R4272"/>
          <cell r="S4272"/>
          <cell r="T4272">
            <v>0.48</v>
          </cell>
          <cell r="U4272">
            <v>0.56999999999999995</v>
          </cell>
          <cell r="V4272">
            <v>0.86</v>
          </cell>
          <cell r="W4272">
            <v>0</v>
          </cell>
          <cell r="X4272" t="str">
            <v>EST CADEIRA CLARA (JEQ TING SMOKE) (ESTOF) (C3 PRETO) - 0,48x0,57x0,86H</v>
          </cell>
          <cell r="Y4272">
            <v>7637.06</v>
          </cell>
          <cell r="Z4272">
            <v>0.5</v>
          </cell>
          <cell r="AA4272">
            <v>3818.53</v>
          </cell>
          <cell r="AB4272"/>
        </row>
        <row r="4273">
          <cell r="C4273">
            <v>0</v>
          </cell>
          <cell r="D4273">
            <v>0</v>
          </cell>
          <cell r="E4273">
            <v>0</v>
          </cell>
          <cell r="F4273">
            <v>0</v>
          </cell>
          <cell r="H4273">
            <v>10</v>
          </cell>
          <cell r="O4273">
            <v>336720</v>
          </cell>
          <cell r="P4273" t="str">
            <v>2022/237-0042-01</v>
          </cell>
          <cell r="Q4273" t="str">
            <v>EST CADEIRA CLARA (JEQ TING SMOKE) (ESTOF) (C3 PRETO)</v>
          </cell>
          <cell r="R4273"/>
          <cell r="S4273"/>
          <cell r="T4273">
            <v>0.48</v>
          </cell>
          <cell r="U4273">
            <v>0.56999999999999995</v>
          </cell>
          <cell r="V4273">
            <v>0.86</v>
          </cell>
          <cell r="W4273">
            <v>0</v>
          </cell>
          <cell r="X4273" t="str">
            <v>EST CADEIRA CLARA (JEQ TING SMOKE) (ESTOF) (C3 PRETO) - 0,48x0,57x0,86H</v>
          </cell>
          <cell r="Y4273">
            <v>7637.06</v>
          </cell>
          <cell r="Z4273">
            <v>0.5</v>
          </cell>
          <cell r="AA4273">
            <v>3818.53</v>
          </cell>
          <cell r="AB4273"/>
        </row>
        <row r="4274">
          <cell r="C4274">
            <v>0</v>
          </cell>
          <cell r="D4274">
            <v>0</v>
          </cell>
          <cell r="E4274">
            <v>0</v>
          </cell>
          <cell r="F4274">
            <v>0</v>
          </cell>
          <cell r="H4274">
            <v>10</v>
          </cell>
          <cell r="O4274">
            <v>336720</v>
          </cell>
          <cell r="P4274" t="str">
            <v>2022/237-0043-01</v>
          </cell>
          <cell r="Q4274" t="str">
            <v>EST CADEIRA CLARA (JEQ TING SMOKE) (ESTOF) (C3 PRETO)</v>
          </cell>
          <cell r="R4274"/>
          <cell r="S4274"/>
          <cell r="T4274">
            <v>0.48</v>
          </cell>
          <cell r="U4274">
            <v>0.56999999999999995</v>
          </cell>
          <cell r="V4274">
            <v>0.86</v>
          </cell>
          <cell r="W4274">
            <v>0</v>
          </cell>
          <cell r="X4274" t="str">
            <v>EST CADEIRA CLARA (JEQ TING SMOKE) (ESTOF) (C3 PRETO) - 0,48x0,57x0,86H</v>
          </cell>
          <cell r="Y4274">
            <v>7637.06</v>
          </cell>
          <cell r="Z4274">
            <v>0.5</v>
          </cell>
          <cell r="AA4274">
            <v>3818.53</v>
          </cell>
          <cell r="AB4274"/>
        </row>
        <row r="4275">
          <cell r="C4275">
            <v>0</v>
          </cell>
          <cell r="D4275">
            <v>0</v>
          </cell>
          <cell r="E4275">
            <v>0</v>
          </cell>
          <cell r="F4275">
            <v>0</v>
          </cell>
          <cell r="H4275">
            <v>10</v>
          </cell>
          <cell r="O4275">
            <v>336720</v>
          </cell>
          <cell r="P4275" t="str">
            <v>2022/237-0044-01</v>
          </cell>
          <cell r="Q4275" t="str">
            <v>EST CADEIRA CLARA (JEQ TING SMOKE) (ESTOF) (C3 PRETO)</v>
          </cell>
          <cell r="R4275"/>
          <cell r="S4275"/>
          <cell r="T4275">
            <v>0.48</v>
          </cell>
          <cell r="U4275">
            <v>0.56999999999999995</v>
          </cell>
          <cell r="V4275">
            <v>0.86</v>
          </cell>
          <cell r="W4275">
            <v>0</v>
          </cell>
          <cell r="X4275" t="str">
            <v>EST CADEIRA CLARA (JEQ TING SMOKE) (ESTOF) (C3 PRETO) - 0,48x0,57x0,86H</v>
          </cell>
          <cell r="Y4275">
            <v>7637.06</v>
          </cell>
          <cell r="Z4275">
            <v>0.5</v>
          </cell>
          <cell r="AA4275">
            <v>3818.53</v>
          </cell>
          <cell r="AB4275"/>
        </row>
        <row r="4276">
          <cell r="C4276">
            <v>0</v>
          </cell>
          <cell r="D4276">
            <v>0</v>
          </cell>
          <cell r="E4276">
            <v>0</v>
          </cell>
          <cell r="F4276">
            <v>0</v>
          </cell>
          <cell r="H4276">
            <v>10</v>
          </cell>
          <cell r="O4276">
            <v>336720</v>
          </cell>
          <cell r="P4276" t="str">
            <v>2022/237-0045-01</v>
          </cell>
          <cell r="Q4276" t="str">
            <v>EST CADEIRA CLARA (JEQ TING SMOKE) (ESTOF) (C3 PRETO)</v>
          </cell>
          <cell r="R4276"/>
          <cell r="S4276"/>
          <cell r="T4276">
            <v>0.48</v>
          </cell>
          <cell r="U4276">
            <v>0.56999999999999995</v>
          </cell>
          <cell r="V4276">
            <v>0.86</v>
          </cell>
          <cell r="W4276">
            <v>0</v>
          </cell>
          <cell r="X4276" t="str">
            <v>EST CADEIRA CLARA (JEQ TING SMOKE) (ESTOF) (C3 PRETO) - 0,48x0,57x0,86H</v>
          </cell>
          <cell r="Y4276">
            <v>7637.06</v>
          </cell>
          <cell r="Z4276">
            <v>0.5</v>
          </cell>
          <cell r="AA4276">
            <v>3818.53</v>
          </cell>
          <cell r="AB4276"/>
        </row>
        <row r="4277">
          <cell r="C4277">
            <v>0</v>
          </cell>
          <cell r="D4277">
            <v>0</v>
          </cell>
          <cell r="E4277">
            <v>0</v>
          </cell>
          <cell r="F4277">
            <v>0</v>
          </cell>
          <cell r="H4277">
            <v>10</v>
          </cell>
          <cell r="O4277">
            <v>336720</v>
          </cell>
          <cell r="P4277" t="str">
            <v>2022/237-0046-01</v>
          </cell>
          <cell r="Q4277" t="str">
            <v>EST CADEIRA CLARA (JEQ TING SMOKE) (ESTOF) (C3 PRETO)</v>
          </cell>
          <cell r="R4277"/>
          <cell r="S4277"/>
          <cell r="T4277">
            <v>0.48</v>
          </cell>
          <cell r="U4277">
            <v>0.56999999999999995</v>
          </cell>
          <cell r="V4277">
            <v>0.86</v>
          </cell>
          <cell r="W4277">
            <v>0</v>
          </cell>
          <cell r="X4277" t="str">
            <v>EST CADEIRA CLARA (JEQ TING SMOKE) (ESTOF) (C3 PRETO) - 0,48x0,57x0,86H</v>
          </cell>
          <cell r="Y4277">
            <v>7637.06</v>
          </cell>
          <cell r="Z4277">
            <v>0.5</v>
          </cell>
          <cell r="AA4277">
            <v>3818.53</v>
          </cell>
          <cell r="AB4277"/>
        </row>
        <row r="4278">
          <cell r="C4278">
            <v>0</v>
          </cell>
          <cell r="D4278">
            <v>0</v>
          </cell>
          <cell r="E4278">
            <v>0</v>
          </cell>
          <cell r="F4278">
            <v>0</v>
          </cell>
          <cell r="H4278">
            <v>10</v>
          </cell>
          <cell r="O4278">
            <v>336720</v>
          </cell>
          <cell r="P4278" t="str">
            <v>2022/237-0047-01</v>
          </cell>
          <cell r="Q4278" t="str">
            <v>EST CADEIRA CLARA (JEQ TING SMOKE) (ESTOF) (C3 PRETO)</v>
          </cell>
          <cell r="R4278"/>
          <cell r="S4278"/>
          <cell r="T4278">
            <v>0.48</v>
          </cell>
          <cell r="U4278">
            <v>0.56999999999999995</v>
          </cell>
          <cell r="V4278">
            <v>0.86</v>
          </cell>
          <cell r="W4278">
            <v>0</v>
          </cell>
          <cell r="X4278" t="str">
            <v>EST CADEIRA CLARA (JEQ TING SMOKE) (ESTOF) (C3 PRETO) - 0,48x0,57x0,86H</v>
          </cell>
          <cell r="Y4278">
            <v>7637.06</v>
          </cell>
          <cell r="Z4278">
            <v>0.5</v>
          </cell>
          <cell r="AA4278">
            <v>3818.53</v>
          </cell>
          <cell r="AB4278"/>
        </row>
        <row r="4279">
          <cell r="C4279">
            <v>0</v>
          </cell>
          <cell r="D4279">
            <v>0</v>
          </cell>
          <cell r="E4279">
            <v>0</v>
          </cell>
          <cell r="F4279">
            <v>0</v>
          </cell>
          <cell r="H4279">
            <v>10</v>
          </cell>
          <cell r="O4279">
            <v>336720</v>
          </cell>
          <cell r="P4279" t="str">
            <v>2022/237-0048-01</v>
          </cell>
          <cell r="Q4279" t="str">
            <v>EST CADEIRA CLARA (JEQ TING SMOKE) (ESTOF) (C3 PRETO)</v>
          </cell>
          <cell r="R4279"/>
          <cell r="S4279"/>
          <cell r="T4279">
            <v>0.48</v>
          </cell>
          <cell r="U4279">
            <v>0.56999999999999995</v>
          </cell>
          <cell r="V4279">
            <v>0.86</v>
          </cell>
          <cell r="W4279">
            <v>0</v>
          </cell>
          <cell r="X4279" t="str">
            <v>EST CADEIRA CLARA (JEQ TING SMOKE) (ESTOF) (C3 PRETO) - 0,48x0,57x0,86H</v>
          </cell>
          <cell r="Y4279">
            <v>7637.06</v>
          </cell>
          <cell r="Z4279">
            <v>0.5</v>
          </cell>
          <cell r="AA4279">
            <v>3818.53</v>
          </cell>
          <cell r="AB4279"/>
        </row>
        <row r="4280">
          <cell r="C4280">
            <v>0</v>
          </cell>
          <cell r="D4280">
            <v>0</v>
          </cell>
          <cell r="E4280">
            <v>0</v>
          </cell>
          <cell r="F4280">
            <v>0</v>
          </cell>
          <cell r="H4280">
            <v>1</v>
          </cell>
          <cell r="O4280">
            <v>337717</v>
          </cell>
          <cell r="P4280" t="str">
            <v>2022/222-0046-01</v>
          </cell>
          <cell r="Q4280" t="str">
            <v>EST BANQUETA PATER (IMBUIA) TAURUS 30/ ALMOF FX6363</v>
          </cell>
          <cell r="R4280"/>
          <cell r="S4280"/>
          <cell r="T4280">
            <v>0.66</v>
          </cell>
          <cell r="U4280">
            <v>0.51</v>
          </cell>
          <cell r="V4280">
            <v>0.47</v>
          </cell>
          <cell r="W4280">
            <v>0</v>
          </cell>
          <cell r="X4280" t="str">
            <v>EST BANQUETA PATER (IMBUIA) TAURUS 30/ ALMOF FX6363 - 0,66x0,51x0,47H</v>
          </cell>
          <cell r="Y4280">
            <v>15911.39</v>
          </cell>
          <cell r="Z4280">
            <v>0.5</v>
          </cell>
          <cell r="AA4280">
            <v>7955.6949999999997</v>
          </cell>
          <cell r="AB4280"/>
        </row>
        <row r="4281">
          <cell r="C4281">
            <v>0</v>
          </cell>
          <cell r="D4281">
            <v>0</v>
          </cell>
          <cell r="E4281">
            <v>0</v>
          </cell>
          <cell r="F4281">
            <v>0</v>
          </cell>
          <cell r="H4281">
            <v>1</v>
          </cell>
          <cell r="O4281">
            <v>337717</v>
          </cell>
          <cell r="P4281" t="str">
            <v>2022/222-0047-01</v>
          </cell>
          <cell r="Q4281" t="str">
            <v>EST BANQUETA PATER (IMBUIA) TAURUS 30/ ALMOF FX6363</v>
          </cell>
          <cell r="R4281"/>
          <cell r="S4281"/>
          <cell r="T4281">
            <v>0.66</v>
          </cell>
          <cell r="U4281">
            <v>0.51</v>
          </cell>
          <cell r="V4281">
            <v>0.47</v>
          </cell>
          <cell r="W4281">
            <v>0</v>
          </cell>
          <cell r="X4281" t="str">
            <v>EST BANQUETA PATER (IMBUIA) TAURUS 30/ ALMOF FX6363 - 0,66x0,51x0,47H</v>
          </cell>
          <cell r="Y4281">
            <v>15911.39</v>
          </cell>
          <cell r="Z4281">
            <v>0.5</v>
          </cell>
          <cell r="AA4281">
            <v>7955.6949999999997</v>
          </cell>
          <cell r="AB4281"/>
        </row>
        <row r="4282">
          <cell r="C4282">
            <v>0</v>
          </cell>
          <cell r="D4282">
            <v>0</v>
          </cell>
          <cell r="E4282">
            <v>0</v>
          </cell>
          <cell r="F4282">
            <v>0</v>
          </cell>
          <cell r="H4282">
            <v>1</v>
          </cell>
          <cell r="O4282">
            <v>343998</v>
          </cell>
          <cell r="P4282" t="str">
            <v>2022/196-0001-01</v>
          </cell>
          <cell r="Q4282" t="str">
            <v>EST MESA JANTAR COOLER (TP LAM MATT BLACK) (PRETO FSC)</v>
          </cell>
          <cell r="R4282"/>
          <cell r="S4282"/>
          <cell r="T4282">
            <v>4</v>
          </cell>
          <cell r="U4282">
            <v>1.2</v>
          </cell>
          <cell r="V4282">
            <v>0.75</v>
          </cell>
          <cell r="W4282">
            <v>0</v>
          </cell>
          <cell r="X4282" t="str">
            <v>EST MESA JANTAR COOLER (TP LAM MATT BLACK) (PRETO FSC) - 4x1,2x0,75H</v>
          </cell>
          <cell r="Y4282">
            <v>37479.68</v>
          </cell>
          <cell r="Z4282">
            <v>0.5</v>
          </cell>
          <cell r="AA4282">
            <v>18739.84</v>
          </cell>
          <cell r="AB4282"/>
        </row>
        <row r="4283">
          <cell r="C4283">
            <v>0</v>
          </cell>
          <cell r="D4283">
            <v>0</v>
          </cell>
          <cell r="E4283">
            <v>0</v>
          </cell>
          <cell r="F4283">
            <v>0</v>
          </cell>
          <cell r="H4283">
            <v>1</v>
          </cell>
          <cell r="O4283">
            <v>344043</v>
          </cell>
          <cell r="P4283" t="str">
            <v>2022/304-0010-01</v>
          </cell>
          <cell r="Q4283" t="str">
            <v>EST POLTRONA ONDAS (BASE ELETROS PRETO FSC) COURO PIG 101</v>
          </cell>
          <cell r="R4283"/>
          <cell r="S4283"/>
          <cell r="T4283">
            <v>0.83</v>
          </cell>
          <cell r="U4283">
            <v>0.67</v>
          </cell>
          <cell r="V4283">
            <v>0.83</v>
          </cell>
          <cell r="W4283">
            <v>0</v>
          </cell>
          <cell r="X4283" t="str">
            <v>EST POLTRONA ONDAS (BASE ELETROS PRETO FSC) COURO PIG 101 - 0,83x0,67x0,83H</v>
          </cell>
          <cell r="Y4283">
            <v>23962.36</v>
          </cell>
          <cell r="Z4283">
            <v>0.5</v>
          </cell>
          <cell r="AA4283">
            <v>11981.18</v>
          </cell>
          <cell r="AB4283"/>
        </row>
        <row r="4284">
          <cell r="C4284">
            <v>0</v>
          </cell>
          <cell r="D4284">
            <v>0</v>
          </cell>
          <cell r="E4284">
            <v>0</v>
          </cell>
          <cell r="F4284">
            <v>0</v>
          </cell>
          <cell r="H4284">
            <v>1</v>
          </cell>
          <cell r="O4284">
            <v>344044</v>
          </cell>
          <cell r="P4284" t="str">
            <v>2022/304-0012-01</v>
          </cell>
          <cell r="Q4284" t="str">
            <v>EST POLTRONA ONDAS (BASE ELETROS PRETO FSC) COURO PIG 259</v>
          </cell>
          <cell r="R4284"/>
          <cell r="S4284"/>
          <cell r="T4284">
            <v>0.83</v>
          </cell>
          <cell r="U4284">
            <v>0.67</v>
          </cell>
          <cell r="V4284">
            <v>0.83</v>
          </cell>
          <cell r="W4284">
            <v>0</v>
          </cell>
          <cell r="X4284" t="str">
            <v>EST POLTRONA ONDAS (BASE ELETROS PRETO FSC) COURO PIG 259 - 0,83x0,67x0,83H</v>
          </cell>
          <cell r="Y4284">
            <v>23747.32</v>
          </cell>
          <cell r="Z4284">
            <v>0.5</v>
          </cell>
          <cell r="AA4284">
            <v>11873.66</v>
          </cell>
          <cell r="AB4284"/>
        </row>
        <row r="4285">
          <cell r="C4285">
            <v>0</v>
          </cell>
          <cell r="D4285">
            <v>0</v>
          </cell>
          <cell r="E4285">
            <v>0</v>
          </cell>
          <cell r="F4285">
            <v>0</v>
          </cell>
          <cell r="H4285">
            <v>1</v>
          </cell>
          <cell r="O4285">
            <v>344045</v>
          </cell>
          <cell r="P4285" t="str">
            <v>2022/325-0038-01</v>
          </cell>
          <cell r="Q4285" t="str">
            <v>EST POLTRONA ONDAS (MTZ MARROM) COURO FIRENZE 500</v>
          </cell>
          <cell r="R4285"/>
          <cell r="S4285"/>
          <cell r="T4285">
            <v>0.83</v>
          </cell>
          <cell r="U4285">
            <v>0.67</v>
          </cell>
          <cell r="V4285">
            <v>0.83</v>
          </cell>
          <cell r="W4285">
            <v>0</v>
          </cell>
          <cell r="X4285" t="str">
            <v>EST POLTRONA ONDAS (MTZ MARROM) COURO FIRENZE 500 - 0,83x0,67x0,83H</v>
          </cell>
          <cell r="Y4285">
            <v>27013.24</v>
          </cell>
          <cell r="Z4285">
            <v>0.5</v>
          </cell>
          <cell r="AA4285">
            <v>13506.62</v>
          </cell>
          <cell r="AB4285"/>
        </row>
        <row r="4286">
          <cell r="C4286">
            <v>0</v>
          </cell>
          <cell r="D4286">
            <v>0</v>
          </cell>
          <cell r="E4286">
            <v>0</v>
          </cell>
          <cell r="F4286">
            <v>0</v>
          </cell>
          <cell r="H4286">
            <v>1</v>
          </cell>
          <cell r="O4286">
            <v>344046</v>
          </cell>
          <cell r="P4286" t="str">
            <v>2022/304-0011-01</v>
          </cell>
          <cell r="Q4286" t="str">
            <v>EST BANQUETA ONDAS (BASE ELETROS PRETO FSC) FORN PIG 101</v>
          </cell>
          <cell r="R4286"/>
          <cell r="S4286"/>
          <cell r="T4286">
            <v>0.83</v>
          </cell>
          <cell r="U4286">
            <v>0.67</v>
          </cell>
          <cell r="V4286">
            <v>0.83</v>
          </cell>
          <cell r="W4286">
            <v>0</v>
          </cell>
          <cell r="X4286" t="str">
            <v>EST BANQUETA ONDAS (BASE ELETROS PRETO FSC) FORN PIG 101 - 0,83x0,67x0,83H</v>
          </cell>
          <cell r="Y4286">
            <v>14076.34</v>
          </cell>
          <cell r="Z4286">
            <v>0.5</v>
          </cell>
          <cell r="AA4286">
            <v>7038.17</v>
          </cell>
          <cell r="AB4286"/>
        </row>
        <row r="4287">
          <cell r="C4287">
            <v>0</v>
          </cell>
          <cell r="D4287">
            <v>0</v>
          </cell>
          <cell r="E4287">
            <v>0</v>
          </cell>
          <cell r="F4287">
            <v>0</v>
          </cell>
          <cell r="H4287">
            <v>1</v>
          </cell>
          <cell r="O4287">
            <v>344047</v>
          </cell>
          <cell r="P4287" t="str">
            <v>2022/304-0013-01</v>
          </cell>
          <cell r="Q4287" t="str">
            <v>EST BANQUETA ONDAS (BASE ELETROS PRETO FSC) COURO PIG 259</v>
          </cell>
          <cell r="R4287"/>
          <cell r="S4287"/>
          <cell r="T4287">
            <v>0.83</v>
          </cell>
          <cell r="U4287">
            <v>0.5</v>
          </cell>
          <cell r="V4287">
            <v>0.39</v>
          </cell>
          <cell r="W4287">
            <v>0</v>
          </cell>
          <cell r="X4287" t="str">
            <v>EST BANQUETA ONDAS (BASE ELETROS PRETO FSC) COURO PIG 259 - 0,83x0,5x0,39H</v>
          </cell>
          <cell r="Y4287">
            <v>14076.34</v>
          </cell>
          <cell r="Z4287">
            <v>0.5</v>
          </cell>
          <cell r="AA4287">
            <v>7038.17</v>
          </cell>
          <cell r="AB4287"/>
        </row>
        <row r="4288">
          <cell r="C4288">
            <v>0</v>
          </cell>
          <cell r="D4288">
            <v>0</v>
          </cell>
          <cell r="E4288">
            <v>0</v>
          </cell>
          <cell r="F4288">
            <v>0</v>
          </cell>
          <cell r="H4288">
            <v>1</v>
          </cell>
          <cell r="O4288">
            <v>344048</v>
          </cell>
          <cell r="P4288" t="str">
            <v>2022/325-0039-01</v>
          </cell>
          <cell r="Q4288" t="str">
            <v>EST BANQUETA ONDAS (MTZ MARROM) COURO FIRENZE MARROM 500</v>
          </cell>
          <cell r="R4288"/>
          <cell r="S4288"/>
          <cell r="T4288">
            <v>0.83</v>
          </cell>
          <cell r="U4288">
            <v>0.67</v>
          </cell>
          <cell r="V4288">
            <v>0.83</v>
          </cell>
          <cell r="W4288">
            <v>0</v>
          </cell>
          <cell r="X4288" t="str">
            <v>EST BANQUETA ONDAS (MTZ MARROM) COURO FIRENZE MARROM 500 - 0,83x0,67x0,83H</v>
          </cell>
          <cell r="Y4288">
            <v>15890.74</v>
          </cell>
          <cell r="Z4288">
            <v>0.5</v>
          </cell>
          <cell r="AA4288">
            <v>7945.37</v>
          </cell>
          <cell r="AB4288"/>
        </row>
        <row r="4289">
          <cell r="C4289">
            <v>0</v>
          </cell>
          <cell r="D4289">
            <v>0</v>
          </cell>
          <cell r="E4289">
            <v>0</v>
          </cell>
          <cell r="F4289">
            <v>0</v>
          </cell>
          <cell r="H4289">
            <v>1</v>
          </cell>
          <cell r="O4289">
            <v>344146</v>
          </cell>
          <cell r="P4289" t="str">
            <v>2022/201-0003-01</v>
          </cell>
          <cell r="Q4289" t="str">
            <v>EST REVISTEIRO TECA (COURO FROST) (LATAO BRILHO)</v>
          </cell>
          <cell r="R4289"/>
          <cell r="S4289"/>
          <cell r="T4289">
            <v>0.55000000000000004</v>
          </cell>
          <cell r="U4289">
            <v>0.3</v>
          </cell>
          <cell r="V4289">
            <v>0.23</v>
          </cell>
          <cell r="W4289">
            <v>0</v>
          </cell>
          <cell r="X4289" t="str">
            <v>EST REVISTEIRO TECA (COURO FROST) (LATAO BRILHO) - 0,55x0,3x0,23H</v>
          </cell>
          <cell r="Y4289">
            <v>8960</v>
          </cell>
          <cell r="Z4289">
            <v>0.5</v>
          </cell>
          <cell r="AA4289">
            <v>4480</v>
          </cell>
          <cell r="AB4289"/>
        </row>
        <row r="4290">
          <cell r="C4290">
            <v>0</v>
          </cell>
          <cell r="D4290">
            <v>1</v>
          </cell>
          <cell r="E4290">
            <v>0</v>
          </cell>
          <cell r="F4290">
            <v>0</v>
          </cell>
          <cell r="H4290">
            <v>0</v>
          </cell>
          <cell r="O4290">
            <v>344186</v>
          </cell>
          <cell r="P4290" t="str">
            <v>2022/249-0012-01</v>
          </cell>
          <cell r="Q4290" t="str">
            <v>EST ESTANTE LINA (TAUARI TING NOGUEIRA) (LATAO ENV)</v>
          </cell>
          <cell r="R4290"/>
          <cell r="S4290"/>
          <cell r="T4290">
            <v>1.2</v>
          </cell>
          <cell r="U4290">
            <v>0.43</v>
          </cell>
          <cell r="V4290">
            <v>1.9</v>
          </cell>
          <cell r="W4290">
            <v>0</v>
          </cell>
          <cell r="X4290" t="str">
            <v>EST ESTANTE LINA (TAUARI TING NOGUEIRA) (LATAO ENV) - 1,2x0,43x1,9H</v>
          </cell>
          <cell r="Y4290">
            <v>34338.57</v>
          </cell>
          <cell r="Z4290">
            <v>0.5</v>
          </cell>
          <cell r="AA4290">
            <v>17169.285</v>
          </cell>
          <cell r="AB4290"/>
        </row>
        <row r="4291">
          <cell r="C4291">
            <v>0</v>
          </cell>
          <cell r="D4291">
            <v>1</v>
          </cell>
          <cell r="E4291">
            <v>0</v>
          </cell>
          <cell r="F4291">
            <v>0</v>
          </cell>
          <cell r="H4291">
            <v>0</v>
          </cell>
          <cell r="O4291">
            <v>344186</v>
          </cell>
          <cell r="P4291" t="str">
            <v>2022/249-0013-01</v>
          </cell>
          <cell r="Q4291" t="str">
            <v>EST ESTANTE LINA (TAUARI TING NOGUEIRA) (LATAO ENV)</v>
          </cell>
          <cell r="R4291"/>
          <cell r="S4291"/>
          <cell r="T4291">
            <v>1.2</v>
          </cell>
          <cell r="U4291">
            <v>0.43</v>
          </cell>
          <cell r="V4291">
            <v>1.9</v>
          </cell>
          <cell r="W4291">
            <v>0</v>
          </cell>
          <cell r="X4291" t="str">
            <v>EST ESTANTE LINA (TAUARI TING NOGUEIRA) (LATAO ENV) - 1,2x0,43x1,9H</v>
          </cell>
          <cell r="Y4291">
            <v>34338.57</v>
          </cell>
          <cell r="Z4291">
            <v>0.5</v>
          </cell>
          <cell r="AA4291">
            <v>17169.285</v>
          </cell>
          <cell r="AB4291"/>
        </row>
        <row r="4292">
          <cell r="C4292">
            <v>0</v>
          </cell>
          <cell r="D4292">
            <v>0</v>
          </cell>
          <cell r="E4292">
            <v>0</v>
          </cell>
          <cell r="F4292">
            <v>0</v>
          </cell>
          <cell r="H4292">
            <v>1</v>
          </cell>
          <cell r="O4292">
            <v>350003</v>
          </cell>
          <cell r="P4292" t="str">
            <v>2022/222-0004-01</v>
          </cell>
          <cell r="Q4292" t="str">
            <v>EST MESA JANTAR MATISSE (TP CARV GRIS C/DET) (BS CINZA CH)</v>
          </cell>
          <cell r="R4292"/>
          <cell r="S4292"/>
          <cell r="T4292">
            <v>1.83</v>
          </cell>
          <cell r="U4292">
            <v>0</v>
          </cell>
          <cell r="V4292">
            <v>0.75</v>
          </cell>
          <cell r="W4292">
            <v>1.83</v>
          </cell>
          <cell r="X4292" t="str">
            <v>EST MESA JANTAR MATISSE (TP CARV GRIS C/DET) (BS CINZA CH) - Ø1,83x0,75H</v>
          </cell>
          <cell r="Y4292">
            <v>51369.11</v>
          </cell>
          <cell r="Z4292">
            <v>0.5</v>
          </cell>
          <cell r="AA4292">
            <v>25684.555</v>
          </cell>
          <cell r="AB4292"/>
        </row>
        <row r="4293">
          <cell r="C4293">
            <v>0</v>
          </cell>
          <cell r="D4293">
            <v>0</v>
          </cell>
          <cell r="E4293">
            <v>0</v>
          </cell>
          <cell r="F4293">
            <v>0</v>
          </cell>
          <cell r="H4293">
            <v>1</v>
          </cell>
          <cell r="O4293">
            <v>350004</v>
          </cell>
          <cell r="P4293" t="str">
            <v>2022/222-0005-01</v>
          </cell>
          <cell r="Q4293" t="str">
            <v>EST MESA JANTAR MATISSE (TP CINZA CH C/DET) (BS CARV CRIS)</v>
          </cell>
          <cell r="R4293"/>
          <cell r="S4293"/>
          <cell r="T4293">
            <v>1.83</v>
          </cell>
          <cell r="U4293">
            <v>0</v>
          </cell>
          <cell r="V4293">
            <v>0.75</v>
          </cell>
          <cell r="W4293">
            <v>1.83</v>
          </cell>
          <cell r="X4293" t="str">
            <v>EST MESA JANTAR MATISSE (TP CINZA CH C/DET) (BS CARV CRIS) - Ø1,83x0,75H</v>
          </cell>
          <cell r="Y4293">
            <v>57574.85</v>
          </cell>
          <cell r="Z4293">
            <v>0.4</v>
          </cell>
          <cell r="AA4293">
            <v>34544.909999999996</v>
          </cell>
          <cell r="AB4293"/>
        </row>
        <row r="4294">
          <cell r="C4294">
            <v>0</v>
          </cell>
          <cell r="D4294">
            <v>0</v>
          </cell>
          <cell r="E4294">
            <v>0</v>
          </cell>
          <cell r="F4294">
            <v>0</v>
          </cell>
          <cell r="H4294">
            <v>1</v>
          </cell>
          <cell r="O4294">
            <v>350005</v>
          </cell>
          <cell r="P4294" t="str">
            <v>2022/222-0006-01</v>
          </cell>
          <cell r="Q4294" t="str">
            <v>EST MESA CENTRO MATISSE ORGANICA (BS CARV GRI) (TP CARV GRI)</v>
          </cell>
          <cell r="R4294"/>
          <cell r="S4294"/>
          <cell r="T4294">
            <v>1.9</v>
          </cell>
          <cell r="U4294">
            <v>1.8</v>
          </cell>
          <cell r="V4294">
            <v>0.3</v>
          </cell>
          <cell r="W4294">
            <v>0</v>
          </cell>
          <cell r="X4294" t="str">
            <v>EST MESA CENTRO MATISSE ORGANICA (BS CARV GRI) (TP CARV GRI) - 1,9x1,8x0,3H</v>
          </cell>
          <cell r="Y4294">
            <v>35157.29</v>
          </cell>
          <cell r="Z4294">
            <v>0.4</v>
          </cell>
          <cell r="AA4294">
            <v>21094.374</v>
          </cell>
          <cell r="AB4294"/>
        </row>
        <row r="4295">
          <cell r="C4295">
            <v>0</v>
          </cell>
          <cell r="D4295">
            <v>0</v>
          </cell>
          <cell r="E4295">
            <v>0</v>
          </cell>
          <cell r="F4295">
            <v>0</v>
          </cell>
          <cell r="H4295">
            <v>1</v>
          </cell>
          <cell r="O4295">
            <v>350007</v>
          </cell>
          <cell r="P4295" t="str">
            <v>2022/222-0008-01</v>
          </cell>
          <cell r="Q4295" t="str">
            <v>EST MESA CENTRO MATISSE (TP RIPADO GIOIA/NERO) (BS CINZA CH)</v>
          </cell>
          <cell r="R4295"/>
          <cell r="S4295"/>
          <cell r="T4295">
            <v>1.5</v>
          </cell>
          <cell r="U4295">
            <v>0</v>
          </cell>
          <cell r="V4295">
            <v>0.2</v>
          </cell>
          <cell r="W4295">
            <v>1.5</v>
          </cell>
          <cell r="X4295" t="str">
            <v>EST MESA CENTRO MATISSE (TP RIPADO GIOIA/NERO) (BS CINZA CH) - Ø1,5x0,2H</v>
          </cell>
          <cell r="Y4295">
            <v>49671.51</v>
          </cell>
          <cell r="Z4295">
            <v>0.4</v>
          </cell>
          <cell r="AA4295">
            <v>29802.905999999999</v>
          </cell>
          <cell r="AB4295"/>
        </row>
        <row r="4296">
          <cell r="C4296">
            <v>0</v>
          </cell>
          <cell r="D4296">
            <v>0</v>
          </cell>
          <cell r="E4296">
            <v>0</v>
          </cell>
          <cell r="F4296">
            <v>0</v>
          </cell>
          <cell r="H4296">
            <v>1</v>
          </cell>
          <cell r="O4296">
            <v>351057</v>
          </cell>
          <cell r="P4296"/>
          <cell r="Q4296" t="str">
            <v>EST BANDEJA MATISSE (CIRCULAR) (GRIS ARMANI INOX COOPER)</v>
          </cell>
          <cell r="R4296"/>
          <cell r="S4296"/>
          <cell r="T4296">
            <v>0.4</v>
          </cell>
          <cell r="U4296">
            <v>0</v>
          </cell>
          <cell r="V4296">
            <v>0.06</v>
          </cell>
          <cell r="W4296">
            <v>0.4</v>
          </cell>
          <cell r="X4296" t="str">
            <v>EST BANDEJA MATISSE (CIRCULAR) (GRIS ARMANI INOX COOPER) - Ø0,4x0,06H</v>
          </cell>
          <cell r="Y4296">
            <v>4349.1400000000003</v>
          </cell>
          <cell r="Z4296">
            <v>0.4</v>
          </cell>
          <cell r="AA4296">
            <v>2609.4840000000004</v>
          </cell>
          <cell r="AB4296"/>
        </row>
        <row r="4297">
          <cell r="C4297">
            <v>0</v>
          </cell>
          <cell r="D4297">
            <v>0</v>
          </cell>
          <cell r="E4297">
            <v>0</v>
          </cell>
          <cell r="F4297">
            <v>0</v>
          </cell>
          <cell r="H4297">
            <v>1</v>
          </cell>
          <cell r="O4297">
            <v>351059</v>
          </cell>
          <cell r="P4297"/>
          <cell r="Q4297" t="str">
            <v>EST BANDEJA MATISSE (CIRCULAR) (CARRARA G PINT CINZA CHUMBO)</v>
          </cell>
          <cell r="R4297"/>
          <cell r="S4297"/>
          <cell r="T4297">
            <v>0.3</v>
          </cell>
          <cell r="U4297">
            <v>0</v>
          </cell>
          <cell r="V4297">
            <v>0.06</v>
          </cell>
          <cell r="W4297">
            <v>0.3</v>
          </cell>
          <cell r="X4297" t="str">
            <v>EST BANDEJA MATISSE (CIRCULAR) (CARRARA G PINT CINZA CHUMBO) - Ø0,3x0,06H</v>
          </cell>
          <cell r="Y4297">
            <v>2307.96</v>
          </cell>
          <cell r="Z4297">
            <v>0.4</v>
          </cell>
          <cell r="AA4297">
            <v>1384.7759999999998</v>
          </cell>
          <cell r="AB4297"/>
        </row>
        <row r="4298">
          <cell r="C4298">
            <v>0</v>
          </cell>
          <cell r="D4298">
            <v>0</v>
          </cell>
          <cell r="E4298">
            <v>0</v>
          </cell>
          <cell r="F4298">
            <v>0</v>
          </cell>
          <cell r="H4298">
            <v>1</v>
          </cell>
          <cell r="O4298">
            <v>351060</v>
          </cell>
          <cell r="P4298"/>
          <cell r="Q4298" t="str">
            <v>EST BANDEJA MATISSE (CIRCULAR) (CARRARA G PINT CINZA CHUMBO)</v>
          </cell>
          <cell r="R4298"/>
          <cell r="S4298"/>
          <cell r="T4298">
            <v>0.4</v>
          </cell>
          <cell r="U4298">
            <v>0</v>
          </cell>
          <cell r="V4298">
            <v>0.06</v>
          </cell>
          <cell r="W4298">
            <v>0.4</v>
          </cell>
          <cell r="X4298" t="str">
            <v>EST BANDEJA MATISSE (CIRCULAR) (CARRARA G PINT CINZA CHUMBO) - Ø0,4x0,06H</v>
          </cell>
          <cell r="Y4298">
            <v>3518.32</v>
          </cell>
          <cell r="Z4298">
            <v>0.4</v>
          </cell>
          <cell r="AA4298">
            <v>2110.9920000000002</v>
          </cell>
          <cell r="AB4298"/>
        </row>
        <row r="4299">
          <cell r="C4299">
            <v>0</v>
          </cell>
          <cell r="D4299">
            <v>0</v>
          </cell>
          <cell r="E4299">
            <v>0</v>
          </cell>
          <cell r="F4299">
            <v>0</v>
          </cell>
          <cell r="H4299">
            <v>1</v>
          </cell>
          <cell r="O4299">
            <v>351065</v>
          </cell>
          <cell r="P4299"/>
          <cell r="Q4299" t="str">
            <v>EST BANDEJA MATISSE (CIRCULAR) (NOGUEIRA) (INOX COOPER)</v>
          </cell>
          <cell r="R4299"/>
          <cell r="S4299"/>
          <cell r="T4299">
            <v>0.3</v>
          </cell>
          <cell r="U4299">
            <v>0</v>
          </cell>
          <cell r="V4299">
            <v>0.06</v>
          </cell>
          <cell r="W4299">
            <v>0.3</v>
          </cell>
          <cell r="X4299" t="str">
            <v>EST BANDEJA MATISSE (CIRCULAR) (NOGUEIRA) (INOX COOPER) - Ø0,3x0,06H</v>
          </cell>
          <cell r="Y4299">
            <v>1733.54</v>
          </cell>
          <cell r="Z4299">
            <v>0.4</v>
          </cell>
          <cell r="AA4299">
            <v>1040.1239999999998</v>
          </cell>
          <cell r="AB4299"/>
        </row>
        <row r="4300">
          <cell r="C4300">
            <v>0</v>
          </cell>
          <cell r="D4300">
            <v>0</v>
          </cell>
          <cell r="E4300">
            <v>0</v>
          </cell>
          <cell r="F4300">
            <v>0</v>
          </cell>
          <cell r="H4300">
            <v>1</v>
          </cell>
          <cell r="O4300">
            <v>351069</v>
          </cell>
          <cell r="P4300"/>
          <cell r="Q4300" t="str">
            <v>EST BANDEJA MATISSE (DUETTO RUST) (PINT CHAMPAGNE)</v>
          </cell>
          <cell r="R4300"/>
          <cell r="S4300"/>
          <cell r="T4300">
            <v>0.6</v>
          </cell>
          <cell r="U4300">
            <v>0.3</v>
          </cell>
          <cell r="V4300">
            <v>0.06</v>
          </cell>
          <cell r="W4300">
            <v>0</v>
          </cell>
          <cell r="X4300" t="str">
            <v>EST BANDEJA MATISSE (DUETTO RUST) (PINT CHAMPAGNE) - 0,6x0,3x0,06H</v>
          </cell>
          <cell r="Y4300">
            <v>3779.87</v>
          </cell>
          <cell r="Z4300">
            <v>0.4</v>
          </cell>
          <cell r="AA4300">
            <v>2267.9219999999996</v>
          </cell>
          <cell r="AB4300"/>
        </row>
        <row r="4301">
          <cell r="C4301">
            <v>0</v>
          </cell>
          <cell r="D4301">
            <v>0</v>
          </cell>
          <cell r="E4301">
            <v>0</v>
          </cell>
          <cell r="F4301">
            <v>0</v>
          </cell>
          <cell r="H4301">
            <v>1</v>
          </cell>
          <cell r="O4301">
            <v>351076</v>
          </cell>
          <cell r="P4301"/>
          <cell r="Q4301" t="str">
            <v>EST BANDEJA MATISSE (NOGUEIRA) (INOX COOPER)</v>
          </cell>
          <cell r="R4301"/>
          <cell r="S4301"/>
          <cell r="T4301">
            <v>0.3</v>
          </cell>
          <cell r="U4301">
            <v>0.3</v>
          </cell>
          <cell r="V4301">
            <v>0.06</v>
          </cell>
          <cell r="W4301">
            <v>0</v>
          </cell>
          <cell r="X4301" t="str">
            <v>EST BANDEJA MATISSE (NOGUEIRA) (INOX COOPER) - 0,3x0,3x0,06H</v>
          </cell>
          <cell r="Y4301">
            <v>1733.54</v>
          </cell>
          <cell r="Z4301">
            <v>0.4</v>
          </cell>
          <cell r="AA4301">
            <v>1040.1239999999998</v>
          </cell>
          <cell r="AB4301"/>
        </row>
        <row r="4302">
          <cell r="C4302">
            <v>1</v>
          </cell>
          <cell r="D4302">
            <v>0</v>
          </cell>
          <cell r="E4302">
            <v>0</v>
          </cell>
          <cell r="F4302">
            <v>0</v>
          </cell>
          <cell r="H4302">
            <v>0</v>
          </cell>
          <cell r="O4302">
            <v>351679</v>
          </cell>
          <cell r="P4302"/>
          <cell r="Q4302" t="str">
            <v>EST ALMOFADA CLAMI 1 (PLUMA SINT) (BISTROL CRU/AZUL)</v>
          </cell>
          <cell r="R4302"/>
          <cell r="S4302"/>
          <cell r="T4302">
            <v>0.7</v>
          </cell>
          <cell r="U4302">
            <v>0.3</v>
          </cell>
          <cell r="V4302">
            <v>0.15</v>
          </cell>
          <cell r="W4302">
            <v>0</v>
          </cell>
          <cell r="X4302" t="str">
            <v>EST ALMOFADA CLAMI 1 (PLUMA SINT) (BISTROL CRU/AZUL) - 0,7x0,3x0,15H</v>
          </cell>
          <cell r="Y4302">
            <v>1200</v>
          </cell>
          <cell r="Z4302">
            <v>0.5</v>
          </cell>
          <cell r="AA4302">
            <v>600</v>
          </cell>
          <cell r="AB4302"/>
        </row>
        <row r="4303">
          <cell r="C4303">
            <v>1</v>
          </cell>
          <cell r="D4303">
            <v>0</v>
          </cell>
          <cell r="E4303">
            <v>0</v>
          </cell>
          <cell r="F4303">
            <v>0</v>
          </cell>
          <cell r="H4303">
            <v>0</v>
          </cell>
          <cell r="O4303">
            <v>351680</v>
          </cell>
          <cell r="P4303"/>
          <cell r="Q4303" t="str">
            <v>EST ALMOFADA CLAMI 1 (PLUMA SINT) (BISTROL CRU/AZUL)</v>
          </cell>
          <cell r="R4303"/>
          <cell r="S4303"/>
          <cell r="T4303">
            <v>0.6</v>
          </cell>
          <cell r="U4303">
            <v>0.25</v>
          </cell>
          <cell r="V4303">
            <v>0.15</v>
          </cell>
          <cell r="W4303">
            <v>0</v>
          </cell>
          <cell r="X4303" t="str">
            <v>EST ALMOFADA CLAMI 1 (PLUMA SINT) (BISTROL CRU/AZUL) - 0,6x0,25x0,15H</v>
          </cell>
          <cell r="Y4303">
            <v>500</v>
          </cell>
          <cell r="Z4303">
            <v>0.5</v>
          </cell>
          <cell r="AA4303">
            <v>250</v>
          </cell>
          <cell r="AB4303"/>
        </row>
        <row r="4304">
          <cell r="C4304">
            <v>1</v>
          </cell>
          <cell r="D4304">
            <v>0</v>
          </cell>
          <cell r="E4304">
            <v>0</v>
          </cell>
          <cell r="F4304">
            <v>0</v>
          </cell>
          <cell r="H4304">
            <v>0</v>
          </cell>
          <cell r="O4304">
            <v>351681</v>
          </cell>
          <cell r="P4304"/>
          <cell r="Q4304" t="str">
            <v>EST ALMOFADA CLAMI 1 (PLUMA SINT) (BISTROL CRU/AZUL)</v>
          </cell>
          <cell r="R4304"/>
          <cell r="S4304"/>
          <cell r="T4304">
            <v>0.5</v>
          </cell>
          <cell r="U4304">
            <v>0.35</v>
          </cell>
          <cell r="V4304">
            <v>0.15</v>
          </cell>
          <cell r="W4304">
            <v>0</v>
          </cell>
          <cell r="X4304" t="str">
            <v>EST ALMOFADA CLAMI 1 (PLUMA SINT) (BISTROL CRU/AZUL) - 0,5x0,35x0,15H</v>
          </cell>
          <cell r="Y4304">
            <v>500</v>
          </cell>
          <cell r="Z4304">
            <v>0.5</v>
          </cell>
          <cell r="AA4304">
            <v>250</v>
          </cell>
          <cell r="AB4304"/>
        </row>
        <row r="4305">
          <cell r="C4305">
            <v>1</v>
          </cell>
          <cell r="D4305">
            <v>0</v>
          </cell>
          <cell r="E4305">
            <v>0</v>
          </cell>
          <cell r="F4305">
            <v>0</v>
          </cell>
          <cell r="H4305">
            <v>0</v>
          </cell>
          <cell r="O4305">
            <v>351682</v>
          </cell>
          <cell r="P4305"/>
          <cell r="Q4305" t="str">
            <v>EST ALMOFADA CLAMI 1 (PLUMA SINT) (BISTROL CRU/AZUL)</v>
          </cell>
          <cell r="R4305"/>
          <cell r="S4305"/>
          <cell r="T4305">
            <v>0.4</v>
          </cell>
          <cell r="U4305">
            <v>0.3</v>
          </cell>
          <cell r="V4305">
            <v>0.15</v>
          </cell>
          <cell r="W4305">
            <v>0</v>
          </cell>
          <cell r="X4305" t="str">
            <v>EST ALMOFADA CLAMI 1 (PLUMA SINT) (BISTROL CRU/AZUL) - 0,4x0,3x0,15H</v>
          </cell>
          <cell r="Y4305">
            <v>500</v>
          </cell>
          <cell r="Z4305">
            <v>0.5</v>
          </cell>
          <cell r="AA4305">
            <v>250</v>
          </cell>
          <cell r="AB4305"/>
        </row>
        <row r="4306">
          <cell r="C4306">
            <v>0</v>
          </cell>
          <cell r="D4306">
            <v>0</v>
          </cell>
          <cell r="E4306">
            <v>0</v>
          </cell>
          <cell r="F4306">
            <v>0</v>
          </cell>
          <cell r="H4306">
            <v>1</v>
          </cell>
          <cell r="O4306">
            <v>351683</v>
          </cell>
          <cell r="P4306"/>
          <cell r="Q4306" t="str">
            <v>EST ALMOFADA CLAMI 1 (PLUMA SINT) (BISTROL CRU/CINZA)</v>
          </cell>
          <cell r="R4306"/>
          <cell r="S4306"/>
          <cell r="T4306">
            <v>0.7</v>
          </cell>
          <cell r="U4306">
            <v>0.3</v>
          </cell>
          <cell r="V4306">
            <v>0.15</v>
          </cell>
          <cell r="W4306">
            <v>0</v>
          </cell>
          <cell r="X4306" t="str">
            <v>EST ALMOFADA CLAMI 1 (PLUMA SINT) (BISTROL CRU/CINZA) - 0,7x0,3x0,15H</v>
          </cell>
          <cell r="Y4306">
            <v>770.52</v>
          </cell>
          <cell r="Z4306">
            <v>0.5</v>
          </cell>
          <cell r="AA4306">
            <v>385.26</v>
          </cell>
          <cell r="AB4306"/>
        </row>
        <row r="4307">
          <cell r="C4307">
            <v>0</v>
          </cell>
          <cell r="D4307">
            <v>0</v>
          </cell>
          <cell r="E4307">
            <v>0</v>
          </cell>
          <cell r="F4307">
            <v>0</v>
          </cell>
          <cell r="H4307">
            <v>1</v>
          </cell>
          <cell r="O4307">
            <v>351684</v>
          </cell>
          <cell r="P4307"/>
          <cell r="Q4307" t="str">
            <v>EST ALMOFADA CLAMI 1 (PLUMA SINT) (BISTROL CRU/CINZA)</v>
          </cell>
          <cell r="R4307"/>
          <cell r="S4307"/>
          <cell r="T4307">
            <v>0.6</v>
          </cell>
          <cell r="U4307">
            <v>0.25</v>
          </cell>
          <cell r="V4307">
            <v>0.15</v>
          </cell>
          <cell r="W4307">
            <v>0</v>
          </cell>
          <cell r="X4307" t="str">
            <v>EST ALMOFADA CLAMI 1 (PLUMA SINT) (BISTROL CRU/CINZA) - 0,6x0,25x0,15H</v>
          </cell>
          <cell r="Y4307">
            <v>550.37</v>
          </cell>
          <cell r="Z4307">
            <v>0.5</v>
          </cell>
          <cell r="AA4307">
            <v>275.185</v>
          </cell>
          <cell r="AB4307"/>
        </row>
        <row r="4308">
          <cell r="C4308">
            <v>0</v>
          </cell>
          <cell r="D4308">
            <v>0</v>
          </cell>
          <cell r="E4308">
            <v>0</v>
          </cell>
          <cell r="F4308">
            <v>0</v>
          </cell>
          <cell r="H4308">
            <v>1</v>
          </cell>
          <cell r="O4308">
            <v>351685</v>
          </cell>
          <cell r="P4308"/>
          <cell r="Q4308" t="str">
            <v>EST ALMOFADA CLAMI 1 (PLUMA SINT) (BISTROL CRU/CINZA)</v>
          </cell>
          <cell r="R4308"/>
          <cell r="S4308"/>
          <cell r="T4308">
            <v>0.5</v>
          </cell>
          <cell r="U4308">
            <v>0.35</v>
          </cell>
          <cell r="V4308">
            <v>0.15</v>
          </cell>
          <cell r="W4308">
            <v>0</v>
          </cell>
          <cell r="X4308" t="str">
            <v>EST ALMOFADA CLAMI 1 (PLUMA SINT) (BISTROL CRU/CINZA) - 0,5x0,35x0,15H</v>
          </cell>
          <cell r="Y4308">
            <v>642.12</v>
          </cell>
          <cell r="Z4308">
            <v>0.5</v>
          </cell>
          <cell r="AA4308">
            <v>321.06</v>
          </cell>
          <cell r="AB4308"/>
        </row>
        <row r="4309">
          <cell r="C4309">
            <v>0</v>
          </cell>
          <cell r="D4309">
            <v>0</v>
          </cell>
          <cell r="E4309">
            <v>0</v>
          </cell>
          <cell r="F4309">
            <v>0</v>
          </cell>
          <cell r="H4309">
            <v>1</v>
          </cell>
          <cell r="O4309">
            <v>351687</v>
          </cell>
          <cell r="P4309"/>
          <cell r="Q4309" t="str">
            <v>EST ALMOFADA CLAMI 1 (PLUMA SINT) (BISTROL CRU/CINZA)</v>
          </cell>
          <cell r="R4309"/>
          <cell r="S4309"/>
          <cell r="T4309">
            <v>0.4</v>
          </cell>
          <cell r="U4309">
            <v>0.3</v>
          </cell>
          <cell r="V4309">
            <v>0.15</v>
          </cell>
          <cell r="W4309">
            <v>0</v>
          </cell>
          <cell r="X4309" t="str">
            <v>EST ALMOFADA CLAMI 1 (PLUMA SINT) (BISTROL CRU/CINZA) - 0,4x0,3x0,15H</v>
          </cell>
          <cell r="Y4309">
            <v>440.29</v>
          </cell>
          <cell r="Z4309">
            <v>0.5</v>
          </cell>
          <cell r="AA4309">
            <v>220.14500000000001</v>
          </cell>
          <cell r="AB4309"/>
        </row>
        <row r="4310">
          <cell r="C4310">
            <v>0</v>
          </cell>
          <cell r="D4310">
            <v>0</v>
          </cell>
          <cell r="E4310">
            <v>0</v>
          </cell>
          <cell r="F4310">
            <v>0</v>
          </cell>
          <cell r="H4310">
            <v>2</v>
          </cell>
          <cell r="O4310">
            <v>351689</v>
          </cell>
          <cell r="P4310"/>
          <cell r="Q4310" t="str">
            <v>EST ALMOFADA CLAMI 1 (PLUMA SINT) (BISTROL NUVEM/CINZA)</v>
          </cell>
          <cell r="R4310"/>
          <cell r="S4310"/>
          <cell r="T4310">
            <v>0.6</v>
          </cell>
          <cell r="U4310">
            <v>0.25</v>
          </cell>
          <cell r="V4310">
            <v>0.15</v>
          </cell>
          <cell r="W4310">
            <v>0</v>
          </cell>
          <cell r="X4310" t="str">
            <v>EST ALMOFADA CLAMI 1 (PLUMA SINT) (BISTROL NUVEM/CINZA) - 0,6x0,25x0,15H</v>
          </cell>
          <cell r="Y4310">
            <v>550.37</v>
          </cell>
          <cell r="Z4310">
            <v>0.5</v>
          </cell>
          <cell r="AA4310">
            <v>275.185</v>
          </cell>
          <cell r="AB4310"/>
        </row>
        <row r="4311">
          <cell r="C4311">
            <v>0</v>
          </cell>
          <cell r="D4311">
            <v>0</v>
          </cell>
          <cell r="E4311">
            <v>0</v>
          </cell>
          <cell r="F4311">
            <v>1</v>
          </cell>
          <cell r="H4311">
            <v>1</v>
          </cell>
          <cell r="O4311">
            <v>351690</v>
          </cell>
          <cell r="P4311"/>
          <cell r="Q4311" t="str">
            <v>EST ALMOFADA CLAMI 1 (PLUMA SINT) (BISTROL NUVEM/CINZA)</v>
          </cell>
          <cell r="R4311"/>
          <cell r="S4311"/>
          <cell r="T4311">
            <v>0.5</v>
          </cell>
          <cell r="U4311">
            <v>0.35</v>
          </cell>
          <cell r="V4311">
            <v>0.15</v>
          </cell>
          <cell r="W4311">
            <v>0</v>
          </cell>
          <cell r="X4311" t="str">
            <v>EST ALMOFADA CLAMI 1 (PLUMA SINT) (BISTROL NUVEM/CINZA) - 0,5x0,35x0,15H</v>
          </cell>
          <cell r="Y4311">
            <v>642.12</v>
          </cell>
          <cell r="Z4311">
            <v>0.5</v>
          </cell>
          <cell r="AA4311">
            <v>321.06</v>
          </cell>
          <cell r="AB4311"/>
        </row>
        <row r="4312">
          <cell r="C4312">
            <v>0</v>
          </cell>
          <cell r="D4312">
            <v>0</v>
          </cell>
          <cell r="E4312">
            <v>0</v>
          </cell>
          <cell r="F4312">
            <v>0</v>
          </cell>
          <cell r="H4312">
            <v>2</v>
          </cell>
          <cell r="O4312">
            <v>351691</v>
          </cell>
          <cell r="P4312"/>
          <cell r="Q4312" t="str">
            <v>EST ALMOFADA CLAMI 1 (PLUMA SINT) (BISTROL NUVEM/CINZA)</v>
          </cell>
          <cell r="R4312"/>
          <cell r="S4312"/>
          <cell r="T4312">
            <v>0.4</v>
          </cell>
          <cell r="U4312">
            <v>0.3</v>
          </cell>
          <cell r="V4312">
            <v>0.15</v>
          </cell>
          <cell r="W4312">
            <v>0</v>
          </cell>
          <cell r="X4312" t="str">
            <v>EST ALMOFADA CLAMI 1 (PLUMA SINT) (BISTROL NUVEM/CINZA) - 0,4x0,3x0,15H</v>
          </cell>
          <cell r="Y4312">
            <v>440.29</v>
          </cell>
          <cell r="Z4312">
            <v>0.5</v>
          </cell>
          <cell r="AA4312">
            <v>220.14500000000001</v>
          </cell>
          <cell r="AB4312"/>
        </row>
        <row r="4313">
          <cell r="C4313">
            <v>0</v>
          </cell>
          <cell r="D4313">
            <v>0</v>
          </cell>
          <cell r="E4313">
            <v>0</v>
          </cell>
          <cell r="F4313">
            <v>0</v>
          </cell>
          <cell r="H4313">
            <v>1</v>
          </cell>
          <cell r="O4313">
            <v>351692</v>
          </cell>
          <cell r="P4313"/>
          <cell r="Q4313" t="str">
            <v>EST ALMOFADA CLAMI 1 (PLUMA SINT) (BISTROL NUVEM/CRU)</v>
          </cell>
          <cell r="R4313"/>
          <cell r="S4313"/>
          <cell r="T4313">
            <v>0.7</v>
          </cell>
          <cell r="U4313">
            <v>0.3</v>
          </cell>
          <cell r="V4313">
            <v>0.15</v>
          </cell>
          <cell r="W4313">
            <v>0</v>
          </cell>
          <cell r="X4313" t="str">
            <v>EST ALMOFADA CLAMI 1 (PLUMA SINT) (BISTROL NUVEM/CRU) - 0,7x0,3x0,15H</v>
          </cell>
          <cell r="Y4313">
            <v>770.52</v>
          </cell>
          <cell r="Z4313">
            <v>0.5</v>
          </cell>
          <cell r="AA4313">
            <v>385.26</v>
          </cell>
          <cell r="AB4313"/>
        </row>
        <row r="4314">
          <cell r="C4314">
            <v>0</v>
          </cell>
          <cell r="D4314">
            <v>0</v>
          </cell>
          <cell r="E4314">
            <v>0</v>
          </cell>
          <cell r="F4314">
            <v>0</v>
          </cell>
          <cell r="H4314">
            <v>2</v>
          </cell>
          <cell r="O4314">
            <v>351693</v>
          </cell>
          <cell r="P4314"/>
          <cell r="Q4314" t="str">
            <v>EST ALMOFADA CLAMI 1 (PLUMA SINT) (BISTROL NUVEM/CRU)</v>
          </cell>
          <cell r="R4314"/>
          <cell r="S4314"/>
          <cell r="T4314">
            <v>0.6</v>
          </cell>
          <cell r="U4314">
            <v>0.25</v>
          </cell>
          <cell r="V4314">
            <v>0.15</v>
          </cell>
          <cell r="W4314">
            <v>0</v>
          </cell>
          <cell r="X4314" t="str">
            <v>EST ALMOFADA CLAMI 1 (PLUMA SINT) (BISTROL NUVEM/CRU) - 0,6x0,25x0,15H</v>
          </cell>
          <cell r="Y4314">
            <v>550.37</v>
          </cell>
          <cell r="Z4314">
            <v>0.5</v>
          </cell>
          <cell r="AA4314">
            <v>275.185</v>
          </cell>
          <cell r="AB4314"/>
        </row>
        <row r="4315">
          <cell r="C4315">
            <v>0</v>
          </cell>
          <cell r="D4315">
            <v>0</v>
          </cell>
          <cell r="E4315">
            <v>0</v>
          </cell>
          <cell r="F4315">
            <v>1</v>
          </cell>
          <cell r="H4315">
            <v>1</v>
          </cell>
          <cell r="O4315">
            <v>351694</v>
          </cell>
          <cell r="P4315"/>
          <cell r="Q4315" t="str">
            <v>EST ALMOFADA CLAMI 1 (PLUMA SINT) (BISTROL NUVEM/CRU)</v>
          </cell>
          <cell r="R4315"/>
          <cell r="S4315"/>
          <cell r="T4315">
            <v>0.5</v>
          </cell>
          <cell r="U4315">
            <v>0.35</v>
          </cell>
          <cell r="V4315">
            <v>0.15</v>
          </cell>
          <cell r="W4315">
            <v>0</v>
          </cell>
          <cell r="X4315" t="str">
            <v>EST ALMOFADA CLAMI 1 (PLUMA SINT) (BISTROL NUVEM/CRU) - 0,5x0,35x0,15H</v>
          </cell>
          <cell r="Y4315">
            <v>642.12</v>
          </cell>
          <cell r="Z4315">
            <v>0.5</v>
          </cell>
          <cell r="AA4315">
            <v>321.06</v>
          </cell>
          <cell r="AB4315"/>
        </row>
        <row r="4316">
          <cell r="C4316">
            <v>0</v>
          </cell>
          <cell r="D4316">
            <v>0</v>
          </cell>
          <cell r="E4316">
            <v>0</v>
          </cell>
          <cell r="F4316">
            <v>0</v>
          </cell>
          <cell r="H4316">
            <v>2</v>
          </cell>
          <cell r="O4316">
            <v>351695</v>
          </cell>
          <cell r="P4316"/>
          <cell r="Q4316" t="str">
            <v>EST ALMOFADA CLAMI 1 (PLUMA SINT) (BISTROL NUVEM/CRU)</v>
          </cell>
          <cell r="R4316"/>
          <cell r="S4316"/>
          <cell r="T4316">
            <v>0.4</v>
          </cell>
          <cell r="U4316">
            <v>0.3</v>
          </cell>
          <cell r="V4316">
            <v>0.15</v>
          </cell>
          <cell r="W4316">
            <v>0</v>
          </cell>
          <cell r="X4316" t="str">
            <v>EST ALMOFADA CLAMI 1 (PLUMA SINT) (BISTROL NUVEM/CRU) - 0,4x0,3x0,15H</v>
          </cell>
          <cell r="Y4316">
            <v>440.29</v>
          </cell>
          <cell r="Z4316">
            <v>0.5</v>
          </cell>
          <cell r="AA4316">
            <v>220.14500000000001</v>
          </cell>
          <cell r="AB4316"/>
        </row>
        <row r="4317">
          <cell r="C4317">
            <v>0</v>
          </cell>
          <cell r="D4317">
            <v>0</v>
          </cell>
          <cell r="E4317">
            <v>0</v>
          </cell>
          <cell r="F4317">
            <v>0</v>
          </cell>
          <cell r="H4317">
            <v>2</v>
          </cell>
          <cell r="O4317">
            <v>351697</v>
          </cell>
          <cell r="P4317"/>
          <cell r="Q4317" t="str">
            <v>EST ALMOFADA CLAMI 2 (PLUMA SINT) (BISTROL NUVEM/CINZA)</v>
          </cell>
          <cell r="R4317"/>
          <cell r="S4317"/>
          <cell r="T4317">
            <v>0.6</v>
          </cell>
          <cell r="U4317">
            <v>0.25</v>
          </cell>
          <cell r="V4317">
            <v>0.15</v>
          </cell>
          <cell r="W4317">
            <v>0</v>
          </cell>
          <cell r="X4317" t="str">
            <v>EST ALMOFADA CLAMI 2 (PLUMA SINT) (BISTROL NUVEM/CINZA) - 0,6x0,25x0,15H</v>
          </cell>
          <cell r="Y4317">
            <v>550.37</v>
          </cell>
          <cell r="Z4317">
            <v>0.5</v>
          </cell>
          <cell r="AA4317">
            <v>275.185</v>
          </cell>
          <cell r="AB4317"/>
        </row>
        <row r="4318">
          <cell r="C4318">
            <v>0</v>
          </cell>
          <cell r="D4318">
            <v>0</v>
          </cell>
          <cell r="E4318">
            <v>0</v>
          </cell>
          <cell r="F4318">
            <v>0</v>
          </cell>
          <cell r="H4318">
            <v>2</v>
          </cell>
          <cell r="O4318">
            <v>351698</v>
          </cell>
          <cell r="P4318"/>
          <cell r="Q4318" t="str">
            <v>EST ALMOFADA CLAMI 2 (PLUMA SINT) (BISTROL NUVEM/CINZA)</v>
          </cell>
          <cell r="R4318"/>
          <cell r="S4318"/>
          <cell r="T4318">
            <v>0.5</v>
          </cell>
          <cell r="U4318">
            <v>0.35</v>
          </cell>
          <cell r="V4318">
            <v>0.15</v>
          </cell>
          <cell r="W4318">
            <v>0</v>
          </cell>
          <cell r="X4318" t="str">
            <v>EST ALMOFADA CLAMI 2 (PLUMA SINT) (BISTROL NUVEM/CINZA) - 0,5x0,35x0,15H</v>
          </cell>
          <cell r="Y4318">
            <v>642.12</v>
          </cell>
          <cell r="Z4318">
            <v>0.5</v>
          </cell>
          <cell r="AA4318">
            <v>321.06</v>
          </cell>
          <cell r="AB4318"/>
        </row>
        <row r="4319">
          <cell r="C4319">
            <v>0</v>
          </cell>
          <cell r="D4319">
            <v>0</v>
          </cell>
          <cell r="E4319">
            <v>0</v>
          </cell>
          <cell r="F4319">
            <v>1</v>
          </cell>
          <cell r="H4319">
            <v>1</v>
          </cell>
          <cell r="O4319">
            <v>351699</v>
          </cell>
          <cell r="P4319"/>
          <cell r="Q4319" t="str">
            <v>EST ALMOFADA CLAMI 2 (PLUMA SINT) (BISTROL NUVEM/CINZA)</v>
          </cell>
          <cell r="R4319"/>
          <cell r="S4319"/>
          <cell r="T4319">
            <v>0.4</v>
          </cell>
          <cell r="U4319">
            <v>0.3</v>
          </cell>
          <cell r="V4319">
            <v>0.15</v>
          </cell>
          <cell r="W4319">
            <v>0</v>
          </cell>
          <cell r="X4319" t="str">
            <v>EST ALMOFADA CLAMI 2 (PLUMA SINT) (BISTROL NUVEM/CINZA) - 0,4x0,3x0,15H</v>
          </cell>
          <cell r="Y4319">
            <v>440.29</v>
          </cell>
          <cell r="Z4319">
            <v>0.5</v>
          </cell>
          <cell r="AA4319">
            <v>220.14500000000001</v>
          </cell>
          <cell r="AB4319"/>
        </row>
        <row r="4320">
          <cell r="C4320">
            <v>0</v>
          </cell>
          <cell r="D4320">
            <v>0</v>
          </cell>
          <cell r="E4320">
            <v>0</v>
          </cell>
          <cell r="F4320">
            <v>1</v>
          </cell>
          <cell r="H4320">
            <v>1</v>
          </cell>
          <cell r="O4320">
            <v>351701</v>
          </cell>
          <cell r="P4320"/>
          <cell r="Q4320" t="str">
            <v>EST ALMOFADA CLAMI 2 (PLUMA SINT) (BISTROL NUVEM/CRU)</v>
          </cell>
          <cell r="R4320"/>
          <cell r="S4320"/>
          <cell r="T4320">
            <v>0.6</v>
          </cell>
          <cell r="U4320">
            <v>0.25</v>
          </cell>
          <cell r="V4320">
            <v>0.15</v>
          </cell>
          <cell r="W4320">
            <v>0</v>
          </cell>
          <cell r="X4320" t="str">
            <v>EST ALMOFADA CLAMI 2 (PLUMA SINT) (BISTROL NUVEM/CRU) - 0,6x0,25x0,15H</v>
          </cell>
          <cell r="Y4320">
            <v>550.37</v>
          </cell>
          <cell r="Z4320">
            <v>0.5</v>
          </cell>
          <cell r="AA4320">
            <v>275.185</v>
          </cell>
          <cell r="AB4320"/>
        </row>
        <row r="4321">
          <cell r="C4321">
            <v>0</v>
          </cell>
          <cell r="D4321">
            <v>0</v>
          </cell>
          <cell r="E4321">
            <v>0</v>
          </cell>
          <cell r="F4321">
            <v>1</v>
          </cell>
          <cell r="H4321">
            <v>1</v>
          </cell>
          <cell r="O4321">
            <v>351702</v>
          </cell>
          <cell r="P4321"/>
          <cell r="Q4321" t="str">
            <v>EST ALMOFADA CLAMI 2 (PLUMA SINT) (BISTROL NUVEM/CRU)</v>
          </cell>
          <cell r="R4321"/>
          <cell r="S4321"/>
          <cell r="T4321">
            <v>0.5</v>
          </cell>
          <cell r="U4321">
            <v>0.35</v>
          </cell>
          <cell r="V4321">
            <v>0.15</v>
          </cell>
          <cell r="W4321">
            <v>0</v>
          </cell>
          <cell r="X4321" t="str">
            <v>EST ALMOFADA CLAMI 2 (PLUMA SINT) (BISTROL NUVEM/CRU) - 0,5x0,35x0,15H</v>
          </cell>
          <cell r="Y4321">
            <v>642.12</v>
          </cell>
          <cell r="Z4321">
            <v>0.5</v>
          </cell>
          <cell r="AA4321">
            <v>321.06</v>
          </cell>
          <cell r="AB4321"/>
        </row>
        <row r="4322">
          <cell r="C4322">
            <v>0</v>
          </cell>
          <cell r="D4322">
            <v>0</v>
          </cell>
          <cell r="E4322">
            <v>0</v>
          </cell>
          <cell r="F4322">
            <v>1</v>
          </cell>
          <cell r="H4322">
            <v>1</v>
          </cell>
          <cell r="O4322">
            <v>351703</v>
          </cell>
          <cell r="P4322"/>
          <cell r="Q4322" t="str">
            <v>EST ALMOFADA CLAMI 2 (PLUMA SINT) (BISTROL NUVEM/CRU)</v>
          </cell>
          <cell r="R4322"/>
          <cell r="S4322"/>
          <cell r="T4322">
            <v>0.4</v>
          </cell>
          <cell r="U4322">
            <v>0.3</v>
          </cell>
          <cell r="V4322">
            <v>0.15</v>
          </cell>
          <cell r="W4322">
            <v>0</v>
          </cell>
          <cell r="X4322" t="str">
            <v>EST ALMOFADA CLAMI 2 (PLUMA SINT) (BISTROL NUVEM/CRU) - 0,4x0,3x0,15H</v>
          </cell>
          <cell r="Y4322">
            <v>440.29</v>
          </cell>
          <cell r="Z4322">
            <v>0.5</v>
          </cell>
          <cell r="AA4322">
            <v>220.14500000000001</v>
          </cell>
          <cell r="AB4322"/>
        </row>
        <row r="4323">
          <cell r="C4323">
            <v>0</v>
          </cell>
          <cell r="D4323">
            <v>0</v>
          </cell>
          <cell r="E4323">
            <v>0</v>
          </cell>
          <cell r="F4323">
            <v>0</v>
          </cell>
          <cell r="H4323">
            <v>1</v>
          </cell>
          <cell r="O4323">
            <v>351704</v>
          </cell>
          <cell r="P4323"/>
          <cell r="Q4323" t="str">
            <v>EST ALMOFADA CLAMI 1 (PLUMA SINT) (BISTROL MARROM/CRU)</v>
          </cell>
          <cell r="R4323"/>
          <cell r="S4323"/>
          <cell r="T4323">
            <v>0.7</v>
          </cell>
          <cell r="U4323">
            <v>0.3</v>
          </cell>
          <cell r="V4323">
            <v>0.15</v>
          </cell>
          <cell r="W4323">
            <v>0</v>
          </cell>
          <cell r="X4323" t="str">
            <v>EST ALMOFADA CLAMI 1 (PLUMA SINT) (BISTROL MARROM/CRU) - 0,7x0,3x0,15H</v>
          </cell>
          <cell r="Y4323">
            <v>770.52</v>
          </cell>
          <cell r="Z4323">
            <v>0.5</v>
          </cell>
          <cell r="AA4323">
            <v>385.26</v>
          </cell>
          <cell r="AB4323"/>
        </row>
        <row r="4324">
          <cell r="C4324">
            <v>0</v>
          </cell>
          <cell r="D4324">
            <v>0</v>
          </cell>
          <cell r="E4324">
            <v>0</v>
          </cell>
          <cell r="F4324">
            <v>0</v>
          </cell>
          <cell r="H4324">
            <v>1</v>
          </cell>
          <cell r="O4324">
            <v>351705</v>
          </cell>
          <cell r="P4324"/>
          <cell r="Q4324" t="str">
            <v>EST ALMOFADA CLAMI 1 (PLUMA SINT) (BISTROL MARROM/CRU)</v>
          </cell>
          <cell r="R4324"/>
          <cell r="S4324"/>
          <cell r="T4324">
            <v>0.6</v>
          </cell>
          <cell r="U4324">
            <v>0.25</v>
          </cell>
          <cell r="V4324">
            <v>0.15</v>
          </cell>
          <cell r="W4324">
            <v>0</v>
          </cell>
          <cell r="X4324" t="str">
            <v>EST ALMOFADA CLAMI 1 (PLUMA SINT) (BISTROL MARROM/CRU) - 0,6x0,25x0,15H</v>
          </cell>
          <cell r="Y4324">
            <v>550.37</v>
          </cell>
          <cell r="Z4324">
            <v>0.5</v>
          </cell>
          <cell r="AA4324">
            <v>275.185</v>
          </cell>
          <cell r="AB4324"/>
        </row>
        <row r="4325">
          <cell r="C4325">
            <v>0</v>
          </cell>
          <cell r="D4325">
            <v>0</v>
          </cell>
          <cell r="E4325">
            <v>0</v>
          </cell>
          <cell r="F4325">
            <v>0</v>
          </cell>
          <cell r="H4325">
            <v>1</v>
          </cell>
          <cell r="O4325">
            <v>351708</v>
          </cell>
          <cell r="P4325"/>
          <cell r="Q4325" t="str">
            <v>EST ALMOFADA CLAMI 1 (PLUMA SINT) (PALLA CINZA/MARINHO)</v>
          </cell>
          <cell r="R4325"/>
          <cell r="S4325"/>
          <cell r="T4325">
            <v>0.7</v>
          </cell>
          <cell r="U4325">
            <v>0.3</v>
          </cell>
          <cell r="V4325">
            <v>0.15</v>
          </cell>
          <cell r="W4325">
            <v>0</v>
          </cell>
          <cell r="X4325" t="str">
            <v>EST ALMOFADA CLAMI 1 (PLUMA SINT) (PALLA CINZA/MARINHO) - 0,7x0,3x0,15H</v>
          </cell>
          <cell r="Y4325">
            <v>770.52</v>
          </cell>
          <cell r="Z4325">
            <v>0.5</v>
          </cell>
          <cell r="AA4325">
            <v>385.26</v>
          </cell>
          <cell r="AB4325"/>
        </row>
        <row r="4326">
          <cell r="C4326">
            <v>0</v>
          </cell>
          <cell r="D4326">
            <v>0</v>
          </cell>
          <cell r="E4326">
            <v>0</v>
          </cell>
          <cell r="F4326">
            <v>0</v>
          </cell>
          <cell r="H4326">
            <v>1</v>
          </cell>
          <cell r="O4326">
            <v>351709</v>
          </cell>
          <cell r="P4326"/>
          <cell r="Q4326" t="str">
            <v>EST ALMOFADA CLAMI 1 (PLUMA SINT) (PALLA CINZA/MARINHO)</v>
          </cell>
          <cell r="R4326"/>
          <cell r="S4326"/>
          <cell r="T4326">
            <v>0.6</v>
          </cell>
          <cell r="U4326">
            <v>0.25</v>
          </cell>
          <cell r="V4326">
            <v>0.15</v>
          </cell>
          <cell r="W4326">
            <v>0</v>
          </cell>
          <cell r="X4326" t="str">
            <v>EST ALMOFADA CLAMI 1 (PLUMA SINT) (PALLA CINZA/MARINHO) - 0,6x0,25x0,15H</v>
          </cell>
          <cell r="Y4326">
            <v>550.37</v>
          </cell>
          <cell r="Z4326">
            <v>0.5</v>
          </cell>
          <cell r="AA4326">
            <v>275.185</v>
          </cell>
          <cell r="AB4326"/>
        </row>
        <row r="4327">
          <cell r="C4327">
            <v>0</v>
          </cell>
          <cell r="D4327">
            <v>0</v>
          </cell>
          <cell r="E4327">
            <v>0</v>
          </cell>
          <cell r="F4327">
            <v>0</v>
          </cell>
          <cell r="H4327">
            <v>1</v>
          </cell>
          <cell r="O4327">
            <v>351712</v>
          </cell>
          <cell r="P4327"/>
          <cell r="Q4327" t="str">
            <v>EST ALMOFADA CLAMI 1 (PLUMA SINT) (1341-1 CINZA/CRU)</v>
          </cell>
          <cell r="R4327"/>
          <cell r="S4327"/>
          <cell r="T4327">
            <v>0.7</v>
          </cell>
          <cell r="U4327">
            <v>0.3</v>
          </cell>
          <cell r="V4327">
            <v>0.15</v>
          </cell>
          <cell r="W4327">
            <v>0</v>
          </cell>
          <cell r="X4327" t="str">
            <v>EST ALMOFADA CLAMI 1 (PLUMA SINT) (1341-1 CINZA/CRU) - 0,7x0,3x0,15H</v>
          </cell>
          <cell r="Y4327">
            <v>770.52</v>
          </cell>
          <cell r="Z4327">
            <v>0.5</v>
          </cell>
          <cell r="AA4327">
            <v>385.26</v>
          </cell>
          <cell r="AB4327"/>
        </row>
        <row r="4328">
          <cell r="C4328">
            <v>0</v>
          </cell>
          <cell r="D4328">
            <v>0</v>
          </cell>
          <cell r="E4328">
            <v>0</v>
          </cell>
          <cell r="F4328">
            <v>0</v>
          </cell>
          <cell r="H4328">
            <v>1</v>
          </cell>
          <cell r="O4328">
            <v>351713</v>
          </cell>
          <cell r="P4328"/>
          <cell r="Q4328" t="str">
            <v>EST ALMOFADA CLAMI 1 (PLUMA SINT) (1341-1 CINZA/CRU)</v>
          </cell>
          <cell r="R4328"/>
          <cell r="S4328"/>
          <cell r="T4328">
            <v>0.6</v>
          </cell>
          <cell r="U4328">
            <v>0.25</v>
          </cell>
          <cell r="V4328">
            <v>0.15</v>
          </cell>
          <cell r="W4328">
            <v>0</v>
          </cell>
          <cell r="X4328" t="str">
            <v>EST ALMOFADA CLAMI 1 (PLUMA SINT) (1341-1 CINZA/CRU) - 0,6x0,25x0,15H</v>
          </cell>
          <cell r="Y4328">
            <v>550.37</v>
          </cell>
          <cell r="Z4328">
            <v>0.5</v>
          </cell>
          <cell r="AA4328">
            <v>275.185</v>
          </cell>
          <cell r="AB4328"/>
        </row>
        <row r="4329">
          <cell r="C4329">
            <v>0</v>
          </cell>
          <cell r="D4329">
            <v>0</v>
          </cell>
          <cell r="E4329">
            <v>0</v>
          </cell>
          <cell r="F4329">
            <v>0</v>
          </cell>
          <cell r="H4329">
            <v>1</v>
          </cell>
          <cell r="O4329">
            <v>351715</v>
          </cell>
          <cell r="P4329"/>
          <cell r="Q4329" t="str">
            <v>EST ALMOFADA CLAMI 1 (PLUMA SINT) (MOHAVE CINZA/MARROM)</v>
          </cell>
          <cell r="R4329"/>
          <cell r="S4329"/>
          <cell r="T4329">
            <v>0.7</v>
          </cell>
          <cell r="U4329">
            <v>0.3</v>
          </cell>
          <cell r="V4329">
            <v>0.15</v>
          </cell>
          <cell r="W4329">
            <v>0</v>
          </cell>
          <cell r="X4329" t="str">
            <v>EST ALMOFADA CLAMI 1 (PLUMA SINT) (MOHAVE CINZA/MARROM) - 0,7x0,3x0,15H</v>
          </cell>
          <cell r="Y4329">
            <v>770.52</v>
          </cell>
          <cell r="Z4329">
            <v>0.5</v>
          </cell>
          <cell r="AA4329">
            <v>385.26</v>
          </cell>
          <cell r="AB4329"/>
        </row>
        <row r="4330">
          <cell r="C4330">
            <v>0</v>
          </cell>
          <cell r="D4330">
            <v>0</v>
          </cell>
          <cell r="E4330">
            <v>0</v>
          </cell>
          <cell r="F4330">
            <v>0</v>
          </cell>
          <cell r="H4330">
            <v>1</v>
          </cell>
          <cell r="O4330">
            <v>351716</v>
          </cell>
          <cell r="P4330"/>
          <cell r="Q4330" t="str">
            <v>EST ALMOFADA CLAMI 1 (PLUMA SINT) (MOHAVE CINZA/MARROM)</v>
          </cell>
          <cell r="R4330"/>
          <cell r="S4330"/>
          <cell r="T4330">
            <v>0.6</v>
          </cell>
          <cell r="U4330">
            <v>0.25</v>
          </cell>
          <cell r="V4330">
            <v>0.15</v>
          </cell>
          <cell r="W4330">
            <v>0</v>
          </cell>
          <cell r="X4330" t="str">
            <v>EST ALMOFADA CLAMI 1 (PLUMA SINT) (MOHAVE CINZA/MARROM) - 0,6x0,25x0,15H</v>
          </cell>
          <cell r="Y4330">
            <v>550.37</v>
          </cell>
          <cell r="Z4330">
            <v>0.5</v>
          </cell>
          <cell r="AA4330">
            <v>275.185</v>
          </cell>
          <cell r="AB4330"/>
        </row>
        <row r="4331">
          <cell r="C4331">
            <v>0</v>
          </cell>
          <cell r="D4331">
            <v>0</v>
          </cell>
          <cell r="E4331">
            <v>0</v>
          </cell>
          <cell r="F4331">
            <v>0</v>
          </cell>
          <cell r="H4331">
            <v>1</v>
          </cell>
          <cell r="O4331">
            <v>351717</v>
          </cell>
          <cell r="P4331"/>
          <cell r="Q4331" t="str">
            <v>EST ALMOFADA CLAMI 1 (PLUMA SINT) (MOHAVE CINZA/CINZA)</v>
          </cell>
          <cell r="R4331"/>
          <cell r="S4331"/>
          <cell r="T4331">
            <v>0.7</v>
          </cell>
          <cell r="U4331">
            <v>0.3</v>
          </cell>
          <cell r="V4331">
            <v>0.15</v>
          </cell>
          <cell r="W4331">
            <v>0</v>
          </cell>
          <cell r="X4331" t="str">
            <v>EST ALMOFADA CLAMI 1 (PLUMA SINT) (MOHAVE CINZA/CINZA) - 0,7x0,3x0,15H</v>
          </cell>
          <cell r="Y4331">
            <v>770.52</v>
          </cell>
          <cell r="Z4331">
            <v>0.5</v>
          </cell>
          <cell r="AA4331">
            <v>385.26</v>
          </cell>
          <cell r="AB4331"/>
        </row>
        <row r="4332">
          <cell r="C4332">
            <v>0</v>
          </cell>
          <cell r="D4332">
            <v>0</v>
          </cell>
          <cell r="E4332">
            <v>0</v>
          </cell>
          <cell r="F4332">
            <v>0</v>
          </cell>
          <cell r="H4332">
            <v>1</v>
          </cell>
          <cell r="O4332">
            <v>351718</v>
          </cell>
          <cell r="P4332"/>
          <cell r="Q4332" t="str">
            <v>EST ALMOFADA CLAMI 1 (PLUMA SINT) (MOHAVE CINZA/CINZA)</v>
          </cell>
          <cell r="R4332"/>
          <cell r="S4332"/>
          <cell r="T4332">
            <v>0.6</v>
          </cell>
          <cell r="U4332">
            <v>0.25</v>
          </cell>
          <cell r="V4332">
            <v>0.15</v>
          </cell>
          <cell r="W4332">
            <v>0</v>
          </cell>
          <cell r="X4332" t="str">
            <v>EST ALMOFADA CLAMI 1 (PLUMA SINT) (MOHAVE CINZA/CINZA) - 0,6x0,25x0,15H</v>
          </cell>
          <cell r="Y4332">
            <v>550.37</v>
          </cell>
          <cell r="Z4332">
            <v>0.5</v>
          </cell>
          <cell r="AA4332">
            <v>275.185</v>
          </cell>
          <cell r="AB4332"/>
        </row>
        <row r="4333">
          <cell r="C4333">
            <v>0</v>
          </cell>
          <cell r="D4333">
            <v>0</v>
          </cell>
          <cell r="E4333">
            <v>0</v>
          </cell>
          <cell r="F4333">
            <v>0</v>
          </cell>
          <cell r="H4333">
            <v>2</v>
          </cell>
          <cell r="O4333">
            <v>351722</v>
          </cell>
          <cell r="P4333"/>
          <cell r="Q4333" t="str">
            <v>EST ALMOFADA CLAMI 1 (PLUMA SINT) (MAQUINETADO CRU/PRETO)</v>
          </cell>
          <cell r="R4333"/>
          <cell r="S4333"/>
          <cell r="T4333">
            <v>0.4</v>
          </cell>
          <cell r="U4333">
            <v>0.3</v>
          </cell>
          <cell r="V4333">
            <v>0.15</v>
          </cell>
          <cell r="W4333">
            <v>0</v>
          </cell>
          <cell r="X4333" t="str">
            <v>EST ALMOFADA CLAMI 1 (PLUMA SINT) (MAQUINETADO CRU/PRETO) - 0,4x0,3x0,15H</v>
          </cell>
          <cell r="Y4333">
            <v>440.29</v>
          </cell>
          <cell r="Z4333">
            <v>0.5</v>
          </cell>
          <cell r="AA4333">
            <v>220.14500000000001</v>
          </cell>
          <cell r="AB4333"/>
        </row>
        <row r="4334">
          <cell r="C4334">
            <v>0</v>
          </cell>
          <cell r="D4334">
            <v>0</v>
          </cell>
          <cell r="E4334">
            <v>0</v>
          </cell>
          <cell r="F4334">
            <v>0</v>
          </cell>
          <cell r="H4334">
            <v>2</v>
          </cell>
          <cell r="O4334">
            <v>351724</v>
          </cell>
          <cell r="P4334"/>
          <cell r="Q4334" t="str">
            <v>EST ALMOFADA CLAMI 2 (PLUMA SINT) (MAQUINETADO CRU/PRETO)</v>
          </cell>
          <cell r="R4334"/>
          <cell r="S4334"/>
          <cell r="T4334">
            <v>0.6</v>
          </cell>
          <cell r="U4334">
            <v>0.25</v>
          </cell>
          <cell r="V4334">
            <v>0.15</v>
          </cell>
          <cell r="W4334">
            <v>0</v>
          </cell>
          <cell r="X4334" t="str">
            <v>EST ALMOFADA CLAMI 2 (PLUMA SINT) (MAQUINETADO CRU/PRETO) - 0,6x0,25x0,15H</v>
          </cell>
          <cell r="Y4334">
            <v>550.37</v>
          </cell>
          <cell r="Z4334">
            <v>0.5</v>
          </cell>
          <cell r="AA4334">
            <v>275.185</v>
          </cell>
          <cell r="AB4334"/>
        </row>
        <row r="4335">
          <cell r="C4335">
            <v>0</v>
          </cell>
          <cell r="D4335">
            <v>0</v>
          </cell>
          <cell r="E4335">
            <v>0</v>
          </cell>
          <cell r="F4335">
            <v>1</v>
          </cell>
          <cell r="H4335">
            <v>1</v>
          </cell>
          <cell r="O4335">
            <v>351725</v>
          </cell>
          <cell r="P4335"/>
          <cell r="Q4335" t="str">
            <v>EST ALMOFADA CLAMI 2 (PLUMA SINT) (MAQUINETADO CRU/PRETO)</v>
          </cell>
          <cell r="R4335"/>
          <cell r="S4335"/>
          <cell r="T4335">
            <v>0.5</v>
          </cell>
          <cell r="U4335">
            <v>0.35</v>
          </cell>
          <cell r="V4335">
            <v>0.15</v>
          </cell>
          <cell r="W4335">
            <v>0</v>
          </cell>
          <cell r="X4335" t="str">
            <v>EST ALMOFADA CLAMI 2 (PLUMA SINT) (MAQUINETADO CRU/PRETO) - 0,5x0,35x0,15H</v>
          </cell>
          <cell r="Y4335">
            <v>642.12</v>
          </cell>
          <cell r="Z4335">
            <v>0.5</v>
          </cell>
          <cell r="AA4335">
            <v>321.06</v>
          </cell>
          <cell r="AB4335"/>
        </row>
        <row r="4336">
          <cell r="C4336">
            <v>0</v>
          </cell>
          <cell r="D4336">
            <v>2</v>
          </cell>
          <cell r="E4336">
            <v>0</v>
          </cell>
          <cell r="F4336">
            <v>0</v>
          </cell>
          <cell r="H4336">
            <v>0</v>
          </cell>
          <cell r="O4336">
            <v>351726</v>
          </cell>
          <cell r="P4336"/>
          <cell r="Q4336" t="str">
            <v>EST ALMOFADA CLAMI 2 (PLUMA SINT) (MAQUINETADO CRU/PRETO)</v>
          </cell>
          <cell r="R4336"/>
          <cell r="S4336"/>
          <cell r="T4336">
            <v>0.4</v>
          </cell>
          <cell r="U4336">
            <v>0.3</v>
          </cell>
          <cell r="V4336">
            <v>0.15</v>
          </cell>
          <cell r="W4336">
            <v>0</v>
          </cell>
          <cell r="X4336" t="str">
            <v>EST ALMOFADA CLAMI 2 (PLUMA SINT) (MAQUINETADO CRU/PRETO) - 0,4x0,3x0,15H</v>
          </cell>
          <cell r="Y4336">
            <v>440.29</v>
          </cell>
          <cell r="Z4336">
            <v>0.5</v>
          </cell>
          <cell r="AA4336">
            <v>220.14500000000001</v>
          </cell>
          <cell r="AB4336"/>
        </row>
        <row r="4337">
          <cell r="C4337">
            <v>0</v>
          </cell>
          <cell r="D4337">
            <v>0</v>
          </cell>
          <cell r="E4337">
            <v>0</v>
          </cell>
          <cell r="F4337">
            <v>0</v>
          </cell>
          <cell r="H4337">
            <v>1</v>
          </cell>
          <cell r="O4337">
            <v>353120</v>
          </cell>
          <cell r="P4337" t="str">
            <v>2022/266-0031-01</v>
          </cell>
          <cell r="Q4337" t="str">
            <v>EST POLTRONA PIAF FX E5118 (MTX PRETO)</v>
          </cell>
          <cell r="R4337"/>
          <cell r="S4337"/>
          <cell r="T4337">
            <v>0.75</v>
          </cell>
          <cell r="U4337">
            <v>0.74</v>
          </cell>
          <cell r="V4337">
            <v>0.75</v>
          </cell>
          <cell r="W4337">
            <v>0</v>
          </cell>
          <cell r="X4337" t="str">
            <v>EST POLTRONA PIAF FX E5118 (MTX PRETO) - 0,75x0,74x0,75H</v>
          </cell>
          <cell r="Y4337">
            <v>8576.51</v>
          </cell>
          <cell r="Z4337">
            <v>0.5</v>
          </cell>
          <cell r="AA4337">
            <v>4288.2550000000001</v>
          </cell>
          <cell r="AB4337"/>
        </row>
        <row r="4338">
          <cell r="C4338">
            <v>0</v>
          </cell>
          <cell r="D4338">
            <v>0</v>
          </cell>
          <cell r="E4338">
            <v>0</v>
          </cell>
          <cell r="F4338">
            <v>0</v>
          </cell>
          <cell r="H4338">
            <v>1</v>
          </cell>
          <cell r="O4338">
            <v>353120</v>
          </cell>
          <cell r="P4338" t="str">
            <v>2022/266-0032-01</v>
          </cell>
          <cell r="Q4338" t="str">
            <v>EST POLTRONA PIAF FX E5118 (MTX PRETO)</v>
          </cell>
          <cell r="R4338"/>
          <cell r="S4338"/>
          <cell r="T4338">
            <v>0.75</v>
          </cell>
          <cell r="U4338">
            <v>0.74</v>
          </cell>
          <cell r="V4338">
            <v>0.75</v>
          </cell>
          <cell r="W4338">
            <v>0</v>
          </cell>
          <cell r="X4338" t="str">
            <v>EST POLTRONA PIAF FX E5118 (MTX PRETO) - 0,75x0,74x0,75H</v>
          </cell>
          <cell r="Y4338">
            <v>8576.51</v>
          </cell>
          <cell r="Z4338">
            <v>0.5</v>
          </cell>
          <cell r="AA4338">
            <v>4288.2550000000001</v>
          </cell>
          <cell r="AB4338"/>
        </row>
        <row r="4339">
          <cell r="C4339">
            <v>0</v>
          </cell>
          <cell r="D4339">
            <v>0</v>
          </cell>
          <cell r="E4339">
            <v>0</v>
          </cell>
          <cell r="F4339">
            <v>0</v>
          </cell>
          <cell r="H4339">
            <v>1</v>
          </cell>
          <cell r="O4339">
            <v>353142</v>
          </cell>
          <cell r="P4339" t="str">
            <v>2022/262-0058-01</v>
          </cell>
          <cell r="Q4339" t="str">
            <v>EST MODULO PUFF CANTO TARANTO TC B2206/VRNZ EBNZ</v>
          </cell>
          <cell r="R4339"/>
          <cell r="S4339"/>
          <cell r="T4339">
            <v>1</v>
          </cell>
          <cell r="U4339">
            <v>1</v>
          </cell>
          <cell r="V4339">
            <v>0.52</v>
          </cell>
          <cell r="W4339">
            <v>0</v>
          </cell>
          <cell r="X4339" t="str">
            <v>EST MODULO PUFF CANTO TARANTO TC B2206/VRNZ EBNZ - 1x1x0,52H</v>
          </cell>
          <cell r="Y4339">
            <v>10515.32</v>
          </cell>
          <cell r="Z4339">
            <v>0.5</v>
          </cell>
          <cell r="AA4339">
            <v>5257.66</v>
          </cell>
          <cell r="AB4339"/>
        </row>
        <row r="4340">
          <cell r="C4340">
            <v>0</v>
          </cell>
          <cell r="D4340">
            <v>1</v>
          </cell>
          <cell r="E4340">
            <v>0</v>
          </cell>
          <cell r="F4340">
            <v>0</v>
          </cell>
          <cell r="H4340">
            <v>2</v>
          </cell>
          <cell r="O4340">
            <v>354570</v>
          </cell>
          <cell r="P4340" t="str">
            <v>2022/245-0018-01</v>
          </cell>
          <cell r="Q4340" t="str">
            <v>EST TAPETE MATISSE WAVES ROUND 2 (LAT) (10MM) F:1280/D:73</v>
          </cell>
          <cell r="R4340"/>
          <cell r="S4340"/>
          <cell r="T4340">
            <v>3</v>
          </cell>
          <cell r="U4340">
            <v>0</v>
          </cell>
          <cell r="V4340">
            <v>0.01</v>
          </cell>
          <cell r="W4340">
            <v>3</v>
          </cell>
          <cell r="X4340" t="str">
            <v>EST TAPETE MATISSE WAVES ROUND 2 (LAT) (10MM) F:1280/D:73 - Ø3x0,01H</v>
          </cell>
          <cell r="Y4340">
            <v>26046.720000000001</v>
          </cell>
          <cell r="Z4340">
            <v>0.5</v>
          </cell>
          <cell r="AA4340">
            <v>13023.36</v>
          </cell>
          <cell r="AB4340"/>
        </row>
        <row r="4341">
          <cell r="C4341">
            <v>0</v>
          </cell>
          <cell r="D4341">
            <v>1</v>
          </cell>
          <cell r="E4341">
            <v>0</v>
          </cell>
          <cell r="F4341">
            <v>0</v>
          </cell>
          <cell r="H4341">
            <v>2</v>
          </cell>
          <cell r="O4341">
            <v>354570</v>
          </cell>
          <cell r="P4341" t="str">
            <v>2022/245-0017-01</v>
          </cell>
          <cell r="Q4341" t="str">
            <v>EST TAPETE MATISSE WAVES ROUND 2 (LAT) (10MM) F:1280/D:73</v>
          </cell>
          <cell r="R4341"/>
          <cell r="S4341"/>
          <cell r="T4341">
            <v>3</v>
          </cell>
          <cell r="U4341">
            <v>0</v>
          </cell>
          <cell r="V4341">
            <v>0.01</v>
          </cell>
          <cell r="W4341">
            <v>3</v>
          </cell>
          <cell r="X4341" t="str">
            <v>EST TAPETE MATISSE WAVES ROUND 2 (LAT) (10MM) F:1280/D:73 - Ø3x0,01H</v>
          </cell>
          <cell r="Y4341">
            <v>26046.720000000001</v>
          </cell>
          <cell r="Z4341">
            <v>0.5</v>
          </cell>
          <cell r="AA4341">
            <v>13023.36</v>
          </cell>
          <cell r="AB4341"/>
        </row>
        <row r="4342">
          <cell r="C4342">
            <v>0</v>
          </cell>
          <cell r="D4342">
            <v>0</v>
          </cell>
          <cell r="E4342">
            <v>0</v>
          </cell>
          <cell r="F4342">
            <v>0</v>
          </cell>
          <cell r="H4342">
            <v>1</v>
          </cell>
          <cell r="O4342">
            <v>354853</v>
          </cell>
          <cell r="P4342" t="str">
            <v>2022/3230-003-01</v>
          </cell>
          <cell r="Q4342" t="str">
            <v>EST MODULO PUFF CANTO 90 LENCOIS M (RVST) (COURO CH 32)</v>
          </cell>
          <cell r="R4342"/>
          <cell r="S4342"/>
          <cell r="T4342">
            <v>1</v>
          </cell>
          <cell r="U4342">
            <v>1</v>
          </cell>
          <cell r="V4342">
            <v>0.38</v>
          </cell>
          <cell r="W4342">
            <v>0</v>
          </cell>
          <cell r="X4342" t="str">
            <v>EST MODULO PUFF CANTO 90 LENCOIS M (RVST) (COURO CH 32) - 1x1x0,38H</v>
          </cell>
          <cell r="Y4342">
            <v>11660.1</v>
          </cell>
          <cell r="Z4342">
            <v>0.5</v>
          </cell>
          <cell r="AA4342">
            <v>5830.05</v>
          </cell>
          <cell r="AB4342"/>
        </row>
        <row r="4343">
          <cell r="C4343">
            <v>0</v>
          </cell>
          <cell r="D4343">
            <v>0</v>
          </cell>
          <cell r="E4343">
            <v>0</v>
          </cell>
          <cell r="F4343">
            <v>0</v>
          </cell>
          <cell r="H4343">
            <v>1</v>
          </cell>
          <cell r="O4343">
            <v>354854</v>
          </cell>
          <cell r="P4343" t="str">
            <v>2022/3230-004-01</v>
          </cell>
          <cell r="Q4343" t="str">
            <v>EST MODULO ENCOSTO RETO LENCOIS M (LISO) (COURO CH 32)</v>
          </cell>
          <cell r="R4343"/>
          <cell r="S4343"/>
          <cell r="T4343">
            <v>0.7</v>
          </cell>
          <cell r="U4343">
            <v>0.26</v>
          </cell>
          <cell r="V4343">
            <v>0.26</v>
          </cell>
          <cell r="W4343">
            <v>0</v>
          </cell>
          <cell r="X4343" t="str">
            <v>EST MODULO ENCOSTO RETO LENCOIS M (LISO) (COURO CH 32) - 0,7x0,26x0,26H</v>
          </cell>
          <cell r="Y4343">
            <v>5006.5300000000007</v>
          </cell>
          <cell r="Z4343">
            <v>0.5</v>
          </cell>
          <cell r="AA4343">
            <v>2503.2650000000003</v>
          </cell>
          <cell r="AB4343"/>
        </row>
        <row r="4344">
          <cell r="C4344">
            <v>1</v>
          </cell>
          <cell r="D4344">
            <v>0</v>
          </cell>
          <cell r="E4344">
            <v>0</v>
          </cell>
          <cell r="F4344">
            <v>0</v>
          </cell>
          <cell r="H4344">
            <v>0</v>
          </cell>
          <cell r="O4344">
            <v>357130</v>
          </cell>
          <cell r="P4344" t="str">
            <v>2022/342-0057-01</v>
          </cell>
          <cell r="Q4344" t="str">
            <v>EST ESCRIVANINHA REGIA (LAMINA 2 NOGUEIRA)</v>
          </cell>
          <cell r="R4344"/>
          <cell r="S4344"/>
          <cell r="T4344">
            <v>1.8</v>
          </cell>
          <cell r="U4344">
            <v>0.7</v>
          </cell>
          <cell r="V4344">
            <v>0.75</v>
          </cell>
          <cell r="W4344">
            <v>0</v>
          </cell>
          <cell r="X4344" t="str">
            <v>EST ESCRIVANINHA REGIA (LAMINA 2 NOGUEIRA) - 1,8x0,7x0,75H</v>
          </cell>
          <cell r="Y4344">
            <v>32360.52</v>
          </cell>
          <cell r="Z4344">
            <v>0.5</v>
          </cell>
          <cell r="AA4344">
            <v>16180.26</v>
          </cell>
          <cell r="AB4344"/>
        </row>
        <row r="4345">
          <cell r="C4345">
            <v>0</v>
          </cell>
          <cell r="D4345">
            <v>0</v>
          </cell>
          <cell r="E4345">
            <v>0</v>
          </cell>
          <cell r="F4345">
            <v>0</v>
          </cell>
          <cell r="H4345">
            <v>0</v>
          </cell>
          <cell r="O4345">
            <v>357397</v>
          </cell>
          <cell r="P4345" t="str">
            <v>2022/329-0009-01</v>
          </cell>
          <cell r="Q4345" t="str">
            <v>EST POLTRONA AGHATA PLUS (GIRATORI) (MTX PRETO) FX D4220</v>
          </cell>
          <cell r="R4345"/>
          <cell r="S4345"/>
          <cell r="T4345">
            <v>0.68</v>
          </cell>
          <cell r="U4345">
            <v>0.8</v>
          </cell>
          <cell r="V4345">
            <v>0.76</v>
          </cell>
          <cell r="W4345">
            <v>0</v>
          </cell>
          <cell r="X4345" t="str">
            <v>EST POLTRONA AGHATA PLUS (GIRATORI) (MTX PRETO) FX D4220 - 0,68x0,8x0,76H</v>
          </cell>
          <cell r="Y4345">
            <v>10061.719999999999</v>
          </cell>
          <cell r="Z4345">
            <v>0.5</v>
          </cell>
          <cell r="AA4345">
            <v>5030.8599999999997</v>
          </cell>
          <cell r="AB4345"/>
        </row>
        <row r="4346">
          <cell r="C4346">
            <v>1</v>
          </cell>
          <cell r="D4346">
            <v>0</v>
          </cell>
          <cell r="E4346">
            <v>0</v>
          </cell>
          <cell r="F4346">
            <v>1</v>
          </cell>
          <cell r="H4346">
            <v>1</v>
          </cell>
          <cell r="O4346">
            <v>361311</v>
          </cell>
          <cell r="P4346" t="str">
            <v>2023/033-0002-01</v>
          </cell>
          <cell r="Q4346" t="str">
            <v>EST ACESSORIO VYS (MARMORE ROSA PARANA)</v>
          </cell>
          <cell r="R4346"/>
          <cell r="S4346"/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 t="str">
            <v>EST ACESSORIO VYS (MARMORE ROSA PARANA) - Ø0x0H</v>
          </cell>
          <cell r="Y4346">
            <v>3537.18</v>
          </cell>
          <cell r="Z4346">
            <v>0.5</v>
          </cell>
          <cell r="AA4346">
            <v>1768.59</v>
          </cell>
          <cell r="AB4346"/>
        </row>
        <row r="4347">
          <cell r="C4347">
            <v>0</v>
          </cell>
          <cell r="D4347">
            <v>0</v>
          </cell>
          <cell r="E4347">
            <v>0</v>
          </cell>
          <cell r="F4347">
            <v>0</v>
          </cell>
          <cell r="H4347">
            <v>1</v>
          </cell>
          <cell r="O4347">
            <v>361332</v>
          </cell>
          <cell r="P4347" t="str">
            <v>2023/039-0008-01</v>
          </cell>
          <cell r="Q4347" t="str">
            <v>EST MESA CENTRO CACAU (BAND MARM 5 SCARLAT) (MTZ MARROM COB)</v>
          </cell>
          <cell r="R4347"/>
          <cell r="S4347"/>
          <cell r="T4347">
            <v>1.3</v>
          </cell>
          <cell r="U4347">
            <v>0.8</v>
          </cell>
          <cell r="V4347">
            <v>0.3</v>
          </cell>
          <cell r="W4347">
            <v>0</v>
          </cell>
          <cell r="X4347" t="str">
            <v>EST MESA CENTRO CACAU (BAND MARM 5 SCARLAT) (MTZ MARROM COB) - 1,3x0,8x0,3H</v>
          </cell>
          <cell r="Y4347">
            <v>38764.36</v>
          </cell>
          <cell r="Z4347">
            <v>0.5</v>
          </cell>
          <cell r="AA4347">
            <v>19382.18</v>
          </cell>
          <cell r="AB4347"/>
        </row>
        <row r="4348">
          <cell r="C4348">
            <v>0</v>
          </cell>
          <cell r="D4348">
            <v>0</v>
          </cell>
          <cell r="E4348">
            <v>0</v>
          </cell>
          <cell r="F4348">
            <v>0</v>
          </cell>
          <cell r="H4348">
            <v>1</v>
          </cell>
          <cell r="O4348">
            <v>361893</v>
          </cell>
          <cell r="P4348" t="str">
            <v>2022/343-0036-01</v>
          </cell>
          <cell r="Q4348" t="str">
            <v>EST PUFF ALCALA (DET CENTRAL VERNIZ JEQ NATURAL) FX G7128</v>
          </cell>
          <cell r="R4348"/>
          <cell r="S4348"/>
          <cell r="T4348">
            <v>0.42</v>
          </cell>
          <cell r="U4348">
            <v>0</v>
          </cell>
          <cell r="V4348">
            <v>0.45</v>
          </cell>
          <cell r="W4348">
            <v>0.42</v>
          </cell>
          <cell r="X4348" t="str">
            <v>EST PUFF ALCALA (DET CENTRAL VERNIZ JEQ NATURAL) FX G7128 - Ø0,42x0,45H</v>
          </cell>
          <cell r="Y4348">
            <v>8193.4500000000007</v>
          </cell>
          <cell r="Z4348">
            <v>0.5</v>
          </cell>
          <cell r="AA4348">
            <v>4096.7250000000004</v>
          </cell>
          <cell r="AB4348"/>
        </row>
        <row r="4349">
          <cell r="C4349">
            <v>6</v>
          </cell>
          <cell r="D4349">
            <v>1</v>
          </cell>
          <cell r="E4349">
            <v>0</v>
          </cell>
          <cell r="F4349">
            <v>0</v>
          </cell>
          <cell r="H4349">
            <v>3</v>
          </cell>
          <cell r="O4349">
            <v>362675</v>
          </cell>
          <cell r="P4349" t="str">
            <v>2023/115-0080-01</v>
          </cell>
          <cell r="Q4349" t="str">
            <v>EST CADEIRA CLARA C/BRACO (JEQ NOG) (MISTA) (C2 CARAMELO)</v>
          </cell>
          <cell r="R4349"/>
          <cell r="S4349"/>
          <cell r="T4349">
            <v>0.61</v>
          </cell>
          <cell r="U4349">
            <v>0.55000000000000004</v>
          </cell>
          <cell r="V4349">
            <v>0.86</v>
          </cell>
          <cell r="W4349">
            <v>0</v>
          </cell>
          <cell r="X4349" t="str">
            <v>EST CADEIRA CLARA C/BRACO (JEQ NOG) (MISTA) (C2 CARAMELO) - 0,61x0,55x0,86H</v>
          </cell>
          <cell r="Y4349">
            <v>9303.6200000000008</v>
          </cell>
          <cell r="Z4349">
            <v>0.5</v>
          </cell>
          <cell r="AA4349">
            <v>4651.8100000000004</v>
          </cell>
          <cell r="AB4349"/>
        </row>
        <row r="4350">
          <cell r="C4350">
            <v>6</v>
          </cell>
          <cell r="D4350">
            <v>1</v>
          </cell>
          <cell r="E4350">
            <v>0</v>
          </cell>
          <cell r="F4350">
            <v>0</v>
          </cell>
          <cell r="H4350">
            <v>3</v>
          </cell>
          <cell r="O4350">
            <v>362675</v>
          </cell>
          <cell r="P4350" t="str">
            <v>2023/115-0083-01</v>
          </cell>
          <cell r="Q4350" t="str">
            <v>EST CADEIRA CLARA C/BRACO (JEQ NOG) (MISTA) (C2 CARAMELO)</v>
          </cell>
          <cell r="R4350"/>
          <cell r="S4350"/>
          <cell r="T4350">
            <v>0.61</v>
          </cell>
          <cell r="U4350">
            <v>0.55000000000000004</v>
          </cell>
          <cell r="V4350">
            <v>0.86</v>
          </cell>
          <cell r="W4350">
            <v>0</v>
          </cell>
          <cell r="X4350" t="str">
            <v>EST CADEIRA CLARA C/BRACO (JEQ NOG) (MISTA) (C2 CARAMELO) - 0,61x0,55x0,86H</v>
          </cell>
          <cell r="Y4350">
            <v>9303.6200000000008</v>
          </cell>
          <cell r="Z4350">
            <v>0.5</v>
          </cell>
          <cell r="AA4350">
            <v>4651.8100000000004</v>
          </cell>
          <cell r="AB4350"/>
        </row>
        <row r="4351">
          <cell r="C4351">
            <v>6</v>
          </cell>
          <cell r="D4351">
            <v>1</v>
          </cell>
          <cell r="E4351">
            <v>0</v>
          </cell>
          <cell r="F4351">
            <v>0</v>
          </cell>
          <cell r="H4351">
            <v>3</v>
          </cell>
          <cell r="O4351">
            <v>362675</v>
          </cell>
          <cell r="P4351" t="str">
            <v>2023/115-0077-01</v>
          </cell>
          <cell r="Q4351" t="str">
            <v>EST CADEIRA CLARA C/BRACO (JEQ NOG) (MISTA) (C2 CARAMELO)</v>
          </cell>
          <cell r="R4351"/>
          <cell r="S4351"/>
          <cell r="T4351">
            <v>0.61</v>
          </cell>
          <cell r="U4351">
            <v>0.55000000000000004</v>
          </cell>
          <cell r="V4351">
            <v>0.86</v>
          </cell>
          <cell r="W4351">
            <v>0</v>
          </cell>
          <cell r="X4351" t="str">
            <v>EST CADEIRA CLARA C/BRACO (JEQ NOG) (MISTA) (C2 CARAMELO) - 0,61x0,55x0,86H</v>
          </cell>
          <cell r="Y4351">
            <v>9303.6200000000008</v>
          </cell>
          <cell r="Z4351">
            <v>0.5</v>
          </cell>
          <cell r="AA4351">
            <v>4651.8100000000004</v>
          </cell>
          <cell r="AB4351"/>
        </row>
        <row r="4352">
          <cell r="C4352">
            <v>0</v>
          </cell>
          <cell r="D4352">
            <v>0</v>
          </cell>
          <cell r="E4352">
            <v>0</v>
          </cell>
          <cell r="F4352">
            <v>0</v>
          </cell>
          <cell r="H4352">
            <v>1</v>
          </cell>
          <cell r="O4352">
            <v>363831</v>
          </cell>
          <cell r="P4352" t="str">
            <v>2023/124-0005-01</v>
          </cell>
          <cell r="Q4352" t="str">
            <v>EST PUFF POMME TC TARENTO 12</v>
          </cell>
          <cell r="R4352"/>
          <cell r="S4352"/>
          <cell r="T4352">
            <v>1</v>
          </cell>
          <cell r="U4352">
            <v>1</v>
          </cell>
          <cell r="V4352">
            <v>0.4</v>
          </cell>
          <cell r="W4352">
            <v>0</v>
          </cell>
          <cell r="X4352" t="str">
            <v>EST PUFF POMME TC TARENTO 12 - 1x1x0,4H</v>
          </cell>
          <cell r="Y4352">
            <v>17159.580000000002</v>
          </cell>
          <cell r="Z4352">
            <v>0.5</v>
          </cell>
          <cell r="AA4352">
            <v>8579.7900000000009</v>
          </cell>
          <cell r="AB4352"/>
        </row>
        <row r="4353">
          <cell r="C4353">
            <v>0</v>
          </cell>
          <cell r="D4353">
            <v>2</v>
          </cell>
          <cell r="E4353">
            <v>0</v>
          </cell>
          <cell r="F4353">
            <v>0</v>
          </cell>
          <cell r="H4353">
            <v>0</v>
          </cell>
          <cell r="O4353">
            <v>363832</v>
          </cell>
          <cell r="P4353" t="str">
            <v>2023/123-0072-01</v>
          </cell>
          <cell r="Q4353" t="str">
            <v>EST ALMOFADA DECORATIVA (F 39) FX G7133</v>
          </cell>
          <cell r="R4353"/>
          <cell r="S4353"/>
          <cell r="T4353">
            <v>0.6</v>
          </cell>
          <cell r="U4353">
            <v>0.6</v>
          </cell>
          <cell r="V4353">
            <v>0</v>
          </cell>
          <cell r="W4353">
            <v>0</v>
          </cell>
          <cell r="X4353" t="str">
            <v>EST ALMOFADA DECORATIVA (F 39) FX G7133 - 0,6x0,6x0H</v>
          </cell>
          <cell r="Y4353">
            <v>1486.8395999999998</v>
          </cell>
          <cell r="Z4353">
            <v>0.5</v>
          </cell>
          <cell r="AA4353">
            <v>743.4197999999999</v>
          </cell>
          <cell r="AB4353"/>
        </row>
        <row r="4354">
          <cell r="C4354">
            <v>0</v>
          </cell>
          <cell r="D4354">
            <v>2</v>
          </cell>
          <cell r="E4354">
            <v>0</v>
          </cell>
          <cell r="F4354">
            <v>0</v>
          </cell>
          <cell r="H4354">
            <v>0</v>
          </cell>
          <cell r="O4354">
            <v>363832</v>
          </cell>
          <cell r="P4354" t="str">
            <v>2023/123-0073-01</v>
          </cell>
          <cell r="Q4354" t="str">
            <v>EST ALMOFADA DECORATIVA (F 39) FX G7133</v>
          </cell>
          <cell r="R4354"/>
          <cell r="S4354"/>
          <cell r="T4354">
            <v>0.6</v>
          </cell>
          <cell r="U4354">
            <v>0.6</v>
          </cell>
          <cell r="V4354">
            <v>0</v>
          </cell>
          <cell r="W4354">
            <v>0</v>
          </cell>
          <cell r="X4354" t="str">
            <v>EST ALMOFADA DECORATIVA (F 39) FX G7133 - 0,6x0,6x0H</v>
          </cell>
          <cell r="Y4354">
            <v>1486.8395999999998</v>
          </cell>
          <cell r="Z4354">
            <v>0.5</v>
          </cell>
          <cell r="AA4354">
            <v>743.4197999999999</v>
          </cell>
          <cell r="AB4354"/>
        </row>
        <row r="4355">
          <cell r="C4355">
            <v>3</v>
          </cell>
          <cell r="D4355">
            <v>0</v>
          </cell>
          <cell r="E4355">
            <v>0</v>
          </cell>
          <cell r="F4355">
            <v>0</v>
          </cell>
          <cell r="H4355">
            <v>5</v>
          </cell>
          <cell r="O4355">
            <v>363833</v>
          </cell>
          <cell r="P4355" t="str">
            <v>2023/123-0098-01</v>
          </cell>
          <cell r="Q4355" t="str">
            <v>EST ALMOFADA DECORATIVA (F 39) TC TARENTO 12</v>
          </cell>
          <cell r="R4355"/>
          <cell r="S4355"/>
          <cell r="T4355">
            <v>0.6</v>
          </cell>
          <cell r="U4355">
            <v>0.6</v>
          </cell>
          <cell r="V4355">
            <v>0</v>
          </cell>
          <cell r="W4355">
            <v>0</v>
          </cell>
          <cell r="X4355" t="str">
            <v>EST ALMOFADA DECORATIVA (F 39) TC TARENTO 12 - 0,6x0,6x0H</v>
          </cell>
          <cell r="Y4355">
            <v>1229.98</v>
          </cell>
          <cell r="Z4355">
            <v>0.35</v>
          </cell>
          <cell r="AA4355">
            <v>799.48700000000008</v>
          </cell>
          <cell r="AB4355"/>
        </row>
        <row r="4356">
          <cell r="C4356">
            <v>3</v>
          </cell>
          <cell r="D4356">
            <v>0</v>
          </cell>
          <cell r="E4356">
            <v>0</v>
          </cell>
          <cell r="F4356">
            <v>0</v>
          </cell>
          <cell r="H4356">
            <v>5</v>
          </cell>
          <cell r="O4356">
            <v>363833</v>
          </cell>
          <cell r="P4356" t="str">
            <v>2023/123-0099-01</v>
          </cell>
          <cell r="Q4356" t="str">
            <v>EST ALMOFADA DECORATIVA (F 39) TC TARENTO 12</v>
          </cell>
          <cell r="R4356"/>
          <cell r="S4356"/>
          <cell r="T4356">
            <v>0.6</v>
          </cell>
          <cell r="U4356">
            <v>0.6</v>
          </cell>
          <cell r="V4356">
            <v>0</v>
          </cell>
          <cell r="W4356">
            <v>0</v>
          </cell>
          <cell r="X4356" t="str">
            <v>EST ALMOFADA DECORATIVA (F 39) TC TARENTO 12 - 0,6x0,6x0H</v>
          </cell>
          <cell r="Y4356">
            <v>1229.98</v>
          </cell>
          <cell r="Z4356">
            <v>0.5</v>
          </cell>
          <cell r="AA4356">
            <v>614.99</v>
          </cell>
          <cell r="AB4356"/>
        </row>
        <row r="4357">
          <cell r="C4357">
            <v>3</v>
          </cell>
          <cell r="D4357">
            <v>0</v>
          </cell>
          <cell r="E4357">
            <v>0</v>
          </cell>
          <cell r="F4357">
            <v>0</v>
          </cell>
          <cell r="H4357">
            <v>5</v>
          </cell>
          <cell r="O4357">
            <v>363833</v>
          </cell>
          <cell r="P4357" t="str">
            <v>2023/123-0101-01</v>
          </cell>
          <cell r="Q4357" t="str">
            <v>EST ALMOFADA DECORATIVA (F 39) TC TARENTO 12</v>
          </cell>
          <cell r="R4357"/>
          <cell r="S4357"/>
          <cell r="T4357">
            <v>0.6</v>
          </cell>
          <cell r="U4357">
            <v>0.6</v>
          </cell>
          <cell r="V4357">
            <v>0</v>
          </cell>
          <cell r="W4357">
            <v>0</v>
          </cell>
          <cell r="X4357" t="str">
            <v>EST ALMOFADA DECORATIVA (F 39) TC TARENTO 12 - 0,6x0,6x0H</v>
          </cell>
          <cell r="Y4357">
            <v>1229.98</v>
          </cell>
          <cell r="Z4357">
            <v>0.5</v>
          </cell>
          <cell r="AA4357">
            <v>614.99</v>
          </cell>
          <cell r="AB4357"/>
        </row>
        <row r="4358">
          <cell r="C4358">
            <v>3</v>
          </cell>
          <cell r="D4358">
            <v>0</v>
          </cell>
          <cell r="E4358">
            <v>0</v>
          </cell>
          <cell r="F4358">
            <v>0</v>
          </cell>
          <cell r="H4358">
            <v>5</v>
          </cell>
          <cell r="O4358">
            <v>363833</v>
          </cell>
          <cell r="P4358" t="str">
            <v>2023/123-0102-01</v>
          </cell>
          <cell r="Q4358" t="str">
            <v>EST ALMOFADA DECORATIVA (F 39) TC TARENTO 12</v>
          </cell>
          <cell r="R4358"/>
          <cell r="S4358"/>
          <cell r="T4358">
            <v>0.6</v>
          </cell>
          <cell r="U4358">
            <v>0.6</v>
          </cell>
          <cell r="V4358">
            <v>0</v>
          </cell>
          <cell r="W4358">
            <v>0</v>
          </cell>
          <cell r="X4358" t="str">
            <v>EST ALMOFADA DECORATIVA (F 39) TC TARENTO 12 - 0,6x0,6x0H</v>
          </cell>
          <cell r="Y4358">
            <v>1229.98</v>
          </cell>
          <cell r="Z4358">
            <v>0.5</v>
          </cell>
          <cell r="AA4358">
            <v>614.99</v>
          </cell>
          <cell r="AB4358"/>
        </row>
        <row r="4359">
          <cell r="C4359">
            <v>3</v>
          </cell>
          <cell r="D4359">
            <v>0</v>
          </cell>
          <cell r="E4359">
            <v>0</v>
          </cell>
          <cell r="F4359">
            <v>0</v>
          </cell>
          <cell r="H4359">
            <v>5</v>
          </cell>
          <cell r="O4359">
            <v>363833</v>
          </cell>
          <cell r="P4359" t="str">
            <v>2023/123-0104-01</v>
          </cell>
          <cell r="Q4359" t="str">
            <v>EST ALMOFADA DECORATIVA (F 39) TC TARENTO 12</v>
          </cell>
          <cell r="R4359"/>
          <cell r="S4359"/>
          <cell r="T4359">
            <v>0.6</v>
          </cell>
          <cell r="U4359">
            <v>0.6</v>
          </cell>
          <cell r="V4359">
            <v>0</v>
          </cell>
          <cell r="W4359">
            <v>0</v>
          </cell>
          <cell r="X4359" t="str">
            <v>EST ALMOFADA DECORATIVA (F 39) TC TARENTO 12 - 0,6x0,6x0H</v>
          </cell>
          <cell r="Y4359">
            <v>1229.98</v>
          </cell>
          <cell r="Z4359">
            <v>0.5</v>
          </cell>
          <cell r="AA4359">
            <v>614.99</v>
          </cell>
          <cell r="AB4359"/>
        </row>
        <row r="4360">
          <cell r="C4360">
            <v>0</v>
          </cell>
          <cell r="D4360">
            <v>0</v>
          </cell>
          <cell r="E4360">
            <v>0</v>
          </cell>
          <cell r="F4360">
            <v>0</v>
          </cell>
          <cell r="H4360">
            <v>2</v>
          </cell>
          <cell r="O4360">
            <v>363875</v>
          </cell>
          <cell r="P4360" t="str">
            <v>2023/123-0077-01</v>
          </cell>
          <cell r="Q4360" t="str">
            <v>EST BANQUETA POMME FX G7125</v>
          </cell>
          <cell r="R4360"/>
          <cell r="S4360"/>
          <cell r="T4360">
            <v>0.6</v>
          </cell>
          <cell r="U4360">
            <v>0.6</v>
          </cell>
          <cell r="V4360">
            <v>0.4</v>
          </cell>
          <cell r="W4360">
            <v>0</v>
          </cell>
          <cell r="X4360" t="str">
            <v>EST BANQUETA POMME FX G7125 - 0,6x0,6x0,4H</v>
          </cell>
          <cell r="Y4360">
            <v>7633.56</v>
          </cell>
          <cell r="Z4360">
            <v>0.5</v>
          </cell>
          <cell r="AA4360">
            <v>3816.78</v>
          </cell>
          <cell r="AB4360"/>
        </row>
        <row r="4361">
          <cell r="C4361">
            <v>0</v>
          </cell>
          <cell r="D4361">
            <v>0</v>
          </cell>
          <cell r="E4361">
            <v>0</v>
          </cell>
          <cell r="F4361">
            <v>0</v>
          </cell>
          <cell r="H4361">
            <v>2</v>
          </cell>
          <cell r="O4361">
            <v>363875</v>
          </cell>
          <cell r="P4361" t="str">
            <v>2023/123-0078-01</v>
          </cell>
          <cell r="Q4361" t="str">
            <v>EST BANQUETA POMME FX G7125</v>
          </cell>
          <cell r="R4361"/>
          <cell r="S4361"/>
          <cell r="T4361">
            <v>0.6</v>
          </cell>
          <cell r="U4361">
            <v>0.6</v>
          </cell>
          <cell r="V4361">
            <v>0.4</v>
          </cell>
          <cell r="W4361">
            <v>0</v>
          </cell>
          <cell r="X4361" t="str">
            <v>EST BANQUETA POMME FX G7125 - 0,6x0,6x0,4H</v>
          </cell>
          <cell r="Y4361">
            <v>7633.56</v>
          </cell>
          <cell r="Z4361">
            <v>0.5</v>
          </cell>
          <cell r="AA4361">
            <v>3816.78</v>
          </cell>
          <cell r="AB4361"/>
        </row>
        <row r="4362">
          <cell r="C4362">
            <v>0</v>
          </cell>
          <cell r="D4362">
            <v>0</v>
          </cell>
          <cell r="E4362">
            <v>0</v>
          </cell>
          <cell r="F4362">
            <v>0</v>
          </cell>
          <cell r="H4362">
            <v>1</v>
          </cell>
          <cell r="O4362">
            <v>363881</v>
          </cell>
          <cell r="P4362" t="str">
            <v>2023/132-0003-01</v>
          </cell>
          <cell r="Q4362" t="str">
            <v>EST PUFF POMME FX G7125</v>
          </cell>
          <cell r="R4362"/>
          <cell r="S4362"/>
          <cell r="T4362">
            <v>1</v>
          </cell>
          <cell r="U4362">
            <v>1</v>
          </cell>
          <cell r="V4362">
            <v>0.4</v>
          </cell>
          <cell r="W4362">
            <v>0</v>
          </cell>
          <cell r="X4362" t="str">
            <v>EST PUFF POMME FX G7125 - 1x1x0,4H</v>
          </cell>
          <cell r="Y4362">
            <v>16040.37</v>
          </cell>
          <cell r="Z4362">
            <v>0.5</v>
          </cell>
          <cell r="AA4362">
            <v>8020.1850000000004</v>
          </cell>
          <cell r="AB4362"/>
        </row>
        <row r="4363">
          <cell r="C4363">
            <v>0</v>
          </cell>
          <cell r="D4363">
            <v>0</v>
          </cell>
          <cell r="E4363">
            <v>0</v>
          </cell>
          <cell r="F4363">
            <v>0</v>
          </cell>
          <cell r="H4363">
            <v>1</v>
          </cell>
          <cell r="O4363">
            <v>364785</v>
          </cell>
          <cell r="P4363" t="str">
            <v>2023/135-0037-01</v>
          </cell>
          <cell r="Q4363" t="str">
            <v>EST POLTRONA ORION (INTERNA) (TC ALT COR 907) MARROM/DOURADA</v>
          </cell>
          <cell r="R4363"/>
          <cell r="S4363"/>
          <cell r="T4363">
            <v>1</v>
          </cell>
          <cell r="U4363">
            <v>0</v>
          </cell>
          <cell r="V4363">
            <v>0.45</v>
          </cell>
          <cell r="W4363">
            <v>1</v>
          </cell>
          <cell r="X4363" t="str">
            <v>EST POLTRONA ORION (INTERNA) (TC ALT COR 907) MARROM/DOURADA - Ø1x0,45H</v>
          </cell>
          <cell r="Y4363">
            <v>25924.73</v>
          </cell>
          <cell r="Z4363">
            <v>0.5</v>
          </cell>
          <cell r="AA4363">
            <v>12962.365</v>
          </cell>
          <cell r="AB4363"/>
        </row>
        <row r="4364">
          <cell r="C4364">
            <v>0</v>
          </cell>
          <cell r="D4364">
            <v>0</v>
          </cell>
          <cell r="E4364">
            <v>0</v>
          </cell>
          <cell r="F4364">
            <v>0</v>
          </cell>
          <cell r="H4364">
            <v>1</v>
          </cell>
          <cell r="O4364">
            <v>365800</v>
          </cell>
          <cell r="P4364" t="str">
            <v>2023/103-0003-01</v>
          </cell>
          <cell r="Q4364" t="str">
            <v>EST SOFA OCA COURO FORN FIRENZE 400/PES RB05/AVANCO DIREITO</v>
          </cell>
          <cell r="R4364"/>
          <cell r="S4364"/>
          <cell r="T4364">
            <v>2.75</v>
          </cell>
          <cell r="U4364">
            <v>1.01</v>
          </cell>
          <cell r="V4364">
            <v>0.78</v>
          </cell>
          <cell r="W4364">
            <v>0</v>
          </cell>
          <cell r="X4364" t="str">
            <v>EST SOFA OCA COURO FORN FIRENZE 400/PES RB05/AVANCO DIREITO - 2,75x1,01x0,78H</v>
          </cell>
          <cell r="Y4364">
            <v>95055.12</v>
          </cell>
          <cell r="Z4364">
            <v>0.5</v>
          </cell>
          <cell r="AA4364">
            <v>47527.56</v>
          </cell>
          <cell r="AB4364"/>
        </row>
        <row r="4365">
          <cell r="C4365">
            <v>0</v>
          </cell>
          <cell r="D4365">
            <v>0</v>
          </cell>
          <cell r="E4365">
            <v>0</v>
          </cell>
          <cell r="F4365">
            <v>0</v>
          </cell>
          <cell r="H4365">
            <v>1</v>
          </cell>
          <cell r="O4365">
            <v>369543</v>
          </cell>
          <cell r="P4365" t="str">
            <v>2023/136-0001-01</v>
          </cell>
          <cell r="Q4365" t="str">
            <v>EST MESA CENTRO RUSTICA TORA RUSTICA</v>
          </cell>
          <cell r="R4365"/>
          <cell r="S4365"/>
          <cell r="T4365">
            <v>1.94</v>
          </cell>
          <cell r="U4365">
            <v>0.45</v>
          </cell>
          <cell r="V4365">
            <v>0.4</v>
          </cell>
          <cell r="W4365">
            <v>0</v>
          </cell>
          <cell r="X4365" t="str">
            <v>EST MESA CENTRO RUSTICA TORA RUSTICA - 1,94x0,45x0,4H</v>
          </cell>
          <cell r="Y4365">
            <v>11473.28</v>
          </cell>
          <cell r="Z4365">
            <v>0.5</v>
          </cell>
          <cell r="AA4365">
            <v>5736.64</v>
          </cell>
          <cell r="AB4365"/>
        </row>
        <row r="4366">
          <cell r="C4366">
            <v>0</v>
          </cell>
          <cell r="D4366">
            <v>0</v>
          </cell>
          <cell r="E4366">
            <v>0</v>
          </cell>
          <cell r="F4366">
            <v>0</v>
          </cell>
          <cell r="H4366">
            <v>1</v>
          </cell>
          <cell r="O4366">
            <v>370332</v>
          </cell>
          <cell r="P4366" t="str">
            <v>2023/144-0003-01</v>
          </cell>
          <cell r="Q4366" t="str">
            <v>EST MESA JANTAR AYLA (SUP2 ROSE NAT) (TP CARV ROSE NT) LATAO</v>
          </cell>
          <cell r="R4366"/>
          <cell r="S4366"/>
          <cell r="T4366">
            <v>3</v>
          </cell>
          <cell r="U4366">
            <v>1.24</v>
          </cell>
          <cell r="V4366">
            <v>0.76</v>
          </cell>
          <cell r="W4366">
            <v>0</v>
          </cell>
          <cell r="X4366" t="str">
            <v>EST MESA JANTAR AYLA (SUP2 ROSE NAT) (TP CARV ROSE NT) LATAO - 3x1,24x0,76H</v>
          </cell>
          <cell r="Y4366">
            <v>21781.040000000001</v>
          </cell>
          <cell r="Z4366">
            <v>0.5</v>
          </cell>
          <cell r="AA4366">
            <v>10890.52</v>
          </cell>
          <cell r="AB4366"/>
        </row>
        <row r="4367">
          <cell r="C4367">
            <v>0</v>
          </cell>
          <cell r="D4367">
            <v>0</v>
          </cell>
          <cell r="E4367">
            <v>0</v>
          </cell>
          <cell r="F4367">
            <v>0</v>
          </cell>
          <cell r="H4367">
            <v>1</v>
          </cell>
          <cell r="O4367">
            <v>371053</v>
          </cell>
          <cell r="P4367" t="str">
            <v>2023/178-0004-01</v>
          </cell>
          <cell r="Q4367" t="str">
            <v>EST CADEIRA TWIN C/BRACO (GIR) (EBANIZADO) TC 1002</v>
          </cell>
          <cell r="R4367"/>
          <cell r="S4367"/>
          <cell r="T4367">
            <v>0.51</v>
          </cell>
          <cell r="U4367">
            <v>0.6</v>
          </cell>
          <cell r="V4367">
            <v>0.83</v>
          </cell>
          <cell r="W4367">
            <v>0</v>
          </cell>
          <cell r="X4367" t="str">
            <v>EST CADEIRA TWIN C/BRACO (GIR) (EBANIZADO) TC 1002 - 0,51x0,6x0,83H</v>
          </cell>
          <cell r="Y4367">
            <v>4343</v>
          </cell>
          <cell r="Z4367">
            <v>0.5</v>
          </cell>
          <cell r="AA4367">
            <v>2171.5</v>
          </cell>
          <cell r="AB4367"/>
        </row>
        <row r="4368">
          <cell r="C4368">
            <v>0</v>
          </cell>
          <cell r="D4368">
            <v>0</v>
          </cell>
          <cell r="E4368">
            <v>0</v>
          </cell>
          <cell r="F4368">
            <v>0</v>
          </cell>
          <cell r="H4368">
            <v>1</v>
          </cell>
          <cell r="O4368">
            <v>371590</v>
          </cell>
          <cell r="P4368" t="str">
            <v>2023/258-0041-01</v>
          </cell>
          <cell r="Q4368" t="str">
            <v>EST MESA JANTAR PETRA (TP MARM 1 TRAVERTINO) (MTX FENDI)</v>
          </cell>
          <cell r="R4368"/>
          <cell r="S4368"/>
          <cell r="T4368">
            <v>1.8</v>
          </cell>
          <cell r="U4368">
            <v>0</v>
          </cell>
          <cell r="V4368">
            <v>0.76</v>
          </cell>
          <cell r="W4368">
            <v>1.8</v>
          </cell>
          <cell r="X4368" t="str">
            <v>EST MESA JANTAR PETRA (TP MARM 1 TRAVERTINO) (MTX FENDI) - Ø1,8x0,76H</v>
          </cell>
          <cell r="Y4368">
            <v>100479.19</v>
          </cell>
          <cell r="Z4368">
            <v>0.5</v>
          </cell>
          <cell r="AA4368">
            <v>50239.595000000001</v>
          </cell>
          <cell r="AB4368"/>
        </row>
        <row r="4369">
          <cell r="C4369">
            <v>0</v>
          </cell>
          <cell r="D4369">
            <v>0</v>
          </cell>
          <cell r="E4369">
            <v>0</v>
          </cell>
          <cell r="F4369">
            <v>0</v>
          </cell>
          <cell r="H4369">
            <v>10</v>
          </cell>
          <cell r="O4369">
            <v>371710</v>
          </cell>
          <cell r="P4369" t="str">
            <v>2023/234-0058-01</v>
          </cell>
          <cell r="Q4369" t="str">
            <v>EST CADEIRA LUIZA C/BRACO FORN COURO PIG 259/JEQ CAST CLARO</v>
          </cell>
          <cell r="R4369"/>
          <cell r="S4369"/>
          <cell r="T4369">
            <v>0.59</v>
          </cell>
          <cell r="U4369">
            <v>0.56000000000000005</v>
          </cell>
          <cell r="V4369">
            <v>0.74</v>
          </cell>
          <cell r="W4369">
            <v>0</v>
          </cell>
          <cell r="X4369" t="str">
            <v>EST CADEIRA LUIZA C/BRACO FORN COURO PIG 259/JEQ CAST CLARO - 0,59x0,56x0,74H</v>
          </cell>
          <cell r="Y4369">
            <v>5341.634</v>
          </cell>
          <cell r="Z4369">
            <v>0.35</v>
          </cell>
          <cell r="AA4369">
            <v>3472.0621000000001</v>
          </cell>
          <cell r="AB4369"/>
        </row>
        <row r="4370">
          <cell r="C4370">
            <v>0</v>
          </cell>
          <cell r="D4370">
            <v>0</v>
          </cell>
          <cell r="E4370">
            <v>0</v>
          </cell>
          <cell r="F4370">
            <v>0</v>
          </cell>
          <cell r="H4370">
            <v>10</v>
          </cell>
          <cell r="O4370">
            <v>371710</v>
          </cell>
          <cell r="P4370" t="str">
            <v>2023/234-0059-01</v>
          </cell>
          <cell r="Q4370" t="str">
            <v>EST CADEIRA LUIZA C/BRACO FORN COURO PIG 259/JEQ CAST CLARO</v>
          </cell>
          <cell r="R4370"/>
          <cell r="S4370"/>
          <cell r="T4370">
            <v>0.59</v>
          </cell>
          <cell r="U4370">
            <v>0.56000000000000005</v>
          </cell>
          <cell r="V4370">
            <v>0.74</v>
          </cell>
          <cell r="W4370">
            <v>0</v>
          </cell>
          <cell r="X4370" t="str">
            <v>EST CADEIRA LUIZA C/BRACO FORN COURO PIG 259/JEQ CAST CLARO - 0,59x0,56x0,74H</v>
          </cell>
          <cell r="Y4370">
            <v>5341.634</v>
          </cell>
          <cell r="Z4370">
            <v>0.35</v>
          </cell>
          <cell r="AA4370">
            <v>3472.0621000000001</v>
          </cell>
          <cell r="AB4370"/>
        </row>
        <row r="4371">
          <cell r="C4371">
            <v>0</v>
          </cell>
          <cell r="D4371">
            <v>0</v>
          </cell>
          <cell r="E4371">
            <v>0</v>
          </cell>
          <cell r="F4371">
            <v>0</v>
          </cell>
          <cell r="H4371">
            <v>10</v>
          </cell>
          <cell r="O4371">
            <v>371710</v>
          </cell>
          <cell r="P4371" t="str">
            <v>2023/234-0062-01</v>
          </cell>
          <cell r="Q4371" t="str">
            <v>EST CADEIRA LUIZA C/BRACO FORN COURO PIG 259/JEQ CAST CLARO</v>
          </cell>
          <cell r="R4371"/>
          <cell r="S4371"/>
          <cell r="T4371">
            <v>0.59</v>
          </cell>
          <cell r="U4371">
            <v>0.56000000000000005</v>
          </cell>
          <cell r="V4371">
            <v>0.74</v>
          </cell>
          <cell r="W4371">
            <v>0</v>
          </cell>
          <cell r="X4371" t="str">
            <v>EST CADEIRA LUIZA C/BRACO FORN COURO PIG 259/JEQ CAST CLARO - 0,59x0,56x0,74H</v>
          </cell>
          <cell r="Y4371">
            <v>5341.634</v>
          </cell>
          <cell r="Z4371">
            <v>0.35</v>
          </cell>
          <cell r="AA4371">
            <v>3472.0621000000001</v>
          </cell>
          <cell r="AB4371"/>
        </row>
        <row r="4372">
          <cell r="C4372">
            <v>0</v>
          </cell>
          <cell r="D4372">
            <v>0</v>
          </cell>
          <cell r="E4372">
            <v>0</v>
          </cell>
          <cell r="F4372">
            <v>0</v>
          </cell>
          <cell r="H4372">
            <v>1</v>
          </cell>
          <cell r="O4372">
            <v>372714</v>
          </cell>
          <cell r="P4372" t="str">
            <v>2023/313-0003-01</v>
          </cell>
          <cell r="Q4372" t="str">
            <v>EST MESA CENTRO IPANEMA (LACA PRETO BRILHO C/CRISTAL)</v>
          </cell>
          <cell r="R4372"/>
          <cell r="S4372"/>
          <cell r="T4372">
            <v>0.9</v>
          </cell>
          <cell r="U4372">
            <v>0</v>
          </cell>
          <cell r="V4372">
            <v>0.35</v>
          </cell>
          <cell r="W4372">
            <v>0.9</v>
          </cell>
          <cell r="X4372" t="str">
            <v>EST MESA CENTRO IPANEMA (LACA PRETO BRILHO C/CRISTAL) - Ø0,9x0,35H</v>
          </cell>
          <cell r="Y4372">
            <v>10091.83</v>
          </cell>
          <cell r="Z4372">
            <v>0.5</v>
          </cell>
          <cell r="AA4372">
            <v>5045.915</v>
          </cell>
          <cell r="AB4372"/>
        </row>
        <row r="4373">
          <cell r="C4373">
            <v>4</v>
          </cell>
          <cell r="D4373">
            <v>0</v>
          </cell>
          <cell r="E4373">
            <v>0</v>
          </cell>
          <cell r="F4373">
            <v>0</v>
          </cell>
          <cell r="H4373">
            <v>4</v>
          </cell>
          <cell r="O4373">
            <v>372730</v>
          </cell>
          <cell r="P4373" t="str">
            <v>2023/264-0011-01</v>
          </cell>
          <cell r="Q4373" t="str">
            <v>EST CADEIRA 60 C/BRACO (FREIJO NAT) CS0120/BOUT COURO CAMEL</v>
          </cell>
          <cell r="R4373"/>
          <cell r="S4373"/>
          <cell r="T4373">
            <v>0.56000000000000005</v>
          </cell>
          <cell r="U4373">
            <v>0.59</v>
          </cell>
          <cell r="V4373">
            <v>0.84</v>
          </cell>
          <cell r="W4373">
            <v>0</v>
          </cell>
          <cell r="X4373" t="str">
            <v>EST CADEIRA 60 C/BRACO (FREIJO NAT) CS0120/BOUT COURO CAMEL - 0,56x0,59x0,84H</v>
          </cell>
          <cell r="Y4373">
            <v>9290.1299999999992</v>
          </cell>
          <cell r="Z4373">
            <v>0.5</v>
          </cell>
          <cell r="AA4373">
            <v>4645.0649999999996</v>
          </cell>
          <cell r="AB4373"/>
        </row>
        <row r="4374">
          <cell r="C4374">
            <v>4</v>
          </cell>
          <cell r="D4374">
            <v>0</v>
          </cell>
          <cell r="E4374">
            <v>0</v>
          </cell>
          <cell r="F4374">
            <v>0</v>
          </cell>
          <cell r="H4374">
            <v>4</v>
          </cell>
          <cell r="O4374">
            <v>372730</v>
          </cell>
          <cell r="P4374" t="str">
            <v>2023/264-0016-01</v>
          </cell>
          <cell r="Q4374" t="str">
            <v>EST CADEIRA 60 C/BRACO (FREIJO NAT) CS0120/BOUT COURO CAMEL</v>
          </cell>
          <cell r="R4374"/>
          <cell r="S4374"/>
          <cell r="T4374">
            <v>0.56000000000000005</v>
          </cell>
          <cell r="U4374">
            <v>0.59</v>
          </cell>
          <cell r="V4374">
            <v>0.84</v>
          </cell>
          <cell r="W4374">
            <v>0</v>
          </cell>
          <cell r="X4374" t="str">
            <v>EST CADEIRA 60 C/BRACO (FREIJO NAT) CS0120/BOUT COURO CAMEL - 0,56x0,59x0,84H</v>
          </cell>
          <cell r="Y4374">
            <v>9290.1299999999992</v>
          </cell>
          <cell r="Z4374">
            <v>0.5</v>
          </cell>
          <cell r="AA4374">
            <v>4645.0649999999996</v>
          </cell>
          <cell r="AB4374"/>
        </row>
        <row r="4375">
          <cell r="C4375">
            <v>4</v>
          </cell>
          <cell r="D4375">
            <v>0</v>
          </cell>
          <cell r="E4375">
            <v>0</v>
          </cell>
          <cell r="F4375">
            <v>0</v>
          </cell>
          <cell r="H4375">
            <v>4</v>
          </cell>
          <cell r="O4375">
            <v>372730</v>
          </cell>
          <cell r="P4375" t="str">
            <v>2023/264-0012-01</v>
          </cell>
          <cell r="Q4375" t="str">
            <v>EST CADEIRA 60 C/BRACO (FREIJO NAT) CS0120/BOUT COURO CAMEL</v>
          </cell>
          <cell r="R4375"/>
          <cell r="S4375"/>
          <cell r="T4375">
            <v>0.56000000000000005</v>
          </cell>
          <cell r="U4375">
            <v>0.59</v>
          </cell>
          <cell r="V4375">
            <v>0.84</v>
          </cell>
          <cell r="W4375">
            <v>0</v>
          </cell>
          <cell r="X4375" t="str">
            <v>EST CADEIRA 60 C/BRACO (FREIJO NAT) CS0120/BOUT COURO CAMEL - 0,56x0,59x0,84H</v>
          </cell>
          <cell r="Y4375">
            <v>9290.1299999999992</v>
          </cell>
          <cell r="Z4375">
            <v>0.5</v>
          </cell>
          <cell r="AA4375">
            <v>4645.0649999999996</v>
          </cell>
          <cell r="AB4375"/>
        </row>
        <row r="4376">
          <cell r="C4376">
            <v>4</v>
          </cell>
          <cell r="D4376">
            <v>0</v>
          </cell>
          <cell r="E4376">
            <v>0</v>
          </cell>
          <cell r="F4376">
            <v>0</v>
          </cell>
          <cell r="H4376">
            <v>4</v>
          </cell>
          <cell r="O4376">
            <v>372730</v>
          </cell>
          <cell r="P4376" t="str">
            <v>2023/264-0015-01</v>
          </cell>
          <cell r="Q4376" t="str">
            <v>EST CADEIRA 60 C/BRACO (FREIJO NAT) CS0120/BOUT COURO CAMEL</v>
          </cell>
          <cell r="R4376"/>
          <cell r="S4376"/>
          <cell r="T4376">
            <v>0.56000000000000005</v>
          </cell>
          <cell r="U4376">
            <v>0.59</v>
          </cell>
          <cell r="V4376">
            <v>0.84</v>
          </cell>
          <cell r="W4376">
            <v>0</v>
          </cell>
          <cell r="X4376" t="str">
            <v>EST CADEIRA 60 C/BRACO (FREIJO NAT) CS0120/BOUT COURO CAMEL - 0,56x0,59x0,84H</v>
          </cell>
          <cell r="Y4376">
            <v>9290.1299999999992</v>
          </cell>
          <cell r="Z4376">
            <v>0.5</v>
          </cell>
          <cell r="AA4376">
            <v>4645.0649999999996</v>
          </cell>
          <cell r="AB4376"/>
        </row>
        <row r="4377">
          <cell r="C4377">
            <v>0</v>
          </cell>
          <cell r="D4377">
            <v>0</v>
          </cell>
          <cell r="E4377">
            <v>0</v>
          </cell>
          <cell r="F4377">
            <v>0</v>
          </cell>
          <cell r="H4377">
            <v>1</v>
          </cell>
          <cell r="O4377">
            <v>374362</v>
          </cell>
          <cell r="P4377" t="str">
            <v>2024/026-0027-01</v>
          </cell>
          <cell r="Q4377" t="str">
            <v>EST MODULO CHAISE DIR HIMALAYA (CON) TC PET 01</v>
          </cell>
          <cell r="R4377"/>
          <cell r="S4377"/>
          <cell r="T4377">
            <v>1.1499999999999999</v>
          </cell>
          <cell r="U4377">
            <v>1.7</v>
          </cell>
          <cell r="V4377">
            <v>0.74</v>
          </cell>
          <cell r="W4377">
            <v>0</v>
          </cell>
          <cell r="X4377" t="str">
            <v>EST MODULO CHAISE DIR HIMALAYA (CON) TC PET 01 - 1,15x1,7x0,74H</v>
          </cell>
          <cell r="Y4377">
            <v>35590.46</v>
          </cell>
          <cell r="Z4377">
            <v>0.5</v>
          </cell>
          <cell r="AA4377">
            <v>17795.23</v>
          </cell>
          <cell r="AB4377"/>
        </row>
        <row r="4378">
          <cell r="C4378">
            <v>0</v>
          </cell>
          <cell r="D4378">
            <v>0</v>
          </cell>
          <cell r="E4378">
            <v>0</v>
          </cell>
          <cell r="F4378">
            <v>0</v>
          </cell>
          <cell r="H4378">
            <v>1</v>
          </cell>
          <cell r="O4378">
            <v>374379</v>
          </cell>
          <cell r="P4378" t="str">
            <v>2024/026-0066-01</v>
          </cell>
          <cell r="Q4378" t="str">
            <v>EST CHAISE B/DIR HIMALAYA (CLA) (C3008/DB3001) NOG</v>
          </cell>
          <cell r="R4378"/>
          <cell r="S4378"/>
          <cell r="T4378">
            <v>1.1499999999999999</v>
          </cell>
          <cell r="U4378">
            <v>1.7</v>
          </cell>
          <cell r="V4378">
            <v>0.74</v>
          </cell>
          <cell r="W4378">
            <v>0</v>
          </cell>
          <cell r="X4378" t="str">
            <v>EST CHAISE B/DIR HIMALAYA (CLA) (C3008/DB3001) NOG - 1,15x1,7x0,74H</v>
          </cell>
          <cell r="Y4378">
            <v>42534.324000000001</v>
          </cell>
          <cell r="Z4378">
            <v>0.5</v>
          </cell>
          <cell r="AA4378">
            <v>21267.162</v>
          </cell>
          <cell r="AB4378"/>
        </row>
        <row r="4379">
          <cell r="C4379">
            <v>0</v>
          </cell>
          <cell r="D4379">
            <v>0</v>
          </cell>
          <cell r="E4379">
            <v>0</v>
          </cell>
          <cell r="F4379">
            <v>0</v>
          </cell>
          <cell r="H4379">
            <v>1</v>
          </cell>
          <cell r="O4379">
            <v>374380</v>
          </cell>
          <cell r="P4379" t="str">
            <v>2024/026-0067-01</v>
          </cell>
          <cell r="Q4379" t="str">
            <v>EST CHAISE B/ESQ HIMALAYA (CLA) (C3008/DB3001) NOG</v>
          </cell>
          <cell r="R4379"/>
          <cell r="S4379"/>
          <cell r="T4379">
            <v>1.1499999999999999</v>
          </cell>
          <cell r="U4379">
            <v>1.7</v>
          </cell>
          <cell r="V4379">
            <v>0.74</v>
          </cell>
          <cell r="W4379">
            <v>0</v>
          </cell>
          <cell r="X4379" t="str">
            <v>EST CHAISE B/ESQ HIMALAYA (CLA) (C3008/DB3001) NOG - 1,15x1,7x0,74H</v>
          </cell>
          <cell r="Y4379">
            <v>42534.324000000001</v>
          </cell>
          <cell r="Z4379">
            <v>0.5</v>
          </cell>
          <cell r="AA4379">
            <v>21267.162</v>
          </cell>
          <cell r="AB4379"/>
        </row>
        <row r="4380">
          <cell r="C4380">
            <v>0</v>
          </cell>
          <cell r="D4380">
            <v>0</v>
          </cell>
          <cell r="E4380">
            <v>0</v>
          </cell>
          <cell r="F4380">
            <v>0</v>
          </cell>
          <cell r="H4380">
            <v>1</v>
          </cell>
          <cell r="O4380">
            <v>377429</v>
          </cell>
          <cell r="P4380" t="str">
            <v>2024/039-0112-01</v>
          </cell>
          <cell r="Q4380" t="str">
            <v>EST POLTRONA ALBA (PE VERNIZ) FX B</v>
          </cell>
          <cell r="R4380"/>
          <cell r="S4380"/>
          <cell r="T4380">
            <v>0.63</v>
          </cell>
          <cell r="U4380">
            <v>0.79</v>
          </cell>
          <cell r="V4380">
            <v>0.76</v>
          </cell>
          <cell r="W4380">
            <v>0</v>
          </cell>
          <cell r="X4380" t="str">
            <v>EST POLTRONA ALBA (PE VERNIZ) FX B - 0,63x0,79x0,76H</v>
          </cell>
          <cell r="Y4380">
            <v>8072.02</v>
          </cell>
          <cell r="Z4380">
            <v>0.35</v>
          </cell>
          <cell r="AA4380">
            <v>5246.8130000000001</v>
          </cell>
          <cell r="AB4380"/>
        </row>
        <row r="4381">
          <cell r="C4381">
            <v>0</v>
          </cell>
          <cell r="D4381">
            <v>0</v>
          </cell>
          <cell r="E4381">
            <v>0</v>
          </cell>
          <cell r="F4381">
            <v>0</v>
          </cell>
          <cell r="H4381">
            <v>1</v>
          </cell>
          <cell r="O4381">
            <v>378054</v>
          </cell>
          <cell r="P4381" t="str">
            <v>2023/333-0003-01</v>
          </cell>
          <cell r="Q4381" t="str">
            <v>EST CADEIRA YASMIM (TELA NOGUEIRA) (AMENDOA) TC 2000 - 2327</v>
          </cell>
          <cell r="R4381"/>
          <cell r="S4381"/>
          <cell r="T4381">
            <v>0.49</v>
          </cell>
          <cell r="U4381">
            <v>0.6</v>
          </cell>
          <cell r="V4381">
            <v>0.84</v>
          </cell>
          <cell r="W4381">
            <v>0</v>
          </cell>
          <cell r="X4381" t="str">
            <v>EST CADEIRA YASMIM (TELA NOGUEIRA) (AMENDOA) TC 2000 - 2327 - 0,49x0,6x0,84H</v>
          </cell>
          <cell r="Y4381">
            <v>3505.96</v>
          </cell>
          <cell r="Z4381">
            <v>0.5</v>
          </cell>
          <cell r="AA4381">
            <v>1752.98</v>
          </cell>
          <cell r="AB4381"/>
        </row>
        <row r="4382">
          <cell r="C4382">
            <v>6</v>
          </cell>
          <cell r="D4382">
            <v>0</v>
          </cell>
          <cell r="E4382">
            <v>0</v>
          </cell>
          <cell r="F4382">
            <v>0</v>
          </cell>
          <cell r="H4382">
            <v>2</v>
          </cell>
          <cell r="O4382">
            <v>378282</v>
          </cell>
          <cell r="P4382" t="str">
            <v>2024/033-0002-01</v>
          </cell>
          <cell r="Q4382" t="str">
            <v>EST CADEIRA PI C/BRACO (MARROM) TC BOUCLE REIMS 5323-001</v>
          </cell>
          <cell r="R4382"/>
          <cell r="S4382"/>
          <cell r="T4382">
            <v>0.75</v>
          </cell>
          <cell r="U4382">
            <v>0.6</v>
          </cell>
          <cell r="V4382">
            <v>0.76</v>
          </cell>
          <cell r="W4382">
            <v>0</v>
          </cell>
          <cell r="X4382" t="str">
            <v>EST CADEIRA PI C/BRACO (MARROM) TC BOUCLE REIMS 5323-001 - 0,75x0,6x0,76H</v>
          </cell>
          <cell r="Y4382">
            <v>9997.93</v>
          </cell>
          <cell r="Z4382">
            <v>0.49999994879216059</v>
          </cell>
          <cell r="AA4382">
            <v>4998.9655119723939</v>
          </cell>
          <cell r="AB4382"/>
        </row>
        <row r="4383">
          <cell r="C4383">
            <v>6</v>
          </cell>
          <cell r="D4383">
            <v>0</v>
          </cell>
          <cell r="E4383">
            <v>0</v>
          </cell>
          <cell r="F4383">
            <v>0</v>
          </cell>
          <cell r="H4383">
            <v>2</v>
          </cell>
          <cell r="O4383">
            <v>378282</v>
          </cell>
          <cell r="P4383" t="str">
            <v>2024/033-0004-01</v>
          </cell>
          <cell r="Q4383" t="str">
            <v>EST CADEIRA PI C/BRACO (MARROM) TC BOUCLE REIMS 5323-001</v>
          </cell>
          <cell r="R4383"/>
          <cell r="S4383"/>
          <cell r="T4383">
            <v>0.75</v>
          </cell>
          <cell r="U4383">
            <v>0.6</v>
          </cell>
          <cell r="V4383">
            <v>0.76</v>
          </cell>
          <cell r="W4383">
            <v>0</v>
          </cell>
          <cell r="X4383" t="str">
            <v>EST CADEIRA PI C/BRACO (MARROM) TC BOUCLE REIMS 5323-001 - 0,75x0,6x0,76H</v>
          </cell>
          <cell r="Y4383">
            <v>9997.93</v>
          </cell>
          <cell r="Z4383">
            <v>0.49999994879216059</v>
          </cell>
          <cell r="AA4383">
            <v>4998.9655119723939</v>
          </cell>
          <cell r="AB4383"/>
        </row>
        <row r="4384">
          <cell r="C4384">
            <v>0</v>
          </cell>
          <cell r="D4384">
            <v>1</v>
          </cell>
          <cell r="E4384">
            <v>0</v>
          </cell>
          <cell r="F4384">
            <v>0</v>
          </cell>
          <cell r="H4384">
            <v>5</v>
          </cell>
          <cell r="O4384">
            <v>378286</v>
          </cell>
          <cell r="P4384" t="str">
            <v>2024/029-0116-01</v>
          </cell>
          <cell r="Q4384" t="str">
            <v>EST CADEIRA PI C/BRACO (PRETO FSC) TC LEROY 6200-007</v>
          </cell>
          <cell r="R4384"/>
          <cell r="S4384"/>
          <cell r="T4384">
            <v>0.75</v>
          </cell>
          <cell r="U4384">
            <v>0.6</v>
          </cell>
          <cell r="V4384">
            <v>0.76</v>
          </cell>
          <cell r="W4384">
            <v>0</v>
          </cell>
          <cell r="X4384" t="str">
            <v>EST CADEIRA PI C/BRACO (PRETO FSC) TC LEROY 6200-007 - 0,75x0,6x0,76H</v>
          </cell>
          <cell r="Y4384">
            <v>10102.205</v>
          </cell>
          <cell r="Z4384">
            <v>0.5</v>
          </cell>
          <cell r="AA4384">
            <v>5051.1025</v>
          </cell>
          <cell r="AB4384"/>
        </row>
        <row r="4385">
          <cell r="C4385">
            <v>0</v>
          </cell>
          <cell r="D4385">
            <v>1</v>
          </cell>
          <cell r="E4385">
            <v>0</v>
          </cell>
          <cell r="F4385">
            <v>0</v>
          </cell>
          <cell r="H4385">
            <v>5</v>
          </cell>
          <cell r="O4385">
            <v>378286</v>
          </cell>
          <cell r="P4385" t="str">
            <v>2024/029-0117-01</v>
          </cell>
          <cell r="Q4385" t="str">
            <v>EST CADEIRA PI C/BRACO (PRETO FSC) TC LEROY 6200-007</v>
          </cell>
          <cell r="R4385"/>
          <cell r="S4385"/>
          <cell r="T4385">
            <v>0.75</v>
          </cell>
          <cell r="U4385">
            <v>0.6</v>
          </cell>
          <cell r="V4385">
            <v>0.76</v>
          </cell>
          <cell r="W4385">
            <v>0</v>
          </cell>
          <cell r="X4385" t="str">
            <v>EST CADEIRA PI C/BRACO (PRETO FSC) TC LEROY 6200-007 - 0,75x0,6x0,76H</v>
          </cell>
          <cell r="Y4385">
            <v>10102.205</v>
          </cell>
          <cell r="Z4385">
            <v>0.5</v>
          </cell>
          <cell r="AA4385">
            <v>5051.1025</v>
          </cell>
          <cell r="AB4385"/>
        </row>
        <row r="4386">
          <cell r="C4386">
            <v>0</v>
          </cell>
          <cell r="D4386">
            <v>1</v>
          </cell>
          <cell r="E4386">
            <v>0</v>
          </cell>
          <cell r="F4386">
            <v>0</v>
          </cell>
          <cell r="H4386">
            <v>5</v>
          </cell>
          <cell r="O4386">
            <v>378286</v>
          </cell>
          <cell r="P4386" t="str">
            <v>2024/029-0118-01</v>
          </cell>
          <cell r="Q4386" t="str">
            <v>EST CADEIRA PI C/BRACO (PRETO FSC) TC LEROY 6200-007</v>
          </cell>
          <cell r="R4386"/>
          <cell r="S4386"/>
          <cell r="T4386">
            <v>0.75</v>
          </cell>
          <cell r="U4386">
            <v>0.6</v>
          </cell>
          <cell r="V4386">
            <v>0.76</v>
          </cell>
          <cell r="W4386">
            <v>0</v>
          </cell>
          <cell r="X4386" t="str">
            <v>EST CADEIRA PI C/BRACO (PRETO FSC) TC LEROY 6200-007 - 0,75x0,6x0,76H</v>
          </cell>
          <cell r="Y4386">
            <v>10102.205</v>
          </cell>
          <cell r="Z4386">
            <v>0.5</v>
          </cell>
          <cell r="AA4386">
            <v>5051.1025</v>
          </cell>
          <cell r="AB4386"/>
        </row>
        <row r="4387">
          <cell r="C4387">
            <v>0</v>
          </cell>
          <cell r="D4387">
            <v>1</v>
          </cell>
          <cell r="E4387">
            <v>0</v>
          </cell>
          <cell r="F4387">
            <v>0</v>
          </cell>
          <cell r="H4387">
            <v>5</v>
          </cell>
          <cell r="O4387">
            <v>378286</v>
          </cell>
          <cell r="P4387" t="str">
            <v>2024/029-0119-01</v>
          </cell>
          <cell r="Q4387" t="str">
            <v>EST CADEIRA PI C/BRACO (PRETO FSC) TC LEROY 6200-007</v>
          </cell>
          <cell r="R4387"/>
          <cell r="S4387"/>
          <cell r="T4387">
            <v>0.75</v>
          </cell>
          <cell r="U4387">
            <v>0.6</v>
          </cell>
          <cell r="V4387">
            <v>0.76</v>
          </cell>
          <cell r="W4387">
            <v>0</v>
          </cell>
          <cell r="X4387" t="str">
            <v>EST CADEIRA PI C/BRACO (PRETO FSC) TC LEROY 6200-007 - 0,75x0,6x0,76H</v>
          </cell>
          <cell r="Y4387">
            <v>10102.205</v>
          </cell>
          <cell r="Z4387">
            <v>0.5</v>
          </cell>
          <cell r="AA4387">
            <v>5051.1025</v>
          </cell>
          <cell r="AB4387"/>
        </row>
        <row r="4388">
          <cell r="C4388">
            <v>0</v>
          </cell>
          <cell r="D4388">
            <v>0</v>
          </cell>
          <cell r="E4388">
            <v>2</v>
          </cell>
          <cell r="F4388">
            <v>0</v>
          </cell>
          <cell r="H4388">
            <v>6</v>
          </cell>
          <cell r="O4388">
            <v>378288</v>
          </cell>
          <cell r="P4388" t="str">
            <v>2024/045-0010-01</v>
          </cell>
          <cell r="Q4388" t="str">
            <v>EST CADEIRA PI C/BRACO (CORTEN) COURO PIG 611</v>
          </cell>
          <cell r="R4388"/>
          <cell r="S4388"/>
          <cell r="T4388">
            <v>0.53</v>
          </cell>
          <cell r="U4388">
            <v>0.6</v>
          </cell>
          <cell r="V4388">
            <v>0.76</v>
          </cell>
          <cell r="W4388">
            <v>0</v>
          </cell>
          <cell r="X4388" t="str">
            <v>EST CADEIRA PI C/BRACO (CORTEN) COURO PIG 611 - 0,53x0,6x0,76H</v>
          </cell>
          <cell r="Y4388">
            <v>10088.870000000001</v>
          </cell>
          <cell r="Z4388">
            <v>0.5</v>
          </cell>
          <cell r="AA4388">
            <v>5044.4350000000004</v>
          </cell>
          <cell r="AB4388"/>
        </row>
        <row r="4389">
          <cell r="C4389">
            <v>0</v>
          </cell>
          <cell r="D4389">
            <v>0</v>
          </cell>
          <cell r="E4389">
            <v>2</v>
          </cell>
          <cell r="F4389">
            <v>0</v>
          </cell>
          <cell r="H4389">
            <v>6</v>
          </cell>
          <cell r="O4389">
            <v>378288</v>
          </cell>
          <cell r="P4389" t="str">
            <v>2024/045-0013-01</v>
          </cell>
          <cell r="Q4389" t="str">
            <v>EST CADEIRA PI C/BRACO (CORTEN) COURO PIG 611</v>
          </cell>
          <cell r="R4389"/>
          <cell r="S4389"/>
          <cell r="T4389">
            <v>0.53</v>
          </cell>
          <cell r="U4389">
            <v>0.6</v>
          </cell>
          <cell r="V4389">
            <v>0.76</v>
          </cell>
          <cell r="W4389">
            <v>0</v>
          </cell>
          <cell r="X4389" t="str">
            <v>EST CADEIRA PI C/BRACO (CORTEN) COURO PIG 611 - 0,53x0,6x0,76H</v>
          </cell>
          <cell r="Y4389">
            <v>10088.870000000001</v>
          </cell>
          <cell r="Z4389">
            <v>0.5</v>
          </cell>
          <cell r="AA4389">
            <v>5044.4350000000004</v>
          </cell>
          <cell r="AB4389"/>
        </row>
        <row r="4390">
          <cell r="C4390">
            <v>0</v>
          </cell>
          <cell r="D4390">
            <v>0</v>
          </cell>
          <cell r="E4390">
            <v>2</v>
          </cell>
          <cell r="F4390">
            <v>0</v>
          </cell>
          <cell r="H4390">
            <v>6</v>
          </cell>
          <cell r="O4390">
            <v>378288</v>
          </cell>
          <cell r="P4390" t="str">
            <v>2024/045-0014-01</v>
          </cell>
          <cell r="Q4390" t="str">
            <v>EST CADEIRA PI C/BRACO (CORTEN) COURO PIG 611</v>
          </cell>
          <cell r="R4390"/>
          <cell r="S4390"/>
          <cell r="T4390">
            <v>0.53</v>
          </cell>
          <cell r="U4390">
            <v>0.6</v>
          </cell>
          <cell r="V4390">
            <v>0.76</v>
          </cell>
          <cell r="W4390">
            <v>0</v>
          </cell>
          <cell r="X4390" t="str">
            <v>EST CADEIRA PI C/BRACO (CORTEN) COURO PIG 611 - 0,53x0,6x0,76H</v>
          </cell>
          <cell r="Y4390">
            <v>10088.870000000001</v>
          </cell>
          <cell r="Z4390">
            <v>0.5</v>
          </cell>
          <cell r="AA4390">
            <v>5044.4350000000004</v>
          </cell>
          <cell r="AB4390"/>
        </row>
        <row r="4391">
          <cell r="C4391">
            <v>0</v>
          </cell>
          <cell r="D4391">
            <v>0</v>
          </cell>
          <cell r="E4391">
            <v>2</v>
          </cell>
          <cell r="F4391">
            <v>0</v>
          </cell>
          <cell r="H4391">
            <v>6</v>
          </cell>
          <cell r="O4391">
            <v>378288</v>
          </cell>
          <cell r="P4391" t="str">
            <v>2024/045-0015-01</v>
          </cell>
          <cell r="Q4391" t="str">
            <v>EST CADEIRA PI C/BRACO (CORTEN) COURO PIG 611</v>
          </cell>
          <cell r="R4391"/>
          <cell r="S4391"/>
          <cell r="T4391">
            <v>0.53</v>
          </cell>
          <cell r="U4391">
            <v>0.6</v>
          </cell>
          <cell r="V4391">
            <v>0.76</v>
          </cell>
          <cell r="W4391">
            <v>0</v>
          </cell>
          <cell r="X4391" t="str">
            <v>EST CADEIRA PI C/BRACO (CORTEN) COURO PIG 611 - 0,53x0,6x0,76H</v>
          </cell>
          <cell r="Y4391">
            <v>10088.870000000001</v>
          </cell>
          <cell r="Z4391">
            <v>0.5</v>
          </cell>
          <cell r="AA4391">
            <v>5044.4350000000004</v>
          </cell>
          <cell r="AB4391"/>
        </row>
        <row r="4392">
          <cell r="C4392">
            <v>0</v>
          </cell>
          <cell r="D4392">
            <v>0</v>
          </cell>
          <cell r="E4392">
            <v>2</v>
          </cell>
          <cell r="F4392">
            <v>0</v>
          </cell>
          <cell r="H4392">
            <v>6</v>
          </cell>
          <cell r="O4392">
            <v>378288</v>
          </cell>
          <cell r="P4392" t="str">
            <v>2024/045-0016-01</v>
          </cell>
          <cell r="Q4392" t="str">
            <v>EST CADEIRA PI C/BRACO (CORTEN) COURO PIG 611</v>
          </cell>
          <cell r="R4392"/>
          <cell r="S4392"/>
          <cell r="T4392">
            <v>0.53</v>
          </cell>
          <cell r="U4392">
            <v>0.6</v>
          </cell>
          <cell r="V4392">
            <v>0.76</v>
          </cell>
          <cell r="W4392">
            <v>0</v>
          </cell>
          <cell r="X4392" t="str">
            <v>EST CADEIRA PI C/BRACO (CORTEN) COURO PIG 611 - 0,53x0,6x0,76H</v>
          </cell>
          <cell r="Y4392">
            <v>10088.870000000001</v>
          </cell>
          <cell r="Z4392">
            <v>0.5</v>
          </cell>
          <cell r="AA4392">
            <v>5044.4350000000004</v>
          </cell>
          <cell r="AB4392"/>
        </row>
        <row r="4393">
          <cell r="C4393">
            <v>0</v>
          </cell>
          <cell r="D4393">
            <v>0</v>
          </cell>
          <cell r="E4393">
            <v>2</v>
          </cell>
          <cell r="F4393">
            <v>0</v>
          </cell>
          <cell r="H4393">
            <v>6</v>
          </cell>
          <cell r="O4393">
            <v>378288</v>
          </cell>
          <cell r="P4393" t="str">
            <v>2024/045-0017-01</v>
          </cell>
          <cell r="Q4393" t="str">
            <v>EST CADEIRA PI C/BRACO (CORTEN) COURO PIG 611</v>
          </cell>
          <cell r="R4393"/>
          <cell r="S4393"/>
          <cell r="T4393">
            <v>0.53</v>
          </cell>
          <cell r="U4393">
            <v>0.6</v>
          </cell>
          <cell r="V4393">
            <v>0.76</v>
          </cell>
          <cell r="W4393">
            <v>0</v>
          </cell>
          <cell r="X4393" t="str">
            <v>EST CADEIRA PI C/BRACO (CORTEN) COURO PIG 611 - 0,53x0,6x0,76H</v>
          </cell>
          <cell r="Y4393">
            <v>10088.870000000001</v>
          </cell>
          <cell r="Z4393">
            <v>0.5</v>
          </cell>
          <cell r="AA4393">
            <v>5044.4350000000004</v>
          </cell>
          <cell r="AB4393"/>
        </row>
        <row r="4394">
          <cell r="C4394">
            <v>0</v>
          </cell>
          <cell r="D4394">
            <v>0</v>
          </cell>
          <cell r="E4394">
            <v>0</v>
          </cell>
          <cell r="F4394">
            <v>0</v>
          </cell>
          <cell r="H4394">
            <v>1</v>
          </cell>
          <cell r="O4394">
            <v>378391</v>
          </cell>
          <cell r="P4394" t="str">
            <v>2024/030-0067-01</v>
          </cell>
          <cell r="Q4394" t="str">
            <v>EST TAPETE TROPICAL (LISO) (1 COR) (10MM) F:77</v>
          </cell>
          <cell r="R4394"/>
          <cell r="S4394"/>
          <cell r="T4394">
            <v>4</v>
          </cell>
          <cell r="U4394">
            <v>1</v>
          </cell>
          <cell r="V4394">
            <v>0.01</v>
          </cell>
          <cell r="W4394">
            <v>0</v>
          </cell>
          <cell r="X4394" t="str">
            <v>EST TAPETE TROPICAL (LISO) (1 COR) (10MM) F:77 - 4x1x0,01H</v>
          </cell>
          <cell r="Y4394">
            <v>6773.76</v>
          </cell>
          <cell r="Z4394">
            <v>0.5</v>
          </cell>
          <cell r="AA4394">
            <v>3386.88</v>
          </cell>
          <cell r="AB4394"/>
        </row>
        <row r="4395">
          <cell r="C4395">
            <v>0</v>
          </cell>
          <cell r="D4395">
            <v>0</v>
          </cell>
          <cell r="E4395">
            <v>0</v>
          </cell>
          <cell r="F4395">
            <v>0</v>
          </cell>
          <cell r="H4395">
            <v>2</v>
          </cell>
          <cell r="O4395">
            <v>379525</v>
          </cell>
          <cell r="P4395" t="str">
            <v>2024/068-0005-01</v>
          </cell>
          <cell r="Q4395" t="str">
            <v>EST PUFF MONDRIAN (C1 SEPIA/NOG) (C2 KURKUMA)</v>
          </cell>
          <cell r="R4395"/>
          <cell r="S4395"/>
          <cell r="T4395">
            <v>0.9</v>
          </cell>
          <cell r="U4395">
            <v>0.6</v>
          </cell>
          <cell r="V4395">
            <v>0.43</v>
          </cell>
          <cell r="W4395">
            <v>0</v>
          </cell>
          <cell r="X4395" t="str">
            <v>EST PUFF MONDRIAN (C1 SEPIA/NOG) (C2 KURKUMA) - 0,9x0,6x0,43H</v>
          </cell>
          <cell r="Y4395">
            <v>23383.67</v>
          </cell>
          <cell r="Z4395">
            <v>0.5</v>
          </cell>
          <cell r="AA4395">
            <v>11691.834999999999</v>
          </cell>
          <cell r="AB4395"/>
        </row>
        <row r="4396">
          <cell r="C4396">
            <v>0</v>
          </cell>
          <cell r="D4396">
            <v>0</v>
          </cell>
          <cell r="E4396">
            <v>0</v>
          </cell>
          <cell r="F4396">
            <v>0</v>
          </cell>
          <cell r="H4396">
            <v>2</v>
          </cell>
          <cell r="O4396">
            <v>379525</v>
          </cell>
          <cell r="P4396" t="str">
            <v>2024/068-0006-01</v>
          </cell>
          <cell r="Q4396" t="str">
            <v>EST PUFF MONDRIAN (C1 SEPIA/NOG) (C2 KURKUMA)</v>
          </cell>
          <cell r="R4396"/>
          <cell r="S4396"/>
          <cell r="T4396">
            <v>0.9</v>
          </cell>
          <cell r="U4396">
            <v>0.6</v>
          </cell>
          <cell r="V4396">
            <v>0.43</v>
          </cell>
          <cell r="W4396">
            <v>0</v>
          </cell>
          <cell r="X4396" t="str">
            <v>EST PUFF MONDRIAN (C1 SEPIA/NOG) (C2 KURKUMA) - 0,9x0,6x0,43H</v>
          </cell>
          <cell r="Y4396">
            <v>23383.67</v>
          </cell>
          <cell r="Z4396">
            <v>0.5</v>
          </cell>
          <cell r="AA4396">
            <v>11691.834999999999</v>
          </cell>
          <cell r="AB4396"/>
        </row>
        <row r="4397">
          <cell r="C4397">
            <v>0</v>
          </cell>
          <cell r="D4397">
            <v>0</v>
          </cell>
          <cell r="E4397">
            <v>0</v>
          </cell>
          <cell r="F4397">
            <v>0</v>
          </cell>
          <cell r="H4397">
            <v>3</v>
          </cell>
          <cell r="O4397">
            <v>379549</v>
          </cell>
          <cell r="P4397" t="str">
            <v>2024/080-0013-01</v>
          </cell>
          <cell r="Q4397" t="str">
            <v>EST ALMOFADA DECORATIVA HIMALAYA (P) (SOFT) (C3008/DB3001)</v>
          </cell>
          <cell r="R4397"/>
          <cell r="S4397"/>
          <cell r="T4397">
            <v>0.5</v>
          </cell>
          <cell r="U4397">
            <v>0.33</v>
          </cell>
          <cell r="V4397">
            <v>7.0000000000000007E-2</v>
          </cell>
          <cell r="W4397">
            <v>0</v>
          </cell>
          <cell r="X4397" t="str">
            <v>EST ALMOFADA DECORATIVA HIMALAYA (P) (SOFT) (C3008/DB3001) - 0,5x0,33x0,07H</v>
          </cell>
          <cell r="Y4397">
            <v>2339.4839999999999</v>
          </cell>
          <cell r="Z4397">
            <v>0.5</v>
          </cell>
          <cell r="AA4397">
            <v>1169.742</v>
          </cell>
          <cell r="AB4397"/>
        </row>
        <row r="4398">
          <cell r="C4398">
            <v>0</v>
          </cell>
          <cell r="D4398">
            <v>0</v>
          </cell>
          <cell r="E4398">
            <v>0</v>
          </cell>
          <cell r="F4398">
            <v>0</v>
          </cell>
          <cell r="H4398">
            <v>3</v>
          </cell>
          <cell r="O4398">
            <v>379549</v>
          </cell>
          <cell r="P4398" t="str">
            <v>2024/080-0012-01</v>
          </cell>
          <cell r="Q4398" t="str">
            <v>EST ALMOFADA DECORATIVA HIMALAYA (P) (SOFT) (C3008/DB3001)</v>
          </cell>
          <cell r="R4398"/>
          <cell r="S4398"/>
          <cell r="T4398">
            <v>0.5</v>
          </cell>
          <cell r="U4398">
            <v>0.33</v>
          </cell>
          <cell r="V4398">
            <v>7.0000000000000007E-2</v>
          </cell>
          <cell r="W4398">
            <v>0</v>
          </cell>
          <cell r="X4398" t="str">
            <v>EST ALMOFADA DECORATIVA HIMALAYA (P) (SOFT) (C3008/DB3001) - 0,5x0,33x0,07H</v>
          </cell>
          <cell r="Y4398">
            <v>2339.4839999999999</v>
          </cell>
          <cell r="Z4398">
            <v>0.5</v>
          </cell>
          <cell r="AA4398">
            <v>1169.742</v>
          </cell>
          <cell r="AB4398"/>
        </row>
        <row r="4399">
          <cell r="C4399">
            <v>0</v>
          </cell>
          <cell r="D4399">
            <v>1</v>
          </cell>
          <cell r="E4399">
            <v>0</v>
          </cell>
          <cell r="F4399">
            <v>0</v>
          </cell>
          <cell r="H4399">
            <v>1</v>
          </cell>
          <cell r="O4399">
            <v>379641</v>
          </cell>
          <cell r="P4399" t="str">
            <v>2024/106-0007-01</v>
          </cell>
          <cell r="Q4399" t="str">
            <v>EST CADEIRA YASMIM (ESTOFADO) (NOGUEIRA) TC 2000 - 2337</v>
          </cell>
          <cell r="R4399"/>
          <cell r="S4399"/>
          <cell r="T4399">
            <v>0.49</v>
          </cell>
          <cell r="U4399">
            <v>0.6</v>
          </cell>
          <cell r="V4399">
            <v>0.84</v>
          </cell>
          <cell r="W4399">
            <v>0</v>
          </cell>
          <cell r="X4399" t="str">
            <v>EST CADEIRA YASMIM (ESTOFADO) (NOGUEIRA) TC 2000 - 2337 - 0,49x0,6x0,84H</v>
          </cell>
          <cell r="Y4399">
            <v>3185.55</v>
          </cell>
          <cell r="Z4399">
            <v>0.5</v>
          </cell>
          <cell r="AA4399">
            <v>1592.7750000000001</v>
          </cell>
          <cell r="AB4399"/>
        </row>
        <row r="4400">
          <cell r="C4400">
            <v>0</v>
          </cell>
          <cell r="D4400">
            <v>0</v>
          </cell>
          <cell r="E4400">
            <v>0</v>
          </cell>
          <cell r="F4400">
            <v>0</v>
          </cell>
          <cell r="H4400">
            <v>2</v>
          </cell>
          <cell r="O4400">
            <v>379646</v>
          </cell>
          <cell r="P4400" t="str">
            <v>2024/081-0056-01</v>
          </cell>
          <cell r="Q4400" t="str">
            <v>EST POLTRONA PATER (IMBUIA) COURO 1 SEPIA/ALMOF FX7560</v>
          </cell>
          <cell r="R4400"/>
          <cell r="S4400"/>
          <cell r="T4400">
            <v>0.82</v>
          </cell>
          <cell r="U4400">
            <v>0.94</v>
          </cell>
          <cell r="V4400">
            <v>0.83</v>
          </cell>
          <cell r="W4400">
            <v>0</v>
          </cell>
          <cell r="X4400" t="str">
            <v>EST POLTRONA PATER (IMBUIA) COURO 1 SEPIA/ALMOF FX7560 - 0,82x0,94x0,83H</v>
          </cell>
          <cell r="Y4400">
            <v>34077.97</v>
          </cell>
          <cell r="Z4400">
            <v>0.5</v>
          </cell>
          <cell r="AA4400">
            <v>17038.985000000001</v>
          </cell>
          <cell r="AB4400"/>
        </row>
        <row r="4401">
          <cell r="C4401">
            <v>0</v>
          </cell>
          <cell r="D4401">
            <v>0</v>
          </cell>
          <cell r="E4401">
            <v>0</v>
          </cell>
          <cell r="F4401">
            <v>0</v>
          </cell>
          <cell r="H4401">
            <v>1</v>
          </cell>
          <cell r="O4401">
            <v>386949</v>
          </cell>
          <cell r="P4401" t="str">
            <v>2024/117-0021-01</v>
          </cell>
          <cell r="Q4401" t="str">
            <v>EST BANQUETA BAR MEDALHINHA H61 (FREIJO) (RATTAN ABERTA)</v>
          </cell>
          <cell r="R4401"/>
          <cell r="S4401"/>
          <cell r="T4401">
            <v>0.47</v>
          </cell>
          <cell r="U4401">
            <v>0.61</v>
          </cell>
          <cell r="V4401">
            <v>1</v>
          </cell>
          <cell r="W4401">
            <v>0</v>
          </cell>
          <cell r="X4401" t="str">
            <v>EST BANQUETA BAR MEDALHINHA H61 (FREIJO) (RATTAN ABERTA) - 0,47x0,61x1H</v>
          </cell>
          <cell r="Y4401">
            <v>10076.950000000001</v>
          </cell>
          <cell r="Z4401">
            <v>0.5</v>
          </cell>
          <cell r="AA4401">
            <v>5038.4750000000004</v>
          </cell>
          <cell r="AB4401"/>
        </row>
        <row r="4402">
          <cell r="C4402">
            <v>1</v>
          </cell>
          <cell r="D4402">
            <v>0</v>
          </cell>
          <cell r="E4402">
            <v>0</v>
          </cell>
          <cell r="F4402">
            <v>2</v>
          </cell>
          <cell r="H4402">
            <v>2</v>
          </cell>
          <cell r="O4402">
            <v>389957</v>
          </cell>
          <cell r="P4402" t="str">
            <v>2024/247-0114-01</v>
          </cell>
          <cell r="Q4402" t="str">
            <v>EST ALMOFADA DECORATIVA HIMALAYA (G) TC KEEPSAKE TAUPE</v>
          </cell>
          <cell r="R4402"/>
          <cell r="S4402"/>
          <cell r="T4402">
            <v>0.9</v>
          </cell>
          <cell r="U4402">
            <v>0.7</v>
          </cell>
          <cell r="V4402">
            <v>0</v>
          </cell>
          <cell r="W4402">
            <v>0</v>
          </cell>
          <cell r="X4402" t="str">
            <v>EST ALMOFADA DECORATIVA HIMALAYA (G) TC KEEPSAKE TAUPE - 0,9x0,7x0H</v>
          </cell>
          <cell r="Y4402">
            <v>2778.5439400000005</v>
          </cell>
          <cell r="Z4402">
            <v>0.5</v>
          </cell>
          <cell r="AA4402">
            <v>1389.2719700000002</v>
          </cell>
          <cell r="AB4402"/>
        </row>
        <row r="4403">
          <cell r="C4403">
            <v>2</v>
          </cell>
          <cell r="D4403">
            <v>2</v>
          </cell>
          <cell r="E4403">
            <v>2</v>
          </cell>
          <cell r="F4403">
            <v>0</v>
          </cell>
          <cell r="H4403">
            <v>0</v>
          </cell>
          <cell r="O4403">
            <v>234033</v>
          </cell>
          <cell r="P4403" t="str">
            <v>2019/164-0044-01</v>
          </cell>
          <cell r="Q4403" t="str">
            <v>EST ALMOFADA (GREEN COMPLIMENT 2 ED) (COD 120550128)</v>
          </cell>
          <cell r="R4403"/>
          <cell r="S4403"/>
          <cell r="T4403">
            <v>0.5</v>
          </cell>
          <cell r="U4403">
            <v>0.5</v>
          </cell>
          <cell r="V4403">
            <v>0.15</v>
          </cell>
          <cell r="W4403">
            <v>0</v>
          </cell>
          <cell r="X4403" t="str">
            <v>EST ALMOFADA (GREEN COMPLIMENT 2 ED) (COD 120550128) - 0,5x0,5x0,15H</v>
          </cell>
          <cell r="Y4403">
            <v>500</v>
          </cell>
          <cell r="Z4403">
            <v>0.5</v>
          </cell>
          <cell r="AA4403">
            <v>250</v>
          </cell>
          <cell r="AB4403"/>
        </row>
        <row r="4404">
          <cell r="C4404">
            <v>2</v>
          </cell>
          <cell r="D4404">
            <v>2</v>
          </cell>
          <cell r="E4404">
            <v>2</v>
          </cell>
          <cell r="F4404">
            <v>0</v>
          </cell>
          <cell r="H4404">
            <v>0</v>
          </cell>
          <cell r="O4404">
            <v>234033</v>
          </cell>
          <cell r="P4404" t="str">
            <v>2019/164-0046-01</v>
          </cell>
          <cell r="Q4404" t="str">
            <v>EST ALMOFADA (GREEN COMPLIMENT 2 ED) (COD 120550128)</v>
          </cell>
          <cell r="R4404"/>
          <cell r="S4404"/>
          <cell r="T4404">
            <v>0.5</v>
          </cell>
          <cell r="U4404">
            <v>0.5</v>
          </cell>
          <cell r="V4404">
            <v>0.15</v>
          </cell>
          <cell r="W4404">
            <v>0</v>
          </cell>
          <cell r="X4404" t="str">
            <v>EST ALMOFADA (GREEN COMPLIMENT 2 ED) (COD 120550128) - 0,5x0,5x0,15H</v>
          </cell>
          <cell r="Y4404">
            <v>500</v>
          </cell>
          <cell r="Z4404">
            <v>0.5</v>
          </cell>
          <cell r="AA4404">
            <v>250</v>
          </cell>
          <cell r="AB4404"/>
        </row>
        <row r="4405">
          <cell r="C4405">
            <v>1</v>
          </cell>
          <cell r="D4405">
            <v>0</v>
          </cell>
          <cell r="E4405">
            <v>0</v>
          </cell>
          <cell r="F4405">
            <v>0</v>
          </cell>
          <cell r="H4405">
            <v>0</v>
          </cell>
          <cell r="O4405">
            <v>64152</v>
          </cell>
          <cell r="P4405"/>
          <cell r="Q4405" t="str">
            <v>EST GELEIRA PF-GL-01PF</v>
          </cell>
          <cell r="R4405"/>
          <cell r="S4405"/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 t="str">
            <v>EST GELEIRA PF-GL-01PF - Ø0x0H</v>
          </cell>
          <cell r="Y4405">
            <v>0</v>
          </cell>
          <cell r="Z4405">
            <v>0.35</v>
          </cell>
          <cell r="AA4405">
            <v>0</v>
          </cell>
          <cell r="AB4405"/>
        </row>
        <row r="4406">
          <cell r="C4406">
            <v>0</v>
          </cell>
          <cell r="D4406">
            <v>2</v>
          </cell>
          <cell r="E4406">
            <v>0</v>
          </cell>
          <cell r="F4406">
            <v>0</v>
          </cell>
          <cell r="H4406">
            <v>0</v>
          </cell>
          <cell r="O4406">
            <v>101056</v>
          </cell>
          <cell r="P4406"/>
          <cell r="Q4406" t="str">
            <v>EST AC PASSARO R1 11 9 23100011</v>
          </cell>
          <cell r="R4406"/>
          <cell r="S4406"/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 t="str">
            <v>EST AC PASSARO R1 11 9 23100011 - Ø0x0H</v>
          </cell>
          <cell r="Y4406">
            <v>0</v>
          </cell>
          <cell r="Z4406">
            <v>0.35</v>
          </cell>
          <cell r="AA4406">
            <v>0</v>
          </cell>
          <cell r="AB4406"/>
        </row>
        <row r="4407">
          <cell r="C4407">
            <v>4</v>
          </cell>
          <cell r="D4407">
            <v>0</v>
          </cell>
          <cell r="E4407">
            <v>0</v>
          </cell>
          <cell r="F4407">
            <v>0</v>
          </cell>
          <cell r="H4407">
            <v>0</v>
          </cell>
          <cell r="O4407">
            <v>101061</v>
          </cell>
          <cell r="P4407"/>
          <cell r="Q4407" t="str">
            <v>EST AC TACA ESTRELA 22600052</v>
          </cell>
          <cell r="R4407"/>
          <cell r="S4407"/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 t="str">
            <v>EST AC TACA ESTRELA 22600052 - Ø0x0H</v>
          </cell>
          <cell r="Y4407">
            <v>0</v>
          </cell>
          <cell r="Z4407">
            <v>0.35</v>
          </cell>
          <cell r="AA4407">
            <v>0</v>
          </cell>
          <cell r="AB4407"/>
        </row>
        <row r="4408">
          <cell r="C4408">
            <v>6</v>
          </cell>
          <cell r="D4408">
            <v>0</v>
          </cell>
          <cell r="E4408">
            <v>0</v>
          </cell>
          <cell r="F4408">
            <v>0</v>
          </cell>
          <cell r="H4408">
            <v>0</v>
          </cell>
          <cell r="O4408">
            <v>101068</v>
          </cell>
          <cell r="P4408"/>
          <cell r="Q4408" t="str">
            <v>EST AC PRATO VERDE SC14 M 21300214</v>
          </cell>
          <cell r="R4408"/>
          <cell r="S4408"/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 t="str">
            <v>EST AC PRATO VERDE SC14 M 21300214 - Ø0x0H</v>
          </cell>
          <cell r="Y4408">
            <v>0</v>
          </cell>
          <cell r="Z4408">
            <v>0.35</v>
          </cell>
          <cell r="AA4408">
            <v>0</v>
          </cell>
          <cell r="AB4408"/>
        </row>
        <row r="4409">
          <cell r="C4409">
            <v>8</v>
          </cell>
          <cell r="D4409">
            <v>0</v>
          </cell>
          <cell r="E4409">
            <v>0</v>
          </cell>
          <cell r="F4409">
            <v>0</v>
          </cell>
          <cell r="H4409">
            <v>0</v>
          </cell>
          <cell r="O4409">
            <v>101069</v>
          </cell>
          <cell r="P4409"/>
          <cell r="Q4409" t="str">
            <v>EST AC PRATO VERDE SC13 P 21300215</v>
          </cell>
          <cell r="R4409"/>
          <cell r="S4409"/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 t="str">
            <v>EST AC PRATO VERDE SC13 P 21300215 - Ø0x0H</v>
          </cell>
          <cell r="Y4409">
            <v>0</v>
          </cell>
          <cell r="Z4409">
            <v>0.35</v>
          </cell>
          <cell r="AA4409">
            <v>0</v>
          </cell>
          <cell r="AB4409"/>
        </row>
        <row r="4410">
          <cell r="C4410">
            <v>0</v>
          </cell>
          <cell r="D4410">
            <v>2</v>
          </cell>
          <cell r="E4410">
            <v>1</v>
          </cell>
          <cell r="F4410">
            <v>0</v>
          </cell>
          <cell r="H4410">
            <v>0</v>
          </cell>
          <cell r="O4410">
            <v>101073</v>
          </cell>
          <cell r="P4410"/>
          <cell r="Q4410" t="str">
            <v>EST AC PINCEL DECORATIVO 82000031</v>
          </cell>
          <cell r="R4410"/>
          <cell r="S4410"/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 t="str">
            <v>EST AC PINCEL DECORATIVO 82000031 - Ø0x0H</v>
          </cell>
          <cell r="Y4410">
            <v>0</v>
          </cell>
          <cell r="Z4410">
            <v>0.35</v>
          </cell>
          <cell r="AA4410">
            <v>0</v>
          </cell>
          <cell r="AB4410"/>
        </row>
        <row r="4411">
          <cell r="C4411">
            <v>1</v>
          </cell>
          <cell r="D4411">
            <v>0</v>
          </cell>
          <cell r="E4411">
            <v>0</v>
          </cell>
          <cell r="F4411">
            <v>0</v>
          </cell>
          <cell r="H4411">
            <v>0</v>
          </cell>
          <cell r="O4411">
            <v>101102</v>
          </cell>
          <cell r="P4411"/>
          <cell r="Q4411" t="str">
            <v>EST VASO DE MADEIRA (WP011) (22400031)</v>
          </cell>
          <cell r="R4411"/>
          <cell r="S4411"/>
          <cell r="T4411">
            <v>0</v>
          </cell>
          <cell r="U4411">
            <v>0</v>
          </cell>
          <cell r="V4411">
            <v>0.92</v>
          </cell>
          <cell r="W4411">
            <v>0</v>
          </cell>
          <cell r="X4411" t="str">
            <v>EST VASO DE MADEIRA (WP011) (22400031) - Ø0x0,92H</v>
          </cell>
          <cell r="Y4411">
            <v>0</v>
          </cell>
          <cell r="Z4411">
            <v>0.35</v>
          </cell>
          <cell r="AA4411">
            <v>0</v>
          </cell>
          <cell r="AB4411"/>
        </row>
        <row r="4412">
          <cell r="C4412">
            <v>5</v>
          </cell>
          <cell r="D4412">
            <v>0</v>
          </cell>
          <cell r="E4412">
            <v>0</v>
          </cell>
          <cell r="F4412">
            <v>0</v>
          </cell>
          <cell r="H4412">
            <v>0</v>
          </cell>
          <cell r="O4412">
            <v>101510</v>
          </cell>
          <cell r="P4412"/>
          <cell r="Q4412" t="str">
            <v>EST AC C MESA MATHELADO BRANCO D50CM</v>
          </cell>
          <cell r="R4412"/>
          <cell r="S4412"/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 t="str">
            <v>EST AC C MESA MATHELADO BRANCO D50CM - Ø0x0H</v>
          </cell>
          <cell r="Y4412">
            <v>0</v>
          </cell>
          <cell r="Z4412">
            <v>0.35</v>
          </cell>
          <cell r="AA4412">
            <v>0</v>
          </cell>
          <cell r="AB4412"/>
        </row>
        <row r="4413">
          <cell r="C4413">
            <v>1</v>
          </cell>
          <cell r="D4413">
            <v>0</v>
          </cell>
          <cell r="E4413">
            <v>0</v>
          </cell>
          <cell r="F4413">
            <v>0</v>
          </cell>
          <cell r="H4413">
            <v>0</v>
          </cell>
          <cell r="O4413">
            <v>101802</v>
          </cell>
          <cell r="P4413"/>
          <cell r="Q4413" t="str">
            <v>EST AC C MESA MADAME BUTTERFLY BRANCO H7,5X36CM</v>
          </cell>
          <cell r="R4413"/>
          <cell r="S4413"/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 t="str">
            <v>EST AC C MESA MADAME BUTTERFLY BRANCO H7,5X36CM - Ø0x0H</v>
          </cell>
          <cell r="Y4413">
            <v>0</v>
          </cell>
          <cell r="Z4413">
            <v>0.35</v>
          </cell>
          <cell r="AA4413">
            <v>0</v>
          </cell>
          <cell r="AB4413"/>
        </row>
        <row r="4414">
          <cell r="C4414">
            <v>0</v>
          </cell>
          <cell r="D4414">
            <v>1</v>
          </cell>
          <cell r="E4414">
            <v>0</v>
          </cell>
          <cell r="F4414">
            <v>0</v>
          </cell>
          <cell r="H4414">
            <v>0</v>
          </cell>
          <cell r="O4414">
            <v>101807</v>
          </cell>
          <cell r="P4414"/>
          <cell r="Q4414" t="str">
            <v>EST AC BALDE P GELO P COBRE H23X32X21CM</v>
          </cell>
          <cell r="R4414"/>
          <cell r="S4414"/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 t="str">
            <v>EST AC BALDE P GELO P COBRE H23X32X21CM - Ø0x0H</v>
          </cell>
          <cell r="Y4414">
            <v>0</v>
          </cell>
          <cell r="Z4414">
            <v>0.35</v>
          </cell>
          <cell r="AA4414">
            <v>0</v>
          </cell>
          <cell r="AB4414"/>
        </row>
        <row r="4415">
          <cell r="C4415">
            <v>0</v>
          </cell>
          <cell r="D4415">
            <v>1</v>
          </cell>
          <cell r="E4415">
            <v>0</v>
          </cell>
          <cell r="F4415">
            <v>0</v>
          </cell>
          <cell r="H4415">
            <v>0</v>
          </cell>
          <cell r="O4415">
            <v>101810</v>
          </cell>
          <cell r="P4415"/>
          <cell r="Q4415" t="str">
            <v>EST AC C DE MESA MADAME BUTTERFLY COBRE H7,5X36CM</v>
          </cell>
          <cell r="R4415"/>
          <cell r="S4415"/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 t="str">
            <v>EST AC C DE MESA MADAME BUTTERFLY COBRE H7,5X36CM - Ø0x0H</v>
          </cell>
          <cell r="Y4415">
            <v>0</v>
          </cell>
          <cell r="Z4415">
            <v>0.35</v>
          </cell>
          <cell r="AA4415">
            <v>0</v>
          </cell>
          <cell r="AB4415"/>
        </row>
        <row r="4416">
          <cell r="C4416">
            <v>1</v>
          </cell>
          <cell r="D4416">
            <v>0</v>
          </cell>
          <cell r="E4416">
            <v>0</v>
          </cell>
          <cell r="F4416">
            <v>0</v>
          </cell>
          <cell r="H4416">
            <v>0</v>
          </cell>
          <cell r="O4416">
            <v>101970</v>
          </cell>
          <cell r="P4416"/>
          <cell r="Q4416" t="str">
            <v>EST ESPELHO ST7044 (LACA PRATA) (ESPELHO FUME)</v>
          </cell>
          <cell r="R4416"/>
          <cell r="S4416"/>
          <cell r="T4416">
            <v>1.1000000000000001</v>
          </cell>
          <cell r="U4416">
            <v>2.1</v>
          </cell>
          <cell r="V4416">
            <v>0</v>
          </cell>
          <cell r="W4416">
            <v>0</v>
          </cell>
          <cell r="X4416" t="str">
            <v>EST ESPELHO ST7044 (LACA PRATA) (ESPELHO FUME) - 1,1x2,1x0H</v>
          </cell>
          <cell r="Y4416">
            <v>0</v>
          </cell>
          <cell r="Z4416">
            <v>0.35</v>
          </cell>
          <cell r="AA4416">
            <v>0</v>
          </cell>
          <cell r="AB4416"/>
        </row>
        <row r="4417">
          <cell r="C4417">
            <v>1</v>
          </cell>
          <cell r="D4417">
            <v>0</v>
          </cell>
          <cell r="E4417">
            <v>0</v>
          </cell>
          <cell r="F4417">
            <v>0</v>
          </cell>
          <cell r="H4417">
            <v>0</v>
          </cell>
          <cell r="O4417">
            <v>112719</v>
          </cell>
          <cell r="P4417"/>
          <cell r="Q4417" t="str">
            <v>EST AC VASO VD DAMASCO PQ 35X23,5D TURQUESA</v>
          </cell>
          <cell r="R4417"/>
          <cell r="S4417"/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 t="str">
            <v>EST AC VASO VD DAMASCO PQ 35X23,5D TURQUESA - Ø0x0H</v>
          </cell>
          <cell r="Y4417">
            <v>0</v>
          </cell>
          <cell r="Z4417">
            <v>0.35</v>
          </cell>
          <cell r="AA4417">
            <v>0</v>
          </cell>
          <cell r="AB4417"/>
        </row>
        <row r="4418">
          <cell r="C4418">
            <v>1</v>
          </cell>
          <cell r="D4418">
            <v>0</v>
          </cell>
          <cell r="E4418">
            <v>0</v>
          </cell>
          <cell r="F4418">
            <v>0</v>
          </cell>
          <cell r="H4418">
            <v>0</v>
          </cell>
          <cell r="O4418">
            <v>112754</v>
          </cell>
          <cell r="P4418"/>
          <cell r="Q4418" t="str">
            <v>EST AC VASO VD BUBBLE PQ 21X16D VERDE</v>
          </cell>
          <cell r="R4418"/>
          <cell r="S4418"/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 t="str">
            <v>EST AC VASO VD BUBBLE PQ 21X16D VERDE - Ø0x0H</v>
          </cell>
          <cell r="Y4418">
            <v>0</v>
          </cell>
          <cell r="Z4418">
            <v>0.35</v>
          </cell>
          <cell r="AA4418">
            <v>0</v>
          </cell>
          <cell r="AB4418"/>
        </row>
        <row r="4419">
          <cell r="C4419">
            <v>0</v>
          </cell>
          <cell r="D4419">
            <v>1</v>
          </cell>
          <cell r="E4419">
            <v>0</v>
          </cell>
          <cell r="F4419">
            <v>0</v>
          </cell>
          <cell r="H4419">
            <v>0</v>
          </cell>
          <cell r="O4419">
            <v>121930</v>
          </cell>
          <cell r="P4419"/>
          <cell r="Q4419" t="str">
            <v>EST AC GARRAFA VD GR TOWER 48,5X14 AZUL</v>
          </cell>
          <cell r="R4419"/>
          <cell r="S4419"/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 t="str">
            <v>EST AC GARRAFA VD GR TOWER 48,5X14 AZUL - Ø0x0H</v>
          </cell>
          <cell r="Y4419">
            <v>0</v>
          </cell>
          <cell r="Z4419">
            <v>0.35</v>
          </cell>
          <cell r="AA4419">
            <v>0</v>
          </cell>
          <cell r="AB4419"/>
        </row>
        <row r="4420">
          <cell r="C4420">
            <v>0</v>
          </cell>
          <cell r="D4420">
            <v>1</v>
          </cell>
          <cell r="E4420">
            <v>0</v>
          </cell>
          <cell r="F4420">
            <v>0</v>
          </cell>
          <cell r="H4420">
            <v>0</v>
          </cell>
          <cell r="O4420">
            <v>121936</v>
          </cell>
          <cell r="P4420"/>
          <cell r="Q4420" t="str">
            <v>EST AC GARRAFA VD DOCILA PQ 21,5X19 VERDE</v>
          </cell>
          <cell r="R4420"/>
          <cell r="S4420"/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 t="str">
            <v>EST AC GARRAFA VD DOCILA PQ 21,5X19 VERDE - Ø0x0H</v>
          </cell>
          <cell r="Y4420">
            <v>0</v>
          </cell>
          <cell r="Z4420">
            <v>0.35</v>
          </cell>
          <cell r="AA4420">
            <v>0</v>
          </cell>
          <cell r="AB4420"/>
        </row>
        <row r="4421">
          <cell r="C4421">
            <v>0</v>
          </cell>
          <cell r="D4421">
            <v>1</v>
          </cell>
          <cell r="E4421">
            <v>0</v>
          </cell>
          <cell r="F4421">
            <v>0</v>
          </cell>
          <cell r="H4421">
            <v>0</v>
          </cell>
          <cell r="O4421">
            <v>121940</v>
          </cell>
          <cell r="P4421"/>
          <cell r="Q4421" t="str">
            <v>EST AC COPO REFRESCO VD HARMONIA C/ 6 290ML AZUL</v>
          </cell>
          <cell r="R4421"/>
          <cell r="S4421"/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 t="str">
            <v>EST AC COPO REFRESCO VD HARMONIA C/ 6 290ML AZUL - Ø0x0H</v>
          </cell>
          <cell r="Y4421">
            <v>0</v>
          </cell>
          <cell r="Z4421">
            <v>0.35</v>
          </cell>
          <cell r="AA4421">
            <v>0</v>
          </cell>
          <cell r="AB4421"/>
        </row>
        <row r="4422">
          <cell r="C4422">
            <v>0</v>
          </cell>
          <cell r="D4422">
            <v>1</v>
          </cell>
          <cell r="E4422">
            <v>0</v>
          </cell>
          <cell r="F4422">
            <v>0</v>
          </cell>
          <cell r="H4422">
            <v>0</v>
          </cell>
          <cell r="O4422">
            <v>121941</v>
          </cell>
          <cell r="P4422"/>
          <cell r="Q4422" t="str">
            <v>EST AC COPO REFRESCO VD HARMONIA C/ 6 290ML AMARELO</v>
          </cell>
          <cell r="R4422"/>
          <cell r="S4422"/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 t="str">
            <v>EST AC COPO REFRESCO VD HARMONIA C/ 6 290ML AMARELO - Ø0x0H</v>
          </cell>
          <cell r="Y4422">
            <v>0</v>
          </cell>
          <cell r="Z4422">
            <v>0.35</v>
          </cell>
          <cell r="AA4422">
            <v>0</v>
          </cell>
          <cell r="AB4422"/>
        </row>
        <row r="4423">
          <cell r="C4423">
            <v>0</v>
          </cell>
          <cell r="D4423">
            <v>1</v>
          </cell>
          <cell r="E4423">
            <v>0</v>
          </cell>
          <cell r="F4423">
            <v>0</v>
          </cell>
          <cell r="H4423">
            <v>0</v>
          </cell>
          <cell r="O4423">
            <v>121943</v>
          </cell>
          <cell r="P4423"/>
          <cell r="Q4423" t="str">
            <v>EST AC COPO LONG DRINK VD GOLD C/6 415ML</v>
          </cell>
          <cell r="R4423"/>
          <cell r="S4423"/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 t="str">
            <v>EST AC COPO LONG DRINK VD GOLD C/6 415ML - Ø0x0H</v>
          </cell>
          <cell r="Y4423">
            <v>0</v>
          </cell>
          <cell r="Z4423">
            <v>0.35</v>
          </cell>
          <cell r="AA4423">
            <v>0</v>
          </cell>
          <cell r="AB4423"/>
        </row>
        <row r="4424">
          <cell r="C4424">
            <v>0</v>
          </cell>
          <cell r="D4424">
            <v>3</v>
          </cell>
          <cell r="E4424">
            <v>0</v>
          </cell>
          <cell r="F4424">
            <v>0</v>
          </cell>
          <cell r="H4424">
            <v>0</v>
          </cell>
          <cell r="O4424">
            <v>121949</v>
          </cell>
          <cell r="P4424"/>
          <cell r="Q4424" t="str">
            <v>EST AC CASTICAL MD PADUA PQ 25,5X10 NATURAL</v>
          </cell>
          <cell r="R4424"/>
          <cell r="S4424"/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 t="str">
            <v>EST AC CASTICAL MD PADUA PQ 25,5X10 NATURAL - Ø0x0H</v>
          </cell>
          <cell r="Y4424">
            <v>0</v>
          </cell>
          <cell r="Z4424">
            <v>0.35</v>
          </cell>
          <cell r="AA4424">
            <v>0</v>
          </cell>
          <cell r="AB4424"/>
        </row>
        <row r="4425">
          <cell r="C4425">
            <v>0</v>
          </cell>
          <cell r="D4425">
            <v>1</v>
          </cell>
          <cell r="E4425">
            <v>0</v>
          </cell>
          <cell r="F4425">
            <v>0</v>
          </cell>
          <cell r="H4425">
            <v>0</v>
          </cell>
          <cell r="O4425">
            <v>121987</v>
          </cell>
          <cell r="P4425"/>
          <cell r="Q4425" t="str">
            <v>EST AC VASO OPTICO M3 BRANCO H26CM</v>
          </cell>
          <cell r="R4425"/>
          <cell r="S4425"/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 t="str">
            <v>EST AC VASO OPTICO M3 BRANCO H26CM - Ø0x0H</v>
          </cell>
          <cell r="Y4425">
            <v>0</v>
          </cell>
          <cell r="Z4425">
            <v>0.35</v>
          </cell>
          <cell r="AA4425">
            <v>0</v>
          </cell>
          <cell r="AB4425"/>
        </row>
        <row r="4426">
          <cell r="C4426">
            <v>0</v>
          </cell>
          <cell r="D4426">
            <v>8</v>
          </cell>
          <cell r="E4426">
            <v>0</v>
          </cell>
          <cell r="F4426">
            <v>0</v>
          </cell>
          <cell r="H4426">
            <v>0</v>
          </cell>
          <cell r="O4426">
            <v>121990</v>
          </cell>
          <cell r="P4426"/>
          <cell r="Q4426" t="str">
            <v>EST AC VASO DANCA BRANCO H14CM</v>
          </cell>
          <cell r="R4426"/>
          <cell r="S4426"/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 t="str">
            <v>EST AC VASO DANCA BRANCO H14CM - Ø0x0H</v>
          </cell>
          <cell r="Y4426">
            <v>0</v>
          </cell>
          <cell r="Z4426">
            <v>0.35</v>
          </cell>
          <cell r="AA4426">
            <v>0</v>
          </cell>
          <cell r="AB4426"/>
        </row>
        <row r="4427">
          <cell r="C4427">
            <v>0</v>
          </cell>
          <cell r="D4427">
            <v>2</v>
          </cell>
          <cell r="E4427">
            <v>0</v>
          </cell>
          <cell r="F4427">
            <v>0</v>
          </cell>
          <cell r="H4427">
            <v>0</v>
          </cell>
          <cell r="O4427">
            <v>121994</v>
          </cell>
          <cell r="P4427"/>
          <cell r="Q4427" t="str">
            <v>EST AC VASO PLISSAN P OURO H30CM</v>
          </cell>
          <cell r="R4427"/>
          <cell r="S4427"/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 t="str">
            <v>EST AC VASO PLISSAN P OURO H30CM - Ø0x0H</v>
          </cell>
          <cell r="Y4427">
            <v>0</v>
          </cell>
          <cell r="Z4427">
            <v>0.35</v>
          </cell>
          <cell r="AA4427">
            <v>0</v>
          </cell>
          <cell r="AB4427"/>
        </row>
        <row r="4428">
          <cell r="C4428">
            <v>0</v>
          </cell>
          <cell r="D4428">
            <v>2</v>
          </cell>
          <cell r="E4428">
            <v>0</v>
          </cell>
          <cell r="F4428">
            <v>0</v>
          </cell>
          <cell r="H4428">
            <v>0</v>
          </cell>
          <cell r="O4428">
            <v>122028</v>
          </cell>
          <cell r="P4428"/>
          <cell r="Q4428" t="str">
            <v>EST AC VASO PLISSAN G OURO H39CM</v>
          </cell>
          <cell r="R4428"/>
          <cell r="S4428"/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 t="str">
            <v>EST AC VASO PLISSAN G OURO H39CM - Ø0x0H</v>
          </cell>
          <cell r="Y4428">
            <v>0</v>
          </cell>
          <cell r="Z4428">
            <v>0.35</v>
          </cell>
          <cell r="AA4428">
            <v>0</v>
          </cell>
          <cell r="AB4428"/>
        </row>
        <row r="4429">
          <cell r="C4429">
            <v>0</v>
          </cell>
          <cell r="D4429">
            <v>2</v>
          </cell>
          <cell r="E4429">
            <v>0</v>
          </cell>
          <cell r="F4429">
            <v>0</v>
          </cell>
          <cell r="H4429">
            <v>0</v>
          </cell>
          <cell r="O4429">
            <v>122038</v>
          </cell>
          <cell r="P4429"/>
          <cell r="Q4429" t="str">
            <v>EST AC MESA MATHELADO BRANCO D50CM</v>
          </cell>
          <cell r="R4429"/>
          <cell r="S4429"/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 t="str">
            <v>EST AC MESA MATHELADO BRANCO D50CM - Ø0x0H</v>
          </cell>
          <cell r="Y4429">
            <v>0</v>
          </cell>
          <cell r="Z4429">
            <v>0.35</v>
          </cell>
          <cell r="AA4429">
            <v>0</v>
          </cell>
          <cell r="AB4429"/>
        </row>
        <row r="4430">
          <cell r="C4430">
            <v>1</v>
          </cell>
          <cell r="D4430">
            <v>0</v>
          </cell>
          <cell r="E4430">
            <v>0</v>
          </cell>
          <cell r="F4430">
            <v>0</v>
          </cell>
          <cell r="H4430">
            <v>0</v>
          </cell>
          <cell r="O4430">
            <v>122052</v>
          </cell>
          <cell r="P4430"/>
          <cell r="Q4430" t="str">
            <v>EST AC CAIXA OSSO MESSE P</v>
          </cell>
          <cell r="R4430"/>
          <cell r="S4430"/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 t="str">
            <v>EST AC CAIXA OSSO MESSE P - Ø0x0H</v>
          </cell>
          <cell r="Y4430">
            <v>0</v>
          </cell>
          <cell r="Z4430">
            <v>0.35</v>
          </cell>
          <cell r="AA4430">
            <v>0</v>
          </cell>
          <cell r="AB4430"/>
        </row>
        <row r="4431">
          <cell r="C4431">
            <v>1</v>
          </cell>
          <cell r="D4431">
            <v>0</v>
          </cell>
          <cell r="E4431">
            <v>0</v>
          </cell>
          <cell r="F4431">
            <v>0</v>
          </cell>
          <cell r="H4431">
            <v>0</v>
          </cell>
          <cell r="O4431">
            <v>122054</v>
          </cell>
          <cell r="P4431"/>
          <cell r="Q4431" t="str">
            <v>EST AC CAIXA OSSO MESSE LONGA</v>
          </cell>
          <cell r="R4431"/>
          <cell r="S4431"/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 t="str">
            <v>EST AC CAIXA OSSO MESSE LONGA - Ø0x0H</v>
          </cell>
          <cell r="Y4431">
            <v>0</v>
          </cell>
          <cell r="Z4431">
            <v>0.35</v>
          </cell>
          <cell r="AA4431">
            <v>0</v>
          </cell>
          <cell r="AB4431"/>
        </row>
        <row r="4432">
          <cell r="C4432">
            <v>1</v>
          </cell>
          <cell r="D4432">
            <v>0</v>
          </cell>
          <cell r="E4432">
            <v>0</v>
          </cell>
          <cell r="F4432">
            <v>0</v>
          </cell>
          <cell r="H4432">
            <v>0</v>
          </cell>
          <cell r="O4432">
            <v>122056</v>
          </cell>
          <cell r="P4432"/>
          <cell r="Q4432" t="str">
            <v>EST AC CAIXA OSSO DAS EXTRA G</v>
          </cell>
          <cell r="R4432"/>
          <cell r="S4432"/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 t="str">
            <v>EST AC CAIXA OSSO DAS EXTRA G - Ø0x0H</v>
          </cell>
          <cell r="Y4432">
            <v>0</v>
          </cell>
          <cell r="Z4432">
            <v>0.35</v>
          </cell>
          <cell r="AA4432">
            <v>0</v>
          </cell>
          <cell r="AB4432"/>
        </row>
        <row r="4433">
          <cell r="C4433">
            <v>0</v>
          </cell>
          <cell r="D4433">
            <v>1</v>
          </cell>
          <cell r="E4433">
            <v>0</v>
          </cell>
          <cell r="F4433">
            <v>0</v>
          </cell>
          <cell r="H4433">
            <v>0</v>
          </cell>
          <cell r="O4433">
            <v>147417</v>
          </cell>
          <cell r="P4433"/>
          <cell r="Q4433" t="str">
            <v>EST GONDOLA C/OURO (FUME C/OURO) (COD.20544)</v>
          </cell>
          <cell r="R4433"/>
          <cell r="S4433"/>
          <cell r="T4433">
            <v>0.68</v>
          </cell>
          <cell r="U4433">
            <v>0.16</v>
          </cell>
          <cell r="V4433">
            <v>0</v>
          </cell>
          <cell r="W4433">
            <v>0</v>
          </cell>
          <cell r="X4433" t="str">
            <v>EST GONDOLA C/OURO (FUME C/OURO) (COD.20544) - 0,68x0,16x0H</v>
          </cell>
          <cell r="Y4433">
            <v>0</v>
          </cell>
          <cell r="Z4433">
            <v>0.35</v>
          </cell>
          <cell r="AA4433">
            <v>0</v>
          </cell>
          <cell r="AB4433"/>
        </row>
        <row r="4434">
          <cell r="C4434">
            <v>0</v>
          </cell>
          <cell r="D4434">
            <v>1</v>
          </cell>
          <cell r="E4434">
            <v>0</v>
          </cell>
          <cell r="F4434">
            <v>0</v>
          </cell>
          <cell r="H4434">
            <v>0</v>
          </cell>
          <cell r="O4434">
            <v>147418</v>
          </cell>
          <cell r="P4434"/>
          <cell r="Q4434" t="str">
            <v>EST CENTRO C/OURO (P) GRAFITE C/OURO (COD.6144)</v>
          </cell>
          <cell r="R4434"/>
          <cell r="S4434"/>
          <cell r="T4434">
            <v>0.25</v>
          </cell>
          <cell r="U4434">
            <v>0.13</v>
          </cell>
          <cell r="V4434">
            <v>0.11</v>
          </cell>
          <cell r="W4434">
            <v>0</v>
          </cell>
          <cell r="X4434" t="str">
            <v>EST CENTRO C/OURO (P) GRAFITE C/OURO (COD.6144) - 0,25x0,13x0,11H</v>
          </cell>
          <cell r="Y4434">
            <v>0</v>
          </cell>
          <cell r="Z4434">
            <v>0.35</v>
          </cell>
          <cell r="AA4434">
            <v>0</v>
          </cell>
          <cell r="AB4434"/>
        </row>
        <row r="4435">
          <cell r="C4435">
            <v>1</v>
          </cell>
          <cell r="D4435">
            <v>1</v>
          </cell>
          <cell r="E4435">
            <v>0</v>
          </cell>
          <cell r="F4435">
            <v>0</v>
          </cell>
          <cell r="H4435">
            <v>0</v>
          </cell>
          <cell r="O4435">
            <v>147447</v>
          </cell>
          <cell r="P4435"/>
          <cell r="Q4435" t="str">
            <v>EST ABAJUR (METAL | VIDRO)</v>
          </cell>
          <cell r="R4435"/>
          <cell r="S4435"/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 t="str">
            <v>EST ABAJUR (METAL | VIDRO) - Ø0x0H</v>
          </cell>
          <cell r="Y4435">
            <v>0</v>
          </cell>
          <cell r="Z4435">
            <v>0.35</v>
          </cell>
          <cell r="AA4435">
            <v>0</v>
          </cell>
          <cell r="AB4435"/>
        </row>
        <row r="4436">
          <cell r="C4436">
            <v>0</v>
          </cell>
          <cell r="D4436">
            <v>1</v>
          </cell>
          <cell r="E4436">
            <v>0</v>
          </cell>
          <cell r="F4436">
            <v>0</v>
          </cell>
          <cell r="H4436">
            <v>0</v>
          </cell>
          <cell r="O4436">
            <v>147505</v>
          </cell>
          <cell r="P4436"/>
          <cell r="Q4436" t="str">
            <v>EST F. D75 PLATINA</v>
          </cell>
          <cell r="R4436"/>
          <cell r="S4436"/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 t="str">
            <v>EST F. D75 PLATINA - Ø0x0H</v>
          </cell>
          <cell r="Y4436">
            <v>0</v>
          </cell>
          <cell r="Z4436">
            <v>0.35</v>
          </cell>
          <cell r="AA4436">
            <v>0</v>
          </cell>
          <cell r="AB4436"/>
        </row>
        <row r="4437">
          <cell r="C4437">
            <v>0</v>
          </cell>
          <cell r="D4437">
            <v>0</v>
          </cell>
          <cell r="E4437">
            <v>1</v>
          </cell>
          <cell r="F4437">
            <v>0</v>
          </cell>
          <cell r="H4437">
            <v>0</v>
          </cell>
          <cell r="O4437">
            <v>147584</v>
          </cell>
          <cell r="P4437"/>
          <cell r="Q4437" t="str">
            <v>EST VASO FOSCO VIDRO (COD.77102)</v>
          </cell>
          <cell r="R4437"/>
          <cell r="S4437"/>
          <cell r="T4437">
            <v>0</v>
          </cell>
          <cell r="U4437">
            <v>0</v>
          </cell>
          <cell r="V4437">
            <v>0.31</v>
          </cell>
          <cell r="W4437">
            <v>0.23</v>
          </cell>
          <cell r="X4437" t="str">
            <v>EST VASO FOSCO VIDRO (COD.77102) - Ø0,23x0,31H</v>
          </cell>
          <cell r="Y4437">
            <v>0</v>
          </cell>
          <cell r="Z4437">
            <v>0.35</v>
          </cell>
          <cell r="AA4437">
            <v>0</v>
          </cell>
          <cell r="AB4437"/>
        </row>
        <row r="4438">
          <cell r="C4438">
            <v>1</v>
          </cell>
          <cell r="D4438">
            <v>1</v>
          </cell>
          <cell r="E4438">
            <v>0</v>
          </cell>
          <cell r="F4438">
            <v>0</v>
          </cell>
          <cell r="H4438">
            <v>0</v>
          </cell>
          <cell r="O4438">
            <v>149931</v>
          </cell>
          <cell r="P4438"/>
          <cell r="Q4438" t="str">
            <v>EST AC VASO EDROS P BRANCO C/ PRATA H24CM</v>
          </cell>
          <cell r="R4438"/>
          <cell r="S4438"/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 t="str">
            <v>EST AC VASO EDROS P BRANCO C/ PRATA H24CM - Ø0x0H</v>
          </cell>
          <cell r="Y4438">
            <v>0</v>
          </cell>
          <cell r="Z4438">
            <v>0.35</v>
          </cell>
          <cell r="AA4438">
            <v>0</v>
          </cell>
          <cell r="AB4438"/>
        </row>
        <row r="4439">
          <cell r="C4439">
            <v>1</v>
          </cell>
          <cell r="D4439">
            <v>1</v>
          </cell>
          <cell r="E4439">
            <v>0</v>
          </cell>
          <cell r="F4439">
            <v>0</v>
          </cell>
          <cell r="H4439">
            <v>0</v>
          </cell>
          <cell r="O4439">
            <v>149933</v>
          </cell>
          <cell r="P4439"/>
          <cell r="Q4439" t="str">
            <v>EST AC CACHEPOT DIAMANTE G PRETO 23X15H</v>
          </cell>
          <cell r="R4439"/>
          <cell r="S4439"/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 t="str">
            <v>EST AC CACHEPOT DIAMANTE G PRETO 23X15H - Ø0x0H</v>
          </cell>
          <cell r="Y4439">
            <v>0</v>
          </cell>
          <cell r="Z4439">
            <v>0.35</v>
          </cell>
          <cell r="AA4439">
            <v>0</v>
          </cell>
          <cell r="AB4439"/>
        </row>
        <row r="4440">
          <cell r="C4440">
            <v>1</v>
          </cell>
          <cell r="D4440">
            <v>0</v>
          </cell>
          <cell r="E4440">
            <v>1</v>
          </cell>
          <cell r="F4440">
            <v>0</v>
          </cell>
          <cell r="H4440">
            <v>0</v>
          </cell>
          <cell r="O4440">
            <v>149942</v>
          </cell>
          <cell r="P4440"/>
          <cell r="Q4440" t="str">
            <v>EST AC CACHEPOT PLISSAN GG PR BRILHANTE 27X21H</v>
          </cell>
          <cell r="R4440"/>
          <cell r="S4440"/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 t="str">
            <v>EST AC CACHEPOT PLISSAN GG PR BRILHANTE 27X21H - Ø0x0H</v>
          </cell>
          <cell r="Y4440">
            <v>0</v>
          </cell>
          <cell r="Z4440">
            <v>0.35</v>
          </cell>
          <cell r="AA4440">
            <v>0</v>
          </cell>
          <cell r="AB4440"/>
        </row>
        <row r="4441">
          <cell r="C4441">
            <v>0</v>
          </cell>
          <cell r="D4441">
            <v>1</v>
          </cell>
          <cell r="E4441">
            <v>0</v>
          </cell>
          <cell r="F4441">
            <v>0</v>
          </cell>
          <cell r="H4441">
            <v>0</v>
          </cell>
          <cell r="O4441">
            <v>149999</v>
          </cell>
          <cell r="P4441"/>
          <cell r="Q4441" t="str">
            <v>EST ESCULTURA S3-C (MATE METALICO)</v>
          </cell>
          <cell r="R4441"/>
          <cell r="S4441"/>
          <cell r="T4441">
            <v>0.26</v>
          </cell>
          <cell r="U4441">
            <v>0</v>
          </cell>
          <cell r="V4441">
            <v>0.69</v>
          </cell>
          <cell r="W4441">
            <v>0</v>
          </cell>
          <cell r="X4441" t="str">
            <v>EST ESCULTURA S3-C (MATE METALICO) - Ø0x0,69H</v>
          </cell>
          <cell r="Y4441">
            <v>0</v>
          </cell>
          <cell r="Z4441">
            <v>0.35</v>
          </cell>
          <cell r="AA4441">
            <v>0</v>
          </cell>
          <cell r="AB4441"/>
        </row>
        <row r="4442">
          <cell r="C4442">
            <v>0</v>
          </cell>
          <cell r="D4442">
            <v>0</v>
          </cell>
          <cell r="E4442">
            <v>1</v>
          </cell>
          <cell r="F4442">
            <v>0</v>
          </cell>
          <cell r="H4442">
            <v>0</v>
          </cell>
          <cell r="O4442">
            <v>150661</v>
          </cell>
          <cell r="P4442"/>
          <cell r="Q4442" t="str">
            <v>EST AC LIVRO "CONVERSATION PIECE"</v>
          </cell>
          <cell r="R4442"/>
          <cell r="S4442"/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 t="str">
            <v>EST AC LIVRO "CONVERSATION PIECE" - Ø0x0H</v>
          </cell>
          <cell r="Y4442">
            <v>0</v>
          </cell>
          <cell r="Z4442">
            <v>0.35</v>
          </cell>
          <cell r="AA4442">
            <v>0</v>
          </cell>
          <cell r="AB4442"/>
        </row>
        <row r="4443">
          <cell r="C4443">
            <v>0</v>
          </cell>
          <cell r="D4443">
            <v>1</v>
          </cell>
          <cell r="E4443">
            <v>0</v>
          </cell>
          <cell r="F4443">
            <v>0</v>
          </cell>
          <cell r="H4443">
            <v>0</v>
          </cell>
          <cell r="O4443">
            <v>150663</v>
          </cell>
          <cell r="P4443"/>
          <cell r="Q4443" t="str">
            <v>EST AC LIVRO "LUXURIOUS MINIMALISM"</v>
          </cell>
          <cell r="R4443"/>
          <cell r="S4443"/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 t="str">
            <v>EST AC LIVRO "LUXURIOUS MINIMALISM" - Ø0x0H</v>
          </cell>
          <cell r="Y4443">
            <v>0</v>
          </cell>
          <cell r="Z4443">
            <v>0.35</v>
          </cell>
          <cell r="AA4443">
            <v>0</v>
          </cell>
          <cell r="AB4443"/>
        </row>
        <row r="4444">
          <cell r="C4444">
            <v>0</v>
          </cell>
          <cell r="D4444">
            <v>0</v>
          </cell>
          <cell r="E4444">
            <v>1</v>
          </cell>
          <cell r="F4444">
            <v>0</v>
          </cell>
          <cell r="H4444">
            <v>0</v>
          </cell>
          <cell r="O4444">
            <v>150665</v>
          </cell>
          <cell r="P4444"/>
          <cell r="Q4444" t="str">
            <v>EST AC LIVRO "RALPH RUCCI"</v>
          </cell>
          <cell r="R4444"/>
          <cell r="S4444"/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 t="str">
            <v>EST AC LIVRO "RALPH RUCCI" - Ø0x0H</v>
          </cell>
          <cell r="Y4444">
            <v>0</v>
          </cell>
          <cell r="Z4444">
            <v>0.35</v>
          </cell>
          <cell r="AA4444">
            <v>0</v>
          </cell>
          <cell r="AB4444"/>
        </row>
        <row r="4445">
          <cell r="C4445">
            <v>0</v>
          </cell>
          <cell r="D4445">
            <v>1</v>
          </cell>
          <cell r="E4445">
            <v>0</v>
          </cell>
          <cell r="F4445">
            <v>0</v>
          </cell>
          <cell r="H4445">
            <v>0</v>
          </cell>
          <cell r="O4445">
            <v>150666</v>
          </cell>
          <cell r="P4445"/>
          <cell r="Q4445" t="str">
            <v>EST AC LIVRO "FABEIN BARON"</v>
          </cell>
          <cell r="R4445"/>
          <cell r="S4445"/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 t="str">
            <v>EST AC LIVRO "FABEIN BARON" - Ø0x0H</v>
          </cell>
          <cell r="Y4445">
            <v>0</v>
          </cell>
          <cell r="Z4445">
            <v>0.35</v>
          </cell>
          <cell r="AA4445">
            <v>0</v>
          </cell>
          <cell r="AB4445"/>
        </row>
        <row r="4446">
          <cell r="C4446">
            <v>0</v>
          </cell>
          <cell r="D4446">
            <v>1</v>
          </cell>
          <cell r="E4446">
            <v>0</v>
          </cell>
          <cell r="F4446">
            <v>0</v>
          </cell>
          <cell r="H4446">
            <v>0</v>
          </cell>
          <cell r="O4446">
            <v>150683</v>
          </cell>
          <cell r="P4446"/>
          <cell r="Q4446" t="str">
            <v>EST AC LIVRO "90 YEARS BMW"</v>
          </cell>
          <cell r="R4446"/>
          <cell r="S4446"/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 t="str">
            <v>EST AC LIVRO "90 YEARS BMW" - Ø0x0H</v>
          </cell>
          <cell r="Y4446">
            <v>0</v>
          </cell>
          <cell r="Z4446">
            <v>0.35</v>
          </cell>
          <cell r="AA4446">
            <v>0</v>
          </cell>
          <cell r="AB4446"/>
        </row>
        <row r="4447">
          <cell r="C4447">
            <v>1</v>
          </cell>
          <cell r="D4447">
            <v>0</v>
          </cell>
          <cell r="E4447">
            <v>0</v>
          </cell>
          <cell r="F4447">
            <v>0</v>
          </cell>
          <cell r="H4447">
            <v>0</v>
          </cell>
          <cell r="O4447">
            <v>150684</v>
          </cell>
          <cell r="P4447"/>
          <cell r="Q4447" t="str">
            <v>EST AC LIVRO "THOMAS PHEASANT"</v>
          </cell>
          <cell r="R4447"/>
          <cell r="S4447"/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 t="str">
            <v>EST AC LIVRO "THOMAS PHEASANT" - Ø0x0H</v>
          </cell>
          <cell r="Y4447">
            <v>0</v>
          </cell>
          <cell r="Z4447">
            <v>0.35</v>
          </cell>
          <cell r="AA4447">
            <v>0</v>
          </cell>
          <cell r="AB4447"/>
        </row>
        <row r="4448">
          <cell r="C4448">
            <v>0</v>
          </cell>
          <cell r="D4448">
            <v>1</v>
          </cell>
          <cell r="E4448">
            <v>0</v>
          </cell>
          <cell r="F4448">
            <v>0</v>
          </cell>
          <cell r="H4448">
            <v>0</v>
          </cell>
          <cell r="O4448">
            <v>151275</v>
          </cell>
          <cell r="P4448"/>
          <cell r="Q4448" t="str">
            <v>EST AC BANDEJA DESCOLAMENTO MEDIA 43X43X4,5 CAMURCA VANILLA</v>
          </cell>
          <cell r="R4448"/>
          <cell r="S4448"/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 t="str">
            <v>EST AC BANDEJA DESCOLAMENTO MEDIA 43X43X4,5 CAMURCA VANILLA - Ø0x0H</v>
          </cell>
          <cell r="Y4448">
            <v>0</v>
          </cell>
          <cell r="Z4448">
            <v>0.35</v>
          </cell>
          <cell r="AA4448">
            <v>0</v>
          </cell>
          <cell r="AB4448"/>
        </row>
        <row r="4449">
          <cell r="C4449">
            <v>1</v>
          </cell>
          <cell r="D4449">
            <v>0</v>
          </cell>
          <cell r="E4449">
            <v>0</v>
          </cell>
          <cell r="F4449">
            <v>0</v>
          </cell>
          <cell r="H4449">
            <v>0</v>
          </cell>
          <cell r="O4449">
            <v>151277</v>
          </cell>
          <cell r="P4449"/>
          <cell r="Q4449" t="str">
            <v>EST LUMINARIA CUBE (ONIX)</v>
          </cell>
          <cell r="R4449"/>
          <cell r="S4449"/>
          <cell r="T4449">
            <v>0.17</v>
          </cell>
          <cell r="U4449">
            <v>0.17</v>
          </cell>
          <cell r="V4449">
            <v>0.17</v>
          </cell>
          <cell r="W4449">
            <v>0</v>
          </cell>
          <cell r="X4449" t="str">
            <v>EST LUMINARIA CUBE (ONIX) - 0,17x0,17x0,17H</v>
          </cell>
          <cell r="Y4449">
            <v>0</v>
          </cell>
          <cell r="Z4449">
            <v>0.35</v>
          </cell>
          <cell r="AA4449">
            <v>0</v>
          </cell>
          <cell r="AB4449"/>
        </row>
        <row r="4450">
          <cell r="C4450">
            <v>2</v>
          </cell>
          <cell r="D4450">
            <v>0</v>
          </cell>
          <cell r="E4450">
            <v>0</v>
          </cell>
          <cell r="F4450">
            <v>0</v>
          </cell>
          <cell r="H4450">
            <v>0</v>
          </cell>
          <cell r="O4450">
            <v>151285</v>
          </cell>
          <cell r="P4450"/>
          <cell r="Q4450" t="str">
            <v>EST AC CX TAMPA 40X15X30 CAMURCA</v>
          </cell>
          <cell r="R4450"/>
          <cell r="S4450"/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 t="str">
            <v>EST AC CX TAMPA 40X15X30 CAMURCA - Ø0x0H</v>
          </cell>
          <cell r="Y4450">
            <v>0</v>
          </cell>
          <cell r="Z4450">
            <v>0.35</v>
          </cell>
          <cell r="AA4450">
            <v>0</v>
          </cell>
          <cell r="AB4450"/>
        </row>
        <row r="4451">
          <cell r="C4451">
            <v>0</v>
          </cell>
          <cell r="D4451">
            <v>1</v>
          </cell>
          <cell r="E4451">
            <v>0</v>
          </cell>
          <cell r="F4451">
            <v>0</v>
          </cell>
          <cell r="H4451">
            <v>0</v>
          </cell>
          <cell r="O4451">
            <v>161174</v>
          </cell>
          <cell r="P4451"/>
          <cell r="Q4451" t="str">
            <v>EST AC QUADRO SERIE INFINITO I BCO 61X156 (TY001BR-B61156)</v>
          </cell>
          <cell r="R4451"/>
          <cell r="S4451"/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 t="str">
            <v>EST AC QUADRO SERIE INFINITO I BCO 61X156 (TY001BR-B61156) - Ø0x0H</v>
          </cell>
          <cell r="Y4451">
            <v>0</v>
          </cell>
          <cell r="Z4451">
            <v>0.35</v>
          </cell>
          <cell r="AA4451">
            <v>0</v>
          </cell>
          <cell r="AB4451"/>
        </row>
        <row r="4452">
          <cell r="C4452">
            <v>1</v>
          </cell>
          <cell r="D4452">
            <v>1</v>
          </cell>
          <cell r="E4452">
            <v>0</v>
          </cell>
          <cell r="F4452">
            <v>0</v>
          </cell>
          <cell r="H4452">
            <v>0</v>
          </cell>
          <cell r="O4452">
            <v>161178</v>
          </cell>
          <cell r="P4452"/>
          <cell r="Q4452" t="str">
            <v>EST AC QUADRO SERENITY 95X145 (VK470023A-1N)</v>
          </cell>
          <cell r="R4452"/>
          <cell r="S4452"/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 t="str">
            <v>EST AC QUADRO SERENITY 95X145 (VK470023A-1N) - Ø0x0H</v>
          </cell>
          <cell r="Y4452">
            <v>0</v>
          </cell>
          <cell r="Z4452">
            <v>0.35</v>
          </cell>
          <cell r="AA4452">
            <v>0</v>
          </cell>
          <cell r="AB4452"/>
        </row>
        <row r="4453">
          <cell r="C4453">
            <v>2</v>
          </cell>
          <cell r="D4453">
            <v>0</v>
          </cell>
          <cell r="E4453">
            <v>0</v>
          </cell>
          <cell r="F4453">
            <v>0</v>
          </cell>
          <cell r="H4453">
            <v>0</v>
          </cell>
          <cell r="O4453">
            <v>162724</v>
          </cell>
          <cell r="P4453"/>
          <cell r="Q4453" t="str">
            <v>EST ALMOFADA MODELO 3 (TECIDO CROCHE 11392/010)</v>
          </cell>
          <cell r="R4453"/>
          <cell r="S4453"/>
          <cell r="T4453">
            <v>0.6</v>
          </cell>
          <cell r="U4453">
            <v>0.6</v>
          </cell>
          <cell r="V4453">
            <v>0</v>
          </cell>
          <cell r="W4453">
            <v>0</v>
          </cell>
          <cell r="X4453" t="str">
            <v>EST ALMOFADA MODELO 3 (TECIDO CROCHE 11392/010) - 0,6x0,6x0H</v>
          </cell>
          <cell r="Y4453">
            <v>0</v>
          </cell>
          <cell r="Z4453">
            <v>0.35</v>
          </cell>
          <cell r="AA4453">
            <v>0</v>
          </cell>
          <cell r="AB4453"/>
        </row>
        <row r="4454">
          <cell r="C4454">
            <v>0</v>
          </cell>
          <cell r="D4454">
            <v>2</v>
          </cell>
          <cell r="E4454">
            <v>0</v>
          </cell>
          <cell r="F4454">
            <v>0</v>
          </cell>
          <cell r="H4454">
            <v>0</v>
          </cell>
          <cell r="O4454">
            <v>208339</v>
          </cell>
          <cell r="P4454"/>
          <cell r="Q4454" t="str">
            <v>EST AC ALMOFADA 50X50 KNIT WHITE C/ ENCHIMENTO FIBRA</v>
          </cell>
          <cell r="R4454"/>
          <cell r="S4454"/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 t="str">
            <v>EST AC ALMOFADA 50X50 KNIT WHITE C/ ENCHIMENTO FIBRA - Ø0x0H</v>
          </cell>
          <cell r="Y4454">
            <v>0</v>
          </cell>
          <cell r="Z4454">
            <v>0.35</v>
          </cell>
          <cell r="AA4454">
            <v>0</v>
          </cell>
          <cell r="AB4454"/>
        </row>
        <row r="4455">
          <cell r="C4455">
            <v>1</v>
          </cell>
          <cell r="D4455">
            <v>0</v>
          </cell>
          <cell r="E4455">
            <v>0</v>
          </cell>
          <cell r="F4455">
            <v>0</v>
          </cell>
          <cell r="H4455">
            <v>0</v>
          </cell>
          <cell r="O4455">
            <v>208340</v>
          </cell>
          <cell r="P4455"/>
          <cell r="Q4455" t="str">
            <v>EST ALMOFADA (SKYLINEN JUTE) (VIVO) (FIBRA)</v>
          </cell>
          <cell r="R4455"/>
          <cell r="S4455"/>
          <cell r="T4455">
            <v>0.5</v>
          </cell>
          <cell r="U4455">
            <v>0.5</v>
          </cell>
          <cell r="V4455">
            <v>0.15</v>
          </cell>
          <cell r="W4455">
            <v>0</v>
          </cell>
          <cell r="X4455" t="str">
            <v>EST ALMOFADA (SKYLINEN JUTE) (VIVO) (FIBRA) - 0,5x0,5x0,15H</v>
          </cell>
          <cell r="Y4455">
            <v>0</v>
          </cell>
          <cell r="Z4455">
            <v>0.35</v>
          </cell>
          <cell r="AA4455">
            <v>0</v>
          </cell>
          <cell r="AB4455"/>
        </row>
        <row r="4456">
          <cell r="C4456">
            <v>1</v>
          </cell>
          <cell r="D4456">
            <v>0</v>
          </cell>
          <cell r="E4456">
            <v>0</v>
          </cell>
          <cell r="F4456">
            <v>0</v>
          </cell>
          <cell r="H4456">
            <v>0</v>
          </cell>
          <cell r="O4456">
            <v>220431</v>
          </cell>
          <cell r="P4456"/>
          <cell r="Q4456" t="str">
            <v>EST AC QUADRO STRIPES MD1232 124X124 (MP1232224B-124124)</v>
          </cell>
          <cell r="R4456"/>
          <cell r="S4456"/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 t="str">
            <v>EST AC QUADRO STRIPES MD1232 124X124 (MP1232224B-124124) - Ø0x0H</v>
          </cell>
          <cell r="Y4456">
            <v>0</v>
          </cell>
          <cell r="Z4456">
            <v>0.35</v>
          </cell>
          <cell r="AA4456">
            <v>0</v>
          </cell>
          <cell r="AB4456"/>
        </row>
        <row r="4457">
          <cell r="C4457">
            <v>1</v>
          </cell>
          <cell r="D4457">
            <v>0</v>
          </cell>
          <cell r="E4457">
            <v>0</v>
          </cell>
          <cell r="F4457">
            <v>0</v>
          </cell>
          <cell r="H4457">
            <v>0</v>
          </cell>
          <cell r="O4457">
            <v>220432</v>
          </cell>
          <cell r="P4457"/>
          <cell r="Q4457" t="str">
            <v>EST AC QUADRO STRIPES MD1232 124X124 (MP1232224C-124124)</v>
          </cell>
          <cell r="R4457"/>
          <cell r="S4457"/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 t="str">
            <v>EST AC QUADRO STRIPES MD1232 124X124 (MP1232224C-124124) - Ø0x0H</v>
          </cell>
          <cell r="Y4457">
            <v>0</v>
          </cell>
          <cell r="Z4457">
            <v>0.35</v>
          </cell>
          <cell r="AA4457">
            <v>0</v>
          </cell>
          <cell r="AB4457"/>
        </row>
        <row r="4458">
          <cell r="C4458">
            <v>0</v>
          </cell>
          <cell r="D4458">
            <v>4</v>
          </cell>
          <cell r="E4458">
            <v>0</v>
          </cell>
          <cell r="F4458">
            <v>0</v>
          </cell>
          <cell r="H4458">
            <v>0</v>
          </cell>
          <cell r="O4458">
            <v>223315</v>
          </cell>
          <cell r="P4458"/>
          <cell r="Q4458" t="str">
            <v>EST PENDENTE DINN (LATAO POLIDO) (220V C/LAMP L007)</v>
          </cell>
          <cell r="R4458"/>
          <cell r="S4458"/>
          <cell r="T4458">
            <v>0.1</v>
          </cell>
          <cell r="U4458">
            <v>0.1</v>
          </cell>
          <cell r="V4458">
            <v>0.12</v>
          </cell>
          <cell r="W4458">
            <v>0</v>
          </cell>
          <cell r="X4458" t="str">
            <v>EST PENDENTE DINN (LATAO POLIDO) (220V C/LAMP L007) - 0,1x0,1x0,12H</v>
          </cell>
          <cell r="Y4458">
            <v>0</v>
          </cell>
          <cell r="Z4458">
            <v>0.35</v>
          </cell>
          <cell r="AA4458">
            <v>0</v>
          </cell>
          <cell r="AB4458"/>
        </row>
        <row r="4459">
          <cell r="C4459">
            <v>1</v>
          </cell>
          <cell r="D4459">
            <v>0</v>
          </cell>
          <cell r="E4459">
            <v>0</v>
          </cell>
          <cell r="F4459">
            <v>0</v>
          </cell>
          <cell r="H4459">
            <v>0</v>
          </cell>
          <cell r="O4459">
            <v>229296</v>
          </cell>
          <cell r="P4459"/>
          <cell r="Q4459" t="str">
            <v>EST AC BOLL RINGS 39X38X12 JEQUITIBA NATURAL</v>
          </cell>
          <cell r="R4459"/>
          <cell r="S4459"/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 t="str">
            <v>EST AC BOLL RINGS 39X38X12 JEQUITIBA NATURAL - Ø0x0H</v>
          </cell>
          <cell r="Y4459">
            <v>0</v>
          </cell>
          <cell r="Z4459">
            <v>0.35</v>
          </cell>
          <cell r="AA4459">
            <v>0</v>
          </cell>
          <cell r="AB4459"/>
        </row>
        <row r="4460">
          <cell r="C4460">
            <v>1</v>
          </cell>
          <cell r="D4460">
            <v>1</v>
          </cell>
          <cell r="E4460">
            <v>2</v>
          </cell>
          <cell r="F4460">
            <v>0</v>
          </cell>
          <cell r="H4460">
            <v>0</v>
          </cell>
          <cell r="O4460">
            <v>229297</v>
          </cell>
          <cell r="P4460"/>
          <cell r="Q4460" t="str">
            <v>EST AC BOLL RINGS 39X38X12 JEQUITIBA EBANIZADO</v>
          </cell>
          <cell r="R4460"/>
          <cell r="S4460"/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 t="str">
            <v>EST AC BOLL RINGS 39X38X12 JEQUITIBA EBANIZADO - Ø0x0H</v>
          </cell>
          <cell r="Y4460">
            <v>0</v>
          </cell>
          <cell r="Z4460">
            <v>0.35</v>
          </cell>
          <cell r="AA4460">
            <v>0</v>
          </cell>
          <cell r="AB4460"/>
        </row>
        <row r="4461">
          <cell r="C4461">
            <v>1</v>
          </cell>
          <cell r="D4461">
            <v>0</v>
          </cell>
          <cell r="E4461">
            <v>0</v>
          </cell>
          <cell r="F4461">
            <v>0</v>
          </cell>
          <cell r="H4461">
            <v>0</v>
          </cell>
          <cell r="O4461">
            <v>232100</v>
          </cell>
          <cell r="P4461"/>
          <cell r="Q4461" t="str">
            <v>EST AC QUADRO CANVAS 100X140 TALES MORIGI 4472</v>
          </cell>
          <cell r="R4461"/>
          <cell r="S4461"/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 t="str">
            <v>EST AC QUADRO CANVAS 100X140 TALES MORIGI 4472 - Ø0x0H</v>
          </cell>
          <cell r="Y4461">
            <v>0</v>
          </cell>
          <cell r="Z4461">
            <v>0.35</v>
          </cell>
          <cell r="AA4461">
            <v>0</v>
          </cell>
          <cell r="AB4461"/>
        </row>
        <row r="4462">
          <cell r="C4462">
            <v>1</v>
          </cell>
          <cell r="D4462">
            <v>0</v>
          </cell>
          <cell r="E4462">
            <v>0</v>
          </cell>
          <cell r="F4462">
            <v>0</v>
          </cell>
          <cell r="H4462">
            <v>0</v>
          </cell>
          <cell r="O4462">
            <v>233576</v>
          </cell>
          <cell r="P4462"/>
          <cell r="Q4462" t="str">
            <v>EST AC QUADRO MP309A-9146-1095 91X46X330 WOOD FORMS MD1095</v>
          </cell>
          <cell r="R4462"/>
          <cell r="S4462"/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 t="str">
            <v>EST AC QUADRO MP309A-9146-1095 91X46X330 WOOD FORMS MD1095 - Ø0x0H</v>
          </cell>
          <cell r="Y4462">
            <v>0</v>
          </cell>
          <cell r="Z4462">
            <v>0.35</v>
          </cell>
          <cell r="AA4462">
            <v>0</v>
          </cell>
          <cell r="AB4462"/>
        </row>
        <row r="4463">
          <cell r="C4463">
            <v>1</v>
          </cell>
          <cell r="D4463">
            <v>0</v>
          </cell>
          <cell r="E4463">
            <v>0</v>
          </cell>
          <cell r="F4463">
            <v>0</v>
          </cell>
          <cell r="H4463">
            <v>0</v>
          </cell>
          <cell r="O4463">
            <v>233592</v>
          </cell>
          <cell r="P4463"/>
          <cell r="Q4463" t="str">
            <v>EST AC QUADRO SE070B-143123-1098 143X123X400 NIEMEYER MD1098</v>
          </cell>
          <cell r="R4463"/>
          <cell r="S4463"/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 t="str">
            <v>EST AC QUADRO SE070B-143123-1098 143X123X400 NIEMEYER MD1098 - Ø0x0H</v>
          </cell>
          <cell r="Y4463">
            <v>0</v>
          </cell>
          <cell r="Z4463">
            <v>0.35</v>
          </cell>
          <cell r="AA4463">
            <v>0</v>
          </cell>
          <cell r="AB4463"/>
        </row>
        <row r="4464">
          <cell r="C4464">
            <v>0</v>
          </cell>
          <cell r="D4464">
            <v>1</v>
          </cell>
          <cell r="E4464">
            <v>0</v>
          </cell>
          <cell r="F4464">
            <v>0</v>
          </cell>
          <cell r="H4464">
            <v>0</v>
          </cell>
          <cell r="O4464">
            <v>234236</v>
          </cell>
          <cell r="P4464"/>
          <cell r="Q4464" t="str">
            <v>EST CENTRO DE MESA COL AURA 40X40X12 TODO PRETO</v>
          </cell>
          <cell r="R4464"/>
          <cell r="S4464"/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 t="str">
            <v>EST CENTRO DE MESA COL AURA 40X40X12 TODO PRETO - Ø0x0H</v>
          </cell>
          <cell r="Y4464">
            <v>0</v>
          </cell>
          <cell r="Z4464">
            <v>0.35</v>
          </cell>
          <cell r="AA4464">
            <v>0</v>
          </cell>
          <cell r="AB4464"/>
        </row>
        <row r="4465">
          <cell r="C4465">
            <v>1</v>
          </cell>
          <cell r="D4465">
            <v>1</v>
          </cell>
          <cell r="E4465">
            <v>1</v>
          </cell>
          <cell r="F4465">
            <v>0</v>
          </cell>
          <cell r="H4465">
            <v>0</v>
          </cell>
          <cell r="O4465">
            <v>234239</v>
          </cell>
          <cell r="P4465"/>
          <cell r="Q4465" t="str">
            <v>EST CENTRO DE MESA COL AURA 50X30X12 TODO PRETO</v>
          </cell>
          <cell r="R4465"/>
          <cell r="S4465"/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 t="str">
            <v>EST CENTRO DE MESA COL AURA 50X30X12 TODO PRETO - Ø0x0H</v>
          </cell>
          <cell r="Y4465">
            <v>0</v>
          </cell>
          <cell r="Z4465">
            <v>0.35</v>
          </cell>
          <cell r="AA4465">
            <v>0</v>
          </cell>
          <cell r="AB4465"/>
        </row>
        <row r="4466">
          <cell r="C4466">
            <v>0</v>
          </cell>
          <cell r="D4466">
            <v>1</v>
          </cell>
          <cell r="E4466">
            <v>1</v>
          </cell>
          <cell r="F4466">
            <v>0</v>
          </cell>
          <cell r="H4466">
            <v>0</v>
          </cell>
          <cell r="O4466">
            <v>234240</v>
          </cell>
          <cell r="P4466"/>
          <cell r="Q4466" t="str">
            <v>EST CENTRO DE MESA COL AURA 70X40X12 TODO PRETO</v>
          </cell>
          <cell r="R4466"/>
          <cell r="S4466"/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 t="str">
            <v>EST CENTRO DE MESA COL AURA 70X40X12 TODO PRETO - Ø0x0H</v>
          </cell>
          <cell r="Y4466">
            <v>0</v>
          </cell>
          <cell r="Z4466">
            <v>0.35</v>
          </cell>
          <cell r="AA4466">
            <v>0</v>
          </cell>
          <cell r="AB4466"/>
        </row>
        <row r="4467">
          <cell r="C4467">
            <v>1</v>
          </cell>
          <cell r="D4467">
            <v>1</v>
          </cell>
          <cell r="E4467">
            <v>1</v>
          </cell>
          <cell r="F4467">
            <v>0</v>
          </cell>
          <cell r="H4467">
            <v>0</v>
          </cell>
          <cell r="O4467">
            <v>234241</v>
          </cell>
          <cell r="P4467"/>
          <cell r="Q4467" t="str">
            <v>EST CENTRO DE MESA COL VERSO 40X6,5 BOWL PT CTO CARV AM CRU</v>
          </cell>
          <cell r="R4467"/>
          <cell r="S4467"/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 t="str">
            <v>EST CENTRO DE MESA COL VERSO 40X6,5 BOWL PT CTO CARV AM CRU - Ø0x0H</v>
          </cell>
          <cell r="Y4467">
            <v>0</v>
          </cell>
          <cell r="Z4467">
            <v>0.35</v>
          </cell>
          <cell r="AA4467">
            <v>0</v>
          </cell>
          <cell r="AB4467"/>
        </row>
        <row r="4468">
          <cell r="C4468">
            <v>0</v>
          </cell>
          <cell r="D4468">
            <v>1</v>
          </cell>
          <cell r="E4468">
            <v>1</v>
          </cell>
          <cell r="F4468">
            <v>0</v>
          </cell>
          <cell r="H4468">
            <v>0</v>
          </cell>
          <cell r="O4468">
            <v>234244</v>
          </cell>
          <cell r="P4468"/>
          <cell r="Q4468" t="str">
            <v>EST CENTRO DE MESA COL VERSO 40X6,5 BOWL PT CENTRO PRETO</v>
          </cell>
          <cell r="R4468"/>
          <cell r="S4468"/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 t="str">
            <v>EST CENTRO DE MESA COL VERSO 40X6,5 BOWL PT CENTRO PRETO - Ø0x0H</v>
          </cell>
          <cell r="Y4468">
            <v>0</v>
          </cell>
          <cell r="Z4468">
            <v>0.35</v>
          </cell>
          <cell r="AA4468">
            <v>0</v>
          </cell>
          <cell r="AB4468"/>
        </row>
        <row r="4469">
          <cell r="C4469">
            <v>0</v>
          </cell>
          <cell r="D4469">
            <v>1</v>
          </cell>
          <cell r="E4469">
            <v>0</v>
          </cell>
          <cell r="F4469">
            <v>0</v>
          </cell>
          <cell r="H4469">
            <v>0</v>
          </cell>
          <cell r="O4469">
            <v>234245</v>
          </cell>
          <cell r="P4469"/>
          <cell r="Q4469" t="str">
            <v>EST CESTO COFO (NATURAL) (KIT CONJUNTO DE 03 PECAS)</v>
          </cell>
          <cell r="R4469"/>
          <cell r="S4469"/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 t="str">
            <v>EST CESTO COFO (NATURAL) (KIT CONJUNTO DE 03 PECAS) - Ø0x0H</v>
          </cell>
          <cell r="Y4469">
            <v>0</v>
          </cell>
          <cell r="Z4469">
            <v>0.35</v>
          </cell>
          <cell r="AA4469">
            <v>0</v>
          </cell>
          <cell r="AB4469"/>
        </row>
        <row r="4470">
          <cell r="C4470">
            <v>1</v>
          </cell>
          <cell r="D4470">
            <v>0</v>
          </cell>
          <cell r="E4470">
            <v>0</v>
          </cell>
          <cell r="F4470">
            <v>0</v>
          </cell>
          <cell r="H4470">
            <v>0</v>
          </cell>
          <cell r="O4470">
            <v>234248</v>
          </cell>
          <cell r="P4470"/>
          <cell r="Q4470" t="str">
            <v>EST AC PRATAO TABACO 48X4 DOURADO</v>
          </cell>
          <cell r="R4470"/>
          <cell r="S4470"/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 t="str">
            <v>EST AC PRATAO TABACO 48X4 DOURADO - Ø0x0H</v>
          </cell>
          <cell r="Y4470">
            <v>0</v>
          </cell>
          <cell r="Z4470">
            <v>0.35</v>
          </cell>
          <cell r="AA4470">
            <v>0</v>
          </cell>
          <cell r="AB4470"/>
        </row>
        <row r="4471">
          <cell r="C4471">
            <v>0</v>
          </cell>
          <cell r="D4471">
            <v>4</v>
          </cell>
          <cell r="E4471">
            <v>0</v>
          </cell>
          <cell r="F4471">
            <v>0</v>
          </cell>
          <cell r="H4471">
            <v>0</v>
          </cell>
          <cell r="O4471">
            <v>234252</v>
          </cell>
          <cell r="P4471"/>
          <cell r="Q4471" t="str">
            <v>EST AC VASO TRIO GG 36X18 TABACO BRANCO</v>
          </cell>
          <cell r="R4471"/>
          <cell r="S4471"/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 t="str">
            <v>EST AC VASO TRIO GG 36X18 TABACO BRANCO - Ø0x0H</v>
          </cell>
          <cell r="Y4471">
            <v>0</v>
          </cell>
          <cell r="Z4471">
            <v>0.35</v>
          </cell>
          <cell r="AA4471">
            <v>0</v>
          </cell>
          <cell r="AB4471"/>
        </row>
        <row r="4472">
          <cell r="C4472">
            <v>2</v>
          </cell>
          <cell r="D4472">
            <v>0</v>
          </cell>
          <cell r="E4472">
            <v>0</v>
          </cell>
          <cell r="F4472">
            <v>0</v>
          </cell>
          <cell r="H4472">
            <v>0</v>
          </cell>
          <cell r="O4472">
            <v>234253</v>
          </cell>
          <cell r="P4472"/>
          <cell r="Q4472" t="str">
            <v>EST AC VASO P/B M 14X32 TABACO COBRE</v>
          </cell>
          <cell r="R4472"/>
          <cell r="S4472"/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 t="str">
            <v>EST AC VASO P/B M 14X32 TABACO COBRE - Ø0x0H</v>
          </cell>
          <cell r="Y4472">
            <v>0</v>
          </cell>
          <cell r="Z4472">
            <v>0.35</v>
          </cell>
          <cell r="AA4472">
            <v>0</v>
          </cell>
          <cell r="AB4472"/>
        </row>
        <row r="4473">
          <cell r="C4473">
            <v>2</v>
          </cell>
          <cell r="D4473">
            <v>0</v>
          </cell>
          <cell r="E4473">
            <v>0</v>
          </cell>
          <cell r="F4473">
            <v>0</v>
          </cell>
          <cell r="H4473">
            <v>0</v>
          </cell>
          <cell r="O4473">
            <v>234257</v>
          </cell>
          <cell r="P4473"/>
          <cell r="Q4473" t="str">
            <v>EST CENTRO MESA P/B M 22X13 TABACO COBRE</v>
          </cell>
          <cell r="R4473"/>
          <cell r="S4473"/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 t="str">
            <v>EST CENTRO MESA P/B M 22X13 TABACO COBRE - Ø0x0H</v>
          </cell>
          <cell r="Y4473">
            <v>0</v>
          </cell>
          <cell r="Z4473">
            <v>0.35</v>
          </cell>
          <cell r="AA4473">
            <v>0</v>
          </cell>
          <cell r="AB4473"/>
        </row>
        <row r="4474">
          <cell r="C4474">
            <v>0</v>
          </cell>
          <cell r="D4474">
            <v>2</v>
          </cell>
          <cell r="E4474">
            <v>0</v>
          </cell>
          <cell r="F4474">
            <v>0</v>
          </cell>
          <cell r="H4474">
            <v>0</v>
          </cell>
          <cell r="O4474">
            <v>234260</v>
          </cell>
          <cell r="P4474"/>
          <cell r="Q4474" t="str">
            <v>EST AC CENTRO MESA GG 33X11 TABACO MOSTARDA</v>
          </cell>
          <cell r="R4474"/>
          <cell r="S4474"/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 t="str">
            <v>EST AC CENTRO MESA GG 33X11 TABACO MOSTARDA - Ø0x0H</v>
          </cell>
          <cell r="Y4474">
            <v>0</v>
          </cell>
          <cell r="Z4474">
            <v>0.35</v>
          </cell>
          <cell r="AA4474">
            <v>0</v>
          </cell>
          <cell r="AB4474"/>
        </row>
        <row r="4475">
          <cell r="C4475">
            <v>2</v>
          </cell>
          <cell r="D4475">
            <v>0</v>
          </cell>
          <cell r="E4475">
            <v>0</v>
          </cell>
          <cell r="F4475">
            <v>0</v>
          </cell>
          <cell r="H4475">
            <v>1</v>
          </cell>
          <cell r="O4475">
            <v>250138</v>
          </cell>
          <cell r="P4475"/>
          <cell r="Q4475" t="str">
            <v>EST AC ALMOFADA ONDAS 50X50 LACOS NATURAL COD 4006</v>
          </cell>
          <cell r="R4475"/>
          <cell r="S4475"/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 t="str">
            <v>EST AC ALMOFADA ONDAS 50X50 LACOS NATURAL COD 4006 - Ø0x0H</v>
          </cell>
          <cell r="Y4475">
            <v>0</v>
          </cell>
          <cell r="Z4475">
            <v>0.35</v>
          </cell>
          <cell r="AA4475">
            <v>0</v>
          </cell>
          <cell r="AB4475"/>
        </row>
        <row r="4476">
          <cell r="C4476">
            <v>1</v>
          </cell>
          <cell r="D4476">
            <v>0</v>
          </cell>
          <cell r="E4476">
            <v>1</v>
          </cell>
          <cell r="F4476">
            <v>0</v>
          </cell>
          <cell r="H4476">
            <v>0</v>
          </cell>
          <cell r="O4476">
            <v>251905</v>
          </cell>
          <cell r="P4476"/>
          <cell r="Q4476" t="str">
            <v>EST AC TUBO GG VPI0102 PEDRAS CARVAO</v>
          </cell>
          <cell r="R4476"/>
          <cell r="S4476"/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 t="str">
            <v>EST AC TUBO GG VPI0102 PEDRAS CARVAO - Ø0x0H</v>
          </cell>
          <cell r="Y4476">
            <v>0</v>
          </cell>
          <cell r="Z4476">
            <v>0.35</v>
          </cell>
          <cell r="AA4476">
            <v>0</v>
          </cell>
          <cell r="AB4476"/>
        </row>
        <row r="4477">
          <cell r="C4477">
            <v>1</v>
          </cell>
          <cell r="D4477">
            <v>0</v>
          </cell>
          <cell r="E4477">
            <v>1</v>
          </cell>
          <cell r="F4477">
            <v>0</v>
          </cell>
          <cell r="H4477">
            <v>0</v>
          </cell>
          <cell r="O4477">
            <v>251906</v>
          </cell>
          <cell r="P4477"/>
          <cell r="Q4477" t="str">
            <v>EST AC TUBO GG VPI0103 TERRA</v>
          </cell>
          <cell r="R4477"/>
          <cell r="S4477"/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 t="str">
            <v>EST AC TUBO GG VPI0103 TERRA - Ø0x0H</v>
          </cell>
          <cell r="Y4477">
            <v>0</v>
          </cell>
          <cell r="Z4477">
            <v>0.35</v>
          </cell>
          <cell r="AA4477">
            <v>0</v>
          </cell>
          <cell r="AB4477"/>
        </row>
        <row r="4478">
          <cell r="C4478">
            <v>1</v>
          </cell>
          <cell r="D4478">
            <v>0</v>
          </cell>
          <cell r="E4478">
            <v>1</v>
          </cell>
          <cell r="F4478">
            <v>0</v>
          </cell>
          <cell r="H4478">
            <v>0</v>
          </cell>
          <cell r="O4478">
            <v>251907</v>
          </cell>
          <cell r="P4478"/>
          <cell r="Q4478" t="str">
            <v>EST AC TUBO G VPI0202 PEDRAS CARVAO</v>
          </cell>
          <cell r="R4478"/>
          <cell r="S4478"/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 t="str">
            <v>EST AC TUBO G VPI0202 PEDRAS CARVAO - Ø0x0H</v>
          </cell>
          <cell r="Y4478">
            <v>0</v>
          </cell>
          <cell r="Z4478">
            <v>0.35</v>
          </cell>
          <cell r="AA4478">
            <v>0</v>
          </cell>
          <cell r="AB4478"/>
        </row>
        <row r="4479">
          <cell r="C4479">
            <v>1</v>
          </cell>
          <cell r="D4479">
            <v>0</v>
          </cell>
          <cell r="E4479">
            <v>1</v>
          </cell>
          <cell r="F4479">
            <v>0</v>
          </cell>
          <cell r="H4479">
            <v>0</v>
          </cell>
          <cell r="O4479">
            <v>251908</v>
          </cell>
          <cell r="P4479"/>
          <cell r="Q4479" t="str">
            <v>EST AC TUBO G VPI0203 TERRA</v>
          </cell>
          <cell r="R4479"/>
          <cell r="S4479"/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 t="str">
            <v>EST AC TUBO G VPI0203 TERRA - Ø0x0H</v>
          </cell>
          <cell r="Y4479">
            <v>0</v>
          </cell>
          <cell r="Z4479">
            <v>0.35</v>
          </cell>
          <cell r="AA4479">
            <v>0</v>
          </cell>
          <cell r="AB4479"/>
        </row>
        <row r="4480">
          <cell r="C4480">
            <v>1</v>
          </cell>
          <cell r="D4480">
            <v>0</v>
          </cell>
          <cell r="E4480">
            <v>1</v>
          </cell>
          <cell r="F4480">
            <v>0</v>
          </cell>
          <cell r="H4480">
            <v>0</v>
          </cell>
          <cell r="O4480">
            <v>251910</v>
          </cell>
          <cell r="P4480"/>
          <cell r="Q4480" t="str">
            <v>EST AC TUBO M ALTO VPI0303 TERRA</v>
          </cell>
          <cell r="R4480"/>
          <cell r="S4480"/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 t="str">
            <v>EST AC TUBO M ALTO VPI0303 TERRA - Ø0x0H</v>
          </cell>
          <cell r="Y4480">
            <v>0</v>
          </cell>
          <cell r="Z4480">
            <v>0.35</v>
          </cell>
          <cell r="AA4480">
            <v>0</v>
          </cell>
          <cell r="AB4480"/>
        </row>
        <row r="4481">
          <cell r="C4481">
            <v>2</v>
          </cell>
          <cell r="D4481">
            <v>1</v>
          </cell>
          <cell r="E4481">
            <v>0</v>
          </cell>
          <cell r="F4481">
            <v>0</v>
          </cell>
          <cell r="H4481">
            <v>0</v>
          </cell>
          <cell r="O4481">
            <v>251921</v>
          </cell>
          <cell r="P4481"/>
          <cell r="Q4481" t="str">
            <v>EST AC PESO PAPEL COL ARTURITOS CJ 5 PCS NAT IL603NT0</v>
          </cell>
          <cell r="R4481"/>
          <cell r="S4481"/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 t="str">
            <v>EST AC PESO PAPEL COL ARTURITOS CJ 5 PCS NAT IL603NT0 - Ø0x0H</v>
          </cell>
          <cell r="Y4481">
            <v>0</v>
          </cell>
          <cell r="Z4481">
            <v>0.35</v>
          </cell>
          <cell r="AA4481">
            <v>0</v>
          </cell>
          <cell r="AB4481"/>
        </row>
        <row r="4482">
          <cell r="C4482">
            <v>1</v>
          </cell>
          <cell r="D4482">
            <v>0</v>
          </cell>
          <cell r="E4482">
            <v>1</v>
          </cell>
          <cell r="F4482">
            <v>0</v>
          </cell>
          <cell r="H4482">
            <v>0</v>
          </cell>
          <cell r="O4482">
            <v>251922</v>
          </cell>
          <cell r="P4482"/>
          <cell r="Q4482" t="str">
            <v>EST AC PESO PAPEL COL ARTURITOS CJ 5 PCS PRETO IL603PR0</v>
          </cell>
          <cell r="R4482"/>
          <cell r="S4482"/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 t="str">
            <v>EST AC PESO PAPEL COL ARTURITOS CJ 5 PCS PRETO IL603PR0 - Ø0x0H</v>
          </cell>
          <cell r="Y4482">
            <v>0</v>
          </cell>
          <cell r="Z4482">
            <v>0.35</v>
          </cell>
          <cell r="AA4482">
            <v>0</v>
          </cell>
          <cell r="AB4482"/>
        </row>
        <row r="4483">
          <cell r="C4483">
            <v>0</v>
          </cell>
          <cell r="D4483">
            <v>1</v>
          </cell>
          <cell r="E4483">
            <v>1</v>
          </cell>
          <cell r="F4483">
            <v>0</v>
          </cell>
          <cell r="H4483">
            <v>0</v>
          </cell>
          <cell r="O4483">
            <v>251923</v>
          </cell>
          <cell r="P4483"/>
          <cell r="Q4483" t="str">
            <v>EST AC CENTRO DE MESA RET COL VERSO 80X20X6,5 PRETO IL745PT0</v>
          </cell>
          <cell r="R4483"/>
          <cell r="S4483"/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 t="str">
            <v>EST AC CENTRO DE MESA RET COL VERSO 80X20X6,5 PRETO IL745PT0 - Ø0x0H</v>
          </cell>
          <cell r="Y4483">
            <v>0</v>
          </cell>
          <cell r="Z4483">
            <v>0.35</v>
          </cell>
          <cell r="AA4483">
            <v>0</v>
          </cell>
          <cell r="AB4483"/>
        </row>
        <row r="4484">
          <cell r="C4484">
            <v>2</v>
          </cell>
          <cell r="D4484">
            <v>0</v>
          </cell>
          <cell r="E4484">
            <v>0</v>
          </cell>
          <cell r="F4484">
            <v>0</v>
          </cell>
          <cell r="H4484">
            <v>0</v>
          </cell>
          <cell r="O4484">
            <v>251931</v>
          </cell>
          <cell r="P4484"/>
          <cell r="Q4484" t="str">
            <v>EST AC POTE P COL KOBE 21X21X7H NATURAL/PRETO IL781NP0</v>
          </cell>
          <cell r="R4484"/>
          <cell r="S4484"/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 t="str">
            <v>EST AC POTE P COL KOBE 21X21X7H NATURAL/PRETO IL781NP0 - Ø0x0H</v>
          </cell>
          <cell r="Y4484">
            <v>0</v>
          </cell>
          <cell r="Z4484">
            <v>0.35</v>
          </cell>
          <cell r="AA4484">
            <v>0</v>
          </cell>
          <cell r="AB4484"/>
        </row>
        <row r="4485">
          <cell r="C4485">
            <v>2</v>
          </cell>
          <cell r="D4485">
            <v>0</v>
          </cell>
          <cell r="E4485">
            <v>1</v>
          </cell>
          <cell r="F4485">
            <v>0</v>
          </cell>
          <cell r="H4485">
            <v>0</v>
          </cell>
          <cell r="O4485">
            <v>251932</v>
          </cell>
          <cell r="P4485"/>
          <cell r="Q4485" t="str">
            <v>EST AC POTE P COL KOBE 21X21X7H PRETO/PRETO IL781PR0</v>
          </cell>
          <cell r="R4485"/>
          <cell r="S4485"/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 t="str">
            <v>EST AC POTE P COL KOBE 21X21X7H PRETO/PRETO IL781PR0 - Ø0x0H</v>
          </cell>
          <cell r="Y4485">
            <v>0</v>
          </cell>
          <cell r="Z4485">
            <v>0.35</v>
          </cell>
          <cell r="AA4485">
            <v>0</v>
          </cell>
          <cell r="AB4485"/>
        </row>
        <row r="4486">
          <cell r="C4486">
            <v>0</v>
          </cell>
          <cell r="D4486">
            <v>1</v>
          </cell>
          <cell r="E4486">
            <v>1</v>
          </cell>
          <cell r="F4486">
            <v>0</v>
          </cell>
          <cell r="H4486">
            <v>0</v>
          </cell>
          <cell r="O4486">
            <v>251933</v>
          </cell>
          <cell r="P4486"/>
          <cell r="Q4486" t="str">
            <v>EST AC POTE M COL KOBE 21X21X15H NATURAL/PRETO IL782NP0</v>
          </cell>
          <cell r="R4486"/>
          <cell r="S4486"/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 t="str">
            <v>EST AC POTE M COL KOBE 21X21X15H NATURAL/PRETO IL782NP0 - Ø0x0H</v>
          </cell>
          <cell r="Y4486">
            <v>0</v>
          </cell>
          <cell r="Z4486">
            <v>0.35</v>
          </cell>
          <cell r="AA4486">
            <v>0</v>
          </cell>
          <cell r="AB4486"/>
        </row>
        <row r="4487">
          <cell r="C4487">
            <v>2</v>
          </cell>
          <cell r="D4487">
            <v>1</v>
          </cell>
          <cell r="E4487">
            <v>1</v>
          </cell>
          <cell r="F4487">
            <v>0</v>
          </cell>
          <cell r="H4487">
            <v>0</v>
          </cell>
          <cell r="O4487">
            <v>251934</v>
          </cell>
          <cell r="P4487"/>
          <cell r="Q4487" t="str">
            <v>EST AC POTE M COL KOBE 21X21X15H PRETO/PRETO IL782PR0</v>
          </cell>
          <cell r="R4487"/>
          <cell r="S4487"/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 t="str">
            <v>EST AC POTE M COL KOBE 21X21X15H PRETO/PRETO IL782PR0 - Ø0x0H</v>
          </cell>
          <cell r="Y4487">
            <v>0</v>
          </cell>
          <cell r="Z4487">
            <v>0.35</v>
          </cell>
          <cell r="AA4487">
            <v>0</v>
          </cell>
          <cell r="AB4487"/>
        </row>
        <row r="4488">
          <cell r="C4488">
            <v>2</v>
          </cell>
          <cell r="D4488">
            <v>1</v>
          </cell>
          <cell r="E4488">
            <v>1</v>
          </cell>
          <cell r="F4488">
            <v>0</v>
          </cell>
          <cell r="H4488">
            <v>0</v>
          </cell>
          <cell r="O4488">
            <v>251935</v>
          </cell>
          <cell r="P4488"/>
          <cell r="Q4488" t="str">
            <v>EST AC POTE G COL KOBE 21X21X20H NATURAL/PRETO IL783NP0</v>
          </cell>
          <cell r="R4488"/>
          <cell r="S4488"/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 t="str">
            <v>EST AC POTE G COL KOBE 21X21X20H NATURAL/PRETO IL783NP0 - Ø0x0H</v>
          </cell>
          <cell r="Y4488">
            <v>0</v>
          </cell>
          <cell r="Z4488">
            <v>0.35</v>
          </cell>
          <cell r="AA4488">
            <v>0</v>
          </cell>
          <cell r="AB4488"/>
        </row>
        <row r="4489">
          <cell r="C4489">
            <v>1</v>
          </cell>
          <cell r="D4489">
            <v>2</v>
          </cell>
          <cell r="E4489">
            <v>1</v>
          </cell>
          <cell r="F4489">
            <v>0</v>
          </cell>
          <cell r="H4489">
            <v>0</v>
          </cell>
          <cell r="O4489">
            <v>251936</v>
          </cell>
          <cell r="P4489"/>
          <cell r="Q4489" t="str">
            <v>EST AC POTE G COL KOBE 21X21X20H PRETO/PRETO IL783PR0</v>
          </cell>
          <cell r="R4489"/>
          <cell r="S4489"/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 t="str">
            <v>EST AC POTE G COL KOBE 21X21X20H PRETO/PRETO IL783PR0 - Ø0x0H</v>
          </cell>
          <cell r="Y4489">
            <v>0</v>
          </cell>
          <cell r="Z4489">
            <v>0.35</v>
          </cell>
          <cell r="AA4489">
            <v>0</v>
          </cell>
          <cell r="AB4489"/>
        </row>
        <row r="4490">
          <cell r="C4490">
            <v>0</v>
          </cell>
          <cell r="D4490">
            <v>0</v>
          </cell>
          <cell r="E4490">
            <v>1</v>
          </cell>
          <cell r="F4490">
            <v>0</v>
          </cell>
          <cell r="H4490">
            <v>0</v>
          </cell>
          <cell r="O4490">
            <v>252103</v>
          </cell>
          <cell r="P4490"/>
          <cell r="Q4490" t="str">
            <v>EST ESCULTURA BASE MADEIRA BOLA MADEIRA (2 PECAS)</v>
          </cell>
          <cell r="R4490"/>
          <cell r="S4490"/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 t="str">
            <v>EST ESCULTURA BASE MADEIRA BOLA MADEIRA (2 PECAS) - Ø0x0H</v>
          </cell>
          <cell r="Y4490">
            <v>0</v>
          </cell>
          <cell r="Z4490">
            <v>0.35</v>
          </cell>
          <cell r="AA4490">
            <v>0</v>
          </cell>
          <cell r="AB4490"/>
        </row>
        <row r="4491">
          <cell r="C4491">
            <v>0</v>
          </cell>
          <cell r="D4491">
            <v>0</v>
          </cell>
          <cell r="E4491">
            <v>1</v>
          </cell>
          <cell r="F4491">
            <v>0</v>
          </cell>
          <cell r="H4491">
            <v>0</v>
          </cell>
          <cell r="O4491">
            <v>252104</v>
          </cell>
          <cell r="P4491"/>
          <cell r="Q4491" t="str">
            <v>EST ESCULTURA BASE CONCRETO E BOLA MADEIRA (2 PECAS)</v>
          </cell>
          <cell r="R4491"/>
          <cell r="S4491"/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 t="str">
            <v>EST ESCULTURA BASE CONCRETO E BOLA MADEIRA (2 PECAS) - Ø0x0H</v>
          </cell>
          <cell r="Y4491">
            <v>0</v>
          </cell>
          <cell r="Z4491">
            <v>0.35</v>
          </cell>
          <cell r="AA4491">
            <v>0</v>
          </cell>
          <cell r="AB4491"/>
        </row>
        <row r="4492">
          <cell r="C4492">
            <v>0</v>
          </cell>
          <cell r="D4492">
            <v>0</v>
          </cell>
          <cell r="E4492">
            <v>2</v>
          </cell>
          <cell r="F4492">
            <v>0</v>
          </cell>
          <cell r="H4492">
            <v>0</v>
          </cell>
          <cell r="O4492">
            <v>252105</v>
          </cell>
          <cell r="P4492"/>
          <cell r="Q4492" t="str">
            <v>EST ESCULTURA BASE CONCRETO BOLA MADEIRA AZUL MARINHO</v>
          </cell>
          <cell r="R4492"/>
          <cell r="S4492"/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 t="str">
            <v>EST ESCULTURA BASE CONCRETO BOLA MADEIRA AZUL MARINHO - Ø0x0H</v>
          </cell>
          <cell r="Y4492">
            <v>0</v>
          </cell>
          <cell r="Z4492">
            <v>0.35</v>
          </cell>
          <cell r="AA4492">
            <v>0</v>
          </cell>
          <cell r="AB4492"/>
        </row>
        <row r="4493">
          <cell r="C4493">
            <v>0</v>
          </cell>
          <cell r="D4493">
            <v>0</v>
          </cell>
          <cell r="E4493">
            <v>1</v>
          </cell>
          <cell r="F4493">
            <v>0</v>
          </cell>
          <cell r="H4493">
            <v>0</v>
          </cell>
          <cell r="O4493">
            <v>252107</v>
          </cell>
          <cell r="P4493"/>
          <cell r="Q4493" t="str">
            <v>EST ESCULTURA BRANCUSI MADEIRA EBANIZADA (4 PECAS)</v>
          </cell>
          <cell r="R4493"/>
          <cell r="S4493"/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 t="str">
            <v>EST ESCULTURA BRANCUSI MADEIRA EBANIZADA (4 PECAS) - Ø0x0H</v>
          </cell>
          <cell r="Y4493">
            <v>0</v>
          </cell>
          <cell r="Z4493">
            <v>0.35</v>
          </cell>
          <cell r="AA4493">
            <v>0</v>
          </cell>
          <cell r="AB4493"/>
        </row>
        <row r="4494">
          <cell r="C4494">
            <v>0</v>
          </cell>
          <cell r="D4494">
            <v>1</v>
          </cell>
          <cell r="E4494">
            <v>1</v>
          </cell>
          <cell r="F4494">
            <v>0</v>
          </cell>
          <cell r="H4494">
            <v>0</v>
          </cell>
          <cell r="O4494">
            <v>252466</v>
          </cell>
          <cell r="P4494"/>
          <cell r="Q4494" t="str">
            <v>EST AC SABONETEIRA KATAKOLON LOT-SS6003C</v>
          </cell>
          <cell r="R4494"/>
          <cell r="S4494"/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 t="str">
            <v>EST AC SABONETEIRA KATAKOLON LOT-SS6003C - Ø0x0H</v>
          </cell>
          <cell r="Y4494">
            <v>0</v>
          </cell>
          <cell r="Z4494">
            <v>0.35</v>
          </cell>
          <cell r="AA4494">
            <v>0</v>
          </cell>
          <cell r="AB4494"/>
        </row>
        <row r="4495">
          <cell r="C4495">
            <v>1</v>
          </cell>
          <cell r="D4495">
            <v>1</v>
          </cell>
          <cell r="E4495">
            <v>1</v>
          </cell>
          <cell r="F4495">
            <v>0</v>
          </cell>
          <cell r="H4495">
            <v>0</v>
          </cell>
          <cell r="O4495">
            <v>252467</v>
          </cell>
          <cell r="P4495"/>
          <cell r="Q4495" t="str">
            <v>EST AC CAIXA KATAKOLON LOT-SS6003D</v>
          </cell>
          <cell r="R4495"/>
          <cell r="S4495"/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 t="str">
            <v>EST AC CAIXA KATAKOLON LOT-SS6003D - Ø0x0H</v>
          </cell>
          <cell r="Y4495">
            <v>0</v>
          </cell>
          <cell r="Z4495">
            <v>0.35</v>
          </cell>
          <cell r="AA4495">
            <v>0</v>
          </cell>
          <cell r="AB4495"/>
        </row>
        <row r="4496">
          <cell r="C4496">
            <v>0</v>
          </cell>
          <cell r="D4496">
            <v>1</v>
          </cell>
          <cell r="E4496">
            <v>1</v>
          </cell>
          <cell r="F4496">
            <v>0</v>
          </cell>
          <cell r="H4496">
            <v>0</v>
          </cell>
          <cell r="O4496">
            <v>252468</v>
          </cell>
          <cell r="P4496"/>
          <cell r="Q4496" t="str">
            <v>EST AC CAIXA AMADEUS G SOG-3336</v>
          </cell>
          <cell r="R4496"/>
          <cell r="S4496"/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 t="str">
            <v>EST AC CAIXA AMADEUS G SOG-3336 - Ø0x0H</v>
          </cell>
          <cell r="Y4496">
            <v>0</v>
          </cell>
          <cell r="Z4496">
            <v>0.35</v>
          </cell>
          <cell r="AA4496">
            <v>0</v>
          </cell>
          <cell r="AB4496"/>
        </row>
        <row r="4497">
          <cell r="C4497">
            <v>0</v>
          </cell>
          <cell r="D4497">
            <v>1</v>
          </cell>
          <cell r="E4497">
            <v>1</v>
          </cell>
          <cell r="F4497">
            <v>0</v>
          </cell>
          <cell r="H4497">
            <v>0</v>
          </cell>
          <cell r="O4497">
            <v>252469</v>
          </cell>
          <cell r="P4497"/>
          <cell r="Q4497" t="str">
            <v>EST AC CAIXA AMADEUS M SOG-3337</v>
          </cell>
          <cell r="R4497"/>
          <cell r="S4497"/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 t="str">
            <v>EST AC CAIXA AMADEUS M SOG-3337 - Ø0x0H</v>
          </cell>
          <cell r="Y4497">
            <v>0</v>
          </cell>
          <cell r="Z4497">
            <v>0.35</v>
          </cell>
          <cell r="AA4497">
            <v>0</v>
          </cell>
          <cell r="AB4497"/>
        </row>
        <row r="4498">
          <cell r="C4498">
            <v>1</v>
          </cell>
          <cell r="D4498">
            <v>0</v>
          </cell>
          <cell r="E4498">
            <v>0</v>
          </cell>
          <cell r="F4498">
            <v>0</v>
          </cell>
          <cell r="H4498">
            <v>0</v>
          </cell>
          <cell r="O4498">
            <v>252474</v>
          </cell>
          <cell r="P4498"/>
          <cell r="Q4498" t="str">
            <v>EST AC VASO DIVIDIOND BICOLOR GREEN GOLG G AMA-V0771</v>
          </cell>
          <cell r="R4498"/>
          <cell r="S4498"/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 t="str">
            <v>EST AC VASO DIVIDIOND BICOLOR GREEN GOLG G AMA-V0771 - Ø0x0H</v>
          </cell>
          <cell r="Y4498">
            <v>0</v>
          </cell>
          <cell r="Z4498">
            <v>0.35</v>
          </cell>
          <cell r="AA4498">
            <v>0</v>
          </cell>
          <cell r="AB4498"/>
        </row>
        <row r="4499">
          <cell r="C4499">
            <v>1</v>
          </cell>
          <cell r="D4499">
            <v>0</v>
          </cell>
          <cell r="E4499">
            <v>0</v>
          </cell>
          <cell r="F4499">
            <v>0</v>
          </cell>
          <cell r="H4499">
            <v>0</v>
          </cell>
          <cell r="O4499">
            <v>252475</v>
          </cell>
          <cell r="P4499"/>
          <cell r="Q4499" t="str">
            <v>EST AC VASO DIVIDIOND BICOLOR GREEN GOLG M AMA-V0772</v>
          </cell>
          <cell r="R4499"/>
          <cell r="S4499"/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 t="str">
            <v>EST AC VASO DIVIDIOND BICOLOR GREEN GOLG M AMA-V0772 - Ø0x0H</v>
          </cell>
          <cell r="Y4499">
            <v>0</v>
          </cell>
          <cell r="Z4499">
            <v>0.35</v>
          </cell>
          <cell r="AA4499">
            <v>0</v>
          </cell>
          <cell r="AB4499"/>
        </row>
        <row r="4500">
          <cell r="C4500">
            <v>1</v>
          </cell>
          <cell r="D4500">
            <v>0</v>
          </cell>
          <cell r="E4500">
            <v>0</v>
          </cell>
          <cell r="F4500">
            <v>0</v>
          </cell>
          <cell r="H4500">
            <v>0</v>
          </cell>
          <cell r="O4500">
            <v>252477</v>
          </cell>
          <cell r="P4500"/>
          <cell r="Q4500" t="str">
            <v>EST AC VASO LE TAHA VERT AMA-V1241</v>
          </cell>
          <cell r="R4500"/>
          <cell r="S4500"/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 t="str">
            <v>EST AC VASO LE TAHA VERT AMA-V1241 - Ø0x0H</v>
          </cell>
          <cell r="Y4500">
            <v>0</v>
          </cell>
          <cell r="Z4500">
            <v>0.35</v>
          </cell>
          <cell r="AA4500">
            <v>0</v>
          </cell>
          <cell r="AB4500"/>
        </row>
        <row r="4501">
          <cell r="C4501">
            <v>1</v>
          </cell>
          <cell r="D4501">
            <v>0</v>
          </cell>
          <cell r="E4501">
            <v>0</v>
          </cell>
          <cell r="F4501">
            <v>0</v>
          </cell>
          <cell r="H4501">
            <v>0</v>
          </cell>
          <cell r="O4501">
            <v>252478</v>
          </cell>
          <cell r="P4501"/>
          <cell r="Q4501" t="str">
            <v>EST AC BOWL LW TAHA VERT AMA-V1242</v>
          </cell>
          <cell r="R4501"/>
          <cell r="S4501"/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 t="str">
            <v>EST AC BOWL LW TAHA VERT AMA-V1242 - Ø0x0H</v>
          </cell>
          <cell r="Y4501">
            <v>0</v>
          </cell>
          <cell r="Z4501">
            <v>0.35</v>
          </cell>
          <cell r="AA4501">
            <v>0</v>
          </cell>
          <cell r="AB4501"/>
        </row>
        <row r="4502">
          <cell r="C4502">
            <v>0</v>
          </cell>
          <cell r="D4502">
            <v>0</v>
          </cell>
          <cell r="E4502">
            <v>2</v>
          </cell>
          <cell r="F4502">
            <v>0</v>
          </cell>
          <cell r="H4502">
            <v>0</v>
          </cell>
          <cell r="O4502">
            <v>252488</v>
          </cell>
          <cell r="P4502"/>
          <cell r="Q4502" t="str">
            <v>EST AC VASO CAPPOTTO BLACK P20 ZQ-1101P20</v>
          </cell>
          <cell r="R4502"/>
          <cell r="S4502"/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 t="str">
            <v>EST AC VASO CAPPOTTO BLACK P20 ZQ-1101P20 - Ø0x0H</v>
          </cell>
          <cell r="Y4502">
            <v>0</v>
          </cell>
          <cell r="Z4502">
            <v>0.35</v>
          </cell>
          <cell r="AA4502">
            <v>0</v>
          </cell>
          <cell r="AB4502"/>
        </row>
        <row r="4503">
          <cell r="C4503">
            <v>1</v>
          </cell>
          <cell r="D4503">
            <v>1</v>
          </cell>
          <cell r="E4503">
            <v>1</v>
          </cell>
          <cell r="F4503">
            <v>0</v>
          </cell>
          <cell r="H4503">
            <v>0</v>
          </cell>
          <cell r="O4503">
            <v>252490</v>
          </cell>
          <cell r="P4503"/>
          <cell r="Q4503" t="str">
            <v>EST AC VASO G 20 BLACK</v>
          </cell>
          <cell r="R4503"/>
          <cell r="S4503"/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 t="str">
            <v>EST AC VASO G 20 BLACK - Ø0x0H</v>
          </cell>
          <cell r="Y4503">
            <v>0</v>
          </cell>
          <cell r="Z4503">
            <v>0.35</v>
          </cell>
          <cell r="AA4503">
            <v>0</v>
          </cell>
          <cell r="AB4503"/>
        </row>
        <row r="4504">
          <cell r="C4504">
            <v>2</v>
          </cell>
          <cell r="D4504">
            <v>2</v>
          </cell>
          <cell r="E4504">
            <v>1</v>
          </cell>
          <cell r="F4504">
            <v>0</v>
          </cell>
          <cell r="H4504">
            <v>0</v>
          </cell>
          <cell r="O4504">
            <v>252494</v>
          </cell>
          <cell r="P4504"/>
          <cell r="Q4504" t="str">
            <v>EST AC CESTO DE MANTAS M ZQ-6001036M</v>
          </cell>
          <cell r="R4504"/>
          <cell r="S4504"/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 t="str">
            <v>EST AC CESTO DE MANTAS M ZQ-6001036M - Ø0x0H</v>
          </cell>
          <cell r="Y4504">
            <v>0</v>
          </cell>
          <cell r="Z4504">
            <v>0.35</v>
          </cell>
          <cell r="AA4504">
            <v>0</v>
          </cell>
          <cell r="AB4504"/>
        </row>
        <row r="4505">
          <cell r="C4505">
            <v>0</v>
          </cell>
          <cell r="D4505">
            <v>0</v>
          </cell>
          <cell r="E4505">
            <v>1</v>
          </cell>
          <cell r="F4505">
            <v>0</v>
          </cell>
          <cell r="H4505">
            <v>0</v>
          </cell>
          <cell r="O4505">
            <v>255172</v>
          </cell>
          <cell r="P4505"/>
          <cell r="Q4505" t="str">
            <v>EST AC VASO G 30 VASO BX MAR/CARA VASO ALTO</v>
          </cell>
          <cell r="R4505"/>
          <cell r="S4505"/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 t="str">
            <v>EST AC VASO G 30 VASO BX MAR/CARA VASO ALTO - Ø0x0H</v>
          </cell>
          <cell r="Y4505">
            <v>0</v>
          </cell>
          <cell r="Z4505">
            <v>0.35</v>
          </cell>
          <cell r="AA4505">
            <v>0</v>
          </cell>
          <cell r="AB4505"/>
        </row>
        <row r="4506">
          <cell r="C4506">
            <v>0</v>
          </cell>
          <cell r="D4506">
            <v>0</v>
          </cell>
          <cell r="E4506">
            <v>0</v>
          </cell>
          <cell r="F4506">
            <v>2</v>
          </cell>
          <cell r="H4506">
            <v>0</v>
          </cell>
          <cell r="O4506">
            <v>261007</v>
          </cell>
          <cell r="P4506"/>
          <cell r="Q4506" t="str">
            <v>EST AC CENTRO DE MESA ONDO ROUGE 24X15 CERAMICA BORDO</v>
          </cell>
          <cell r="R4506"/>
          <cell r="S4506"/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 t="str">
            <v>EST AC CENTRO DE MESA ONDO ROUGE 24X15 CERAMICA BORDO - Ø0x0H</v>
          </cell>
          <cell r="Y4506">
            <v>0</v>
          </cell>
          <cell r="Z4506">
            <v>0.35</v>
          </cell>
          <cell r="AA4506">
            <v>0</v>
          </cell>
          <cell r="AB4506"/>
        </row>
        <row r="4507">
          <cell r="C4507">
            <v>0</v>
          </cell>
          <cell r="D4507">
            <v>0</v>
          </cell>
          <cell r="E4507">
            <v>0</v>
          </cell>
          <cell r="F4507">
            <v>3</v>
          </cell>
          <cell r="H4507">
            <v>0</v>
          </cell>
          <cell r="O4507">
            <v>261008</v>
          </cell>
          <cell r="P4507"/>
          <cell r="Q4507" t="str">
            <v>EST AC VASO ESFERA ONDO ROUGE 16X23 CERAMICA BORDO</v>
          </cell>
          <cell r="R4507"/>
          <cell r="S4507"/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 t="str">
            <v>EST AC VASO ESFERA ONDO ROUGE 16X23 CERAMICA BORDO - Ø0x0H</v>
          </cell>
          <cell r="Y4507">
            <v>0</v>
          </cell>
          <cell r="Z4507">
            <v>0.35</v>
          </cell>
          <cell r="AA4507">
            <v>0</v>
          </cell>
          <cell r="AB4507"/>
        </row>
        <row r="4508">
          <cell r="C4508">
            <v>1</v>
          </cell>
          <cell r="D4508">
            <v>0</v>
          </cell>
          <cell r="E4508">
            <v>0</v>
          </cell>
          <cell r="F4508">
            <v>1</v>
          </cell>
          <cell r="H4508">
            <v>0</v>
          </cell>
          <cell r="O4508">
            <v>261009</v>
          </cell>
          <cell r="P4508"/>
          <cell r="Q4508" t="str">
            <v>EST AC VASO CILINDRO ONDO POMME 12,5X19 CERAMICA VERMELHA</v>
          </cell>
          <cell r="R4508"/>
          <cell r="S4508"/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 t="str">
            <v>EST AC VASO CILINDRO ONDO POMME 12,5X19 CERAMICA VERMELHA - Ø0x0H</v>
          </cell>
          <cell r="Y4508">
            <v>0</v>
          </cell>
          <cell r="Z4508">
            <v>0.35</v>
          </cell>
          <cell r="AA4508">
            <v>0</v>
          </cell>
          <cell r="AB4508"/>
        </row>
        <row r="4509">
          <cell r="C4509">
            <v>0</v>
          </cell>
          <cell r="D4509">
            <v>0</v>
          </cell>
          <cell r="E4509">
            <v>0</v>
          </cell>
          <cell r="F4509">
            <v>2</v>
          </cell>
          <cell r="H4509">
            <v>0</v>
          </cell>
          <cell r="O4509">
            <v>261011</v>
          </cell>
          <cell r="P4509"/>
          <cell r="Q4509" t="str">
            <v>EST AC GRANDE VASO TACA ONDO POMME 16,5X32 CERAMICA VERMELHA</v>
          </cell>
          <cell r="R4509"/>
          <cell r="S4509"/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 t="str">
            <v>EST AC GRANDE VASO TACA ONDO POMME 16,5X32 CERAMICA VERMELHA - Ø0x0H</v>
          </cell>
          <cell r="Y4509">
            <v>0</v>
          </cell>
          <cell r="Z4509">
            <v>0.35</v>
          </cell>
          <cell r="AA4509">
            <v>0</v>
          </cell>
          <cell r="AB4509"/>
        </row>
        <row r="4510">
          <cell r="C4510">
            <v>2</v>
          </cell>
          <cell r="D4510">
            <v>1</v>
          </cell>
          <cell r="E4510">
            <v>0</v>
          </cell>
          <cell r="F4510">
            <v>0</v>
          </cell>
          <cell r="H4510">
            <v>0</v>
          </cell>
          <cell r="O4510">
            <v>261262</v>
          </cell>
          <cell r="P4510"/>
          <cell r="Q4510" t="str">
            <v>EST AC FIGA VASO PP 23X7X9 IMBUIA</v>
          </cell>
          <cell r="R4510"/>
          <cell r="S4510"/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 t="str">
            <v>EST AC FIGA VASO PP 23X7X9 IMBUIA - Ø0x0H</v>
          </cell>
          <cell r="Y4510">
            <v>0</v>
          </cell>
          <cell r="Z4510">
            <v>0.35</v>
          </cell>
          <cell r="AA4510">
            <v>0</v>
          </cell>
          <cell r="AB4510"/>
        </row>
        <row r="4511">
          <cell r="C4511">
            <v>2</v>
          </cell>
          <cell r="D4511">
            <v>1</v>
          </cell>
          <cell r="E4511">
            <v>0</v>
          </cell>
          <cell r="F4511">
            <v>0</v>
          </cell>
          <cell r="H4511">
            <v>0</v>
          </cell>
          <cell r="O4511">
            <v>261263</v>
          </cell>
          <cell r="P4511"/>
          <cell r="Q4511" t="str">
            <v>EST AC FIGA VASO PP 23X7X9 PRETO</v>
          </cell>
          <cell r="R4511"/>
          <cell r="S4511"/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 t="str">
            <v>EST AC FIGA VASO PP 23X7X9 PRETO - Ø0x0H</v>
          </cell>
          <cell r="Y4511">
            <v>0</v>
          </cell>
          <cell r="Z4511">
            <v>0.35</v>
          </cell>
          <cell r="AA4511">
            <v>0</v>
          </cell>
          <cell r="AB4511"/>
        </row>
        <row r="4512">
          <cell r="C4512">
            <v>2</v>
          </cell>
          <cell r="D4512">
            <v>2</v>
          </cell>
          <cell r="E4512">
            <v>0</v>
          </cell>
          <cell r="F4512">
            <v>0</v>
          </cell>
          <cell r="H4512">
            <v>0</v>
          </cell>
          <cell r="O4512">
            <v>261269</v>
          </cell>
          <cell r="P4512"/>
          <cell r="Q4512" t="str">
            <v>EST AC FIGA VASO GG 63X7X9 IMBUIA</v>
          </cell>
          <cell r="R4512"/>
          <cell r="S4512"/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 t="str">
            <v>EST AC FIGA VASO GG 63X7X9 IMBUIA - Ø0x0H</v>
          </cell>
          <cell r="Y4512">
            <v>0</v>
          </cell>
          <cell r="Z4512">
            <v>0.35</v>
          </cell>
          <cell r="AA4512">
            <v>0</v>
          </cell>
          <cell r="AB4512"/>
        </row>
        <row r="4513">
          <cell r="C4513">
            <v>2</v>
          </cell>
          <cell r="D4513">
            <v>1</v>
          </cell>
          <cell r="E4513">
            <v>0</v>
          </cell>
          <cell r="F4513">
            <v>0</v>
          </cell>
          <cell r="H4513">
            <v>0</v>
          </cell>
          <cell r="O4513">
            <v>261272</v>
          </cell>
          <cell r="P4513"/>
          <cell r="Q4513" t="str">
            <v>EST AC FIGA VASO GG 63X7X9 PRETO</v>
          </cell>
          <cell r="R4513"/>
          <cell r="S4513"/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 t="str">
            <v>EST AC FIGA VASO GG 63X7X9 PRETO - Ø0x0H</v>
          </cell>
          <cell r="Y4513">
            <v>0</v>
          </cell>
          <cell r="Z4513">
            <v>0.35</v>
          </cell>
          <cell r="AA4513">
            <v>0</v>
          </cell>
          <cell r="AB4513"/>
        </row>
        <row r="4514">
          <cell r="C4514">
            <v>2</v>
          </cell>
          <cell r="D4514">
            <v>0</v>
          </cell>
          <cell r="E4514">
            <v>0</v>
          </cell>
          <cell r="F4514">
            <v>0</v>
          </cell>
          <cell r="H4514">
            <v>0</v>
          </cell>
          <cell r="O4514">
            <v>261273</v>
          </cell>
          <cell r="P4514"/>
          <cell r="Q4514" t="str">
            <v>EST AC FIGA CASTICAL BAIXO 12X7X11 IMBUIA</v>
          </cell>
          <cell r="R4514"/>
          <cell r="S4514"/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 t="str">
            <v>EST AC FIGA CASTICAL BAIXO 12X7X11 IMBUIA - Ø0x0H</v>
          </cell>
          <cell r="Y4514">
            <v>0</v>
          </cell>
          <cell r="Z4514">
            <v>0.35</v>
          </cell>
          <cell r="AA4514">
            <v>0</v>
          </cell>
          <cell r="AB4514"/>
        </row>
        <row r="4515">
          <cell r="C4515">
            <v>1</v>
          </cell>
          <cell r="D4515">
            <v>1</v>
          </cell>
          <cell r="E4515">
            <v>0</v>
          </cell>
          <cell r="F4515">
            <v>0</v>
          </cell>
          <cell r="H4515">
            <v>0</v>
          </cell>
          <cell r="O4515">
            <v>261275</v>
          </cell>
          <cell r="P4515"/>
          <cell r="Q4515" t="str">
            <v>EST AC FIGA CASTICAL BAIXO 12X7X11 PRETO</v>
          </cell>
          <cell r="R4515"/>
          <cell r="S4515"/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 t="str">
            <v>EST AC FIGA CASTICAL BAIXO 12X7X11 PRETO - Ø0x0H</v>
          </cell>
          <cell r="Y4515">
            <v>0</v>
          </cell>
          <cell r="Z4515">
            <v>0.35</v>
          </cell>
          <cell r="AA4515">
            <v>0</v>
          </cell>
          <cell r="AB4515"/>
        </row>
        <row r="4516">
          <cell r="C4516">
            <v>2</v>
          </cell>
          <cell r="D4516">
            <v>0</v>
          </cell>
          <cell r="E4516">
            <v>0</v>
          </cell>
          <cell r="F4516">
            <v>0</v>
          </cell>
          <cell r="H4516">
            <v>0</v>
          </cell>
          <cell r="O4516">
            <v>261276</v>
          </cell>
          <cell r="P4516"/>
          <cell r="Q4516" t="str">
            <v>EST AC FIGA CASTICAL ALTO 33X7X11 IMBUIA</v>
          </cell>
          <cell r="R4516"/>
          <cell r="S4516"/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 t="str">
            <v>EST AC FIGA CASTICAL ALTO 33X7X11 IMBUIA - Ø0x0H</v>
          </cell>
          <cell r="Y4516">
            <v>0</v>
          </cell>
          <cell r="Z4516">
            <v>0.35</v>
          </cell>
          <cell r="AA4516">
            <v>0</v>
          </cell>
          <cell r="AB4516"/>
        </row>
        <row r="4517">
          <cell r="C4517">
            <v>2</v>
          </cell>
          <cell r="D4517">
            <v>2</v>
          </cell>
          <cell r="E4517">
            <v>0</v>
          </cell>
          <cell r="F4517">
            <v>0</v>
          </cell>
          <cell r="H4517">
            <v>0</v>
          </cell>
          <cell r="O4517">
            <v>261277</v>
          </cell>
          <cell r="P4517"/>
          <cell r="Q4517" t="str">
            <v>EST AC FIGA CASTICAL ALTO 33X7X11 PRETO</v>
          </cell>
          <cell r="R4517"/>
          <cell r="S4517"/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 t="str">
            <v>EST AC FIGA CASTICAL ALTO 33X7X11 PRETO - Ø0x0H</v>
          </cell>
          <cell r="Y4517">
            <v>0</v>
          </cell>
          <cell r="Z4517">
            <v>0.35</v>
          </cell>
          <cell r="AA4517">
            <v>0</v>
          </cell>
          <cell r="AB4517"/>
        </row>
        <row r="4518">
          <cell r="C4518">
            <v>2</v>
          </cell>
          <cell r="D4518">
            <v>1</v>
          </cell>
          <cell r="E4518">
            <v>0</v>
          </cell>
          <cell r="F4518">
            <v>0</v>
          </cell>
          <cell r="H4518">
            <v>0</v>
          </cell>
          <cell r="O4518">
            <v>261284</v>
          </cell>
          <cell r="P4518"/>
          <cell r="Q4518" t="str">
            <v>EST AC FIGA VASO P 33X7X9 IMBUIA</v>
          </cell>
          <cell r="R4518"/>
          <cell r="S4518"/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 t="str">
            <v>EST AC FIGA VASO P 33X7X9 IMBUIA - Ø0x0H</v>
          </cell>
          <cell r="Y4518">
            <v>0</v>
          </cell>
          <cell r="Z4518">
            <v>0.35</v>
          </cell>
          <cell r="AA4518">
            <v>0</v>
          </cell>
          <cell r="AB4518"/>
        </row>
        <row r="4519">
          <cell r="C4519">
            <v>2</v>
          </cell>
          <cell r="D4519">
            <v>1</v>
          </cell>
          <cell r="E4519">
            <v>0</v>
          </cell>
          <cell r="F4519">
            <v>0</v>
          </cell>
          <cell r="H4519">
            <v>0</v>
          </cell>
          <cell r="O4519">
            <v>261287</v>
          </cell>
          <cell r="P4519"/>
          <cell r="Q4519" t="str">
            <v>EST AC FIGA VASO P 33X7X9 PRETO</v>
          </cell>
          <cell r="R4519"/>
          <cell r="S4519"/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 t="str">
            <v>EST AC FIGA VASO P 33X7X9 PRETO - Ø0x0H</v>
          </cell>
          <cell r="Y4519">
            <v>0</v>
          </cell>
          <cell r="Z4519">
            <v>0.35</v>
          </cell>
          <cell r="AA4519">
            <v>0</v>
          </cell>
          <cell r="AB4519"/>
        </row>
        <row r="4520">
          <cell r="C4520">
            <v>2</v>
          </cell>
          <cell r="D4520">
            <v>0</v>
          </cell>
          <cell r="E4520">
            <v>0</v>
          </cell>
          <cell r="F4520">
            <v>0</v>
          </cell>
          <cell r="H4520">
            <v>0</v>
          </cell>
          <cell r="O4520">
            <v>261288</v>
          </cell>
          <cell r="P4520"/>
          <cell r="Q4520" t="str">
            <v>EST AC FIGA VASO M 43X7X9 IMBUIA</v>
          </cell>
          <cell r="R4520"/>
          <cell r="S4520"/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 t="str">
            <v>EST AC FIGA VASO M 43X7X9 IMBUIA - Ø0x0H</v>
          </cell>
          <cell r="Y4520">
            <v>0</v>
          </cell>
          <cell r="Z4520">
            <v>0.35</v>
          </cell>
          <cell r="AA4520">
            <v>0</v>
          </cell>
          <cell r="AB4520"/>
        </row>
        <row r="4521">
          <cell r="C4521">
            <v>2</v>
          </cell>
          <cell r="D4521">
            <v>1</v>
          </cell>
          <cell r="E4521">
            <v>0</v>
          </cell>
          <cell r="F4521">
            <v>0</v>
          </cell>
          <cell r="H4521">
            <v>0</v>
          </cell>
          <cell r="O4521">
            <v>261289</v>
          </cell>
          <cell r="P4521"/>
          <cell r="Q4521" t="str">
            <v>EST AC FIGA VASO M 43X7X9 PRETO</v>
          </cell>
          <cell r="R4521"/>
          <cell r="S4521"/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 t="str">
            <v>EST AC FIGA VASO M 43X7X9 PRETO - Ø0x0H</v>
          </cell>
          <cell r="Y4521">
            <v>0</v>
          </cell>
          <cell r="Z4521">
            <v>0.35</v>
          </cell>
          <cell r="AA4521">
            <v>0</v>
          </cell>
          <cell r="AB4521"/>
        </row>
        <row r="4522">
          <cell r="C4522">
            <v>2</v>
          </cell>
          <cell r="D4522">
            <v>1</v>
          </cell>
          <cell r="E4522">
            <v>0</v>
          </cell>
          <cell r="F4522">
            <v>0</v>
          </cell>
          <cell r="H4522">
            <v>0</v>
          </cell>
          <cell r="O4522">
            <v>261290</v>
          </cell>
          <cell r="P4522"/>
          <cell r="Q4522" t="str">
            <v>EST AC FIGA VASO G 53X7X9 IMBUIA</v>
          </cell>
          <cell r="R4522"/>
          <cell r="S4522"/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 t="str">
            <v>EST AC FIGA VASO G 53X7X9 IMBUIA - Ø0x0H</v>
          </cell>
          <cell r="Y4522">
            <v>0</v>
          </cell>
          <cell r="Z4522">
            <v>0.35</v>
          </cell>
          <cell r="AA4522">
            <v>0</v>
          </cell>
          <cell r="AB4522"/>
        </row>
        <row r="4523">
          <cell r="C4523">
            <v>2</v>
          </cell>
          <cell r="D4523">
            <v>1</v>
          </cell>
          <cell r="E4523">
            <v>0</v>
          </cell>
          <cell r="F4523">
            <v>0</v>
          </cell>
          <cell r="H4523">
            <v>0</v>
          </cell>
          <cell r="O4523">
            <v>261291</v>
          </cell>
          <cell r="P4523"/>
          <cell r="Q4523" t="str">
            <v>EST AC FIGA VASO G 53X7X9 PRETO</v>
          </cell>
          <cell r="R4523"/>
          <cell r="S4523"/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 t="str">
            <v>EST AC FIGA VASO G 53X7X9 PRETO - Ø0x0H</v>
          </cell>
          <cell r="Y4523">
            <v>0</v>
          </cell>
          <cell r="Z4523">
            <v>0.35</v>
          </cell>
          <cell r="AA4523">
            <v>0</v>
          </cell>
          <cell r="AB4523"/>
        </row>
        <row r="4524">
          <cell r="C4524">
            <v>1</v>
          </cell>
          <cell r="D4524">
            <v>0</v>
          </cell>
          <cell r="E4524">
            <v>0</v>
          </cell>
          <cell r="F4524">
            <v>0</v>
          </cell>
          <cell r="H4524">
            <v>0</v>
          </cell>
          <cell r="O4524">
            <v>266074</v>
          </cell>
          <cell r="P4524"/>
          <cell r="Q4524" t="str">
            <v>EST AC QUADRO OBEROI VERTICAL (731) MOL F23</v>
          </cell>
          <cell r="R4524"/>
          <cell r="S4524"/>
          <cell r="T4524">
            <v>1.7</v>
          </cell>
          <cell r="U4524">
            <v>1</v>
          </cell>
          <cell r="V4524">
            <v>0.05</v>
          </cell>
          <cell r="W4524">
            <v>0</v>
          </cell>
          <cell r="X4524" t="str">
            <v>EST AC QUADRO OBEROI VERTICAL (731) MOL F23 - 1,7x1x0,05H</v>
          </cell>
          <cell r="Y4524">
            <v>0</v>
          </cell>
          <cell r="Z4524">
            <v>0.35</v>
          </cell>
          <cell r="AA4524">
            <v>0</v>
          </cell>
          <cell r="AB4524"/>
        </row>
        <row r="4525">
          <cell r="C4525">
            <v>0</v>
          </cell>
          <cell r="D4525">
            <v>1</v>
          </cell>
          <cell r="E4525">
            <v>0</v>
          </cell>
          <cell r="F4525">
            <v>0</v>
          </cell>
          <cell r="H4525">
            <v>0</v>
          </cell>
          <cell r="O4525">
            <v>271425</v>
          </cell>
          <cell r="P4525"/>
          <cell r="Q4525" t="str">
            <v>EST QUADRO MASSAI NUDE 01 (1516) MO (MOLDURA CAIXA CRU)</v>
          </cell>
          <cell r="R4525"/>
          <cell r="S4525"/>
          <cell r="T4525">
            <v>1.2</v>
          </cell>
          <cell r="U4525">
            <v>1.2</v>
          </cell>
          <cell r="V4525">
            <v>0</v>
          </cell>
          <cell r="W4525">
            <v>0</v>
          </cell>
          <cell r="X4525" t="str">
            <v>EST QUADRO MASSAI NUDE 01 (1516) MO (MOLDURA CAIXA CRU) - 1,2x1,2x0H</v>
          </cell>
          <cell r="Y4525">
            <v>0</v>
          </cell>
          <cell r="Z4525">
            <v>0.35</v>
          </cell>
          <cell r="AA4525">
            <v>0</v>
          </cell>
          <cell r="AB4525"/>
        </row>
        <row r="4526">
          <cell r="C4526">
            <v>1</v>
          </cell>
          <cell r="D4526">
            <v>0</v>
          </cell>
          <cell r="E4526">
            <v>1</v>
          </cell>
          <cell r="F4526">
            <v>0</v>
          </cell>
          <cell r="H4526">
            <v>0</v>
          </cell>
          <cell r="O4526">
            <v>271428</v>
          </cell>
          <cell r="P4526"/>
          <cell r="Q4526" t="str">
            <v>EST AC QUADRO PARALELO 2 X2 (1546) 100X70 MOLD BRONZE</v>
          </cell>
          <cell r="R4526"/>
          <cell r="S4526"/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 t="str">
            <v>EST AC QUADRO PARALELO 2 X2 (1546) 100X70 MOLD BRONZE - Ø0x0H</v>
          </cell>
          <cell r="Y4526">
            <v>0</v>
          </cell>
          <cell r="Z4526">
            <v>0.35</v>
          </cell>
          <cell r="AA4526">
            <v>0</v>
          </cell>
          <cell r="AB4526"/>
        </row>
        <row r="4527">
          <cell r="C4527">
            <v>0</v>
          </cell>
          <cell r="D4527">
            <v>2</v>
          </cell>
          <cell r="E4527">
            <v>0</v>
          </cell>
          <cell r="F4527">
            <v>0</v>
          </cell>
          <cell r="H4527">
            <v>0</v>
          </cell>
          <cell r="O4527">
            <v>271437</v>
          </cell>
          <cell r="P4527"/>
          <cell r="Q4527" t="str">
            <v>EST QUADRO SNOW SHADE M2 (1399) (MOLDURA PRETA FINA)</v>
          </cell>
          <cell r="R4527"/>
          <cell r="S4527"/>
          <cell r="T4527">
            <v>0.4</v>
          </cell>
          <cell r="U4527">
            <v>0.5</v>
          </cell>
          <cell r="V4527">
            <v>0</v>
          </cell>
          <cell r="W4527">
            <v>0</v>
          </cell>
          <cell r="X4527" t="str">
            <v>EST QUADRO SNOW SHADE M2 (1399) (MOLDURA PRETA FINA) - 0,4x0,5x0H</v>
          </cell>
          <cell r="Y4527">
            <v>0</v>
          </cell>
          <cell r="Z4527">
            <v>0.35</v>
          </cell>
          <cell r="AA4527">
            <v>0</v>
          </cell>
          <cell r="AB4527"/>
        </row>
        <row r="4528">
          <cell r="C4528">
            <v>0</v>
          </cell>
          <cell r="D4528">
            <v>2</v>
          </cell>
          <cell r="E4528">
            <v>0</v>
          </cell>
          <cell r="F4528">
            <v>0</v>
          </cell>
          <cell r="H4528">
            <v>0</v>
          </cell>
          <cell r="O4528">
            <v>271439</v>
          </cell>
          <cell r="P4528"/>
          <cell r="Q4528" t="str">
            <v>EST QUADRO TRACK SHADE M2 (1401) (MOLDURA PRETA FINA)</v>
          </cell>
          <cell r="R4528"/>
          <cell r="S4528"/>
          <cell r="T4528">
            <v>0.4</v>
          </cell>
          <cell r="U4528">
            <v>0.5</v>
          </cell>
          <cell r="V4528">
            <v>0</v>
          </cell>
          <cell r="W4528">
            <v>0</v>
          </cell>
          <cell r="X4528" t="str">
            <v>EST QUADRO TRACK SHADE M2 (1401) (MOLDURA PRETA FINA) - 0,4x0,5x0H</v>
          </cell>
          <cell r="Y4528">
            <v>0</v>
          </cell>
          <cell r="Z4528">
            <v>0.35</v>
          </cell>
          <cell r="AA4528">
            <v>0</v>
          </cell>
          <cell r="AB4528"/>
        </row>
        <row r="4529">
          <cell r="C4529">
            <v>2</v>
          </cell>
          <cell r="D4529">
            <v>2</v>
          </cell>
          <cell r="E4529">
            <v>0</v>
          </cell>
          <cell r="F4529">
            <v>0</v>
          </cell>
          <cell r="H4529">
            <v>0</v>
          </cell>
          <cell r="O4529">
            <v>271474</v>
          </cell>
          <cell r="P4529"/>
          <cell r="Q4529" t="str">
            <v>EST AC VASO BOMA 10X8,5X8,5 CERAMICA VERDE E BEGE</v>
          </cell>
          <cell r="R4529"/>
          <cell r="S4529"/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 t="str">
            <v>EST AC VASO BOMA 10X8,5X8,5 CERAMICA VERDE E BEGE - Ø0x0H</v>
          </cell>
          <cell r="Y4529">
            <v>0</v>
          </cell>
          <cell r="Z4529">
            <v>0.35</v>
          </cell>
          <cell r="AA4529">
            <v>0</v>
          </cell>
          <cell r="AB4529"/>
        </row>
        <row r="4530">
          <cell r="C4530">
            <v>1</v>
          </cell>
          <cell r="D4530">
            <v>0</v>
          </cell>
          <cell r="E4530">
            <v>0</v>
          </cell>
          <cell r="F4530">
            <v>0</v>
          </cell>
          <cell r="H4530">
            <v>0</v>
          </cell>
          <cell r="O4530">
            <v>271478</v>
          </cell>
          <cell r="P4530"/>
          <cell r="Q4530" t="str">
            <v>EST VASO GHAT III (CERAMICA AZUL)</v>
          </cell>
          <cell r="R4530"/>
          <cell r="S4530"/>
          <cell r="T4530">
            <v>0.1</v>
          </cell>
          <cell r="U4530">
            <v>0.09</v>
          </cell>
          <cell r="V4530">
            <v>0.09</v>
          </cell>
          <cell r="W4530">
            <v>0</v>
          </cell>
          <cell r="X4530" t="str">
            <v>EST VASO GHAT III (CERAMICA AZUL) - 0,1x0,09x0,09H</v>
          </cell>
          <cell r="Y4530">
            <v>0</v>
          </cell>
          <cell r="Z4530">
            <v>0.35</v>
          </cell>
          <cell r="AA4530">
            <v>0</v>
          </cell>
          <cell r="AB4530"/>
        </row>
        <row r="4531">
          <cell r="C4531">
            <v>3</v>
          </cell>
          <cell r="D4531">
            <v>2</v>
          </cell>
          <cell r="E4531">
            <v>0</v>
          </cell>
          <cell r="F4531">
            <v>0</v>
          </cell>
          <cell r="H4531">
            <v>0</v>
          </cell>
          <cell r="O4531">
            <v>271479</v>
          </cell>
          <cell r="P4531"/>
          <cell r="Q4531" t="str">
            <v>EST AC VASO SOAP 11X23X12 CIMENTO RETANGULAR BEGE</v>
          </cell>
          <cell r="R4531"/>
          <cell r="S4531"/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 t="str">
            <v>EST AC VASO SOAP 11X23X12 CIMENTO RETANGULAR BEGE - Ø0x0H</v>
          </cell>
          <cell r="Y4531">
            <v>0</v>
          </cell>
          <cell r="Z4531">
            <v>0.35</v>
          </cell>
          <cell r="AA4531">
            <v>0</v>
          </cell>
          <cell r="AB4531"/>
        </row>
        <row r="4532">
          <cell r="C4532">
            <v>1</v>
          </cell>
          <cell r="D4532">
            <v>0</v>
          </cell>
          <cell r="E4532">
            <v>0</v>
          </cell>
          <cell r="F4532">
            <v>0</v>
          </cell>
          <cell r="H4532">
            <v>0</v>
          </cell>
          <cell r="O4532">
            <v>271485</v>
          </cell>
          <cell r="P4532"/>
          <cell r="Q4532" t="str">
            <v>EST AC BOWL IBERIS I 16X52X52 MET ESMALTADO AZUL</v>
          </cell>
          <cell r="R4532"/>
          <cell r="S4532"/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 t="str">
            <v>EST AC BOWL IBERIS I 16X52X52 MET ESMALTADO AZUL - Ø0x0H</v>
          </cell>
          <cell r="Y4532">
            <v>0</v>
          </cell>
          <cell r="Z4532">
            <v>0.35</v>
          </cell>
          <cell r="AA4532">
            <v>0</v>
          </cell>
          <cell r="AB4532"/>
        </row>
        <row r="4533">
          <cell r="C4533">
            <v>2</v>
          </cell>
          <cell r="D4533">
            <v>0</v>
          </cell>
          <cell r="E4533">
            <v>2</v>
          </cell>
          <cell r="F4533">
            <v>0</v>
          </cell>
          <cell r="H4533">
            <v>0</v>
          </cell>
          <cell r="O4533">
            <v>271488</v>
          </cell>
          <cell r="P4533"/>
          <cell r="Q4533" t="str">
            <v>EST AC BOWL ETHAN I 11X26X26 MET ESMALTADO MARSALA</v>
          </cell>
          <cell r="R4533"/>
          <cell r="S4533"/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 t="str">
            <v>EST AC BOWL ETHAN I 11X26X26 MET ESMALTADO MARSALA - Ø0x0H</v>
          </cell>
          <cell r="Y4533">
            <v>0</v>
          </cell>
          <cell r="Z4533">
            <v>0.35</v>
          </cell>
          <cell r="AA4533">
            <v>0</v>
          </cell>
          <cell r="AB4533"/>
        </row>
        <row r="4534">
          <cell r="C4534">
            <v>2</v>
          </cell>
          <cell r="D4534">
            <v>1</v>
          </cell>
          <cell r="E4534">
            <v>0</v>
          </cell>
          <cell r="F4534">
            <v>0</v>
          </cell>
          <cell r="H4534">
            <v>0</v>
          </cell>
          <cell r="O4534">
            <v>271489</v>
          </cell>
          <cell r="P4534"/>
          <cell r="Q4534" t="str">
            <v>EST AC BOWL ETHAN II 9X21X21 MET ESMALTADO VERDE</v>
          </cell>
          <cell r="R4534"/>
          <cell r="S4534"/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 t="str">
            <v>EST AC BOWL ETHAN II 9X21X21 MET ESMALTADO VERDE - Ø0x0H</v>
          </cell>
          <cell r="Y4534">
            <v>0</v>
          </cell>
          <cell r="Z4534">
            <v>0.35</v>
          </cell>
          <cell r="AA4534">
            <v>0</v>
          </cell>
          <cell r="AB4534"/>
        </row>
        <row r="4535">
          <cell r="C4535">
            <v>2</v>
          </cell>
          <cell r="D4535">
            <v>2</v>
          </cell>
          <cell r="E4535">
            <v>1</v>
          </cell>
          <cell r="F4535">
            <v>0</v>
          </cell>
          <cell r="H4535">
            <v>0</v>
          </cell>
          <cell r="O4535">
            <v>271490</v>
          </cell>
          <cell r="P4535"/>
          <cell r="Q4535" t="str">
            <v>EST AC LATERNA NEO I 32X14,5X14,5 METAL DOURADO</v>
          </cell>
          <cell r="R4535"/>
          <cell r="S4535"/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 t="str">
            <v>EST AC LATERNA NEO I 32X14,5X14,5 METAL DOURADO - Ø0x0H</v>
          </cell>
          <cell r="Y4535">
            <v>0</v>
          </cell>
          <cell r="Z4535">
            <v>0.35</v>
          </cell>
          <cell r="AA4535">
            <v>0</v>
          </cell>
          <cell r="AB4535"/>
        </row>
        <row r="4536">
          <cell r="C4536">
            <v>0</v>
          </cell>
          <cell r="D4536">
            <v>0</v>
          </cell>
          <cell r="E4536">
            <v>1</v>
          </cell>
          <cell r="F4536">
            <v>0</v>
          </cell>
          <cell r="H4536">
            <v>0</v>
          </cell>
          <cell r="O4536">
            <v>271491</v>
          </cell>
          <cell r="P4536"/>
          <cell r="Q4536" t="str">
            <v>EST AC LATERNA NEO II 26X12,5X12,5 METAL DOURADO</v>
          </cell>
          <cell r="R4536"/>
          <cell r="S4536"/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 t="str">
            <v>EST AC LATERNA NEO II 26X12,5X12,5 METAL DOURADO - Ø0x0H</v>
          </cell>
          <cell r="Y4536">
            <v>0</v>
          </cell>
          <cell r="Z4536">
            <v>0.35</v>
          </cell>
          <cell r="AA4536">
            <v>0</v>
          </cell>
          <cell r="AB4536"/>
        </row>
        <row r="4537">
          <cell r="C4537">
            <v>2</v>
          </cell>
          <cell r="D4537">
            <v>2</v>
          </cell>
          <cell r="E4537">
            <v>1</v>
          </cell>
          <cell r="F4537">
            <v>0</v>
          </cell>
          <cell r="H4537">
            <v>0</v>
          </cell>
          <cell r="O4537">
            <v>271494</v>
          </cell>
          <cell r="P4537"/>
          <cell r="Q4537" t="str">
            <v>EST AC LATERNA NEO III 20X11X11 METAL DOURADO</v>
          </cell>
          <cell r="R4537"/>
          <cell r="S4537"/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 t="str">
            <v>EST AC LATERNA NEO III 20X11X11 METAL DOURADO - Ø0x0H</v>
          </cell>
          <cell r="Y4537">
            <v>0</v>
          </cell>
          <cell r="Z4537">
            <v>0.35</v>
          </cell>
          <cell r="AA4537">
            <v>0</v>
          </cell>
          <cell r="AB4537"/>
        </row>
        <row r="4538">
          <cell r="C4538">
            <v>2</v>
          </cell>
          <cell r="D4538">
            <v>2</v>
          </cell>
          <cell r="E4538">
            <v>0</v>
          </cell>
          <cell r="F4538">
            <v>0</v>
          </cell>
          <cell r="H4538">
            <v>0</v>
          </cell>
          <cell r="O4538">
            <v>271496</v>
          </cell>
          <cell r="P4538"/>
          <cell r="Q4538" t="str">
            <v>EST AC CENTRO DE MESA LOMMA 4,5X35,4X33 CERAMICA PTO E VERDE</v>
          </cell>
          <cell r="R4538"/>
          <cell r="S4538"/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 t="str">
            <v>EST AC CENTRO DE MESA LOMMA 4,5X35,4X33 CERAMICA PTO E VERDE - Ø0x0H</v>
          </cell>
          <cell r="Y4538">
            <v>0</v>
          </cell>
          <cell r="Z4538">
            <v>0.35</v>
          </cell>
          <cell r="AA4538">
            <v>0</v>
          </cell>
          <cell r="AB4538"/>
        </row>
        <row r="4539">
          <cell r="C4539">
            <v>0</v>
          </cell>
          <cell r="D4539">
            <v>1</v>
          </cell>
          <cell r="E4539">
            <v>0</v>
          </cell>
          <cell r="F4539">
            <v>0</v>
          </cell>
          <cell r="H4539">
            <v>0</v>
          </cell>
          <cell r="O4539">
            <v>271497</v>
          </cell>
          <cell r="P4539"/>
          <cell r="Q4539" t="str">
            <v>EST AC CENTRO DE MESA KHUMO I 7X28,3X27 CERAM BCO E CINZA</v>
          </cell>
          <cell r="R4539"/>
          <cell r="S4539"/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 t="str">
            <v>EST AC CENTRO DE MESA KHUMO I 7X28,3X27 CERAM BCO E CINZA - Ø0x0H</v>
          </cell>
          <cell r="Y4539">
            <v>0</v>
          </cell>
          <cell r="Z4539">
            <v>0.35</v>
          </cell>
          <cell r="AA4539">
            <v>0</v>
          </cell>
          <cell r="AB4539"/>
        </row>
        <row r="4540">
          <cell r="C4540">
            <v>0</v>
          </cell>
          <cell r="D4540">
            <v>0</v>
          </cell>
          <cell r="E4540">
            <v>1</v>
          </cell>
          <cell r="F4540">
            <v>0</v>
          </cell>
          <cell r="H4540">
            <v>0</v>
          </cell>
          <cell r="O4540">
            <v>271498</v>
          </cell>
          <cell r="P4540"/>
          <cell r="Q4540" t="str">
            <v>EST AC CENTRO DE MESA KHUMO II 8,5X35,3X33,5 CER BCO E CINZA</v>
          </cell>
          <cell r="R4540"/>
          <cell r="S4540"/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 t="str">
            <v>EST AC CENTRO DE MESA KHUMO II 8,5X35,3X33,5 CER BCO E CINZA - Ø0x0H</v>
          </cell>
          <cell r="Y4540">
            <v>0</v>
          </cell>
          <cell r="Z4540">
            <v>0.35</v>
          </cell>
          <cell r="AA4540">
            <v>0</v>
          </cell>
          <cell r="AB4540"/>
        </row>
        <row r="4541">
          <cell r="C4541">
            <v>2</v>
          </cell>
          <cell r="D4541">
            <v>0</v>
          </cell>
          <cell r="E4541">
            <v>1</v>
          </cell>
          <cell r="F4541">
            <v>0</v>
          </cell>
          <cell r="H4541">
            <v>0</v>
          </cell>
          <cell r="O4541">
            <v>271499</v>
          </cell>
          <cell r="P4541"/>
          <cell r="Q4541" t="str">
            <v>EST AC CENTRO DE MESA OSLO I 7X28,3X27 CERAM BCO E BEGE</v>
          </cell>
          <cell r="R4541"/>
          <cell r="S4541"/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 t="str">
            <v>EST AC CENTRO DE MESA OSLO I 7X28,3X27 CERAM BCO E BEGE - Ø0x0H</v>
          </cell>
          <cell r="Y4541">
            <v>0</v>
          </cell>
          <cell r="Z4541">
            <v>0.35</v>
          </cell>
          <cell r="AA4541">
            <v>0</v>
          </cell>
          <cell r="AB4541"/>
        </row>
        <row r="4542">
          <cell r="C4542">
            <v>2</v>
          </cell>
          <cell r="D4542">
            <v>1</v>
          </cell>
          <cell r="E4542">
            <v>1</v>
          </cell>
          <cell r="F4542">
            <v>0</v>
          </cell>
          <cell r="H4542">
            <v>0</v>
          </cell>
          <cell r="O4542">
            <v>271500</v>
          </cell>
          <cell r="P4542"/>
          <cell r="Q4542" t="str">
            <v>EST AC CENTRO DE MESA OSLO II 8,5X35,3X33,5 CERAM BCO E BEGE</v>
          </cell>
          <cell r="R4542"/>
          <cell r="S4542"/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 t="str">
            <v>EST AC CENTRO DE MESA OSLO II 8,5X35,3X33,5 CERAM BCO E BEGE - Ø0x0H</v>
          </cell>
          <cell r="Y4542">
            <v>0</v>
          </cell>
          <cell r="Z4542">
            <v>0.35</v>
          </cell>
          <cell r="AA4542">
            <v>0</v>
          </cell>
          <cell r="AB4542"/>
        </row>
        <row r="4543">
          <cell r="C4543">
            <v>2</v>
          </cell>
          <cell r="D4543">
            <v>0</v>
          </cell>
          <cell r="E4543">
            <v>0</v>
          </cell>
          <cell r="F4543">
            <v>0</v>
          </cell>
          <cell r="H4543">
            <v>0</v>
          </cell>
          <cell r="O4543">
            <v>271501</v>
          </cell>
          <cell r="P4543"/>
          <cell r="Q4543" t="str">
            <v>EST AC VASO HANKO 28X21X21 BRANCO</v>
          </cell>
          <cell r="R4543"/>
          <cell r="S4543"/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 t="str">
            <v>EST AC VASO HANKO 28X21X21 BRANCO - Ø0x0H</v>
          </cell>
          <cell r="Y4543">
            <v>0</v>
          </cell>
          <cell r="Z4543">
            <v>0.35</v>
          </cell>
          <cell r="AA4543">
            <v>0</v>
          </cell>
          <cell r="AB4543"/>
        </row>
        <row r="4544">
          <cell r="C4544">
            <v>2</v>
          </cell>
          <cell r="D4544">
            <v>0</v>
          </cell>
          <cell r="E4544">
            <v>0</v>
          </cell>
          <cell r="F4544">
            <v>0</v>
          </cell>
          <cell r="H4544">
            <v>0</v>
          </cell>
          <cell r="O4544">
            <v>271502</v>
          </cell>
          <cell r="P4544"/>
          <cell r="Q4544" t="str">
            <v>EST AC VASO HANKO 28X21X21 PRETO</v>
          </cell>
          <cell r="R4544"/>
          <cell r="S4544"/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 t="str">
            <v>EST AC VASO HANKO 28X21X21 PRETO - Ø0x0H</v>
          </cell>
          <cell r="Y4544">
            <v>0</v>
          </cell>
          <cell r="Z4544">
            <v>0.35</v>
          </cell>
          <cell r="AA4544">
            <v>0</v>
          </cell>
          <cell r="AB4544"/>
        </row>
        <row r="4545">
          <cell r="C4545">
            <v>1</v>
          </cell>
          <cell r="D4545">
            <v>1</v>
          </cell>
          <cell r="E4545">
            <v>0</v>
          </cell>
          <cell r="F4545">
            <v>0</v>
          </cell>
          <cell r="H4545">
            <v>0</v>
          </cell>
          <cell r="O4545">
            <v>271717</v>
          </cell>
          <cell r="P4545"/>
          <cell r="Q4545" t="str">
            <v>EST AC ABATJOUR TRE 19X58 INOX MADEIRA FENDI ESFERA INCOLOR</v>
          </cell>
          <cell r="R4545"/>
          <cell r="S4545"/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 t="str">
            <v>EST AC ABATJOUR TRE 19X58 INOX MADEIRA FENDI ESFERA INCOLOR - Ø0x0H</v>
          </cell>
          <cell r="Y4545">
            <v>0</v>
          </cell>
          <cell r="Z4545">
            <v>0.35</v>
          </cell>
          <cell r="AA4545">
            <v>0</v>
          </cell>
          <cell r="AB4545"/>
        </row>
        <row r="4546">
          <cell r="C4546">
            <v>2</v>
          </cell>
          <cell r="D4546">
            <v>0</v>
          </cell>
          <cell r="E4546">
            <v>0</v>
          </cell>
          <cell r="F4546">
            <v>0</v>
          </cell>
          <cell r="H4546">
            <v>0</v>
          </cell>
          <cell r="O4546">
            <v>271722</v>
          </cell>
          <cell r="P4546"/>
          <cell r="Q4546" t="str">
            <v>EST ABAJUR ELM (INOX VIDRO INCOLOR) (CUPULA LINEN BEGE)</v>
          </cell>
          <cell r="R4546"/>
          <cell r="S4546"/>
          <cell r="T4546">
            <v>0.45</v>
          </cell>
          <cell r="U4546">
            <v>0</v>
          </cell>
          <cell r="V4546">
            <v>0.78</v>
          </cell>
          <cell r="W4546">
            <v>0</v>
          </cell>
          <cell r="X4546" t="str">
            <v>EST ABAJUR ELM (INOX VIDRO INCOLOR) (CUPULA LINEN BEGE) - Ø0x0,78H</v>
          </cell>
          <cell r="Y4546">
            <v>0</v>
          </cell>
          <cell r="Z4546">
            <v>0.35</v>
          </cell>
          <cell r="AA4546">
            <v>0</v>
          </cell>
          <cell r="AB4546"/>
        </row>
        <row r="4547">
          <cell r="C4547">
            <v>0</v>
          </cell>
          <cell r="D4547">
            <v>1</v>
          </cell>
          <cell r="E4547">
            <v>0</v>
          </cell>
          <cell r="F4547">
            <v>0</v>
          </cell>
          <cell r="H4547">
            <v>0</v>
          </cell>
          <cell r="O4547">
            <v>271724</v>
          </cell>
          <cell r="P4547"/>
          <cell r="Q4547" t="str">
            <v>EST AC BANDEJA MIDI 40X60X8 MD FENDI RUSTICO ACO INOX VD PIN</v>
          </cell>
          <cell r="R4547"/>
          <cell r="S4547"/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 t="str">
            <v>EST AC BANDEJA MIDI 40X60X8 MD FENDI RUSTICO ACO INOX VD PIN - Ø0x0H</v>
          </cell>
          <cell r="Y4547">
            <v>0</v>
          </cell>
          <cell r="Z4547">
            <v>0.35</v>
          </cell>
          <cell r="AA4547">
            <v>0</v>
          </cell>
          <cell r="AB4547"/>
        </row>
        <row r="4548">
          <cell r="C4548">
            <v>0</v>
          </cell>
          <cell r="D4548">
            <v>1</v>
          </cell>
          <cell r="E4548">
            <v>1</v>
          </cell>
          <cell r="F4548">
            <v>0</v>
          </cell>
          <cell r="H4548">
            <v>0</v>
          </cell>
          <cell r="O4548">
            <v>271726</v>
          </cell>
          <cell r="P4548"/>
          <cell r="Q4548" t="str">
            <v>EST AC BANDEJA ADAM 50X4 MADEIRA NUDE VD PINT FENDI E VERDE</v>
          </cell>
          <cell r="R4548"/>
          <cell r="S4548"/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 t="str">
            <v>EST AC BANDEJA ADAM 50X4 MADEIRA NUDE VD PINT FENDI E VERDE - Ø0x0H</v>
          </cell>
          <cell r="Y4548">
            <v>0</v>
          </cell>
          <cell r="Z4548">
            <v>0.35</v>
          </cell>
          <cell r="AA4548">
            <v>0</v>
          </cell>
          <cell r="AB4548"/>
        </row>
        <row r="4549">
          <cell r="C4549">
            <v>0</v>
          </cell>
          <cell r="D4549">
            <v>1</v>
          </cell>
          <cell r="E4549">
            <v>0</v>
          </cell>
          <cell r="F4549">
            <v>0</v>
          </cell>
          <cell r="H4549">
            <v>0</v>
          </cell>
          <cell r="O4549">
            <v>271728</v>
          </cell>
          <cell r="P4549"/>
          <cell r="Q4549" t="str">
            <v>EST AC BANDEJA BUD 61X41X4 MAD CHUMBO VD NUDE E VERDE</v>
          </cell>
          <cell r="R4549"/>
          <cell r="S4549"/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 t="str">
            <v>EST AC BANDEJA BUD 61X41X4 MAD CHUMBO VD NUDE E VERDE - Ø0x0H</v>
          </cell>
          <cell r="Y4549">
            <v>0</v>
          </cell>
          <cell r="Z4549">
            <v>0.35</v>
          </cell>
          <cell r="AA4549">
            <v>0</v>
          </cell>
          <cell r="AB4549"/>
        </row>
        <row r="4550">
          <cell r="C4550">
            <v>1</v>
          </cell>
          <cell r="D4550">
            <v>0</v>
          </cell>
          <cell r="E4550">
            <v>0</v>
          </cell>
          <cell r="F4550">
            <v>0</v>
          </cell>
          <cell r="H4550">
            <v>0</v>
          </cell>
          <cell r="O4550">
            <v>271730</v>
          </cell>
          <cell r="P4550"/>
          <cell r="Q4550" t="str">
            <v>EST AC BANDEJA ISLA OVAL 60X32X13 MAD CANELA RUSTICA ESPELHO</v>
          </cell>
          <cell r="R4550"/>
          <cell r="S4550"/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 t="str">
            <v>EST AC BANDEJA ISLA OVAL 60X32X13 MAD CANELA RUSTICA ESPELHO - Ø0x0H</v>
          </cell>
          <cell r="Y4550">
            <v>0</v>
          </cell>
          <cell r="Z4550">
            <v>0.35</v>
          </cell>
          <cell r="AA4550">
            <v>0</v>
          </cell>
          <cell r="AB4550"/>
        </row>
        <row r="4551">
          <cell r="C4551">
            <v>0</v>
          </cell>
          <cell r="D4551">
            <v>1</v>
          </cell>
          <cell r="E4551">
            <v>1</v>
          </cell>
          <cell r="F4551">
            <v>0</v>
          </cell>
          <cell r="H4551">
            <v>0</v>
          </cell>
          <cell r="O4551">
            <v>271731</v>
          </cell>
          <cell r="P4551"/>
          <cell r="Q4551" t="str">
            <v>EST AC BANDEJA ISLA RETANGULAR 60X40X10 MD PTO RUSTI ESPELHO</v>
          </cell>
          <cell r="R4551"/>
          <cell r="S4551"/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 t="str">
            <v>EST AC BANDEJA ISLA RETANGULAR 60X40X10 MD PTO RUSTI ESPELHO - Ø0x0H</v>
          </cell>
          <cell r="Y4551">
            <v>0</v>
          </cell>
          <cell r="Z4551">
            <v>0.35</v>
          </cell>
          <cell r="AA4551">
            <v>0</v>
          </cell>
          <cell r="AB4551"/>
        </row>
        <row r="4552">
          <cell r="C4552">
            <v>1</v>
          </cell>
          <cell r="D4552">
            <v>0</v>
          </cell>
          <cell r="E4552">
            <v>0</v>
          </cell>
          <cell r="F4552">
            <v>0</v>
          </cell>
          <cell r="H4552">
            <v>0</v>
          </cell>
          <cell r="O4552">
            <v>271732</v>
          </cell>
          <cell r="P4552"/>
          <cell r="Q4552" t="str">
            <v>EST AC BANDEJA DEAN 60X40X7 MAD COURO ECO CARAMELHO ESPELHO</v>
          </cell>
          <cell r="R4552"/>
          <cell r="S4552"/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 t="str">
            <v>EST AC BANDEJA DEAN 60X40X7 MAD COURO ECO CARAMELHO ESPELHO - Ø0x0H</v>
          </cell>
          <cell r="Y4552">
            <v>0</v>
          </cell>
          <cell r="Z4552">
            <v>0.35</v>
          </cell>
          <cell r="AA4552">
            <v>0</v>
          </cell>
          <cell r="AB4552"/>
        </row>
        <row r="4553">
          <cell r="C4553">
            <v>0</v>
          </cell>
          <cell r="D4553">
            <v>1</v>
          </cell>
          <cell r="E4553">
            <v>0</v>
          </cell>
          <cell r="F4553">
            <v>0</v>
          </cell>
          <cell r="H4553">
            <v>0</v>
          </cell>
          <cell r="O4553">
            <v>271733</v>
          </cell>
          <cell r="P4553"/>
          <cell r="Q4553" t="str">
            <v>EST AC BANDEJA DEAN 60X40X7 MAD COURO ECO FENDI ESPELHO</v>
          </cell>
          <cell r="R4553"/>
          <cell r="S4553"/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 t="str">
            <v>EST AC BANDEJA DEAN 60X40X7 MAD COURO ECO FENDI ESPELHO - Ø0x0H</v>
          </cell>
          <cell r="Y4553">
            <v>0</v>
          </cell>
          <cell r="Z4553">
            <v>0.35</v>
          </cell>
          <cell r="AA4553">
            <v>0</v>
          </cell>
          <cell r="AB4553"/>
        </row>
        <row r="4554">
          <cell r="C4554">
            <v>0</v>
          </cell>
          <cell r="D4554">
            <v>0</v>
          </cell>
          <cell r="E4554">
            <v>1</v>
          </cell>
          <cell r="F4554">
            <v>0</v>
          </cell>
          <cell r="H4554">
            <v>0</v>
          </cell>
          <cell r="O4554">
            <v>271735</v>
          </cell>
          <cell r="P4554"/>
          <cell r="Q4554" t="str">
            <v>EST AC CAIXA AVA G 25X18 REDONDA MAD CANELA RUSTICA DT INOX</v>
          </cell>
          <cell r="R4554"/>
          <cell r="S4554"/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 t="str">
            <v>EST AC CAIXA AVA G 25X18 REDONDA MAD CANELA RUSTICA DT INOX - Ø0x0H</v>
          </cell>
          <cell r="Y4554">
            <v>0</v>
          </cell>
          <cell r="Z4554">
            <v>0.35</v>
          </cell>
          <cell r="AA4554">
            <v>0</v>
          </cell>
          <cell r="AB4554"/>
        </row>
        <row r="4555">
          <cell r="C4555">
            <v>0</v>
          </cell>
          <cell r="D4555">
            <v>1</v>
          </cell>
          <cell r="E4555">
            <v>1</v>
          </cell>
          <cell r="F4555">
            <v>0</v>
          </cell>
          <cell r="H4555">
            <v>0</v>
          </cell>
          <cell r="O4555">
            <v>271738</v>
          </cell>
          <cell r="P4555"/>
          <cell r="Q4555" t="str">
            <v>EST AC CAIXA EMMA 27X15X9 MAD FENDI DET INOX</v>
          </cell>
          <cell r="R4555"/>
          <cell r="S4555"/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 t="str">
            <v>EST AC CAIXA EMMA 27X15X9 MAD FENDI DET INOX - Ø0x0H</v>
          </cell>
          <cell r="Y4555">
            <v>0</v>
          </cell>
          <cell r="Z4555">
            <v>0.35</v>
          </cell>
          <cell r="AA4555">
            <v>0</v>
          </cell>
          <cell r="AB4555"/>
        </row>
        <row r="4556">
          <cell r="C4556">
            <v>0</v>
          </cell>
          <cell r="D4556">
            <v>0</v>
          </cell>
          <cell r="E4556">
            <v>1</v>
          </cell>
          <cell r="F4556">
            <v>0</v>
          </cell>
          <cell r="H4556">
            <v>0</v>
          </cell>
          <cell r="O4556">
            <v>271739</v>
          </cell>
          <cell r="P4556"/>
          <cell r="Q4556" t="str">
            <v>EST AC CAIXA EMMA 27X15X9 MAD NUDE DET INOX</v>
          </cell>
          <cell r="R4556"/>
          <cell r="S4556"/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 t="str">
            <v>EST AC CAIXA EMMA 27X15X9 MAD NUDE DET INOX - Ø0x0H</v>
          </cell>
          <cell r="Y4556">
            <v>0</v>
          </cell>
          <cell r="Z4556">
            <v>0.35</v>
          </cell>
          <cell r="AA4556">
            <v>0</v>
          </cell>
          <cell r="AB4556"/>
        </row>
        <row r="4557">
          <cell r="C4557">
            <v>1</v>
          </cell>
          <cell r="D4557">
            <v>1</v>
          </cell>
          <cell r="E4557">
            <v>1</v>
          </cell>
          <cell r="F4557">
            <v>0</v>
          </cell>
          <cell r="H4557">
            <v>0</v>
          </cell>
          <cell r="O4557">
            <v>271740</v>
          </cell>
          <cell r="P4557"/>
          <cell r="Q4557" t="str">
            <v>EST AC CAIXA EMMA 27X15X9 MAD CHUMBO DET INOX</v>
          </cell>
          <cell r="R4557"/>
          <cell r="S4557"/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 t="str">
            <v>EST AC CAIXA EMMA 27X15X9 MAD CHUMBO DET INOX - Ø0x0H</v>
          </cell>
          <cell r="Y4557">
            <v>0</v>
          </cell>
          <cell r="Z4557">
            <v>0.35</v>
          </cell>
          <cell r="AA4557">
            <v>0</v>
          </cell>
          <cell r="AB4557"/>
        </row>
        <row r="4558">
          <cell r="C4558">
            <v>0</v>
          </cell>
          <cell r="D4558">
            <v>0</v>
          </cell>
          <cell r="E4558">
            <v>1</v>
          </cell>
          <cell r="F4558">
            <v>0</v>
          </cell>
          <cell r="H4558">
            <v>0</v>
          </cell>
          <cell r="O4558">
            <v>271741</v>
          </cell>
          <cell r="P4558"/>
          <cell r="Q4558" t="str">
            <v>EST AC CAIXA TRACY P 30X30X10 QUA MA PT VD TAB CARAM CHUM</v>
          </cell>
          <cell r="R4558"/>
          <cell r="S4558"/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 t="str">
            <v>EST AC CAIXA TRACY P 30X30X10 QUA MA PT VD TAB CARAM CHUM - Ø0x0H</v>
          </cell>
          <cell r="Y4558">
            <v>0</v>
          </cell>
          <cell r="Z4558">
            <v>0.35</v>
          </cell>
          <cell r="AA4558">
            <v>0</v>
          </cell>
          <cell r="AB4558"/>
        </row>
        <row r="4559">
          <cell r="C4559">
            <v>0</v>
          </cell>
          <cell r="D4559">
            <v>1</v>
          </cell>
          <cell r="E4559">
            <v>1</v>
          </cell>
          <cell r="F4559">
            <v>0</v>
          </cell>
          <cell r="H4559">
            <v>0</v>
          </cell>
          <cell r="O4559">
            <v>271742</v>
          </cell>
          <cell r="P4559"/>
          <cell r="Q4559" t="str">
            <v>EST AC CAIXA TRACY G 30X30X10 RETAN MA PT VD TAB CARAM CHUM</v>
          </cell>
          <cell r="R4559"/>
          <cell r="S4559"/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 t="str">
            <v>EST AC CAIXA TRACY G 30X30X10 RETAN MA PT VD TAB CARAM CHUM - Ø0x0H</v>
          </cell>
          <cell r="Y4559">
            <v>0</v>
          </cell>
          <cell r="Z4559">
            <v>0.35</v>
          </cell>
          <cell r="AA4559">
            <v>0</v>
          </cell>
          <cell r="AB4559"/>
        </row>
        <row r="4560">
          <cell r="C4560">
            <v>2</v>
          </cell>
          <cell r="D4560">
            <v>0</v>
          </cell>
          <cell r="E4560">
            <v>0</v>
          </cell>
          <cell r="F4560">
            <v>0</v>
          </cell>
          <cell r="H4560">
            <v>0</v>
          </cell>
          <cell r="O4560">
            <v>271744</v>
          </cell>
          <cell r="P4560"/>
          <cell r="Q4560" t="str">
            <v>EST AC FRUTEIRA POPPY 15X7 CERAMICA VERDE FOLHA DE PRATA</v>
          </cell>
          <cell r="R4560"/>
          <cell r="S4560"/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 t="str">
            <v>EST AC FRUTEIRA POPPY 15X7 CERAMICA VERDE FOLHA DE PRATA - Ø0x0H</v>
          </cell>
          <cell r="Y4560">
            <v>0</v>
          </cell>
          <cell r="Z4560">
            <v>0.35</v>
          </cell>
          <cell r="AA4560">
            <v>0</v>
          </cell>
          <cell r="AB4560"/>
        </row>
        <row r="4561">
          <cell r="C4561">
            <v>0</v>
          </cell>
          <cell r="D4561">
            <v>0</v>
          </cell>
          <cell r="E4561">
            <v>0</v>
          </cell>
          <cell r="F4561">
            <v>1</v>
          </cell>
          <cell r="H4561">
            <v>0</v>
          </cell>
          <cell r="O4561">
            <v>271746</v>
          </cell>
          <cell r="P4561"/>
          <cell r="Q4561" t="str">
            <v>EST AC VASO MARTIN P 17X22 MADEIRA NATURAL VIDRO</v>
          </cell>
          <cell r="R4561"/>
          <cell r="S4561"/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 t="str">
            <v>EST AC VASO MARTIN P 17X22 MADEIRA NATURAL VIDRO - Ø0x0H</v>
          </cell>
          <cell r="Y4561">
            <v>0</v>
          </cell>
          <cell r="Z4561">
            <v>0.35</v>
          </cell>
          <cell r="AA4561">
            <v>0</v>
          </cell>
          <cell r="AB4561"/>
        </row>
        <row r="4562">
          <cell r="C4562">
            <v>1</v>
          </cell>
          <cell r="D4562">
            <v>0</v>
          </cell>
          <cell r="E4562">
            <v>0</v>
          </cell>
          <cell r="F4562">
            <v>0</v>
          </cell>
          <cell r="H4562">
            <v>0</v>
          </cell>
          <cell r="O4562">
            <v>271748</v>
          </cell>
          <cell r="P4562"/>
          <cell r="Q4562" t="str">
            <v>EST AC VASO MARTIN M 18X34 MADEIRA NATURAL VIDRO</v>
          </cell>
          <cell r="R4562"/>
          <cell r="S4562"/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 t="str">
            <v>EST AC VASO MARTIN M 18X34 MADEIRA NATURAL VIDRO - Ø0x0H</v>
          </cell>
          <cell r="Y4562">
            <v>0</v>
          </cell>
          <cell r="Z4562">
            <v>0.35</v>
          </cell>
          <cell r="AA4562">
            <v>0</v>
          </cell>
          <cell r="AB4562"/>
        </row>
        <row r="4563">
          <cell r="C4563">
            <v>1</v>
          </cell>
          <cell r="D4563">
            <v>0</v>
          </cell>
          <cell r="E4563">
            <v>0</v>
          </cell>
          <cell r="F4563">
            <v>0</v>
          </cell>
          <cell r="H4563">
            <v>0</v>
          </cell>
          <cell r="O4563">
            <v>271749</v>
          </cell>
          <cell r="P4563"/>
          <cell r="Q4563" t="str">
            <v>EST AC VASO MARTIN G 18X41 MADEIRA NATURAL VIDRO</v>
          </cell>
          <cell r="R4563"/>
          <cell r="S4563"/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 t="str">
            <v>EST AC VASO MARTIN G 18X41 MADEIRA NATURAL VIDRO - Ø0x0H</v>
          </cell>
          <cell r="Y4563">
            <v>0</v>
          </cell>
          <cell r="Z4563">
            <v>0.35</v>
          </cell>
          <cell r="AA4563">
            <v>0</v>
          </cell>
          <cell r="AB4563"/>
        </row>
        <row r="4564">
          <cell r="C4564">
            <v>0</v>
          </cell>
          <cell r="D4564">
            <v>0</v>
          </cell>
          <cell r="E4564">
            <v>1</v>
          </cell>
          <cell r="F4564">
            <v>0</v>
          </cell>
          <cell r="H4564">
            <v>0</v>
          </cell>
          <cell r="O4564">
            <v>271750</v>
          </cell>
          <cell r="P4564"/>
          <cell r="Q4564" t="str">
            <v>EST AC VASO IAN 18X9X44 MADEIRA PRETA VIDRO</v>
          </cell>
          <cell r="R4564"/>
          <cell r="S4564"/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 t="str">
            <v>EST AC VASO IAN 18X9X44 MADEIRA PRETA VIDRO - Ø0x0H</v>
          </cell>
          <cell r="Y4564">
            <v>0</v>
          </cell>
          <cell r="Z4564">
            <v>0.35</v>
          </cell>
          <cell r="AA4564">
            <v>0</v>
          </cell>
          <cell r="AB4564"/>
        </row>
        <row r="4565">
          <cell r="C4565">
            <v>0</v>
          </cell>
          <cell r="D4565">
            <v>2</v>
          </cell>
          <cell r="E4565">
            <v>0</v>
          </cell>
          <cell r="F4565">
            <v>0</v>
          </cell>
          <cell r="H4565">
            <v>0</v>
          </cell>
          <cell r="O4565">
            <v>271752</v>
          </cell>
          <cell r="P4565"/>
          <cell r="Q4565" t="str">
            <v>EST VASO LIAM (MADEIRA) (LACA CHUMBO VIDRO)</v>
          </cell>
          <cell r="R4565"/>
          <cell r="S4565"/>
          <cell r="T4565">
            <v>0.15</v>
          </cell>
          <cell r="U4565">
            <v>0</v>
          </cell>
          <cell r="V4565">
            <v>0.34</v>
          </cell>
          <cell r="W4565">
            <v>0.15</v>
          </cell>
          <cell r="X4565" t="str">
            <v>EST VASO LIAM (MADEIRA) (LACA CHUMBO VIDRO) - Ø0,15x0,34H</v>
          </cell>
          <cell r="Y4565">
            <v>0</v>
          </cell>
          <cell r="Z4565">
            <v>0.35</v>
          </cell>
          <cell r="AA4565">
            <v>0</v>
          </cell>
          <cell r="AB4565"/>
        </row>
        <row r="4566">
          <cell r="C4566">
            <v>0</v>
          </cell>
          <cell r="D4566">
            <v>1</v>
          </cell>
          <cell r="E4566">
            <v>0</v>
          </cell>
          <cell r="F4566">
            <v>0</v>
          </cell>
          <cell r="H4566">
            <v>0</v>
          </cell>
          <cell r="O4566">
            <v>271753</v>
          </cell>
          <cell r="P4566"/>
          <cell r="Q4566" t="str">
            <v>EST VASO LIAM (MADEIRA) (LACA NUDE VIDRO)</v>
          </cell>
          <cell r="R4566"/>
          <cell r="S4566"/>
          <cell r="T4566">
            <v>0.15</v>
          </cell>
          <cell r="U4566">
            <v>0</v>
          </cell>
          <cell r="V4566">
            <v>0.34</v>
          </cell>
          <cell r="W4566">
            <v>0.15</v>
          </cell>
          <cell r="X4566" t="str">
            <v>EST VASO LIAM (MADEIRA) (LACA NUDE VIDRO) - Ø0,15x0,34H</v>
          </cell>
          <cell r="Y4566">
            <v>0</v>
          </cell>
          <cell r="Z4566">
            <v>0.35</v>
          </cell>
          <cell r="AA4566">
            <v>0</v>
          </cell>
          <cell r="AB4566"/>
        </row>
        <row r="4567">
          <cell r="C4567">
            <v>2</v>
          </cell>
          <cell r="D4567">
            <v>0</v>
          </cell>
          <cell r="E4567">
            <v>0</v>
          </cell>
          <cell r="F4567">
            <v>0</v>
          </cell>
          <cell r="H4567">
            <v>0</v>
          </cell>
          <cell r="O4567">
            <v>271755</v>
          </cell>
          <cell r="P4567"/>
          <cell r="Q4567" t="str">
            <v>EST ABATJOUR LILAC (BASE CHUMBO) (VIDRO INCOLOR) (LINHO CRU)</v>
          </cell>
          <cell r="R4567"/>
          <cell r="S4567"/>
          <cell r="T4567">
            <v>0.44</v>
          </cell>
          <cell r="U4567">
            <v>0</v>
          </cell>
          <cell r="V4567">
            <v>0.73</v>
          </cell>
          <cell r="W4567">
            <v>0</v>
          </cell>
          <cell r="X4567" t="str">
            <v>EST ABATJOUR LILAC (BASE CHUMBO) (VIDRO INCOLOR) (LINHO CRU) - Ø0x0,73H</v>
          </cell>
          <cell r="Y4567">
            <v>0</v>
          </cell>
          <cell r="Z4567">
            <v>0.35</v>
          </cell>
          <cell r="AA4567">
            <v>0</v>
          </cell>
          <cell r="AB4567"/>
        </row>
        <row r="4568">
          <cell r="C4568">
            <v>0</v>
          </cell>
          <cell r="D4568">
            <v>0</v>
          </cell>
          <cell r="E4568">
            <v>2</v>
          </cell>
          <cell r="F4568">
            <v>0</v>
          </cell>
          <cell r="H4568">
            <v>0</v>
          </cell>
          <cell r="O4568">
            <v>314831</v>
          </cell>
          <cell r="P4568"/>
          <cell r="Q4568" t="str">
            <v>EST ALMOFADA LOLITA FOLHA</v>
          </cell>
          <cell r="R4568"/>
          <cell r="S4568"/>
          <cell r="T4568">
            <v>0.5</v>
          </cell>
          <cell r="U4568">
            <v>0.5</v>
          </cell>
          <cell r="V4568">
            <v>0</v>
          </cell>
          <cell r="W4568">
            <v>0</v>
          </cell>
          <cell r="X4568" t="str">
            <v>EST ALMOFADA LOLITA FOLHA - 0,5x0,5x0H</v>
          </cell>
          <cell r="Y4568">
            <v>0</v>
          </cell>
          <cell r="Z4568">
            <v>0.35</v>
          </cell>
          <cell r="AA4568">
            <v>0</v>
          </cell>
          <cell r="AB4568"/>
        </row>
        <row r="4569">
          <cell r="C4569">
            <v>0</v>
          </cell>
          <cell r="D4569">
            <v>6</v>
          </cell>
          <cell r="E4569">
            <v>0</v>
          </cell>
          <cell r="F4569">
            <v>0</v>
          </cell>
          <cell r="H4569">
            <v>0</v>
          </cell>
          <cell r="O4569">
            <v>331820</v>
          </cell>
          <cell r="P4569"/>
          <cell r="Q4569" t="str">
            <v>EST ALMOFADA TRESSE PRATA 050X050</v>
          </cell>
          <cell r="R4569"/>
          <cell r="S4569"/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 t="str">
            <v>EST ALMOFADA TRESSE PRATA 050X050 - Ø0x0H</v>
          </cell>
          <cell r="Y4569">
            <v>0</v>
          </cell>
          <cell r="Z4569">
            <v>0.35</v>
          </cell>
          <cell r="AA4569">
            <v>0</v>
          </cell>
          <cell r="AB4569"/>
        </row>
        <row r="4570">
          <cell r="C4570">
            <v>2</v>
          </cell>
          <cell r="D4570">
            <v>2</v>
          </cell>
          <cell r="E4570">
            <v>2</v>
          </cell>
          <cell r="F4570">
            <v>0</v>
          </cell>
          <cell r="H4570">
            <v>0</v>
          </cell>
          <cell r="O4570">
            <v>331821</v>
          </cell>
          <cell r="P4570"/>
          <cell r="Q4570" t="str">
            <v>EST ALMOFADA TRESSE CHUMBO 050X050</v>
          </cell>
          <cell r="R4570"/>
          <cell r="S4570"/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 t="str">
            <v>EST ALMOFADA TRESSE CHUMBO 050X050 - Ø0x0H</v>
          </cell>
          <cell r="Y4570">
            <v>0</v>
          </cell>
          <cell r="Z4570">
            <v>0.35</v>
          </cell>
          <cell r="AA4570">
            <v>0</v>
          </cell>
          <cell r="AB4570"/>
        </row>
        <row r="4571">
          <cell r="C4571">
            <v>2</v>
          </cell>
          <cell r="D4571">
            <v>0</v>
          </cell>
          <cell r="E4571">
            <v>4</v>
          </cell>
          <cell r="F4571">
            <v>0</v>
          </cell>
          <cell r="H4571">
            <v>0</v>
          </cell>
          <cell r="O4571">
            <v>331871</v>
          </cell>
          <cell r="P4571"/>
          <cell r="Q4571" t="str">
            <v>EST ALMOFADA TRESSE CRU 050X050</v>
          </cell>
          <cell r="R4571"/>
          <cell r="S4571"/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 t="str">
            <v>EST ALMOFADA TRESSE CRU 050X050 - Ø0x0H</v>
          </cell>
          <cell r="Y4571">
            <v>0</v>
          </cell>
          <cell r="Z4571">
            <v>0.35</v>
          </cell>
          <cell r="AA4571">
            <v>0</v>
          </cell>
          <cell r="AB4571"/>
        </row>
        <row r="4572">
          <cell r="C4572">
            <v>2</v>
          </cell>
          <cell r="D4572">
            <v>0</v>
          </cell>
          <cell r="E4572">
            <v>2</v>
          </cell>
          <cell r="F4572">
            <v>0</v>
          </cell>
          <cell r="H4572">
            <v>0</v>
          </cell>
          <cell r="O4572">
            <v>331873</v>
          </cell>
          <cell r="P4572"/>
          <cell r="Q4572" t="str">
            <v>EST ALMOFADA FIORELLA CASTOR/MARROM 050X050</v>
          </cell>
          <cell r="R4572"/>
          <cell r="S4572"/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 t="str">
            <v>EST ALMOFADA FIORELLA CASTOR/MARROM 050X050 - Ø0x0H</v>
          </cell>
          <cell r="Y4572">
            <v>0</v>
          </cell>
          <cell r="Z4572">
            <v>0.35</v>
          </cell>
          <cell r="AA4572">
            <v>0</v>
          </cell>
          <cell r="AB4572"/>
        </row>
        <row r="4573">
          <cell r="C4573">
            <v>1</v>
          </cell>
          <cell r="D4573">
            <v>0</v>
          </cell>
          <cell r="E4573">
            <v>0</v>
          </cell>
          <cell r="F4573">
            <v>0</v>
          </cell>
          <cell r="H4573">
            <v>0</v>
          </cell>
          <cell r="O4573">
            <v>350045</v>
          </cell>
          <cell r="P4573"/>
          <cell r="Q4573" t="str">
            <v>EST LUMINARIA MATISSE DUPLA (VOIL BRANCO/ALG BRANCO)</v>
          </cell>
          <cell r="R4573"/>
          <cell r="S4573"/>
          <cell r="T4573">
            <v>0.8</v>
          </cell>
          <cell r="U4573">
            <v>0</v>
          </cell>
          <cell r="V4573">
            <v>0.4</v>
          </cell>
          <cell r="W4573">
            <v>0.8</v>
          </cell>
          <cell r="X4573" t="str">
            <v>EST LUMINARIA MATISSE DUPLA (VOIL BRANCO/ALG BRANCO) - Ø0,8x0,4H</v>
          </cell>
          <cell r="Y4573">
            <v>0</v>
          </cell>
          <cell r="Z4573">
            <v>0.35</v>
          </cell>
          <cell r="AA4573">
            <v>0</v>
          </cell>
          <cell r="AB4573"/>
        </row>
        <row r="4574">
          <cell r="C4574">
            <v>0</v>
          </cell>
          <cell r="D4574">
            <v>0</v>
          </cell>
          <cell r="E4574">
            <v>0</v>
          </cell>
          <cell r="F4574">
            <v>2</v>
          </cell>
          <cell r="H4574">
            <v>0</v>
          </cell>
          <cell r="O4574">
            <v>362189</v>
          </cell>
          <cell r="P4574"/>
          <cell r="Q4574" t="str">
            <v>EST LIVRO DEBRET E O BRASIL - JULIO BANDEIRA ED 2020</v>
          </cell>
          <cell r="R4574"/>
          <cell r="S4574"/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 t="str">
            <v>EST LIVRO DEBRET E O BRASIL - JULIO BANDEIRA ED 2020 - Ø0x0H</v>
          </cell>
          <cell r="Y4574">
            <v>0</v>
          </cell>
          <cell r="Z4574">
            <v>0.35</v>
          </cell>
          <cell r="AA4574">
            <v>0</v>
          </cell>
          <cell r="AB4574"/>
        </row>
        <row r="4575">
          <cell r="C4575">
            <v>0</v>
          </cell>
          <cell r="D4575">
            <v>0</v>
          </cell>
          <cell r="E4575">
            <v>0</v>
          </cell>
          <cell r="F4575">
            <v>2</v>
          </cell>
          <cell r="H4575">
            <v>0</v>
          </cell>
          <cell r="O4575">
            <v>362190</v>
          </cell>
          <cell r="P4575"/>
          <cell r="Q4575" t="str">
            <v>EST LIVRO ARVORES FLORESTAS E MADEIRAS - LORENA KURI ED 2022</v>
          </cell>
          <cell r="R4575"/>
          <cell r="S4575"/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 t="str">
            <v>EST LIVRO ARVORES FLORESTAS E MADEIRAS - LORENA KURI ED 2022 - Ø0x0H</v>
          </cell>
          <cell r="Y4575">
            <v>0</v>
          </cell>
          <cell r="Z4575">
            <v>0.35</v>
          </cell>
          <cell r="AA4575">
            <v>0</v>
          </cell>
          <cell r="AB4575"/>
        </row>
        <row r="4576">
          <cell r="C4576">
            <v>0</v>
          </cell>
          <cell r="D4576">
            <v>0</v>
          </cell>
          <cell r="E4576">
            <v>0</v>
          </cell>
          <cell r="F4576">
            <v>2</v>
          </cell>
          <cell r="H4576">
            <v>0</v>
          </cell>
          <cell r="O4576">
            <v>362191</v>
          </cell>
          <cell r="P4576"/>
          <cell r="Q4576" t="str">
            <v>EST LIVRO COLECAO LUIZ CARLOS RITTER - ED 2022</v>
          </cell>
          <cell r="R4576"/>
          <cell r="S4576"/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 t="str">
            <v>EST LIVRO COLECAO LUIZ CARLOS RITTER - ED 2022 - Ø0x0H</v>
          </cell>
          <cell r="Y4576">
            <v>0</v>
          </cell>
          <cell r="Z4576">
            <v>0.35</v>
          </cell>
          <cell r="AA4576">
            <v>0</v>
          </cell>
          <cell r="AB4576"/>
        </row>
        <row r="4577">
          <cell r="C4577">
            <v>0</v>
          </cell>
          <cell r="D4577">
            <v>0</v>
          </cell>
          <cell r="E4577">
            <v>0</v>
          </cell>
          <cell r="F4577">
            <v>2</v>
          </cell>
          <cell r="H4577">
            <v>0</v>
          </cell>
          <cell r="O4577">
            <v>362192</v>
          </cell>
          <cell r="P4577"/>
          <cell r="Q4577" t="str">
            <v>EST LIVRO FOTOS CASEIRAS - LAGO - ED 2022</v>
          </cell>
          <cell r="R4577"/>
          <cell r="S4577"/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 t="str">
            <v>EST LIVRO FOTOS CASEIRAS - LAGO - ED 2022 - Ø0x0H</v>
          </cell>
          <cell r="Y4577">
            <v>0</v>
          </cell>
          <cell r="Z4577">
            <v>0.35</v>
          </cell>
          <cell r="AA4577">
            <v>0</v>
          </cell>
          <cell r="AB4577"/>
        </row>
        <row r="4578">
          <cell r="C4578">
            <v>0</v>
          </cell>
          <cell r="D4578">
            <v>0</v>
          </cell>
          <cell r="E4578">
            <v>0</v>
          </cell>
          <cell r="F4578">
            <v>2</v>
          </cell>
          <cell r="H4578">
            <v>0</v>
          </cell>
          <cell r="O4578">
            <v>362193</v>
          </cell>
          <cell r="P4578"/>
          <cell r="Q4578" t="str">
            <v>EST LIVRO HISTORIA GLOBAL DA ARQUITETURA - CHING - ED 2016</v>
          </cell>
          <cell r="R4578"/>
          <cell r="S4578"/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 t="str">
            <v>EST LIVRO HISTORIA GLOBAL DA ARQUITETURA - CHING - ED 2016 - Ø0x0H</v>
          </cell>
          <cell r="Y4578">
            <v>0</v>
          </cell>
          <cell r="Z4578">
            <v>0.35</v>
          </cell>
          <cell r="AA4578">
            <v>0</v>
          </cell>
          <cell r="AB4578"/>
        </row>
        <row r="4579">
          <cell r="C4579">
            <v>0</v>
          </cell>
          <cell r="D4579">
            <v>0</v>
          </cell>
          <cell r="E4579">
            <v>0</v>
          </cell>
          <cell r="F4579">
            <v>2</v>
          </cell>
          <cell r="H4579">
            <v>0</v>
          </cell>
          <cell r="O4579">
            <v>362194</v>
          </cell>
          <cell r="P4579"/>
          <cell r="Q4579" t="str">
            <v>EST LIVRO MAN AND STYLE ESSAYS - DAVID COGGINS - ED 2016</v>
          </cell>
          <cell r="R4579"/>
          <cell r="S4579"/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 t="str">
            <v>EST LIVRO MAN AND STYLE ESSAYS - DAVID COGGINS - ED 2016 - Ø0x0H</v>
          </cell>
          <cell r="Y4579">
            <v>0</v>
          </cell>
          <cell r="Z4579">
            <v>0.35</v>
          </cell>
          <cell r="AA4579">
            <v>0</v>
          </cell>
          <cell r="AB4579"/>
        </row>
        <row r="4580">
          <cell r="C4580">
            <v>0</v>
          </cell>
          <cell r="D4580">
            <v>0</v>
          </cell>
          <cell r="E4580">
            <v>0</v>
          </cell>
          <cell r="F4580">
            <v>2</v>
          </cell>
          <cell r="H4580">
            <v>0</v>
          </cell>
          <cell r="O4580">
            <v>362195</v>
          </cell>
          <cell r="P4580"/>
          <cell r="Q4580" t="str">
            <v>EST LIVRO PATRIMONIO CONSTRUIDO-110 + BELAS EDIFIC DO BRASIL</v>
          </cell>
          <cell r="R4580"/>
          <cell r="S4580"/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 t="str">
            <v>EST LIVRO PATRIMONIO CONSTRUIDO-110 + BELAS EDIFIC DO BRASIL - Ø0x0H</v>
          </cell>
          <cell r="Y4580">
            <v>0</v>
          </cell>
          <cell r="Z4580">
            <v>0.35</v>
          </cell>
          <cell r="AA4580">
            <v>0</v>
          </cell>
          <cell r="AB4580"/>
        </row>
        <row r="4581">
          <cell r="C4581">
            <v>0</v>
          </cell>
          <cell r="D4581">
            <v>0</v>
          </cell>
          <cell r="E4581">
            <v>0</v>
          </cell>
          <cell r="F4581">
            <v>2</v>
          </cell>
          <cell r="H4581">
            <v>0</v>
          </cell>
          <cell r="O4581">
            <v>362196</v>
          </cell>
          <cell r="P4581"/>
          <cell r="Q4581" t="str">
            <v>EST LIVRO VISTAS E PANORAMAS DO BRASIL SECULO XIX - ED 2022</v>
          </cell>
          <cell r="R4581"/>
          <cell r="S4581"/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 t="str">
            <v>EST LIVRO VISTAS E PANORAMAS DO BRASIL SECULO XIX - ED 2022 - Ø0x0H</v>
          </cell>
          <cell r="Y4581">
            <v>0</v>
          </cell>
          <cell r="Z4581">
            <v>0.35</v>
          </cell>
          <cell r="AA4581">
            <v>0</v>
          </cell>
          <cell r="AB4581"/>
        </row>
        <row r="4582">
          <cell r="C4582">
            <v>0</v>
          </cell>
          <cell r="D4582">
            <v>0</v>
          </cell>
          <cell r="E4582">
            <v>0</v>
          </cell>
          <cell r="F4582">
            <v>2</v>
          </cell>
          <cell r="H4582">
            <v>0</v>
          </cell>
          <cell r="O4582">
            <v>362197</v>
          </cell>
          <cell r="P4582"/>
          <cell r="Q4582" t="str">
            <v>EST LIVRO YVES SAINT LAURENT THE SCANDAL COLLECTION, 1971</v>
          </cell>
          <cell r="R4582"/>
          <cell r="S4582"/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 t="str">
            <v>EST LIVRO YVES SAINT LAURENT THE SCANDAL COLLECTION, 1971 - Ø0x0H</v>
          </cell>
          <cell r="Y4582">
            <v>0</v>
          </cell>
          <cell r="Z4582">
            <v>0.35</v>
          </cell>
          <cell r="AA4582">
            <v>0</v>
          </cell>
          <cell r="AB4582"/>
        </row>
        <row r="4583">
          <cell r="C4583">
            <v>0</v>
          </cell>
          <cell r="D4583">
            <v>2</v>
          </cell>
          <cell r="E4583">
            <v>1</v>
          </cell>
          <cell r="F4583">
            <v>3</v>
          </cell>
          <cell r="H4583">
            <v>0</v>
          </cell>
          <cell r="O4583">
            <v>383974</v>
          </cell>
          <cell r="P4583"/>
          <cell r="Q4583" t="str">
            <v>EST QUADRO (1510 PRETO)</v>
          </cell>
          <cell r="R4583"/>
          <cell r="S4583"/>
          <cell r="T4583">
            <v>1.5</v>
          </cell>
          <cell r="U4583">
            <v>2</v>
          </cell>
          <cell r="V4583">
            <v>0.06</v>
          </cell>
          <cell r="W4583">
            <v>0</v>
          </cell>
          <cell r="X4583" t="str">
            <v>EST QUADRO (1510 PRETO) - 1,5x2x0,06H</v>
          </cell>
          <cell r="Y4583">
            <v>0</v>
          </cell>
          <cell r="Z4583">
            <v>0.35</v>
          </cell>
          <cell r="AA4583">
            <v>0</v>
          </cell>
          <cell r="AB4583"/>
        </row>
        <row r="4584">
          <cell r="C4584">
            <v>0</v>
          </cell>
          <cell r="D4584">
            <v>6</v>
          </cell>
          <cell r="E4584">
            <v>4</v>
          </cell>
          <cell r="F4584">
            <v>0</v>
          </cell>
          <cell r="H4584">
            <v>0</v>
          </cell>
          <cell r="O4584">
            <v>383975</v>
          </cell>
          <cell r="P4584"/>
          <cell r="Q4584" t="str">
            <v>EST QUADRO (1210 PRETO)</v>
          </cell>
          <cell r="R4584"/>
          <cell r="S4584"/>
          <cell r="T4584">
            <v>0.8</v>
          </cell>
          <cell r="U4584">
            <v>1.1000000000000001</v>
          </cell>
          <cell r="V4584">
            <v>0.06</v>
          </cell>
          <cell r="W4584">
            <v>0</v>
          </cell>
          <cell r="X4584" t="str">
            <v>EST QUADRO (1210 PRETO) - 0,8x1,1x0,06H</v>
          </cell>
          <cell r="Y4584">
            <v>0</v>
          </cell>
          <cell r="Z4584">
            <v>0.35</v>
          </cell>
          <cell r="AA4584">
            <v>0</v>
          </cell>
          <cell r="AB4584"/>
        </row>
        <row r="4585">
          <cell r="C4585">
            <v>0</v>
          </cell>
          <cell r="D4585">
            <v>0</v>
          </cell>
          <cell r="E4585">
            <v>0</v>
          </cell>
          <cell r="F4585">
            <v>2</v>
          </cell>
          <cell r="H4585">
            <v>0</v>
          </cell>
          <cell r="O4585">
            <v>383996</v>
          </cell>
          <cell r="P4585"/>
          <cell r="Q4585" t="str">
            <v>EST VASO ENCAIXE HIMALAYA (OURO VELHO)</v>
          </cell>
          <cell r="R4585"/>
          <cell r="S4585"/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 t="str">
            <v>EST VASO ENCAIXE HIMALAYA (OURO VELHO) - Ø0x0H</v>
          </cell>
          <cell r="Y4585">
            <v>0</v>
          </cell>
          <cell r="Z4585">
            <v>0.35</v>
          </cell>
          <cell r="AA4585">
            <v>0</v>
          </cell>
          <cell r="AB4585"/>
        </row>
        <row r="4586">
          <cell r="C4586">
            <v>0</v>
          </cell>
          <cell r="D4586">
            <v>0</v>
          </cell>
          <cell r="E4586">
            <v>0</v>
          </cell>
          <cell r="F4586">
            <v>2</v>
          </cell>
          <cell r="H4586">
            <v>0</v>
          </cell>
          <cell r="O4586">
            <v>383997</v>
          </cell>
          <cell r="P4586"/>
          <cell r="Q4586" t="str">
            <v>EST VASO ENCAIXE HIMALAYA (VERDE OLIVA)</v>
          </cell>
          <cell r="R4586"/>
          <cell r="S4586"/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 t="str">
            <v>EST VASO ENCAIXE HIMALAYA (VERDE OLIVA) - Ø0x0H</v>
          </cell>
          <cell r="Y4586">
            <v>0</v>
          </cell>
          <cell r="Z4586">
            <v>0.35</v>
          </cell>
          <cell r="AA4586">
            <v>0</v>
          </cell>
          <cell r="AB4586"/>
        </row>
        <row r="4587">
          <cell r="C4587">
            <v>0</v>
          </cell>
          <cell r="D4587">
            <v>0</v>
          </cell>
          <cell r="E4587">
            <v>0</v>
          </cell>
          <cell r="F4587">
            <v>1</v>
          </cell>
          <cell r="H4587">
            <v>0</v>
          </cell>
          <cell r="O4587">
            <v>383998</v>
          </cell>
          <cell r="P4587"/>
          <cell r="Q4587" t="str">
            <v>EST VASO ENCAIXE HIMALAYA (COBRE)</v>
          </cell>
          <cell r="R4587"/>
          <cell r="S4587"/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 t="str">
            <v>EST VASO ENCAIXE HIMALAYA (COBRE) - Ø0x0H</v>
          </cell>
          <cell r="Y4587">
            <v>0</v>
          </cell>
          <cell r="Z4587">
            <v>0.35</v>
          </cell>
          <cell r="AA4587">
            <v>0</v>
          </cell>
          <cell r="AB4587"/>
        </row>
        <row r="4588">
          <cell r="C4588">
            <v>1</v>
          </cell>
          <cell r="D4588">
            <v>0</v>
          </cell>
          <cell r="E4588">
            <v>0</v>
          </cell>
          <cell r="F4588">
            <v>0</v>
          </cell>
          <cell r="H4588">
            <v>0</v>
          </cell>
          <cell r="O4588">
            <v>97392</v>
          </cell>
          <cell r="P4588"/>
          <cell r="Q4588" t="str">
            <v>EST AC BANDEJA EXO LACA BRL V100 COURO BEGE</v>
          </cell>
          <cell r="R4588"/>
          <cell r="S4588"/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 t="str">
            <v>EST AC BANDEJA EXO LACA BRL V100 COURO BEGE - Ø0x0H</v>
          </cell>
          <cell r="Y4588">
            <v>0</v>
          </cell>
          <cell r="Z4588">
            <v>0.35</v>
          </cell>
          <cell r="AA4588">
            <v>0</v>
          </cell>
          <cell r="AB4588"/>
        </row>
        <row r="4589">
          <cell r="C4589">
            <v>1</v>
          </cell>
          <cell r="D4589">
            <v>0</v>
          </cell>
          <cell r="E4589">
            <v>0</v>
          </cell>
          <cell r="F4589">
            <v>0</v>
          </cell>
          <cell r="H4589">
            <v>0</v>
          </cell>
          <cell r="O4589">
            <v>113409</v>
          </cell>
          <cell r="P4589"/>
          <cell r="Q4589" t="str">
            <v>EST LUMINARIA NET CHAO (LYOTUS COLONIAL) (CUPULA BRANCA)</v>
          </cell>
          <cell r="R4589"/>
          <cell r="S4589"/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 t="str">
            <v>EST LUMINARIA NET CHAO (LYOTUS COLONIAL) (CUPULA BRANCA) - Ø0x0H</v>
          </cell>
          <cell r="Y4589">
            <v>0</v>
          </cell>
          <cell r="Z4589">
            <v>0.35</v>
          </cell>
          <cell r="AA4589">
            <v>0</v>
          </cell>
          <cell r="AB4589"/>
        </row>
        <row r="4590">
          <cell r="C4590">
            <v>1</v>
          </cell>
          <cell r="D4590">
            <v>1</v>
          </cell>
          <cell r="E4590">
            <v>1</v>
          </cell>
          <cell r="F4590">
            <v>1</v>
          </cell>
          <cell r="H4590">
            <v>0</v>
          </cell>
          <cell r="O4590">
            <v>402543</v>
          </cell>
          <cell r="P4590"/>
          <cell r="Q4590" t="str">
            <v>EST VASO CERAMICA (COD RO-2588-P)</v>
          </cell>
          <cell r="R4590"/>
          <cell r="S4590"/>
          <cell r="T4590">
            <v>0.2</v>
          </cell>
          <cell r="U4590">
            <v>0</v>
          </cell>
          <cell r="V4590">
            <v>0.17</v>
          </cell>
          <cell r="W4590">
            <v>0.2</v>
          </cell>
          <cell r="X4590" t="str">
            <v>EST VASO CERAMICA (COD RO-2588-P) - Ø0,2x0,17H</v>
          </cell>
          <cell r="Y4590">
            <v>0</v>
          </cell>
          <cell r="Z4590">
            <v>0.35</v>
          </cell>
          <cell r="AA4590">
            <v>0</v>
          </cell>
          <cell r="AB4590"/>
        </row>
        <row r="4591">
          <cell r="C4591">
            <v>1</v>
          </cell>
          <cell r="D4591">
            <v>1</v>
          </cell>
          <cell r="E4591">
            <v>1</v>
          </cell>
          <cell r="F4591">
            <v>1</v>
          </cell>
          <cell r="H4591">
            <v>0</v>
          </cell>
          <cell r="O4591">
            <v>402544</v>
          </cell>
          <cell r="P4591"/>
          <cell r="Q4591" t="str">
            <v>EST VASO CERAMICA (COD RO-2588-G)</v>
          </cell>
          <cell r="R4591"/>
          <cell r="S4591"/>
          <cell r="T4591">
            <v>0.2</v>
          </cell>
          <cell r="U4591">
            <v>0</v>
          </cell>
          <cell r="V4591">
            <v>0.17</v>
          </cell>
          <cell r="W4591">
            <v>0.2</v>
          </cell>
          <cell r="X4591" t="str">
            <v>EST VASO CERAMICA (COD RO-2588-G) - Ø0,2x0,17H</v>
          </cell>
          <cell r="Y4591">
            <v>0</v>
          </cell>
          <cell r="Z4591">
            <v>0.35</v>
          </cell>
          <cell r="AA4591">
            <v>0</v>
          </cell>
          <cell r="AB4591"/>
        </row>
        <row r="4592">
          <cell r="C4592">
            <v>1</v>
          </cell>
          <cell r="D4592">
            <v>1</v>
          </cell>
          <cell r="E4592">
            <v>1</v>
          </cell>
          <cell r="F4592">
            <v>1</v>
          </cell>
          <cell r="H4592">
            <v>0</v>
          </cell>
          <cell r="O4592">
            <v>402545</v>
          </cell>
          <cell r="P4592"/>
          <cell r="Q4592" t="str">
            <v>EST BAU DE MADEIRA (FIBRA NATURAL) (COD RO-24447-P)</v>
          </cell>
          <cell r="R4592"/>
          <cell r="S4592"/>
          <cell r="T4592">
            <v>0.17</v>
          </cell>
          <cell r="U4592">
            <v>0.22</v>
          </cell>
          <cell r="V4592">
            <v>0.12</v>
          </cell>
          <cell r="W4592">
            <v>0</v>
          </cell>
          <cell r="X4592" t="str">
            <v>EST BAU DE MADEIRA (FIBRA NATURAL) (COD RO-24447-P) - 0,17x0,22x0,12H</v>
          </cell>
          <cell r="Y4592">
            <v>0</v>
          </cell>
          <cell r="Z4592">
            <v>0.35</v>
          </cell>
          <cell r="AA4592">
            <v>0</v>
          </cell>
          <cell r="AB4592"/>
        </row>
        <row r="4593">
          <cell r="C4593">
            <v>1</v>
          </cell>
          <cell r="D4593">
            <v>1</v>
          </cell>
          <cell r="E4593">
            <v>1</v>
          </cell>
          <cell r="F4593">
            <v>1</v>
          </cell>
          <cell r="H4593">
            <v>0</v>
          </cell>
          <cell r="O4593">
            <v>402546</v>
          </cell>
          <cell r="P4593"/>
          <cell r="Q4593" t="str">
            <v>EST BAU DE MADEIRA (FIBRA NATURAL) (COD RO-24447-G)</v>
          </cell>
          <cell r="R4593"/>
          <cell r="S4593"/>
          <cell r="T4593">
            <v>0.3</v>
          </cell>
          <cell r="U4593">
            <v>0.2</v>
          </cell>
          <cell r="V4593">
            <v>0.15</v>
          </cell>
          <cell r="W4593">
            <v>0</v>
          </cell>
          <cell r="X4593" t="str">
            <v>EST BAU DE MADEIRA (FIBRA NATURAL) (COD RO-24447-G) - 0,3x0,2x0,15H</v>
          </cell>
          <cell r="Y4593">
            <v>0</v>
          </cell>
          <cell r="Z4593">
            <v>0.35</v>
          </cell>
          <cell r="AA4593">
            <v>0</v>
          </cell>
          <cell r="AB4593"/>
        </row>
        <row r="4594">
          <cell r="C4594">
            <v>1</v>
          </cell>
          <cell r="D4594">
            <v>1</v>
          </cell>
          <cell r="E4594">
            <v>1</v>
          </cell>
          <cell r="F4594">
            <v>1</v>
          </cell>
          <cell r="H4594">
            <v>0</v>
          </cell>
          <cell r="O4594">
            <v>402547</v>
          </cell>
          <cell r="P4594"/>
          <cell r="Q4594" t="str">
            <v>EST VASO CERAMICA (FIBRA NATURAL) (RO-2435-P)</v>
          </cell>
          <cell r="R4594"/>
          <cell r="S4594"/>
          <cell r="T4594">
            <v>0.11</v>
          </cell>
          <cell r="U4594">
            <v>0</v>
          </cell>
          <cell r="V4594">
            <v>0.3</v>
          </cell>
          <cell r="W4594">
            <v>0.11</v>
          </cell>
          <cell r="X4594" t="str">
            <v>EST VASO CERAMICA (FIBRA NATURAL) (RO-2435-P) - Ø0,11x0,3H</v>
          </cell>
          <cell r="Y4594">
            <v>0</v>
          </cell>
          <cell r="Z4594">
            <v>0.35</v>
          </cell>
          <cell r="AA4594">
            <v>0</v>
          </cell>
          <cell r="AB4594"/>
        </row>
        <row r="4595">
          <cell r="C4595">
            <v>1</v>
          </cell>
          <cell r="D4595">
            <v>1</v>
          </cell>
          <cell r="E4595">
            <v>1</v>
          </cell>
          <cell r="F4595">
            <v>1</v>
          </cell>
          <cell r="H4595">
            <v>0</v>
          </cell>
          <cell r="O4595">
            <v>402548</v>
          </cell>
          <cell r="P4595"/>
          <cell r="Q4595" t="str">
            <v>EST VASO CERAMICA (FIBRA NATURAL) (RO-2435-G)</v>
          </cell>
          <cell r="R4595"/>
          <cell r="S4595"/>
          <cell r="T4595">
            <v>0.11</v>
          </cell>
          <cell r="U4595">
            <v>0</v>
          </cell>
          <cell r="V4595">
            <v>0.4</v>
          </cell>
          <cell r="W4595">
            <v>0.11</v>
          </cell>
          <cell r="X4595" t="str">
            <v>EST VASO CERAMICA (FIBRA NATURAL) (RO-2435-G) - Ø0,11x0,4H</v>
          </cell>
          <cell r="Y4595">
            <v>0</v>
          </cell>
          <cell r="Z4595">
            <v>0.35</v>
          </cell>
          <cell r="AA4595">
            <v>0</v>
          </cell>
          <cell r="AB4595"/>
        </row>
        <row r="4596">
          <cell r="C4596">
            <v>1</v>
          </cell>
          <cell r="D4596">
            <v>1</v>
          </cell>
          <cell r="E4596">
            <v>1</v>
          </cell>
          <cell r="F4596">
            <v>1</v>
          </cell>
          <cell r="H4596">
            <v>0</v>
          </cell>
          <cell r="O4596">
            <v>402549</v>
          </cell>
          <cell r="P4596"/>
          <cell r="Q4596" t="str">
            <v>EST POTICHE CERAMICA (FIBRA NATURAL) (RO-2436-P)</v>
          </cell>
          <cell r="R4596"/>
          <cell r="S4596"/>
          <cell r="T4596">
            <v>0.22</v>
          </cell>
          <cell r="U4596">
            <v>0</v>
          </cell>
          <cell r="V4596">
            <v>0.14000000000000001</v>
          </cell>
          <cell r="W4596">
            <v>0.22</v>
          </cell>
          <cell r="X4596" t="str">
            <v>EST POTICHE CERAMICA (FIBRA NATURAL) (RO-2436-P) - Ø0,22x0,14H</v>
          </cell>
          <cell r="Y4596">
            <v>0</v>
          </cell>
          <cell r="Z4596">
            <v>0.35</v>
          </cell>
          <cell r="AA4596">
            <v>0</v>
          </cell>
          <cell r="AB4596"/>
        </row>
        <row r="4597">
          <cell r="C4597">
            <v>1</v>
          </cell>
          <cell r="D4597">
            <v>1</v>
          </cell>
          <cell r="E4597">
            <v>1</v>
          </cell>
          <cell r="F4597">
            <v>1</v>
          </cell>
          <cell r="H4597">
            <v>0</v>
          </cell>
          <cell r="O4597">
            <v>402550</v>
          </cell>
          <cell r="P4597"/>
          <cell r="Q4597" t="str">
            <v>EST POTICHE CERAMICA (FIBRA NATURAL) (RO-2436-G)</v>
          </cell>
          <cell r="R4597"/>
          <cell r="S4597"/>
          <cell r="T4597">
            <v>0.18</v>
          </cell>
          <cell r="U4597">
            <v>0</v>
          </cell>
          <cell r="V4597">
            <v>0.2</v>
          </cell>
          <cell r="W4597">
            <v>0.18</v>
          </cell>
          <cell r="X4597" t="str">
            <v>EST POTICHE CERAMICA (FIBRA NATURAL) (RO-2436-G) - Ø0,18x0,2H</v>
          </cell>
          <cell r="Y4597">
            <v>0</v>
          </cell>
          <cell r="Z4597">
            <v>0.35</v>
          </cell>
          <cell r="AA4597">
            <v>0</v>
          </cell>
          <cell r="AB4597"/>
        </row>
        <row r="4598">
          <cell r="C4598">
            <v>2</v>
          </cell>
          <cell r="D4598">
            <v>2</v>
          </cell>
          <cell r="E4598">
            <v>2</v>
          </cell>
          <cell r="F4598">
            <v>2</v>
          </cell>
          <cell r="H4598">
            <v>0</v>
          </cell>
          <cell r="O4598">
            <v>402551</v>
          </cell>
          <cell r="P4598"/>
          <cell r="Q4598" t="str">
            <v>EST CASTICAL CERAMICA (FIBRA NATURAL/VIDRO) (RO-2260)</v>
          </cell>
          <cell r="R4598"/>
          <cell r="S4598"/>
          <cell r="T4598">
            <v>0.17</v>
          </cell>
          <cell r="U4598">
            <v>0</v>
          </cell>
          <cell r="V4598">
            <v>0.19</v>
          </cell>
          <cell r="W4598">
            <v>0.17</v>
          </cell>
          <cell r="X4598" t="str">
            <v>EST CASTICAL CERAMICA (FIBRA NATURAL/VIDRO) (RO-2260) - Ø0,17x0,19H</v>
          </cell>
          <cell r="Y4598">
            <v>0</v>
          </cell>
          <cell r="Z4598">
            <v>0.35</v>
          </cell>
          <cell r="AA4598">
            <v>0</v>
          </cell>
          <cell r="AB4598"/>
        </row>
        <row r="4599">
          <cell r="C4599">
            <v>2</v>
          </cell>
          <cell r="D4599">
            <v>2</v>
          </cell>
          <cell r="E4599">
            <v>2</v>
          </cell>
          <cell r="F4599">
            <v>2</v>
          </cell>
          <cell r="H4599">
            <v>0</v>
          </cell>
          <cell r="O4599">
            <v>402552</v>
          </cell>
          <cell r="P4599"/>
          <cell r="Q4599" t="str">
            <v>EST VASO SOLITARIO CERAMICA (FIBRA NATURAL/VIDRO) (RO-2262)</v>
          </cell>
          <cell r="R4599"/>
          <cell r="S4599"/>
          <cell r="T4599">
            <v>0.14000000000000001</v>
          </cell>
          <cell r="U4599">
            <v>0</v>
          </cell>
          <cell r="V4599">
            <v>0.38</v>
          </cell>
          <cell r="W4599">
            <v>0.14000000000000001</v>
          </cell>
          <cell r="X4599" t="str">
            <v>EST VASO SOLITARIO CERAMICA (FIBRA NATURAL/VIDRO) (RO-2262) - Ø0,14x0,38H</v>
          </cell>
          <cell r="Y4599">
            <v>0</v>
          </cell>
          <cell r="Z4599">
            <v>0.35</v>
          </cell>
          <cell r="AA4599">
            <v>0</v>
          </cell>
          <cell r="AB4599"/>
        </row>
        <row r="4600">
          <cell r="C4600">
            <v>1</v>
          </cell>
          <cell r="D4600">
            <v>1</v>
          </cell>
          <cell r="E4600">
            <v>1</v>
          </cell>
          <cell r="F4600">
            <v>1</v>
          </cell>
          <cell r="H4600">
            <v>0</v>
          </cell>
          <cell r="O4600">
            <v>402554</v>
          </cell>
          <cell r="P4600"/>
          <cell r="Q4600" t="str">
            <v>EST VASO COLORS NL (GOG253)</v>
          </cell>
          <cell r="R4600"/>
          <cell r="S4600"/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 t="str">
            <v>EST VASO COLORS NL (GOG253) - Ø0x0H</v>
          </cell>
          <cell r="Y4600">
            <v>0</v>
          </cell>
          <cell r="Z4600">
            <v>0.35</v>
          </cell>
          <cell r="AA4600">
            <v>0</v>
          </cell>
          <cell r="AB4600"/>
        </row>
        <row r="4601">
          <cell r="C4601">
            <v>1</v>
          </cell>
          <cell r="D4601">
            <v>1</v>
          </cell>
          <cell r="E4601">
            <v>1</v>
          </cell>
          <cell r="F4601">
            <v>1</v>
          </cell>
          <cell r="H4601">
            <v>0</v>
          </cell>
          <cell r="O4601">
            <v>402556</v>
          </cell>
          <cell r="P4601"/>
          <cell r="Q4601" t="str">
            <v>EST VASO COLORS NL (GOG254)</v>
          </cell>
          <cell r="R4601"/>
          <cell r="S4601"/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 t="str">
            <v>EST VASO COLORS NL (GOG254) - Ø0x0H</v>
          </cell>
          <cell r="Y4601">
            <v>0</v>
          </cell>
          <cell r="Z4601">
            <v>0.35</v>
          </cell>
          <cell r="AA4601">
            <v>0</v>
          </cell>
          <cell r="AB4601"/>
        </row>
        <row r="4602">
          <cell r="C4602">
            <v>1</v>
          </cell>
          <cell r="D4602">
            <v>1</v>
          </cell>
          <cell r="E4602">
            <v>1</v>
          </cell>
          <cell r="F4602">
            <v>1</v>
          </cell>
          <cell r="H4602">
            <v>0</v>
          </cell>
          <cell r="O4602">
            <v>402557</v>
          </cell>
          <cell r="P4602"/>
          <cell r="Q4602" t="str">
            <v>EST VASO COLORS NL (GOG255)</v>
          </cell>
          <cell r="R4602"/>
          <cell r="S4602"/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 t="str">
            <v>EST VASO COLORS NL (GOG255) - Ø0x0H</v>
          </cell>
          <cell r="Y4602">
            <v>0</v>
          </cell>
          <cell r="Z4602">
            <v>0.35</v>
          </cell>
          <cell r="AA4602">
            <v>0</v>
          </cell>
          <cell r="AB4602"/>
        </row>
        <row r="4603">
          <cell r="C4603">
            <v>1</v>
          </cell>
          <cell r="D4603">
            <v>0</v>
          </cell>
          <cell r="E4603">
            <v>1</v>
          </cell>
          <cell r="F4603">
            <v>1</v>
          </cell>
          <cell r="H4603">
            <v>0</v>
          </cell>
          <cell r="O4603">
            <v>402558</v>
          </cell>
          <cell r="P4603"/>
          <cell r="Q4603" t="str">
            <v>EST VASO COLORS NL (GOG256)</v>
          </cell>
          <cell r="R4603"/>
          <cell r="S4603"/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 t="str">
            <v>EST VASO COLORS NL (GOG256) - Ø0x0H</v>
          </cell>
          <cell r="Y4603">
            <v>0</v>
          </cell>
          <cell r="Z4603">
            <v>0.35</v>
          </cell>
          <cell r="AA4603">
            <v>0</v>
          </cell>
          <cell r="AB4603"/>
        </row>
        <row r="4604">
          <cell r="C4604">
            <v>1</v>
          </cell>
          <cell r="D4604">
            <v>0</v>
          </cell>
          <cell r="E4604">
            <v>0</v>
          </cell>
          <cell r="F4604">
            <v>2</v>
          </cell>
          <cell r="H4604">
            <v>0</v>
          </cell>
          <cell r="O4604">
            <v>402559</v>
          </cell>
          <cell r="P4604"/>
          <cell r="Q4604" t="str">
            <v>EST VASO CERAMICA (PHY020)</v>
          </cell>
          <cell r="R4604"/>
          <cell r="S4604"/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 t="str">
            <v>EST VASO CERAMICA (PHY020) - Ø0x0H</v>
          </cell>
          <cell r="Y4604">
            <v>0</v>
          </cell>
          <cell r="Z4604">
            <v>0.35</v>
          </cell>
          <cell r="AA4604">
            <v>0</v>
          </cell>
          <cell r="AB4604"/>
        </row>
        <row r="4605">
          <cell r="C4605">
            <v>1</v>
          </cell>
          <cell r="D4605">
            <v>0</v>
          </cell>
          <cell r="E4605">
            <v>0</v>
          </cell>
          <cell r="F4605">
            <v>2</v>
          </cell>
          <cell r="H4605">
            <v>0</v>
          </cell>
          <cell r="O4605">
            <v>402560</v>
          </cell>
          <cell r="P4605"/>
          <cell r="Q4605" t="str">
            <v>EST VASO CERAMICA (PHY023)</v>
          </cell>
          <cell r="R4605"/>
          <cell r="S4605"/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 t="str">
            <v>EST VASO CERAMICA (PHY023) - Ø0x0H</v>
          </cell>
          <cell r="Y4605">
            <v>0</v>
          </cell>
          <cell r="Z4605">
            <v>0.35</v>
          </cell>
          <cell r="AA4605">
            <v>0</v>
          </cell>
          <cell r="AB4605"/>
        </row>
        <row r="4606">
          <cell r="C4606">
            <v>1</v>
          </cell>
          <cell r="D4606">
            <v>1</v>
          </cell>
          <cell r="E4606">
            <v>1</v>
          </cell>
          <cell r="F4606">
            <v>1</v>
          </cell>
          <cell r="H4606">
            <v>0</v>
          </cell>
          <cell r="O4606">
            <v>402561</v>
          </cell>
          <cell r="P4606"/>
          <cell r="Q4606" t="str">
            <v>EST PRATO CERAMICA LUXOR (QMC119)</v>
          </cell>
          <cell r="R4606"/>
          <cell r="S4606"/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 t="str">
            <v>EST PRATO CERAMICA LUXOR (QMC119) - Ø0x0H</v>
          </cell>
          <cell r="Y4606">
            <v>0</v>
          </cell>
          <cell r="Z4606">
            <v>0.35</v>
          </cell>
          <cell r="AA4606">
            <v>0</v>
          </cell>
          <cell r="AB4606"/>
        </row>
        <row r="4607">
          <cell r="C4607">
            <v>1</v>
          </cell>
          <cell r="D4607">
            <v>1</v>
          </cell>
          <cell r="E4607">
            <v>1</v>
          </cell>
          <cell r="F4607">
            <v>1</v>
          </cell>
          <cell r="H4607">
            <v>0</v>
          </cell>
          <cell r="O4607">
            <v>402562</v>
          </cell>
          <cell r="P4607"/>
          <cell r="Q4607" t="str">
            <v>EST VASO CERAMICA POTTERY CORNER (QMC157)</v>
          </cell>
          <cell r="R4607"/>
          <cell r="S4607"/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 t="str">
            <v>EST VASO CERAMICA POTTERY CORNER (QMC157) - Ø0x0H</v>
          </cell>
          <cell r="Y4607">
            <v>0</v>
          </cell>
          <cell r="Z4607">
            <v>0.35</v>
          </cell>
          <cell r="AA4607">
            <v>0</v>
          </cell>
          <cell r="AB4607"/>
        </row>
        <row r="4608">
          <cell r="C4608">
            <v>1</v>
          </cell>
          <cell r="D4608">
            <v>1</v>
          </cell>
          <cell r="E4608">
            <v>1</v>
          </cell>
          <cell r="F4608">
            <v>1</v>
          </cell>
          <cell r="H4608">
            <v>0</v>
          </cell>
          <cell r="O4608">
            <v>402563</v>
          </cell>
          <cell r="P4608"/>
          <cell r="Q4608" t="str">
            <v>EST VASO CERAMICA POTTERY CORNER (QMC158)</v>
          </cell>
          <cell r="R4608"/>
          <cell r="S4608"/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 t="str">
            <v>EST VASO CERAMICA POTTERY CORNER (QMC158) - Ø0x0H</v>
          </cell>
          <cell r="Y4608">
            <v>0</v>
          </cell>
          <cell r="Z4608">
            <v>0.35</v>
          </cell>
          <cell r="AA4608">
            <v>0</v>
          </cell>
          <cell r="AB4608"/>
        </row>
        <row r="4609">
          <cell r="C4609">
            <v>1</v>
          </cell>
          <cell r="D4609">
            <v>1</v>
          </cell>
          <cell r="E4609">
            <v>1</v>
          </cell>
          <cell r="F4609">
            <v>1</v>
          </cell>
          <cell r="H4609">
            <v>0</v>
          </cell>
          <cell r="O4609">
            <v>402564</v>
          </cell>
          <cell r="P4609"/>
          <cell r="Q4609" t="str">
            <v>EST VASO CERAMICA POTTERY CORNER (QMC159)</v>
          </cell>
          <cell r="R4609"/>
          <cell r="S4609"/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 t="str">
            <v>EST VASO CERAMICA POTTERY CORNER (QMC159) - Ø0x0H</v>
          </cell>
          <cell r="Y4609">
            <v>0</v>
          </cell>
          <cell r="Z4609">
            <v>0.35</v>
          </cell>
          <cell r="AA4609">
            <v>0</v>
          </cell>
          <cell r="AB4609"/>
        </row>
        <row r="4610">
          <cell r="C4610">
            <v>1</v>
          </cell>
          <cell r="D4610">
            <v>1</v>
          </cell>
          <cell r="E4610">
            <v>1</v>
          </cell>
          <cell r="F4610">
            <v>1</v>
          </cell>
          <cell r="H4610">
            <v>0</v>
          </cell>
          <cell r="O4610">
            <v>402565</v>
          </cell>
          <cell r="P4610"/>
          <cell r="Q4610" t="str">
            <v>EST KIT 4 CANECAS CERAMICA (QMC210)</v>
          </cell>
          <cell r="R4610"/>
          <cell r="S4610"/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 t="str">
            <v>EST KIT 4 CANECAS CERAMICA (QMC210) - Ø0x0H</v>
          </cell>
          <cell r="Y4610">
            <v>0</v>
          </cell>
          <cell r="Z4610">
            <v>0.35</v>
          </cell>
          <cell r="AA4610">
            <v>0</v>
          </cell>
          <cell r="AB4610"/>
        </row>
        <row r="4611">
          <cell r="C4611">
            <v>1</v>
          </cell>
          <cell r="D4611">
            <v>1</v>
          </cell>
          <cell r="E4611">
            <v>1</v>
          </cell>
          <cell r="F4611">
            <v>1</v>
          </cell>
          <cell r="H4611">
            <v>0</v>
          </cell>
          <cell r="O4611">
            <v>402566</v>
          </cell>
          <cell r="P4611"/>
          <cell r="Q4611" t="str">
            <v>EST JARRA CERAMICA DECORATI (QMC211)</v>
          </cell>
          <cell r="R4611"/>
          <cell r="S4611"/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 t="str">
            <v>EST JARRA CERAMICA DECORATI (QMC211) - Ø0x0H</v>
          </cell>
          <cell r="Y4611">
            <v>0</v>
          </cell>
          <cell r="Z4611">
            <v>0.35</v>
          </cell>
          <cell r="AA4611">
            <v>0</v>
          </cell>
          <cell r="AB4611"/>
        </row>
        <row r="4612">
          <cell r="C4612">
            <v>1</v>
          </cell>
          <cell r="D4612">
            <v>1</v>
          </cell>
          <cell r="E4612">
            <v>1</v>
          </cell>
          <cell r="F4612">
            <v>1</v>
          </cell>
          <cell r="H4612">
            <v>0</v>
          </cell>
          <cell r="O4612">
            <v>402567</v>
          </cell>
          <cell r="P4612"/>
          <cell r="Q4612" t="str">
            <v>EST KIT 4 CANECAS CERAMICA ART POTTERY (QMC219)</v>
          </cell>
          <cell r="R4612"/>
          <cell r="S4612"/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 t="str">
            <v>EST KIT 4 CANECAS CERAMICA ART POTTERY (QMC219) - Ø0x0H</v>
          </cell>
          <cell r="Y4612">
            <v>0</v>
          </cell>
          <cell r="Z4612">
            <v>0.35</v>
          </cell>
          <cell r="AA4612">
            <v>0</v>
          </cell>
          <cell r="AB4612"/>
        </row>
        <row r="4613">
          <cell r="C4613">
            <v>1</v>
          </cell>
          <cell r="D4613">
            <v>1</v>
          </cell>
          <cell r="E4613">
            <v>1</v>
          </cell>
          <cell r="F4613">
            <v>1</v>
          </cell>
          <cell r="H4613">
            <v>0</v>
          </cell>
          <cell r="O4613">
            <v>402568</v>
          </cell>
          <cell r="P4613"/>
          <cell r="Q4613" t="str">
            <v>EST JARRA CERAMICA ART POTTERY (QMC220)</v>
          </cell>
          <cell r="R4613"/>
          <cell r="S4613"/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 t="str">
            <v>EST JARRA CERAMICA ART POTTERY (QMC220) - Ø0x0H</v>
          </cell>
          <cell r="Y4613">
            <v>0</v>
          </cell>
          <cell r="Z4613">
            <v>0.35</v>
          </cell>
          <cell r="AA4613">
            <v>0</v>
          </cell>
          <cell r="AB4613"/>
        </row>
        <row r="4614">
          <cell r="C4614">
            <v>0</v>
          </cell>
          <cell r="D4614">
            <v>0</v>
          </cell>
          <cell r="E4614">
            <v>1</v>
          </cell>
          <cell r="F4614">
            <v>1</v>
          </cell>
          <cell r="H4614">
            <v>0</v>
          </cell>
          <cell r="O4614">
            <v>402569</v>
          </cell>
          <cell r="P4614"/>
          <cell r="Q4614" t="str">
            <v>EST CENTRO MESA CERAMICA (QMC300)</v>
          </cell>
          <cell r="R4614"/>
          <cell r="S4614"/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 t="str">
            <v>EST CENTRO MESA CERAMICA (QMC300) - Ø0x0H</v>
          </cell>
          <cell r="Y4614">
            <v>0</v>
          </cell>
          <cell r="Z4614">
            <v>0.35</v>
          </cell>
          <cell r="AA4614">
            <v>0</v>
          </cell>
          <cell r="AB4614"/>
        </row>
        <row r="4615">
          <cell r="C4615">
            <v>0</v>
          </cell>
          <cell r="D4615">
            <v>0</v>
          </cell>
          <cell r="E4615">
            <v>1</v>
          </cell>
          <cell r="F4615">
            <v>1</v>
          </cell>
          <cell r="H4615">
            <v>0</v>
          </cell>
          <cell r="O4615">
            <v>402570</v>
          </cell>
          <cell r="P4615"/>
          <cell r="Q4615" t="str">
            <v>EST CENTRO MESA CERAMICA (QMC301)</v>
          </cell>
          <cell r="R4615"/>
          <cell r="S4615"/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 t="str">
            <v>EST CENTRO MESA CERAMICA (QMC301) - Ø0x0H</v>
          </cell>
          <cell r="Y4615">
            <v>0</v>
          </cell>
          <cell r="Z4615">
            <v>0.35</v>
          </cell>
          <cell r="AA4615">
            <v>0</v>
          </cell>
          <cell r="AB4615"/>
        </row>
        <row r="4616">
          <cell r="C4616">
            <v>1</v>
          </cell>
          <cell r="D4616">
            <v>1</v>
          </cell>
          <cell r="E4616">
            <v>1</v>
          </cell>
          <cell r="F4616">
            <v>1</v>
          </cell>
          <cell r="H4616">
            <v>0</v>
          </cell>
          <cell r="O4616">
            <v>402571</v>
          </cell>
          <cell r="P4616"/>
          <cell r="Q4616" t="str">
            <v>EST CENTRO MESA CERAMICA (QMC338)</v>
          </cell>
          <cell r="R4616"/>
          <cell r="S4616"/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 t="str">
            <v>EST CENTRO MESA CERAMICA (QMC338) - Ø0x0H</v>
          </cell>
          <cell r="Y4616">
            <v>0</v>
          </cell>
          <cell r="Z4616">
            <v>0.35</v>
          </cell>
          <cell r="AA4616">
            <v>0</v>
          </cell>
          <cell r="AB4616"/>
        </row>
        <row r="4617">
          <cell r="C4617">
            <v>1</v>
          </cell>
          <cell r="D4617">
            <v>1</v>
          </cell>
          <cell r="E4617">
            <v>1</v>
          </cell>
          <cell r="F4617">
            <v>1</v>
          </cell>
          <cell r="H4617">
            <v>0</v>
          </cell>
          <cell r="O4617">
            <v>402572</v>
          </cell>
          <cell r="P4617"/>
          <cell r="Q4617" t="str">
            <v>EST VASO CERAMICA (QMC379)</v>
          </cell>
          <cell r="R4617"/>
          <cell r="S4617"/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 t="str">
            <v>EST VASO CERAMICA (QMC379) - Ø0x0H</v>
          </cell>
          <cell r="Y4617">
            <v>0</v>
          </cell>
          <cell r="Z4617">
            <v>0.35</v>
          </cell>
          <cell r="AA4617">
            <v>0</v>
          </cell>
          <cell r="AB4617"/>
        </row>
        <row r="4618">
          <cell r="C4618">
            <v>1</v>
          </cell>
          <cell r="D4618">
            <v>1</v>
          </cell>
          <cell r="E4618">
            <v>0</v>
          </cell>
          <cell r="F4618">
            <v>1</v>
          </cell>
          <cell r="H4618">
            <v>0</v>
          </cell>
          <cell r="O4618">
            <v>402573</v>
          </cell>
          <cell r="P4618"/>
          <cell r="Q4618" t="str">
            <v>EST VASO CERAMICA (QMC380)</v>
          </cell>
          <cell r="R4618"/>
          <cell r="S4618"/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 t="str">
            <v>EST VASO CERAMICA (QMC380) - Ø0x0H</v>
          </cell>
          <cell r="Y4618">
            <v>0</v>
          </cell>
          <cell r="Z4618">
            <v>0.35</v>
          </cell>
          <cell r="AA4618">
            <v>0</v>
          </cell>
          <cell r="AB4618"/>
        </row>
        <row r="4619">
          <cell r="C4619">
            <v>1</v>
          </cell>
          <cell r="D4619">
            <v>1</v>
          </cell>
          <cell r="E4619">
            <v>1</v>
          </cell>
          <cell r="F4619">
            <v>1</v>
          </cell>
          <cell r="H4619">
            <v>0</v>
          </cell>
          <cell r="O4619">
            <v>402574</v>
          </cell>
          <cell r="P4619"/>
          <cell r="Q4619" t="str">
            <v>EST VASO CERAMICA (QMC381)</v>
          </cell>
          <cell r="R4619"/>
          <cell r="S4619"/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 t="str">
            <v>EST VASO CERAMICA (QMC381) - Ø0x0H</v>
          </cell>
          <cell r="Y4619">
            <v>0</v>
          </cell>
          <cell r="Z4619">
            <v>0.35</v>
          </cell>
          <cell r="AA4619">
            <v>0</v>
          </cell>
          <cell r="AB4619"/>
        </row>
        <row r="4620">
          <cell r="C4620">
            <v>1</v>
          </cell>
          <cell r="D4620">
            <v>1</v>
          </cell>
          <cell r="E4620">
            <v>1</v>
          </cell>
          <cell r="F4620">
            <v>1</v>
          </cell>
          <cell r="H4620">
            <v>0</v>
          </cell>
          <cell r="O4620">
            <v>402575</v>
          </cell>
          <cell r="P4620"/>
          <cell r="Q4620" t="str">
            <v>EST VASO CERAMICA (QMC382)</v>
          </cell>
          <cell r="R4620"/>
          <cell r="S4620"/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 t="str">
            <v>EST VASO CERAMICA (QMC382) - Ø0x0H</v>
          </cell>
          <cell r="Y4620">
            <v>0</v>
          </cell>
          <cell r="Z4620">
            <v>0.35</v>
          </cell>
          <cell r="AA4620">
            <v>0</v>
          </cell>
          <cell r="AB4620"/>
        </row>
        <row r="4621">
          <cell r="C4621">
            <v>1</v>
          </cell>
          <cell r="D4621">
            <v>1</v>
          </cell>
          <cell r="E4621">
            <v>1</v>
          </cell>
          <cell r="F4621">
            <v>1</v>
          </cell>
          <cell r="H4621">
            <v>0</v>
          </cell>
          <cell r="O4621">
            <v>402576</v>
          </cell>
          <cell r="P4621"/>
          <cell r="Q4621" t="str">
            <v>EST VASO CERAMICA (QMC383)</v>
          </cell>
          <cell r="R4621"/>
          <cell r="S4621"/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 t="str">
            <v>EST VASO CERAMICA (QMC383) - Ø0x0H</v>
          </cell>
          <cell r="Y4621">
            <v>0</v>
          </cell>
          <cell r="Z4621">
            <v>0.35</v>
          </cell>
          <cell r="AA4621">
            <v>0</v>
          </cell>
          <cell r="AB4621"/>
        </row>
        <row r="4622">
          <cell r="C4622">
            <v>1</v>
          </cell>
          <cell r="D4622">
            <v>1</v>
          </cell>
          <cell r="E4622">
            <v>1</v>
          </cell>
          <cell r="F4622">
            <v>1</v>
          </cell>
          <cell r="H4622">
            <v>0</v>
          </cell>
          <cell r="O4622">
            <v>402577</v>
          </cell>
          <cell r="P4622"/>
          <cell r="Q4622" t="str">
            <v>EST VASO CERAMICA (QMC384)</v>
          </cell>
          <cell r="R4622"/>
          <cell r="S4622"/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 t="str">
            <v>EST VASO CERAMICA (QMC384) - Ø0x0H</v>
          </cell>
          <cell r="Y4622">
            <v>0</v>
          </cell>
          <cell r="Z4622">
            <v>0.35</v>
          </cell>
          <cell r="AA4622">
            <v>0</v>
          </cell>
          <cell r="AB4622"/>
        </row>
        <row r="4623">
          <cell r="C4623">
            <v>0</v>
          </cell>
          <cell r="D4623">
            <v>0</v>
          </cell>
          <cell r="E4623">
            <v>0</v>
          </cell>
          <cell r="F4623">
            <v>0</v>
          </cell>
          <cell r="H4623">
            <v>1</v>
          </cell>
          <cell r="O4623">
            <v>238167</v>
          </cell>
          <cell r="P4623" t="str">
            <v>2019/211-0036-01</v>
          </cell>
          <cell r="Q4623" t="str">
            <v>EST MESA CENTRO ARGOLA (B) (TP CAMEL) (CUMARU) INOX ENV</v>
          </cell>
          <cell r="R4623"/>
          <cell r="S4623"/>
          <cell r="T4623">
            <v>1</v>
          </cell>
          <cell r="U4623">
            <v>0</v>
          </cell>
          <cell r="V4623">
            <v>0.35</v>
          </cell>
          <cell r="W4623">
            <v>1</v>
          </cell>
          <cell r="X4623" t="str">
            <v>EST MESA CENTRO ARGOLA (B) (TP CAMEL) (CUMARU) INOX ENV - Ø1x0,35H</v>
          </cell>
          <cell r="Y4623">
            <v>24626.92</v>
          </cell>
          <cell r="Z4623">
            <v>0.35</v>
          </cell>
          <cell r="AA4623">
            <v>16007.498</v>
          </cell>
          <cell r="AB4623"/>
        </row>
        <row r="4624">
          <cell r="C4624">
            <v>0</v>
          </cell>
          <cell r="D4624">
            <v>0</v>
          </cell>
          <cell r="E4624">
            <v>0</v>
          </cell>
          <cell r="F4624">
            <v>0</v>
          </cell>
          <cell r="H4624">
            <v>1</v>
          </cell>
          <cell r="O4624">
            <v>335090</v>
          </cell>
          <cell r="P4624" t="str">
            <v>2022/244-0027-01</v>
          </cell>
          <cell r="Q4624" t="str">
            <v>EST MESA CENTRO ARGOLA (C) (CORTEN) (MAD A CINAM NOG)</v>
          </cell>
          <cell r="R4624"/>
          <cell r="S4624"/>
          <cell r="T4624">
            <v>0.6</v>
          </cell>
          <cell r="U4624">
            <v>0</v>
          </cell>
          <cell r="V4624">
            <v>0.45</v>
          </cell>
          <cell r="W4624">
            <v>0.6</v>
          </cell>
          <cell r="X4624" t="str">
            <v>EST MESA CENTRO ARGOLA (C) (CORTEN) (MAD A CINAM NOG) - Ø0,6x0,45H</v>
          </cell>
          <cell r="Y4624">
            <v>12941.33</v>
          </cell>
          <cell r="Z4624">
            <v>0.5</v>
          </cell>
          <cell r="AA4624">
            <v>6470.665</v>
          </cell>
          <cell r="AB4624"/>
        </row>
        <row r="4625">
          <cell r="C4625" t="e">
            <v>#N/A</v>
          </cell>
          <cell r="D4625" t="e">
            <v>#N/A</v>
          </cell>
          <cell r="E4625" t="e">
            <v>#N/A</v>
          </cell>
          <cell r="F4625" t="e">
            <v>#N/A</v>
          </cell>
          <cell r="H4625" t="e">
            <v>#N/A</v>
          </cell>
          <cell r="O4625">
            <v>335337</v>
          </cell>
          <cell r="P4625" t="str">
            <v>2022/244-0033-01</v>
          </cell>
          <cell r="Q4625" t="e">
            <v>#N/A</v>
          </cell>
          <cell r="R4625"/>
          <cell r="S4625"/>
          <cell r="T4625" t="e">
            <v>#N/A</v>
          </cell>
          <cell r="U4625" t="e">
            <v>#N/A</v>
          </cell>
          <cell r="V4625" t="e">
            <v>#N/A</v>
          </cell>
          <cell r="W4625" t="e">
            <v>#N/A</v>
          </cell>
          <cell r="X4625" t="e">
            <v>#N/A</v>
          </cell>
          <cell r="Y4625">
            <v>38652.19</v>
          </cell>
          <cell r="Z4625">
            <v>0.5</v>
          </cell>
          <cell r="AA4625">
            <v>19326.095000000001</v>
          </cell>
          <cell r="AB4625"/>
        </row>
        <row r="4626">
          <cell r="C4626" t="e">
            <v>#N/A</v>
          </cell>
          <cell r="D4626" t="e">
            <v>#N/A</v>
          </cell>
          <cell r="E4626" t="e">
            <v>#N/A</v>
          </cell>
          <cell r="F4626" t="e">
            <v>#N/A</v>
          </cell>
          <cell r="H4626" t="e">
            <v>#N/A</v>
          </cell>
          <cell r="O4626">
            <v>335337</v>
          </cell>
          <cell r="P4626" t="str">
            <v>2022/244-0034-01</v>
          </cell>
          <cell r="Q4626" t="e">
            <v>#N/A</v>
          </cell>
          <cell r="R4626"/>
          <cell r="S4626"/>
          <cell r="T4626" t="e">
            <v>#N/A</v>
          </cell>
          <cell r="U4626" t="e">
            <v>#N/A</v>
          </cell>
          <cell r="V4626" t="e">
            <v>#N/A</v>
          </cell>
          <cell r="W4626" t="e">
            <v>#N/A</v>
          </cell>
          <cell r="X4626" t="e">
            <v>#N/A</v>
          </cell>
          <cell r="Y4626">
            <v>38652.19</v>
          </cell>
          <cell r="Z4626">
            <v>0.5</v>
          </cell>
          <cell r="AA4626">
            <v>19326.095000000001</v>
          </cell>
          <cell r="AB4626"/>
        </row>
        <row r="4627">
          <cell r="C4627">
            <v>0</v>
          </cell>
          <cell r="D4627">
            <v>0</v>
          </cell>
          <cell r="E4627">
            <v>0</v>
          </cell>
          <cell r="F4627">
            <v>0</v>
          </cell>
          <cell r="H4627">
            <v>1</v>
          </cell>
          <cell r="O4627">
            <v>63081</v>
          </cell>
          <cell r="P4627"/>
          <cell r="Q4627" t="str">
            <v>EST BANCO ZANINE X (EBANIZADO) TC SINTETICO PRETO</v>
          </cell>
          <cell r="R4627"/>
          <cell r="S4627"/>
          <cell r="T4627">
            <v>0.46</v>
          </cell>
          <cell r="U4627">
            <v>0.46</v>
          </cell>
          <cell r="V4627">
            <v>0.45</v>
          </cell>
          <cell r="W4627">
            <v>0</v>
          </cell>
          <cell r="X4627" t="str">
            <v>EST BANCO ZANINE X (EBANIZADO) TC SINTETICO PRETO - 0,46x0,46x0,45H</v>
          </cell>
          <cell r="Y4627">
            <v>0</v>
          </cell>
          <cell r="Z4627">
            <v>0.35</v>
          </cell>
          <cell r="AA4627">
            <v>0</v>
          </cell>
          <cell r="AB4627"/>
        </row>
        <row r="4628">
          <cell r="C4628">
            <v>0</v>
          </cell>
          <cell r="D4628">
            <v>0</v>
          </cell>
          <cell r="E4628">
            <v>0</v>
          </cell>
          <cell r="F4628">
            <v>0</v>
          </cell>
          <cell r="H4628">
            <v>0</v>
          </cell>
          <cell r="O4628">
            <v>65961</v>
          </cell>
          <cell r="P4628"/>
          <cell r="Q4628" t="str">
            <v>EST LUMINARIA TCHEKO (LATAO CROMADO)</v>
          </cell>
          <cell r="R4628"/>
          <cell r="S4628"/>
          <cell r="T4628">
            <v>0.4</v>
          </cell>
          <cell r="U4628">
            <v>0.4</v>
          </cell>
          <cell r="V4628">
            <v>0.9</v>
          </cell>
          <cell r="W4628">
            <v>0</v>
          </cell>
          <cell r="X4628" t="str">
            <v>EST LUMINARIA TCHEKO (LATAO CROMADO) - 0,4x0,4x0,9H</v>
          </cell>
          <cell r="Y4628">
            <v>0</v>
          </cell>
          <cell r="Z4628">
            <v>0.35</v>
          </cell>
          <cell r="AA4628">
            <v>0</v>
          </cell>
          <cell r="AB4628"/>
        </row>
        <row r="4629">
          <cell r="C4629">
            <v>0</v>
          </cell>
          <cell r="D4629">
            <v>0</v>
          </cell>
          <cell r="E4629">
            <v>0</v>
          </cell>
          <cell r="F4629">
            <v>0</v>
          </cell>
          <cell r="H4629">
            <v>0</v>
          </cell>
          <cell r="O4629">
            <v>68196</v>
          </cell>
          <cell r="P4629"/>
          <cell r="Q4629" t="str">
            <v>EST CADEIRA BOSSA PALHA (LACA LARANJA) TELA BRONZE</v>
          </cell>
          <cell r="R4629"/>
          <cell r="S4629"/>
          <cell r="T4629">
            <v>0.5</v>
          </cell>
          <cell r="U4629">
            <v>0.57999999999999996</v>
          </cell>
          <cell r="V4629">
            <v>0.88</v>
          </cell>
          <cell r="W4629">
            <v>0</v>
          </cell>
          <cell r="X4629" t="str">
            <v>EST CADEIRA BOSSA PALHA (LACA LARANJA) TELA BRONZE - 0,5x0,58x0,88H</v>
          </cell>
          <cell r="Y4629">
            <v>6035.72</v>
          </cell>
          <cell r="Z4629">
            <v>0.5</v>
          </cell>
          <cell r="AA4629">
            <v>3017.86</v>
          </cell>
          <cell r="AB4629"/>
        </row>
        <row r="4630">
          <cell r="C4630">
            <v>0</v>
          </cell>
          <cell r="D4630">
            <v>0</v>
          </cell>
          <cell r="E4630">
            <v>0</v>
          </cell>
          <cell r="F4630">
            <v>0</v>
          </cell>
          <cell r="H4630">
            <v>1</v>
          </cell>
          <cell r="O4630">
            <v>78387</v>
          </cell>
          <cell r="P4630"/>
          <cell r="Q4630" t="str">
            <v>EST POLTRONA JIMI (MAD A COR 01) TC 9115 COR 7</v>
          </cell>
          <cell r="R4630"/>
          <cell r="S4630"/>
          <cell r="T4630">
            <v>0.71</v>
          </cell>
          <cell r="U4630">
            <v>0.8</v>
          </cell>
          <cell r="V4630">
            <v>0.75</v>
          </cell>
          <cell r="W4630">
            <v>0</v>
          </cell>
          <cell r="X4630" t="str">
            <v>EST POLTRONA JIMI (MAD A COR 01) TC 9115 COR 7 - 0,71x0,8x0,75H</v>
          </cell>
          <cell r="Y4630">
            <v>0</v>
          </cell>
          <cell r="Z4630">
            <v>0.35</v>
          </cell>
          <cell r="AA4630">
            <v>0</v>
          </cell>
          <cell r="AB4630"/>
        </row>
        <row r="4631">
          <cell r="C4631">
            <v>0</v>
          </cell>
          <cell r="D4631">
            <v>0</v>
          </cell>
          <cell r="E4631">
            <v>0</v>
          </cell>
          <cell r="F4631">
            <v>0</v>
          </cell>
          <cell r="H4631">
            <v>0</v>
          </cell>
          <cell r="O4631">
            <v>80210</v>
          </cell>
          <cell r="P4631"/>
          <cell r="Q4631" t="str">
            <v>EST MESA CENTRO ARIMELLO (MAD IMBUIA STAIN) LAM IMBUIA STAIN</v>
          </cell>
          <cell r="R4631"/>
          <cell r="S4631"/>
          <cell r="T4631">
            <v>1.47</v>
          </cell>
          <cell r="U4631">
            <v>0.6</v>
          </cell>
          <cell r="V4631">
            <v>0.44</v>
          </cell>
          <cell r="W4631">
            <v>0</v>
          </cell>
          <cell r="X4631" t="str">
            <v>EST MESA CENTRO ARIMELLO (MAD IMBUIA STAIN) LAM IMBUIA STAIN - 1,47x0,6x0,44H</v>
          </cell>
          <cell r="Y4631">
            <v>0</v>
          </cell>
          <cell r="Z4631">
            <v>0.35</v>
          </cell>
          <cell r="AA4631">
            <v>0</v>
          </cell>
          <cell r="AB4631"/>
        </row>
        <row r="4632">
          <cell r="C4632">
            <v>0</v>
          </cell>
          <cell r="D4632">
            <v>0</v>
          </cell>
          <cell r="E4632">
            <v>0</v>
          </cell>
          <cell r="F4632">
            <v>0</v>
          </cell>
          <cell r="H4632">
            <v>0</v>
          </cell>
          <cell r="O4632">
            <v>80355</v>
          </cell>
          <cell r="P4632"/>
          <cell r="Q4632" t="str">
            <v>EST CADEIRA BOSSA PALHA (IMBUIA MEL) TELA NATURAL</v>
          </cell>
          <cell r="R4632"/>
          <cell r="S4632"/>
          <cell r="T4632">
            <v>0.5</v>
          </cell>
          <cell r="U4632">
            <v>0.57999999999999996</v>
          </cell>
          <cell r="V4632">
            <v>0.88</v>
          </cell>
          <cell r="W4632">
            <v>0</v>
          </cell>
          <cell r="X4632" t="str">
            <v>EST CADEIRA BOSSA PALHA (IMBUIA MEL) TELA NATURAL - 0,5x0,58x0,88H</v>
          </cell>
          <cell r="Y4632">
            <v>6320.43</v>
          </cell>
          <cell r="Z4632">
            <v>0.5</v>
          </cell>
          <cell r="AA4632">
            <v>3160.2150000000001</v>
          </cell>
          <cell r="AB4632"/>
        </row>
        <row r="4633">
          <cell r="C4633">
            <v>0</v>
          </cell>
          <cell r="D4633">
            <v>0</v>
          </cell>
          <cell r="E4633">
            <v>0</v>
          </cell>
          <cell r="F4633">
            <v>0</v>
          </cell>
          <cell r="H4633">
            <v>0</v>
          </cell>
          <cell r="O4633">
            <v>88909</v>
          </cell>
          <cell r="P4633"/>
          <cell r="Q4633" t="str">
            <v>EST BANCO PHILLIPS (LACA BRANCA)</v>
          </cell>
          <cell r="R4633"/>
          <cell r="S4633"/>
          <cell r="T4633">
            <v>0.35</v>
          </cell>
          <cell r="U4633">
            <v>0</v>
          </cell>
          <cell r="V4633">
            <v>0.45</v>
          </cell>
          <cell r="W4633">
            <v>0.35</v>
          </cell>
          <cell r="X4633" t="str">
            <v>EST BANCO PHILLIPS (LACA BRANCA) - Ø0,35x0,45H</v>
          </cell>
          <cell r="Y4633">
            <v>7614.34</v>
          </cell>
          <cell r="Z4633">
            <v>0.5</v>
          </cell>
          <cell r="AA4633">
            <v>3807.17</v>
          </cell>
          <cell r="AB4633"/>
        </row>
        <row r="4634">
          <cell r="C4634">
            <v>0</v>
          </cell>
          <cell r="D4634">
            <v>0</v>
          </cell>
          <cell r="E4634">
            <v>0</v>
          </cell>
          <cell r="F4634">
            <v>0</v>
          </cell>
          <cell r="H4634">
            <v>2</v>
          </cell>
          <cell r="O4634">
            <v>94291</v>
          </cell>
          <cell r="P4634" t="str">
            <v>1012/307-3978-01</v>
          </cell>
          <cell r="Q4634" t="str">
            <v>EST MESA LATERAL BO (PINNUS NATURAL)</v>
          </cell>
          <cell r="R4634"/>
          <cell r="S4634"/>
          <cell r="T4634">
            <v>1</v>
          </cell>
          <cell r="U4634">
            <v>0</v>
          </cell>
          <cell r="V4634">
            <v>0.63</v>
          </cell>
          <cell r="W4634">
            <v>1</v>
          </cell>
          <cell r="X4634" t="str">
            <v>EST MESA LATERAL BO (PINNUS NATURAL) - Ø1x0,63H</v>
          </cell>
          <cell r="Y4634">
            <v>11050</v>
          </cell>
          <cell r="Z4634">
            <v>0</v>
          </cell>
          <cell r="AA4634">
            <v>11050</v>
          </cell>
          <cell r="AB4634"/>
        </row>
        <row r="4635">
          <cell r="C4635">
            <v>0</v>
          </cell>
          <cell r="D4635">
            <v>0</v>
          </cell>
          <cell r="E4635">
            <v>0</v>
          </cell>
          <cell r="F4635">
            <v>0</v>
          </cell>
          <cell r="H4635">
            <v>2</v>
          </cell>
          <cell r="O4635">
            <v>94291</v>
          </cell>
          <cell r="P4635"/>
          <cell r="Q4635" t="str">
            <v>EST MESA LATERAL BO (PINNUS NATURAL)</v>
          </cell>
          <cell r="R4635"/>
          <cell r="S4635"/>
          <cell r="T4635">
            <v>1</v>
          </cell>
          <cell r="U4635">
            <v>0</v>
          </cell>
          <cell r="V4635">
            <v>0.63</v>
          </cell>
          <cell r="W4635">
            <v>1</v>
          </cell>
          <cell r="X4635" t="str">
            <v>EST MESA LATERAL BO (PINNUS NATURAL) - Ø1x0,63H</v>
          </cell>
          <cell r="Y4635">
            <v>0</v>
          </cell>
          <cell r="Z4635">
            <v>0.35</v>
          </cell>
          <cell r="AA4635">
            <v>0</v>
          </cell>
          <cell r="AB4635"/>
        </row>
        <row r="4636">
          <cell r="C4636" t="e">
            <v>#N/A</v>
          </cell>
          <cell r="D4636" t="e">
            <v>#N/A</v>
          </cell>
          <cell r="E4636" t="e">
            <v>#N/A</v>
          </cell>
          <cell r="F4636" t="e">
            <v>#N/A</v>
          </cell>
          <cell r="H4636" t="e">
            <v>#N/A</v>
          </cell>
          <cell r="O4636">
            <v>112452</v>
          </cell>
          <cell r="P4636" t="str">
            <v>1012/307-9793-01</v>
          </cell>
          <cell r="Q4636" t="e">
            <v>#N/A</v>
          </cell>
          <cell r="R4636"/>
          <cell r="S4636"/>
          <cell r="T4636" t="e">
            <v>#N/A</v>
          </cell>
          <cell r="U4636" t="e">
            <v>#N/A</v>
          </cell>
          <cell r="V4636" t="e">
            <v>#N/A</v>
          </cell>
          <cell r="W4636" t="e">
            <v>#N/A</v>
          </cell>
          <cell r="X4636" t="e">
            <v>#N/A</v>
          </cell>
          <cell r="Y4636">
            <v>20957.439999999999</v>
          </cell>
          <cell r="Z4636">
            <v>0</v>
          </cell>
          <cell r="AA4636">
            <v>20957.439999999999</v>
          </cell>
          <cell r="AB4636"/>
        </row>
        <row r="4637">
          <cell r="C4637">
            <v>0</v>
          </cell>
          <cell r="D4637">
            <v>0</v>
          </cell>
          <cell r="E4637">
            <v>0</v>
          </cell>
          <cell r="F4637">
            <v>0</v>
          </cell>
          <cell r="H4637">
            <v>0</v>
          </cell>
          <cell r="O4637">
            <v>112504</v>
          </cell>
          <cell r="P4637"/>
          <cell r="Q4637" t="str">
            <v>EST BANCO PHILLIPS (GANE LP-903)</v>
          </cell>
          <cell r="R4637"/>
          <cell r="S4637"/>
          <cell r="T4637">
            <v>0.35</v>
          </cell>
          <cell r="U4637">
            <v>0</v>
          </cell>
          <cell r="V4637">
            <v>0.45</v>
          </cell>
          <cell r="W4637">
            <v>0.35</v>
          </cell>
          <cell r="X4637" t="str">
            <v>EST BANCO PHILLIPS (GANE LP-903) - Ø0,35x0,45H</v>
          </cell>
          <cell r="Y4637">
            <v>7614.34</v>
          </cell>
          <cell r="Z4637">
            <v>0.5</v>
          </cell>
          <cell r="AA4637">
            <v>3807.17</v>
          </cell>
          <cell r="AB4637"/>
        </row>
        <row r="4638">
          <cell r="C4638">
            <v>0</v>
          </cell>
          <cell r="D4638">
            <v>0</v>
          </cell>
          <cell r="E4638">
            <v>0</v>
          </cell>
          <cell r="F4638">
            <v>0</v>
          </cell>
          <cell r="H4638">
            <v>1</v>
          </cell>
          <cell r="O4638">
            <v>113267</v>
          </cell>
          <cell r="P4638" t="str">
            <v>1012/306-2127-01</v>
          </cell>
          <cell r="Q4638" t="str">
            <v>EST MESA CENTRO DINN (PES ACO CARB) (TP MAD ESP F100 BRILHO)</v>
          </cell>
          <cell r="R4638"/>
          <cell r="S4638"/>
          <cell r="T4638">
            <v>1.5</v>
          </cell>
          <cell r="U4638">
            <v>0.7</v>
          </cell>
          <cell r="V4638">
            <v>0.25</v>
          </cell>
          <cell r="W4638">
            <v>0</v>
          </cell>
          <cell r="X4638" t="str">
            <v>EST MESA CENTRO DINN (PES ACO CARB) (TP MAD ESP F100 BRILHO) - 1,5x0,7x0,25H</v>
          </cell>
          <cell r="Y4638">
            <v>5817.28</v>
          </cell>
          <cell r="Z4638">
            <v>0</v>
          </cell>
          <cell r="AA4638">
            <v>5817.28</v>
          </cell>
          <cell r="AB4638"/>
        </row>
        <row r="4639">
          <cell r="C4639">
            <v>0</v>
          </cell>
          <cell r="D4639">
            <v>0</v>
          </cell>
          <cell r="E4639">
            <v>0</v>
          </cell>
          <cell r="F4639">
            <v>0</v>
          </cell>
          <cell r="H4639">
            <v>0</v>
          </cell>
          <cell r="O4639">
            <v>124393</v>
          </cell>
          <cell r="P4639"/>
          <cell r="Q4639" t="str">
            <v>EST MESA LATERAL FIX LACA BRILHANTE PACIFICO</v>
          </cell>
          <cell r="R4639"/>
          <cell r="S4639"/>
          <cell r="T4639">
            <v>0.4</v>
          </cell>
          <cell r="U4639">
            <v>0.4</v>
          </cell>
          <cell r="V4639">
            <v>0.4</v>
          </cell>
          <cell r="W4639">
            <v>0</v>
          </cell>
          <cell r="X4639" t="str">
            <v>EST MESA LATERAL FIX LACA BRILHANTE PACIFICO - 0,4x0,4x0,4H</v>
          </cell>
          <cell r="Y4639">
            <v>4018.56</v>
          </cell>
          <cell r="Z4639">
            <v>0.35</v>
          </cell>
          <cell r="AA4639">
            <v>2612.0640000000003</v>
          </cell>
          <cell r="AB4639"/>
        </row>
        <row r="4640">
          <cell r="C4640">
            <v>0</v>
          </cell>
          <cell r="D4640">
            <v>0</v>
          </cell>
          <cell r="E4640">
            <v>0</v>
          </cell>
          <cell r="F4640">
            <v>0</v>
          </cell>
          <cell r="H4640">
            <v>1</v>
          </cell>
          <cell r="O4640">
            <v>124405</v>
          </cell>
          <cell r="P4640" t="str">
            <v>2013/039-0018-01</v>
          </cell>
          <cell r="Q4640" t="str">
            <v>EST MESA LATERAL FIX LACA BRILHANTE CHUMBO</v>
          </cell>
          <cell r="R4640"/>
          <cell r="S4640"/>
          <cell r="T4640">
            <v>0.5</v>
          </cell>
          <cell r="U4640">
            <v>0.5</v>
          </cell>
          <cell r="V4640">
            <v>0.5</v>
          </cell>
          <cell r="W4640">
            <v>0</v>
          </cell>
          <cell r="X4640" t="str">
            <v>EST MESA LATERAL FIX LACA BRILHANTE CHUMBO - 0,5x0,5x0,5H</v>
          </cell>
          <cell r="Y4640">
            <v>4018.56</v>
          </cell>
          <cell r="Z4640">
            <v>0.5</v>
          </cell>
          <cell r="AA4640">
            <v>2009.28</v>
          </cell>
          <cell r="AB4640"/>
        </row>
        <row r="4641">
          <cell r="C4641">
            <v>0</v>
          </cell>
          <cell r="D4641">
            <v>0</v>
          </cell>
          <cell r="E4641">
            <v>0</v>
          </cell>
          <cell r="F4641">
            <v>0</v>
          </cell>
          <cell r="H4641">
            <v>0</v>
          </cell>
          <cell r="O4641">
            <v>128114</v>
          </cell>
          <cell r="P4641"/>
          <cell r="Q4641" t="str">
            <v>EST CADEIRA BOSSA CAPITONE C/BRACO (TAUARI COR 02) TC SEDA</v>
          </cell>
          <cell r="R4641"/>
          <cell r="S4641"/>
          <cell r="T4641">
            <v>0.56999999999999995</v>
          </cell>
          <cell r="U4641">
            <v>0.52</v>
          </cell>
          <cell r="V4641">
            <v>0.87</v>
          </cell>
          <cell r="W4641">
            <v>0</v>
          </cell>
          <cell r="X4641" t="str">
            <v>EST CADEIRA BOSSA CAPITONE C/BRACO (TAUARI COR 02) TC SEDA - 0,57x0,52x0,87H</v>
          </cell>
          <cell r="Y4641">
            <v>5336.84</v>
          </cell>
          <cell r="Z4641">
            <v>0.5</v>
          </cell>
          <cell r="AA4641">
            <v>2668.42</v>
          </cell>
          <cell r="AB4641"/>
        </row>
        <row r="4642">
          <cell r="C4642">
            <v>0</v>
          </cell>
          <cell r="D4642">
            <v>0</v>
          </cell>
          <cell r="E4642">
            <v>0</v>
          </cell>
          <cell r="F4642">
            <v>0</v>
          </cell>
          <cell r="H4642">
            <v>0</v>
          </cell>
          <cell r="O4642">
            <v>128483</v>
          </cell>
          <cell r="P4642"/>
          <cell r="Q4642" t="str">
            <v>EST CADEIRA 213 (TABACO) TC 402A</v>
          </cell>
          <cell r="R4642"/>
          <cell r="S4642"/>
          <cell r="T4642">
            <v>0.52</v>
          </cell>
          <cell r="U4642">
            <v>0.56000000000000005</v>
          </cell>
          <cell r="V4642">
            <v>0.89</v>
          </cell>
          <cell r="W4642">
            <v>0</v>
          </cell>
          <cell r="X4642" t="str">
            <v>EST CADEIRA 213 (TABACO) TC 402A - 0,52x0,56x0,89H</v>
          </cell>
          <cell r="Y4642">
            <v>3808</v>
          </cell>
          <cell r="Z4642">
            <v>0.35</v>
          </cell>
          <cell r="AA4642">
            <v>2475.1999999999998</v>
          </cell>
          <cell r="AB4642"/>
        </row>
        <row r="4643">
          <cell r="C4643">
            <v>0</v>
          </cell>
          <cell r="D4643">
            <v>0</v>
          </cell>
          <cell r="E4643">
            <v>0</v>
          </cell>
          <cell r="F4643">
            <v>0</v>
          </cell>
          <cell r="H4643">
            <v>1</v>
          </cell>
          <cell r="O4643">
            <v>129366</v>
          </cell>
          <cell r="P4643" t="str">
            <v>2013/179-0007-01</v>
          </cell>
          <cell r="Q4643" t="str">
            <v>EST MESA JANTAR SAARINEN (MARMOME CARRARA GIOIA) PINT BRANCA</v>
          </cell>
          <cell r="R4643"/>
          <cell r="S4643"/>
          <cell r="T4643">
            <v>0.9</v>
          </cell>
          <cell r="U4643">
            <v>0</v>
          </cell>
          <cell r="V4643">
            <v>0.75</v>
          </cell>
          <cell r="W4643">
            <v>0.9</v>
          </cell>
          <cell r="X4643" t="str">
            <v>EST MESA JANTAR SAARINEN (MARMOME CARRARA GIOIA) PINT BRANCA - Ø0,9x0,75H</v>
          </cell>
          <cell r="Y4643">
            <v>21610.799999999999</v>
          </cell>
          <cell r="Z4643">
            <v>0.5</v>
          </cell>
          <cell r="AA4643">
            <v>10805.4</v>
          </cell>
          <cell r="AB4643"/>
        </row>
        <row r="4644">
          <cell r="C4644">
            <v>0</v>
          </cell>
          <cell r="D4644">
            <v>0</v>
          </cell>
          <cell r="E4644">
            <v>0</v>
          </cell>
          <cell r="F4644">
            <v>0</v>
          </cell>
          <cell r="H4644">
            <v>1</v>
          </cell>
          <cell r="O4644">
            <v>146214</v>
          </cell>
          <cell r="P4644" t="str">
            <v>2014/051-0061-01</v>
          </cell>
          <cell r="Q4644" t="str">
            <v>EST MESA JANTAR TEV (VIDRO LACA BRACO BRILHO/TAUARI NOG)</v>
          </cell>
          <cell r="R4644"/>
          <cell r="S4644"/>
          <cell r="T4644">
            <v>1.2</v>
          </cell>
          <cell r="U4644">
            <v>1.2</v>
          </cell>
          <cell r="V4644">
            <v>0.75</v>
          </cell>
          <cell r="W4644">
            <v>0</v>
          </cell>
          <cell r="X4644" t="str">
            <v>EST MESA JANTAR TEV (VIDRO LACA BRACO BRILHO/TAUARI NOG) - 1,2x1,2x0,75H</v>
          </cell>
          <cell r="Y4644">
            <v>26995.58</v>
          </cell>
          <cell r="Z4644">
            <v>0.5</v>
          </cell>
          <cell r="AA4644">
            <v>13497.79</v>
          </cell>
          <cell r="AB4644"/>
        </row>
        <row r="4645">
          <cell r="C4645">
            <v>0</v>
          </cell>
          <cell r="D4645">
            <v>0</v>
          </cell>
          <cell r="E4645">
            <v>0</v>
          </cell>
          <cell r="F4645">
            <v>0</v>
          </cell>
          <cell r="H4645">
            <v>1</v>
          </cell>
          <cell r="O4645">
            <v>147218</v>
          </cell>
          <cell r="P4645" t="str">
            <v>2014/090-0031-01</v>
          </cell>
          <cell r="Q4645" t="str">
            <v>EST CARRINHO BAR CARRIM (IMPRESSAO PALITO/LIVRO/COBRA) LT5</v>
          </cell>
          <cell r="R4645"/>
          <cell r="S4645"/>
          <cell r="T4645">
            <v>0.8</v>
          </cell>
          <cell r="U4645">
            <v>0.45</v>
          </cell>
          <cell r="V4645">
            <v>0.77</v>
          </cell>
          <cell r="W4645">
            <v>0</v>
          </cell>
          <cell r="X4645" t="str">
            <v>EST CARRINHO BAR CARRIM (IMPRESSAO PALITO/LIVRO/COBRA) LT5 - 0,8x0,45x0,77H</v>
          </cell>
          <cell r="Y4645">
            <v>31025</v>
          </cell>
          <cell r="Z4645">
            <v>0</v>
          </cell>
          <cell r="AA4645">
            <v>31025</v>
          </cell>
          <cell r="AB4645"/>
        </row>
        <row r="4646">
          <cell r="C4646">
            <v>0</v>
          </cell>
          <cell r="D4646">
            <v>0</v>
          </cell>
          <cell r="E4646">
            <v>0</v>
          </cell>
          <cell r="F4646">
            <v>0</v>
          </cell>
          <cell r="H4646">
            <v>0</v>
          </cell>
          <cell r="O4646">
            <v>147925</v>
          </cell>
          <cell r="P4646" t="str">
            <v>2014/188-0074-01</v>
          </cell>
          <cell r="Q4646" t="str">
            <v>EST POLTRONA PRIMA C/BRACO (NOGUEIRA) TC 105#05</v>
          </cell>
          <cell r="R4646"/>
          <cell r="S4646"/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 t="str">
            <v>EST POLTRONA PRIMA C/BRACO (NOGUEIRA) TC 105#05 - Ø0x0H</v>
          </cell>
          <cell r="Y4646">
            <v>8182.72</v>
          </cell>
          <cell r="Z4646">
            <v>0</v>
          </cell>
          <cell r="AA4646">
            <v>8182.72</v>
          </cell>
          <cell r="AB4646"/>
        </row>
        <row r="4647">
          <cell r="C4647">
            <v>0</v>
          </cell>
          <cell r="D4647">
            <v>0</v>
          </cell>
          <cell r="E4647">
            <v>0</v>
          </cell>
          <cell r="F4647">
            <v>0</v>
          </cell>
          <cell r="H4647">
            <v>0</v>
          </cell>
          <cell r="O4647">
            <v>150046</v>
          </cell>
          <cell r="P4647"/>
          <cell r="Q4647" t="str">
            <v>EST MESA LATERAL CAE (FREIJO NATURAL)</v>
          </cell>
          <cell r="R4647"/>
          <cell r="S4647"/>
          <cell r="T4647">
            <v>0.6</v>
          </cell>
          <cell r="U4647">
            <v>0.4</v>
          </cell>
          <cell r="V4647">
            <v>0.52</v>
          </cell>
          <cell r="W4647">
            <v>0</v>
          </cell>
          <cell r="X4647" t="str">
            <v>EST MESA LATERAL CAE (FREIJO NATURAL) - 0,6x0,4x0,52H</v>
          </cell>
          <cell r="Y4647">
            <v>0</v>
          </cell>
          <cell r="Z4647">
            <v>0.35</v>
          </cell>
          <cell r="AA4647">
            <v>0</v>
          </cell>
          <cell r="AB4647"/>
        </row>
        <row r="4648">
          <cell r="C4648">
            <v>0</v>
          </cell>
          <cell r="D4648">
            <v>0</v>
          </cell>
          <cell r="E4648">
            <v>0</v>
          </cell>
          <cell r="F4648">
            <v>0</v>
          </cell>
          <cell r="H4648">
            <v>0</v>
          </cell>
          <cell r="O4648">
            <v>151020</v>
          </cell>
          <cell r="P4648"/>
          <cell r="Q4648" t="str">
            <v>EST CADEIRA GIO C/BRACO ESTOFADA (TAUARI COR 03) (TC 90#5)</v>
          </cell>
          <cell r="R4648"/>
          <cell r="S4648"/>
          <cell r="T4648">
            <v>0.53</v>
          </cell>
          <cell r="U4648">
            <v>0.53</v>
          </cell>
          <cell r="V4648">
            <v>0.77</v>
          </cell>
          <cell r="W4648">
            <v>0</v>
          </cell>
          <cell r="X4648" t="str">
            <v>EST CADEIRA GIO C/BRACO ESTOFADA (TAUARI COR 03) (TC 90#5) - 0,53x0,53x0,77H</v>
          </cell>
          <cell r="Y4648">
            <v>5195.6400000000003</v>
          </cell>
          <cell r="Z4648">
            <v>0.5</v>
          </cell>
          <cell r="AA4648">
            <v>2597.8200000000002</v>
          </cell>
          <cell r="AB4648"/>
        </row>
        <row r="4649">
          <cell r="C4649">
            <v>0</v>
          </cell>
          <cell r="D4649">
            <v>0</v>
          </cell>
          <cell r="E4649">
            <v>0</v>
          </cell>
          <cell r="F4649">
            <v>0</v>
          </cell>
          <cell r="H4649">
            <v>4</v>
          </cell>
          <cell r="O4649">
            <v>151327</v>
          </cell>
          <cell r="P4649"/>
          <cell r="Q4649" t="str">
            <v>EST POLTRONA FIBRA NATURAL TC 603 LINHO</v>
          </cell>
          <cell r="R4649"/>
          <cell r="S4649"/>
          <cell r="T4649">
            <v>0.8</v>
          </cell>
          <cell r="U4649">
            <v>0.85</v>
          </cell>
          <cell r="V4649">
            <v>0.72</v>
          </cell>
          <cell r="W4649">
            <v>0</v>
          </cell>
          <cell r="X4649" t="str">
            <v>EST POLTRONA FIBRA NATURAL TC 603 LINHO - 0,8x0,85x0,72H</v>
          </cell>
          <cell r="Y4649" t="e">
            <v>#VALUE!</v>
          </cell>
          <cell r="Z4649">
            <v>0.35</v>
          </cell>
          <cell r="AA4649" t="e">
            <v>#VALUE!</v>
          </cell>
          <cell r="AB4649"/>
        </row>
        <row r="4650">
          <cell r="C4650">
            <v>0</v>
          </cell>
          <cell r="D4650">
            <v>0</v>
          </cell>
          <cell r="E4650">
            <v>0</v>
          </cell>
          <cell r="F4650">
            <v>0</v>
          </cell>
          <cell r="H4650">
            <v>0</v>
          </cell>
          <cell r="O4650">
            <v>151336</v>
          </cell>
          <cell r="P4650" t="str">
            <v>2014/203-0186-01</v>
          </cell>
          <cell r="Q4650" t="str">
            <v>EST CADEIRA JULIETA (JEQ BS DAGUA) (COURO SINTETICO CAFE)</v>
          </cell>
          <cell r="R4650"/>
          <cell r="S4650"/>
          <cell r="T4650">
            <v>0.6</v>
          </cell>
          <cell r="U4650">
            <v>0.5</v>
          </cell>
          <cell r="V4650">
            <v>0.7</v>
          </cell>
          <cell r="W4650">
            <v>0</v>
          </cell>
          <cell r="X4650" t="str">
            <v>EST CADEIRA JULIETA (JEQ BS DAGUA) (COURO SINTETICO CAFE) - 0,6x0,5x0,7H</v>
          </cell>
          <cell r="Y4650">
            <v>7749.28</v>
          </cell>
          <cell r="Z4650">
            <v>0.35</v>
          </cell>
          <cell r="AA4650">
            <v>5037.0320000000002</v>
          </cell>
          <cell r="AB4650"/>
        </row>
        <row r="4651">
          <cell r="C4651">
            <v>0</v>
          </cell>
          <cell r="D4651">
            <v>0</v>
          </cell>
          <cell r="E4651">
            <v>0</v>
          </cell>
          <cell r="F4651">
            <v>0</v>
          </cell>
          <cell r="H4651">
            <v>0</v>
          </cell>
          <cell r="O4651">
            <v>151336</v>
          </cell>
          <cell r="P4651" t="str">
            <v>2014/219-0113-01</v>
          </cell>
          <cell r="Q4651" t="str">
            <v>EST CADEIRA JULIETA (JEQ BS DAGUA) (COURO SINTETICO CAFE)</v>
          </cell>
          <cell r="R4651"/>
          <cell r="S4651"/>
          <cell r="T4651">
            <v>0.6</v>
          </cell>
          <cell r="U4651">
            <v>0.5</v>
          </cell>
          <cell r="V4651">
            <v>0.7</v>
          </cell>
          <cell r="W4651">
            <v>0</v>
          </cell>
          <cell r="X4651" t="str">
            <v>EST CADEIRA JULIETA (JEQ BS DAGUA) (COURO SINTETICO CAFE) - 0,6x0,5x0,7H</v>
          </cell>
          <cell r="Y4651">
            <v>7749.28</v>
          </cell>
          <cell r="Z4651">
            <v>0.35</v>
          </cell>
          <cell r="AA4651">
            <v>5037.0320000000002</v>
          </cell>
          <cell r="AB4651"/>
        </row>
        <row r="4652">
          <cell r="C4652">
            <v>0</v>
          </cell>
          <cell r="D4652">
            <v>0</v>
          </cell>
          <cell r="E4652">
            <v>0</v>
          </cell>
          <cell r="F4652">
            <v>0</v>
          </cell>
          <cell r="H4652">
            <v>2</v>
          </cell>
          <cell r="O4652">
            <v>151501</v>
          </cell>
          <cell r="P4652" t="str">
            <v>2014/251-0078-01</v>
          </cell>
          <cell r="Q4652" t="str">
            <v>EST MESA LATERAL IPANEMA (AL 02/BRANCO FOSCO)</v>
          </cell>
          <cell r="R4652"/>
          <cell r="S4652"/>
          <cell r="T4652">
            <v>0.45</v>
          </cell>
          <cell r="U4652">
            <v>0</v>
          </cell>
          <cell r="V4652">
            <v>0.46</v>
          </cell>
          <cell r="W4652">
            <v>0.45</v>
          </cell>
          <cell r="X4652" t="str">
            <v>EST MESA LATERAL IPANEMA (AL 02/BRANCO FOSCO) - Ø0,45x0,46H</v>
          </cell>
          <cell r="Y4652">
            <v>2688</v>
          </cell>
          <cell r="Z4652">
            <v>0.5</v>
          </cell>
          <cell r="AA4652">
            <v>1344</v>
          </cell>
          <cell r="AB4652"/>
        </row>
        <row r="4653">
          <cell r="C4653">
            <v>0</v>
          </cell>
          <cell r="D4653">
            <v>0</v>
          </cell>
          <cell r="E4653">
            <v>0</v>
          </cell>
          <cell r="F4653">
            <v>0</v>
          </cell>
          <cell r="H4653">
            <v>2</v>
          </cell>
          <cell r="O4653">
            <v>151501</v>
          </cell>
          <cell r="P4653" t="str">
            <v>2014/251-0079-01</v>
          </cell>
          <cell r="Q4653" t="str">
            <v>EST MESA LATERAL IPANEMA (AL 02/BRANCO FOSCO)</v>
          </cell>
          <cell r="R4653"/>
          <cell r="S4653"/>
          <cell r="T4653">
            <v>0.45</v>
          </cell>
          <cell r="U4653">
            <v>0</v>
          </cell>
          <cell r="V4653">
            <v>0.46</v>
          </cell>
          <cell r="W4653">
            <v>0.45</v>
          </cell>
          <cell r="X4653" t="str">
            <v>EST MESA LATERAL IPANEMA (AL 02/BRANCO FOSCO) - Ø0,45x0,46H</v>
          </cell>
          <cell r="Y4653">
            <v>2688</v>
          </cell>
          <cell r="Z4653">
            <v>0.5</v>
          </cell>
          <cell r="AA4653">
            <v>1344</v>
          </cell>
          <cell r="AB4653"/>
        </row>
        <row r="4654">
          <cell r="C4654">
            <v>0</v>
          </cell>
          <cell r="D4654">
            <v>0</v>
          </cell>
          <cell r="E4654">
            <v>0</v>
          </cell>
          <cell r="F4654">
            <v>0</v>
          </cell>
          <cell r="H4654">
            <v>0</v>
          </cell>
          <cell r="O4654">
            <v>151567</v>
          </cell>
          <cell r="P4654" t="str">
            <v>2014/252-0096-01</v>
          </cell>
          <cell r="Q4654" t="str">
            <v>EST MESA LATERAL VOLAN (VD LC OFFWHITE/OFFWHITE H109)</v>
          </cell>
          <cell r="R4654"/>
          <cell r="S4654"/>
          <cell r="T4654">
            <v>0.7</v>
          </cell>
          <cell r="U4654">
            <v>0.7</v>
          </cell>
          <cell r="V4654">
            <v>0.6</v>
          </cell>
          <cell r="W4654">
            <v>0</v>
          </cell>
          <cell r="X4654" t="str">
            <v>EST MESA LATERAL VOLAN (VD LC OFFWHITE/OFFWHITE H109) - 0,7x0,7x0,6H</v>
          </cell>
          <cell r="Y4654">
            <v>6586.27</v>
          </cell>
          <cell r="Z4654">
            <v>0.35</v>
          </cell>
          <cell r="AA4654">
            <v>4281.0755000000008</v>
          </cell>
          <cell r="AB4654"/>
        </row>
        <row r="4655">
          <cell r="C4655">
            <v>0</v>
          </cell>
          <cell r="D4655">
            <v>0</v>
          </cell>
          <cell r="E4655">
            <v>0</v>
          </cell>
          <cell r="F4655">
            <v>0</v>
          </cell>
          <cell r="H4655">
            <v>4</v>
          </cell>
          <cell r="O4655">
            <v>151598</v>
          </cell>
          <cell r="P4655"/>
          <cell r="Q4655" t="str">
            <v>EST CADEIRA BALI C/BRACO (TABOA TRANCADA NATURAL) TC 270</v>
          </cell>
          <cell r="R4655"/>
          <cell r="S4655"/>
          <cell r="T4655">
            <v>0.55000000000000004</v>
          </cell>
          <cell r="U4655">
            <v>0.6</v>
          </cell>
          <cell r="V4655">
            <v>0.8</v>
          </cell>
          <cell r="W4655">
            <v>0</v>
          </cell>
          <cell r="X4655" t="str">
            <v>EST CADEIRA BALI C/BRACO (TABOA TRANCADA NATURAL) TC 270 - 0,55x0,6x0,8H</v>
          </cell>
          <cell r="Y4655" t="e">
            <v>#VALUE!</v>
          </cell>
          <cell r="Z4655">
            <v>0.35</v>
          </cell>
          <cell r="AA4655" t="e">
            <v>#VALUE!</v>
          </cell>
          <cell r="AB4655"/>
        </row>
        <row r="4656">
          <cell r="C4656">
            <v>0</v>
          </cell>
          <cell r="D4656">
            <v>0</v>
          </cell>
          <cell r="E4656">
            <v>0</v>
          </cell>
          <cell r="F4656">
            <v>0</v>
          </cell>
          <cell r="H4656">
            <v>0</v>
          </cell>
          <cell r="O4656">
            <v>151653</v>
          </cell>
          <cell r="P4656" t="str">
            <v>2014/258-0028-01</v>
          </cell>
          <cell r="Q4656" t="str">
            <v>EST MESA JANTAR SICILIA (TP NOGUEIRA NAT) (BS LC PRETO FSC)</v>
          </cell>
          <cell r="R4656"/>
          <cell r="S4656"/>
          <cell r="T4656">
            <v>2.4</v>
          </cell>
          <cell r="U4656">
            <v>1.1200000000000001</v>
          </cell>
          <cell r="V4656">
            <v>0.76</v>
          </cell>
          <cell r="W4656">
            <v>0</v>
          </cell>
          <cell r="X4656" t="str">
            <v>EST MESA JANTAR SICILIA (TP NOGUEIRA NAT) (BS LC PRETO FSC) - 2,4x1,12x0,76H</v>
          </cell>
          <cell r="Y4656">
            <v>23946.81</v>
          </cell>
          <cell r="Z4656">
            <v>0.5</v>
          </cell>
          <cell r="AA4656">
            <v>11973.405000000001</v>
          </cell>
          <cell r="AB4656"/>
        </row>
        <row r="4657">
          <cell r="C4657">
            <v>0</v>
          </cell>
          <cell r="D4657">
            <v>0</v>
          </cell>
          <cell r="E4657">
            <v>0</v>
          </cell>
          <cell r="F4657">
            <v>0</v>
          </cell>
          <cell r="H4657">
            <v>1</v>
          </cell>
          <cell r="O4657">
            <v>157358</v>
          </cell>
          <cell r="P4657" t="str">
            <v>2014/241-0001-01</v>
          </cell>
          <cell r="Q4657" t="str">
            <v>EST POLTRONA DORA (BAIXA) TC IMPORT DIVINA COR01</v>
          </cell>
          <cell r="R4657"/>
          <cell r="S4657"/>
          <cell r="T4657">
            <v>0.76</v>
          </cell>
          <cell r="U4657">
            <v>0.83</v>
          </cell>
          <cell r="V4657">
            <v>0.7</v>
          </cell>
          <cell r="W4657">
            <v>0</v>
          </cell>
          <cell r="X4657" t="str">
            <v>EST POLTRONA DORA (BAIXA) TC IMPORT DIVINA COR01 - 0,76x0,83x0,7H</v>
          </cell>
          <cell r="Y4657">
            <v>29568</v>
          </cell>
          <cell r="Z4657">
            <v>0</v>
          </cell>
          <cell r="AA4657">
            <v>29568</v>
          </cell>
          <cell r="AB4657"/>
        </row>
        <row r="4658">
          <cell r="C4658">
            <v>0</v>
          </cell>
          <cell r="D4658">
            <v>0</v>
          </cell>
          <cell r="E4658">
            <v>0</v>
          </cell>
          <cell r="F4658">
            <v>0</v>
          </cell>
          <cell r="H4658">
            <v>0</v>
          </cell>
          <cell r="O4658">
            <v>158631</v>
          </cell>
          <cell r="P4658"/>
          <cell r="Q4658" t="str">
            <v>EST MESA CENTRO VIGG (LAMINA NOGUEIRA)</v>
          </cell>
          <cell r="R4658"/>
          <cell r="S4658"/>
          <cell r="T4658">
            <v>1.5</v>
          </cell>
          <cell r="U4658">
            <v>0.3</v>
          </cell>
          <cell r="V4658">
            <v>0.3</v>
          </cell>
          <cell r="W4658">
            <v>0</v>
          </cell>
          <cell r="X4658" t="str">
            <v>EST MESA CENTRO VIGG (LAMINA NOGUEIRA) - 1,5x0,3x0,3H</v>
          </cell>
          <cell r="Y4658">
            <v>7616</v>
          </cell>
          <cell r="Z4658">
            <v>0.5</v>
          </cell>
          <cell r="AA4658">
            <v>3808</v>
          </cell>
          <cell r="AB4658"/>
        </row>
        <row r="4659">
          <cell r="C4659">
            <v>0</v>
          </cell>
          <cell r="D4659">
            <v>0</v>
          </cell>
          <cell r="E4659">
            <v>0</v>
          </cell>
          <cell r="F4659">
            <v>0</v>
          </cell>
          <cell r="H4659">
            <v>1</v>
          </cell>
          <cell r="O4659">
            <v>164403</v>
          </cell>
          <cell r="P4659"/>
          <cell r="Q4659" t="str">
            <v>EST MESA JANTAR JACARAIPE (FREIJO NATURAL)</v>
          </cell>
          <cell r="R4659"/>
          <cell r="S4659"/>
          <cell r="T4659">
            <v>2.2000000000000002</v>
          </cell>
          <cell r="U4659">
            <v>1.07</v>
          </cell>
          <cell r="V4659">
            <v>0.75</v>
          </cell>
          <cell r="W4659">
            <v>0</v>
          </cell>
          <cell r="X4659" t="str">
            <v>EST MESA JANTAR JACARAIPE (FREIJO NATURAL) - 2,2x1,07x0,75H</v>
          </cell>
          <cell r="Y4659">
            <v>0</v>
          </cell>
          <cell r="Z4659">
            <v>0.35</v>
          </cell>
          <cell r="AA4659">
            <v>0</v>
          </cell>
          <cell r="AB4659"/>
        </row>
        <row r="4660">
          <cell r="C4660">
            <v>0</v>
          </cell>
          <cell r="D4660">
            <v>0</v>
          </cell>
          <cell r="E4660">
            <v>0</v>
          </cell>
          <cell r="F4660">
            <v>0</v>
          </cell>
          <cell r="H4660">
            <v>0</v>
          </cell>
          <cell r="O4660">
            <v>174533</v>
          </cell>
          <cell r="P4660"/>
          <cell r="Q4660" t="str">
            <v>EST APARADOR PHOENIX (LACA POLIESTER BRILHO BRANCA)</v>
          </cell>
          <cell r="R4660"/>
          <cell r="S4660"/>
          <cell r="T4660">
            <v>1.2</v>
          </cell>
          <cell r="U4660">
            <v>0.55000000000000004</v>
          </cell>
          <cell r="V4660">
            <v>0.6</v>
          </cell>
          <cell r="W4660">
            <v>0</v>
          </cell>
          <cell r="X4660" t="str">
            <v>EST APARADOR PHOENIX (LACA POLIESTER BRILHO BRANCA) - 1,2x0,55x0,6H</v>
          </cell>
          <cell r="Y4660">
            <v>16025.5</v>
          </cell>
          <cell r="Z4660">
            <v>0.35</v>
          </cell>
          <cell r="AA4660">
            <v>10416.575000000001</v>
          </cell>
          <cell r="AB4660"/>
        </row>
        <row r="4661">
          <cell r="C4661">
            <v>0</v>
          </cell>
          <cell r="D4661">
            <v>0</v>
          </cell>
          <cell r="E4661">
            <v>0</v>
          </cell>
          <cell r="F4661">
            <v>0</v>
          </cell>
          <cell r="H4661">
            <v>1</v>
          </cell>
          <cell r="O4661">
            <v>175269</v>
          </cell>
          <cell r="P4661"/>
          <cell r="Q4661" t="str">
            <v>EST BASE CAVALETE MARISA (MAD A COR 02)</v>
          </cell>
          <cell r="R4661"/>
          <cell r="S4661"/>
          <cell r="T4661">
            <v>1.3</v>
          </cell>
          <cell r="U4661">
            <v>0.65</v>
          </cell>
          <cell r="V4661">
            <v>0.72</v>
          </cell>
          <cell r="W4661">
            <v>0</v>
          </cell>
          <cell r="X4661" t="str">
            <v>EST BASE CAVALETE MARISA (MAD A COR 02) - 1,3x0,65x0,72H</v>
          </cell>
          <cell r="Y4661">
            <v>0</v>
          </cell>
          <cell r="Z4661">
            <v>0.35</v>
          </cell>
          <cell r="AA4661">
            <v>0</v>
          </cell>
          <cell r="AB4661"/>
        </row>
        <row r="4662">
          <cell r="C4662">
            <v>0</v>
          </cell>
          <cell r="D4662">
            <v>0</v>
          </cell>
          <cell r="E4662">
            <v>0</v>
          </cell>
          <cell r="F4662">
            <v>0</v>
          </cell>
          <cell r="H4662">
            <v>1</v>
          </cell>
          <cell r="O4662">
            <v>176688</v>
          </cell>
          <cell r="P4662"/>
          <cell r="Q4662" t="str">
            <v>EST SOFA COZY (C/CP) (IMB) (BIP) TC LINHO 409 NAT/ALM FLOR B</v>
          </cell>
          <cell r="R4662"/>
          <cell r="S4662"/>
          <cell r="T4662">
            <v>3</v>
          </cell>
          <cell r="U4662">
            <v>1.03</v>
          </cell>
          <cell r="V4662">
            <v>0.89</v>
          </cell>
          <cell r="W4662">
            <v>0</v>
          </cell>
          <cell r="X4662" t="str">
            <v>EST SOFA COZY (C/CP) (IMB) (BIP) TC LINHO 409 NAT/ALM FLOR B - 3x1,03x0,89H</v>
          </cell>
          <cell r="Y4662">
            <v>0</v>
          </cell>
          <cell r="Z4662">
            <v>0.35</v>
          </cell>
          <cell r="AA4662">
            <v>0</v>
          </cell>
          <cell r="AB4662"/>
        </row>
        <row r="4663">
          <cell r="C4663">
            <v>0</v>
          </cell>
          <cell r="D4663">
            <v>0</v>
          </cell>
          <cell r="E4663">
            <v>0</v>
          </cell>
          <cell r="F4663">
            <v>0</v>
          </cell>
          <cell r="H4663">
            <v>1</v>
          </cell>
          <cell r="O4663">
            <v>176833</v>
          </cell>
          <cell r="P4663" t="str">
            <v>2015/244-0114-01</v>
          </cell>
          <cell r="Q4663" t="str">
            <v>EST CADEIRA MAIA SMALL (NOGUEIRA) TC G1 T002</v>
          </cell>
          <cell r="R4663"/>
          <cell r="S4663"/>
          <cell r="T4663">
            <v>0.48</v>
          </cell>
          <cell r="U4663">
            <v>0.54</v>
          </cell>
          <cell r="V4663">
            <v>0.87</v>
          </cell>
          <cell r="W4663">
            <v>0</v>
          </cell>
          <cell r="X4663" t="str">
            <v>EST CADEIRA MAIA SMALL (NOGUEIRA) TC G1 T002 - 0,48x0,54x0,87H</v>
          </cell>
          <cell r="Y4663">
            <v>3578.4</v>
          </cell>
          <cell r="Z4663">
            <v>0.5</v>
          </cell>
          <cell r="AA4663">
            <v>1789.2</v>
          </cell>
          <cell r="AB4663"/>
        </row>
        <row r="4664">
          <cell r="C4664">
            <v>0</v>
          </cell>
          <cell r="D4664">
            <v>0</v>
          </cell>
          <cell r="E4664">
            <v>0</v>
          </cell>
          <cell r="F4664">
            <v>0</v>
          </cell>
          <cell r="H4664">
            <v>1</v>
          </cell>
          <cell r="O4664">
            <v>176904</v>
          </cell>
          <cell r="P4664"/>
          <cell r="Q4664" t="str">
            <v>EST BANCO ZANINE X (JEQUITIBA TABACO) TC 244 01722 FLORAL</v>
          </cell>
          <cell r="R4664"/>
          <cell r="S4664"/>
          <cell r="T4664">
            <v>0.46</v>
          </cell>
          <cell r="U4664">
            <v>0.46</v>
          </cell>
          <cell r="V4664">
            <v>0.45</v>
          </cell>
          <cell r="W4664">
            <v>0</v>
          </cell>
          <cell r="X4664" t="str">
            <v>EST BANCO ZANINE X (JEQUITIBA TABACO) TC 244 01722 FLORAL - 0,46x0,46x0,45H</v>
          </cell>
          <cell r="Y4664">
            <v>0</v>
          </cell>
          <cell r="Z4664">
            <v>0.35</v>
          </cell>
          <cell r="AA4664">
            <v>0</v>
          </cell>
          <cell r="AB4664"/>
        </row>
        <row r="4665">
          <cell r="C4665">
            <v>0</v>
          </cell>
          <cell r="D4665">
            <v>0</v>
          </cell>
          <cell r="E4665">
            <v>0</v>
          </cell>
          <cell r="F4665">
            <v>0</v>
          </cell>
          <cell r="H4665">
            <v>1</v>
          </cell>
          <cell r="O4665">
            <v>179054</v>
          </cell>
          <cell r="P4665" t="str">
            <v>2016/022-0153-01</v>
          </cell>
          <cell r="Q4665" t="str">
            <v>EST LUMINARIA LUMIER (NOGUEIRA) (DET LATAO) (CUPULA CRU)</v>
          </cell>
          <cell r="R4665"/>
          <cell r="S4665"/>
          <cell r="T4665">
            <v>0.45</v>
          </cell>
          <cell r="U4665">
            <v>0</v>
          </cell>
          <cell r="V4665">
            <v>1.7</v>
          </cell>
          <cell r="W4665">
            <v>0.45</v>
          </cell>
          <cell r="X4665" t="str">
            <v>EST LUMINARIA LUMIER (NOGUEIRA) (DET LATAO) (CUPULA CRU) - Ø0,45x1,7H</v>
          </cell>
          <cell r="Y4665">
            <v>12544</v>
          </cell>
          <cell r="Z4665">
            <v>0.5</v>
          </cell>
          <cell r="AA4665">
            <v>6272</v>
          </cell>
          <cell r="AB4665"/>
        </row>
        <row r="4666">
          <cell r="C4666">
            <v>0</v>
          </cell>
          <cell r="D4666">
            <v>0</v>
          </cell>
          <cell r="E4666">
            <v>0</v>
          </cell>
          <cell r="F4666">
            <v>0</v>
          </cell>
          <cell r="H4666">
            <v>0</v>
          </cell>
          <cell r="O4666">
            <v>179299</v>
          </cell>
          <cell r="P4666"/>
          <cell r="Q4666" t="str">
            <v>EST TAMPO CRISTAL LAPIDADO (15MM) INCOLOR CANTO TICK</v>
          </cell>
          <cell r="R4666"/>
          <cell r="S4666"/>
          <cell r="T4666">
            <v>2.7</v>
          </cell>
          <cell r="U4666">
            <v>1.2</v>
          </cell>
          <cell r="V4666">
            <v>0.01</v>
          </cell>
          <cell r="W4666">
            <v>0</v>
          </cell>
          <cell r="X4666" t="str">
            <v>EST TAMPO CRISTAL LAPIDADO (15MM) INCOLOR CANTO TICK - 2,7x1,2x0,01H</v>
          </cell>
          <cell r="Y4666" t="e">
            <v>#VALUE!</v>
          </cell>
          <cell r="Z4666">
            <v>0.35</v>
          </cell>
          <cell r="AA4666" t="e">
            <v>#VALUE!</v>
          </cell>
          <cell r="AB4666"/>
        </row>
        <row r="4667">
          <cell r="C4667">
            <v>0</v>
          </cell>
          <cell r="D4667">
            <v>0</v>
          </cell>
          <cell r="E4667">
            <v>0</v>
          </cell>
          <cell r="F4667">
            <v>0</v>
          </cell>
          <cell r="H4667">
            <v>1</v>
          </cell>
          <cell r="O4667">
            <v>182166</v>
          </cell>
          <cell r="P4667" t="str">
            <v>2024/277-0026-01</v>
          </cell>
          <cell r="Q4667" t="str">
            <v>EST SOFA SKY BC DIR C/ESTANATE TAUPE ESQ (CORTEN) TC0004-002</v>
          </cell>
          <cell r="R4667"/>
          <cell r="S4667"/>
          <cell r="T4667">
            <v>3.3</v>
          </cell>
          <cell r="U4667">
            <v>1.05</v>
          </cell>
          <cell r="V4667">
            <v>0.65</v>
          </cell>
          <cell r="W4667">
            <v>0</v>
          </cell>
          <cell r="X4667" t="str">
            <v>EST SOFA SKY BC DIR C/ESTANATE TAUPE ESQ (CORTEN) TC0004-002 - 3,3x1,05x0,65H</v>
          </cell>
          <cell r="Y4667">
            <v>82026.740000000005</v>
          </cell>
          <cell r="Z4667">
            <v>0.5</v>
          </cell>
          <cell r="AA4667">
            <v>41013.370000000003</v>
          </cell>
          <cell r="AB4667"/>
        </row>
        <row r="4668">
          <cell r="C4668">
            <v>0</v>
          </cell>
          <cell r="D4668">
            <v>0</v>
          </cell>
          <cell r="E4668">
            <v>0</v>
          </cell>
          <cell r="F4668">
            <v>0</v>
          </cell>
          <cell r="H4668">
            <v>1</v>
          </cell>
          <cell r="O4668">
            <v>183042</v>
          </cell>
          <cell r="P4668" t="str">
            <v>2015/342-0002-01</v>
          </cell>
          <cell r="Q4668" t="str">
            <v>EST POLTRONA SUITE (BASE INOX) TC LINHO 581</v>
          </cell>
          <cell r="R4668"/>
          <cell r="S4668"/>
          <cell r="T4668">
            <v>1.1000000000000001</v>
          </cell>
          <cell r="U4668">
            <v>0.9</v>
          </cell>
          <cell r="V4668">
            <v>0.7</v>
          </cell>
          <cell r="W4668">
            <v>0</v>
          </cell>
          <cell r="X4668" t="str">
            <v>EST POLTRONA SUITE (BASE INOX) TC LINHO 581 - 1,1x0,9x0,7H</v>
          </cell>
          <cell r="Y4668">
            <v>10686.63</v>
          </cell>
          <cell r="Z4668">
            <v>0</v>
          </cell>
          <cell r="AA4668">
            <v>10686.63</v>
          </cell>
          <cell r="AB4668"/>
        </row>
        <row r="4669">
          <cell r="C4669">
            <v>0</v>
          </cell>
          <cell r="D4669">
            <v>0</v>
          </cell>
          <cell r="E4669">
            <v>0</v>
          </cell>
          <cell r="F4669">
            <v>0</v>
          </cell>
          <cell r="H4669">
            <v>2</v>
          </cell>
          <cell r="O4669">
            <v>183797</v>
          </cell>
          <cell r="P4669" t="str">
            <v>2016/018-0013-01</v>
          </cell>
          <cell r="Q4669" t="str">
            <v>EST CADEIRA MAIA SMALL (NOGUEIRA) TC G1 T012</v>
          </cell>
          <cell r="R4669"/>
          <cell r="S4669"/>
          <cell r="T4669">
            <v>0.48</v>
          </cell>
          <cell r="U4669">
            <v>0.54</v>
          </cell>
          <cell r="V4669">
            <v>0.87</v>
          </cell>
          <cell r="W4669">
            <v>0</v>
          </cell>
          <cell r="X4669" t="str">
            <v>EST CADEIRA MAIA SMALL (NOGUEIRA) TC G1 T012 - 0,48x0,54x0,87H</v>
          </cell>
          <cell r="Y4669">
            <v>3578.4</v>
          </cell>
          <cell r="Z4669">
            <v>0.5</v>
          </cell>
          <cell r="AA4669">
            <v>1789.2</v>
          </cell>
          <cell r="AB4669"/>
        </row>
        <row r="4670">
          <cell r="C4670">
            <v>0</v>
          </cell>
          <cell r="D4670">
            <v>0</v>
          </cell>
          <cell r="E4670">
            <v>0</v>
          </cell>
          <cell r="F4670">
            <v>0</v>
          </cell>
          <cell r="H4670">
            <v>2</v>
          </cell>
          <cell r="O4670">
            <v>183797</v>
          </cell>
          <cell r="P4670" t="str">
            <v>2016/018-0014-01</v>
          </cell>
          <cell r="Q4670" t="str">
            <v>EST CADEIRA MAIA SMALL (NOGUEIRA) TC G1 T012</v>
          </cell>
          <cell r="R4670"/>
          <cell r="S4670"/>
          <cell r="T4670">
            <v>0.48</v>
          </cell>
          <cell r="U4670">
            <v>0.54</v>
          </cell>
          <cell r="V4670">
            <v>0.87</v>
          </cell>
          <cell r="W4670">
            <v>0</v>
          </cell>
          <cell r="X4670" t="str">
            <v>EST CADEIRA MAIA SMALL (NOGUEIRA) TC G1 T012 - 0,48x0,54x0,87H</v>
          </cell>
          <cell r="Y4670">
            <v>3578.4</v>
          </cell>
          <cell r="Z4670">
            <v>0.5</v>
          </cell>
          <cell r="AA4670">
            <v>1789.2</v>
          </cell>
          <cell r="AB4670"/>
        </row>
        <row r="4671">
          <cell r="C4671">
            <v>0</v>
          </cell>
          <cell r="D4671">
            <v>0</v>
          </cell>
          <cell r="E4671">
            <v>0</v>
          </cell>
          <cell r="F4671">
            <v>0</v>
          </cell>
          <cell r="H4671">
            <v>1</v>
          </cell>
          <cell r="O4671">
            <v>183816</v>
          </cell>
          <cell r="P4671"/>
          <cell r="Q4671" t="str">
            <v>EST COMPONENTE FUTTON BANCO CLARICE (TC TA 200007)</v>
          </cell>
          <cell r="R4671"/>
          <cell r="S4671"/>
          <cell r="T4671">
            <v>2.4700000000000002</v>
          </cell>
          <cell r="U4671">
            <v>0.46</v>
          </cell>
          <cell r="V4671">
            <v>7.0000000000000007E-2</v>
          </cell>
          <cell r="W4671">
            <v>0</v>
          </cell>
          <cell r="X4671" t="str">
            <v>EST COMPONENTE FUTTON BANCO CLARICE (TC TA 200007) - 2,47x0,46x0,07H</v>
          </cell>
          <cell r="Y4671" t="e">
            <v>#VALUE!</v>
          </cell>
          <cell r="Z4671">
            <v>0.35</v>
          </cell>
          <cell r="AA4671" t="e">
            <v>#VALUE!</v>
          </cell>
          <cell r="AB4671"/>
        </row>
        <row r="4672">
          <cell r="C4672">
            <v>0</v>
          </cell>
          <cell r="D4672">
            <v>0</v>
          </cell>
          <cell r="E4672">
            <v>0</v>
          </cell>
          <cell r="F4672">
            <v>0</v>
          </cell>
          <cell r="H4672">
            <v>1</v>
          </cell>
          <cell r="O4672">
            <v>185350</v>
          </cell>
          <cell r="P4672" t="str">
            <v>2016/109-0089-01</v>
          </cell>
          <cell r="Q4672" t="str">
            <v>EST SOFA CLASS (BIPARTIDO) TC MOBILITY TRIBAL GREY</v>
          </cell>
          <cell r="R4672"/>
          <cell r="S4672"/>
          <cell r="T4672">
            <v>3</v>
          </cell>
          <cell r="U4672">
            <v>0.98</v>
          </cell>
          <cell r="V4672">
            <v>0.83</v>
          </cell>
          <cell r="W4672">
            <v>0</v>
          </cell>
          <cell r="X4672" t="str">
            <v>EST SOFA CLASS (BIPARTIDO) TC MOBILITY TRIBAL GREY - 3x0,98x0,83H</v>
          </cell>
          <cell r="Y4672">
            <v>39320.06</v>
          </cell>
          <cell r="Z4672">
            <v>0</v>
          </cell>
          <cell r="AA4672">
            <v>39320.06</v>
          </cell>
          <cell r="AB4672"/>
        </row>
        <row r="4673">
          <cell r="C4673">
            <v>0</v>
          </cell>
          <cell r="D4673">
            <v>0</v>
          </cell>
          <cell r="E4673">
            <v>0</v>
          </cell>
          <cell r="F4673">
            <v>0</v>
          </cell>
          <cell r="H4673">
            <v>1</v>
          </cell>
          <cell r="O4673">
            <v>186064</v>
          </cell>
          <cell r="P4673" t="str">
            <v>2016/217-0005-01</v>
          </cell>
          <cell r="Q4673" t="str">
            <v>EST SOFA ZEUS (TC E5010 MOSTARDA)</v>
          </cell>
          <cell r="R4673"/>
          <cell r="S4673"/>
          <cell r="T4673">
            <v>1.9</v>
          </cell>
          <cell r="U4673">
            <v>1.02</v>
          </cell>
          <cell r="V4673">
            <v>0.94</v>
          </cell>
          <cell r="W4673">
            <v>0</v>
          </cell>
          <cell r="X4673" t="str">
            <v>EST SOFA ZEUS (TC E5010 MOSTARDA) - 1,9x1,02x0,94H</v>
          </cell>
          <cell r="Y4673">
            <v>22400</v>
          </cell>
          <cell r="Z4673">
            <v>0.5</v>
          </cell>
          <cell r="AA4673">
            <v>11200</v>
          </cell>
          <cell r="AB4673"/>
        </row>
        <row r="4674">
          <cell r="C4674">
            <v>0</v>
          </cell>
          <cell r="D4674">
            <v>0</v>
          </cell>
          <cell r="E4674">
            <v>0</v>
          </cell>
          <cell r="F4674">
            <v>0</v>
          </cell>
          <cell r="H4674">
            <v>0</v>
          </cell>
          <cell r="O4674">
            <v>191233</v>
          </cell>
          <cell r="P4674" t="str">
            <v>2016/175-0063-01</v>
          </cell>
          <cell r="Q4674" t="str">
            <v>EST MESA CENTRO DINN (LAMINA NOGUEIRA)</v>
          </cell>
          <cell r="R4674"/>
          <cell r="S4674"/>
          <cell r="T4674">
            <v>1.8</v>
          </cell>
          <cell r="U4674">
            <v>0.8</v>
          </cell>
          <cell r="V4674">
            <v>0.25</v>
          </cell>
          <cell r="W4674">
            <v>0</v>
          </cell>
          <cell r="X4674" t="str">
            <v>EST MESA CENTRO DINN (LAMINA NOGUEIRA) - 1,8x0,8x0,25H</v>
          </cell>
          <cell r="Y4674">
            <v>17973.759999999998</v>
          </cell>
          <cell r="Z4674">
            <v>0.5</v>
          </cell>
          <cell r="AA4674">
            <v>8986.8799999999992</v>
          </cell>
          <cell r="AB4674"/>
        </row>
        <row r="4675">
          <cell r="C4675">
            <v>0</v>
          </cell>
          <cell r="D4675">
            <v>0</v>
          </cell>
          <cell r="E4675">
            <v>0</v>
          </cell>
          <cell r="F4675">
            <v>0</v>
          </cell>
          <cell r="H4675">
            <v>2</v>
          </cell>
          <cell r="O4675">
            <v>191239</v>
          </cell>
          <cell r="P4675" t="str">
            <v>2016/175-0069-01</v>
          </cell>
          <cell r="Q4675" t="str">
            <v>EST PUFF CHEIG (INTERNO REVESTIDO TC VCANDY COTON MINK #06)</v>
          </cell>
          <cell r="R4675"/>
          <cell r="S4675"/>
          <cell r="T4675">
            <v>0.75</v>
          </cell>
          <cell r="U4675">
            <v>0.5</v>
          </cell>
          <cell r="V4675">
            <v>0.45</v>
          </cell>
          <cell r="W4675">
            <v>0</v>
          </cell>
          <cell r="X4675" t="str">
            <v>EST PUFF CHEIG (INTERNO REVESTIDO TC VCANDY COTON MINK #06) - 0,75x0,5x0,45H</v>
          </cell>
          <cell r="Y4675">
            <v>10407.49</v>
          </cell>
          <cell r="Z4675">
            <v>0.5</v>
          </cell>
          <cell r="AA4675">
            <v>5203.7449999999999</v>
          </cell>
          <cell r="AB4675"/>
        </row>
        <row r="4676">
          <cell r="C4676">
            <v>0</v>
          </cell>
          <cell r="D4676">
            <v>0</v>
          </cell>
          <cell r="E4676">
            <v>0</v>
          </cell>
          <cell r="F4676">
            <v>0</v>
          </cell>
          <cell r="H4676">
            <v>2</v>
          </cell>
          <cell r="O4676">
            <v>191239</v>
          </cell>
          <cell r="P4676" t="str">
            <v>2016/175-0070-01</v>
          </cell>
          <cell r="Q4676" t="str">
            <v>EST PUFF CHEIG (INTERNO REVESTIDO TC VCANDY COTON MINK #06)</v>
          </cell>
          <cell r="R4676"/>
          <cell r="S4676"/>
          <cell r="T4676">
            <v>0.75</v>
          </cell>
          <cell r="U4676">
            <v>0.5</v>
          </cell>
          <cell r="V4676">
            <v>0.45</v>
          </cell>
          <cell r="W4676">
            <v>0</v>
          </cell>
          <cell r="X4676" t="str">
            <v>EST PUFF CHEIG (INTERNO REVESTIDO TC VCANDY COTON MINK #06) - 0,75x0,5x0,45H</v>
          </cell>
          <cell r="Y4676">
            <v>10407.49</v>
          </cell>
          <cell r="Z4676">
            <v>0.5</v>
          </cell>
          <cell r="AA4676">
            <v>5203.7449999999999</v>
          </cell>
          <cell r="AB4676"/>
        </row>
        <row r="4677">
          <cell r="C4677">
            <v>0</v>
          </cell>
          <cell r="D4677">
            <v>0</v>
          </cell>
          <cell r="E4677">
            <v>0</v>
          </cell>
          <cell r="F4677">
            <v>0</v>
          </cell>
          <cell r="H4677">
            <v>0</v>
          </cell>
          <cell r="O4677">
            <v>191267</v>
          </cell>
          <cell r="P4677" t="str">
            <v>2017/333-0022-01</v>
          </cell>
          <cell r="Q4677" t="str">
            <v>EST MESA LATERAL VILLE MOD1 (NERO MARQUINA) (PTO FSC)</v>
          </cell>
          <cell r="R4677"/>
          <cell r="S4677"/>
          <cell r="T4677">
            <v>0.7</v>
          </cell>
          <cell r="U4677">
            <v>0</v>
          </cell>
          <cell r="V4677">
            <v>0.7</v>
          </cell>
          <cell r="W4677">
            <v>0.7</v>
          </cell>
          <cell r="X4677" t="str">
            <v>EST MESA LATERAL VILLE MOD1 (NERO MARQUINA) (PTO FSC) - Ø0,7x0,7H</v>
          </cell>
          <cell r="Y4677">
            <v>14070.92</v>
          </cell>
          <cell r="Z4677">
            <v>0</v>
          </cell>
          <cell r="AA4677">
            <v>14070.92</v>
          </cell>
          <cell r="AB4677"/>
        </row>
        <row r="4678">
          <cell r="C4678">
            <v>0</v>
          </cell>
          <cell r="D4678">
            <v>0</v>
          </cell>
          <cell r="E4678">
            <v>0</v>
          </cell>
          <cell r="F4678">
            <v>0</v>
          </cell>
          <cell r="H4678">
            <v>0</v>
          </cell>
          <cell r="O4678">
            <v>191267</v>
          </cell>
          <cell r="P4678" t="str">
            <v>2017/333-0021-01</v>
          </cell>
          <cell r="Q4678" t="str">
            <v>EST MESA LATERAL VILLE MOD1 (NERO MARQUINA) (PTO FSC)</v>
          </cell>
          <cell r="R4678"/>
          <cell r="S4678"/>
          <cell r="T4678">
            <v>0.7</v>
          </cell>
          <cell r="U4678">
            <v>0</v>
          </cell>
          <cell r="V4678">
            <v>0.7</v>
          </cell>
          <cell r="W4678">
            <v>0.7</v>
          </cell>
          <cell r="X4678" t="str">
            <v>EST MESA LATERAL VILLE MOD1 (NERO MARQUINA) (PTO FSC) - Ø0,7x0,7H</v>
          </cell>
          <cell r="Y4678">
            <v>17024</v>
          </cell>
          <cell r="Z4678">
            <v>0.5</v>
          </cell>
          <cell r="AA4678">
            <v>8512</v>
          </cell>
          <cell r="AB4678"/>
        </row>
        <row r="4679">
          <cell r="C4679">
            <v>0</v>
          </cell>
          <cell r="D4679">
            <v>0</v>
          </cell>
          <cell r="E4679">
            <v>0</v>
          </cell>
          <cell r="F4679">
            <v>0</v>
          </cell>
          <cell r="H4679">
            <v>1</v>
          </cell>
          <cell r="O4679">
            <v>195623</v>
          </cell>
          <cell r="P4679"/>
          <cell r="Q4679" t="str">
            <v>EST MESA LATERAL ZE (FREIJO NATURAL)</v>
          </cell>
          <cell r="R4679"/>
          <cell r="S4679"/>
          <cell r="T4679">
            <v>0.6</v>
          </cell>
          <cell r="U4679">
            <v>0.6</v>
          </cell>
          <cell r="V4679">
            <v>0.57999999999999996</v>
          </cell>
          <cell r="W4679">
            <v>0</v>
          </cell>
          <cell r="X4679" t="str">
            <v>EST MESA LATERAL ZE (FREIJO NATURAL) - 0,6x0,6x0,58H</v>
          </cell>
          <cell r="Y4679">
            <v>0</v>
          </cell>
          <cell r="Z4679">
            <v>0.35</v>
          </cell>
          <cell r="AA4679">
            <v>0</v>
          </cell>
          <cell r="AB4679"/>
        </row>
        <row r="4680">
          <cell r="C4680">
            <v>0</v>
          </cell>
          <cell r="D4680">
            <v>0</v>
          </cell>
          <cell r="E4680">
            <v>0</v>
          </cell>
          <cell r="F4680">
            <v>0</v>
          </cell>
          <cell r="H4680">
            <v>1</v>
          </cell>
          <cell r="O4680">
            <v>195630</v>
          </cell>
          <cell r="P4680"/>
          <cell r="Q4680" t="str">
            <v>EST REVISTEIRO NINI (FREIJO EBANIZADO)</v>
          </cell>
          <cell r="R4680"/>
          <cell r="S4680"/>
          <cell r="T4680">
            <v>0.43</v>
          </cell>
          <cell r="U4680">
            <v>0.5</v>
          </cell>
          <cell r="V4680">
            <v>0.5</v>
          </cell>
          <cell r="W4680">
            <v>0</v>
          </cell>
          <cell r="X4680" t="str">
            <v>EST REVISTEIRO NINI (FREIJO EBANIZADO) - 0,43x0,5x0,5H</v>
          </cell>
          <cell r="Y4680">
            <v>0</v>
          </cell>
          <cell r="Z4680">
            <v>0.35</v>
          </cell>
          <cell r="AA4680">
            <v>0</v>
          </cell>
          <cell r="AB4680"/>
        </row>
        <row r="4681">
          <cell r="C4681">
            <v>0</v>
          </cell>
          <cell r="D4681">
            <v>0</v>
          </cell>
          <cell r="E4681">
            <v>0</v>
          </cell>
          <cell r="F4681">
            <v>0</v>
          </cell>
          <cell r="H4681">
            <v>1</v>
          </cell>
          <cell r="O4681">
            <v>200615</v>
          </cell>
          <cell r="P4681"/>
          <cell r="Q4681" t="str">
            <v>EST MESA JANTAR MAIS (JEQUITIBA NT) (CENTRO EBANIZADO)</v>
          </cell>
          <cell r="R4681"/>
          <cell r="S4681"/>
          <cell r="T4681">
            <v>3.05</v>
          </cell>
          <cell r="U4681">
            <v>1</v>
          </cell>
          <cell r="V4681">
            <v>0.75</v>
          </cell>
          <cell r="W4681">
            <v>0</v>
          </cell>
          <cell r="X4681" t="str">
            <v>EST MESA JANTAR MAIS (JEQUITIBA NT) (CENTRO EBANIZADO) - 3,05x1x0,75H</v>
          </cell>
          <cell r="Y4681">
            <v>0</v>
          </cell>
          <cell r="Z4681">
            <v>0.35</v>
          </cell>
          <cell r="AA4681">
            <v>0</v>
          </cell>
          <cell r="AB4681"/>
        </row>
        <row r="4682">
          <cell r="C4682">
            <v>0</v>
          </cell>
          <cell r="D4682">
            <v>0</v>
          </cell>
          <cell r="E4682">
            <v>0</v>
          </cell>
          <cell r="F4682">
            <v>0</v>
          </cell>
          <cell r="H4682">
            <v>1</v>
          </cell>
          <cell r="O4682">
            <v>203384</v>
          </cell>
          <cell r="P4682" t="str">
            <v>2016/277-0247-01</v>
          </cell>
          <cell r="Q4682" t="str">
            <v>EST MESA CENTRO LEVE (INOX ACET) PORCELATO STEEL CORTEN</v>
          </cell>
          <cell r="R4682"/>
          <cell r="S4682"/>
          <cell r="T4682">
            <v>1.2</v>
          </cell>
          <cell r="U4682">
            <v>0.6</v>
          </cell>
          <cell r="V4682">
            <v>0.3</v>
          </cell>
          <cell r="W4682">
            <v>0</v>
          </cell>
          <cell r="X4682" t="str">
            <v>EST MESA CENTRO LEVE (INOX ACET) PORCELATO STEEL CORTEN - 1,2x0,6x0,3H</v>
          </cell>
          <cell r="Y4682">
            <v>10625</v>
          </cell>
          <cell r="Z4682">
            <v>0</v>
          </cell>
          <cell r="AA4682">
            <v>10625</v>
          </cell>
          <cell r="AB4682"/>
        </row>
        <row r="4683">
          <cell r="C4683">
            <v>0</v>
          </cell>
          <cell r="D4683">
            <v>0</v>
          </cell>
          <cell r="E4683">
            <v>0</v>
          </cell>
          <cell r="F4683">
            <v>0</v>
          </cell>
          <cell r="H4683">
            <v>3</v>
          </cell>
          <cell r="O4683">
            <v>204387</v>
          </cell>
          <cell r="P4683"/>
          <cell r="Q4683" t="str">
            <v>EST MESA LATERAL CAE (FREIJO NATURAL)</v>
          </cell>
          <cell r="R4683"/>
          <cell r="S4683"/>
          <cell r="T4683">
            <v>0.8</v>
          </cell>
          <cell r="U4683">
            <v>0.54</v>
          </cell>
          <cell r="V4683">
            <v>0.52</v>
          </cell>
          <cell r="W4683">
            <v>0</v>
          </cell>
          <cell r="X4683" t="str">
            <v>EST MESA LATERAL CAE (FREIJO NATURAL) - 0,8x0,54x0,52H</v>
          </cell>
          <cell r="Y4683">
            <v>0</v>
          </cell>
          <cell r="Z4683">
            <v>0.35</v>
          </cell>
          <cell r="AA4683">
            <v>0</v>
          </cell>
          <cell r="AB4683"/>
        </row>
        <row r="4684">
          <cell r="C4684">
            <v>0</v>
          </cell>
          <cell r="D4684">
            <v>0</v>
          </cell>
          <cell r="E4684">
            <v>0</v>
          </cell>
          <cell r="F4684">
            <v>0</v>
          </cell>
          <cell r="H4684">
            <v>0</v>
          </cell>
          <cell r="O4684">
            <v>204524</v>
          </cell>
          <cell r="P4684" t="str">
            <v>2016/321-0045-01</v>
          </cell>
          <cell r="Q4684" t="str">
            <v>EST MESA LATERAL BASILICA CARV NAT/TP LC BRIL BRANCO</v>
          </cell>
          <cell r="R4684"/>
          <cell r="S4684"/>
          <cell r="T4684">
            <v>0.25</v>
          </cell>
          <cell r="U4684">
            <v>0</v>
          </cell>
          <cell r="V4684">
            <v>0.48</v>
          </cell>
          <cell r="W4684">
            <v>0.25</v>
          </cell>
          <cell r="X4684" t="str">
            <v>EST MESA LATERAL BASILICA CARV NAT/TP LC BRIL BRANCO - Ø0,25x0,48H</v>
          </cell>
          <cell r="Y4684">
            <v>2333.1799999999998</v>
          </cell>
          <cell r="Z4684">
            <v>0.35</v>
          </cell>
          <cell r="AA4684">
            <v>1516.567</v>
          </cell>
          <cell r="AB4684"/>
        </row>
        <row r="4685">
          <cell r="C4685">
            <v>0</v>
          </cell>
          <cell r="D4685">
            <v>1</v>
          </cell>
          <cell r="E4685">
            <v>0</v>
          </cell>
          <cell r="F4685">
            <v>0</v>
          </cell>
          <cell r="H4685">
            <v>0</v>
          </cell>
          <cell r="O4685">
            <v>206605</v>
          </cell>
          <cell r="P4685" t="str">
            <v>2020/276-0122-01</v>
          </cell>
          <cell r="Q4685" t="str">
            <v>EST MESA CENTRO LEED H26 (LAMINA CARV ESTONADO) (S/VIDRO)</v>
          </cell>
          <cell r="R4685"/>
          <cell r="S4685"/>
          <cell r="T4685">
            <v>2</v>
          </cell>
          <cell r="U4685">
            <v>0.7</v>
          </cell>
          <cell r="V4685">
            <v>0.26</v>
          </cell>
          <cell r="W4685">
            <v>0</v>
          </cell>
          <cell r="X4685" t="str">
            <v>EST MESA CENTRO LEED H26 (LAMINA CARV ESTONADO) (S/VIDRO) - 2x0,7x0,26H</v>
          </cell>
          <cell r="Y4685">
            <v>24933.75</v>
          </cell>
          <cell r="Z4685">
            <v>0.5</v>
          </cell>
          <cell r="AA4685">
            <v>12466.875</v>
          </cell>
          <cell r="AB4685"/>
        </row>
        <row r="4686">
          <cell r="C4686">
            <v>0</v>
          </cell>
          <cell r="D4686">
            <v>0</v>
          </cell>
          <cell r="E4686">
            <v>0</v>
          </cell>
          <cell r="F4686">
            <v>0</v>
          </cell>
          <cell r="H4686">
            <v>0</v>
          </cell>
          <cell r="O4686">
            <v>210388</v>
          </cell>
          <cell r="P4686" t="str">
            <v>2017/187-0026-01</v>
          </cell>
          <cell r="Q4686" t="str">
            <v>EST BANQUETA BAR ZIG C/B (MISTA 520A/TELA SXT NT) NATURAL</v>
          </cell>
          <cell r="R4686"/>
          <cell r="S4686"/>
          <cell r="T4686">
            <v>0.53</v>
          </cell>
          <cell r="U4686">
            <v>0.54</v>
          </cell>
          <cell r="V4686">
            <v>1.05</v>
          </cell>
          <cell r="W4686">
            <v>0</v>
          </cell>
          <cell r="X4686" t="str">
            <v>EST BANQUETA BAR ZIG C/B (MISTA 520A/TELA SXT NT) NATURAL - 0,53x0,54x1,05H</v>
          </cell>
          <cell r="Y4686">
            <v>4829.8900000000003</v>
          </cell>
          <cell r="Z4686">
            <v>0.5</v>
          </cell>
          <cell r="AA4686">
            <v>2414.9450000000002</v>
          </cell>
          <cell r="AB4686"/>
        </row>
        <row r="4687">
          <cell r="C4687">
            <v>0</v>
          </cell>
          <cell r="D4687">
            <v>0</v>
          </cell>
          <cell r="E4687">
            <v>0</v>
          </cell>
          <cell r="F4687">
            <v>0</v>
          </cell>
          <cell r="H4687">
            <v>1</v>
          </cell>
          <cell r="O4687">
            <v>210389</v>
          </cell>
          <cell r="P4687" t="str">
            <v>2017/187-0027-01</v>
          </cell>
          <cell r="Q4687" t="str">
            <v>EST BANQUETA BAR ZIG (MISTA 520A/TELA SXT NT) NATURAL</v>
          </cell>
          <cell r="R4687"/>
          <cell r="S4687"/>
          <cell r="T4687">
            <v>0.5</v>
          </cell>
          <cell r="U4687">
            <v>0.51</v>
          </cell>
          <cell r="V4687">
            <v>1.05</v>
          </cell>
          <cell r="W4687">
            <v>0</v>
          </cell>
          <cell r="X4687" t="str">
            <v>EST BANQUETA BAR ZIG (MISTA 520A/TELA SXT NT) NATURAL - 0,5x0,51x1,05H</v>
          </cell>
          <cell r="Y4687">
            <v>4336.6400000000003</v>
          </cell>
          <cell r="Z4687">
            <v>0.5</v>
          </cell>
          <cell r="AA4687">
            <v>2168.3200000000002</v>
          </cell>
          <cell r="AB4687"/>
        </row>
        <row r="4688">
          <cell r="C4688">
            <v>0</v>
          </cell>
          <cell r="D4688">
            <v>0</v>
          </cell>
          <cell r="E4688">
            <v>0</v>
          </cell>
          <cell r="F4688">
            <v>0</v>
          </cell>
          <cell r="H4688">
            <v>0</v>
          </cell>
          <cell r="O4688">
            <v>210438</v>
          </cell>
          <cell r="P4688" t="str">
            <v>2017/181-0069-01</v>
          </cell>
          <cell r="Q4688" t="str">
            <v>EST MESA LATERAL DUOMO (LACA BRILHO BRANCA)</v>
          </cell>
          <cell r="R4688"/>
          <cell r="S4688"/>
          <cell r="T4688">
            <v>0.5</v>
          </cell>
          <cell r="U4688">
            <v>0</v>
          </cell>
          <cell r="V4688">
            <v>0.5</v>
          </cell>
          <cell r="W4688">
            <v>0.5</v>
          </cell>
          <cell r="X4688" t="str">
            <v>EST MESA LATERAL DUOMO (LACA BRILHO BRANCA) - Ø0,5x0,5H</v>
          </cell>
          <cell r="Y4688">
            <v>10214.4</v>
          </cell>
          <cell r="Z4688">
            <v>0.5</v>
          </cell>
          <cell r="AA4688">
            <v>5107.2</v>
          </cell>
          <cell r="AB4688"/>
        </row>
        <row r="4689">
          <cell r="C4689">
            <v>0</v>
          </cell>
          <cell r="D4689">
            <v>0</v>
          </cell>
          <cell r="E4689">
            <v>0</v>
          </cell>
          <cell r="F4689">
            <v>0</v>
          </cell>
          <cell r="H4689">
            <v>1</v>
          </cell>
          <cell r="O4689">
            <v>212966</v>
          </cell>
          <cell r="P4689"/>
          <cell r="Q4689" t="str">
            <v>EST MESA JANTAR OBLONGO (CABREUVA) ALTERNADO PTO FSC</v>
          </cell>
          <cell r="R4689"/>
          <cell r="S4689"/>
          <cell r="T4689">
            <v>3</v>
          </cell>
          <cell r="U4689">
            <v>1.1000000000000001</v>
          </cell>
          <cell r="V4689">
            <v>0.74</v>
          </cell>
          <cell r="W4689">
            <v>0</v>
          </cell>
          <cell r="X4689" t="str">
            <v>EST MESA JANTAR OBLONGO (CABREUVA) ALTERNADO PTO FSC - 3x1,1x0,74H</v>
          </cell>
          <cell r="Y4689">
            <v>0</v>
          </cell>
          <cell r="Z4689">
            <v>0.35</v>
          </cell>
          <cell r="AA4689">
            <v>0</v>
          </cell>
          <cell r="AB4689"/>
        </row>
        <row r="4690">
          <cell r="C4690">
            <v>0</v>
          </cell>
          <cell r="D4690">
            <v>0</v>
          </cell>
          <cell r="E4690">
            <v>0</v>
          </cell>
          <cell r="F4690">
            <v>0</v>
          </cell>
          <cell r="H4690">
            <v>1</v>
          </cell>
          <cell r="O4690">
            <v>214325</v>
          </cell>
          <cell r="P4690" t="str">
            <v>2017/164-0166-01</v>
          </cell>
          <cell r="Q4690" t="str">
            <v>EST MESA LATERAL HOOP (RESINA BRANCA) (PES INOX)</v>
          </cell>
          <cell r="R4690"/>
          <cell r="S4690"/>
          <cell r="T4690">
            <v>0.6</v>
          </cell>
          <cell r="U4690">
            <v>0.4</v>
          </cell>
          <cell r="V4690">
            <v>0.4</v>
          </cell>
          <cell r="W4690">
            <v>0</v>
          </cell>
          <cell r="X4690" t="str">
            <v>EST MESA LATERAL HOOP (RESINA BRANCA) (PES INOX) - 0,6x0,4x0,4H</v>
          </cell>
          <cell r="Y4690">
            <v>15926.66</v>
          </cell>
          <cell r="Z4690">
            <v>0</v>
          </cell>
          <cell r="AA4690">
            <v>15926.66</v>
          </cell>
          <cell r="AB4690"/>
        </row>
        <row r="4691">
          <cell r="C4691">
            <v>0</v>
          </cell>
          <cell r="D4691">
            <v>0</v>
          </cell>
          <cell r="E4691">
            <v>0</v>
          </cell>
          <cell r="F4691">
            <v>0</v>
          </cell>
          <cell r="H4691">
            <v>2</v>
          </cell>
          <cell r="O4691">
            <v>217306</v>
          </cell>
          <cell r="P4691" t="str">
            <v>2017/292-0008-01</v>
          </cell>
          <cell r="Q4691" t="str">
            <v>EST CADEIRA MAIA SMALL (M005) TC T002</v>
          </cell>
          <cell r="R4691"/>
          <cell r="S4691"/>
          <cell r="T4691">
            <v>0.48</v>
          </cell>
          <cell r="U4691">
            <v>0.45</v>
          </cell>
          <cell r="V4691">
            <v>0.87</v>
          </cell>
          <cell r="W4691">
            <v>0</v>
          </cell>
          <cell r="X4691" t="str">
            <v>EST CADEIRA MAIA SMALL (M005) TC T002 - 0,48x0,45x0,87H</v>
          </cell>
          <cell r="Y4691">
            <v>3578.4</v>
          </cell>
          <cell r="Z4691">
            <v>0.35</v>
          </cell>
          <cell r="AA4691">
            <v>2325.96</v>
          </cell>
          <cell r="AB4691"/>
        </row>
        <row r="4692">
          <cell r="C4692">
            <v>0</v>
          </cell>
          <cell r="D4692">
            <v>0</v>
          </cell>
          <cell r="E4692">
            <v>0</v>
          </cell>
          <cell r="F4692">
            <v>0</v>
          </cell>
          <cell r="H4692">
            <v>1</v>
          </cell>
          <cell r="O4692">
            <v>217632</v>
          </cell>
          <cell r="P4692"/>
          <cell r="Q4692" t="str">
            <v>EST MESA LATERAL MAIS (C/ABAS) (FREIJO ESC) (GRANITO VERDE)</v>
          </cell>
          <cell r="R4692"/>
          <cell r="S4692"/>
          <cell r="T4692">
            <v>0.83</v>
          </cell>
          <cell r="U4692">
            <v>0.49</v>
          </cell>
          <cell r="V4692">
            <v>0.5</v>
          </cell>
          <cell r="W4692">
            <v>0</v>
          </cell>
          <cell r="X4692" t="str">
            <v>EST MESA LATERAL MAIS (C/ABAS) (FREIJO ESC) (GRANITO VERDE) - 0,83x0,49x0,5H</v>
          </cell>
          <cell r="Y4692">
            <v>0</v>
          </cell>
          <cell r="Z4692">
            <v>0.35</v>
          </cell>
          <cell r="AA4692">
            <v>0</v>
          </cell>
          <cell r="AB4692"/>
        </row>
        <row r="4693">
          <cell r="C4693">
            <v>0</v>
          </cell>
          <cell r="D4693">
            <v>0</v>
          </cell>
          <cell r="E4693">
            <v>0</v>
          </cell>
          <cell r="F4693">
            <v>0</v>
          </cell>
          <cell r="H4693">
            <v>1</v>
          </cell>
          <cell r="O4693">
            <v>219074</v>
          </cell>
          <cell r="P4693" t="str">
            <v>2018/029-0076-01</v>
          </cell>
          <cell r="Q4693" t="str">
            <v>EST MESA LATERAL IPANEMA (CINAMOMO CASTANHO C/CRISTAL PRETO)</v>
          </cell>
          <cell r="R4693"/>
          <cell r="S4693"/>
          <cell r="T4693">
            <v>0.77</v>
          </cell>
          <cell r="U4693">
            <v>0</v>
          </cell>
          <cell r="V4693">
            <v>0.7</v>
          </cell>
          <cell r="W4693">
            <v>0</v>
          </cell>
          <cell r="X4693" t="str">
            <v>EST MESA LATERAL IPANEMA (CINAMOMO CASTANHO C/CRISTAL PRETO) - Ø0x0,7H</v>
          </cell>
          <cell r="Y4693">
            <v>7235.02</v>
          </cell>
          <cell r="Z4693">
            <v>0.5</v>
          </cell>
          <cell r="AA4693">
            <v>3617.51</v>
          </cell>
          <cell r="AB4693"/>
        </row>
        <row r="4694">
          <cell r="C4694">
            <v>0</v>
          </cell>
          <cell r="D4694">
            <v>0</v>
          </cell>
          <cell r="E4694">
            <v>0</v>
          </cell>
          <cell r="F4694">
            <v>0</v>
          </cell>
          <cell r="H4694">
            <v>1</v>
          </cell>
          <cell r="O4694">
            <v>222691</v>
          </cell>
          <cell r="P4694"/>
          <cell r="Q4694" t="str">
            <v>EST BANQUETA VRONKA (MAD B COR 05) TC EL MEDA GREY</v>
          </cell>
          <cell r="R4694"/>
          <cell r="S4694"/>
          <cell r="T4694">
            <v>0.74</v>
          </cell>
          <cell r="U4694">
            <v>0.52</v>
          </cell>
          <cell r="V4694">
            <v>0.42</v>
          </cell>
          <cell r="W4694">
            <v>0</v>
          </cell>
          <cell r="X4694" t="str">
            <v>EST BANQUETA VRONKA (MAD B COR 05) TC EL MEDA GREY - 0,74x0,52x0,42H</v>
          </cell>
          <cell r="Y4694">
            <v>0</v>
          </cell>
          <cell r="Z4694">
            <v>0.35</v>
          </cell>
          <cell r="AA4694">
            <v>0</v>
          </cell>
          <cell r="AB4694"/>
        </row>
        <row r="4695">
          <cell r="C4695">
            <v>0</v>
          </cell>
          <cell r="D4695">
            <v>0</v>
          </cell>
          <cell r="E4695">
            <v>0</v>
          </cell>
          <cell r="F4695">
            <v>0</v>
          </cell>
          <cell r="H4695">
            <v>1</v>
          </cell>
          <cell r="O4695">
            <v>222692</v>
          </cell>
          <cell r="P4695"/>
          <cell r="Q4695" t="str">
            <v>EST POLTRONA VRONKA (MAD B COR 05) TC EL MEDA GREY</v>
          </cell>
          <cell r="R4695"/>
          <cell r="S4695"/>
          <cell r="T4695">
            <v>0.74</v>
          </cell>
          <cell r="U4695">
            <v>0.91</v>
          </cell>
          <cell r="V4695">
            <v>0.93</v>
          </cell>
          <cell r="W4695">
            <v>0</v>
          </cell>
          <cell r="X4695" t="str">
            <v>EST POLTRONA VRONKA (MAD B COR 05) TC EL MEDA GREY - 0,74x0,91x0,93H</v>
          </cell>
          <cell r="Y4695">
            <v>0</v>
          </cell>
          <cell r="Z4695">
            <v>0.35</v>
          </cell>
          <cell r="AA4695">
            <v>0</v>
          </cell>
          <cell r="AB4695"/>
        </row>
        <row r="4696">
          <cell r="C4696">
            <v>0</v>
          </cell>
          <cell r="D4696">
            <v>0</v>
          </cell>
          <cell r="E4696">
            <v>0</v>
          </cell>
          <cell r="F4696">
            <v>0</v>
          </cell>
          <cell r="H4696">
            <v>0</v>
          </cell>
          <cell r="O4696">
            <v>223313</v>
          </cell>
          <cell r="P4696"/>
          <cell r="Q4696" t="str">
            <v>EST PENDENTE PONTO LATAO 220V</v>
          </cell>
          <cell r="R4696"/>
          <cell r="S4696"/>
          <cell r="T4696">
            <v>0.06</v>
          </cell>
          <cell r="U4696">
            <v>0</v>
          </cell>
          <cell r="V4696">
            <v>0.17</v>
          </cell>
          <cell r="W4696">
            <v>0</v>
          </cell>
          <cell r="X4696" t="str">
            <v>EST PENDENTE PONTO LATAO 220V - Ø0x0,17H</v>
          </cell>
          <cell r="Y4696">
            <v>2755.2</v>
          </cell>
          <cell r="Z4696">
            <v>0.5</v>
          </cell>
          <cell r="AA4696">
            <v>1377.6</v>
          </cell>
          <cell r="AB4696"/>
        </row>
        <row r="4697">
          <cell r="C4697">
            <v>2</v>
          </cell>
          <cell r="D4697">
            <v>0</v>
          </cell>
          <cell r="E4697">
            <v>0</v>
          </cell>
          <cell r="F4697">
            <v>0</v>
          </cell>
          <cell r="H4697">
            <v>1</v>
          </cell>
          <cell r="O4697">
            <v>223320</v>
          </cell>
          <cell r="P4697" t="str">
            <v>2021/029-0022-01</v>
          </cell>
          <cell r="Q4697" t="str">
            <v>EST POLTRONA ALE (LAM CARV PT) (PREMIUM CARAM ENV) SOLETA PT</v>
          </cell>
          <cell r="R4697"/>
          <cell r="S4697"/>
          <cell r="T4697">
            <v>0.72</v>
          </cell>
          <cell r="U4697">
            <v>0.65</v>
          </cell>
          <cell r="V4697">
            <v>0.73</v>
          </cell>
          <cell r="W4697">
            <v>0</v>
          </cell>
          <cell r="X4697" t="str">
            <v>EST POLTRONA ALE (LAM CARV PT) (PREMIUM CARAM ENV) SOLETA PT - 0,72x0,65x0,73H</v>
          </cell>
          <cell r="Y4697">
            <v>15141.37</v>
          </cell>
          <cell r="Z4697">
            <v>0.5</v>
          </cell>
          <cell r="AA4697">
            <v>7570.6850000000004</v>
          </cell>
          <cell r="AB4697"/>
        </row>
        <row r="4698">
          <cell r="C4698">
            <v>9</v>
          </cell>
          <cell r="D4698">
            <v>0</v>
          </cell>
          <cell r="E4698">
            <v>0</v>
          </cell>
          <cell r="F4698">
            <v>0</v>
          </cell>
          <cell r="H4698">
            <v>1</v>
          </cell>
          <cell r="O4698">
            <v>223323</v>
          </cell>
          <cell r="P4698" t="str">
            <v>2019/044-0124-01</v>
          </cell>
          <cell r="Q4698" t="str">
            <v>EST CADEIRA MOI (LAM CARV PT) (TC LISO WHITE MIX)</v>
          </cell>
          <cell r="R4698"/>
          <cell r="S4698"/>
          <cell r="T4698">
            <v>0.48</v>
          </cell>
          <cell r="U4698">
            <v>0.56999999999999995</v>
          </cell>
          <cell r="V4698">
            <v>0.82</v>
          </cell>
          <cell r="W4698">
            <v>0</v>
          </cell>
          <cell r="X4698" t="str">
            <v>EST CADEIRA MOI (LAM CARV PT) (TC LISO WHITE MIX) - 0,48x0,57x0,82H</v>
          </cell>
          <cell r="Y4698">
            <v>9101.7900000000009</v>
          </cell>
          <cell r="Z4698">
            <v>0.5</v>
          </cell>
          <cell r="AA4698">
            <v>4550.8950000000004</v>
          </cell>
          <cell r="AB4698"/>
        </row>
        <row r="4699">
          <cell r="C4699">
            <v>0</v>
          </cell>
          <cell r="D4699">
            <v>0</v>
          </cell>
          <cell r="E4699">
            <v>0</v>
          </cell>
          <cell r="F4699">
            <v>0</v>
          </cell>
          <cell r="H4699">
            <v>0</v>
          </cell>
          <cell r="O4699">
            <v>223381</v>
          </cell>
          <cell r="P4699"/>
          <cell r="Q4699" t="str">
            <v>EST LUMINARIA JARDIM (LANTERNA) (LATAO) (BRILHO 110V)</v>
          </cell>
          <cell r="R4699"/>
          <cell r="S4699"/>
          <cell r="T4699">
            <v>0.4</v>
          </cell>
          <cell r="U4699">
            <v>0</v>
          </cell>
          <cell r="V4699">
            <v>0.6</v>
          </cell>
          <cell r="W4699">
            <v>0.4</v>
          </cell>
          <cell r="X4699" t="str">
            <v>EST LUMINARIA JARDIM (LANTERNA) (LATAO) (BRILHO 110V) - Ø0,4x0,6H</v>
          </cell>
          <cell r="Y4699">
            <v>8064</v>
          </cell>
          <cell r="Z4699">
            <v>0.5</v>
          </cell>
          <cell r="AA4699">
            <v>4032</v>
          </cell>
          <cell r="AB4699"/>
        </row>
        <row r="4700">
          <cell r="C4700">
            <v>0</v>
          </cell>
          <cell r="D4700">
            <v>0</v>
          </cell>
          <cell r="E4700">
            <v>0</v>
          </cell>
          <cell r="F4700">
            <v>0</v>
          </cell>
          <cell r="H4700">
            <v>1</v>
          </cell>
          <cell r="O4700">
            <v>223396</v>
          </cell>
          <cell r="P4700" t="str">
            <v>2018/214-0021-01</v>
          </cell>
          <cell r="Q4700" t="str">
            <v>EST MESA LATERAL MUD (PAU FERRO PRE COMP) (PRETO FSC)</v>
          </cell>
          <cell r="R4700"/>
          <cell r="S4700"/>
          <cell r="T4700">
            <v>0.7</v>
          </cell>
          <cell r="U4700">
            <v>0</v>
          </cell>
          <cell r="V4700">
            <v>0.61</v>
          </cell>
          <cell r="W4700">
            <v>0.7</v>
          </cell>
          <cell r="X4700" t="str">
            <v>EST MESA LATERAL MUD (PAU FERRO PRE COMP) (PRETO FSC) - Ø0,7x0,61H</v>
          </cell>
          <cell r="Y4700">
            <v>5353.6</v>
          </cell>
          <cell r="Z4700">
            <v>0.5</v>
          </cell>
          <cell r="AA4700">
            <v>2676.8</v>
          </cell>
          <cell r="AB4700"/>
        </row>
        <row r="4701">
          <cell r="C4701">
            <v>0</v>
          </cell>
          <cell r="D4701">
            <v>0</v>
          </cell>
          <cell r="E4701">
            <v>0</v>
          </cell>
          <cell r="F4701">
            <v>0</v>
          </cell>
          <cell r="H4701">
            <v>0</v>
          </cell>
          <cell r="O4701">
            <v>223734</v>
          </cell>
          <cell r="P4701"/>
          <cell r="Q4701" t="str">
            <v>EST CADEIRA DINNA 145 (IMBUIA MEL) (TING NOG) (VELUDO NAT)</v>
          </cell>
          <cell r="R4701"/>
          <cell r="S4701"/>
          <cell r="T4701">
            <v>0.54</v>
          </cell>
          <cell r="U4701">
            <v>0.56000000000000005</v>
          </cell>
          <cell r="V4701">
            <v>0.86</v>
          </cell>
          <cell r="W4701">
            <v>0</v>
          </cell>
          <cell r="X4701" t="str">
            <v>EST CADEIRA DINNA 145 (IMBUIA MEL) (TING NOG) (VELUDO NAT) - 0,54x0,56x0,86H</v>
          </cell>
          <cell r="Y4701">
            <v>4614.3999999999996</v>
          </cell>
          <cell r="Z4701">
            <v>0.5</v>
          </cell>
          <cell r="AA4701">
            <v>2307.1999999999998</v>
          </cell>
          <cell r="AB4701"/>
        </row>
        <row r="4702">
          <cell r="C4702">
            <v>0</v>
          </cell>
          <cell r="D4702">
            <v>0</v>
          </cell>
          <cell r="E4702">
            <v>0</v>
          </cell>
          <cell r="F4702">
            <v>0</v>
          </cell>
          <cell r="H4702">
            <v>0</v>
          </cell>
          <cell r="O4702">
            <v>226066</v>
          </cell>
          <cell r="P4702" t="str">
            <v>2018/281-0063-01</v>
          </cell>
          <cell r="Q4702" t="str">
            <v>EST LUMINARIA XINGU JEQUITIBA CUPULA LINHO PRETA</v>
          </cell>
          <cell r="R4702"/>
          <cell r="S4702"/>
          <cell r="T4702">
            <v>0.55000000000000004</v>
          </cell>
          <cell r="U4702">
            <v>0</v>
          </cell>
          <cell r="V4702">
            <v>1.8</v>
          </cell>
          <cell r="W4702">
            <v>0.55000000000000004</v>
          </cell>
          <cell r="X4702" t="str">
            <v>EST LUMINARIA XINGU JEQUITIBA CUPULA LINHO PRETA - Ø0,55x1,8H</v>
          </cell>
          <cell r="Y4702">
            <v>11208.96</v>
          </cell>
          <cell r="Z4702">
            <v>0.5</v>
          </cell>
          <cell r="AA4702">
            <v>5604.48</v>
          </cell>
          <cell r="AB4702"/>
        </row>
        <row r="4703">
          <cell r="C4703">
            <v>0</v>
          </cell>
          <cell r="D4703">
            <v>0</v>
          </cell>
          <cell r="E4703">
            <v>0</v>
          </cell>
          <cell r="F4703">
            <v>0</v>
          </cell>
          <cell r="H4703">
            <v>0</v>
          </cell>
          <cell r="O4703">
            <v>226597</v>
          </cell>
          <cell r="P4703"/>
          <cell r="Q4703" t="str">
            <v>EST CADEIRA EVO C/BRACO (TAP DISTRESS 20363) MAD MEL CLARO</v>
          </cell>
          <cell r="R4703"/>
          <cell r="S4703"/>
          <cell r="T4703">
            <v>0.53</v>
          </cell>
          <cell r="U4703">
            <v>0.47</v>
          </cell>
          <cell r="V4703">
            <v>0.82</v>
          </cell>
          <cell r="W4703">
            <v>0</v>
          </cell>
          <cell r="X4703" t="str">
            <v>EST CADEIRA EVO C/BRACO (TAP DISTRESS 20363) MAD MEL CLARO - 0,53x0,47x0,82H</v>
          </cell>
          <cell r="Y4703">
            <v>6988.67</v>
          </cell>
          <cell r="Z4703">
            <v>0.35</v>
          </cell>
          <cell r="AA4703">
            <v>4542.6355000000003</v>
          </cell>
          <cell r="AB4703"/>
        </row>
        <row r="4704">
          <cell r="C4704">
            <v>0</v>
          </cell>
          <cell r="D4704">
            <v>0</v>
          </cell>
          <cell r="E4704">
            <v>0</v>
          </cell>
          <cell r="F4704">
            <v>0</v>
          </cell>
          <cell r="H4704">
            <v>0</v>
          </cell>
          <cell r="O4704">
            <v>230438</v>
          </cell>
          <cell r="P4704" t="str">
            <v>2021/026-0062-01</v>
          </cell>
          <cell r="Q4704" t="str">
            <v>EST MESA LATERAL 3D TP PAU FERRO/PINT PRETO</v>
          </cell>
          <cell r="R4704"/>
          <cell r="S4704"/>
          <cell r="T4704">
            <v>0.65</v>
          </cell>
          <cell r="U4704">
            <v>0</v>
          </cell>
          <cell r="V4704">
            <v>0.49</v>
          </cell>
          <cell r="W4704">
            <v>0.65</v>
          </cell>
          <cell r="X4704" t="str">
            <v>EST MESA LATERAL 3D TP PAU FERRO/PINT PRETO - Ø0,65x0,49H</v>
          </cell>
          <cell r="Y4704">
            <v>6073.04</v>
          </cell>
          <cell r="Z4704">
            <v>0.5</v>
          </cell>
          <cell r="AA4704">
            <v>3036.52</v>
          </cell>
          <cell r="AB4704"/>
        </row>
        <row r="4705">
          <cell r="C4705">
            <v>0</v>
          </cell>
          <cell r="D4705">
            <v>0</v>
          </cell>
          <cell r="E4705">
            <v>0</v>
          </cell>
          <cell r="F4705">
            <v>0</v>
          </cell>
          <cell r="H4705">
            <v>1</v>
          </cell>
          <cell r="O4705">
            <v>231135</v>
          </cell>
          <cell r="P4705" t="str">
            <v>2019/035-0053-01</v>
          </cell>
          <cell r="Q4705" t="str">
            <v>EST MESA LATERAL JOAQUINA (A) GOF RATO 242/BS PRETA</v>
          </cell>
          <cell r="R4705"/>
          <cell r="S4705"/>
          <cell r="T4705">
            <v>0.55000000000000004</v>
          </cell>
          <cell r="U4705">
            <v>0.45</v>
          </cell>
          <cell r="V4705">
            <v>0.35</v>
          </cell>
          <cell r="W4705">
            <v>0</v>
          </cell>
          <cell r="X4705" t="str">
            <v>EST MESA LATERAL JOAQUINA (A) GOF RATO 242/BS PRETA - 0,55x0,45x0,35H</v>
          </cell>
          <cell r="Y4705">
            <v>5398.31</v>
          </cell>
          <cell r="Z4705">
            <v>0.5</v>
          </cell>
          <cell r="AA4705">
            <v>2699.1550000000002</v>
          </cell>
          <cell r="AB4705"/>
        </row>
        <row r="4706">
          <cell r="C4706">
            <v>0</v>
          </cell>
          <cell r="D4706">
            <v>0</v>
          </cell>
          <cell r="E4706">
            <v>0</v>
          </cell>
          <cell r="F4706">
            <v>0</v>
          </cell>
          <cell r="H4706">
            <v>1</v>
          </cell>
          <cell r="O4706">
            <v>231138</v>
          </cell>
          <cell r="P4706" t="str">
            <v>2019/035-0055-01</v>
          </cell>
          <cell r="Q4706" t="str">
            <v>EST MESA LATERAL JOAQUINA (C) GOF ARGI 240/BS PRETA</v>
          </cell>
          <cell r="R4706"/>
          <cell r="S4706"/>
          <cell r="T4706">
            <v>0.4</v>
          </cell>
          <cell r="U4706">
            <v>0.4</v>
          </cell>
          <cell r="V4706">
            <v>0.55000000000000004</v>
          </cell>
          <cell r="W4706">
            <v>0</v>
          </cell>
          <cell r="X4706" t="str">
            <v>EST MESA LATERAL JOAQUINA (C) GOF ARGI 240/BS PRETA - 0,4x0,4x0,55H</v>
          </cell>
          <cell r="Y4706">
            <v>3960.32</v>
          </cell>
          <cell r="Z4706">
            <v>0.5</v>
          </cell>
          <cell r="AA4706">
            <v>1980.16</v>
          </cell>
          <cell r="AB4706"/>
        </row>
        <row r="4707">
          <cell r="C4707" t="e">
            <v>#N/A</v>
          </cell>
          <cell r="D4707" t="e">
            <v>#N/A</v>
          </cell>
          <cell r="E4707" t="e">
            <v>#N/A</v>
          </cell>
          <cell r="F4707" t="e">
            <v>#N/A</v>
          </cell>
          <cell r="H4707" t="e">
            <v>#N/A</v>
          </cell>
          <cell r="O4707">
            <v>231882</v>
          </cell>
          <cell r="P4707"/>
          <cell r="Q4707" t="e">
            <v>#N/A</v>
          </cell>
          <cell r="R4707"/>
          <cell r="S4707"/>
          <cell r="T4707" t="e">
            <v>#N/A</v>
          </cell>
          <cell r="U4707" t="e">
            <v>#N/A</v>
          </cell>
          <cell r="V4707" t="e">
            <v>#N/A</v>
          </cell>
          <cell r="W4707" t="e">
            <v>#N/A</v>
          </cell>
          <cell r="X4707" t="e">
            <v>#N/A</v>
          </cell>
          <cell r="Y4707">
            <v>0</v>
          </cell>
          <cell r="Z4707">
            <v>0.35</v>
          </cell>
          <cell r="AA4707">
            <v>0</v>
          </cell>
          <cell r="AB4707"/>
        </row>
        <row r="4708">
          <cell r="C4708">
            <v>0</v>
          </cell>
          <cell r="D4708">
            <v>0</v>
          </cell>
          <cell r="E4708">
            <v>0</v>
          </cell>
          <cell r="F4708">
            <v>0</v>
          </cell>
          <cell r="H4708">
            <v>0</v>
          </cell>
          <cell r="O4708">
            <v>232000</v>
          </cell>
          <cell r="P4708"/>
          <cell r="Q4708" t="str">
            <v>EST MESA LATERAL MUD (PAU FERRO PRE COMP BRILHO) (PRETO FSC)</v>
          </cell>
          <cell r="R4708"/>
          <cell r="S4708"/>
          <cell r="T4708">
            <v>0.6</v>
          </cell>
          <cell r="U4708">
            <v>0</v>
          </cell>
          <cell r="V4708">
            <v>0.61</v>
          </cell>
          <cell r="W4708">
            <v>0.6</v>
          </cell>
          <cell r="X4708" t="str">
            <v>EST MESA LATERAL MUD (PAU FERRO PRE COMP BRILHO) (PRETO FSC) - Ø0,6x0,61H</v>
          </cell>
          <cell r="Y4708">
            <v>6048</v>
          </cell>
          <cell r="Z4708">
            <v>0.35</v>
          </cell>
          <cell r="AA4708">
            <v>3931.2000000000003</v>
          </cell>
          <cell r="AB4708"/>
        </row>
        <row r="4709">
          <cell r="C4709">
            <v>0</v>
          </cell>
          <cell r="D4709">
            <v>0</v>
          </cell>
          <cell r="E4709">
            <v>1</v>
          </cell>
          <cell r="F4709">
            <v>0</v>
          </cell>
          <cell r="H4709">
            <v>1</v>
          </cell>
          <cell r="O4709">
            <v>232001</v>
          </cell>
          <cell r="P4709" t="str">
            <v>2019/091-0034-01</v>
          </cell>
          <cell r="Q4709" t="str">
            <v>EST MESA LATERAL MUD (PAU FERRO PRE COMP) (PRETO FSC)</v>
          </cell>
          <cell r="R4709"/>
          <cell r="S4709"/>
          <cell r="T4709">
            <v>0.7</v>
          </cell>
          <cell r="U4709">
            <v>0</v>
          </cell>
          <cell r="V4709">
            <v>0.61</v>
          </cell>
          <cell r="W4709">
            <v>0.7</v>
          </cell>
          <cell r="X4709" t="str">
            <v>EST MESA LATERAL MUD (PAU FERRO PRE COMP) (PRETO FSC) - Ø0,7x0,61H</v>
          </cell>
          <cell r="Y4709">
            <v>5353.6</v>
          </cell>
          <cell r="Z4709">
            <v>0.5</v>
          </cell>
          <cell r="AA4709">
            <v>2676.8</v>
          </cell>
          <cell r="AB4709"/>
        </row>
        <row r="4710">
          <cell r="C4710">
            <v>0</v>
          </cell>
          <cell r="D4710">
            <v>0</v>
          </cell>
          <cell r="E4710">
            <v>0</v>
          </cell>
          <cell r="F4710">
            <v>0</v>
          </cell>
          <cell r="H4710">
            <v>1</v>
          </cell>
          <cell r="O4710">
            <v>233160</v>
          </cell>
          <cell r="P4710" t="str">
            <v>2019/105-0080-01</v>
          </cell>
          <cell r="Q4710" t="str">
            <v>EST PUFF UFO Ø60 TC C3079/ZIPER PRETO</v>
          </cell>
          <cell r="R4710"/>
          <cell r="S4710"/>
          <cell r="T4710">
            <v>0.6</v>
          </cell>
          <cell r="U4710">
            <v>0</v>
          </cell>
          <cell r="V4710">
            <v>0.44</v>
          </cell>
          <cell r="W4710">
            <v>0.6</v>
          </cell>
          <cell r="X4710" t="str">
            <v>EST PUFF UFO Ø60 TC C3079/ZIPER PRETO - Ø0,6x0,44H</v>
          </cell>
          <cell r="Y4710">
            <v>4215.1899999999996</v>
          </cell>
          <cell r="Z4710">
            <v>0.5</v>
          </cell>
          <cell r="AA4710">
            <v>2107.5949999999998</v>
          </cell>
          <cell r="AB4710"/>
        </row>
        <row r="4711">
          <cell r="C4711">
            <v>0</v>
          </cell>
          <cell r="D4711">
            <v>0</v>
          </cell>
          <cell r="E4711">
            <v>0</v>
          </cell>
          <cell r="F4711">
            <v>0</v>
          </cell>
          <cell r="H4711">
            <v>1</v>
          </cell>
          <cell r="O4711">
            <v>233531</v>
          </cell>
          <cell r="P4711" t="str">
            <v>2019/120-0129-01</v>
          </cell>
          <cell r="Q4711" t="str">
            <v>EST CADEIRA CLAD C/BRACO (TAUARI TINGIDO FROST)</v>
          </cell>
          <cell r="R4711"/>
          <cell r="S4711"/>
          <cell r="T4711">
            <v>0.53</v>
          </cell>
          <cell r="U4711">
            <v>0.56999999999999995</v>
          </cell>
          <cell r="V4711">
            <v>0.77</v>
          </cell>
          <cell r="W4711">
            <v>0</v>
          </cell>
          <cell r="X4711" t="str">
            <v>EST CADEIRA CLAD C/BRACO (TAUARI TINGIDO FROST) - 0,53x0,57x0,77H</v>
          </cell>
          <cell r="Y4711">
            <v>10315.83</v>
          </cell>
          <cell r="Z4711">
            <v>0.5</v>
          </cell>
          <cell r="AA4711">
            <v>5157.915</v>
          </cell>
          <cell r="AB4711"/>
        </row>
        <row r="4712">
          <cell r="C4712">
            <v>0</v>
          </cell>
          <cell r="D4712">
            <v>0</v>
          </cell>
          <cell r="E4712">
            <v>0</v>
          </cell>
          <cell r="F4712">
            <v>0</v>
          </cell>
          <cell r="H4712">
            <v>0</v>
          </cell>
          <cell r="O4712">
            <v>233554</v>
          </cell>
          <cell r="P4712" t="str">
            <v>2019/149-0091-01</v>
          </cell>
          <cell r="Q4712" t="str">
            <v>EST MESA CENTRO BIZZET (GANE LP 903)</v>
          </cell>
          <cell r="R4712"/>
          <cell r="S4712"/>
          <cell r="T4712">
            <v>0.7</v>
          </cell>
          <cell r="U4712">
            <v>0</v>
          </cell>
          <cell r="V4712">
            <v>0.35</v>
          </cell>
          <cell r="W4712">
            <v>0.7</v>
          </cell>
          <cell r="X4712" t="str">
            <v>EST MESA CENTRO BIZZET (GANE LP 903) - Ø0,7x0,35H</v>
          </cell>
          <cell r="Y4712">
            <v>9735.0400000000009</v>
          </cell>
          <cell r="Z4712">
            <v>0</v>
          </cell>
          <cell r="AA4712">
            <v>9735.0400000000009</v>
          </cell>
          <cell r="AB4712"/>
        </row>
        <row r="4713">
          <cell r="C4713">
            <v>1</v>
          </cell>
          <cell r="D4713">
            <v>0</v>
          </cell>
          <cell r="E4713">
            <v>0</v>
          </cell>
          <cell r="F4713">
            <v>0</v>
          </cell>
          <cell r="H4713">
            <v>1</v>
          </cell>
          <cell r="O4713">
            <v>233669</v>
          </cell>
          <cell r="P4713" t="str">
            <v>2019/151-0126-01</v>
          </cell>
          <cell r="Q4713" t="str">
            <v>EST PUFF DINN (CARVALHO CARBONO) COURO BLACK 7</v>
          </cell>
          <cell r="R4713"/>
          <cell r="S4713"/>
          <cell r="T4713">
            <v>1.5</v>
          </cell>
          <cell r="U4713">
            <v>0.7</v>
          </cell>
          <cell r="V4713">
            <v>0.4</v>
          </cell>
          <cell r="W4713">
            <v>0</v>
          </cell>
          <cell r="X4713" t="str">
            <v>EST PUFF DINN (CARVALHO CARBONO) COURO BLACK 7 - 1,5x0,7x0,4H</v>
          </cell>
          <cell r="Y4713">
            <v>26880.01</v>
          </cell>
          <cell r="Z4713">
            <v>0.5</v>
          </cell>
          <cell r="AA4713">
            <v>13440.004999999999</v>
          </cell>
          <cell r="AB4713"/>
        </row>
        <row r="4714">
          <cell r="C4714">
            <v>0</v>
          </cell>
          <cell r="D4714">
            <v>0</v>
          </cell>
          <cell r="E4714">
            <v>0</v>
          </cell>
          <cell r="F4714">
            <v>0</v>
          </cell>
          <cell r="H4714">
            <v>0</v>
          </cell>
          <cell r="O4714">
            <v>234070</v>
          </cell>
          <cell r="P4714" t="str">
            <v>2019/143-0090-01</v>
          </cell>
          <cell r="Q4714" t="str">
            <v>EST CADEIRA GOLF C/BRACO (TING EBANIZ/TELA SEXT NAT) TC213</v>
          </cell>
          <cell r="R4714"/>
          <cell r="S4714"/>
          <cell r="T4714">
            <v>0.59</v>
          </cell>
          <cell r="U4714">
            <v>0.6</v>
          </cell>
          <cell r="V4714">
            <v>0.9</v>
          </cell>
          <cell r="W4714">
            <v>0</v>
          </cell>
          <cell r="X4714" t="str">
            <v>EST CADEIRA GOLF C/BRACO (TING EBANIZ/TELA SEXT NAT) TC213 - 0,59x0,6x0,9H</v>
          </cell>
          <cell r="Y4714">
            <v>4519.0200000000004</v>
          </cell>
          <cell r="Z4714">
            <v>0.35</v>
          </cell>
          <cell r="AA4714">
            <v>2937.3630000000003</v>
          </cell>
          <cell r="AB4714"/>
        </row>
        <row r="4715">
          <cell r="C4715">
            <v>0</v>
          </cell>
          <cell r="D4715">
            <v>0</v>
          </cell>
          <cell r="E4715">
            <v>0</v>
          </cell>
          <cell r="F4715">
            <v>0</v>
          </cell>
          <cell r="H4715">
            <v>0</v>
          </cell>
          <cell r="O4715">
            <v>234070</v>
          </cell>
          <cell r="P4715" t="str">
            <v>2019/143-0091-01</v>
          </cell>
          <cell r="Q4715" t="str">
            <v>EST CADEIRA GOLF C/BRACO (TING EBANIZ/TELA SEXT NAT) TC213</v>
          </cell>
          <cell r="R4715"/>
          <cell r="S4715"/>
          <cell r="T4715">
            <v>0.59</v>
          </cell>
          <cell r="U4715">
            <v>0.6</v>
          </cell>
          <cell r="V4715">
            <v>0.9</v>
          </cell>
          <cell r="W4715">
            <v>0</v>
          </cell>
          <cell r="X4715" t="str">
            <v>EST CADEIRA GOLF C/BRACO (TING EBANIZ/TELA SEXT NAT) TC213 - 0,59x0,6x0,9H</v>
          </cell>
          <cell r="Y4715">
            <v>4519.0200000000004</v>
          </cell>
          <cell r="Z4715">
            <v>0.35</v>
          </cell>
          <cell r="AA4715">
            <v>2937.3630000000003</v>
          </cell>
          <cell r="AB4715"/>
        </row>
        <row r="4716">
          <cell r="C4716">
            <v>0</v>
          </cell>
          <cell r="D4716">
            <v>0</v>
          </cell>
          <cell r="E4716">
            <v>0</v>
          </cell>
          <cell r="F4716">
            <v>0</v>
          </cell>
          <cell r="H4716">
            <v>0</v>
          </cell>
          <cell r="O4716">
            <v>234070</v>
          </cell>
          <cell r="P4716" t="str">
            <v>2020/205-0029-01</v>
          </cell>
          <cell r="Q4716" t="str">
            <v>EST CADEIRA GOLF C/BRACO (TING EBANIZ/TELA SEXT NAT) TC213</v>
          </cell>
          <cell r="R4716"/>
          <cell r="S4716"/>
          <cell r="T4716">
            <v>0.59</v>
          </cell>
          <cell r="U4716">
            <v>0.6</v>
          </cell>
          <cell r="V4716">
            <v>0.9</v>
          </cell>
          <cell r="W4716">
            <v>0</v>
          </cell>
          <cell r="X4716" t="str">
            <v>EST CADEIRA GOLF C/BRACO (TING EBANIZ/TELA SEXT NAT) TC213 - 0,59x0,6x0,9H</v>
          </cell>
          <cell r="Y4716">
            <v>4519.0200000000004</v>
          </cell>
          <cell r="Z4716">
            <v>0.35</v>
          </cell>
          <cell r="AA4716">
            <v>2937.3630000000003</v>
          </cell>
          <cell r="AB4716"/>
        </row>
        <row r="4717">
          <cell r="C4717">
            <v>0</v>
          </cell>
          <cell r="D4717">
            <v>0</v>
          </cell>
          <cell r="E4717">
            <v>0</v>
          </cell>
          <cell r="F4717">
            <v>0</v>
          </cell>
          <cell r="H4717">
            <v>0</v>
          </cell>
          <cell r="O4717">
            <v>234070</v>
          </cell>
          <cell r="P4717" t="str">
            <v>2020/205-0030-01</v>
          </cell>
          <cell r="Q4717" t="str">
            <v>EST CADEIRA GOLF C/BRACO (TING EBANIZ/TELA SEXT NAT) TC213</v>
          </cell>
          <cell r="R4717"/>
          <cell r="S4717"/>
          <cell r="T4717">
            <v>0.59</v>
          </cell>
          <cell r="U4717">
            <v>0.6</v>
          </cell>
          <cell r="V4717">
            <v>0.9</v>
          </cell>
          <cell r="W4717">
            <v>0</v>
          </cell>
          <cell r="X4717" t="str">
            <v>EST CADEIRA GOLF C/BRACO (TING EBANIZ/TELA SEXT NAT) TC213 - 0,59x0,6x0,9H</v>
          </cell>
          <cell r="Y4717">
            <v>4519.0200000000004</v>
          </cell>
          <cell r="Z4717">
            <v>0.35</v>
          </cell>
          <cell r="AA4717">
            <v>2937.3630000000003</v>
          </cell>
          <cell r="AB4717"/>
        </row>
        <row r="4718">
          <cell r="C4718">
            <v>0</v>
          </cell>
          <cell r="D4718">
            <v>0</v>
          </cell>
          <cell r="E4718">
            <v>0</v>
          </cell>
          <cell r="F4718">
            <v>0</v>
          </cell>
          <cell r="H4718">
            <v>0</v>
          </cell>
          <cell r="O4718">
            <v>234070</v>
          </cell>
          <cell r="P4718" t="str">
            <v>2020/205-0031-01</v>
          </cell>
          <cell r="Q4718" t="str">
            <v>EST CADEIRA GOLF C/BRACO (TING EBANIZ/TELA SEXT NAT) TC213</v>
          </cell>
          <cell r="R4718"/>
          <cell r="S4718"/>
          <cell r="T4718">
            <v>0.59</v>
          </cell>
          <cell r="U4718">
            <v>0.6</v>
          </cell>
          <cell r="V4718">
            <v>0.9</v>
          </cell>
          <cell r="W4718">
            <v>0</v>
          </cell>
          <cell r="X4718" t="str">
            <v>EST CADEIRA GOLF C/BRACO (TING EBANIZ/TELA SEXT NAT) TC213 - 0,59x0,6x0,9H</v>
          </cell>
          <cell r="Y4718">
            <v>4519.0200000000004</v>
          </cell>
          <cell r="Z4718">
            <v>0.35</v>
          </cell>
          <cell r="AA4718">
            <v>2937.3630000000003</v>
          </cell>
          <cell r="AB4718"/>
        </row>
        <row r="4719">
          <cell r="C4719">
            <v>0</v>
          </cell>
          <cell r="D4719">
            <v>0</v>
          </cell>
          <cell r="E4719">
            <v>0</v>
          </cell>
          <cell r="F4719">
            <v>0</v>
          </cell>
          <cell r="H4719">
            <v>0</v>
          </cell>
          <cell r="O4719">
            <v>234070</v>
          </cell>
          <cell r="P4719" t="str">
            <v>2020/205-0032-01</v>
          </cell>
          <cell r="Q4719" t="str">
            <v>EST CADEIRA GOLF C/BRACO (TING EBANIZ/TELA SEXT NAT) TC213</v>
          </cell>
          <cell r="R4719"/>
          <cell r="S4719"/>
          <cell r="T4719">
            <v>0.59</v>
          </cell>
          <cell r="U4719">
            <v>0.6</v>
          </cell>
          <cell r="V4719">
            <v>0.9</v>
          </cell>
          <cell r="W4719">
            <v>0</v>
          </cell>
          <cell r="X4719" t="str">
            <v>EST CADEIRA GOLF C/BRACO (TING EBANIZ/TELA SEXT NAT) TC213 - 0,59x0,6x0,9H</v>
          </cell>
          <cell r="Y4719">
            <v>4519.0200000000004</v>
          </cell>
          <cell r="Z4719">
            <v>0.35</v>
          </cell>
          <cell r="AA4719">
            <v>2937.3630000000003</v>
          </cell>
          <cell r="AB4719"/>
        </row>
        <row r="4720">
          <cell r="C4720">
            <v>0</v>
          </cell>
          <cell r="D4720">
            <v>0</v>
          </cell>
          <cell r="E4720">
            <v>0</v>
          </cell>
          <cell r="F4720">
            <v>0</v>
          </cell>
          <cell r="H4720">
            <v>4</v>
          </cell>
          <cell r="O4720">
            <v>234733</v>
          </cell>
          <cell r="P4720" t="str">
            <v>2019/168-0039-01</v>
          </cell>
          <cell r="Q4720" t="str">
            <v>EST CADEIRA MOI (LAM CARV PT) (TC LISO WHITE MIX)</v>
          </cell>
          <cell r="R4720"/>
          <cell r="S4720"/>
          <cell r="T4720">
            <v>0.48</v>
          </cell>
          <cell r="U4720">
            <v>0.56999999999999995</v>
          </cell>
          <cell r="V4720">
            <v>0.82</v>
          </cell>
          <cell r="W4720">
            <v>0</v>
          </cell>
          <cell r="X4720" t="str">
            <v>EST CADEIRA MOI (LAM CARV PT) (TC LISO WHITE MIX) - 0,48x0,57x0,82H</v>
          </cell>
          <cell r="Y4720">
            <v>9101.7900000000009</v>
          </cell>
          <cell r="Z4720">
            <v>0.5</v>
          </cell>
          <cell r="AA4720">
            <v>4550.8950000000004</v>
          </cell>
          <cell r="AB4720"/>
        </row>
        <row r="4721">
          <cell r="C4721">
            <v>0</v>
          </cell>
          <cell r="D4721">
            <v>0</v>
          </cell>
          <cell r="E4721">
            <v>0</v>
          </cell>
          <cell r="F4721">
            <v>0</v>
          </cell>
          <cell r="H4721">
            <v>4</v>
          </cell>
          <cell r="O4721">
            <v>234733</v>
          </cell>
          <cell r="P4721" t="str">
            <v>2019/168-0040-01</v>
          </cell>
          <cell r="Q4721" t="str">
            <v>EST CADEIRA MOI (LAM CARV PT) (TC LISO WHITE MIX)</v>
          </cell>
          <cell r="R4721"/>
          <cell r="S4721"/>
          <cell r="T4721">
            <v>0.48</v>
          </cell>
          <cell r="U4721">
            <v>0.56999999999999995</v>
          </cell>
          <cell r="V4721">
            <v>0.82</v>
          </cell>
          <cell r="W4721">
            <v>0</v>
          </cell>
          <cell r="X4721" t="str">
            <v>EST CADEIRA MOI (LAM CARV PT) (TC LISO WHITE MIX) - 0,48x0,57x0,82H</v>
          </cell>
          <cell r="Y4721">
            <v>9101.7900000000009</v>
          </cell>
          <cell r="Z4721">
            <v>0.5</v>
          </cell>
          <cell r="AA4721">
            <v>4550.8950000000004</v>
          </cell>
          <cell r="AB4721"/>
        </row>
        <row r="4722">
          <cell r="C4722">
            <v>0</v>
          </cell>
          <cell r="D4722">
            <v>0</v>
          </cell>
          <cell r="E4722">
            <v>0</v>
          </cell>
          <cell r="F4722">
            <v>0</v>
          </cell>
          <cell r="H4722">
            <v>4</v>
          </cell>
          <cell r="O4722">
            <v>234733</v>
          </cell>
          <cell r="P4722" t="str">
            <v>2019/170-0002-01</v>
          </cell>
          <cell r="Q4722" t="str">
            <v>EST CADEIRA MOI (LAM CARV PT) (TC LISO WHITE MIX)</v>
          </cell>
          <cell r="R4722"/>
          <cell r="S4722"/>
          <cell r="T4722">
            <v>0.48</v>
          </cell>
          <cell r="U4722">
            <v>0.56999999999999995</v>
          </cell>
          <cell r="V4722">
            <v>0.82</v>
          </cell>
          <cell r="W4722">
            <v>0</v>
          </cell>
          <cell r="X4722" t="str">
            <v>EST CADEIRA MOI (LAM CARV PT) (TC LISO WHITE MIX) - 0,48x0,57x0,82H</v>
          </cell>
          <cell r="Y4722">
            <v>9101.7900000000009</v>
          </cell>
          <cell r="Z4722">
            <v>0.5</v>
          </cell>
          <cell r="AA4722">
            <v>4550.8950000000004</v>
          </cell>
          <cell r="AB4722"/>
        </row>
        <row r="4723">
          <cell r="C4723">
            <v>0</v>
          </cell>
          <cell r="D4723">
            <v>0</v>
          </cell>
          <cell r="E4723">
            <v>0</v>
          </cell>
          <cell r="F4723">
            <v>0</v>
          </cell>
          <cell r="H4723">
            <v>4</v>
          </cell>
          <cell r="O4723">
            <v>234733</v>
          </cell>
          <cell r="P4723" t="str">
            <v>2019/170-0007-01</v>
          </cell>
          <cell r="Q4723" t="str">
            <v>EST CADEIRA MOI (LAM CARV PT) (TC LISO WHITE MIX)</v>
          </cell>
          <cell r="R4723"/>
          <cell r="S4723"/>
          <cell r="T4723">
            <v>0.48</v>
          </cell>
          <cell r="U4723">
            <v>0.56999999999999995</v>
          </cell>
          <cell r="V4723">
            <v>0.82</v>
          </cell>
          <cell r="W4723">
            <v>0</v>
          </cell>
          <cell r="X4723" t="str">
            <v>EST CADEIRA MOI (LAM CARV PT) (TC LISO WHITE MIX) - 0,48x0,57x0,82H</v>
          </cell>
          <cell r="Y4723">
            <v>9101.7900000000009</v>
          </cell>
          <cell r="Z4723">
            <v>0.5</v>
          </cell>
          <cell r="AA4723">
            <v>4550.8950000000004</v>
          </cell>
          <cell r="AB4723"/>
        </row>
        <row r="4724">
          <cell r="C4724">
            <v>0</v>
          </cell>
          <cell r="D4724">
            <v>0</v>
          </cell>
          <cell r="E4724">
            <v>0</v>
          </cell>
          <cell r="F4724">
            <v>0</v>
          </cell>
          <cell r="H4724">
            <v>1</v>
          </cell>
          <cell r="O4724">
            <v>234735</v>
          </cell>
          <cell r="P4724" t="str">
            <v>2020/052-0027-01</v>
          </cell>
          <cell r="Q4724" t="str">
            <v>EST POLTRONA MOI (LAM FREIJO MEL) (TC LISO LINHO CINZA)</v>
          </cell>
          <cell r="R4724"/>
          <cell r="S4724"/>
          <cell r="T4724">
            <v>0.69</v>
          </cell>
          <cell r="U4724">
            <v>0.77</v>
          </cell>
          <cell r="V4724">
            <v>0.8</v>
          </cell>
          <cell r="W4724">
            <v>0</v>
          </cell>
          <cell r="X4724" t="str">
            <v>EST POLTRONA MOI (LAM FREIJO MEL) (TC LISO LINHO CINZA) - 0,69x0,77x0,8H</v>
          </cell>
          <cell r="Y4724">
            <v>13223.97</v>
          </cell>
          <cell r="Z4724">
            <v>0.5</v>
          </cell>
          <cell r="AA4724">
            <v>6611.9849999999997</v>
          </cell>
          <cell r="AB4724"/>
        </row>
        <row r="4725">
          <cell r="C4725">
            <v>0</v>
          </cell>
          <cell r="D4725">
            <v>0</v>
          </cell>
          <cell r="E4725">
            <v>0</v>
          </cell>
          <cell r="F4725">
            <v>0</v>
          </cell>
          <cell r="H4725">
            <v>1</v>
          </cell>
          <cell r="O4725">
            <v>250017</v>
          </cell>
          <cell r="P4725" t="str">
            <v>2019/224-0098-01</v>
          </cell>
          <cell r="Q4725" t="str">
            <v>EST CADEIRA COLLANA EST MEL/TC 396A</v>
          </cell>
          <cell r="R4725"/>
          <cell r="S4725"/>
          <cell r="T4725">
            <v>0.7</v>
          </cell>
          <cell r="U4725">
            <v>0.65</v>
          </cell>
          <cell r="V4725">
            <v>0.81</v>
          </cell>
          <cell r="W4725">
            <v>0</v>
          </cell>
          <cell r="X4725" t="str">
            <v>EST CADEIRA COLLANA EST MEL/TC 396A - 0,7x0,65x0,81H</v>
          </cell>
          <cell r="Y4725">
            <v>5630.42</v>
          </cell>
          <cell r="Z4725">
            <v>0.5</v>
          </cell>
          <cell r="AA4725">
            <v>2815.21</v>
          </cell>
          <cell r="AB4725"/>
        </row>
        <row r="4726">
          <cell r="C4726">
            <v>0</v>
          </cell>
          <cell r="D4726">
            <v>0</v>
          </cell>
          <cell r="E4726">
            <v>0</v>
          </cell>
          <cell r="F4726">
            <v>0</v>
          </cell>
          <cell r="H4726">
            <v>1</v>
          </cell>
          <cell r="O4726">
            <v>250017</v>
          </cell>
          <cell r="P4726" t="str">
            <v>2019/224-0099-01</v>
          </cell>
          <cell r="Q4726" t="str">
            <v>EST CADEIRA COLLANA EST MEL/TC 396A</v>
          </cell>
          <cell r="R4726"/>
          <cell r="S4726"/>
          <cell r="T4726">
            <v>0.7</v>
          </cell>
          <cell r="U4726">
            <v>0.65</v>
          </cell>
          <cell r="V4726">
            <v>0.81</v>
          </cell>
          <cell r="W4726">
            <v>0</v>
          </cell>
          <cell r="X4726" t="str">
            <v>EST CADEIRA COLLANA EST MEL/TC 396A - 0,7x0,65x0,81H</v>
          </cell>
          <cell r="Y4726">
            <v>5630.42</v>
          </cell>
          <cell r="Z4726">
            <v>0.5</v>
          </cell>
          <cell r="AA4726">
            <v>2815.21</v>
          </cell>
          <cell r="AB4726"/>
        </row>
        <row r="4727">
          <cell r="C4727">
            <v>0</v>
          </cell>
          <cell r="D4727">
            <v>0</v>
          </cell>
          <cell r="E4727">
            <v>0</v>
          </cell>
          <cell r="F4727">
            <v>0</v>
          </cell>
          <cell r="H4727">
            <v>1</v>
          </cell>
          <cell r="O4727">
            <v>250017</v>
          </cell>
          <cell r="P4727" t="str">
            <v>2019/224-0100-01</v>
          </cell>
          <cell r="Q4727" t="str">
            <v>EST CADEIRA COLLANA EST MEL/TC 396A</v>
          </cell>
          <cell r="R4727"/>
          <cell r="S4727"/>
          <cell r="T4727">
            <v>0.7</v>
          </cell>
          <cell r="U4727">
            <v>0.65</v>
          </cell>
          <cell r="V4727">
            <v>0.81</v>
          </cell>
          <cell r="W4727">
            <v>0</v>
          </cell>
          <cell r="X4727" t="str">
            <v>EST CADEIRA COLLANA EST MEL/TC 396A - 0,7x0,65x0,81H</v>
          </cell>
          <cell r="Y4727">
            <v>5630.42</v>
          </cell>
          <cell r="Z4727">
            <v>0.5</v>
          </cell>
          <cell r="AA4727">
            <v>2815.21</v>
          </cell>
          <cell r="AB4727"/>
        </row>
        <row r="4728">
          <cell r="C4728">
            <v>0</v>
          </cell>
          <cell r="D4728">
            <v>0</v>
          </cell>
          <cell r="E4728">
            <v>0</v>
          </cell>
          <cell r="F4728">
            <v>0</v>
          </cell>
          <cell r="H4728">
            <v>1</v>
          </cell>
          <cell r="O4728">
            <v>250017</v>
          </cell>
          <cell r="P4728" t="str">
            <v>2019/224-0101-01</v>
          </cell>
          <cell r="Q4728" t="str">
            <v>EST CADEIRA COLLANA EST MEL/TC 396A</v>
          </cell>
          <cell r="R4728"/>
          <cell r="S4728"/>
          <cell r="T4728">
            <v>0.7</v>
          </cell>
          <cell r="U4728">
            <v>0.65</v>
          </cell>
          <cell r="V4728">
            <v>0.81</v>
          </cell>
          <cell r="W4728">
            <v>0</v>
          </cell>
          <cell r="X4728" t="str">
            <v>EST CADEIRA COLLANA EST MEL/TC 396A - 0,7x0,65x0,81H</v>
          </cell>
          <cell r="Y4728">
            <v>5630.42</v>
          </cell>
          <cell r="Z4728">
            <v>0.5</v>
          </cell>
          <cell r="AA4728">
            <v>2815.21</v>
          </cell>
          <cell r="AB4728"/>
        </row>
        <row r="4729">
          <cell r="C4729">
            <v>0</v>
          </cell>
          <cell r="D4729">
            <v>1</v>
          </cell>
          <cell r="E4729">
            <v>0</v>
          </cell>
          <cell r="F4729">
            <v>0</v>
          </cell>
          <cell r="H4729">
            <v>2</v>
          </cell>
          <cell r="O4729">
            <v>250136</v>
          </cell>
          <cell r="P4729"/>
          <cell r="Q4729" t="str">
            <v>EST PESEIRA MIA PONTO V (LEQUE) (ROSE)</v>
          </cell>
          <cell r="R4729"/>
          <cell r="S4729"/>
          <cell r="T4729">
            <v>1.8</v>
          </cell>
          <cell r="U4729">
            <v>0.7</v>
          </cell>
          <cell r="V4729">
            <v>0</v>
          </cell>
          <cell r="W4729">
            <v>0</v>
          </cell>
          <cell r="X4729" t="str">
            <v>EST PESEIRA MIA PONTO V (LEQUE) (ROSE) - 1,8x0,7x0H</v>
          </cell>
          <cell r="Y4729" t="e">
            <v>#VALUE!</v>
          </cell>
          <cell r="Z4729">
            <v>0.35</v>
          </cell>
          <cell r="AA4729" t="e">
            <v>#VALUE!</v>
          </cell>
          <cell r="AB4729"/>
        </row>
        <row r="4730">
          <cell r="C4730">
            <v>0</v>
          </cell>
          <cell r="D4730">
            <v>0</v>
          </cell>
          <cell r="E4730">
            <v>0</v>
          </cell>
          <cell r="F4730">
            <v>0</v>
          </cell>
          <cell r="H4730">
            <v>1</v>
          </cell>
          <cell r="O4730">
            <v>251463</v>
          </cell>
          <cell r="P4730" t="str">
            <v>2019/245-0001-01</v>
          </cell>
          <cell r="Q4730" t="str">
            <v>EST MODULO ENCOSTO RETO LENCOIS M (DET MR5) (FX7623)</v>
          </cell>
          <cell r="R4730"/>
          <cell r="S4730"/>
          <cell r="T4730">
            <v>1.2</v>
          </cell>
          <cell r="U4730">
            <v>0.26</v>
          </cell>
          <cell r="V4730">
            <v>0.26</v>
          </cell>
          <cell r="W4730">
            <v>0</v>
          </cell>
          <cell r="X4730" t="str">
            <v>EST MODULO ENCOSTO RETO LENCOIS M (DET MR5) (FX7623) - 1,2x0,26x0,26H</v>
          </cell>
          <cell r="Y4730">
            <v>4589.04</v>
          </cell>
          <cell r="Z4730">
            <v>0.35</v>
          </cell>
          <cell r="AA4730">
            <v>2982.8760000000002</v>
          </cell>
          <cell r="AB4730"/>
        </row>
        <row r="4731">
          <cell r="C4731">
            <v>0</v>
          </cell>
          <cell r="D4731">
            <v>0</v>
          </cell>
          <cell r="E4731">
            <v>0</v>
          </cell>
          <cell r="F4731">
            <v>0</v>
          </cell>
          <cell r="H4731">
            <v>1</v>
          </cell>
          <cell r="O4731">
            <v>251463</v>
          </cell>
          <cell r="P4731" t="str">
            <v>2019/245-0002-01</v>
          </cell>
          <cell r="Q4731" t="str">
            <v>EST MODULO ENCOSTO RETO LENCOIS M (DET MR5) (FX7623)</v>
          </cell>
          <cell r="R4731"/>
          <cell r="S4731"/>
          <cell r="T4731">
            <v>1.2</v>
          </cell>
          <cell r="U4731">
            <v>0.26</v>
          </cell>
          <cell r="V4731">
            <v>0.26</v>
          </cell>
          <cell r="W4731">
            <v>0</v>
          </cell>
          <cell r="X4731" t="str">
            <v>EST MODULO ENCOSTO RETO LENCOIS M (DET MR5) (FX7623) - 1,2x0,26x0,26H</v>
          </cell>
          <cell r="Y4731">
            <v>4589.04</v>
          </cell>
          <cell r="Z4731">
            <v>0.35</v>
          </cell>
          <cell r="AA4731">
            <v>2982.8760000000002</v>
          </cell>
          <cell r="AB4731"/>
        </row>
        <row r="4732">
          <cell r="C4732">
            <v>0</v>
          </cell>
          <cell r="D4732">
            <v>0</v>
          </cell>
          <cell r="E4732">
            <v>0</v>
          </cell>
          <cell r="F4732">
            <v>0</v>
          </cell>
          <cell r="H4732">
            <v>1</v>
          </cell>
          <cell r="O4732">
            <v>251463</v>
          </cell>
          <cell r="P4732" t="str">
            <v>2019/245-0003-01</v>
          </cell>
          <cell r="Q4732" t="str">
            <v>EST MODULO ENCOSTO RETO LENCOIS M (DET MR5) (FX7623)</v>
          </cell>
          <cell r="R4732"/>
          <cell r="S4732"/>
          <cell r="T4732">
            <v>1.2</v>
          </cell>
          <cell r="U4732">
            <v>0.26</v>
          </cell>
          <cell r="V4732">
            <v>0.26</v>
          </cell>
          <cell r="W4732">
            <v>0</v>
          </cell>
          <cell r="X4732" t="str">
            <v>EST MODULO ENCOSTO RETO LENCOIS M (DET MR5) (FX7623) - 1,2x0,26x0,26H</v>
          </cell>
          <cell r="Y4732">
            <v>4589.04</v>
          </cell>
          <cell r="Z4732">
            <v>0.35</v>
          </cell>
          <cell r="AA4732">
            <v>2982.8760000000002</v>
          </cell>
          <cell r="AB4732"/>
        </row>
        <row r="4733">
          <cell r="C4733">
            <v>0</v>
          </cell>
          <cell r="D4733">
            <v>0</v>
          </cell>
          <cell r="E4733">
            <v>0</v>
          </cell>
          <cell r="F4733">
            <v>0</v>
          </cell>
          <cell r="H4733">
            <v>1</v>
          </cell>
          <cell r="O4733">
            <v>252276</v>
          </cell>
          <cell r="P4733" t="str">
            <v>2019/296-0005-01</v>
          </cell>
          <cell r="Q4733" t="str">
            <v>EST POLTRONA HARRY (GIRATORIA) FX C3091</v>
          </cell>
          <cell r="R4733"/>
          <cell r="S4733"/>
          <cell r="T4733">
            <v>0.89</v>
          </cell>
          <cell r="U4733">
            <v>0.83</v>
          </cell>
          <cell r="V4733">
            <v>0.72</v>
          </cell>
          <cell r="W4733">
            <v>0</v>
          </cell>
          <cell r="X4733" t="str">
            <v>EST POLTRONA HARRY (GIRATORIA) FX C3091 - 0,89x0,83x0,72H</v>
          </cell>
          <cell r="Y4733">
            <v>9054.89</v>
          </cell>
          <cell r="Z4733">
            <v>0.5</v>
          </cell>
          <cell r="AA4733">
            <v>4527.4449999999997</v>
          </cell>
          <cell r="AB4733"/>
        </row>
        <row r="4734">
          <cell r="C4734">
            <v>0</v>
          </cell>
          <cell r="D4734">
            <v>0</v>
          </cell>
          <cell r="E4734">
            <v>0</v>
          </cell>
          <cell r="F4734">
            <v>0</v>
          </cell>
          <cell r="H4734">
            <v>2</v>
          </cell>
          <cell r="O4734">
            <v>252848</v>
          </cell>
          <cell r="P4734" t="str">
            <v>2019/323-0127-01</v>
          </cell>
          <cell r="Q4734" t="str">
            <v>EST BANCO EOS Ø66 (ACO PINT PRETO) FX 671</v>
          </cell>
          <cell r="R4734"/>
          <cell r="S4734"/>
          <cell r="T4734">
            <v>0.66</v>
          </cell>
          <cell r="U4734">
            <v>0</v>
          </cell>
          <cell r="V4734">
            <v>0.43</v>
          </cell>
          <cell r="W4734">
            <v>0.66</v>
          </cell>
          <cell r="X4734" t="str">
            <v>EST BANCO EOS Ø66 (ACO PINT PRETO) FX 671 - Ø0,66x0,43H</v>
          </cell>
          <cell r="Y4734">
            <v>4487.71</v>
          </cell>
          <cell r="Z4734">
            <v>0.5</v>
          </cell>
          <cell r="AA4734">
            <v>2243.855</v>
          </cell>
          <cell r="AB4734"/>
        </row>
        <row r="4735">
          <cell r="C4735">
            <v>0</v>
          </cell>
          <cell r="D4735">
            <v>0</v>
          </cell>
          <cell r="E4735">
            <v>0</v>
          </cell>
          <cell r="F4735">
            <v>0</v>
          </cell>
          <cell r="H4735">
            <v>2</v>
          </cell>
          <cell r="O4735">
            <v>252848</v>
          </cell>
          <cell r="P4735" t="str">
            <v>2019/323-0134-01</v>
          </cell>
          <cell r="Q4735" t="str">
            <v>EST BANCO EOS Ø66 (ACO PINT PRETO) FX 671</v>
          </cell>
          <cell r="R4735"/>
          <cell r="S4735"/>
          <cell r="T4735">
            <v>0.66</v>
          </cell>
          <cell r="U4735">
            <v>0</v>
          </cell>
          <cell r="V4735">
            <v>0.43</v>
          </cell>
          <cell r="W4735">
            <v>0.66</v>
          </cell>
          <cell r="X4735" t="str">
            <v>EST BANCO EOS Ø66 (ACO PINT PRETO) FX 671 - Ø0,66x0,43H</v>
          </cell>
          <cell r="Y4735">
            <v>4487.71</v>
          </cell>
          <cell r="Z4735">
            <v>0.5</v>
          </cell>
          <cell r="AA4735">
            <v>2243.855</v>
          </cell>
          <cell r="AB4735"/>
        </row>
        <row r="4736">
          <cell r="C4736">
            <v>0</v>
          </cell>
          <cell r="D4736">
            <v>0</v>
          </cell>
          <cell r="E4736">
            <v>0</v>
          </cell>
          <cell r="F4736">
            <v>1</v>
          </cell>
          <cell r="H4736">
            <v>0</v>
          </cell>
          <cell r="O4736">
            <v>254166</v>
          </cell>
          <cell r="P4736" t="str">
            <v>2019/316-0045-01</v>
          </cell>
          <cell r="Q4736" t="str">
            <v>EST BANCO EVO (MADEIRA NATURAL) GRAVADO LOGO</v>
          </cell>
          <cell r="R4736"/>
          <cell r="S4736"/>
          <cell r="T4736">
            <v>0.39</v>
          </cell>
          <cell r="U4736">
            <v>0.37</v>
          </cell>
          <cell r="V4736">
            <v>0.45</v>
          </cell>
          <cell r="W4736">
            <v>0</v>
          </cell>
          <cell r="X4736" t="str">
            <v>EST BANCO EVO (MADEIRA NATURAL) GRAVADO LOGO - 0,39x0,37x0,45H</v>
          </cell>
          <cell r="Y4736">
            <v>3046.4</v>
          </cell>
          <cell r="Z4736">
            <v>0.5</v>
          </cell>
          <cell r="AA4736">
            <v>1523.2</v>
          </cell>
          <cell r="AB4736"/>
        </row>
        <row r="4737">
          <cell r="C4737">
            <v>0</v>
          </cell>
          <cell r="D4737">
            <v>1</v>
          </cell>
          <cell r="E4737">
            <v>0</v>
          </cell>
          <cell r="F4737">
            <v>0</v>
          </cell>
          <cell r="H4737">
            <v>1</v>
          </cell>
          <cell r="O4737">
            <v>255058</v>
          </cell>
          <cell r="P4737" t="str">
            <v>2020/066-0042-01</v>
          </cell>
          <cell r="Q4737" t="str">
            <v>EST MESA CENTRO NOMAN (TP LAM FAJO) (AUT FRAPE)</v>
          </cell>
          <cell r="R4737"/>
          <cell r="S4737"/>
          <cell r="T4737">
            <v>1.04</v>
          </cell>
          <cell r="U4737">
            <v>1.04</v>
          </cell>
          <cell r="V4737">
            <v>0.3</v>
          </cell>
          <cell r="W4737">
            <v>0</v>
          </cell>
          <cell r="X4737" t="str">
            <v>EST MESA CENTRO NOMAN (TP LAM FAJO) (AUT FRAPE) - 1,04x1,04x0,3H</v>
          </cell>
          <cell r="Y4737">
            <v>14524.16</v>
          </cell>
          <cell r="Z4737">
            <v>0.5</v>
          </cell>
          <cell r="AA4737">
            <v>7262.08</v>
          </cell>
          <cell r="AB4737"/>
        </row>
        <row r="4738">
          <cell r="C4738">
            <v>0</v>
          </cell>
          <cell r="D4738">
            <v>0</v>
          </cell>
          <cell r="E4738">
            <v>0</v>
          </cell>
          <cell r="F4738">
            <v>0</v>
          </cell>
          <cell r="H4738">
            <v>0</v>
          </cell>
          <cell r="O4738">
            <v>255066</v>
          </cell>
          <cell r="P4738" t="str">
            <v>2020/051-0046-01</v>
          </cell>
          <cell r="Q4738" t="str">
            <v>EST MESA LATERAL ARCHI (FREIJO CLARO)</v>
          </cell>
          <cell r="R4738"/>
          <cell r="S4738"/>
          <cell r="T4738">
            <v>0.8</v>
          </cell>
          <cell r="U4738">
            <v>0.8</v>
          </cell>
          <cell r="V4738">
            <v>0.6</v>
          </cell>
          <cell r="W4738">
            <v>0</v>
          </cell>
          <cell r="X4738" t="str">
            <v>EST MESA LATERAL ARCHI (FREIJO CLARO) - 0,8x0,8x0,6H</v>
          </cell>
          <cell r="Y4738">
            <v>16959.080000000002</v>
          </cell>
          <cell r="Z4738">
            <v>0.5</v>
          </cell>
          <cell r="AA4738">
            <v>8479.5400000000009</v>
          </cell>
          <cell r="AB4738"/>
        </row>
        <row r="4739">
          <cell r="C4739">
            <v>0</v>
          </cell>
          <cell r="D4739">
            <v>0</v>
          </cell>
          <cell r="E4739">
            <v>0</v>
          </cell>
          <cell r="F4739">
            <v>0</v>
          </cell>
          <cell r="H4739">
            <v>3</v>
          </cell>
          <cell r="O4739">
            <v>255782</v>
          </cell>
          <cell r="P4739" t="str">
            <v>2020/016-0029-01</v>
          </cell>
          <cell r="Q4739" t="str">
            <v>EST SOFA TABLE COOLER (TP LAM RAIZ) (AUT BROWN)</v>
          </cell>
          <cell r="R4739"/>
          <cell r="S4739"/>
          <cell r="T4739">
            <v>2.5</v>
          </cell>
          <cell r="U4739">
            <v>0.45</v>
          </cell>
          <cell r="V4739">
            <v>0.42</v>
          </cell>
          <cell r="W4739">
            <v>0</v>
          </cell>
          <cell r="X4739" t="str">
            <v>EST SOFA TABLE COOLER (TP LAM RAIZ) (AUT BROWN) - 2,5x0,45x0,42H</v>
          </cell>
          <cell r="Y4739">
            <v>17530.240000000002</v>
          </cell>
          <cell r="Z4739">
            <v>0.35</v>
          </cell>
          <cell r="AA4739">
            <v>11394.656000000003</v>
          </cell>
          <cell r="AB4739"/>
        </row>
        <row r="4740">
          <cell r="C4740">
            <v>0</v>
          </cell>
          <cell r="D4740">
            <v>0</v>
          </cell>
          <cell r="E4740">
            <v>0</v>
          </cell>
          <cell r="F4740">
            <v>0</v>
          </cell>
          <cell r="H4740">
            <v>3</v>
          </cell>
          <cell r="O4740">
            <v>255782</v>
          </cell>
          <cell r="P4740" t="str">
            <v>2020/016-0028-01</v>
          </cell>
          <cell r="Q4740" t="str">
            <v>EST SOFA TABLE COOLER (TP LAM RAIZ) (AUT BROWN)</v>
          </cell>
          <cell r="R4740"/>
          <cell r="S4740"/>
          <cell r="T4740">
            <v>2.5</v>
          </cell>
          <cell r="U4740">
            <v>0.45</v>
          </cell>
          <cell r="V4740">
            <v>0.42</v>
          </cell>
          <cell r="W4740">
            <v>0</v>
          </cell>
          <cell r="X4740" t="str">
            <v>EST SOFA TABLE COOLER (TP LAM RAIZ) (AUT BROWN) - 2,5x0,45x0,42H</v>
          </cell>
          <cell r="Y4740">
            <v>17530.240000000002</v>
          </cell>
          <cell r="Z4740">
            <v>0.5</v>
          </cell>
          <cell r="AA4740">
            <v>8765.1200000000008</v>
          </cell>
          <cell r="AB4740"/>
        </row>
        <row r="4741">
          <cell r="C4741">
            <v>0</v>
          </cell>
          <cell r="D4741">
            <v>0</v>
          </cell>
          <cell r="E4741">
            <v>0</v>
          </cell>
          <cell r="F4741">
            <v>0</v>
          </cell>
          <cell r="H4741">
            <v>3</v>
          </cell>
          <cell r="O4741">
            <v>255782</v>
          </cell>
          <cell r="P4741" t="str">
            <v>2020/016-0030-01</v>
          </cell>
          <cell r="Q4741" t="str">
            <v>EST SOFA TABLE COOLER (TP LAM RAIZ) (AUT BROWN)</v>
          </cell>
          <cell r="R4741"/>
          <cell r="S4741"/>
          <cell r="T4741">
            <v>2.5</v>
          </cell>
          <cell r="U4741">
            <v>0.45</v>
          </cell>
          <cell r="V4741">
            <v>0.42</v>
          </cell>
          <cell r="W4741">
            <v>0</v>
          </cell>
          <cell r="X4741" t="str">
            <v>EST SOFA TABLE COOLER (TP LAM RAIZ) (AUT BROWN) - 2,5x0,45x0,42H</v>
          </cell>
          <cell r="Y4741">
            <v>17530.240000000002</v>
          </cell>
          <cell r="Z4741">
            <v>0.35</v>
          </cell>
          <cell r="AA4741">
            <v>11394.656000000003</v>
          </cell>
          <cell r="AB4741"/>
        </row>
        <row r="4742">
          <cell r="C4742">
            <v>0</v>
          </cell>
          <cell r="D4742">
            <v>0</v>
          </cell>
          <cell r="E4742">
            <v>0</v>
          </cell>
          <cell r="F4742">
            <v>0</v>
          </cell>
          <cell r="H4742">
            <v>0</v>
          </cell>
          <cell r="O4742">
            <v>256006</v>
          </cell>
          <cell r="P4742" t="str">
            <v>2021/203-0008-01</v>
          </cell>
          <cell r="Q4742" t="str">
            <v>EST POLTRONA ARCO (JEQ CAST CLARO) COURO 2-8001</v>
          </cell>
          <cell r="R4742"/>
          <cell r="S4742"/>
          <cell r="T4742">
            <v>0.75</v>
          </cell>
          <cell r="U4742">
            <v>0.91</v>
          </cell>
          <cell r="V4742">
            <v>0.7</v>
          </cell>
          <cell r="W4742">
            <v>0</v>
          </cell>
          <cell r="X4742" t="str">
            <v>EST POLTRONA ARCO (JEQ CAST CLARO) COURO 2-8001 - 0,75x0,91x0,7H</v>
          </cell>
          <cell r="Y4742">
            <v>19000.259999999998</v>
          </cell>
          <cell r="Z4742">
            <v>0.35</v>
          </cell>
          <cell r="AA4742">
            <v>12350.168999999998</v>
          </cell>
          <cell r="AB4742"/>
        </row>
        <row r="4743">
          <cell r="C4743">
            <v>0</v>
          </cell>
          <cell r="D4743">
            <v>0</v>
          </cell>
          <cell r="E4743">
            <v>0</v>
          </cell>
          <cell r="F4743">
            <v>0</v>
          </cell>
          <cell r="H4743">
            <v>0</v>
          </cell>
          <cell r="O4743">
            <v>256006</v>
          </cell>
          <cell r="P4743" t="str">
            <v>2021/203-0009-01</v>
          </cell>
          <cell r="Q4743" t="str">
            <v>EST POLTRONA ARCO (JEQ CAST CLARO) COURO 2-8001</v>
          </cell>
          <cell r="R4743"/>
          <cell r="S4743"/>
          <cell r="T4743">
            <v>0.75</v>
          </cell>
          <cell r="U4743">
            <v>0.91</v>
          </cell>
          <cell r="V4743">
            <v>0.7</v>
          </cell>
          <cell r="W4743">
            <v>0</v>
          </cell>
          <cell r="X4743" t="str">
            <v>EST POLTRONA ARCO (JEQ CAST CLARO) COURO 2-8001 - 0,75x0,91x0,7H</v>
          </cell>
          <cell r="Y4743">
            <v>19000.259999999998</v>
          </cell>
          <cell r="Z4743">
            <v>0.35</v>
          </cell>
          <cell r="AA4743">
            <v>12350.168999999998</v>
          </cell>
          <cell r="AB4743"/>
        </row>
        <row r="4744">
          <cell r="C4744">
            <v>0</v>
          </cell>
          <cell r="D4744">
            <v>0</v>
          </cell>
          <cell r="E4744">
            <v>0</v>
          </cell>
          <cell r="F4744">
            <v>0</v>
          </cell>
          <cell r="H4744">
            <v>1</v>
          </cell>
          <cell r="O4744">
            <v>256172</v>
          </cell>
          <cell r="P4744" t="str">
            <v>2021/224-0012-01</v>
          </cell>
          <cell r="Q4744" t="str">
            <v>EST MESA LATERAL WINNIE TP CARVALHO EBZ/TP BRANCO MTX/EST PT</v>
          </cell>
          <cell r="R4744"/>
          <cell r="S4744"/>
          <cell r="T4744">
            <v>0.62</v>
          </cell>
          <cell r="U4744">
            <v>0.5</v>
          </cell>
          <cell r="V4744">
            <v>0.6</v>
          </cell>
          <cell r="W4744">
            <v>0</v>
          </cell>
          <cell r="X4744" t="str">
            <v>EST MESA LATERAL WINNIE TP CARVALHO EBZ/TP BRANCO MTX/EST PT - 0,62x0,5x0,6H</v>
          </cell>
          <cell r="Y4744">
            <v>7664.38</v>
          </cell>
          <cell r="Z4744">
            <v>0.5</v>
          </cell>
          <cell r="AA4744">
            <v>3832.19</v>
          </cell>
          <cell r="AB4744"/>
        </row>
        <row r="4745">
          <cell r="C4745">
            <v>0</v>
          </cell>
          <cell r="D4745">
            <v>0</v>
          </cell>
          <cell r="E4745">
            <v>1</v>
          </cell>
          <cell r="F4745">
            <v>0</v>
          </cell>
          <cell r="H4745">
            <v>1</v>
          </cell>
          <cell r="O4745">
            <v>257381</v>
          </cell>
          <cell r="P4745" t="str">
            <v>2020/105-0024-01</v>
          </cell>
          <cell r="Q4745" t="str">
            <v>EST MESA LATERAL PALITO (TP LACA CHAMPAGNE) (PES NOGUEIRA)</v>
          </cell>
          <cell r="R4745"/>
          <cell r="S4745"/>
          <cell r="T4745">
            <v>0.5</v>
          </cell>
          <cell r="U4745">
            <v>0.5</v>
          </cell>
          <cell r="V4745">
            <v>0.55000000000000004</v>
          </cell>
          <cell r="W4745">
            <v>0</v>
          </cell>
          <cell r="X4745" t="str">
            <v>EST MESA LATERAL PALITO (TP LACA CHAMPAGNE) (PES NOGUEIRA) - 0,5x0,5x0,55H</v>
          </cell>
          <cell r="Y4745">
            <v>4592</v>
          </cell>
          <cell r="Z4745">
            <v>0.5</v>
          </cell>
          <cell r="AA4745">
            <v>2296</v>
          </cell>
          <cell r="AB4745"/>
        </row>
        <row r="4746">
          <cell r="C4746">
            <v>0</v>
          </cell>
          <cell r="D4746">
            <v>1</v>
          </cell>
          <cell r="E4746">
            <v>0</v>
          </cell>
          <cell r="F4746">
            <v>0</v>
          </cell>
          <cell r="H4746">
            <v>0</v>
          </cell>
          <cell r="O4746">
            <v>260950</v>
          </cell>
          <cell r="P4746" t="str">
            <v>2020/343-0153-01</v>
          </cell>
          <cell r="Q4746" t="str">
            <v>EST CADEIRA LOGAN C/B JANTAR (FREIJO) (ESTOF) COURO CH 32</v>
          </cell>
          <cell r="R4746"/>
          <cell r="S4746"/>
          <cell r="T4746">
            <v>0.62</v>
          </cell>
          <cell r="U4746">
            <v>0.6</v>
          </cell>
          <cell r="V4746">
            <v>0.84</v>
          </cell>
          <cell r="W4746">
            <v>0</v>
          </cell>
          <cell r="X4746" t="str">
            <v>EST CADEIRA LOGAN C/B JANTAR (FREIJO) (ESTOF) COURO CH 32 - 0,62x0,6x0,84H</v>
          </cell>
          <cell r="Y4746">
            <v>13913.720000000001</v>
          </cell>
          <cell r="Z4746">
            <v>0.5</v>
          </cell>
          <cell r="AA4746">
            <v>6956.8600000000006</v>
          </cell>
          <cell r="AB4746"/>
        </row>
        <row r="4747">
          <cell r="C4747">
            <v>0</v>
          </cell>
          <cell r="D4747">
            <v>1</v>
          </cell>
          <cell r="E4747">
            <v>0</v>
          </cell>
          <cell r="F4747">
            <v>0</v>
          </cell>
          <cell r="H4747">
            <v>0</v>
          </cell>
          <cell r="O4747">
            <v>260950</v>
          </cell>
          <cell r="P4747" t="str">
            <v>2020/343-0151-01</v>
          </cell>
          <cell r="Q4747" t="str">
            <v>EST CADEIRA LOGAN C/B JANTAR (FREIJO) (ESTOF) COURO CH 32</v>
          </cell>
          <cell r="R4747"/>
          <cell r="S4747"/>
          <cell r="T4747">
            <v>0.62</v>
          </cell>
          <cell r="U4747">
            <v>0.6</v>
          </cell>
          <cell r="V4747">
            <v>0.84</v>
          </cell>
          <cell r="W4747">
            <v>0</v>
          </cell>
          <cell r="X4747" t="str">
            <v>EST CADEIRA LOGAN C/B JANTAR (FREIJO) (ESTOF) COURO CH 32 - 0,62x0,6x0,84H</v>
          </cell>
          <cell r="Y4747">
            <v>13913.720000000001</v>
          </cell>
          <cell r="Z4747">
            <v>0.5</v>
          </cell>
          <cell r="AA4747">
            <v>6956.8600000000006</v>
          </cell>
          <cell r="AB4747"/>
        </row>
        <row r="4748">
          <cell r="C4748">
            <v>0</v>
          </cell>
          <cell r="D4748">
            <v>1</v>
          </cell>
          <cell r="E4748">
            <v>0</v>
          </cell>
          <cell r="F4748">
            <v>0</v>
          </cell>
          <cell r="H4748">
            <v>0</v>
          </cell>
          <cell r="O4748">
            <v>260950</v>
          </cell>
          <cell r="P4748" t="str">
            <v>2020/343-0152-01</v>
          </cell>
          <cell r="Q4748" t="str">
            <v>EST CADEIRA LOGAN C/B JANTAR (FREIJO) (ESTOF) COURO CH 32</v>
          </cell>
          <cell r="R4748"/>
          <cell r="S4748"/>
          <cell r="T4748">
            <v>0.62</v>
          </cell>
          <cell r="U4748">
            <v>0.6</v>
          </cell>
          <cell r="V4748">
            <v>0.84</v>
          </cell>
          <cell r="W4748">
            <v>0</v>
          </cell>
          <cell r="X4748" t="str">
            <v>EST CADEIRA LOGAN C/B JANTAR (FREIJO) (ESTOF) COURO CH 32 - 0,62x0,6x0,84H</v>
          </cell>
          <cell r="Y4748">
            <v>13913.720000000001</v>
          </cell>
          <cell r="Z4748">
            <v>0.5</v>
          </cell>
          <cell r="AA4748">
            <v>6956.8600000000006</v>
          </cell>
          <cell r="AB4748"/>
        </row>
        <row r="4749">
          <cell r="C4749">
            <v>0</v>
          </cell>
          <cell r="D4749">
            <v>1</v>
          </cell>
          <cell r="E4749">
            <v>0</v>
          </cell>
          <cell r="F4749">
            <v>0</v>
          </cell>
          <cell r="H4749">
            <v>0</v>
          </cell>
          <cell r="O4749">
            <v>260950</v>
          </cell>
          <cell r="P4749" t="str">
            <v>2020/343-0154-01</v>
          </cell>
          <cell r="Q4749" t="str">
            <v>EST CADEIRA LOGAN C/B JANTAR (FREIJO) (ESTOF) COURO CH 32</v>
          </cell>
          <cell r="R4749"/>
          <cell r="S4749"/>
          <cell r="T4749">
            <v>0.62</v>
          </cell>
          <cell r="U4749">
            <v>0.6</v>
          </cell>
          <cell r="V4749">
            <v>0.84</v>
          </cell>
          <cell r="W4749">
            <v>0</v>
          </cell>
          <cell r="X4749" t="str">
            <v>EST CADEIRA LOGAN C/B JANTAR (FREIJO) (ESTOF) COURO CH 32 - 0,62x0,6x0,84H</v>
          </cell>
          <cell r="Y4749">
            <v>13913.720000000001</v>
          </cell>
          <cell r="Z4749">
            <v>0.5</v>
          </cell>
          <cell r="AA4749">
            <v>6956.8600000000006</v>
          </cell>
          <cell r="AB4749"/>
        </row>
        <row r="4750">
          <cell r="C4750">
            <v>0</v>
          </cell>
          <cell r="D4750">
            <v>1</v>
          </cell>
          <cell r="E4750">
            <v>0</v>
          </cell>
          <cell r="F4750">
            <v>0</v>
          </cell>
          <cell r="H4750">
            <v>0</v>
          </cell>
          <cell r="O4750">
            <v>260950</v>
          </cell>
          <cell r="P4750" t="str">
            <v>2020/343-0150-01</v>
          </cell>
          <cell r="Q4750" t="str">
            <v>EST CADEIRA LOGAN C/B JANTAR (FREIJO) (ESTOF) COURO CH 32</v>
          </cell>
          <cell r="R4750"/>
          <cell r="S4750"/>
          <cell r="T4750">
            <v>0.62</v>
          </cell>
          <cell r="U4750">
            <v>0.6</v>
          </cell>
          <cell r="V4750">
            <v>0.84</v>
          </cell>
          <cell r="W4750">
            <v>0</v>
          </cell>
          <cell r="X4750" t="str">
            <v>EST CADEIRA LOGAN C/B JANTAR (FREIJO) (ESTOF) COURO CH 32 - 0,62x0,6x0,84H</v>
          </cell>
          <cell r="Y4750">
            <v>13913.720000000001</v>
          </cell>
          <cell r="Z4750">
            <v>0.5</v>
          </cell>
          <cell r="AA4750">
            <v>6956.8600000000006</v>
          </cell>
          <cell r="AB4750"/>
        </row>
        <row r="4751">
          <cell r="C4751">
            <v>0</v>
          </cell>
          <cell r="D4751">
            <v>0</v>
          </cell>
          <cell r="E4751">
            <v>0</v>
          </cell>
          <cell r="F4751">
            <v>0</v>
          </cell>
          <cell r="H4751">
            <v>0</v>
          </cell>
          <cell r="O4751">
            <v>260993</v>
          </cell>
          <cell r="P4751" t="str">
            <v>2020/184-0029-01</v>
          </cell>
          <cell r="Q4751" t="str">
            <v>EST ALMOFADA DECORATIVA (COURO T4 CAMURCA MARRONE)</v>
          </cell>
          <cell r="R4751"/>
          <cell r="S4751"/>
          <cell r="T4751">
            <v>0.6</v>
          </cell>
          <cell r="U4751">
            <v>0.6</v>
          </cell>
          <cell r="V4751">
            <v>0</v>
          </cell>
          <cell r="W4751">
            <v>0</v>
          </cell>
          <cell r="X4751" t="str">
            <v>EST ALMOFADA DECORATIVA (COURO T4 CAMURCA MARRONE) - 0,6x0,6x0H</v>
          </cell>
          <cell r="Y4751">
            <v>2252.0100000000002</v>
          </cell>
          <cell r="Z4751">
            <v>0.5</v>
          </cell>
          <cell r="AA4751">
            <v>1126.0050000000001</v>
          </cell>
          <cell r="AB4751"/>
        </row>
        <row r="4752">
          <cell r="C4752">
            <v>0</v>
          </cell>
          <cell r="D4752">
            <v>0</v>
          </cell>
          <cell r="E4752">
            <v>0</v>
          </cell>
          <cell r="F4752">
            <v>0</v>
          </cell>
          <cell r="H4752">
            <v>0</v>
          </cell>
          <cell r="O4752">
            <v>260993</v>
          </cell>
          <cell r="P4752" t="str">
            <v>2020/184-0036-01</v>
          </cell>
          <cell r="Q4752" t="str">
            <v>EST ALMOFADA DECORATIVA (COURO T4 CAMURCA MARRONE)</v>
          </cell>
          <cell r="R4752"/>
          <cell r="S4752"/>
          <cell r="T4752">
            <v>0.6</v>
          </cell>
          <cell r="U4752">
            <v>0.6</v>
          </cell>
          <cell r="V4752">
            <v>0</v>
          </cell>
          <cell r="W4752">
            <v>0</v>
          </cell>
          <cell r="X4752" t="str">
            <v>EST ALMOFADA DECORATIVA (COURO T4 CAMURCA MARRONE) - 0,6x0,6x0H</v>
          </cell>
          <cell r="Y4752">
            <v>2252.0100000000002</v>
          </cell>
          <cell r="Z4752">
            <v>0.5</v>
          </cell>
          <cell r="AA4752">
            <v>1126.0050000000001</v>
          </cell>
          <cell r="AB4752"/>
        </row>
        <row r="4753">
          <cell r="C4753">
            <v>0</v>
          </cell>
          <cell r="D4753">
            <v>0</v>
          </cell>
          <cell r="E4753">
            <v>0</v>
          </cell>
          <cell r="F4753">
            <v>2</v>
          </cell>
          <cell r="H4753">
            <v>0</v>
          </cell>
          <cell r="O4753">
            <v>261010</v>
          </cell>
          <cell r="P4753" t="str">
            <v>2020/084-0035-01</v>
          </cell>
          <cell r="Q4753" t="str">
            <v>EST AC VASO ONDO POMME 16,5X5 CERAMICA VERMELHA</v>
          </cell>
          <cell r="R4753"/>
          <cell r="S4753"/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 t="str">
            <v>EST AC VASO ONDO POMME 16,5X5 CERAMICA VERMELHA - Ø0x0H</v>
          </cell>
          <cell r="Y4753">
            <v>1048.32</v>
          </cell>
          <cell r="Z4753">
            <v>0.35</v>
          </cell>
          <cell r="AA4753">
            <v>681.4079999999999</v>
          </cell>
          <cell r="AB4753"/>
        </row>
        <row r="4754">
          <cell r="C4754">
            <v>0</v>
          </cell>
          <cell r="D4754">
            <v>0</v>
          </cell>
          <cell r="E4754">
            <v>0</v>
          </cell>
          <cell r="F4754">
            <v>2</v>
          </cell>
          <cell r="H4754">
            <v>0</v>
          </cell>
          <cell r="O4754">
            <v>261010</v>
          </cell>
          <cell r="P4754" t="str">
            <v>2020/084-0036-01</v>
          </cell>
          <cell r="Q4754" t="str">
            <v>EST AC VASO ONDO POMME 16,5X5 CERAMICA VERMELHA</v>
          </cell>
          <cell r="R4754"/>
          <cell r="S4754"/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 t="str">
            <v>EST AC VASO ONDO POMME 16,5X5 CERAMICA VERMELHA - Ø0x0H</v>
          </cell>
          <cell r="Y4754">
            <v>1048.32</v>
          </cell>
          <cell r="Z4754">
            <v>0.35</v>
          </cell>
          <cell r="AA4754">
            <v>681.4079999999999</v>
          </cell>
          <cell r="AB4754"/>
        </row>
        <row r="4755">
          <cell r="C4755">
            <v>0</v>
          </cell>
          <cell r="D4755">
            <v>0</v>
          </cell>
          <cell r="E4755">
            <v>0</v>
          </cell>
          <cell r="F4755">
            <v>2</v>
          </cell>
          <cell r="H4755">
            <v>0</v>
          </cell>
          <cell r="O4755">
            <v>261010</v>
          </cell>
          <cell r="P4755" t="str">
            <v>2020/084-0037-01</v>
          </cell>
          <cell r="Q4755" t="str">
            <v>EST AC VASO ONDO POMME 16,5X5 CERAMICA VERMELHA</v>
          </cell>
          <cell r="R4755"/>
          <cell r="S4755"/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 t="str">
            <v>EST AC VASO ONDO POMME 16,5X5 CERAMICA VERMELHA - Ø0x0H</v>
          </cell>
          <cell r="Y4755">
            <v>1048.32</v>
          </cell>
          <cell r="Z4755">
            <v>0.35</v>
          </cell>
          <cell r="AA4755">
            <v>681.4079999999999</v>
          </cell>
          <cell r="AB4755"/>
        </row>
        <row r="4756">
          <cell r="C4756">
            <v>0</v>
          </cell>
          <cell r="D4756">
            <v>2</v>
          </cell>
          <cell r="E4756">
            <v>0</v>
          </cell>
          <cell r="F4756">
            <v>1</v>
          </cell>
          <cell r="H4756">
            <v>0</v>
          </cell>
          <cell r="O4756">
            <v>261012</v>
          </cell>
          <cell r="P4756" t="str">
            <v>2020/084-0041-01</v>
          </cell>
          <cell r="Q4756" t="str">
            <v>EST AC VASO LARGO ONDO FUMEE 21X20 CERAMICA CINZA</v>
          </cell>
          <cell r="R4756"/>
          <cell r="S4756"/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 t="str">
            <v>EST AC VASO LARGO ONDO FUMEE 21X20 CERAMICA CINZA - Ø0x0H</v>
          </cell>
          <cell r="Y4756">
            <v>887.04</v>
          </cell>
          <cell r="Z4756">
            <v>0.35</v>
          </cell>
          <cell r="AA4756">
            <v>576.57600000000002</v>
          </cell>
          <cell r="AB4756"/>
        </row>
        <row r="4757">
          <cell r="C4757">
            <v>0</v>
          </cell>
          <cell r="D4757">
            <v>2</v>
          </cell>
          <cell r="E4757">
            <v>0</v>
          </cell>
          <cell r="F4757">
            <v>1</v>
          </cell>
          <cell r="H4757">
            <v>0</v>
          </cell>
          <cell r="O4757">
            <v>261012</v>
          </cell>
          <cell r="P4757" t="str">
            <v>2020/084-0043-01</v>
          </cell>
          <cell r="Q4757" t="str">
            <v>EST AC VASO LARGO ONDO FUMEE 21X20 CERAMICA CINZA</v>
          </cell>
          <cell r="R4757"/>
          <cell r="S4757"/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 t="str">
            <v>EST AC VASO LARGO ONDO FUMEE 21X20 CERAMICA CINZA - Ø0x0H</v>
          </cell>
          <cell r="Y4757">
            <v>887.04</v>
          </cell>
          <cell r="Z4757">
            <v>0.35</v>
          </cell>
          <cell r="AA4757">
            <v>576.57600000000002</v>
          </cell>
          <cell r="AB4757"/>
        </row>
        <row r="4758">
          <cell r="C4758">
            <v>0</v>
          </cell>
          <cell r="D4758">
            <v>2</v>
          </cell>
          <cell r="E4758">
            <v>0</v>
          </cell>
          <cell r="F4758">
            <v>1</v>
          </cell>
          <cell r="H4758">
            <v>0</v>
          </cell>
          <cell r="O4758">
            <v>261012</v>
          </cell>
          <cell r="P4758" t="str">
            <v>2020/084-0042-01</v>
          </cell>
          <cell r="Q4758" t="str">
            <v>EST AC VASO LARGO ONDO FUMEE 21X20 CERAMICA CINZA</v>
          </cell>
          <cell r="R4758"/>
          <cell r="S4758"/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 t="str">
            <v>EST AC VASO LARGO ONDO FUMEE 21X20 CERAMICA CINZA - Ø0x0H</v>
          </cell>
          <cell r="Y4758">
            <v>887.04</v>
          </cell>
          <cell r="Z4758">
            <v>0.35</v>
          </cell>
          <cell r="AA4758">
            <v>576.57600000000002</v>
          </cell>
          <cell r="AB4758"/>
        </row>
        <row r="4759">
          <cell r="C4759">
            <v>0</v>
          </cell>
          <cell r="D4759">
            <v>2</v>
          </cell>
          <cell r="E4759">
            <v>0</v>
          </cell>
          <cell r="F4759">
            <v>1</v>
          </cell>
          <cell r="H4759">
            <v>0</v>
          </cell>
          <cell r="O4759">
            <v>261013</v>
          </cell>
          <cell r="P4759" t="str">
            <v>2020/084-0044-01</v>
          </cell>
          <cell r="Q4759" t="str">
            <v>EST AC CENTRO DE MESA ONDO FUMEE 24X15 CERAMICA CINZA</v>
          </cell>
          <cell r="R4759"/>
          <cell r="S4759"/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 t="str">
            <v>EST AC CENTRO DE MESA ONDO FUMEE 24X15 CERAMICA CINZA - Ø0x0H</v>
          </cell>
          <cell r="Y4759">
            <v>967.68</v>
          </cell>
          <cell r="Z4759">
            <v>0.35</v>
          </cell>
          <cell r="AA4759">
            <v>628.99199999999996</v>
          </cell>
          <cell r="AB4759"/>
        </row>
        <row r="4760">
          <cell r="C4760">
            <v>0</v>
          </cell>
          <cell r="D4760">
            <v>2</v>
          </cell>
          <cell r="E4760">
            <v>0</v>
          </cell>
          <cell r="F4760">
            <v>1</v>
          </cell>
          <cell r="H4760">
            <v>0</v>
          </cell>
          <cell r="O4760">
            <v>261013</v>
          </cell>
          <cell r="P4760" t="str">
            <v>2020/084-0045-01</v>
          </cell>
          <cell r="Q4760" t="str">
            <v>EST AC CENTRO DE MESA ONDO FUMEE 24X15 CERAMICA CINZA</v>
          </cell>
          <cell r="R4760"/>
          <cell r="S4760"/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 t="str">
            <v>EST AC CENTRO DE MESA ONDO FUMEE 24X15 CERAMICA CINZA - Ø0x0H</v>
          </cell>
          <cell r="Y4760">
            <v>967.68</v>
          </cell>
          <cell r="Z4760">
            <v>0.35</v>
          </cell>
          <cell r="AA4760">
            <v>628.99199999999996</v>
          </cell>
          <cell r="AB4760"/>
        </row>
        <row r="4761">
          <cell r="C4761">
            <v>0</v>
          </cell>
          <cell r="D4761">
            <v>2</v>
          </cell>
          <cell r="E4761">
            <v>0</v>
          </cell>
          <cell r="F4761">
            <v>1</v>
          </cell>
          <cell r="H4761">
            <v>0</v>
          </cell>
          <cell r="O4761">
            <v>261014</v>
          </cell>
          <cell r="P4761" t="str">
            <v>2020/084-0047-01</v>
          </cell>
          <cell r="Q4761" t="str">
            <v>EST AC GRANDE VASO TACA ONDO FUMEE 16,5X32 CERAMICA CINZA</v>
          </cell>
          <cell r="R4761"/>
          <cell r="S4761"/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 t="str">
            <v>EST AC GRANDE VASO TACA ONDO FUMEE 16,5X32 CERAMICA CINZA - Ø0x0H</v>
          </cell>
          <cell r="Y4761">
            <v>1048.32</v>
          </cell>
          <cell r="Z4761">
            <v>0.35</v>
          </cell>
          <cell r="AA4761">
            <v>681.4079999999999</v>
          </cell>
          <cell r="AB4761"/>
        </row>
        <row r="4762">
          <cell r="C4762">
            <v>0</v>
          </cell>
          <cell r="D4762">
            <v>2</v>
          </cell>
          <cell r="E4762">
            <v>0</v>
          </cell>
          <cell r="F4762">
            <v>1</v>
          </cell>
          <cell r="H4762">
            <v>0</v>
          </cell>
          <cell r="O4762">
            <v>261014</v>
          </cell>
          <cell r="P4762" t="str">
            <v>2020/084-0048-01</v>
          </cell>
          <cell r="Q4762" t="str">
            <v>EST AC GRANDE VASO TACA ONDO FUMEE 16,5X32 CERAMICA CINZA</v>
          </cell>
          <cell r="R4762"/>
          <cell r="S4762"/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 t="str">
            <v>EST AC GRANDE VASO TACA ONDO FUMEE 16,5X32 CERAMICA CINZA - Ø0x0H</v>
          </cell>
          <cell r="Y4762">
            <v>1048.32</v>
          </cell>
          <cell r="Z4762">
            <v>0.35</v>
          </cell>
          <cell r="AA4762">
            <v>681.4079999999999</v>
          </cell>
          <cell r="AB4762"/>
        </row>
        <row r="4763">
          <cell r="C4763">
            <v>0</v>
          </cell>
          <cell r="D4763">
            <v>2</v>
          </cell>
          <cell r="E4763">
            <v>0</v>
          </cell>
          <cell r="F4763">
            <v>1</v>
          </cell>
          <cell r="H4763">
            <v>0</v>
          </cell>
          <cell r="O4763">
            <v>261014</v>
          </cell>
          <cell r="P4763" t="str">
            <v>2020/084-0049-01</v>
          </cell>
          <cell r="Q4763" t="str">
            <v>EST AC GRANDE VASO TACA ONDO FUMEE 16,5X32 CERAMICA CINZA</v>
          </cell>
          <cell r="R4763"/>
          <cell r="S4763"/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 t="str">
            <v>EST AC GRANDE VASO TACA ONDO FUMEE 16,5X32 CERAMICA CINZA - Ø0x0H</v>
          </cell>
          <cell r="Y4763">
            <v>1048.32</v>
          </cell>
          <cell r="Z4763">
            <v>0.35</v>
          </cell>
          <cell r="AA4763">
            <v>681.4079999999999</v>
          </cell>
          <cell r="AB4763"/>
        </row>
        <row r="4764">
          <cell r="C4764">
            <v>0</v>
          </cell>
          <cell r="D4764">
            <v>0</v>
          </cell>
          <cell r="E4764">
            <v>0</v>
          </cell>
          <cell r="F4764">
            <v>0</v>
          </cell>
          <cell r="H4764">
            <v>4</v>
          </cell>
          <cell r="O4764">
            <v>265893</v>
          </cell>
          <cell r="P4764"/>
          <cell r="Q4764" t="str">
            <v>EST ALMOFADA FITA ASPEN COR TELHA</v>
          </cell>
          <cell r="R4764"/>
          <cell r="S4764"/>
          <cell r="T4764">
            <v>0.5</v>
          </cell>
          <cell r="U4764">
            <v>0.5</v>
          </cell>
          <cell r="V4764">
            <v>0</v>
          </cell>
          <cell r="W4764">
            <v>0</v>
          </cell>
          <cell r="X4764" t="str">
            <v>EST ALMOFADA FITA ASPEN COR TELHA - 0,5x0,5x0H</v>
          </cell>
          <cell r="Y4764" t="e">
            <v>#VALUE!</v>
          </cell>
          <cell r="Z4764">
            <v>0.35</v>
          </cell>
          <cell r="AA4764" t="e">
            <v>#VALUE!</v>
          </cell>
          <cell r="AB4764"/>
        </row>
        <row r="4765">
          <cell r="C4765">
            <v>0</v>
          </cell>
          <cell r="D4765">
            <v>0</v>
          </cell>
          <cell r="E4765">
            <v>0</v>
          </cell>
          <cell r="F4765">
            <v>0</v>
          </cell>
          <cell r="H4765">
            <v>0</v>
          </cell>
          <cell r="O4765">
            <v>266080</v>
          </cell>
          <cell r="P4765"/>
          <cell r="Q4765" t="str">
            <v>EST QUADRO MALI LAAL (740) MOL F23 SEM PASP</v>
          </cell>
          <cell r="R4765"/>
          <cell r="S4765"/>
          <cell r="T4765">
            <v>1</v>
          </cell>
          <cell r="U4765">
            <v>1</v>
          </cell>
          <cell r="V4765">
            <v>0.03</v>
          </cell>
          <cell r="W4765">
            <v>0</v>
          </cell>
          <cell r="X4765" t="str">
            <v>EST QUADRO MALI LAAL (740) MOL F23 SEM PASP - 1x1x0,03H</v>
          </cell>
          <cell r="Y4765" t="str">
            <v>EST</v>
          </cell>
          <cell r="Z4765">
            <v>0.35</v>
          </cell>
          <cell r="AA4765" t="e">
            <v>#VALUE!</v>
          </cell>
          <cell r="AB4765"/>
        </row>
        <row r="4766">
          <cell r="C4766">
            <v>0</v>
          </cell>
          <cell r="D4766">
            <v>0</v>
          </cell>
          <cell r="E4766">
            <v>0</v>
          </cell>
          <cell r="F4766">
            <v>0</v>
          </cell>
          <cell r="H4766">
            <v>0</v>
          </cell>
          <cell r="O4766">
            <v>266352</v>
          </cell>
          <cell r="P4766"/>
          <cell r="Q4766" t="str">
            <v>EST CADEIRA MIA (GIR C/RODIZIO) (BS LP903) (NOG/COURO BLACK)</v>
          </cell>
          <cell r="R4766"/>
          <cell r="S4766"/>
          <cell r="T4766">
            <v>0.72</v>
          </cell>
          <cell r="U4766">
            <v>0.62</v>
          </cell>
          <cell r="V4766">
            <v>0.85</v>
          </cell>
          <cell r="W4766">
            <v>0</v>
          </cell>
          <cell r="X4766" t="str">
            <v>EST CADEIRA MIA (GIR C/RODIZIO) (BS LP903) (NOG/COURO BLACK) - 0,72x0,62x0,85H</v>
          </cell>
          <cell r="Y4766">
            <v>22601.599999999999</v>
          </cell>
          <cell r="Z4766">
            <v>0.5</v>
          </cell>
          <cell r="AA4766">
            <v>11300.8</v>
          </cell>
          <cell r="AB4766"/>
        </row>
        <row r="4767">
          <cell r="C4767">
            <v>0</v>
          </cell>
          <cell r="D4767">
            <v>0</v>
          </cell>
          <cell r="E4767">
            <v>0</v>
          </cell>
          <cell r="F4767">
            <v>0</v>
          </cell>
          <cell r="H4767">
            <v>1</v>
          </cell>
          <cell r="O4767">
            <v>270375</v>
          </cell>
          <cell r="P4767" t="str">
            <v>2020/338-0025-01</v>
          </cell>
          <cell r="Q4767" t="str">
            <v>EST MESA JANTAR BANK (INTEIRA LAMINA FREIJO NATURAL)</v>
          </cell>
          <cell r="R4767"/>
          <cell r="S4767"/>
          <cell r="T4767">
            <v>3</v>
          </cell>
          <cell r="U4767">
            <v>1.1000000000000001</v>
          </cell>
          <cell r="V4767">
            <v>0.75</v>
          </cell>
          <cell r="W4767">
            <v>0</v>
          </cell>
          <cell r="X4767" t="str">
            <v>EST MESA JANTAR BANK (INTEIRA LAMINA FREIJO NATURAL) - 3x1,1x0,75H</v>
          </cell>
          <cell r="Y4767">
            <v>86775.54</v>
          </cell>
          <cell r="Z4767">
            <v>0.5</v>
          </cell>
          <cell r="AA4767">
            <v>43387.77</v>
          </cell>
          <cell r="AB4767"/>
        </row>
        <row r="4768">
          <cell r="C4768">
            <v>0</v>
          </cell>
          <cell r="D4768">
            <v>0</v>
          </cell>
          <cell r="E4768">
            <v>0</v>
          </cell>
          <cell r="F4768">
            <v>0</v>
          </cell>
          <cell r="H4768">
            <v>0</v>
          </cell>
          <cell r="O4768">
            <v>270442</v>
          </cell>
          <cell r="P4768"/>
          <cell r="Q4768" t="str">
            <v>EST LUMINARIA UNICA MESA/DOURADO/VD FSC SOPRADO</v>
          </cell>
          <cell r="R4768"/>
          <cell r="S4768"/>
          <cell r="T4768">
            <v>0.23</v>
          </cell>
          <cell r="U4768">
            <v>0</v>
          </cell>
          <cell r="V4768">
            <v>0.48</v>
          </cell>
          <cell r="W4768">
            <v>0.23</v>
          </cell>
          <cell r="X4768" t="str">
            <v>EST LUMINARIA UNICA MESA/DOURADO/VD FSC SOPRADO - Ø0,23x0,48H</v>
          </cell>
          <cell r="Y4768" t="str">
            <v>EST</v>
          </cell>
          <cell r="Z4768">
            <v>0.35</v>
          </cell>
          <cell r="AA4768" t="e">
            <v>#VALUE!</v>
          </cell>
          <cell r="AB4768"/>
        </row>
        <row r="4769">
          <cell r="C4769">
            <v>1</v>
          </cell>
          <cell r="D4769">
            <v>0</v>
          </cell>
          <cell r="E4769">
            <v>0</v>
          </cell>
          <cell r="F4769">
            <v>0</v>
          </cell>
          <cell r="H4769">
            <v>2</v>
          </cell>
          <cell r="O4769">
            <v>270478</v>
          </cell>
          <cell r="P4769" t="str">
            <v>2020/322-0068-01</v>
          </cell>
          <cell r="Q4769" t="str">
            <v>EST POLTRONA SOFT (BS ELET CORTEN) C0700-1/SOL NATURAL</v>
          </cell>
          <cell r="R4769"/>
          <cell r="S4769"/>
          <cell r="T4769">
            <v>0.87</v>
          </cell>
          <cell r="U4769">
            <v>1.02</v>
          </cell>
          <cell r="V4769">
            <v>0.8</v>
          </cell>
          <cell r="W4769">
            <v>0</v>
          </cell>
          <cell r="X4769" t="str">
            <v>EST POLTRONA SOFT (BS ELET CORTEN) C0700-1/SOL NATURAL - 0,87x1,02x0,8H</v>
          </cell>
          <cell r="Y4769">
            <v>30886.22</v>
          </cell>
          <cell r="Z4769">
            <v>0.35</v>
          </cell>
          <cell r="AA4769">
            <v>20076.043000000001</v>
          </cell>
          <cell r="AB4769"/>
        </row>
        <row r="4770">
          <cell r="C4770">
            <v>2</v>
          </cell>
          <cell r="D4770">
            <v>0</v>
          </cell>
          <cell r="E4770">
            <v>0</v>
          </cell>
          <cell r="F4770">
            <v>0</v>
          </cell>
          <cell r="H4770">
            <v>2</v>
          </cell>
          <cell r="O4770">
            <v>270480</v>
          </cell>
          <cell r="P4770" t="str">
            <v>2020/344-0192-01</v>
          </cell>
          <cell r="Q4770" t="str">
            <v>EST POLTRONA APOLLO PELE (ELETROST PRETA) C700/8/COURO PT</v>
          </cell>
          <cell r="R4770"/>
          <cell r="S4770"/>
          <cell r="T4770">
            <v>0.75</v>
          </cell>
          <cell r="U4770">
            <v>0.62</v>
          </cell>
          <cell r="V4770">
            <v>0.7</v>
          </cell>
          <cell r="W4770">
            <v>0</v>
          </cell>
          <cell r="X4770" t="str">
            <v>EST POLTRONA APOLLO PELE (ELETROST PRETA) C700/8/COURO PT - 0,75x0,62x0,7H</v>
          </cell>
          <cell r="Y4770">
            <v>23439.67</v>
          </cell>
          <cell r="Z4770">
            <v>0.5</v>
          </cell>
          <cell r="AA4770">
            <v>11719.834999999999</v>
          </cell>
          <cell r="AB4770"/>
        </row>
        <row r="4771">
          <cell r="C4771">
            <v>2</v>
          </cell>
          <cell r="D4771">
            <v>0</v>
          </cell>
          <cell r="E4771">
            <v>0</v>
          </cell>
          <cell r="F4771">
            <v>0</v>
          </cell>
          <cell r="H4771">
            <v>2</v>
          </cell>
          <cell r="O4771">
            <v>270480</v>
          </cell>
          <cell r="P4771" t="str">
            <v>2020/344-0193-01</v>
          </cell>
          <cell r="Q4771" t="str">
            <v>EST POLTRONA APOLLO PELE (ELETROST PRETA) C700/8/COURO PT</v>
          </cell>
          <cell r="R4771"/>
          <cell r="S4771"/>
          <cell r="T4771">
            <v>0.75</v>
          </cell>
          <cell r="U4771">
            <v>0.62</v>
          </cell>
          <cell r="V4771">
            <v>0.7</v>
          </cell>
          <cell r="W4771">
            <v>0</v>
          </cell>
          <cell r="X4771" t="str">
            <v>EST POLTRONA APOLLO PELE (ELETROST PRETA) C700/8/COURO PT - 0,75x0,62x0,7H</v>
          </cell>
          <cell r="Y4771">
            <v>23439.67</v>
          </cell>
          <cell r="Z4771">
            <v>0.5</v>
          </cell>
          <cell r="AA4771">
            <v>11719.834999999999</v>
          </cell>
          <cell r="AB4771"/>
        </row>
        <row r="4772">
          <cell r="C4772">
            <v>1</v>
          </cell>
          <cell r="D4772">
            <v>1</v>
          </cell>
          <cell r="E4772">
            <v>0</v>
          </cell>
          <cell r="F4772">
            <v>0</v>
          </cell>
          <cell r="H4772">
            <v>1</v>
          </cell>
          <cell r="O4772">
            <v>270551</v>
          </cell>
          <cell r="P4772" t="str">
            <v>2020/332-0016-01</v>
          </cell>
          <cell r="Q4772" t="str">
            <v>EST BANQUETA BAR LISBOA (MARFIM NOCCE) (FX A1094/DET CAMEL)</v>
          </cell>
          <cell r="R4772"/>
          <cell r="S4772"/>
          <cell r="T4772">
            <v>0.45</v>
          </cell>
          <cell r="U4772">
            <v>0.54</v>
          </cell>
          <cell r="V4772">
            <v>1.01</v>
          </cell>
          <cell r="W4772">
            <v>0</v>
          </cell>
          <cell r="X4772" t="str">
            <v>EST BANQUETA BAR LISBOA (MARFIM NOCCE) (FX A1094/DET CAMEL) - 0,45x0,54x1,01H</v>
          </cell>
          <cell r="Y4772">
            <v>4139.5200000000004</v>
          </cell>
          <cell r="Z4772">
            <v>0.5</v>
          </cell>
          <cell r="AA4772">
            <v>2069.7600000000002</v>
          </cell>
          <cell r="AB4772"/>
        </row>
        <row r="4773">
          <cell r="C4773">
            <v>0</v>
          </cell>
          <cell r="D4773">
            <v>0</v>
          </cell>
          <cell r="E4773">
            <v>0</v>
          </cell>
          <cell r="F4773">
            <v>0</v>
          </cell>
          <cell r="H4773">
            <v>1</v>
          </cell>
          <cell r="O4773">
            <v>270795</v>
          </cell>
          <cell r="P4773" t="str">
            <v>2020/338-0080-01</v>
          </cell>
          <cell r="Q4773" t="str">
            <v>EST BANCO DALI FX E5116</v>
          </cell>
          <cell r="R4773"/>
          <cell r="S4773"/>
          <cell r="T4773">
            <v>1.8</v>
          </cell>
          <cell r="U4773">
            <v>0.6</v>
          </cell>
          <cell r="V4773">
            <v>0.44</v>
          </cell>
          <cell r="W4773">
            <v>0</v>
          </cell>
          <cell r="X4773" t="str">
            <v>EST BANCO DALI FX E5116 - 1,8x0,6x0,44H</v>
          </cell>
          <cell r="Y4773">
            <v>11509.25</v>
          </cell>
          <cell r="Z4773">
            <v>0.5</v>
          </cell>
          <cell r="AA4773">
            <v>5754.625</v>
          </cell>
          <cell r="AB4773"/>
        </row>
        <row r="4774">
          <cell r="C4774">
            <v>0</v>
          </cell>
          <cell r="D4774">
            <v>0</v>
          </cell>
          <cell r="E4774">
            <v>0</v>
          </cell>
          <cell r="F4774">
            <v>0</v>
          </cell>
          <cell r="H4774">
            <v>0</v>
          </cell>
          <cell r="O4774">
            <v>271414</v>
          </cell>
          <cell r="P4774" t="str">
            <v>2020/343-0079-01</v>
          </cell>
          <cell r="Q4774" t="str">
            <v>EST QUADRO RAFIA MOSTARDA M6 (1382) MOLDURA BRONZE</v>
          </cell>
          <cell r="R4774"/>
          <cell r="S4774"/>
          <cell r="T4774">
            <v>0.6</v>
          </cell>
          <cell r="U4774">
            <v>0.6</v>
          </cell>
          <cell r="V4774">
            <v>0</v>
          </cell>
          <cell r="W4774">
            <v>0</v>
          </cell>
          <cell r="X4774" t="str">
            <v>EST QUADRO RAFIA MOSTARDA M6 (1382) MOLDURA BRONZE - 0,6x0,6x0H</v>
          </cell>
          <cell r="Y4774" t="str">
            <v>EST</v>
          </cell>
          <cell r="Z4774">
            <v>0.35</v>
          </cell>
          <cell r="AA4774" t="e">
            <v>#VALUE!</v>
          </cell>
          <cell r="AB4774"/>
        </row>
        <row r="4775">
          <cell r="C4775">
            <v>0</v>
          </cell>
          <cell r="D4775">
            <v>0</v>
          </cell>
          <cell r="E4775">
            <v>0</v>
          </cell>
          <cell r="F4775">
            <v>0</v>
          </cell>
          <cell r="H4775">
            <v>0</v>
          </cell>
          <cell r="O4775">
            <v>271414</v>
          </cell>
          <cell r="P4775" t="str">
            <v>2020/343-0017-01</v>
          </cell>
          <cell r="Q4775" t="str">
            <v>EST QUADRO RAFIA MOSTARDA M6 (1382) MOLDURA BRONZE</v>
          </cell>
          <cell r="R4775"/>
          <cell r="S4775"/>
          <cell r="T4775">
            <v>0.6</v>
          </cell>
          <cell r="U4775">
            <v>0.6</v>
          </cell>
          <cell r="V4775">
            <v>0</v>
          </cell>
          <cell r="W4775">
            <v>0</v>
          </cell>
          <cell r="X4775" t="str">
            <v>EST QUADRO RAFIA MOSTARDA M6 (1382) MOLDURA BRONZE - 0,6x0,6x0H</v>
          </cell>
          <cell r="Y4775" t="str">
            <v>EST</v>
          </cell>
          <cell r="Z4775">
            <v>0.35</v>
          </cell>
          <cell r="AA4775" t="e">
            <v>#VALUE!</v>
          </cell>
          <cell r="AB4775"/>
        </row>
        <row r="4776">
          <cell r="C4776">
            <v>0</v>
          </cell>
          <cell r="D4776">
            <v>0</v>
          </cell>
          <cell r="E4776">
            <v>0</v>
          </cell>
          <cell r="F4776">
            <v>0</v>
          </cell>
          <cell r="H4776">
            <v>0</v>
          </cell>
          <cell r="O4776">
            <v>271415</v>
          </cell>
          <cell r="P4776" t="str">
            <v>2020/343-0080-01</v>
          </cell>
          <cell r="Q4776" t="str">
            <v>EST QUADRO RAFIA MUSGO M6 (1383) MOLD BRONZE</v>
          </cell>
          <cell r="R4776"/>
          <cell r="S4776"/>
          <cell r="T4776">
            <v>0.6</v>
          </cell>
          <cell r="U4776">
            <v>0.6</v>
          </cell>
          <cell r="V4776">
            <v>0</v>
          </cell>
          <cell r="W4776">
            <v>0</v>
          </cell>
          <cell r="X4776" t="str">
            <v>EST QUADRO RAFIA MUSGO M6 (1383) MOLD BRONZE - 0,6x0,6x0H</v>
          </cell>
          <cell r="Y4776" t="str">
            <v>EST</v>
          </cell>
          <cell r="Z4776">
            <v>0.35</v>
          </cell>
          <cell r="AA4776" t="e">
            <v>#VALUE!</v>
          </cell>
          <cell r="AB4776"/>
        </row>
        <row r="4777">
          <cell r="C4777">
            <v>1</v>
          </cell>
          <cell r="D4777">
            <v>1</v>
          </cell>
          <cell r="E4777">
            <v>0</v>
          </cell>
          <cell r="F4777">
            <v>0</v>
          </cell>
          <cell r="H4777">
            <v>0</v>
          </cell>
          <cell r="O4777">
            <v>271476</v>
          </cell>
          <cell r="P4777"/>
          <cell r="Q4777" t="str">
            <v>EST AC VASO GHAT I 17,5X10,5X10,5 CERAMICA AZUL</v>
          </cell>
          <cell r="R4777"/>
          <cell r="S4777"/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 t="str">
            <v>EST AC VASO GHAT I 17,5X10,5X10,5 CERAMICA AZUL - Ø0x0H</v>
          </cell>
          <cell r="Y4777">
            <v>0</v>
          </cell>
          <cell r="Z4777">
            <v>0.35</v>
          </cell>
          <cell r="AA4777">
            <v>0</v>
          </cell>
          <cell r="AB4777"/>
        </row>
        <row r="4778">
          <cell r="C4778">
            <v>1</v>
          </cell>
          <cell r="D4778">
            <v>1</v>
          </cell>
          <cell r="E4778">
            <v>0</v>
          </cell>
          <cell r="F4778">
            <v>0</v>
          </cell>
          <cell r="H4778">
            <v>0</v>
          </cell>
          <cell r="O4778">
            <v>271477</v>
          </cell>
          <cell r="P4778"/>
          <cell r="Q4778" t="str">
            <v>EST AC VASO GHAT II 9X13X13 CERAMICA AZUL</v>
          </cell>
          <cell r="R4778"/>
          <cell r="S4778"/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 t="str">
            <v>EST AC VASO GHAT II 9X13X13 CERAMICA AZUL - Ø0x0H</v>
          </cell>
          <cell r="Y4778">
            <v>0</v>
          </cell>
          <cell r="Z4778">
            <v>0.35</v>
          </cell>
          <cell r="AA4778">
            <v>0</v>
          </cell>
          <cell r="AB4778"/>
        </row>
        <row r="4779">
          <cell r="C4779">
            <v>0</v>
          </cell>
          <cell r="D4779">
            <v>0</v>
          </cell>
          <cell r="E4779">
            <v>0</v>
          </cell>
          <cell r="F4779">
            <v>0</v>
          </cell>
          <cell r="H4779">
            <v>1</v>
          </cell>
          <cell r="O4779">
            <v>271762</v>
          </cell>
          <cell r="P4779" t="str">
            <v>2020/294-0060-01</v>
          </cell>
          <cell r="Q4779" t="str">
            <v>EST MODULO PUFF IZADORA (CAPA/FIBRA) TC 4104</v>
          </cell>
          <cell r="R4779"/>
          <cell r="S4779"/>
          <cell r="T4779">
            <v>0.9</v>
          </cell>
          <cell r="U4779">
            <v>0.6</v>
          </cell>
          <cell r="V4779">
            <v>0.47</v>
          </cell>
          <cell r="W4779">
            <v>0</v>
          </cell>
          <cell r="X4779" t="str">
            <v>EST MODULO PUFF IZADORA (CAPA/FIBRA) TC 4104 - 0,9x0,6x0,47H</v>
          </cell>
          <cell r="Y4779">
            <v>7972.61</v>
          </cell>
          <cell r="Z4779">
            <v>0.5</v>
          </cell>
          <cell r="AA4779">
            <v>3986.3049999999998</v>
          </cell>
          <cell r="AB4779"/>
        </row>
        <row r="4780">
          <cell r="C4780">
            <v>0</v>
          </cell>
          <cell r="D4780">
            <v>0</v>
          </cell>
          <cell r="E4780">
            <v>0</v>
          </cell>
          <cell r="F4780">
            <v>0</v>
          </cell>
          <cell r="H4780">
            <v>0</v>
          </cell>
          <cell r="O4780">
            <v>274002</v>
          </cell>
          <cell r="P4780" t="str">
            <v>2020/354-0056-01</v>
          </cell>
          <cell r="Q4780" t="str">
            <v>EST BANQUETA BAR CAVALETTA H65 (JEQUITIBA IMBUIA CLARO)</v>
          </cell>
          <cell r="R4780"/>
          <cell r="S4780"/>
          <cell r="T4780">
            <v>0.43</v>
          </cell>
          <cell r="U4780">
            <v>0.46</v>
          </cell>
          <cell r="V4780">
            <v>0.65</v>
          </cell>
          <cell r="W4780">
            <v>0</v>
          </cell>
          <cell r="X4780" t="str">
            <v>EST BANQUETA BAR CAVALETTA H65 (JEQUITIBA IMBUIA CLARO) - 0,43x0,46x0,65H</v>
          </cell>
          <cell r="Y4780">
            <v>6456.31</v>
          </cell>
          <cell r="Z4780">
            <v>0.35</v>
          </cell>
          <cell r="AA4780">
            <v>4196.6015000000007</v>
          </cell>
          <cell r="AB4780"/>
        </row>
        <row r="4781">
          <cell r="C4781">
            <v>0</v>
          </cell>
          <cell r="D4781">
            <v>0</v>
          </cell>
          <cell r="E4781">
            <v>0</v>
          </cell>
          <cell r="F4781">
            <v>0</v>
          </cell>
          <cell r="H4781">
            <v>0</v>
          </cell>
          <cell r="O4781">
            <v>274221</v>
          </cell>
          <cell r="P4781"/>
          <cell r="Q4781" t="str">
            <v>EST BANCO OTTO (PRETO FOSCO) (FREIJO) TC ZEFIRO 158 VERDE</v>
          </cell>
          <cell r="R4781"/>
          <cell r="S4781"/>
          <cell r="T4781">
            <v>1.81</v>
          </cell>
          <cell r="U4781">
            <v>0.62</v>
          </cell>
          <cell r="V4781">
            <v>0.35</v>
          </cell>
          <cell r="W4781">
            <v>0</v>
          </cell>
          <cell r="X4781" t="str">
            <v>EST BANCO OTTO (PRETO FOSCO) (FREIJO) TC ZEFIRO 158 VERDE - 1,81x0,62x0,35H</v>
          </cell>
          <cell r="Y4781">
            <v>0</v>
          </cell>
          <cell r="Z4781">
            <v>0.35</v>
          </cell>
          <cell r="AA4781">
            <v>0</v>
          </cell>
          <cell r="AB4781"/>
        </row>
        <row r="4782">
          <cell r="C4782">
            <v>0</v>
          </cell>
          <cell r="D4782">
            <v>0</v>
          </cell>
          <cell r="E4782">
            <v>0</v>
          </cell>
          <cell r="F4782">
            <v>0</v>
          </cell>
          <cell r="H4782">
            <v>1</v>
          </cell>
          <cell r="O4782">
            <v>274745</v>
          </cell>
          <cell r="P4782" t="str">
            <v>2021/119-0018-01</v>
          </cell>
          <cell r="Q4782" t="str">
            <v>EST MESA CENTRO PISAC (RED) (MTZ CAPUCCINO) (MARM IMPERADOR)</v>
          </cell>
          <cell r="R4782"/>
          <cell r="S4782"/>
          <cell r="T4782">
            <v>0.9</v>
          </cell>
          <cell r="U4782">
            <v>0</v>
          </cell>
          <cell r="V4782">
            <v>0.4</v>
          </cell>
          <cell r="W4782">
            <v>0.9</v>
          </cell>
          <cell r="X4782" t="str">
            <v>EST MESA CENTRO PISAC (RED) (MTZ CAPUCCINO) (MARM IMPERADOR) - Ø0,9x0,4H</v>
          </cell>
          <cell r="Y4782">
            <v>21627.599999999999</v>
          </cell>
          <cell r="Z4782">
            <v>0.35</v>
          </cell>
          <cell r="AA4782">
            <v>14057.939999999999</v>
          </cell>
          <cell r="AB4782"/>
        </row>
        <row r="4783">
          <cell r="C4783">
            <v>0</v>
          </cell>
          <cell r="D4783">
            <v>1</v>
          </cell>
          <cell r="E4783">
            <v>0</v>
          </cell>
          <cell r="F4783">
            <v>0</v>
          </cell>
          <cell r="H4783">
            <v>1</v>
          </cell>
          <cell r="O4783">
            <v>274746</v>
          </cell>
          <cell r="P4783" t="str">
            <v>2021/116-0057-01</v>
          </cell>
          <cell r="Q4783" t="str">
            <v>EST MESA CENTRO PISAC (RED) (MTZ CAPUCCINO) (LAMINA WALNUT)</v>
          </cell>
          <cell r="R4783"/>
          <cell r="S4783"/>
          <cell r="T4783">
            <v>0.9</v>
          </cell>
          <cell r="U4783">
            <v>0</v>
          </cell>
          <cell r="V4783">
            <v>0.3</v>
          </cell>
          <cell r="W4783">
            <v>0.9</v>
          </cell>
          <cell r="X4783" t="str">
            <v>EST MESA CENTRO PISAC (RED) (MTZ CAPUCCINO) (LAMINA WALNUT) - Ø0,9x0,3H</v>
          </cell>
          <cell r="Y4783">
            <v>15007.73</v>
          </cell>
          <cell r="Z4783">
            <v>0.35</v>
          </cell>
          <cell r="AA4783">
            <v>9755.0244999999995</v>
          </cell>
          <cell r="AB4783"/>
        </row>
        <row r="4784">
          <cell r="C4784">
            <v>0</v>
          </cell>
          <cell r="D4784">
            <v>0</v>
          </cell>
          <cell r="E4784">
            <v>0</v>
          </cell>
          <cell r="F4784">
            <v>0</v>
          </cell>
          <cell r="H4784">
            <v>2</v>
          </cell>
          <cell r="O4784">
            <v>274795</v>
          </cell>
          <cell r="P4784" t="str">
            <v>2021/091-0034-01</v>
          </cell>
          <cell r="Q4784" t="str">
            <v>EST MESA JANTAR ELISE (MTX OFF WHITE C/VD CLEAR 4MM/BS NOG)</v>
          </cell>
          <cell r="R4784"/>
          <cell r="S4784"/>
          <cell r="T4784">
            <v>2.6</v>
          </cell>
          <cell r="U4784">
            <v>1.2</v>
          </cell>
          <cell r="V4784">
            <v>0.75</v>
          </cell>
          <cell r="W4784">
            <v>0</v>
          </cell>
          <cell r="X4784" t="str">
            <v>EST MESA JANTAR ELISE (MTX OFF WHITE C/VD CLEAR 4MM/BS NOG) - 2,6x1,2x0,75H</v>
          </cell>
          <cell r="Y4784">
            <v>40011.550000000003</v>
          </cell>
          <cell r="Z4784">
            <v>0.5</v>
          </cell>
          <cell r="AA4784">
            <v>20005.775000000001</v>
          </cell>
          <cell r="AB4784"/>
        </row>
        <row r="4785">
          <cell r="C4785">
            <v>0</v>
          </cell>
          <cell r="D4785">
            <v>1</v>
          </cell>
          <cell r="E4785">
            <v>0</v>
          </cell>
          <cell r="F4785">
            <v>0</v>
          </cell>
          <cell r="H4785">
            <v>1</v>
          </cell>
          <cell r="O4785">
            <v>274941</v>
          </cell>
          <cell r="P4785" t="str">
            <v>2021/075-0133-01</v>
          </cell>
          <cell r="Q4785" t="str">
            <v>EST MESA CENTRO AYLA H35 (SUP1 PT) (TP CRV PT/TS CORTEN) LT</v>
          </cell>
          <cell r="R4785"/>
          <cell r="S4785"/>
          <cell r="T4785">
            <v>1.6</v>
          </cell>
          <cell r="U4785">
            <v>0.8</v>
          </cell>
          <cell r="V4785">
            <v>0.35</v>
          </cell>
          <cell r="W4785">
            <v>0</v>
          </cell>
          <cell r="X4785" t="str">
            <v>EST MESA CENTRO AYLA H35 (SUP1 PT) (TP CRV PT/TS CORTEN) LT - 1,6x0,8x0,35H</v>
          </cell>
          <cell r="Y4785">
            <v>8067.99</v>
          </cell>
          <cell r="Z4785">
            <v>0.5</v>
          </cell>
          <cell r="AA4785">
            <v>4033.9949999999999</v>
          </cell>
          <cell r="AB4785"/>
        </row>
        <row r="4786">
          <cell r="C4786">
            <v>0</v>
          </cell>
          <cell r="D4786">
            <v>0</v>
          </cell>
          <cell r="E4786">
            <v>0</v>
          </cell>
          <cell r="F4786">
            <v>0</v>
          </cell>
          <cell r="H4786">
            <v>0</v>
          </cell>
          <cell r="O4786">
            <v>274942</v>
          </cell>
          <cell r="P4786" t="str">
            <v>2021/078-0045-01</v>
          </cell>
          <cell r="Q4786" t="str">
            <v>EST MESA LATERAL AYLA H50 (SUP1 PT) (TP CRV PT/TS CORTEN) LT</v>
          </cell>
          <cell r="R4786"/>
          <cell r="S4786"/>
          <cell r="T4786">
            <v>0.57999999999999996</v>
          </cell>
          <cell r="U4786">
            <v>0</v>
          </cell>
          <cell r="V4786">
            <v>0.5</v>
          </cell>
          <cell r="W4786">
            <v>0.57999999999999996</v>
          </cell>
          <cell r="X4786" t="str">
            <v>EST MESA LATERAL AYLA H50 (SUP1 PT) (TP CRV PT/TS CORTEN) LT - Ø0,58x0,5H</v>
          </cell>
          <cell r="Y4786">
            <v>4221.32</v>
          </cell>
          <cell r="Z4786">
            <v>0.5</v>
          </cell>
          <cell r="AA4786">
            <v>2110.66</v>
          </cell>
          <cell r="AB4786"/>
        </row>
        <row r="4787">
          <cell r="C4787">
            <v>0</v>
          </cell>
          <cell r="D4787">
            <v>0</v>
          </cell>
          <cell r="E4787">
            <v>0</v>
          </cell>
          <cell r="F4787">
            <v>0</v>
          </cell>
          <cell r="H4787">
            <v>0</v>
          </cell>
          <cell r="O4787">
            <v>274944</v>
          </cell>
          <cell r="P4787" t="str">
            <v>2023/030-0023-01</v>
          </cell>
          <cell r="Q4787" t="str">
            <v>EST MESA LATERAL LURI H50 (TP GREY FSC/BS MTZ CINZA GRAFITE)</v>
          </cell>
          <cell r="R4787"/>
          <cell r="S4787"/>
          <cell r="T4787">
            <v>0.4</v>
          </cell>
          <cell r="U4787">
            <v>0</v>
          </cell>
          <cell r="V4787">
            <v>0.5</v>
          </cell>
          <cell r="W4787">
            <v>0.4</v>
          </cell>
          <cell r="X4787" t="str">
            <v>EST MESA LATERAL LURI H50 (TP GREY FSC/BS MTZ CINZA GRAFITE) - Ø0,4x0,5H</v>
          </cell>
          <cell r="Y4787">
            <v>2208.1</v>
          </cell>
          <cell r="Z4787">
            <v>0.35</v>
          </cell>
          <cell r="AA4787">
            <v>1435.2649999999999</v>
          </cell>
          <cell r="AB4787"/>
        </row>
        <row r="4788">
          <cell r="C4788">
            <v>0</v>
          </cell>
          <cell r="D4788">
            <v>0</v>
          </cell>
          <cell r="E4788">
            <v>0</v>
          </cell>
          <cell r="F4788">
            <v>0</v>
          </cell>
          <cell r="H4788">
            <v>0</v>
          </cell>
          <cell r="O4788">
            <v>274999</v>
          </cell>
          <cell r="P4788" t="str">
            <v>2021/162-0030-01</v>
          </cell>
          <cell r="Q4788" t="str">
            <v>EST MESA LATERAL BUZIOS 350 (TP/BS CONC CHANF NAT/HST PT)</v>
          </cell>
          <cell r="R4788"/>
          <cell r="S4788"/>
          <cell r="T4788">
            <v>0.35</v>
          </cell>
          <cell r="U4788">
            <v>0</v>
          </cell>
          <cell r="V4788">
            <v>0.55000000000000004</v>
          </cell>
          <cell r="W4788">
            <v>0.35</v>
          </cell>
          <cell r="X4788" t="str">
            <v>EST MESA LATERAL BUZIOS 350 (TP/BS CONC CHANF NAT/HST PT) - Ø0,35x0,55H</v>
          </cell>
          <cell r="Y4788">
            <v>5559.68</v>
          </cell>
          <cell r="Z4788">
            <v>0.35</v>
          </cell>
          <cell r="AA4788">
            <v>3613.7920000000004</v>
          </cell>
          <cell r="AB4788"/>
        </row>
        <row r="4789">
          <cell r="C4789">
            <v>0</v>
          </cell>
          <cell r="D4789">
            <v>0</v>
          </cell>
          <cell r="E4789">
            <v>0</v>
          </cell>
          <cell r="F4789">
            <v>0</v>
          </cell>
          <cell r="H4789">
            <v>1</v>
          </cell>
          <cell r="O4789">
            <v>276469</v>
          </cell>
          <cell r="P4789" t="str">
            <v>2021/083-0002-01</v>
          </cell>
          <cell r="Q4789" t="str">
            <v>EST MESA CENTRO CRUX (DES) (LAM 2 NOGUEIRA) (BS CHAMPAGNE)</v>
          </cell>
          <cell r="R4789"/>
          <cell r="S4789"/>
          <cell r="T4789">
            <v>1.8</v>
          </cell>
          <cell r="U4789">
            <v>1.1000000000000001</v>
          </cell>
          <cell r="V4789">
            <v>0.3</v>
          </cell>
          <cell r="W4789">
            <v>0</v>
          </cell>
          <cell r="X4789" t="str">
            <v>EST MESA CENTRO CRUX (DES) (LAM 2 NOGUEIRA) (BS CHAMPAGNE) - 1,8x1,1x0,3H</v>
          </cell>
          <cell r="Y4789">
            <v>17835.64</v>
          </cell>
          <cell r="Z4789">
            <v>0.35</v>
          </cell>
          <cell r="AA4789">
            <v>11593.166000000001</v>
          </cell>
          <cell r="AB4789"/>
        </row>
        <row r="4790">
          <cell r="C4790">
            <v>0</v>
          </cell>
          <cell r="D4790">
            <v>0</v>
          </cell>
          <cell r="E4790">
            <v>0</v>
          </cell>
          <cell r="F4790">
            <v>0</v>
          </cell>
          <cell r="H4790">
            <v>0</v>
          </cell>
          <cell r="O4790">
            <v>277807</v>
          </cell>
          <cell r="P4790"/>
          <cell r="Q4790" t="str">
            <v>EST POLTRONA MOLE (IMBUIA STAIN) COURO SOFT CARAMELO</v>
          </cell>
          <cell r="R4790"/>
          <cell r="S4790"/>
          <cell r="T4790">
            <v>1.2</v>
          </cell>
          <cell r="U4790">
            <v>1.05</v>
          </cell>
          <cell r="V4790">
            <v>0.82</v>
          </cell>
          <cell r="W4790">
            <v>0</v>
          </cell>
          <cell r="X4790" t="str">
            <v>EST POLTRONA MOLE (IMBUIA STAIN) COURO SOFT CARAMELO - 1,2x1,05x0,82H</v>
          </cell>
          <cell r="Y4790">
            <v>0</v>
          </cell>
          <cell r="Z4790">
            <v>0.35</v>
          </cell>
          <cell r="AA4790">
            <v>0</v>
          </cell>
          <cell r="AB4790"/>
        </row>
        <row r="4791">
          <cell r="C4791">
            <v>0</v>
          </cell>
          <cell r="D4791">
            <v>0</v>
          </cell>
          <cell r="E4791">
            <v>0</v>
          </cell>
          <cell r="F4791">
            <v>0</v>
          </cell>
          <cell r="H4791">
            <v>0</v>
          </cell>
          <cell r="O4791">
            <v>277811</v>
          </cell>
          <cell r="P4791"/>
          <cell r="Q4791" t="str">
            <v>EST BANQUETA MOLE (IMBUIA STAIN) COURO SOFT CARAMELO</v>
          </cell>
          <cell r="R4791"/>
          <cell r="S4791"/>
          <cell r="T4791">
            <v>0.82</v>
          </cell>
          <cell r="U4791">
            <v>0.59</v>
          </cell>
          <cell r="V4791">
            <v>0.45</v>
          </cell>
          <cell r="W4791">
            <v>0</v>
          </cell>
          <cell r="X4791" t="str">
            <v>EST BANQUETA MOLE (IMBUIA STAIN) COURO SOFT CARAMELO - 0,82x0,59x0,45H</v>
          </cell>
          <cell r="Y4791">
            <v>0</v>
          </cell>
          <cell r="Z4791">
            <v>0.35</v>
          </cell>
          <cell r="AA4791">
            <v>0</v>
          </cell>
          <cell r="AB4791"/>
        </row>
        <row r="4792">
          <cell r="C4792">
            <v>0</v>
          </cell>
          <cell r="D4792">
            <v>0</v>
          </cell>
          <cell r="E4792">
            <v>0</v>
          </cell>
          <cell r="F4792">
            <v>0</v>
          </cell>
          <cell r="H4792">
            <v>1</v>
          </cell>
          <cell r="O4792">
            <v>278524</v>
          </cell>
          <cell r="P4792"/>
          <cell r="Q4792" t="str">
            <v>EST SOFA DUO (FIBRA) (PE PTO) TC ZEFIRO 158 VERDE/DEC01918</v>
          </cell>
          <cell r="R4792"/>
          <cell r="S4792"/>
          <cell r="T4792">
            <v>3</v>
          </cell>
          <cell r="U4792">
            <v>0.95</v>
          </cell>
          <cell r="V4792">
            <v>0.64</v>
          </cell>
          <cell r="W4792">
            <v>0</v>
          </cell>
          <cell r="X4792" t="str">
            <v>EST SOFA DUO (FIBRA) (PE PTO) TC ZEFIRO 158 VERDE/DEC01918 - 3x0,95x0,64H</v>
          </cell>
          <cell r="Y4792" t="str">
            <v>EST</v>
          </cell>
          <cell r="Z4792">
            <v>0.35</v>
          </cell>
          <cell r="AA4792" t="e">
            <v>#VALUE!</v>
          </cell>
          <cell r="AB4792"/>
        </row>
        <row r="4793">
          <cell r="C4793">
            <v>0</v>
          </cell>
          <cell r="D4793">
            <v>0</v>
          </cell>
          <cell r="E4793">
            <v>0</v>
          </cell>
          <cell r="F4793">
            <v>0</v>
          </cell>
          <cell r="H4793">
            <v>1</v>
          </cell>
          <cell r="O4793">
            <v>278839</v>
          </cell>
          <cell r="P4793"/>
          <cell r="Q4793" t="str">
            <v>EST SOFA SKY BRACO ESQ ESTANTE DIR TC EL NOVE 4 GREY</v>
          </cell>
          <cell r="R4793"/>
          <cell r="S4793"/>
          <cell r="T4793">
            <v>3</v>
          </cell>
          <cell r="U4793">
            <v>1</v>
          </cell>
          <cell r="V4793">
            <v>0.65</v>
          </cell>
          <cell r="W4793">
            <v>0</v>
          </cell>
          <cell r="X4793" t="str">
            <v>EST SOFA SKY BRACO ESQ ESTANTE DIR TC EL NOVE 4 GREY - 3x1x0,65H</v>
          </cell>
          <cell r="Y4793">
            <v>0</v>
          </cell>
          <cell r="Z4793">
            <v>0</v>
          </cell>
          <cell r="AA4793">
            <v>0</v>
          </cell>
          <cell r="AB4793"/>
        </row>
        <row r="4794">
          <cell r="C4794">
            <v>0</v>
          </cell>
          <cell r="D4794">
            <v>0</v>
          </cell>
          <cell r="E4794">
            <v>0</v>
          </cell>
          <cell r="F4794">
            <v>0</v>
          </cell>
          <cell r="H4794">
            <v>0</v>
          </cell>
          <cell r="O4794">
            <v>280523</v>
          </cell>
          <cell r="P4794"/>
          <cell r="Q4794" t="str">
            <v>EST MESA CENTRO CLIPS TP CRISTAL LAQU TITANIUM/PES TITANIUM</v>
          </cell>
          <cell r="R4794"/>
          <cell r="S4794"/>
          <cell r="T4794">
            <v>1.8</v>
          </cell>
          <cell r="U4794">
            <v>0.8</v>
          </cell>
          <cell r="V4794">
            <v>0.32</v>
          </cell>
          <cell r="W4794">
            <v>0</v>
          </cell>
          <cell r="X4794" t="str">
            <v>EST MESA CENTRO CLIPS TP CRISTAL LAQU TITANIUM/PES TITANIUM - 1,8x0,8x0,32H</v>
          </cell>
          <cell r="Y4794">
            <v>13080.26</v>
          </cell>
          <cell r="Z4794">
            <v>0.35</v>
          </cell>
          <cell r="AA4794">
            <v>8502.1690000000017</v>
          </cell>
          <cell r="AB4794"/>
        </row>
        <row r="4795">
          <cell r="C4795">
            <v>0</v>
          </cell>
          <cell r="D4795">
            <v>0</v>
          </cell>
          <cell r="E4795">
            <v>0</v>
          </cell>
          <cell r="F4795">
            <v>0</v>
          </cell>
          <cell r="H4795">
            <v>1</v>
          </cell>
          <cell r="O4795">
            <v>281001</v>
          </cell>
          <cell r="P4795"/>
          <cell r="Q4795" t="str">
            <v>EST TAMPO CRISTAL LAPIDADO (10MM) INCOLOR RETILINEO</v>
          </cell>
          <cell r="R4795"/>
          <cell r="S4795"/>
          <cell r="T4795">
            <v>1.1599999999999999</v>
          </cell>
          <cell r="U4795">
            <v>1.1599999999999999</v>
          </cell>
          <cell r="V4795">
            <v>0.01</v>
          </cell>
          <cell r="W4795">
            <v>0</v>
          </cell>
          <cell r="X4795" t="str">
            <v>EST TAMPO CRISTAL LAPIDADO (10MM) INCOLOR RETILINEO - 1,16x1,16x0,01H</v>
          </cell>
          <cell r="Y4795" t="e">
            <v>#VALUE!</v>
          </cell>
          <cell r="Z4795">
            <v>0.35</v>
          </cell>
          <cell r="AA4795" t="e">
            <v>#VALUE!</v>
          </cell>
          <cell r="AB4795"/>
        </row>
        <row r="4796">
          <cell r="C4796">
            <v>0</v>
          </cell>
          <cell r="D4796">
            <v>0</v>
          </cell>
          <cell r="E4796">
            <v>0</v>
          </cell>
          <cell r="F4796">
            <v>0</v>
          </cell>
          <cell r="H4796">
            <v>1</v>
          </cell>
          <cell r="O4796">
            <v>299328</v>
          </cell>
          <cell r="P4796" t="str">
            <v>2022/025-0115-01</v>
          </cell>
          <cell r="Q4796" t="str">
            <v>EST POLTRONA ETTRO (BC RECOURO 2562) F8027/REC 2562/2584</v>
          </cell>
          <cell r="R4796"/>
          <cell r="S4796"/>
          <cell r="T4796">
            <v>0.87</v>
          </cell>
          <cell r="U4796">
            <v>0.9</v>
          </cell>
          <cell r="V4796">
            <v>0.74</v>
          </cell>
          <cell r="W4796">
            <v>0</v>
          </cell>
          <cell r="X4796" t="str">
            <v>EST POLTRONA ETTRO (BC RECOURO 2562) F8027/REC 2562/2584 - 0,87x0,9x0,74H</v>
          </cell>
          <cell r="Y4796">
            <v>18471.04</v>
          </cell>
          <cell r="Z4796">
            <v>0.5</v>
          </cell>
          <cell r="AA4796">
            <v>9235.52</v>
          </cell>
          <cell r="AB4796"/>
        </row>
        <row r="4797">
          <cell r="C4797">
            <v>0</v>
          </cell>
          <cell r="D4797">
            <v>0</v>
          </cell>
          <cell r="E4797">
            <v>0</v>
          </cell>
          <cell r="F4797">
            <v>0</v>
          </cell>
          <cell r="H4797">
            <v>1</v>
          </cell>
          <cell r="O4797">
            <v>299532</v>
          </cell>
          <cell r="P4797" t="str">
            <v>2022/034-0013-01</v>
          </cell>
          <cell r="Q4797" t="str">
            <v>EST MESA JANTAR ABACATE (PINT FSC PRETO) (MARM 1 MAORI)</v>
          </cell>
          <cell r="R4797"/>
          <cell r="S4797"/>
          <cell r="T4797">
            <v>2.7</v>
          </cell>
          <cell r="U4797">
            <v>1.6</v>
          </cell>
          <cell r="V4797">
            <v>0.75</v>
          </cell>
          <cell r="W4797">
            <v>0</v>
          </cell>
          <cell r="X4797" t="str">
            <v>EST MESA JANTAR ABACATE (PINT FSC PRETO) (MARM 1 MAORI) - 2,7x1,6x0,75H</v>
          </cell>
          <cell r="Y4797">
            <v>119379.77</v>
          </cell>
          <cell r="Z4797">
            <v>0.35</v>
          </cell>
          <cell r="AA4797">
            <v>77596.8505</v>
          </cell>
          <cell r="AB4797"/>
        </row>
        <row r="4798">
          <cell r="C4798">
            <v>0</v>
          </cell>
          <cell r="D4798">
            <v>0</v>
          </cell>
          <cell r="E4798">
            <v>1</v>
          </cell>
          <cell r="F4798">
            <v>0</v>
          </cell>
          <cell r="H4798">
            <v>1</v>
          </cell>
          <cell r="O4798">
            <v>299533</v>
          </cell>
          <cell r="P4798" t="str">
            <v>2022/034-0001-01</v>
          </cell>
          <cell r="Q4798" t="str">
            <v>EST ESTANTE VO (B) (MTZ ONIX PRETO) (LAM 2 NOGUEIRA)</v>
          </cell>
          <cell r="R4798"/>
          <cell r="S4798"/>
          <cell r="T4798">
            <v>1.04</v>
          </cell>
          <cell r="U4798">
            <v>0.45</v>
          </cell>
          <cell r="V4798">
            <v>2.11</v>
          </cell>
          <cell r="W4798">
            <v>0</v>
          </cell>
          <cell r="X4798" t="str">
            <v>EST ESTANTE VO (B) (MTZ ONIX PRETO) (LAM 2 NOGUEIRA) - 1,04x0,45x2,11H</v>
          </cell>
          <cell r="Y4798">
            <v>63815.4</v>
          </cell>
          <cell r="Z4798">
            <v>0.35</v>
          </cell>
          <cell r="AA4798">
            <v>41480.01</v>
          </cell>
          <cell r="AB4798"/>
        </row>
        <row r="4799">
          <cell r="C4799">
            <v>0</v>
          </cell>
          <cell r="D4799">
            <v>0</v>
          </cell>
          <cell r="E4799">
            <v>0</v>
          </cell>
          <cell r="F4799">
            <v>0</v>
          </cell>
          <cell r="H4799">
            <v>1</v>
          </cell>
          <cell r="O4799">
            <v>299553</v>
          </cell>
          <cell r="P4799" t="str">
            <v>2022/018-0039-01</v>
          </cell>
          <cell r="Q4799" t="str">
            <v>EST PUFF OLY H38 FX B2062/HASTE METAL 2415</v>
          </cell>
          <cell r="R4799"/>
          <cell r="S4799"/>
          <cell r="T4799">
            <v>0.5</v>
          </cell>
          <cell r="U4799">
            <v>0</v>
          </cell>
          <cell r="V4799">
            <v>0.38</v>
          </cell>
          <cell r="W4799">
            <v>0.5</v>
          </cell>
          <cell r="X4799" t="str">
            <v>EST PUFF OLY H38 FX B2062/HASTE METAL 2415 - Ø0,5x0,38H</v>
          </cell>
          <cell r="Y4799">
            <v>6575.7</v>
          </cell>
          <cell r="Z4799">
            <v>0.5</v>
          </cell>
          <cell r="AA4799">
            <v>3287.85</v>
          </cell>
          <cell r="AB4799"/>
        </row>
        <row r="4800">
          <cell r="C4800">
            <v>0</v>
          </cell>
          <cell r="D4800">
            <v>0</v>
          </cell>
          <cell r="E4800">
            <v>0</v>
          </cell>
          <cell r="F4800">
            <v>0</v>
          </cell>
          <cell r="H4800">
            <v>1</v>
          </cell>
          <cell r="O4800">
            <v>299554</v>
          </cell>
          <cell r="P4800" t="str">
            <v>2022/018-0040-01</v>
          </cell>
          <cell r="Q4800" t="str">
            <v>EST PUFF OLY H45 FX B2062/HASTE METAL 2415</v>
          </cell>
          <cell r="R4800"/>
          <cell r="S4800"/>
          <cell r="T4800">
            <v>0.6</v>
          </cell>
          <cell r="U4800">
            <v>0</v>
          </cell>
          <cell r="V4800">
            <v>0.45</v>
          </cell>
          <cell r="W4800">
            <v>0.6</v>
          </cell>
          <cell r="X4800" t="str">
            <v>EST PUFF OLY H45 FX B2062/HASTE METAL 2415 - Ø0,6x0,45H</v>
          </cell>
          <cell r="Y4800">
            <v>7194.48</v>
          </cell>
          <cell r="Z4800">
            <v>0.5</v>
          </cell>
          <cell r="AA4800">
            <v>3597.24</v>
          </cell>
          <cell r="AB4800"/>
        </row>
        <row r="4801">
          <cell r="C4801">
            <v>3</v>
          </cell>
          <cell r="D4801">
            <v>0</v>
          </cell>
          <cell r="E4801">
            <v>0</v>
          </cell>
          <cell r="F4801">
            <v>0</v>
          </cell>
          <cell r="H4801">
            <v>0</v>
          </cell>
          <cell r="O4801">
            <v>299555</v>
          </cell>
          <cell r="P4801" t="str">
            <v>2022/034-0003-01</v>
          </cell>
          <cell r="Q4801" t="str">
            <v>EST ESTANTE BURLE (MTX MARROM FSC) (LAM 2 PRAT FREIJO NAT)</v>
          </cell>
          <cell r="R4801"/>
          <cell r="S4801"/>
          <cell r="T4801">
            <v>1.3</v>
          </cell>
          <cell r="U4801">
            <v>0.45</v>
          </cell>
          <cell r="V4801">
            <v>1.83</v>
          </cell>
          <cell r="W4801">
            <v>0</v>
          </cell>
          <cell r="X4801" t="str">
            <v>EST ESTANTE BURLE (MTX MARROM FSC) (LAM 2 PRAT FREIJO NAT) - 1,3x0,45x1,83H</v>
          </cell>
          <cell r="Y4801">
            <v>44856.36</v>
          </cell>
          <cell r="Z4801">
            <v>0.35</v>
          </cell>
          <cell r="AA4801">
            <v>29156.634000000002</v>
          </cell>
          <cell r="AB4801"/>
        </row>
        <row r="4802">
          <cell r="C4802">
            <v>0</v>
          </cell>
          <cell r="D4802">
            <v>0</v>
          </cell>
          <cell r="E4802">
            <v>0</v>
          </cell>
          <cell r="F4802">
            <v>0</v>
          </cell>
          <cell r="H4802">
            <v>0</v>
          </cell>
          <cell r="O4802">
            <v>300084</v>
          </cell>
          <cell r="P4802" t="str">
            <v>2022/034-0021-01</v>
          </cell>
          <cell r="Q4802" t="str">
            <v>EST MESA JANTAR ABACATE (LAM 2 NOGUEIRA) (MARM 2 ROSA PARAN)</v>
          </cell>
          <cell r="R4802"/>
          <cell r="S4802"/>
          <cell r="T4802">
            <v>2.7</v>
          </cell>
          <cell r="U4802">
            <v>1.6</v>
          </cell>
          <cell r="V4802">
            <v>0.75</v>
          </cell>
          <cell r="W4802">
            <v>0</v>
          </cell>
          <cell r="X4802" t="str">
            <v>EST MESA JANTAR ABACATE (LAM 2 NOGUEIRA) (MARM 2 ROSA PARAN) - 2,7x1,6x0,75H</v>
          </cell>
          <cell r="Y4802">
            <v>151242.60999999999</v>
          </cell>
          <cell r="Z4802">
            <v>0.35</v>
          </cell>
          <cell r="AA4802">
            <v>98307.696499999991</v>
          </cell>
          <cell r="AB4802"/>
        </row>
        <row r="4803">
          <cell r="C4803">
            <v>0</v>
          </cell>
          <cell r="D4803">
            <v>0</v>
          </cell>
          <cell r="E4803">
            <v>0</v>
          </cell>
          <cell r="F4803">
            <v>0</v>
          </cell>
          <cell r="H4803">
            <v>0</v>
          </cell>
          <cell r="O4803">
            <v>300096</v>
          </cell>
          <cell r="P4803" t="str">
            <v>2021/308-0019-01</v>
          </cell>
          <cell r="Q4803" t="str">
            <v>EST MESA CENTRO WHITE (ACO ENV) (TC LISO BRUN BEGE) (TP CER)</v>
          </cell>
          <cell r="R4803"/>
          <cell r="S4803"/>
          <cell r="T4803">
            <v>1.4</v>
          </cell>
          <cell r="U4803">
            <v>0.95</v>
          </cell>
          <cell r="V4803">
            <v>0.34</v>
          </cell>
          <cell r="W4803">
            <v>0</v>
          </cell>
          <cell r="X4803" t="str">
            <v>EST MESA CENTRO WHITE (ACO ENV) (TC LISO BRUN BEGE) (TP CER) - 1,4x0,95x0,34H</v>
          </cell>
          <cell r="Y4803">
            <v>15598.33</v>
          </cell>
          <cell r="Z4803">
            <v>0.35</v>
          </cell>
          <cell r="AA4803">
            <v>10138.914499999999</v>
          </cell>
          <cell r="AB4803"/>
        </row>
        <row r="4804">
          <cell r="C4804">
            <v>0</v>
          </cell>
          <cell r="D4804">
            <v>0</v>
          </cell>
          <cell r="E4804">
            <v>0</v>
          </cell>
          <cell r="F4804">
            <v>0</v>
          </cell>
          <cell r="H4804">
            <v>0</v>
          </cell>
          <cell r="O4804">
            <v>300096</v>
          </cell>
          <cell r="P4804" t="str">
            <v>2022/014-0007-01</v>
          </cell>
          <cell r="Q4804" t="str">
            <v>EST MESA CENTRO WHITE (ACO ENV) (TC LISO BRUN BEGE) (TP CER)</v>
          </cell>
          <cell r="R4804"/>
          <cell r="S4804"/>
          <cell r="T4804">
            <v>1.4</v>
          </cell>
          <cell r="U4804">
            <v>0.95</v>
          </cell>
          <cell r="V4804">
            <v>0.34</v>
          </cell>
          <cell r="W4804">
            <v>0</v>
          </cell>
          <cell r="X4804" t="str">
            <v>EST MESA CENTRO WHITE (ACO ENV) (TC LISO BRUN BEGE) (TP CER) - 1,4x0,95x0,34H</v>
          </cell>
          <cell r="Y4804">
            <v>15598.33</v>
          </cell>
          <cell r="Z4804">
            <v>0.35</v>
          </cell>
          <cell r="AA4804">
            <v>10138.914499999999</v>
          </cell>
          <cell r="AB4804"/>
        </row>
        <row r="4805">
          <cell r="C4805">
            <v>0</v>
          </cell>
          <cell r="D4805">
            <v>0</v>
          </cell>
          <cell r="E4805">
            <v>0</v>
          </cell>
          <cell r="F4805">
            <v>0</v>
          </cell>
          <cell r="H4805">
            <v>4</v>
          </cell>
          <cell r="O4805">
            <v>300479</v>
          </cell>
          <cell r="P4805" t="str">
            <v>2021/323-0015-01</v>
          </cell>
          <cell r="Q4805" t="str">
            <v>EST CADEIRA EVO (MADEIRA MEL CLARO)</v>
          </cell>
          <cell r="R4805"/>
          <cell r="S4805"/>
          <cell r="T4805">
            <v>0.49</v>
          </cell>
          <cell r="U4805">
            <v>0.47</v>
          </cell>
          <cell r="V4805">
            <v>0.82</v>
          </cell>
          <cell r="W4805">
            <v>0</v>
          </cell>
          <cell r="X4805" t="str">
            <v>EST CADEIRA EVO (MADEIRA MEL CLARO) - 0,49x0,47x0,82H</v>
          </cell>
          <cell r="Y4805">
            <v>5314.67</v>
          </cell>
          <cell r="Z4805">
            <v>0.5</v>
          </cell>
          <cell r="AA4805">
            <v>2657.335</v>
          </cell>
          <cell r="AB4805"/>
        </row>
        <row r="4806">
          <cell r="C4806">
            <v>0</v>
          </cell>
          <cell r="D4806">
            <v>0</v>
          </cell>
          <cell r="E4806">
            <v>0</v>
          </cell>
          <cell r="F4806">
            <v>0</v>
          </cell>
          <cell r="H4806">
            <v>4</v>
          </cell>
          <cell r="O4806">
            <v>300479</v>
          </cell>
          <cell r="P4806" t="str">
            <v>2021/323-0012-01</v>
          </cell>
          <cell r="Q4806" t="str">
            <v>EST CADEIRA EVO (MADEIRA MEL CLARO)</v>
          </cell>
          <cell r="R4806"/>
          <cell r="S4806"/>
          <cell r="T4806">
            <v>0.49</v>
          </cell>
          <cell r="U4806">
            <v>0.47</v>
          </cell>
          <cell r="V4806">
            <v>0.82</v>
          </cell>
          <cell r="W4806">
            <v>0</v>
          </cell>
          <cell r="X4806" t="str">
            <v>EST CADEIRA EVO (MADEIRA MEL CLARO) - 0,49x0,47x0,82H</v>
          </cell>
          <cell r="Y4806">
            <v>5314.67</v>
          </cell>
          <cell r="Z4806">
            <v>0.5</v>
          </cell>
          <cell r="AA4806">
            <v>2657.335</v>
          </cell>
          <cell r="AB4806"/>
        </row>
        <row r="4807">
          <cell r="C4807">
            <v>0</v>
          </cell>
          <cell r="D4807">
            <v>0</v>
          </cell>
          <cell r="E4807">
            <v>0</v>
          </cell>
          <cell r="F4807">
            <v>0</v>
          </cell>
          <cell r="H4807">
            <v>4</v>
          </cell>
          <cell r="O4807">
            <v>300479</v>
          </cell>
          <cell r="P4807" t="str">
            <v>2021/323-0013-01</v>
          </cell>
          <cell r="Q4807" t="str">
            <v>EST CADEIRA EVO (MADEIRA MEL CLARO)</v>
          </cell>
          <cell r="R4807"/>
          <cell r="S4807"/>
          <cell r="T4807">
            <v>0.49</v>
          </cell>
          <cell r="U4807">
            <v>0.47</v>
          </cell>
          <cell r="V4807">
            <v>0.82</v>
          </cell>
          <cell r="W4807">
            <v>0</v>
          </cell>
          <cell r="X4807" t="str">
            <v>EST CADEIRA EVO (MADEIRA MEL CLARO) - 0,49x0,47x0,82H</v>
          </cell>
          <cell r="Y4807">
            <v>5314.67</v>
          </cell>
          <cell r="Z4807">
            <v>0.5</v>
          </cell>
          <cell r="AA4807">
            <v>2657.335</v>
          </cell>
          <cell r="AB4807"/>
        </row>
        <row r="4808">
          <cell r="C4808">
            <v>0</v>
          </cell>
          <cell r="D4808">
            <v>0</v>
          </cell>
          <cell r="E4808">
            <v>0</v>
          </cell>
          <cell r="F4808">
            <v>0</v>
          </cell>
          <cell r="H4808">
            <v>4</v>
          </cell>
          <cell r="O4808">
            <v>300479</v>
          </cell>
          <cell r="P4808" t="str">
            <v>2021/323-0014-01</v>
          </cell>
          <cell r="Q4808" t="str">
            <v>EST CADEIRA EVO (MADEIRA MEL CLARO)</v>
          </cell>
          <cell r="R4808"/>
          <cell r="S4808"/>
          <cell r="T4808">
            <v>0.49</v>
          </cell>
          <cell r="U4808">
            <v>0.47</v>
          </cell>
          <cell r="V4808">
            <v>0.82</v>
          </cell>
          <cell r="W4808">
            <v>0</v>
          </cell>
          <cell r="X4808" t="str">
            <v>EST CADEIRA EVO (MADEIRA MEL CLARO) - 0,49x0,47x0,82H</v>
          </cell>
          <cell r="Y4808">
            <v>5314.67</v>
          </cell>
          <cell r="Z4808">
            <v>0.5</v>
          </cell>
          <cell r="AA4808">
            <v>2657.335</v>
          </cell>
          <cell r="AB4808"/>
        </row>
        <row r="4809">
          <cell r="C4809">
            <v>0</v>
          </cell>
          <cell r="D4809">
            <v>0</v>
          </cell>
          <cell r="E4809">
            <v>0</v>
          </cell>
          <cell r="F4809">
            <v>0</v>
          </cell>
          <cell r="H4809">
            <v>0</v>
          </cell>
          <cell r="O4809">
            <v>303862</v>
          </cell>
          <cell r="P4809"/>
          <cell r="Q4809" t="str">
            <v>EST TAMPO CRISTAL LAPIDADO (15MM) INCOLOR CANTO TICK</v>
          </cell>
          <cell r="R4809"/>
          <cell r="S4809"/>
          <cell r="T4809">
            <v>2</v>
          </cell>
          <cell r="U4809">
            <v>0.7</v>
          </cell>
          <cell r="V4809">
            <v>0.01</v>
          </cell>
          <cell r="W4809">
            <v>0</v>
          </cell>
          <cell r="X4809" t="str">
            <v>EST TAMPO CRISTAL LAPIDADO (15MM) INCOLOR CANTO TICK - 2x0,7x0,01H</v>
          </cell>
          <cell r="Y4809" t="e">
            <v>#VALUE!</v>
          </cell>
          <cell r="Z4809">
            <v>0.35</v>
          </cell>
          <cell r="AA4809" t="e">
            <v>#VALUE!</v>
          </cell>
          <cell r="AB4809"/>
        </row>
        <row r="4810">
          <cell r="C4810">
            <v>0</v>
          </cell>
          <cell r="D4810">
            <v>0</v>
          </cell>
          <cell r="E4810">
            <v>0</v>
          </cell>
          <cell r="F4810">
            <v>0</v>
          </cell>
          <cell r="H4810">
            <v>8</v>
          </cell>
          <cell r="O4810">
            <v>307826</v>
          </cell>
          <cell r="P4810" t="str">
            <v>2021/350-0120-01</v>
          </cell>
          <cell r="Q4810" t="str">
            <v>EST CADEIRA KEEF C/BRACO (JEQ TING NOG) (MISTA) (C4 PINHAO)</v>
          </cell>
          <cell r="R4810"/>
          <cell r="S4810"/>
          <cell r="T4810">
            <v>0.55000000000000004</v>
          </cell>
          <cell r="U4810">
            <v>0.54</v>
          </cell>
          <cell r="V4810">
            <v>0.89</v>
          </cell>
          <cell r="W4810">
            <v>0</v>
          </cell>
          <cell r="X4810" t="str">
            <v>EST CADEIRA KEEF C/BRACO (JEQ TING NOG) (MISTA) (C4 PINHAO) - 0,55x0,54x0,89H</v>
          </cell>
          <cell r="Y4810">
            <v>9927.3700000000008</v>
          </cell>
          <cell r="Z4810">
            <v>0.5</v>
          </cell>
          <cell r="AA4810">
            <v>4963.6850000000004</v>
          </cell>
          <cell r="AB4810"/>
        </row>
        <row r="4811">
          <cell r="C4811">
            <v>0</v>
          </cell>
          <cell r="D4811">
            <v>0</v>
          </cell>
          <cell r="E4811">
            <v>0</v>
          </cell>
          <cell r="F4811">
            <v>0</v>
          </cell>
          <cell r="H4811">
            <v>8</v>
          </cell>
          <cell r="O4811">
            <v>307826</v>
          </cell>
          <cell r="P4811" t="str">
            <v>2021/350-0122-01</v>
          </cell>
          <cell r="Q4811" t="str">
            <v>EST CADEIRA KEEF C/BRACO (JEQ TING NOG) (MISTA) (C4 PINHAO)</v>
          </cell>
          <cell r="R4811"/>
          <cell r="S4811"/>
          <cell r="T4811">
            <v>0.55000000000000004</v>
          </cell>
          <cell r="U4811">
            <v>0.54</v>
          </cell>
          <cell r="V4811">
            <v>0.89</v>
          </cell>
          <cell r="W4811">
            <v>0</v>
          </cell>
          <cell r="X4811" t="str">
            <v>EST CADEIRA KEEF C/BRACO (JEQ TING NOG) (MISTA) (C4 PINHAO) - 0,55x0,54x0,89H</v>
          </cell>
          <cell r="Y4811">
            <v>9927.3700000000008</v>
          </cell>
          <cell r="Z4811">
            <v>0.5</v>
          </cell>
          <cell r="AA4811">
            <v>4963.6850000000004</v>
          </cell>
          <cell r="AB4811"/>
        </row>
        <row r="4812">
          <cell r="C4812">
            <v>0</v>
          </cell>
          <cell r="D4812">
            <v>0</v>
          </cell>
          <cell r="E4812">
            <v>0</v>
          </cell>
          <cell r="F4812">
            <v>0</v>
          </cell>
          <cell r="H4812">
            <v>8</v>
          </cell>
          <cell r="O4812">
            <v>307826</v>
          </cell>
          <cell r="P4812" t="str">
            <v>2021/350-0124-01</v>
          </cell>
          <cell r="Q4812" t="str">
            <v>EST CADEIRA KEEF C/BRACO (JEQ TING NOG) (MISTA) (C4 PINHAO)</v>
          </cell>
          <cell r="R4812"/>
          <cell r="S4812"/>
          <cell r="T4812">
            <v>0.55000000000000004</v>
          </cell>
          <cell r="U4812">
            <v>0.54</v>
          </cell>
          <cell r="V4812">
            <v>0.89</v>
          </cell>
          <cell r="W4812">
            <v>0</v>
          </cell>
          <cell r="X4812" t="str">
            <v>EST CADEIRA KEEF C/BRACO (JEQ TING NOG) (MISTA) (C4 PINHAO) - 0,55x0,54x0,89H</v>
          </cell>
          <cell r="Y4812">
            <v>9927.3700000000008</v>
          </cell>
          <cell r="Z4812">
            <v>0.5</v>
          </cell>
          <cell r="AA4812">
            <v>4963.6850000000004</v>
          </cell>
          <cell r="AB4812"/>
        </row>
        <row r="4813">
          <cell r="C4813">
            <v>0</v>
          </cell>
          <cell r="D4813">
            <v>0</v>
          </cell>
          <cell r="E4813">
            <v>0</v>
          </cell>
          <cell r="F4813">
            <v>0</v>
          </cell>
          <cell r="H4813">
            <v>8</v>
          </cell>
          <cell r="O4813">
            <v>307826</v>
          </cell>
          <cell r="P4813" t="str">
            <v>2021/350-0125-01</v>
          </cell>
          <cell r="Q4813" t="str">
            <v>EST CADEIRA KEEF C/BRACO (JEQ TING NOG) (MISTA) (C4 PINHAO)</v>
          </cell>
          <cell r="R4813"/>
          <cell r="S4813"/>
          <cell r="T4813">
            <v>0.55000000000000004</v>
          </cell>
          <cell r="U4813">
            <v>0.54</v>
          </cell>
          <cell r="V4813">
            <v>0.89</v>
          </cell>
          <cell r="W4813">
            <v>0</v>
          </cell>
          <cell r="X4813" t="str">
            <v>EST CADEIRA KEEF C/BRACO (JEQ TING NOG) (MISTA) (C4 PINHAO) - 0,55x0,54x0,89H</v>
          </cell>
          <cell r="Y4813">
            <v>9927.3700000000008</v>
          </cell>
          <cell r="Z4813">
            <v>0.5</v>
          </cell>
          <cell r="AA4813">
            <v>4963.6850000000004</v>
          </cell>
          <cell r="AB4813"/>
        </row>
        <row r="4814">
          <cell r="C4814">
            <v>0</v>
          </cell>
          <cell r="D4814">
            <v>0</v>
          </cell>
          <cell r="E4814">
            <v>0</v>
          </cell>
          <cell r="F4814">
            <v>0</v>
          </cell>
          <cell r="H4814">
            <v>8</v>
          </cell>
          <cell r="O4814">
            <v>307826</v>
          </cell>
          <cell r="P4814" t="str">
            <v>2021/350-0126-01</v>
          </cell>
          <cell r="Q4814" t="str">
            <v>EST CADEIRA KEEF C/BRACO (JEQ TING NOG) (MISTA) (C4 PINHAO)</v>
          </cell>
          <cell r="R4814"/>
          <cell r="S4814"/>
          <cell r="T4814">
            <v>0.55000000000000004</v>
          </cell>
          <cell r="U4814">
            <v>0.54</v>
          </cell>
          <cell r="V4814">
            <v>0.89</v>
          </cell>
          <cell r="W4814">
            <v>0</v>
          </cell>
          <cell r="X4814" t="str">
            <v>EST CADEIRA KEEF C/BRACO (JEQ TING NOG) (MISTA) (C4 PINHAO) - 0,55x0,54x0,89H</v>
          </cell>
          <cell r="Y4814">
            <v>9927.3700000000008</v>
          </cell>
          <cell r="Z4814">
            <v>0.5</v>
          </cell>
          <cell r="AA4814">
            <v>4963.6850000000004</v>
          </cell>
          <cell r="AB4814"/>
        </row>
        <row r="4815">
          <cell r="C4815">
            <v>0</v>
          </cell>
          <cell r="D4815">
            <v>0</v>
          </cell>
          <cell r="E4815">
            <v>0</v>
          </cell>
          <cell r="F4815">
            <v>0</v>
          </cell>
          <cell r="H4815">
            <v>8</v>
          </cell>
          <cell r="O4815">
            <v>307826</v>
          </cell>
          <cell r="P4815" t="str">
            <v>2021/350-0127-01</v>
          </cell>
          <cell r="Q4815" t="str">
            <v>EST CADEIRA KEEF C/BRACO (JEQ TING NOG) (MISTA) (C4 PINHAO)</v>
          </cell>
          <cell r="R4815"/>
          <cell r="S4815"/>
          <cell r="T4815">
            <v>0.55000000000000004</v>
          </cell>
          <cell r="U4815">
            <v>0.54</v>
          </cell>
          <cell r="V4815">
            <v>0.89</v>
          </cell>
          <cell r="W4815">
            <v>0</v>
          </cell>
          <cell r="X4815" t="str">
            <v>EST CADEIRA KEEF C/BRACO (JEQ TING NOG) (MISTA) (C4 PINHAO) - 0,55x0,54x0,89H</v>
          </cell>
          <cell r="Y4815">
            <v>9927.3700000000008</v>
          </cell>
          <cell r="Z4815">
            <v>0.5</v>
          </cell>
          <cell r="AA4815">
            <v>4963.6850000000004</v>
          </cell>
          <cell r="AB4815"/>
        </row>
        <row r="4816">
          <cell r="C4816">
            <v>0</v>
          </cell>
          <cell r="D4816">
            <v>0</v>
          </cell>
          <cell r="E4816">
            <v>0</v>
          </cell>
          <cell r="F4816">
            <v>0</v>
          </cell>
          <cell r="H4816">
            <v>1</v>
          </cell>
          <cell r="O4816">
            <v>307829</v>
          </cell>
          <cell r="P4816" t="str">
            <v>2021/350-0135-01</v>
          </cell>
          <cell r="Q4816" t="str">
            <v>EST CADEIRA KEEF C/BRACO (JEQ TING FRJ) (MISTA) (C4 CAMEL)</v>
          </cell>
          <cell r="R4816"/>
          <cell r="S4816"/>
          <cell r="T4816">
            <v>0.55000000000000004</v>
          </cell>
          <cell r="U4816">
            <v>0.54</v>
          </cell>
          <cell r="V4816">
            <v>0.89</v>
          </cell>
          <cell r="W4816">
            <v>0</v>
          </cell>
          <cell r="X4816" t="str">
            <v>EST CADEIRA KEEF C/BRACO (JEQ TING FRJ) (MISTA) (C4 CAMEL) - 0,55x0,54x0,89H</v>
          </cell>
          <cell r="Y4816">
            <v>9927.3700000000008</v>
          </cell>
          <cell r="Z4816">
            <v>0.5</v>
          </cell>
          <cell r="AA4816">
            <v>4963.6850000000004</v>
          </cell>
          <cell r="AB4816"/>
        </row>
        <row r="4817">
          <cell r="C4817">
            <v>0</v>
          </cell>
          <cell r="D4817">
            <v>0</v>
          </cell>
          <cell r="E4817">
            <v>0</v>
          </cell>
          <cell r="F4817">
            <v>0</v>
          </cell>
          <cell r="H4817">
            <v>1</v>
          </cell>
          <cell r="O4817">
            <v>307829</v>
          </cell>
          <cell r="P4817" t="str">
            <v>2021/350-0136-01</v>
          </cell>
          <cell r="Q4817" t="str">
            <v>EST CADEIRA KEEF C/BRACO (JEQ TING FRJ) (MISTA) (C4 CAMEL)</v>
          </cell>
          <cell r="R4817"/>
          <cell r="S4817"/>
          <cell r="T4817">
            <v>0.55000000000000004</v>
          </cell>
          <cell r="U4817">
            <v>0.54</v>
          </cell>
          <cell r="V4817">
            <v>0.89</v>
          </cell>
          <cell r="W4817">
            <v>0</v>
          </cell>
          <cell r="X4817" t="str">
            <v>EST CADEIRA KEEF C/BRACO (JEQ TING FRJ) (MISTA) (C4 CAMEL) - 0,55x0,54x0,89H</v>
          </cell>
          <cell r="Y4817">
            <v>9927.3700000000008</v>
          </cell>
          <cell r="Z4817">
            <v>0.5</v>
          </cell>
          <cell r="AA4817">
            <v>4963.6850000000004</v>
          </cell>
          <cell r="AB4817"/>
        </row>
        <row r="4818">
          <cell r="C4818">
            <v>0</v>
          </cell>
          <cell r="D4818">
            <v>0</v>
          </cell>
          <cell r="E4818">
            <v>0</v>
          </cell>
          <cell r="F4818">
            <v>0</v>
          </cell>
          <cell r="H4818">
            <v>1</v>
          </cell>
          <cell r="O4818">
            <v>307934</v>
          </cell>
          <cell r="P4818" t="str">
            <v>2021/257-0003-01</v>
          </cell>
          <cell r="Q4818" t="str">
            <v>EST MESA CENTRO CRUX (DES) (LAM 2 FREIJO/OFF WHT) (BS LATAO)</v>
          </cell>
          <cell r="R4818"/>
          <cell r="S4818"/>
          <cell r="T4818">
            <v>1.6</v>
          </cell>
          <cell r="U4818">
            <v>1</v>
          </cell>
          <cell r="V4818">
            <v>0.35</v>
          </cell>
          <cell r="W4818">
            <v>0</v>
          </cell>
          <cell r="X4818" t="str">
            <v>EST MESA CENTRO CRUX (DES) (LAM 2 FREIJO/OFF WHT) (BS LATAO) - 1,6x1x0,35H</v>
          </cell>
          <cell r="Y4818">
            <v>16385.64</v>
          </cell>
          <cell r="Z4818">
            <v>0.5</v>
          </cell>
          <cell r="AA4818">
            <v>8192.82</v>
          </cell>
          <cell r="AB4818"/>
        </row>
        <row r="4819">
          <cell r="C4819">
            <v>0</v>
          </cell>
          <cell r="D4819">
            <v>0</v>
          </cell>
          <cell r="E4819">
            <v>0</v>
          </cell>
          <cell r="F4819">
            <v>0</v>
          </cell>
          <cell r="H4819">
            <v>1</v>
          </cell>
          <cell r="O4819">
            <v>308174</v>
          </cell>
          <cell r="P4819" t="str">
            <v>2022/018-0035-01</v>
          </cell>
          <cell r="Q4819" t="str">
            <v>EST CHAISE REGIA COURO ENC VQ570/ASS TC N2026/ALMF TC2025</v>
          </cell>
          <cell r="R4819"/>
          <cell r="S4819"/>
          <cell r="T4819">
            <v>1.68</v>
          </cell>
          <cell r="U4819">
            <v>1.65</v>
          </cell>
          <cell r="V4819">
            <v>0.85</v>
          </cell>
          <cell r="W4819">
            <v>0</v>
          </cell>
          <cell r="X4819" t="str">
            <v>EST CHAISE REGIA COURO ENC VQ570/ASS TC N2026/ALMF TC2025 - 1,68x1,65x0,85H</v>
          </cell>
          <cell r="Y4819">
            <v>59199.71</v>
          </cell>
          <cell r="Z4819">
            <v>0.5</v>
          </cell>
          <cell r="AA4819">
            <v>29599.855</v>
          </cell>
          <cell r="AB4819"/>
        </row>
        <row r="4820">
          <cell r="C4820">
            <v>0</v>
          </cell>
          <cell r="D4820">
            <v>0</v>
          </cell>
          <cell r="E4820">
            <v>0</v>
          </cell>
          <cell r="F4820">
            <v>0</v>
          </cell>
          <cell r="H4820">
            <v>2</v>
          </cell>
          <cell r="O4820">
            <v>308179</v>
          </cell>
          <cell r="P4820" t="str">
            <v>2022/203-0157-01</v>
          </cell>
          <cell r="Q4820" t="str">
            <v>EST ACESSORIO BANDEJA OCA MARMORE JADORE</v>
          </cell>
          <cell r="R4820"/>
          <cell r="S4820"/>
          <cell r="T4820">
            <v>0.3</v>
          </cell>
          <cell r="U4820">
            <v>0</v>
          </cell>
          <cell r="V4820">
            <v>0.02</v>
          </cell>
          <cell r="W4820">
            <v>0.32</v>
          </cell>
          <cell r="X4820" t="str">
            <v>EST ACESSORIO BANDEJA OCA MARMORE JADORE - Ø0,32x0,02H</v>
          </cell>
          <cell r="Y4820">
            <v>4243.68</v>
          </cell>
          <cell r="Z4820">
            <v>0.5</v>
          </cell>
          <cell r="AA4820">
            <v>2121.84</v>
          </cell>
          <cell r="AB4820"/>
        </row>
        <row r="4821">
          <cell r="C4821">
            <v>0</v>
          </cell>
          <cell r="D4821">
            <v>0</v>
          </cell>
          <cell r="E4821">
            <v>0</v>
          </cell>
          <cell r="F4821">
            <v>0</v>
          </cell>
          <cell r="H4821">
            <v>1</v>
          </cell>
          <cell r="O4821">
            <v>308750</v>
          </cell>
          <cell r="P4821"/>
          <cell r="Q4821" t="str">
            <v>EST CARRINHO BAR SAVASSI (LAMINADO NOGUEIRA/MTX PRETO)</v>
          </cell>
          <cell r="R4821"/>
          <cell r="S4821"/>
          <cell r="T4821">
            <v>1.5</v>
          </cell>
          <cell r="U4821">
            <v>0.45</v>
          </cell>
          <cell r="V4821">
            <v>0.8</v>
          </cell>
          <cell r="W4821">
            <v>0</v>
          </cell>
          <cell r="X4821" t="str">
            <v>EST CARRINHO BAR SAVASSI (LAMINADO NOGUEIRA/MTX PRETO) - 1,5x0,45x0,8H</v>
          </cell>
          <cell r="Y4821">
            <v>28016.22</v>
          </cell>
          <cell r="Z4821">
            <v>0.35</v>
          </cell>
          <cell r="AA4821">
            <v>18210.543000000001</v>
          </cell>
          <cell r="AB4821"/>
        </row>
        <row r="4822">
          <cell r="C4822">
            <v>0</v>
          </cell>
          <cell r="D4822">
            <v>0</v>
          </cell>
          <cell r="E4822">
            <v>0</v>
          </cell>
          <cell r="F4822">
            <v>0</v>
          </cell>
          <cell r="H4822">
            <v>1</v>
          </cell>
          <cell r="O4822">
            <v>309892</v>
          </cell>
          <cell r="P4822"/>
          <cell r="Q4822" t="str">
            <v>EST BANDEJA RITMO Ø55 (MARMORE 2 ROSA PARANA)</v>
          </cell>
          <cell r="R4822"/>
          <cell r="S4822"/>
          <cell r="T4822">
            <v>0.55000000000000004</v>
          </cell>
          <cell r="U4822">
            <v>0</v>
          </cell>
          <cell r="V4822">
            <v>0.02</v>
          </cell>
          <cell r="W4822">
            <v>0.55000000000000004</v>
          </cell>
          <cell r="X4822" t="str">
            <v>EST BANDEJA RITMO Ø55 (MARMORE 2 ROSA PARANA) - Ø0,55x0,02H</v>
          </cell>
          <cell r="Y4822" t="e">
            <v>#VALUE!</v>
          </cell>
          <cell r="Z4822">
            <v>0.35</v>
          </cell>
          <cell r="AA4822" t="e">
            <v>#VALUE!</v>
          </cell>
          <cell r="AB4822"/>
        </row>
        <row r="4823">
          <cell r="C4823">
            <v>1</v>
          </cell>
          <cell r="D4823">
            <v>1</v>
          </cell>
          <cell r="E4823">
            <v>1</v>
          </cell>
          <cell r="F4823">
            <v>0</v>
          </cell>
          <cell r="H4823">
            <v>0</v>
          </cell>
          <cell r="O4823">
            <v>312399</v>
          </cell>
          <cell r="P4823"/>
          <cell r="Q4823" t="str">
            <v>EST LIVRO ARQUITETURA GUSTAVO PENNA IMPRESSOES CAPA DURA</v>
          </cell>
          <cell r="R4823"/>
          <cell r="S4823"/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 t="str">
            <v>EST LIVRO ARQUITETURA GUSTAVO PENNA IMPRESSOES CAPA DURA - Ø0x0H</v>
          </cell>
          <cell r="Y4823">
            <v>376.32</v>
          </cell>
          <cell r="Z4823">
            <v>0.35</v>
          </cell>
          <cell r="AA4823">
            <v>244.608</v>
          </cell>
          <cell r="AB4823"/>
        </row>
        <row r="4824">
          <cell r="C4824">
            <v>1</v>
          </cell>
          <cell r="D4824">
            <v>0</v>
          </cell>
          <cell r="E4824">
            <v>1</v>
          </cell>
          <cell r="F4824">
            <v>0</v>
          </cell>
          <cell r="H4824">
            <v>0</v>
          </cell>
          <cell r="O4824">
            <v>312400</v>
          </cell>
          <cell r="P4824"/>
          <cell r="Q4824" t="str">
            <v>EST LIVRO BRASIL ARQUITETURA E DECORACAO CAPA DURA</v>
          </cell>
          <cell r="R4824"/>
          <cell r="S4824"/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 t="str">
            <v>EST LIVRO BRASIL ARQUITETURA E DECORACAO CAPA DURA - Ø0x0H</v>
          </cell>
          <cell r="Y4824">
            <v>1094.46</v>
          </cell>
          <cell r="Z4824">
            <v>0.35</v>
          </cell>
          <cell r="AA4824">
            <v>711.39900000000011</v>
          </cell>
          <cell r="AB4824"/>
        </row>
        <row r="4825">
          <cell r="C4825">
            <v>1</v>
          </cell>
          <cell r="D4825">
            <v>1</v>
          </cell>
          <cell r="E4825">
            <v>1</v>
          </cell>
          <cell r="F4825">
            <v>0</v>
          </cell>
          <cell r="H4825">
            <v>0</v>
          </cell>
          <cell r="O4825">
            <v>312401</v>
          </cell>
          <cell r="P4825"/>
          <cell r="Q4825" t="str">
            <v>EST LIVRO YVES SAINT LAURENT- THE SCANDALL COLLETIONS</v>
          </cell>
          <cell r="R4825"/>
          <cell r="S4825"/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 t="str">
            <v>EST LIVRO YVES SAINT LAURENT- THE SCANDALL COLLETIONS - Ø0x0H</v>
          </cell>
          <cell r="Y4825">
            <v>780.86</v>
          </cell>
          <cell r="Z4825">
            <v>0.35</v>
          </cell>
          <cell r="AA4825">
            <v>507.55900000000003</v>
          </cell>
          <cell r="AB4825"/>
        </row>
        <row r="4826">
          <cell r="C4826">
            <v>0</v>
          </cell>
          <cell r="D4826">
            <v>1</v>
          </cell>
          <cell r="E4826">
            <v>1</v>
          </cell>
          <cell r="F4826">
            <v>0</v>
          </cell>
          <cell r="H4826">
            <v>0</v>
          </cell>
          <cell r="O4826">
            <v>312402</v>
          </cell>
          <cell r="P4826"/>
          <cell r="Q4826" t="str">
            <v>EST LIVRO DEBRET E O BRASIL CAPA DURA</v>
          </cell>
          <cell r="R4826"/>
          <cell r="S4826"/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 t="str">
            <v>EST LIVRO DEBRET E O BRASIL CAPA DURA - Ø0x0H</v>
          </cell>
          <cell r="Y4826">
            <v>611.52</v>
          </cell>
          <cell r="Z4826">
            <v>0.35</v>
          </cell>
          <cell r="AA4826">
            <v>397.488</v>
          </cell>
          <cell r="AB4826"/>
        </row>
        <row r="4827">
          <cell r="C4827">
            <v>2</v>
          </cell>
          <cell r="D4827">
            <v>1</v>
          </cell>
          <cell r="E4827">
            <v>0</v>
          </cell>
          <cell r="F4827">
            <v>0</v>
          </cell>
          <cell r="H4827">
            <v>0</v>
          </cell>
          <cell r="O4827">
            <v>312403</v>
          </cell>
          <cell r="P4827"/>
          <cell r="Q4827" t="str">
            <v>EST LIVRO DIOR FOR EVER CAPA DURA</v>
          </cell>
          <cell r="R4827"/>
          <cell r="S4827"/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 t="str">
            <v>EST LIVRO DIOR FOR EVER CAPA DURA - Ø0x0H</v>
          </cell>
          <cell r="Y4827">
            <v>752.64</v>
          </cell>
          <cell r="Z4827">
            <v>0.35</v>
          </cell>
          <cell r="AA4827">
            <v>489.21600000000001</v>
          </cell>
          <cell r="AB4827"/>
        </row>
        <row r="4828">
          <cell r="C4828">
            <v>1</v>
          </cell>
          <cell r="D4828">
            <v>1</v>
          </cell>
          <cell r="E4828">
            <v>1</v>
          </cell>
          <cell r="F4828">
            <v>0</v>
          </cell>
          <cell r="H4828">
            <v>0</v>
          </cell>
          <cell r="O4828">
            <v>312404</v>
          </cell>
          <cell r="P4828"/>
          <cell r="Q4828" t="str">
            <v>EST LIVRO HISTORIA GLOBAL DA ARQUITETURA CAPA DURA</v>
          </cell>
          <cell r="R4828"/>
          <cell r="S4828"/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 t="str">
            <v>EST LIVRO HISTORIA GLOBAL DA ARQUITETURA CAPA DURA - Ø0x0H</v>
          </cell>
          <cell r="Y4828">
            <v>780.86</v>
          </cell>
          <cell r="Z4828">
            <v>0.35</v>
          </cell>
          <cell r="AA4828">
            <v>507.55900000000003</v>
          </cell>
          <cell r="AB4828"/>
        </row>
        <row r="4829">
          <cell r="C4829">
            <v>2</v>
          </cell>
          <cell r="D4829">
            <v>1</v>
          </cell>
          <cell r="E4829">
            <v>0</v>
          </cell>
          <cell r="F4829">
            <v>0</v>
          </cell>
          <cell r="H4829">
            <v>0</v>
          </cell>
          <cell r="O4829">
            <v>312405</v>
          </cell>
          <cell r="P4829"/>
          <cell r="Q4829" t="str">
            <v>EST LIVRO INTERIORS - INSIDE THE AMERICAN HOME CAPA DURA</v>
          </cell>
          <cell r="R4829"/>
          <cell r="S4829"/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 t="str">
            <v>EST LIVRO INTERIORS - INSIDE THE AMERICAN HOME CAPA DURA - Ø0x0H</v>
          </cell>
          <cell r="Y4829">
            <v>937.66</v>
          </cell>
          <cell r="Z4829">
            <v>0.35</v>
          </cell>
          <cell r="AA4829">
            <v>609.47900000000004</v>
          </cell>
          <cell r="AB4829"/>
        </row>
        <row r="4830">
          <cell r="C4830">
            <v>1</v>
          </cell>
          <cell r="D4830">
            <v>2</v>
          </cell>
          <cell r="E4830">
            <v>0</v>
          </cell>
          <cell r="F4830">
            <v>0</v>
          </cell>
          <cell r="H4830">
            <v>0</v>
          </cell>
          <cell r="O4830">
            <v>312406</v>
          </cell>
          <cell r="P4830"/>
          <cell r="Q4830" t="str">
            <v>EST LIVRO LIVING WITH COLOR CAPA DURA</v>
          </cell>
          <cell r="R4830"/>
          <cell r="S4830"/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 t="str">
            <v>EST LIVRO LIVING WITH COLOR CAPA DURA - Ø0x0H</v>
          </cell>
          <cell r="Y4830">
            <v>799.68</v>
          </cell>
          <cell r="Z4830">
            <v>0.35</v>
          </cell>
          <cell r="AA4830">
            <v>519.79199999999992</v>
          </cell>
          <cell r="AB4830"/>
        </row>
        <row r="4831">
          <cell r="C4831">
            <v>2</v>
          </cell>
          <cell r="D4831">
            <v>1</v>
          </cell>
          <cell r="E4831">
            <v>0</v>
          </cell>
          <cell r="F4831">
            <v>0</v>
          </cell>
          <cell r="H4831">
            <v>0</v>
          </cell>
          <cell r="O4831">
            <v>312407</v>
          </cell>
          <cell r="P4831"/>
          <cell r="Q4831" t="str">
            <v>EST LIVRO MMM ROBERTO CAPA DURA</v>
          </cell>
          <cell r="R4831"/>
          <cell r="S4831"/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 t="str">
            <v>EST LIVRO MMM ROBERTO CAPA DURA - Ø0x0H</v>
          </cell>
          <cell r="Y4831">
            <v>470.4</v>
          </cell>
          <cell r="Z4831">
            <v>0.35</v>
          </cell>
          <cell r="AA4831">
            <v>305.76</v>
          </cell>
          <cell r="AB4831"/>
        </row>
        <row r="4832">
          <cell r="C4832">
            <v>1</v>
          </cell>
          <cell r="D4832">
            <v>1</v>
          </cell>
          <cell r="E4832">
            <v>0</v>
          </cell>
          <cell r="F4832">
            <v>0</v>
          </cell>
          <cell r="H4832">
            <v>0</v>
          </cell>
          <cell r="O4832">
            <v>312408</v>
          </cell>
          <cell r="P4832"/>
          <cell r="Q4832" t="str">
            <v>EST LIVRO JEAN GILLON CAPA DURA</v>
          </cell>
          <cell r="R4832"/>
          <cell r="S4832"/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 t="str">
            <v>EST LIVRO JEAN GILLON CAPA DURA - Ø0x0H</v>
          </cell>
          <cell r="Y4832">
            <v>529.98</v>
          </cell>
          <cell r="Z4832">
            <v>0.35</v>
          </cell>
          <cell r="AA4832">
            <v>344.48700000000002</v>
          </cell>
          <cell r="AB4832"/>
        </row>
        <row r="4833">
          <cell r="C4833">
            <v>1</v>
          </cell>
          <cell r="D4833">
            <v>1</v>
          </cell>
          <cell r="E4833">
            <v>1</v>
          </cell>
          <cell r="F4833">
            <v>0</v>
          </cell>
          <cell r="H4833">
            <v>0</v>
          </cell>
          <cell r="O4833">
            <v>312409</v>
          </cell>
          <cell r="P4833"/>
          <cell r="Q4833" t="str">
            <v>EST LIVRO OCA - ARQUITETURA DO BRASIL VOL. 16 CAPA DURA</v>
          </cell>
          <cell r="R4833"/>
          <cell r="S4833"/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 t="str">
            <v>EST LIVRO OCA - ARQUITETURA DO BRASIL VOL. 16 CAPA DURA - Ø0x0H</v>
          </cell>
          <cell r="Y4833">
            <v>874.94</v>
          </cell>
          <cell r="Z4833">
            <v>0.35</v>
          </cell>
          <cell r="AA4833">
            <v>568.71100000000001</v>
          </cell>
          <cell r="AB4833"/>
        </row>
        <row r="4834">
          <cell r="C4834">
            <v>2</v>
          </cell>
          <cell r="D4834">
            <v>1</v>
          </cell>
          <cell r="E4834">
            <v>0</v>
          </cell>
          <cell r="F4834">
            <v>0</v>
          </cell>
          <cell r="H4834">
            <v>0</v>
          </cell>
          <cell r="O4834">
            <v>312410</v>
          </cell>
          <cell r="P4834"/>
          <cell r="Q4834" t="str">
            <v>EST LIVRO MODERN MACRAME CAPA DURA</v>
          </cell>
          <cell r="R4834"/>
          <cell r="S4834"/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 t="str">
            <v>EST LIVRO MODERN MACRAME CAPA DURA - Ø0x0H</v>
          </cell>
          <cell r="Y4834">
            <v>533.12</v>
          </cell>
          <cell r="Z4834">
            <v>0.35</v>
          </cell>
          <cell r="AA4834">
            <v>346.52800000000002</v>
          </cell>
          <cell r="AB4834"/>
        </row>
        <row r="4835">
          <cell r="C4835">
            <v>1</v>
          </cell>
          <cell r="D4835">
            <v>1</v>
          </cell>
          <cell r="E4835">
            <v>1</v>
          </cell>
          <cell r="F4835">
            <v>0</v>
          </cell>
          <cell r="H4835">
            <v>0</v>
          </cell>
          <cell r="O4835">
            <v>312411</v>
          </cell>
          <cell r="P4835"/>
          <cell r="Q4835" t="str">
            <v>EST LIVRO RUY OTHAKE - ARQUITETURA E A CIDADE CAPA DURA</v>
          </cell>
          <cell r="R4835"/>
          <cell r="S4835"/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 t="str">
            <v>EST LIVRO RUY OTHAKE - ARQUITETURA E A CIDADE CAPA DURA - Ø0x0H</v>
          </cell>
          <cell r="Y4835">
            <v>564.48</v>
          </cell>
          <cell r="Z4835">
            <v>0.35</v>
          </cell>
          <cell r="AA4835">
            <v>366.91200000000003</v>
          </cell>
          <cell r="AB4835"/>
        </row>
        <row r="4836">
          <cell r="C4836">
            <v>1</v>
          </cell>
          <cell r="D4836">
            <v>0</v>
          </cell>
          <cell r="E4836">
            <v>0</v>
          </cell>
          <cell r="F4836">
            <v>0</v>
          </cell>
          <cell r="H4836">
            <v>0</v>
          </cell>
          <cell r="O4836">
            <v>312413</v>
          </cell>
          <cell r="P4836"/>
          <cell r="Q4836" t="str">
            <v>EST LIVRO SUPERYATCH BOOK CAPA DURA</v>
          </cell>
          <cell r="R4836"/>
          <cell r="S4836"/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 t="str">
            <v>EST LIVRO SUPERYATCH BOOK CAPA DURA - Ø0x0H</v>
          </cell>
          <cell r="Y4836">
            <v>846.72</v>
          </cell>
          <cell r="Z4836">
            <v>0.35</v>
          </cell>
          <cell r="AA4836">
            <v>550.36800000000005</v>
          </cell>
          <cell r="AB4836"/>
        </row>
        <row r="4837">
          <cell r="C4837">
            <v>1</v>
          </cell>
          <cell r="D4837">
            <v>1</v>
          </cell>
          <cell r="E4837">
            <v>1</v>
          </cell>
          <cell r="F4837">
            <v>0</v>
          </cell>
          <cell r="H4837">
            <v>0</v>
          </cell>
          <cell r="O4837">
            <v>312414</v>
          </cell>
          <cell r="P4837"/>
          <cell r="Q4837" t="str">
            <v>EST LIVRO TRACOS CAPA DURA</v>
          </cell>
          <cell r="R4837"/>
          <cell r="S4837"/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 t="str">
            <v>EST LIVRO TRACOS CAPA DURA - Ø0x0H</v>
          </cell>
          <cell r="Y4837">
            <v>392</v>
          </cell>
          <cell r="Z4837">
            <v>0.35</v>
          </cell>
          <cell r="AA4837">
            <v>254.8</v>
          </cell>
          <cell r="AB4837"/>
        </row>
        <row r="4838">
          <cell r="C4838">
            <v>0</v>
          </cell>
          <cell r="D4838">
            <v>1</v>
          </cell>
          <cell r="E4838">
            <v>0</v>
          </cell>
          <cell r="F4838">
            <v>0</v>
          </cell>
          <cell r="H4838">
            <v>0</v>
          </cell>
          <cell r="O4838">
            <v>312425</v>
          </cell>
          <cell r="P4838" t="str">
            <v>2022/039-0012-01</v>
          </cell>
          <cell r="Q4838" t="str">
            <v>EST QUADRO FLACK BLUE DIAGO (COD877)</v>
          </cell>
          <cell r="R4838"/>
          <cell r="S4838"/>
          <cell r="T4838">
            <v>1.2</v>
          </cell>
          <cell r="U4838">
            <v>1.2</v>
          </cell>
          <cell r="V4838">
            <v>0</v>
          </cell>
          <cell r="W4838">
            <v>0</v>
          </cell>
          <cell r="X4838" t="str">
            <v>EST QUADRO FLACK BLUE DIAGO (COD877) - 1,2x1,2x0H</v>
          </cell>
          <cell r="Y4838">
            <v>4351.2</v>
          </cell>
          <cell r="Z4838">
            <v>0.5</v>
          </cell>
          <cell r="AA4838">
            <v>2175.6</v>
          </cell>
          <cell r="AB4838"/>
        </row>
        <row r="4839">
          <cell r="C4839">
            <v>1</v>
          </cell>
          <cell r="D4839">
            <v>0</v>
          </cell>
          <cell r="E4839">
            <v>1</v>
          </cell>
          <cell r="F4839">
            <v>0</v>
          </cell>
          <cell r="H4839">
            <v>0</v>
          </cell>
          <cell r="O4839">
            <v>314829</v>
          </cell>
          <cell r="P4839" t="str">
            <v>2022/178-0055-01</v>
          </cell>
          <cell r="Q4839" t="str">
            <v>EST ALMOFADA LIVERPOOL MATTE</v>
          </cell>
          <cell r="R4839"/>
          <cell r="S4839"/>
          <cell r="T4839">
            <v>0.5</v>
          </cell>
          <cell r="U4839">
            <v>0.5</v>
          </cell>
          <cell r="V4839">
            <v>0</v>
          </cell>
          <cell r="W4839">
            <v>0</v>
          </cell>
          <cell r="X4839" t="str">
            <v>EST ALMOFADA LIVERPOOL MATTE - 0,5x0,5x0H</v>
          </cell>
          <cell r="Y4839">
            <v>837.31</v>
          </cell>
          <cell r="Z4839">
            <v>0.35</v>
          </cell>
          <cell r="AA4839">
            <v>544.25149999999996</v>
          </cell>
          <cell r="AB4839"/>
        </row>
        <row r="4840">
          <cell r="C4840">
            <v>1</v>
          </cell>
          <cell r="D4840">
            <v>0</v>
          </cell>
          <cell r="E4840">
            <v>1</v>
          </cell>
          <cell r="F4840">
            <v>0</v>
          </cell>
          <cell r="H4840">
            <v>0</v>
          </cell>
          <cell r="O4840">
            <v>314829</v>
          </cell>
          <cell r="P4840" t="str">
            <v>2022/178-0057-01</v>
          </cell>
          <cell r="Q4840" t="str">
            <v>EST ALMOFADA LIVERPOOL MATTE</v>
          </cell>
          <cell r="R4840"/>
          <cell r="S4840"/>
          <cell r="T4840">
            <v>0.5</v>
          </cell>
          <cell r="U4840">
            <v>0.5</v>
          </cell>
          <cell r="V4840">
            <v>0</v>
          </cell>
          <cell r="W4840">
            <v>0</v>
          </cell>
          <cell r="X4840" t="str">
            <v>EST ALMOFADA LIVERPOOL MATTE - 0,5x0,5x0H</v>
          </cell>
          <cell r="Y4840">
            <v>837.31</v>
          </cell>
          <cell r="Z4840">
            <v>0.35</v>
          </cell>
          <cell r="AA4840">
            <v>544.25149999999996</v>
          </cell>
          <cell r="AB4840"/>
        </row>
        <row r="4841">
          <cell r="C4841">
            <v>1</v>
          </cell>
          <cell r="D4841">
            <v>0</v>
          </cell>
          <cell r="E4841">
            <v>1</v>
          </cell>
          <cell r="F4841">
            <v>0</v>
          </cell>
          <cell r="H4841">
            <v>0</v>
          </cell>
          <cell r="O4841">
            <v>314829</v>
          </cell>
          <cell r="P4841"/>
          <cell r="Q4841" t="str">
            <v>EST ALMOFADA LIVERPOOL MATTE</v>
          </cell>
          <cell r="R4841"/>
          <cell r="S4841"/>
          <cell r="T4841">
            <v>0.5</v>
          </cell>
          <cell r="U4841">
            <v>0.5</v>
          </cell>
          <cell r="V4841">
            <v>0</v>
          </cell>
          <cell r="W4841">
            <v>0</v>
          </cell>
          <cell r="X4841" t="str">
            <v>EST ALMOFADA LIVERPOOL MATTE - 0,5x0,5x0H</v>
          </cell>
          <cell r="Y4841">
            <v>837.31</v>
          </cell>
          <cell r="Z4841">
            <v>0.35</v>
          </cell>
          <cell r="AA4841">
            <v>544.25149999999996</v>
          </cell>
          <cell r="AB4841"/>
        </row>
        <row r="4842">
          <cell r="C4842">
            <v>1</v>
          </cell>
          <cell r="D4842">
            <v>3</v>
          </cell>
          <cell r="E4842">
            <v>0</v>
          </cell>
          <cell r="F4842">
            <v>0</v>
          </cell>
          <cell r="H4842">
            <v>0</v>
          </cell>
          <cell r="O4842">
            <v>314835</v>
          </cell>
          <cell r="P4842" t="str">
            <v>2021/344-0107-01</v>
          </cell>
          <cell r="Q4842" t="str">
            <v>EST ALMOFADA MONTENEGRO BEGE/OFF WHITE</v>
          </cell>
          <cell r="R4842"/>
          <cell r="S4842"/>
          <cell r="T4842">
            <v>0.5</v>
          </cell>
          <cell r="U4842">
            <v>0.5</v>
          </cell>
          <cell r="V4842">
            <v>0</v>
          </cell>
          <cell r="W4842">
            <v>0</v>
          </cell>
          <cell r="X4842" t="str">
            <v>EST ALMOFADA MONTENEGRO BEGE/OFF WHITE - 0,5x0,5x0H</v>
          </cell>
          <cell r="Y4842">
            <v>1320.7</v>
          </cell>
          <cell r="Z4842">
            <v>0.35</v>
          </cell>
          <cell r="AA4842">
            <v>858.45500000000004</v>
          </cell>
          <cell r="AB4842"/>
        </row>
        <row r="4843">
          <cell r="C4843">
            <v>1</v>
          </cell>
          <cell r="D4843">
            <v>3</v>
          </cell>
          <cell r="E4843">
            <v>0</v>
          </cell>
          <cell r="F4843">
            <v>0</v>
          </cell>
          <cell r="H4843">
            <v>0</v>
          </cell>
          <cell r="O4843">
            <v>314835</v>
          </cell>
          <cell r="P4843" t="str">
            <v>2021/344-0108-01</v>
          </cell>
          <cell r="Q4843" t="str">
            <v>EST ALMOFADA MONTENEGRO BEGE/OFF WHITE</v>
          </cell>
          <cell r="R4843"/>
          <cell r="S4843"/>
          <cell r="T4843">
            <v>0.5</v>
          </cell>
          <cell r="U4843">
            <v>0.5</v>
          </cell>
          <cell r="V4843">
            <v>0</v>
          </cell>
          <cell r="W4843">
            <v>0</v>
          </cell>
          <cell r="X4843" t="str">
            <v>EST ALMOFADA MONTENEGRO BEGE/OFF WHITE - 0,5x0,5x0H</v>
          </cell>
          <cell r="Y4843">
            <v>1320.7</v>
          </cell>
          <cell r="Z4843">
            <v>0.35</v>
          </cell>
          <cell r="AA4843">
            <v>858.45500000000004</v>
          </cell>
          <cell r="AB4843"/>
        </row>
        <row r="4844">
          <cell r="C4844">
            <v>1</v>
          </cell>
          <cell r="D4844">
            <v>3</v>
          </cell>
          <cell r="E4844">
            <v>0</v>
          </cell>
          <cell r="F4844">
            <v>0</v>
          </cell>
          <cell r="H4844">
            <v>0</v>
          </cell>
          <cell r="O4844">
            <v>314835</v>
          </cell>
          <cell r="P4844" t="str">
            <v>2021/344-0109-01</v>
          </cell>
          <cell r="Q4844" t="str">
            <v>EST ALMOFADA MONTENEGRO BEGE/OFF WHITE</v>
          </cell>
          <cell r="R4844"/>
          <cell r="S4844"/>
          <cell r="T4844">
            <v>0.5</v>
          </cell>
          <cell r="U4844">
            <v>0.5</v>
          </cell>
          <cell r="V4844">
            <v>0</v>
          </cell>
          <cell r="W4844">
            <v>0</v>
          </cell>
          <cell r="X4844" t="str">
            <v>EST ALMOFADA MONTENEGRO BEGE/OFF WHITE - 0,5x0,5x0H</v>
          </cell>
          <cell r="Y4844">
            <v>1320.7</v>
          </cell>
          <cell r="Z4844">
            <v>0.35</v>
          </cell>
          <cell r="AA4844">
            <v>858.45500000000004</v>
          </cell>
          <cell r="AB4844"/>
        </row>
        <row r="4845">
          <cell r="C4845">
            <v>1</v>
          </cell>
          <cell r="D4845">
            <v>3</v>
          </cell>
          <cell r="E4845">
            <v>0</v>
          </cell>
          <cell r="F4845">
            <v>0</v>
          </cell>
          <cell r="H4845">
            <v>0</v>
          </cell>
          <cell r="O4845">
            <v>314835</v>
          </cell>
          <cell r="P4845" t="str">
            <v>2021/344-0110-01</v>
          </cell>
          <cell r="Q4845" t="str">
            <v>EST ALMOFADA MONTENEGRO BEGE/OFF WHITE</v>
          </cell>
          <cell r="R4845"/>
          <cell r="S4845"/>
          <cell r="T4845">
            <v>0.5</v>
          </cell>
          <cell r="U4845">
            <v>0.5</v>
          </cell>
          <cell r="V4845">
            <v>0</v>
          </cell>
          <cell r="W4845">
            <v>0</v>
          </cell>
          <cell r="X4845" t="str">
            <v>EST ALMOFADA MONTENEGRO BEGE/OFF WHITE - 0,5x0,5x0H</v>
          </cell>
          <cell r="Y4845">
            <v>1320.7</v>
          </cell>
          <cell r="Z4845">
            <v>0.35</v>
          </cell>
          <cell r="AA4845">
            <v>858.45500000000004</v>
          </cell>
          <cell r="AB4845"/>
        </row>
        <row r="4846">
          <cell r="C4846">
            <v>0</v>
          </cell>
          <cell r="D4846">
            <v>0</v>
          </cell>
          <cell r="E4846">
            <v>1</v>
          </cell>
          <cell r="F4846">
            <v>0</v>
          </cell>
          <cell r="H4846">
            <v>0</v>
          </cell>
          <cell r="O4846">
            <v>314836</v>
          </cell>
          <cell r="P4846" t="str">
            <v>2021/344-0119-01</v>
          </cell>
          <cell r="Q4846" t="str">
            <v>EST ALMOFADA MONTENEGRO COBRE/LICOR</v>
          </cell>
          <cell r="R4846"/>
          <cell r="S4846"/>
          <cell r="T4846">
            <v>0.5</v>
          </cell>
          <cell r="U4846">
            <v>0.5</v>
          </cell>
          <cell r="V4846">
            <v>0</v>
          </cell>
          <cell r="W4846">
            <v>0</v>
          </cell>
          <cell r="X4846" t="str">
            <v>EST ALMOFADA MONTENEGRO COBRE/LICOR - 0,5x0,5x0H</v>
          </cell>
          <cell r="Y4846">
            <v>1320.7</v>
          </cell>
          <cell r="Z4846">
            <v>0.5</v>
          </cell>
          <cell r="AA4846">
            <v>660.35</v>
          </cell>
          <cell r="AB4846"/>
        </row>
        <row r="4847">
          <cell r="C4847">
            <v>0</v>
          </cell>
          <cell r="D4847">
            <v>0</v>
          </cell>
          <cell r="E4847">
            <v>1</v>
          </cell>
          <cell r="F4847">
            <v>0</v>
          </cell>
          <cell r="H4847">
            <v>0</v>
          </cell>
          <cell r="O4847">
            <v>314836</v>
          </cell>
          <cell r="P4847" t="str">
            <v>2021/344-0120-01</v>
          </cell>
          <cell r="Q4847" t="str">
            <v>EST ALMOFADA MONTENEGRO COBRE/LICOR</v>
          </cell>
          <cell r="R4847"/>
          <cell r="S4847"/>
          <cell r="T4847">
            <v>0.5</v>
          </cell>
          <cell r="U4847">
            <v>0.5</v>
          </cell>
          <cell r="V4847">
            <v>0</v>
          </cell>
          <cell r="W4847">
            <v>0</v>
          </cell>
          <cell r="X4847" t="str">
            <v>EST ALMOFADA MONTENEGRO COBRE/LICOR - 0,5x0,5x0H</v>
          </cell>
          <cell r="Y4847">
            <v>1320.7</v>
          </cell>
          <cell r="Z4847">
            <v>0.5</v>
          </cell>
          <cell r="AA4847">
            <v>660.35</v>
          </cell>
          <cell r="AB4847"/>
        </row>
        <row r="4848">
          <cell r="C4848">
            <v>2</v>
          </cell>
          <cell r="D4848">
            <v>0</v>
          </cell>
          <cell r="E4848">
            <v>0</v>
          </cell>
          <cell r="F4848">
            <v>0</v>
          </cell>
          <cell r="H4848">
            <v>0</v>
          </cell>
          <cell r="O4848">
            <v>314839</v>
          </cell>
          <cell r="P4848"/>
          <cell r="Q4848" t="str">
            <v>EST ALMOFADA RET.LIVERPOOL OLIVA</v>
          </cell>
          <cell r="R4848"/>
          <cell r="S4848"/>
          <cell r="T4848">
            <v>0.6</v>
          </cell>
          <cell r="U4848">
            <v>0.4</v>
          </cell>
          <cell r="V4848">
            <v>0</v>
          </cell>
          <cell r="W4848">
            <v>0</v>
          </cell>
          <cell r="X4848" t="str">
            <v>EST ALMOFADA RET.LIVERPOOL OLIVA - 0,6x0,4x0H</v>
          </cell>
          <cell r="Y4848">
            <v>729.34</v>
          </cell>
          <cell r="Z4848">
            <v>0.35</v>
          </cell>
          <cell r="AA4848">
            <v>474.07100000000003</v>
          </cell>
          <cell r="AB4848"/>
        </row>
        <row r="4849">
          <cell r="C4849">
            <v>2</v>
          </cell>
          <cell r="D4849">
            <v>0</v>
          </cell>
          <cell r="E4849">
            <v>0</v>
          </cell>
          <cell r="F4849">
            <v>0</v>
          </cell>
          <cell r="H4849">
            <v>0</v>
          </cell>
          <cell r="O4849">
            <v>314839</v>
          </cell>
          <cell r="P4849"/>
          <cell r="Q4849" t="str">
            <v>EST ALMOFADA RET.LIVERPOOL OLIVA</v>
          </cell>
          <cell r="R4849"/>
          <cell r="S4849"/>
          <cell r="T4849">
            <v>0.6</v>
          </cell>
          <cell r="U4849">
            <v>0.4</v>
          </cell>
          <cell r="V4849">
            <v>0</v>
          </cell>
          <cell r="W4849">
            <v>0</v>
          </cell>
          <cell r="X4849" t="str">
            <v>EST ALMOFADA RET.LIVERPOOL OLIVA - 0,6x0,4x0H</v>
          </cell>
          <cell r="Y4849">
            <v>729.34</v>
          </cell>
          <cell r="Z4849">
            <v>0.35</v>
          </cell>
          <cell r="AA4849">
            <v>474.07100000000003</v>
          </cell>
          <cell r="AB4849"/>
        </row>
        <row r="4850">
          <cell r="C4850">
            <v>0</v>
          </cell>
          <cell r="D4850">
            <v>0</v>
          </cell>
          <cell r="E4850">
            <v>3</v>
          </cell>
          <cell r="F4850">
            <v>0</v>
          </cell>
          <cell r="H4850">
            <v>0</v>
          </cell>
          <cell r="O4850">
            <v>314843</v>
          </cell>
          <cell r="P4850" t="str">
            <v>2021/344-0166-01</v>
          </cell>
          <cell r="Q4850" t="str">
            <v>EST ALMOFADA TRESSE MUSGO</v>
          </cell>
          <cell r="R4850"/>
          <cell r="S4850"/>
          <cell r="T4850">
            <v>0.5</v>
          </cell>
          <cell r="U4850">
            <v>0.5</v>
          </cell>
          <cell r="V4850">
            <v>0</v>
          </cell>
          <cell r="W4850">
            <v>0</v>
          </cell>
          <cell r="X4850" t="str">
            <v>EST ALMOFADA TRESSE MUSGO - 0,5x0,5x0H</v>
          </cell>
          <cell r="Y4850">
            <v>1320.7</v>
          </cell>
          <cell r="Z4850">
            <v>0.35</v>
          </cell>
          <cell r="AA4850">
            <v>858.45500000000004</v>
          </cell>
          <cell r="AB4850"/>
        </row>
        <row r="4851">
          <cell r="C4851">
            <v>0</v>
          </cell>
          <cell r="D4851">
            <v>0</v>
          </cell>
          <cell r="E4851">
            <v>3</v>
          </cell>
          <cell r="F4851">
            <v>0</v>
          </cell>
          <cell r="H4851">
            <v>0</v>
          </cell>
          <cell r="O4851">
            <v>314843</v>
          </cell>
          <cell r="P4851" t="str">
            <v>2021/344-0167-01</v>
          </cell>
          <cell r="Q4851" t="str">
            <v>EST ALMOFADA TRESSE MUSGO</v>
          </cell>
          <cell r="R4851"/>
          <cell r="S4851"/>
          <cell r="T4851">
            <v>0.5</v>
          </cell>
          <cell r="U4851">
            <v>0.5</v>
          </cell>
          <cell r="V4851">
            <v>0</v>
          </cell>
          <cell r="W4851">
            <v>0</v>
          </cell>
          <cell r="X4851" t="str">
            <v>EST ALMOFADA TRESSE MUSGO - 0,5x0,5x0H</v>
          </cell>
          <cell r="Y4851">
            <v>1320.7</v>
          </cell>
          <cell r="Z4851">
            <v>0.35</v>
          </cell>
          <cell r="AA4851">
            <v>858.45500000000004</v>
          </cell>
          <cell r="AB4851"/>
        </row>
        <row r="4852">
          <cell r="C4852">
            <v>0</v>
          </cell>
          <cell r="D4852">
            <v>0</v>
          </cell>
          <cell r="E4852">
            <v>3</v>
          </cell>
          <cell r="F4852">
            <v>0</v>
          </cell>
          <cell r="H4852">
            <v>0</v>
          </cell>
          <cell r="O4852">
            <v>314843</v>
          </cell>
          <cell r="P4852" t="str">
            <v>2021/344-0168-01</v>
          </cell>
          <cell r="Q4852" t="str">
            <v>EST ALMOFADA TRESSE MUSGO</v>
          </cell>
          <cell r="R4852"/>
          <cell r="S4852"/>
          <cell r="T4852">
            <v>0.5</v>
          </cell>
          <cell r="U4852">
            <v>0.5</v>
          </cell>
          <cell r="V4852">
            <v>0</v>
          </cell>
          <cell r="W4852">
            <v>0</v>
          </cell>
          <cell r="X4852" t="str">
            <v>EST ALMOFADA TRESSE MUSGO - 0,5x0,5x0H</v>
          </cell>
          <cell r="Y4852">
            <v>1320.7</v>
          </cell>
          <cell r="Z4852">
            <v>0.35</v>
          </cell>
          <cell r="AA4852">
            <v>858.45500000000004</v>
          </cell>
          <cell r="AB4852"/>
        </row>
        <row r="4853">
          <cell r="C4853">
            <v>0</v>
          </cell>
          <cell r="D4853">
            <v>0</v>
          </cell>
          <cell r="E4853">
            <v>0</v>
          </cell>
          <cell r="F4853">
            <v>0</v>
          </cell>
          <cell r="H4853">
            <v>3</v>
          </cell>
          <cell r="O4853">
            <v>316487</v>
          </cell>
          <cell r="P4853" t="str">
            <v>2022/041-0020-01</v>
          </cell>
          <cell r="Q4853" t="str">
            <v>EST POLTRONA 164 (ASS/ENC TELA SEXTAVADA) (FREIJO NATURAL)</v>
          </cell>
          <cell r="R4853"/>
          <cell r="S4853"/>
          <cell r="T4853">
            <v>0.74</v>
          </cell>
          <cell r="U4853">
            <v>0.72</v>
          </cell>
          <cell r="V4853">
            <v>0.73</v>
          </cell>
          <cell r="W4853">
            <v>0</v>
          </cell>
          <cell r="X4853" t="str">
            <v>EST POLTRONA 164 (ASS/ENC TELA SEXTAVADA) (FREIJO NATURAL) - 0,74x0,72x0,73H</v>
          </cell>
          <cell r="Y4853">
            <v>14511.88</v>
          </cell>
          <cell r="Z4853">
            <v>0.5</v>
          </cell>
          <cell r="AA4853">
            <v>7255.94</v>
          </cell>
          <cell r="AB4853"/>
        </row>
        <row r="4854">
          <cell r="C4854">
            <v>0</v>
          </cell>
          <cell r="D4854">
            <v>0</v>
          </cell>
          <cell r="E4854">
            <v>0</v>
          </cell>
          <cell r="F4854">
            <v>0</v>
          </cell>
          <cell r="H4854">
            <v>3</v>
          </cell>
          <cell r="O4854">
            <v>316487</v>
          </cell>
          <cell r="P4854" t="str">
            <v>2022/041-0022-01</v>
          </cell>
          <cell r="Q4854" t="str">
            <v>EST POLTRONA 164 (ASS/ENC TELA SEXTAVADA) (FREIJO NATURAL)</v>
          </cell>
          <cell r="R4854"/>
          <cell r="S4854"/>
          <cell r="T4854">
            <v>0.74</v>
          </cell>
          <cell r="U4854">
            <v>0.72</v>
          </cell>
          <cell r="V4854">
            <v>0.73</v>
          </cell>
          <cell r="W4854">
            <v>0</v>
          </cell>
          <cell r="X4854" t="str">
            <v>EST POLTRONA 164 (ASS/ENC TELA SEXTAVADA) (FREIJO NATURAL) - 0,74x0,72x0,73H</v>
          </cell>
          <cell r="Y4854">
            <v>14511.88</v>
          </cell>
          <cell r="Z4854">
            <v>0.5</v>
          </cell>
          <cell r="AA4854">
            <v>7255.94</v>
          </cell>
          <cell r="AB4854"/>
        </row>
        <row r="4855">
          <cell r="C4855">
            <v>0</v>
          </cell>
          <cell r="D4855">
            <v>0</v>
          </cell>
          <cell r="E4855">
            <v>0</v>
          </cell>
          <cell r="F4855">
            <v>0</v>
          </cell>
          <cell r="H4855">
            <v>3</v>
          </cell>
          <cell r="O4855">
            <v>316487</v>
          </cell>
          <cell r="P4855" t="str">
            <v>2022/041-0019-01</v>
          </cell>
          <cell r="Q4855" t="str">
            <v>EST POLTRONA 164 (ASS/ENC TELA SEXTAVADA) (FREIJO NATURAL)</v>
          </cell>
          <cell r="R4855"/>
          <cell r="S4855"/>
          <cell r="T4855">
            <v>0.74</v>
          </cell>
          <cell r="U4855">
            <v>0.72</v>
          </cell>
          <cell r="V4855">
            <v>0.73</v>
          </cell>
          <cell r="W4855">
            <v>0</v>
          </cell>
          <cell r="X4855" t="str">
            <v>EST POLTRONA 164 (ASS/ENC TELA SEXTAVADA) (FREIJO NATURAL) - 0,74x0,72x0,73H</v>
          </cell>
          <cell r="Y4855">
            <v>14511.88</v>
          </cell>
          <cell r="Z4855">
            <v>0.5</v>
          </cell>
          <cell r="AA4855">
            <v>7255.94</v>
          </cell>
          <cell r="AB4855"/>
        </row>
        <row r="4856">
          <cell r="C4856">
            <v>0</v>
          </cell>
          <cell r="D4856">
            <v>0</v>
          </cell>
          <cell r="E4856">
            <v>0</v>
          </cell>
          <cell r="F4856">
            <v>0</v>
          </cell>
          <cell r="H4856">
            <v>3</v>
          </cell>
          <cell r="O4856">
            <v>316487</v>
          </cell>
          <cell r="P4856" t="str">
            <v>2022/041-0021-01</v>
          </cell>
          <cell r="Q4856" t="str">
            <v>EST POLTRONA 164 (ASS/ENC TELA SEXTAVADA) (FREIJO NATURAL)</v>
          </cell>
          <cell r="R4856"/>
          <cell r="S4856"/>
          <cell r="T4856">
            <v>0.74</v>
          </cell>
          <cell r="U4856">
            <v>0.72</v>
          </cell>
          <cell r="V4856">
            <v>0.73</v>
          </cell>
          <cell r="W4856">
            <v>0</v>
          </cell>
          <cell r="X4856" t="str">
            <v>EST POLTRONA 164 (ASS/ENC TELA SEXTAVADA) (FREIJO NATURAL) - 0,74x0,72x0,73H</v>
          </cell>
          <cell r="Y4856">
            <v>14511.88</v>
          </cell>
          <cell r="Z4856">
            <v>0.5</v>
          </cell>
          <cell r="AA4856">
            <v>7255.94</v>
          </cell>
          <cell r="AB4856"/>
        </row>
        <row r="4857">
          <cell r="C4857">
            <v>0</v>
          </cell>
          <cell r="D4857">
            <v>0</v>
          </cell>
          <cell r="E4857">
            <v>4</v>
          </cell>
          <cell r="F4857">
            <v>0</v>
          </cell>
          <cell r="H4857">
            <v>4</v>
          </cell>
          <cell r="O4857">
            <v>320671</v>
          </cell>
          <cell r="P4857" t="str">
            <v>2022/090-0021-01</v>
          </cell>
          <cell r="Q4857" t="str">
            <v>EST CADEIRA JULIA C/BRACO (COURO FIRENZE TALIN) (CORTEN)</v>
          </cell>
          <cell r="R4857"/>
          <cell r="S4857"/>
          <cell r="T4857">
            <v>0.61</v>
          </cell>
          <cell r="U4857">
            <v>0.54</v>
          </cell>
          <cell r="V4857">
            <v>0.76</v>
          </cell>
          <cell r="W4857">
            <v>0</v>
          </cell>
          <cell r="X4857" t="str">
            <v>EST CADEIRA JULIA C/BRACO (COURO FIRENZE TALIN) (CORTEN) - 0,61x0,54x0,76H</v>
          </cell>
          <cell r="Y4857">
            <v>10250.150000000001</v>
          </cell>
          <cell r="Z4857">
            <v>0.5</v>
          </cell>
          <cell r="AA4857">
            <v>5125.0750000000007</v>
          </cell>
          <cell r="AB4857"/>
        </row>
        <row r="4858">
          <cell r="C4858">
            <v>0</v>
          </cell>
          <cell r="D4858">
            <v>0</v>
          </cell>
          <cell r="E4858">
            <v>4</v>
          </cell>
          <cell r="F4858">
            <v>0</v>
          </cell>
          <cell r="H4858">
            <v>4</v>
          </cell>
          <cell r="O4858">
            <v>320671</v>
          </cell>
          <cell r="P4858" t="str">
            <v>2022/090-0020-01</v>
          </cell>
          <cell r="Q4858" t="str">
            <v>EST CADEIRA JULIA C/BRACO (COURO FIRENZE TALIN) (CORTEN)</v>
          </cell>
          <cell r="R4858"/>
          <cell r="S4858"/>
          <cell r="T4858">
            <v>0.61</v>
          </cell>
          <cell r="U4858">
            <v>0.54</v>
          </cell>
          <cell r="V4858">
            <v>0.76</v>
          </cell>
          <cell r="W4858">
            <v>0</v>
          </cell>
          <cell r="X4858" t="str">
            <v>EST CADEIRA JULIA C/BRACO (COURO FIRENZE TALIN) (CORTEN) - 0,61x0,54x0,76H</v>
          </cell>
          <cell r="Y4858">
            <v>10250.150000000001</v>
          </cell>
          <cell r="Z4858">
            <v>0.5</v>
          </cell>
          <cell r="AA4858">
            <v>5125.0750000000007</v>
          </cell>
          <cell r="AB4858"/>
        </row>
        <row r="4859">
          <cell r="C4859">
            <v>0</v>
          </cell>
          <cell r="D4859">
            <v>0</v>
          </cell>
          <cell r="E4859">
            <v>4</v>
          </cell>
          <cell r="F4859">
            <v>0</v>
          </cell>
          <cell r="H4859">
            <v>4</v>
          </cell>
          <cell r="O4859">
            <v>320671</v>
          </cell>
          <cell r="P4859" t="str">
            <v>2022/090-0019-01</v>
          </cell>
          <cell r="Q4859" t="str">
            <v>EST CADEIRA JULIA C/BRACO (COURO FIRENZE TALIN) (CORTEN)</v>
          </cell>
          <cell r="R4859"/>
          <cell r="S4859"/>
          <cell r="T4859">
            <v>0.61</v>
          </cell>
          <cell r="U4859">
            <v>0.54</v>
          </cell>
          <cell r="V4859">
            <v>0.76</v>
          </cell>
          <cell r="W4859">
            <v>0</v>
          </cell>
          <cell r="X4859" t="str">
            <v>EST CADEIRA JULIA C/BRACO (COURO FIRENZE TALIN) (CORTEN) - 0,61x0,54x0,76H</v>
          </cell>
          <cell r="Y4859">
            <v>10250.150000000001</v>
          </cell>
          <cell r="Z4859">
            <v>0.5</v>
          </cell>
          <cell r="AA4859">
            <v>5125.0750000000007</v>
          </cell>
          <cell r="AB4859"/>
        </row>
        <row r="4860">
          <cell r="C4860">
            <v>0</v>
          </cell>
          <cell r="D4860">
            <v>0</v>
          </cell>
          <cell r="E4860">
            <v>4</v>
          </cell>
          <cell r="F4860">
            <v>0</v>
          </cell>
          <cell r="H4860">
            <v>4</v>
          </cell>
          <cell r="O4860">
            <v>320671</v>
          </cell>
          <cell r="P4860" t="str">
            <v>2022/090-0025-01</v>
          </cell>
          <cell r="Q4860" t="str">
            <v>EST CADEIRA JULIA C/BRACO (COURO FIRENZE TALIN) (CORTEN)</v>
          </cell>
          <cell r="R4860"/>
          <cell r="S4860"/>
          <cell r="T4860">
            <v>0.61</v>
          </cell>
          <cell r="U4860">
            <v>0.54</v>
          </cell>
          <cell r="V4860">
            <v>0.76</v>
          </cell>
          <cell r="W4860">
            <v>0</v>
          </cell>
          <cell r="X4860" t="str">
            <v>EST CADEIRA JULIA C/BRACO (COURO FIRENZE TALIN) (CORTEN) - 0,61x0,54x0,76H</v>
          </cell>
          <cell r="Y4860">
            <v>10250.150000000001</v>
          </cell>
          <cell r="Z4860">
            <v>0.5</v>
          </cell>
          <cell r="AA4860">
            <v>5125.0750000000007</v>
          </cell>
          <cell r="AB4860"/>
        </row>
        <row r="4861">
          <cell r="C4861">
            <v>0</v>
          </cell>
          <cell r="D4861">
            <v>0</v>
          </cell>
          <cell r="E4861">
            <v>1</v>
          </cell>
          <cell r="F4861">
            <v>0</v>
          </cell>
          <cell r="H4861">
            <v>1</v>
          </cell>
          <cell r="O4861">
            <v>324007</v>
          </cell>
          <cell r="P4861" t="str">
            <v>2022/090-0036-01</v>
          </cell>
          <cell r="Q4861" t="str">
            <v>EST TAPETE TROPICAL (LISO) (1 COR) (10MM) F:5013</v>
          </cell>
          <cell r="R4861"/>
          <cell r="S4861"/>
          <cell r="T4861">
            <v>4</v>
          </cell>
          <cell r="U4861">
            <v>2.5</v>
          </cell>
          <cell r="V4861">
            <v>0.01</v>
          </cell>
          <cell r="W4861">
            <v>0</v>
          </cell>
          <cell r="X4861" t="str">
            <v>EST TAPETE TROPICAL (LISO) (1 COR) (10MM) F:5013 - 4x2,5x0,01H</v>
          </cell>
          <cell r="Y4861">
            <v>16934.400000000001</v>
          </cell>
          <cell r="Z4861">
            <v>0.35</v>
          </cell>
          <cell r="AA4861">
            <v>11007.36</v>
          </cell>
          <cell r="AB4861"/>
        </row>
        <row r="4862">
          <cell r="C4862">
            <v>0</v>
          </cell>
          <cell r="D4862">
            <v>0</v>
          </cell>
          <cell r="E4862">
            <v>1</v>
          </cell>
          <cell r="F4862">
            <v>0</v>
          </cell>
          <cell r="H4862">
            <v>1</v>
          </cell>
          <cell r="O4862">
            <v>324007</v>
          </cell>
          <cell r="P4862" t="str">
            <v>2022/090-0037-01</v>
          </cell>
          <cell r="Q4862" t="str">
            <v>EST TAPETE TROPICAL (LISO) (1 COR) (10MM) F:5013</v>
          </cell>
          <cell r="R4862"/>
          <cell r="S4862"/>
          <cell r="T4862">
            <v>4</v>
          </cell>
          <cell r="U4862">
            <v>2.5</v>
          </cell>
          <cell r="V4862">
            <v>0.01</v>
          </cell>
          <cell r="W4862">
            <v>0</v>
          </cell>
          <cell r="X4862" t="str">
            <v>EST TAPETE TROPICAL (LISO) (1 COR) (10MM) F:5013 - 4x2,5x0,01H</v>
          </cell>
          <cell r="Y4862">
            <v>16934.400000000001</v>
          </cell>
          <cell r="Z4862">
            <v>0.35</v>
          </cell>
          <cell r="AA4862">
            <v>11007.36</v>
          </cell>
          <cell r="AB4862"/>
        </row>
        <row r="4863">
          <cell r="C4863">
            <v>1</v>
          </cell>
          <cell r="D4863">
            <v>0</v>
          </cell>
          <cell r="E4863">
            <v>0</v>
          </cell>
          <cell r="F4863">
            <v>0</v>
          </cell>
          <cell r="H4863">
            <v>0</v>
          </cell>
          <cell r="O4863">
            <v>324008</v>
          </cell>
          <cell r="P4863"/>
          <cell r="Q4863" t="str">
            <v>EST TAPETE TROPICAL (LISO) (1 COR) (10MM) F:5013</v>
          </cell>
          <cell r="R4863"/>
          <cell r="S4863"/>
          <cell r="T4863">
            <v>2</v>
          </cell>
          <cell r="U4863">
            <v>2.6</v>
          </cell>
          <cell r="V4863">
            <v>0.01</v>
          </cell>
          <cell r="W4863">
            <v>0</v>
          </cell>
          <cell r="X4863" t="str">
            <v>EST TAPETE TROPICAL (LISO) (1 COR) (10MM) F:5013 - 2x2,6x0,01H</v>
          </cell>
          <cell r="Y4863" t="e">
            <v>#VALUE!</v>
          </cell>
          <cell r="Z4863">
            <v>0.35</v>
          </cell>
          <cell r="AA4863" t="e">
            <v>#VALUE!</v>
          </cell>
          <cell r="AB4863"/>
        </row>
        <row r="4864">
          <cell r="C4864">
            <v>1</v>
          </cell>
          <cell r="D4864">
            <v>0</v>
          </cell>
          <cell r="E4864">
            <v>1</v>
          </cell>
          <cell r="F4864">
            <v>0</v>
          </cell>
          <cell r="H4864">
            <v>0</v>
          </cell>
          <cell r="O4864">
            <v>324009</v>
          </cell>
          <cell r="P4864" t="str">
            <v>2022/090-0044-01</v>
          </cell>
          <cell r="Q4864" t="str">
            <v>EST TAPETE TROPICAL (LISO) (1 COR) (10MM) F:5056</v>
          </cell>
          <cell r="R4864"/>
          <cell r="S4864"/>
          <cell r="T4864">
            <v>3.5</v>
          </cell>
          <cell r="U4864">
            <v>4.5</v>
          </cell>
          <cell r="V4864">
            <v>0.01</v>
          </cell>
          <cell r="W4864">
            <v>0</v>
          </cell>
          <cell r="X4864" t="str">
            <v>EST TAPETE TROPICAL (LISO) (1 COR) (10MM) F:5056 - 3,5x4,5x0,01H</v>
          </cell>
          <cell r="Y4864">
            <v>26671.68</v>
          </cell>
          <cell r="Z4864">
            <v>0.35</v>
          </cell>
          <cell r="AA4864">
            <v>17336.592000000001</v>
          </cell>
          <cell r="AB4864"/>
        </row>
        <row r="4865">
          <cell r="C4865">
            <v>0</v>
          </cell>
          <cell r="D4865">
            <v>0</v>
          </cell>
          <cell r="E4865">
            <v>0</v>
          </cell>
          <cell r="F4865">
            <v>0</v>
          </cell>
          <cell r="H4865">
            <v>0</v>
          </cell>
          <cell r="O4865">
            <v>324010</v>
          </cell>
          <cell r="P4865"/>
          <cell r="Q4865" t="str">
            <v>EST TAPETE TROPICAL (LISO) (1 COR) (10MM) F:1205</v>
          </cell>
          <cell r="R4865"/>
          <cell r="S4865"/>
          <cell r="T4865">
            <v>4</v>
          </cell>
          <cell r="U4865">
            <v>3.5</v>
          </cell>
          <cell r="V4865">
            <v>0.01</v>
          </cell>
          <cell r="W4865">
            <v>0</v>
          </cell>
          <cell r="X4865" t="str">
            <v>EST TAPETE TROPICAL (LISO) (1 COR) (10MM) F:1205 - 4x3,5x0,01H</v>
          </cell>
          <cell r="Y4865">
            <v>23708.16</v>
          </cell>
          <cell r="Z4865">
            <v>0.35</v>
          </cell>
          <cell r="AA4865">
            <v>15410.304</v>
          </cell>
          <cell r="AB4865"/>
        </row>
        <row r="4866">
          <cell r="C4866">
            <v>1</v>
          </cell>
          <cell r="D4866">
            <v>0</v>
          </cell>
          <cell r="E4866">
            <v>0</v>
          </cell>
          <cell r="F4866">
            <v>0</v>
          </cell>
          <cell r="H4866">
            <v>0</v>
          </cell>
          <cell r="O4866">
            <v>324012</v>
          </cell>
          <cell r="P4866"/>
          <cell r="Q4866" t="str">
            <v>EST TAPETE TROPICAL (LISO) (1 COR) (10MM) F:917</v>
          </cell>
          <cell r="R4866"/>
          <cell r="S4866"/>
          <cell r="T4866">
            <v>4</v>
          </cell>
          <cell r="U4866">
            <v>5</v>
          </cell>
          <cell r="V4866">
            <v>0.01</v>
          </cell>
          <cell r="W4866">
            <v>0</v>
          </cell>
          <cell r="X4866" t="str">
            <v>EST TAPETE TROPICAL (LISO) (1 COR) (10MM) F:917 - 4x5x0,01H</v>
          </cell>
          <cell r="Y4866" t="e">
            <v>#VALUE!</v>
          </cell>
          <cell r="Z4866">
            <v>0.35</v>
          </cell>
          <cell r="AA4866" t="e">
            <v>#VALUE!</v>
          </cell>
          <cell r="AB4866"/>
        </row>
        <row r="4867">
          <cell r="C4867">
            <v>0</v>
          </cell>
          <cell r="D4867">
            <v>1</v>
          </cell>
          <cell r="E4867">
            <v>0</v>
          </cell>
          <cell r="F4867">
            <v>0</v>
          </cell>
          <cell r="H4867">
            <v>0</v>
          </cell>
          <cell r="O4867">
            <v>324015</v>
          </cell>
          <cell r="P4867" t="str">
            <v>2022/101-0068-01</v>
          </cell>
          <cell r="Q4867" t="str">
            <v>EST TAPETE MAR (QUADR) (2 CORES) (10MM) F:4090/1147</v>
          </cell>
          <cell r="R4867"/>
          <cell r="S4867"/>
          <cell r="T4867">
            <v>3.5</v>
          </cell>
          <cell r="U4867">
            <v>5</v>
          </cell>
          <cell r="V4867">
            <v>0.01</v>
          </cell>
          <cell r="W4867">
            <v>0</v>
          </cell>
          <cell r="X4867" t="str">
            <v>EST TAPETE MAR (QUADR) (2 CORES) (10MM) F:4090/1147 - 3,5x5x0,01H</v>
          </cell>
          <cell r="Y4867">
            <v>50646.400000000001</v>
          </cell>
          <cell r="Z4867">
            <v>0.35</v>
          </cell>
          <cell r="AA4867">
            <v>32920.160000000003</v>
          </cell>
          <cell r="AB4867"/>
        </row>
        <row r="4868">
          <cell r="C4868">
            <v>0</v>
          </cell>
          <cell r="D4868">
            <v>0</v>
          </cell>
          <cell r="E4868">
            <v>0</v>
          </cell>
          <cell r="F4868">
            <v>0</v>
          </cell>
          <cell r="H4868">
            <v>1</v>
          </cell>
          <cell r="O4868">
            <v>324016</v>
          </cell>
          <cell r="P4868" t="str">
            <v>2022/090-0047-01</v>
          </cell>
          <cell r="Q4868" t="str">
            <v>EST TAPETE MAR (QUADR) (2 CORES) (10MM) F:4090/1147</v>
          </cell>
          <cell r="R4868"/>
          <cell r="S4868"/>
          <cell r="T4868">
            <v>4.5</v>
          </cell>
          <cell r="U4868">
            <v>4</v>
          </cell>
          <cell r="V4868">
            <v>0.01</v>
          </cell>
          <cell r="W4868">
            <v>0</v>
          </cell>
          <cell r="X4868" t="str">
            <v>EST TAPETE MAR (QUADR) (2 CORES) (10MM) F:4090/1147 - 4,5x4x0,01H</v>
          </cell>
          <cell r="Y4868">
            <v>52093.440000000002</v>
          </cell>
          <cell r="Z4868">
            <v>0.35</v>
          </cell>
          <cell r="AA4868">
            <v>33860.736000000004</v>
          </cell>
          <cell r="AB4868"/>
        </row>
        <row r="4869">
          <cell r="C4869">
            <v>1</v>
          </cell>
          <cell r="D4869">
            <v>0</v>
          </cell>
          <cell r="E4869">
            <v>0</v>
          </cell>
          <cell r="F4869">
            <v>0</v>
          </cell>
          <cell r="H4869">
            <v>0</v>
          </cell>
          <cell r="O4869">
            <v>324019</v>
          </cell>
          <cell r="P4869" t="str">
            <v>2022/090-0048-01</v>
          </cell>
          <cell r="Q4869" t="str">
            <v>EST TAPETE PEROLA (LIST DENSO) (2 CORES) (10MM) F:1236/5061</v>
          </cell>
          <cell r="R4869"/>
          <cell r="S4869"/>
          <cell r="T4869">
            <v>4</v>
          </cell>
          <cell r="U4869">
            <v>5</v>
          </cell>
          <cell r="V4869">
            <v>0.01</v>
          </cell>
          <cell r="W4869">
            <v>0</v>
          </cell>
          <cell r="X4869" t="str">
            <v>EST TAPETE PEROLA (LIST DENSO) (2 CORES) (10MM) F:1236/5061 - 4x5x0,01H</v>
          </cell>
          <cell r="Y4869">
            <v>44620.800000000003</v>
          </cell>
          <cell r="Z4869">
            <v>0.35</v>
          </cell>
          <cell r="AA4869">
            <v>29003.520000000004</v>
          </cell>
          <cell r="AB4869"/>
        </row>
        <row r="4870">
          <cell r="C4870">
            <v>1</v>
          </cell>
          <cell r="D4870">
            <v>0</v>
          </cell>
          <cell r="E4870">
            <v>0</v>
          </cell>
          <cell r="F4870">
            <v>0</v>
          </cell>
          <cell r="H4870">
            <v>0</v>
          </cell>
          <cell r="O4870">
            <v>324022</v>
          </cell>
          <cell r="P4870"/>
          <cell r="Q4870" t="str">
            <v>EST TAPETE TROPICAL (MESCLA) (2 CORES) (10MM) 1T:6005 T2:72</v>
          </cell>
          <cell r="R4870"/>
          <cell r="S4870"/>
          <cell r="T4870">
            <v>3.5</v>
          </cell>
          <cell r="U4870">
            <v>4.5</v>
          </cell>
          <cell r="V4870">
            <v>0</v>
          </cell>
          <cell r="W4870">
            <v>0</v>
          </cell>
          <cell r="X4870" t="str">
            <v>EST TAPETE TROPICAL (MESCLA) (2 CORES) (10MM) 1T:6005 T2:72 - 3,5x4,5x0H</v>
          </cell>
          <cell r="Y4870" t="e">
            <v>#VALUE!</v>
          </cell>
          <cell r="Z4870">
            <v>0.35</v>
          </cell>
          <cell r="AA4870" t="e">
            <v>#VALUE!</v>
          </cell>
          <cell r="AB4870"/>
        </row>
        <row r="4871">
          <cell r="C4871">
            <v>1</v>
          </cell>
          <cell r="D4871">
            <v>0</v>
          </cell>
          <cell r="E4871">
            <v>0</v>
          </cell>
          <cell r="F4871">
            <v>0</v>
          </cell>
          <cell r="H4871">
            <v>1</v>
          </cell>
          <cell r="O4871">
            <v>324027</v>
          </cell>
          <cell r="P4871" t="str">
            <v>2022/090-0050-01</v>
          </cell>
          <cell r="Q4871" t="str">
            <v>EST TAPETE DUNAS (DES) (10MM) D:1399/6005/87/89</v>
          </cell>
          <cell r="R4871"/>
          <cell r="S4871"/>
          <cell r="T4871">
            <v>4</v>
          </cell>
          <cell r="U4871">
            <v>4.5</v>
          </cell>
          <cell r="V4871">
            <v>0.01</v>
          </cell>
          <cell r="W4871">
            <v>0</v>
          </cell>
          <cell r="X4871" t="str">
            <v>EST TAPETE DUNAS (DES) (10MM) D:1399/6005/87/89 - 4x4,5x0,01H</v>
          </cell>
          <cell r="Y4871">
            <v>45803.519999999997</v>
          </cell>
          <cell r="Z4871">
            <v>0.35</v>
          </cell>
          <cell r="AA4871">
            <v>29772.288</v>
          </cell>
          <cell r="AB4871"/>
        </row>
        <row r="4872">
          <cell r="C4872">
            <v>1</v>
          </cell>
          <cell r="D4872">
            <v>0</v>
          </cell>
          <cell r="E4872">
            <v>0</v>
          </cell>
          <cell r="F4872">
            <v>0</v>
          </cell>
          <cell r="H4872">
            <v>1</v>
          </cell>
          <cell r="O4872">
            <v>324027</v>
          </cell>
          <cell r="P4872" t="str">
            <v>2022/090-0051-01</v>
          </cell>
          <cell r="Q4872" t="str">
            <v>EST TAPETE DUNAS (DES) (10MM) D:1399/6005/87/89</v>
          </cell>
          <cell r="R4872"/>
          <cell r="S4872"/>
          <cell r="T4872">
            <v>4</v>
          </cell>
          <cell r="U4872">
            <v>4.5</v>
          </cell>
          <cell r="V4872">
            <v>0.01</v>
          </cell>
          <cell r="W4872">
            <v>0</v>
          </cell>
          <cell r="X4872" t="str">
            <v>EST TAPETE DUNAS (DES) (10MM) D:1399/6005/87/89 - 4x4,5x0,01H</v>
          </cell>
          <cell r="Y4872">
            <v>45803.519999999997</v>
          </cell>
          <cell r="Z4872">
            <v>0.35</v>
          </cell>
          <cell r="AA4872">
            <v>29772.288</v>
          </cell>
          <cell r="AB4872"/>
        </row>
        <row r="4873">
          <cell r="C4873">
            <v>1</v>
          </cell>
          <cell r="D4873">
            <v>0</v>
          </cell>
          <cell r="E4873">
            <v>0</v>
          </cell>
          <cell r="F4873">
            <v>0</v>
          </cell>
          <cell r="H4873">
            <v>0</v>
          </cell>
          <cell r="O4873">
            <v>324028</v>
          </cell>
          <cell r="P4873" t="str">
            <v>2022/101-0072-01</v>
          </cell>
          <cell r="Q4873" t="str">
            <v>EST TAPETE LUA (ORGANIC) (2 CORES) (10MM) F:139/FX:1137</v>
          </cell>
          <cell r="R4873"/>
          <cell r="S4873"/>
          <cell r="T4873">
            <v>2.8</v>
          </cell>
          <cell r="U4873">
            <v>2.8</v>
          </cell>
          <cell r="V4873">
            <v>0.01</v>
          </cell>
          <cell r="W4873">
            <v>0</v>
          </cell>
          <cell r="X4873" t="str">
            <v>EST TAPETE LUA (ORGANIC) (2 CORES) (10MM) F:139/FX:1137 - 2,8x2,8x0,01H</v>
          </cell>
          <cell r="Y4873">
            <v>28660.531199999994</v>
          </cell>
          <cell r="Z4873">
            <v>0.35</v>
          </cell>
          <cell r="AA4873">
            <v>18629.345279999994</v>
          </cell>
          <cell r="AB4873"/>
        </row>
        <row r="4874">
          <cell r="C4874">
            <v>0</v>
          </cell>
          <cell r="D4874">
            <v>0</v>
          </cell>
          <cell r="E4874">
            <v>0</v>
          </cell>
          <cell r="F4874">
            <v>0</v>
          </cell>
          <cell r="H4874">
            <v>1</v>
          </cell>
          <cell r="O4874">
            <v>324517</v>
          </cell>
          <cell r="P4874"/>
          <cell r="Q4874" t="str">
            <v>EST MESA JANTAR DINA (FREIJO NATURAL)</v>
          </cell>
          <cell r="R4874"/>
          <cell r="S4874"/>
          <cell r="T4874">
            <v>3</v>
          </cell>
          <cell r="U4874">
            <v>1.2</v>
          </cell>
          <cell r="V4874">
            <v>0.75</v>
          </cell>
          <cell r="W4874">
            <v>0</v>
          </cell>
          <cell r="X4874" t="str">
            <v>EST MESA JANTAR DINA (FREIJO NATURAL) - 3x1,2x0,75H</v>
          </cell>
          <cell r="Y4874">
            <v>0</v>
          </cell>
          <cell r="Z4874">
            <v>0.35</v>
          </cell>
          <cell r="AA4874">
            <v>0</v>
          </cell>
          <cell r="AB4874"/>
        </row>
        <row r="4875">
          <cell r="C4875">
            <v>0</v>
          </cell>
          <cell r="D4875">
            <v>0</v>
          </cell>
          <cell r="E4875">
            <v>0</v>
          </cell>
          <cell r="F4875">
            <v>0</v>
          </cell>
          <cell r="H4875">
            <v>1</v>
          </cell>
          <cell r="O4875">
            <v>325537</v>
          </cell>
          <cell r="P4875" t="str">
            <v>2023/047-0001-01</v>
          </cell>
          <cell r="Q4875" t="str">
            <v>EST MESA CENTRO ORGAN (TP FREIJO MACICO/PES LAMINADO FREIJO)</v>
          </cell>
          <cell r="R4875"/>
          <cell r="S4875"/>
          <cell r="T4875">
            <v>1.1000000000000001</v>
          </cell>
          <cell r="U4875">
            <v>1.1000000000000001</v>
          </cell>
          <cell r="V4875">
            <v>0.27</v>
          </cell>
          <cell r="W4875">
            <v>0</v>
          </cell>
          <cell r="X4875" t="str">
            <v>EST MESA CENTRO ORGAN (TP FREIJO MACICO/PES LAMINADO FREIJO) - 1,1x1,1x0,27H</v>
          </cell>
          <cell r="Y4875">
            <v>26589.25</v>
          </cell>
          <cell r="Z4875">
            <v>0.35</v>
          </cell>
          <cell r="AA4875">
            <v>17283.012500000001</v>
          </cell>
          <cell r="AB4875"/>
        </row>
        <row r="4876">
          <cell r="C4876">
            <v>0</v>
          </cell>
          <cell r="D4876">
            <v>0</v>
          </cell>
          <cell r="E4876">
            <v>0</v>
          </cell>
          <cell r="F4876">
            <v>0</v>
          </cell>
          <cell r="H4876">
            <v>1</v>
          </cell>
          <cell r="O4876">
            <v>327120</v>
          </cell>
          <cell r="P4876" t="str">
            <v>2022/129-0143-01</v>
          </cell>
          <cell r="Q4876" t="str">
            <v>EST MESA CENTRO SANTIAGO (TRI) (MTX MARROM) (MARM IMPERADOR)</v>
          </cell>
          <cell r="R4876"/>
          <cell r="S4876"/>
          <cell r="T4876">
            <v>1.4</v>
          </cell>
          <cell r="U4876">
            <v>1.5</v>
          </cell>
          <cell r="V4876">
            <v>0.32</v>
          </cell>
          <cell r="W4876">
            <v>0</v>
          </cell>
          <cell r="X4876" t="str">
            <v>EST MESA CENTRO SANTIAGO (TRI) (MTX MARROM) (MARM IMPERADOR) - 1,4x1,5x0,32H</v>
          </cell>
          <cell r="Y4876">
            <v>32531.19</v>
          </cell>
          <cell r="Z4876">
            <v>0.35</v>
          </cell>
          <cell r="AA4876">
            <v>21145.273499999999</v>
          </cell>
          <cell r="AB4876"/>
        </row>
        <row r="4877">
          <cell r="C4877">
            <v>0</v>
          </cell>
          <cell r="D4877">
            <v>0</v>
          </cell>
          <cell r="E4877">
            <v>0</v>
          </cell>
          <cell r="F4877">
            <v>0</v>
          </cell>
          <cell r="H4877">
            <v>1</v>
          </cell>
          <cell r="O4877">
            <v>327235</v>
          </cell>
          <cell r="P4877"/>
          <cell r="Q4877" t="str">
            <v>EST MESA JANTAR OBLONGO (PAU FERRO CLARO) ALTERNADO PTO FSC</v>
          </cell>
          <cell r="R4877"/>
          <cell r="S4877"/>
          <cell r="T4877">
            <v>3</v>
          </cell>
          <cell r="U4877">
            <v>1.1000000000000001</v>
          </cell>
          <cell r="V4877">
            <v>0.74</v>
          </cell>
          <cell r="W4877">
            <v>0</v>
          </cell>
          <cell r="X4877" t="str">
            <v>EST MESA JANTAR OBLONGO (PAU FERRO CLARO) ALTERNADO PTO FSC - 3x1,1x0,74H</v>
          </cell>
          <cell r="Y4877">
            <v>0</v>
          </cell>
          <cell r="Z4877">
            <v>0.35</v>
          </cell>
          <cell r="AA4877">
            <v>0</v>
          </cell>
          <cell r="AB4877"/>
        </row>
        <row r="4878">
          <cell r="C4878">
            <v>0</v>
          </cell>
          <cell r="D4878">
            <v>0</v>
          </cell>
          <cell r="E4878">
            <v>0</v>
          </cell>
          <cell r="F4878">
            <v>0</v>
          </cell>
          <cell r="H4878">
            <v>5</v>
          </cell>
          <cell r="O4878">
            <v>327989</v>
          </cell>
          <cell r="P4878"/>
          <cell r="Q4878" t="str">
            <v>EST BANCO IRENE (FREIJO NATURAL)</v>
          </cell>
          <cell r="R4878"/>
          <cell r="S4878"/>
          <cell r="T4878">
            <v>0.38</v>
          </cell>
          <cell r="U4878">
            <v>0</v>
          </cell>
          <cell r="V4878">
            <v>0.51</v>
          </cell>
          <cell r="W4878">
            <v>0.38</v>
          </cell>
          <cell r="X4878" t="str">
            <v>EST BANCO IRENE (FREIJO NATURAL) - Ø0,38x0,51H</v>
          </cell>
          <cell r="Y4878">
            <v>0</v>
          </cell>
          <cell r="Z4878">
            <v>0.35</v>
          </cell>
          <cell r="AA4878">
            <v>0</v>
          </cell>
          <cell r="AB4878"/>
        </row>
        <row r="4879">
          <cell r="C4879">
            <v>0</v>
          </cell>
          <cell r="D4879">
            <v>1</v>
          </cell>
          <cell r="E4879">
            <v>0</v>
          </cell>
          <cell r="F4879">
            <v>0</v>
          </cell>
          <cell r="H4879">
            <v>1</v>
          </cell>
          <cell r="O4879">
            <v>328005</v>
          </cell>
          <cell r="P4879" t="str">
            <v>2022/160-0024-01</v>
          </cell>
          <cell r="Q4879" t="str">
            <v>EST POLTRONA KAZZ TC C3016/REC 2562/ESTRUTURA MARROM CLARO</v>
          </cell>
          <cell r="R4879"/>
          <cell r="S4879"/>
          <cell r="T4879">
            <v>0.85</v>
          </cell>
          <cell r="U4879">
            <v>0.85</v>
          </cell>
          <cell r="V4879">
            <v>0.75</v>
          </cell>
          <cell r="W4879">
            <v>0</v>
          </cell>
          <cell r="X4879" t="str">
            <v>EST POLTRONA KAZZ TC C3016/REC 2562/ESTRUTURA MARROM CLARO - 0,85x0,85x0,75H</v>
          </cell>
          <cell r="Y4879">
            <v>18360.2</v>
          </cell>
          <cell r="Z4879">
            <v>0.35</v>
          </cell>
          <cell r="AA4879">
            <v>11934.130000000001</v>
          </cell>
          <cell r="AB4879"/>
        </row>
        <row r="4880">
          <cell r="C4880">
            <v>0</v>
          </cell>
          <cell r="D4880">
            <v>0</v>
          </cell>
          <cell r="E4880">
            <v>0</v>
          </cell>
          <cell r="F4880">
            <v>0</v>
          </cell>
          <cell r="H4880">
            <v>0</v>
          </cell>
          <cell r="O4880">
            <v>328747</v>
          </cell>
          <cell r="P4880" t="str">
            <v>2022/182-0007-01</v>
          </cell>
          <cell r="Q4880" t="str">
            <v>EST SOFA ANDROS (2B) FX C3092(BASE LAMINA WALNUT)</v>
          </cell>
          <cell r="R4880"/>
          <cell r="S4880"/>
          <cell r="T4880">
            <v>3</v>
          </cell>
          <cell r="U4880">
            <v>1.5</v>
          </cell>
          <cell r="V4880">
            <v>0.76</v>
          </cell>
          <cell r="W4880">
            <v>0</v>
          </cell>
          <cell r="X4880" t="str">
            <v>EST SOFA ANDROS (2B) FX C3092(BASE LAMINA WALNUT) - 3x1,5x0,76H</v>
          </cell>
          <cell r="Y4880">
            <v>48220.08</v>
          </cell>
          <cell r="Z4880">
            <v>0.5</v>
          </cell>
          <cell r="AA4880">
            <v>24110.04</v>
          </cell>
          <cell r="AB4880"/>
        </row>
        <row r="4881">
          <cell r="C4881">
            <v>0</v>
          </cell>
          <cell r="D4881">
            <v>0</v>
          </cell>
          <cell r="E4881">
            <v>1</v>
          </cell>
          <cell r="F4881">
            <v>0</v>
          </cell>
          <cell r="H4881">
            <v>1</v>
          </cell>
          <cell r="O4881">
            <v>328748</v>
          </cell>
          <cell r="P4881" t="str">
            <v>2022/178-0046-01</v>
          </cell>
          <cell r="Q4881" t="str">
            <v>EST POLTRONA SOFT (BS ELET CORTEN) B0707-024/SOL MARFIM</v>
          </cell>
          <cell r="R4881"/>
          <cell r="S4881"/>
          <cell r="T4881">
            <v>0.87</v>
          </cell>
          <cell r="U4881">
            <v>1.02</v>
          </cell>
          <cell r="V4881">
            <v>0.8</v>
          </cell>
          <cell r="W4881">
            <v>0</v>
          </cell>
          <cell r="X4881" t="str">
            <v>EST POLTRONA SOFT (BS ELET CORTEN) B0707-024/SOL MARFIM - 0,87x1,02x0,8H</v>
          </cell>
          <cell r="Y4881">
            <v>30356.12</v>
          </cell>
          <cell r="Z4881">
            <v>0.35</v>
          </cell>
          <cell r="AA4881">
            <v>19731.477999999999</v>
          </cell>
          <cell r="AB4881"/>
        </row>
        <row r="4882">
          <cell r="C4882">
            <v>0</v>
          </cell>
          <cell r="D4882">
            <v>0</v>
          </cell>
          <cell r="E4882">
            <v>1</v>
          </cell>
          <cell r="F4882">
            <v>0</v>
          </cell>
          <cell r="H4882">
            <v>1</v>
          </cell>
          <cell r="O4882">
            <v>328749</v>
          </cell>
          <cell r="P4882" t="str">
            <v>2022/178-0047-01</v>
          </cell>
          <cell r="Q4882" t="str">
            <v>EST BANQUETA SOFT (BS ELET CORTEN) B0707-024/SOL MARFIM</v>
          </cell>
          <cell r="R4882"/>
          <cell r="S4882"/>
          <cell r="T4882">
            <v>0.57999999999999996</v>
          </cell>
          <cell r="U4882">
            <v>0.75</v>
          </cell>
          <cell r="V4882">
            <v>0.4</v>
          </cell>
          <cell r="W4882">
            <v>0</v>
          </cell>
          <cell r="X4882" t="str">
            <v>EST BANQUETA SOFT (BS ELET CORTEN) B0707-024/SOL MARFIM - 0,58x0,75x0,4H</v>
          </cell>
          <cell r="Y4882">
            <v>13823.8</v>
          </cell>
          <cell r="Z4882">
            <v>0.35</v>
          </cell>
          <cell r="AA4882">
            <v>8985.4700000000012</v>
          </cell>
          <cell r="AB4882"/>
        </row>
        <row r="4883">
          <cell r="C4883">
            <v>0</v>
          </cell>
          <cell r="D4883">
            <v>0</v>
          </cell>
          <cell r="E4883">
            <v>0</v>
          </cell>
          <cell r="F4883">
            <v>0</v>
          </cell>
          <cell r="H4883">
            <v>3</v>
          </cell>
          <cell r="O4883">
            <v>328943</v>
          </cell>
          <cell r="P4883"/>
          <cell r="Q4883" t="str">
            <v>EST POLTRONA ESTICADA (PALANTI) (IMBUIA) (SOLETA MARROM)</v>
          </cell>
          <cell r="R4883"/>
          <cell r="S4883"/>
          <cell r="T4883">
            <v>0.55000000000000004</v>
          </cell>
          <cell r="U4883">
            <v>0.7</v>
          </cell>
          <cell r="V4883">
            <v>0.88</v>
          </cell>
          <cell r="W4883">
            <v>0</v>
          </cell>
          <cell r="X4883" t="str">
            <v>EST POLTRONA ESTICADA (PALANTI) (IMBUIA) (SOLETA MARROM) - 0,55x0,7x0,88H</v>
          </cell>
          <cell r="Y4883">
            <v>0</v>
          </cell>
          <cell r="Z4883">
            <v>0.35</v>
          </cell>
          <cell r="AA4883">
            <v>0</v>
          </cell>
          <cell r="AB4883"/>
        </row>
        <row r="4884">
          <cell r="C4884">
            <v>4</v>
          </cell>
          <cell r="D4884">
            <v>0</v>
          </cell>
          <cell r="E4884">
            <v>0</v>
          </cell>
          <cell r="F4884">
            <v>0</v>
          </cell>
          <cell r="H4884">
            <v>1</v>
          </cell>
          <cell r="O4884">
            <v>331872</v>
          </cell>
          <cell r="P4884"/>
          <cell r="Q4884" t="str">
            <v>EST ALMOFADA FEDD CONHAQUE 050X050</v>
          </cell>
          <cell r="R4884"/>
          <cell r="S4884"/>
          <cell r="T4884">
            <v>0.5</v>
          </cell>
          <cell r="U4884">
            <v>0.5</v>
          </cell>
          <cell r="V4884">
            <v>0</v>
          </cell>
          <cell r="W4884">
            <v>0</v>
          </cell>
          <cell r="X4884" t="str">
            <v>EST ALMOFADA FEDD CONHAQUE 050X050 - 0,5x0,5x0H</v>
          </cell>
          <cell r="Y4884" t="e">
            <v>#VALUE!</v>
          </cell>
          <cell r="Z4884">
            <v>0.35</v>
          </cell>
          <cell r="AA4884" t="e">
            <v>#VALUE!</v>
          </cell>
          <cell r="AB4884"/>
        </row>
        <row r="4885">
          <cell r="C4885">
            <v>3</v>
          </cell>
          <cell r="D4885">
            <v>0</v>
          </cell>
          <cell r="E4885">
            <v>0</v>
          </cell>
          <cell r="F4885">
            <v>0</v>
          </cell>
          <cell r="H4885">
            <v>0</v>
          </cell>
          <cell r="O4885">
            <v>331874</v>
          </cell>
          <cell r="P4885"/>
          <cell r="Q4885" t="str">
            <v>EST ALMOFADA FEDD BLACK</v>
          </cell>
          <cell r="R4885"/>
          <cell r="S4885"/>
          <cell r="T4885">
            <v>0.5</v>
          </cell>
          <cell r="U4885">
            <v>0.5</v>
          </cell>
          <cell r="V4885">
            <v>0</v>
          </cell>
          <cell r="W4885">
            <v>0</v>
          </cell>
          <cell r="X4885" t="str">
            <v>EST ALMOFADA FEDD BLACK - 0,5x0,5x0H</v>
          </cell>
          <cell r="Y4885">
            <v>0</v>
          </cell>
          <cell r="Z4885">
            <v>0.35</v>
          </cell>
          <cell r="AA4885">
            <v>0</v>
          </cell>
          <cell r="AB4885"/>
        </row>
        <row r="4886">
          <cell r="C4886">
            <v>1</v>
          </cell>
          <cell r="D4886">
            <v>1</v>
          </cell>
          <cell r="E4886">
            <v>1</v>
          </cell>
          <cell r="F4886">
            <v>1</v>
          </cell>
          <cell r="H4886">
            <v>2</v>
          </cell>
          <cell r="O4886">
            <v>334164</v>
          </cell>
          <cell r="P4886" t="str">
            <v>2022/175-0009-01</v>
          </cell>
          <cell r="Q4886" t="str">
            <v>EST CADEIRA JULIETA (JEQ PECAN) (COURO PIGUIMENTADO AREIA)</v>
          </cell>
          <cell r="R4886"/>
          <cell r="S4886"/>
          <cell r="T4886">
            <v>0.6</v>
          </cell>
          <cell r="U4886">
            <v>0.54</v>
          </cell>
          <cell r="V4886">
            <v>0.71</v>
          </cell>
          <cell r="W4886">
            <v>0</v>
          </cell>
          <cell r="X4886" t="str">
            <v>EST CADEIRA JULIETA (JEQ PECAN) (COURO PIGUIMENTADO AREIA) - 0,6x0,54x0,71H</v>
          </cell>
          <cell r="Y4886">
            <v>9657.4</v>
          </cell>
          <cell r="Z4886">
            <v>0.35</v>
          </cell>
          <cell r="AA4886">
            <v>6277.3099999999995</v>
          </cell>
          <cell r="AB4886"/>
        </row>
        <row r="4887">
          <cell r="C4887">
            <v>1</v>
          </cell>
          <cell r="D4887">
            <v>1</v>
          </cell>
          <cell r="E4887">
            <v>1</v>
          </cell>
          <cell r="F4887">
            <v>1</v>
          </cell>
          <cell r="H4887">
            <v>2</v>
          </cell>
          <cell r="O4887">
            <v>334164</v>
          </cell>
          <cell r="P4887" t="str">
            <v>2022/175-0011-01</v>
          </cell>
          <cell r="Q4887" t="str">
            <v>EST CADEIRA JULIETA (JEQ PECAN) (COURO PIGUIMENTADO AREIA)</v>
          </cell>
          <cell r="R4887"/>
          <cell r="S4887"/>
          <cell r="T4887">
            <v>0.6</v>
          </cell>
          <cell r="U4887">
            <v>0.54</v>
          </cell>
          <cell r="V4887">
            <v>0.71</v>
          </cell>
          <cell r="W4887">
            <v>0</v>
          </cell>
          <cell r="X4887" t="str">
            <v>EST CADEIRA JULIETA (JEQ PECAN) (COURO PIGUIMENTADO AREIA) - 0,6x0,54x0,71H</v>
          </cell>
          <cell r="Y4887">
            <v>9657.4</v>
          </cell>
          <cell r="Z4887">
            <v>0.35</v>
          </cell>
          <cell r="AA4887">
            <v>6277.3099999999995</v>
          </cell>
          <cell r="AB4887"/>
        </row>
        <row r="4888">
          <cell r="C4888">
            <v>0</v>
          </cell>
          <cell r="D4888">
            <v>0</v>
          </cell>
          <cell r="E4888">
            <v>1</v>
          </cell>
          <cell r="F4888">
            <v>0</v>
          </cell>
          <cell r="H4888">
            <v>0</v>
          </cell>
          <cell r="O4888">
            <v>334166</v>
          </cell>
          <cell r="P4888" t="str">
            <v>2022/200-0053-01</v>
          </cell>
          <cell r="Q4888" t="str">
            <v>EST MESA JANTAR MONIZ (C/GIR) (ESPINHADA D) (LAM 2 NOGUEIRA)</v>
          </cell>
          <cell r="R4888"/>
          <cell r="S4888"/>
          <cell r="T4888">
            <v>1.8</v>
          </cell>
          <cell r="U4888">
            <v>0</v>
          </cell>
          <cell r="V4888">
            <v>0.75</v>
          </cell>
          <cell r="W4888">
            <v>1.8</v>
          </cell>
          <cell r="X4888" t="str">
            <v>EST MESA JANTAR MONIZ (C/GIR) (ESPINHADA D) (LAM 2 NOGUEIRA) - Ø1,8x0,75H</v>
          </cell>
          <cell r="Y4888">
            <v>44771.28</v>
          </cell>
          <cell r="Z4888">
            <v>0.35</v>
          </cell>
          <cell r="AA4888">
            <v>29101.332000000002</v>
          </cell>
          <cell r="AB4888"/>
        </row>
        <row r="4889">
          <cell r="C4889">
            <v>0</v>
          </cell>
          <cell r="D4889">
            <v>0</v>
          </cell>
          <cell r="E4889">
            <v>0</v>
          </cell>
          <cell r="F4889">
            <v>0</v>
          </cell>
          <cell r="H4889">
            <v>2</v>
          </cell>
          <cell r="O4889">
            <v>334175</v>
          </cell>
          <cell r="P4889" t="str">
            <v>2022/196-0061-01</v>
          </cell>
          <cell r="Q4889" t="str">
            <v>EST POLTRONA PATER (IMBUIA) TAURUS 30/ALMOF FX10008</v>
          </cell>
          <cell r="R4889"/>
          <cell r="S4889"/>
          <cell r="T4889">
            <v>0.82</v>
          </cell>
          <cell r="U4889">
            <v>0.94</v>
          </cell>
          <cell r="V4889">
            <v>0.83</v>
          </cell>
          <cell r="W4889">
            <v>0</v>
          </cell>
          <cell r="X4889" t="str">
            <v>EST POLTRONA PATER (IMBUIA) TAURUS 30/ALMOF FX10008 - 0,82x0,94x0,83H</v>
          </cell>
          <cell r="Y4889">
            <v>32157.17</v>
          </cell>
          <cell r="Z4889">
            <v>0.5</v>
          </cell>
          <cell r="AA4889">
            <v>16078.584999999999</v>
          </cell>
          <cell r="AB4889"/>
        </row>
        <row r="4890">
          <cell r="C4890">
            <v>0</v>
          </cell>
          <cell r="D4890">
            <v>0</v>
          </cell>
          <cell r="E4890">
            <v>0</v>
          </cell>
          <cell r="F4890">
            <v>0</v>
          </cell>
          <cell r="H4890">
            <v>8</v>
          </cell>
          <cell r="O4890">
            <v>334198</v>
          </cell>
          <cell r="P4890" t="str">
            <v>2022/203-0147-01</v>
          </cell>
          <cell r="Q4890" t="str">
            <v>EST CADEIRA MEDALHINHA (TAUARI EBNZ) (COLMEIA ARAMID NT)</v>
          </cell>
          <cell r="R4890"/>
          <cell r="S4890"/>
          <cell r="T4890">
            <v>0.47</v>
          </cell>
          <cell r="U4890">
            <v>0.61</v>
          </cell>
          <cell r="V4890">
            <v>0.82</v>
          </cell>
          <cell r="W4890">
            <v>0</v>
          </cell>
          <cell r="X4890" t="str">
            <v>EST CADEIRA MEDALHINHA (TAUARI EBNZ) (COLMEIA ARAMID NT) - 0,47x0,61x0,82H</v>
          </cell>
          <cell r="Y4890">
            <v>9872.7529999999988</v>
          </cell>
          <cell r="Z4890">
            <v>0.5</v>
          </cell>
          <cell r="AA4890">
            <v>4936.3764999999994</v>
          </cell>
          <cell r="AB4890"/>
        </row>
        <row r="4891">
          <cell r="C4891">
            <v>0</v>
          </cell>
          <cell r="D4891">
            <v>0</v>
          </cell>
          <cell r="E4891">
            <v>0</v>
          </cell>
          <cell r="F4891">
            <v>0</v>
          </cell>
          <cell r="H4891">
            <v>8</v>
          </cell>
          <cell r="O4891">
            <v>334198</v>
          </cell>
          <cell r="P4891" t="str">
            <v>2022/203-0148-01</v>
          </cell>
          <cell r="Q4891" t="str">
            <v>EST CADEIRA MEDALHINHA (TAUARI EBNZ) (COLMEIA ARAMID NT)</v>
          </cell>
          <cell r="R4891"/>
          <cell r="S4891"/>
          <cell r="T4891">
            <v>0.47</v>
          </cell>
          <cell r="U4891">
            <v>0.61</v>
          </cell>
          <cell r="V4891">
            <v>0.82</v>
          </cell>
          <cell r="W4891">
            <v>0</v>
          </cell>
          <cell r="X4891" t="str">
            <v>EST CADEIRA MEDALHINHA (TAUARI EBNZ) (COLMEIA ARAMID NT) - 0,47x0,61x0,82H</v>
          </cell>
          <cell r="Y4891">
            <v>9872.7529999999988</v>
          </cell>
          <cell r="Z4891">
            <v>0.5</v>
          </cell>
          <cell r="AA4891">
            <v>4936.3764999999994</v>
          </cell>
          <cell r="AB4891"/>
        </row>
        <row r="4892">
          <cell r="C4892">
            <v>0</v>
          </cell>
          <cell r="D4892">
            <v>0</v>
          </cell>
          <cell r="E4892">
            <v>0</v>
          </cell>
          <cell r="F4892">
            <v>0</v>
          </cell>
          <cell r="H4892">
            <v>8</v>
          </cell>
          <cell r="O4892">
            <v>334198</v>
          </cell>
          <cell r="P4892" t="str">
            <v>2025/051-0004-01</v>
          </cell>
          <cell r="Q4892" t="str">
            <v>EST CADEIRA MEDALHINHA (TAUARI EBNZ) (COLMEIA ARAMID NT)</v>
          </cell>
          <cell r="R4892"/>
          <cell r="S4892"/>
          <cell r="T4892">
            <v>0.47</v>
          </cell>
          <cell r="U4892">
            <v>0.61</v>
          </cell>
          <cell r="V4892">
            <v>0.82</v>
          </cell>
          <cell r="W4892">
            <v>0</v>
          </cell>
          <cell r="X4892" t="str">
            <v>EST CADEIRA MEDALHINHA (TAUARI EBNZ) (COLMEIA ARAMID NT) - 0,47x0,61x0,82H</v>
          </cell>
          <cell r="Y4892">
            <v>9872.7529999999988</v>
          </cell>
          <cell r="Z4892">
            <v>0.5</v>
          </cell>
          <cell r="AA4892">
            <v>4936.3764999999994</v>
          </cell>
          <cell r="AB4892"/>
        </row>
        <row r="4893">
          <cell r="C4893">
            <v>0</v>
          </cell>
          <cell r="D4893">
            <v>0</v>
          </cell>
          <cell r="E4893">
            <v>0</v>
          </cell>
          <cell r="F4893">
            <v>0</v>
          </cell>
          <cell r="H4893">
            <v>8</v>
          </cell>
          <cell r="O4893">
            <v>334198</v>
          </cell>
          <cell r="P4893" t="str">
            <v>2022/203-0150-01</v>
          </cell>
          <cell r="Q4893" t="str">
            <v>EST CADEIRA MEDALHINHA (TAUARI EBNZ) (COLMEIA ARAMID NT)</v>
          </cell>
          <cell r="R4893"/>
          <cell r="S4893"/>
          <cell r="T4893">
            <v>0.47</v>
          </cell>
          <cell r="U4893">
            <v>0.61</v>
          </cell>
          <cell r="V4893">
            <v>0.82</v>
          </cell>
          <cell r="W4893">
            <v>0</v>
          </cell>
          <cell r="X4893" t="str">
            <v>EST CADEIRA MEDALHINHA (TAUARI EBNZ) (COLMEIA ARAMID NT) - 0,47x0,61x0,82H</v>
          </cell>
          <cell r="Y4893">
            <v>9872.7529999999988</v>
          </cell>
          <cell r="Z4893">
            <v>0.5</v>
          </cell>
          <cell r="AA4893">
            <v>4936.3764999999994</v>
          </cell>
          <cell r="AB4893"/>
        </row>
        <row r="4894">
          <cell r="C4894">
            <v>0</v>
          </cell>
          <cell r="D4894">
            <v>0</v>
          </cell>
          <cell r="E4894">
            <v>0</v>
          </cell>
          <cell r="F4894">
            <v>0</v>
          </cell>
          <cell r="H4894">
            <v>8</v>
          </cell>
          <cell r="O4894">
            <v>334198</v>
          </cell>
          <cell r="P4894" t="str">
            <v>2022/203-0151-01</v>
          </cell>
          <cell r="Q4894" t="str">
            <v>EST CADEIRA MEDALHINHA (TAUARI EBNZ) (COLMEIA ARAMID NT)</v>
          </cell>
          <cell r="R4894"/>
          <cell r="S4894"/>
          <cell r="T4894">
            <v>0.47</v>
          </cell>
          <cell r="U4894">
            <v>0.61</v>
          </cell>
          <cell r="V4894">
            <v>0.82</v>
          </cell>
          <cell r="W4894">
            <v>0</v>
          </cell>
          <cell r="X4894" t="str">
            <v>EST CADEIRA MEDALHINHA (TAUARI EBNZ) (COLMEIA ARAMID NT) - 0,47x0,61x0,82H</v>
          </cell>
          <cell r="Y4894">
            <v>9872.7529999999988</v>
          </cell>
          <cell r="Z4894">
            <v>0.5</v>
          </cell>
          <cell r="AA4894">
            <v>4936.3764999999994</v>
          </cell>
          <cell r="AB4894"/>
        </row>
        <row r="4895">
          <cell r="C4895">
            <v>0</v>
          </cell>
          <cell r="D4895">
            <v>0</v>
          </cell>
          <cell r="E4895">
            <v>0</v>
          </cell>
          <cell r="F4895">
            <v>0</v>
          </cell>
          <cell r="H4895">
            <v>8</v>
          </cell>
          <cell r="O4895">
            <v>334198</v>
          </cell>
          <cell r="P4895" t="str">
            <v>2025/051-0005-01</v>
          </cell>
          <cell r="Q4895" t="str">
            <v>EST CADEIRA MEDALHINHA (TAUARI EBNZ) (COLMEIA ARAMID NT)</v>
          </cell>
          <cell r="R4895"/>
          <cell r="S4895"/>
          <cell r="T4895">
            <v>0.47</v>
          </cell>
          <cell r="U4895">
            <v>0.61</v>
          </cell>
          <cell r="V4895">
            <v>0.82</v>
          </cell>
          <cell r="W4895">
            <v>0</v>
          </cell>
          <cell r="X4895" t="str">
            <v>EST CADEIRA MEDALHINHA (TAUARI EBNZ) (COLMEIA ARAMID NT) - 0,47x0,61x0,82H</v>
          </cell>
          <cell r="Y4895">
            <v>9872.7529999999988</v>
          </cell>
          <cell r="Z4895">
            <v>0.5</v>
          </cell>
          <cell r="AA4895">
            <v>4936.3764999999994</v>
          </cell>
          <cell r="AB4895"/>
        </row>
        <row r="4896">
          <cell r="C4896">
            <v>0</v>
          </cell>
          <cell r="D4896">
            <v>0</v>
          </cell>
          <cell r="E4896">
            <v>0</v>
          </cell>
          <cell r="F4896">
            <v>0</v>
          </cell>
          <cell r="H4896">
            <v>8</v>
          </cell>
          <cell r="O4896">
            <v>334198</v>
          </cell>
          <cell r="P4896" t="str">
            <v>2025/051-0006-01</v>
          </cell>
          <cell r="Q4896" t="str">
            <v>EST CADEIRA MEDALHINHA (TAUARI EBNZ) (COLMEIA ARAMID NT)</v>
          </cell>
          <cell r="R4896"/>
          <cell r="S4896"/>
          <cell r="T4896">
            <v>0.47</v>
          </cell>
          <cell r="U4896">
            <v>0.61</v>
          </cell>
          <cell r="V4896">
            <v>0.82</v>
          </cell>
          <cell r="W4896">
            <v>0</v>
          </cell>
          <cell r="X4896" t="str">
            <v>EST CADEIRA MEDALHINHA (TAUARI EBNZ) (COLMEIA ARAMID NT) - 0,47x0,61x0,82H</v>
          </cell>
          <cell r="Y4896">
            <v>9872.7529999999988</v>
          </cell>
          <cell r="Z4896">
            <v>0.5</v>
          </cell>
          <cell r="AA4896">
            <v>4936.3764999999994</v>
          </cell>
          <cell r="AB4896"/>
        </row>
        <row r="4897">
          <cell r="C4897">
            <v>0</v>
          </cell>
          <cell r="D4897">
            <v>0</v>
          </cell>
          <cell r="E4897">
            <v>0</v>
          </cell>
          <cell r="F4897">
            <v>0</v>
          </cell>
          <cell r="H4897">
            <v>8</v>
          </cell>
          <cell r="O4897">
            <v>334198</v>
          </cell>
          <cell r="P4897" t="str">
            <v>2025/051-0007-01</v>
          </cell>
          <cell r="Q4897" t="str">
            <v>EST CADEIRA MEDALHINHA (TAUARI EBNZ) (COLMEIA ARAMID NT)</v>
          </cell>
          <cell r="R4897"/>
          <cell r="S4897"/>
          <cell r="T4897">
            <v>0.47</v>
          </cell>
          <cell r="U4897">
            <v>0.61</v>
          </cell>
          <cell r="V4897">
            <v>0.82</v>
          </cell>
          <cell r="W4897">
            <v>0</v>
          </cell>
          <cell r="X4897" t="str">
            <v>EST CADEIRA MEDALHINHA (TAUARI EBNZ) (COLMEIA ARAMID NT) - 0,47x0,61x0,82H</v>
          </cell>
          <cell r="Y4897">
            <v>9872.7529999999988</v>
          </cell>
          <cell r="Z4897">
            <v>0.5</v>
          </cell>
          <cell r="AA4897">
            <v>4936.3764999999994</v>
          </cell>
          <cell r="AB4897"/>
        </row>
        <row r="4898">
          <cell r="C4898">
            <v>1</v>
          </cell>
          <cell r="D4898">
            <v>0</v>
          </cell>
          <cell r="E4898">
            <v>0</v>
          </cell>
          <cell r="F4898">
            <v>0</v>
          </cell>
          <cell r="H4898">
            <v>4</v>
          </cell>
          <cell r="O4898">
            <v>334238</v>
          </cell>
          <cell r="P4898" t="str">
            <v>2022/166-0095-01</v>
          </cell>
          <cell r="Q4898" t="str">
            <v>EST CADEIRA ALE (LAM FREIJO MEL) (REC CARAM) SOLETA CARAMELO</v>
          </cell>
          <cell r="R4898"/>
          <cell r="S4898"/>
          <cell r="T4898">
            <v>0.56000000000000005</v>
          </cell>
          <cell r="U4898">
            <v>0.55000000000000004</v>
          </cell>
          <cell r="V4898">
            <v>0.78</v>
          </cell>
          <cell r="W4898">
            <v>0</v>
          </cell>
          <cell r="X4898" t="str">
            <v>EST CADEIRA ALE (LAM FREIJO MEL) (REC CARAM) SOLETA CARAMELO - 0,56x0,55x0,78H</v>
          </cell>
          <cell r="Y4898">
            <v>9327.9</v>
          </cell>
          <cell r="Z4898">
            <v>0.5</v>
          </cell>
          <cell r="AA4898">
            <v>4663.95</v>
          </cell>
          <cell r="AB4898"/>
        </row>
        <row r="4899">
          <cell r="C4899">
            <v>1</v>
          </cell>
          <cell r="D4899">
            <v>0</v>
          </cell>
          <cell r="E4899">
            <v>0</v>
          </cell>
          <cell r="F4899">
            <v>0</v>
          </cell>
          <cell r="H4899">
            <v>4</v>
          </cell>
          <cell r="O4899">
            <v>334238</v>
          </cell>
          <cell r="P4899" t="str">
            <v>2022/166-0097-01</v>
          </cell>
          <cell r="Q4899" t="str">
            <v>EST CADEIRA ALE (LAM FREIJO MEL) (REC CARAM) SOLETA CARAMELO</v>
          </cell>
          <cell r="R4899"/>
          <cell r="S4899"/>
          <cell r="T4899">
            <v>0.56000000000000005</v>
          </cell>
          <cell r="U4899">
            <v>0.55000000000000004</v>
          </cell>
          <cell r="V4899">
            <v>0.78</v>
          </cell>
          <cell r="W4899">
            <v>0</v>
          </cell>
          <cell r="X4899" t="str">
            <v>EST CADEIRA ALE (LAM FREIJO MEL) (REC CARAM) SOLETA CARAMELO - 0,56x0,55x0,78H</v>
          </cell>
          <cell r="Y4899">
            <v>9327.9</v>
          </cell>
          <cell r="Z4899">
            <v>0.5</v>
          </cell>
          <cell r="AA4899">
            <v>4663.95</v>
          </cell>
          <cell r="AB4899"/>
        </row>
        <row r="4900">
          <cell r="C4900">
            <v>1</v>
          </cell>
          <cell r="D4900">
            <v>0</v>
          </cell>
          <cell r="E4900">
            <v>0</v>
          </cell>
          <cell r="F4900">
            <v>0</v>
          </cell>
          <cell r="H4900">
            <v>4</v>
          </cell>
          <cell r="O4900">
            <v>334238</v>
          </cell>
          <cell r="P4900" t="str">
            <v>2022/166-0099-01</v>
          </cell>
          <cell r="Q4900" t="str">
            <v>EST CADEIRA ALE (LAM FREIJO MEL) (REC CARAM) SOLETA CARAMELO</v>
          </cell>
          <cell r="R4900"/>
          <cell r="S4900"/>
          <cell r="T4900">
            <v>0.56000000000000005</v>
          </cell>
          <cell r="U4900">
            <v>0.55000000000000004</v>
          </cell>
          <cell r="V4900">
            <v>0.78</v>
          </cell>
          <cell r="W4900">
            <v>0</v>
          </cell>
          <cell r="X4900" t="str">
            <v>EST CADEIRA ALE (LAM FREIJO MEL) (REC CARAM) SOLETA CARAMELO - 0,56x0,55x0,78H</v>
          </cell>
          <cell r="Y4900">
            <v>9327.9</v>
          </cell>
          <cell r="Z4900">
            <v>0.5</v>
          </cell>
          <cell r="AA4900">
            <v>4663.95</v>
          </cell>
          <cell r="AB4900"/>
        </row>
        <row r="4901">
          <cell r="C4901">
            <v>1</v>
          </cell>
          <cell r="D4901">
            <v>0</v>
          </cell>
          <cell r="E4901">
            <v>0</v>
          </cell>
          <cell r="F4901">
            <v>0</v>
          </cell>
          <cell r="H4901">
            <v>4</v>
          </cell>
          <cell r="O4901">
            <v>334238</v>
          </cell>
          <cell r="P4901" t="str">
            <v>2022/166-0102-01</v>
          </cell>
          <cell r="Q4901" t="str">
            <v>EST CADEIRA ALE (LAM FREIJO MEL) (REC CARAM) SOLETA CARAMELO</v>
          </cell>
          <cell r="R4901"/>
          <cell r="S4901"/>
          <cell r="T4901">
            <v>0.56000000000000005</v>
          </cell>
          <cell r="U4901">
            <v>0.55000000000000004</v>
          </cell>
          <cell r="V4901">
            <v>0.78</v>
          </cell>
          <cell r="W4901">
            <v>0</v>
          </cell>
          <cell r="X4901" t="str">
            <v>EST CADEIRA ALE (LAM FREIJO MEL) (REC CARAM) SOLETA CARAMELO - 0,56x0,55x0,78H</v>
          </cell>
          <cell r="Y4901">
            <v>9327.9</v>
          </cell>
          <cell r="Z4901">
            <v>0.5</v>
          </cell>
          <cell r="AA4901">
            <v>4663.95</v>
          </cell>
          <cell r="AB4901"/>
        </row>
        <row r="4902">
          <cell r="C4902">
            <v>0</v>
          </cell>
          <cell r="D4902">
            <v>0</v>
          </cell>
          <cell r="E4902">
            <v>0</v>
          </cell>
          <cell r="F4902">
            <v>0</v>
          </cell>
          <cell r="H4902">
            <v>1</v>
          </cell>
          <cell r="O4902">
            <v>334240</v>
          </cell>
          <cell r="P4902" t="str">
            <v>2022/196-0026-01</v>
          </cell>
          <cell r="Q4902" t="str">
            <v>EST MESA CENTRO CANCUN (FX4 ALPI BRI) (AUT BRONW)</v>
          </cell>
          <cell r="R4902"/>
          <cell r="S4902"/>
          <cell r="T4902">
            <v>1.1000000000000001</v>
          </cell>
          <cell r="U4902">
            <v>0</v>
          </cell>
          <cell r="V4902">
            <v>0.32</v>
          </cell>
          <cell r="W4902">
            <v>1.1000000000000001</v>
          </cell>
          <cell r="X4902" t="str">
            <v>EST MESA CENTRO CANCUN (FX4 ALPI BRI) (AUT BRONW) - Ø1,1x0,32H</v>
          </cell>
          <cell r="Y4902">
            <v>30567.08</v>
          </cell>
          <cell r="Z4902">
            <v>0.5</v>
          </cell>
          <cell r="AA4902">
            <v>15283.54</v>
          </cell>
          <cell r="AB4902"/>
        </row>
        <row r="4903">
          <cell r="C4903">
            <v>1</v>
          </cell>
          <cell r="D4903">
            <v>0</v>
          </cell>
          <cell r="E4903">
            <v>0</v>
          </cell>
          <cell r="F4903">
            <v>0</v>
          </cell>
          <cell r="H4903">
            <v>0</v>
          </cell>
          <cell r="O4903">
            <v>334244</v>
          </cell>
          <cell r="P4903" t="str">
            <v>2022/210-0115-01</v>
          </cell>
          <cell r="Q4903" t="str">
            <v>EST MESA CENTRO IPANEMA (LAM EBANIZADO C/CRIS PINT PT)</v>
          </cell>
          <cell r="R4903"/>
          <cell r="S4903"/>
          <cell r="T4903">
            <v>0.9</v>
          </cell>
          <cell r="U4903">
            <v>0</v>
          </cell>
          <cell r="V4903">
            <v>0.35</v>
          </cell>
          <cell r="W4903">
            <v>0.9</v>
          </cell>
          <cell r="X4903" t="str">
            <v>EST MESA CENTRO IPANEMA (LAM EBANIZADO C/CRIS PINT PT) - Ø0,9x0,35H</v>
          </cell>
          <cell r="Y4903">
            <v>9114.11</v>
          </cell>
          <cell r="Z4903">
            <v>0.5</v>
          </cell>
          <cell r="AA4903">
            <v>4557.0550000000003</v>
          </cell>
          <cell r="AB4903"/>
        </row>
        <row r="4904">
          <cell r="C4904">
            <v>0</v>
          </cell>
          <cell r="D4904">
            <v>0</v>
          </cell>
          <cell r="E4904">
            <v>0</v>
          </cell>
          <cell r="F4904">
            <v>0</v>
          </cell>
          <cell r="H4904">
            <v>1</v>
          </cell>
          <cell r="O4904">
            <v>334261</v>
          </cell>
          <cell r="P4904" t="str">
            <v>2022/214-0036-01</v>
          </cell>
          <cell r="Q4904" t="str">
            <v>EST MESA CENTRO ORGAN (TP CALACATA/NOGUEIRA)</v>
          </cell>
          <cell r="R4904"/>
          <cell r="S4904"/>
          <cell r="T4904">
            <v>1.1000000000000001</v>
          </cell>
          <cell r="U4904">
            <v>1.1000000000000001</v>
          </cell>
          <cell r="V4904">
            <v>0.27</v>
          </cell>
          <cell r="W4904">
            <v>0</v>
          </cell>
          <cell r="X4904" t="str">
            <v>EST MESA CENTRO ORGAN (TP CALACATA/NOGUEIRA) - 1,1x1,1x0,27H</v>
          </cell>
          <cell r="Y4904">
            <v>42642.879999999997</v>
          </cell>
          <cell r="Z4904">
            <v>0.5</v>
          </cell>
          <cell r="AA4904">
            <v>21321.439999999999</v>
          </cell>
          <cell r="AB4904"/>
        </row>
        <row r="4905">
          <cell r="C4905">
            <v>0</v>
          </cell>
          <cell r="D4905">
            <v>0</v>
          </cell>
          <cell r="E4905">
            <v>0</v>
          </cell>
          <cell r="F4905">
            <v>0</v>
          </cell>
          <cell r="H4905">
            <v>1</v>
          </cell>
          <cell r="O4905">
            <v>334262</v>
          </cell>
          <cell r="P4905" t="str">
            <v>2022/214-0037-01</v>
          </cell>
          <cell r="Q4905" t="str">
            <v>EST MESA CENTRO ORGAN (TP/BS LAMINADO NOGUEIRA)</v>
          </cell>
          <cell r="R4905"/>
          <cell r="S4905"/>
          <cell r="T4905">
            <v>1.1000000000000001</v>
          </cell>
          <cell r="U4905">
            <v>1.1000000000000001</v>
          </cell>
          <cell r="V4905">
            <v>0.27</v>
          </cell>
          <cell r="W4905">
            <v>0</v>
          </cell>
          <cell r="X4905" t="str">
            <v>EST MESA CENTRO ORGAN (TP/BS LAMINADO NOGUEIRA) - 1,1x1,1x0,27H</v>
          </cell>
          <cell r="Y4905">
            <v>20501.38</v>
          </cell>
          <cell r="Z4905">
            <v>0.5</v>
          </cell>
          <cell r="AA4905">
            <v>10250.69</v>
          </cell>
          <cell r="AB4905"/>
        </row>
        <row r="4906">
          <cell r="C4906">
            <v>0</v>
          </cell>
          <cell r="D4906">
            <v>0</v>
          </cell>
          <cell r="E4906">
            <v>0</v>
          </cell>
          <cell r="F4906">
            <v>0</v>
          </cell>
          <cell r="H4906">
            <v>6</v>
          </cell>
          <cell r="O4906">
            <v>334271</v>
          </cell>
          <cell r="P4906" t="str">
            <v>2022/157-0018-01</v>
          </cell>
          <cell r="Q4906" t="str">
            <v>EST CADEIRA LUIZA C/BRACO COU 2 ESTONADO 8001/JEQ CAST CLARO</v>
          </cell>
          <cell r="R4906"/>
          <cell r="S4906"/>
          <cell r="T4906">
            <v>0.59</v>
          </cell>
          <cell r="U4906">
            <v>0.56000000000000005</v>
          </cell>
          <cell r="V4906">
            <v>0.74</v>
          </cell>
          <cell r="W4906">
            <v>0</v>
          </cell>
          <cell r="X4906" t="str">
            <v>EST CADEIRA LUIZA C/BRACO COU 2 ESTONADO 8001/JEQ CAST CLARO - 0,59x0,56x0,74H</v>
          </cell>
          <cell r="Y4906">
            <v>9433.94</v>
          </cell>
          <cell r="Z4906">
            <v>0.5</v>
          </cell>
          <cell r="AA4906">
            <v>4716.97</v>
          </cell>
          <cell r="AB4906"/>
        </row>
        <row r="4907">
          <cell r="C4907">
            <v>0</v>
          </cell>
          <cell r="D4907">
            <v>0</v>
          </cell>
          <cell r="E4907">
            <v>0</v>
          </cell>
          <cell r="F4907">
            <v>0</v>
          </cell>
          <cell r="H4907">
            <v>6</v>
          </cell>
          <cell r="O4907">
            <v>334271</v>
          </cell>
          <cell r="P4907" t="str">
            <v>2022/157-0019-01</v>
          </cell>
          <cell r="Q4907" t="str">
            <v>EST CADEIRA LUIZA C/BRACO COU 2 ESTONADO 8001/JEQ CAST CLARO</v>
          </cell>
          <cell r="R4907"/>
          <cell r="S4907"/>
          <cell r="T4907">
            <v>0.59</v>
          </cell>
          <cell r="U4907">
            <v>0.56000000000000005</v>
          </cell>
          <cell r="V4907">
            <v>0.74</v>
          </cell>
          <cell r="W4907">
            <v>0</v>
          </cell>
          <cell r="X4907" t="str">
            <v>EST CADEIRA LUIZA C/BRACO COU 2 ESTONADO 8001/JEQ CAST CLARO - 0,59x0,56x0,74H</v>
          </cell>
          <cell r="Y4907">
            <v>9433.94</v>
          </cell>
          <cell r="Z4907">
            <v>0.5</v>
          </cell>
          <cell r="AA4907">
            <v>4716.97</v>
          </cell>
          <cell r="AB4907"/>
        </row>
        <row r="4908">
          <cell r="C4908">
            <v>0</v>
          </cell>
          <cell r="D4908">
            <v>0</v>
          </cell>
          <cell r="E4908">
            <v>0</v>
          </cell>
          <cell r="F4908">
            <v>0</v>
          </cell>
          <cell r="H4908">
            <v>6</v>
          </cell>
          <cell r="O4908">
            <v>334271</v>
          </cell>
          <cell r="P4908" t="str">
            <v>2022/157-0020-01</v>
          </cell>
          <cell r="Q4908" t="str">
            <v>EST CADEIRA LUIZA C/BRACO COU 2 ESTONADO 8001/JEQ CAST CLARO</v>
          </cell>
          <cell r="R4908"/>
          <cell r="S4908"/>
          <cell r="T4908">
            <v>0.59</v>
          </cell>
          <cell r="U4908">
            <v>0.56000000000000005</v>
          </cell>
          <cell r="V4908">
            <v>0.74</v>
          </cell>
          <cell r="W4908">
            <v>0</v>
          </cell>
          <cell r="X4908" t="str">
            <v>EST CADEIRA LUIZA C/BRACO COU 2 ESTONADO 8001/JEQ CAST CLARO - 0,59x0,56x0,74H</v>
          </cell>
          <cell r="Y4908">
            <v>9433.94</v>
          </cell>
          <cell r="Z4908">
            <v>0.5</v>
          </cell>
          <cell r="AA4908">
            <v>4716.97</v>
          </cell>
          <cell r="AB4908"/>
        </row>
        <row r="4909">
          <cell r="C4909">
            <v>0</v>
          </cell>
          <cell r="D4909">
            <v>0</v>
          </cell>
          <cell r="E4909">
            <v>0</v>
          </cell>
          <cell r="F4909">
            <v>0</v>
          </cell>
          <cell r="H4909">
            <v>6</v>
          </cell>
          <cell r="O4909">
            <v>334271</v>
          </cell>
          <cell r="P4909" t="str">
            <v>2022/157-0021-01</v>
          </cell>
          <cell r="Q4909" t="str">
            <v>EST CADEIRA LUIZA C/BRACO COU 2 ESTONADO 8001/JEQ CAST CLARO</v>
          </cell>
          <cell r="R4909"/>
          <cell r="S4909"/>
          <cell r="T4909">
            <v>0.59</v>
          </cell>
          <cell r="U4909">
            <v>0.56000000000000005</v>
          </cell>
          <cell r="V4909">
            <v>0.74</v>
          </cell>
          <cell r="W4909">
            <v>0</v>
          </cell>
          <cell r="X4909" t="str">
            <v>EST CADEIRA LUIZA C/BRACO COU 2 ESTONADO 8001/JEQ CAST CLARO - 0,59x0,56x0,74H</v>
          </cell>
          <cell r="Y4909">
            <v>9433.94</v>
          </cell>
          <cell r="Z4909">
            <v>0.5</v>
          </cell>
          <cell r="AA4909">
            <v>4716.97</v>
          </cell>
          <cell r="AB4909"/>
        </row>
        <row r="4910">
          <cell r="C4910">
            <v>0</v>
          </cell>
          <cell r="D4910">
            <v>0</v>
          </cell>
          <cell r="E4910">
            <v>0</v>
          </cell>
          <cell r="F4910">
            <v>0</v>
          </cell>
          <cell r="H4910">
            <v>6</v>
          </cell>
          <cell r="O4910">
            <v>334271</v>
          </cell>
          <cell r="P4910" t="str">
            <v>2022/157-0022-01</v>
          </cell>
          <cell r="Q4910" t="str">
            <v>EST CADEIRA LUIZA C/BRACO COU 2 ESTONADO 8001/JEQ CAST CLARO</v>
          </cell>
          <cell r="R4910"/>
          <cell r="S4910"/>
          <cell r="T4910">
            <v>0.59</v>
          </cell>
          <cell r="U4910">
            <v>0.56000000000000005</v>
          </cell>
          <cell r="V4910">
            <v>0.74</v>
          </cell>
          <cell r="W4910">
            <v>0</v>
          </cell>
          <cell r="X4910" t="str">
            <v>EST CADEIRA LUIZA C/BRACO COU 2 ESTONADO 8001/JEQ CAST CLARO - 0,59x0,56x0,74H</v>
          </cell>
          <cell r="Y4910">
            <v>9433.94</v>
          </cell>
          <cell r="Z4910">
            <v>0.5</v>
          </cell>
          <cell r="AA4910">
            <v>4716.97</v>
          </cell>
          <cell r="AB4910"/>
        </row>
        <row r="4911">
          <cell r="C4911">
            <v>0</v>
          </cell>
          <cell r="D4911">
            <v>0</v>
          </cell>
          <cell r="E4911">
            <v>0</v>
          </cell>
          <cell r="F4911">
            <v>0</v>
          </cell>
          <cell r="H4911">
            <v>6</v>
          </cell>
          <cell r="O4911">
            <v>334271</v>
          </cell>
          <cell r="P4911" t="str">
            <v>2022/157-0023-01</v>
          </cell>
          <cell r="Q4911" t="str">
            <v>EST CADEIRA LUIZA C/BRACO COU 2 ESTONADO 8001/JEQ CAST CLARO</v>
          </cell>
          <cell r="R4911"/>
          <cell r="S4911"/>
          <cell r="T4911">
            <v>0.59</v>
          </cell>
          <cell r="U4911">
            <v>0.56000000000000005</v>
          </cell>
          <cell r="V4911">
            <v>0.74</v>
          </cell>
          <cell r="W4911">
            <v>0</v>
          </cell>
          <cell r="X4911" t="str">
            <v>EST CADEIRA LUIZA C/BRACO COU 2 ESTONADO 8001/JEQ CAST CLARO - 0,59x0,56x0,74H</v>
          </cell>
          <cell r="Y4911">
            <v>9433.94</v>
          </cell>
          <cell r="Z4911">
            <v>0.5</v>
          </cell>
          <cell r="AA4911">
            <v>4716.97</v>
          </cell>
          <cell r="AB4911"/>
        </row>
        <row r="4912">
          <cell r="C4912">
            <v>0</v>
          </cell>
          <cell r="D4912">
            <v>0</v>
          </cell>
          <cell r="E4912">
            <v>0</v>
          </cell>
          <cell r="F4912">
            <v>0</v>
          </cell>
          <cell r="H4912">
            <v>2</v>
          </cell>
          <cell r="O4912">
            <v>334342</v>
          </cell>
          <cell r="P4912" t="str">
            <v>2022/166-0103-01</v>
          </cell>
          <cell r="Q4912" t="str">
            <v>EST POLTRONA ALE (LAM CARV PT) (TC LISO BRUN GELO) SOLETA PT</v>
          </cell>
          <cell r="R4912"/>
          <cell r="S4912"/>
          <cell r="T4912">
            <v>0.72</v>
          </cell>
          <cell r="U4912">
            <v>0.65</v>
          </cell>
          <cell r="V4912">
            <v>0.73</v>
          </cell>
          <cell r="W4912">
            <v>0</v>
          </cell>
          <cell r="X4912" t="str">
            <v>EST POLTRONA ALE (LAM CARV PT) (TC LISO BRUN GELO) SOLETA PT - 0,72x0,65x0,73H</v>
          </cell>
          <cell r="Y4912">
            <v>12498.48</v>
          </cell>
          <cell r="Z4912">
            <v>0.35</v>
          </cell>
          <cell r="AA4912">
            <v>8124.0119999999997</v>
          </cell>
          <cell r="AB4912"/>
        </row>
        <row r="4913">
          <cell r="C4913">
            <v>0</v>
          </cell>
          <cell r="D4913">
            <v>0</v>
          </cell>
          <cell r="E4913">
            <v>0</v>
          </cell>
          <cell r="F4913">
            <v>0</v>
          </cell>
          <cell r="H4913">
            <v>2</v>
          </cell>
          <cell r="O4913">
            <v>334342</v>
          </cell>
          <cell r="P4913" t="str">
            <v>2022/166-0104-01</v>
          </cell>
          <cell r="Q4913" t="str">
            <v>EST POLTRONA ALE (LAM CARV PT) (TC LISO BRUN GELO) SOLETA PT</v>
          </cell>
          <cell r="R4913"/>
          <cell r="S4913"/>
          <cell r="T4913">
            <v>0.72</v>
          </cell>
          <cell r="U4913">
            <v>0.65</v>
          </cell>
          <cell r="V4913">
            <v>0.73</v>
          </cell>
          <cell r="W4913">
            <v>0</v>
          </cell>
          <cell r="X4913" t="str">
            <v>EST POLTRONA ALE (LAM CARV PT) (TC LISO BRUN GELO) SOLETA PT - 0,72x0,65x0,73H</v>
          </cell>
          <cell r="Y4913">
            <v>12498.48</v>
          </cell>
          <cell r="Z4913">
            <v>0.35</v>
          </cell>
          <cell r="AA4913">
            <v>8124.0119999999997</v>
          </cell>
          <cell r="AB4913"/>
        </row>
        <row r="4914">
          <cell r="C4914">
            <v>0</v>
          </cell>
          <cell r="D4914">
            <v>0</v>
          </cell>
          <cell r="E4914">
            <v>0</v>
          </cell>
          <cell r="F4914">
            <v>0</v>
          </cell>
          <cell r="H4914">
            <v>1</v>
          </cell>
          <cell r="O4914">
            <v>334350</v>
          </cell>
          <cell r="P4914" t="str">
            <v>2022/210-0086-01</v>
          </cell>
          <cell r="Q4914" t="str">
            <v>EST MESA LATERAL LEED (LAMINADA NOGUEIRA)</v>
          </cell>
          <cell r="R4914"/>
          <cell r="S4914"/>
          <cell r="T4914">
            <v>0.9</v>
          </cell>
          <cell r="U4914">
            <v>0.9</v>
          </cell>
          <cell r="V4914">
            <v>0.5</v>
          </cell>
          <cell r="W4914">
            <v>0</v>
          </cell>
          <cell r="X4914" t="str">
            <v>EST MESA LATERAL LEED (LAMINADA NOGUEIRA) - 0,9x0,9x0,5H</v>
          </cell>
          <cell r="Y4914">
            <v>16111.11</v>
          </cell>
          <cell r="Z4914">
            <v>0.5</v>
          </cell>
          <cell r="AA4914">
            <v>8055.5550000000003</v>
          </cell>
          <cell r="AB4914"/>
        </row>
        <row r="4915">
          <cell r="C4915">
            <v>0</v>
          </cell>
          <cell r="D4915">
            <v>0</v>
          </cell>
          <cell r="E4915">
            <v>0</v>
          </cell>
          <cell r="F4915">
            <v>0</v>
          </cell>
          <cell r="H4915">
            <v>1</v>
          </cell>
          <cell r="O4915">
            <v>334459</v>
          </cell>
          <cell r="P4915" t="str">
            <v>2022/222-0026-01</v>
          </cell>
          <cell r="Q4915" t="str">
            <v>EST ESTANTE VO (B) (MTZ ONIX PRETO) (LAM 3 LOURO PRETO)</v>
          </cell>
          <cell r="R4915"/>
          <cell r="S4915"/>
          <cell r="T4915">
            <v>1.04</v>
          </cell>
          <cell r="U4915">
            <v>0.45</v>
          </cell>
          <cell r="V4915">
            <v>2.11</v>
          </cell>
          <cell r="W4915">
            <v>0</v>
          </cell>
          <cell r="X4915" t="str">
            <v>EST ESTANTE VO (B) (MTZ ONIX PRETO) (LAM 3 LOURO PRETO) - 1,04x0,45x2,11H</v>
          </cell>
          <cell r="Y4915">
            <v>69966.850000000006</v>
          </cell>
          <cell r="Z4915">
            <v>0.35</v>
          </cell>
          <cell r="AA4915">
            <v>45478.452500000007</v>
          </cell>
          <cell r="AB4915"/>
        </row>
        <row r="4916">
          <cell r="C4916">
            <v>0</v>
          </cell>
          <cell r="D4916">
            <v>0</v>
          </cell>
          <cell r="E4916">
            <v>0</v>
          </cell>
          <cell r="F4916">
            <v>0</v>
          </cell>
          <cell r="H4916">
            <v>1</v>
          </cell>
          <cell r="O4916">
            <v>334460</v>
          </cell>
          <cell r="P4916" t="str">
            <v>2022/222-0027-01</v>
          </cell>
          <cell r="Q4916" t="str">
            <v>EST ESTANTE VO (C) (MTZ ONIX PRETO) (LAM 3 LOURO PRETO)</v>
          </cell>
          <cell r="R4916"/>
          <cell r="S4916"/>
          <cell r="T4916">
            <v>1.04</v>
          </cell>
          <cell r="U4916">
            <v>0.45</v>
          </cell>
          <cell r="V4916">
            <v>2.11</v>
          </cell>
          <cell r="W4916">
            <v>0</v>
          </cell>
          <cell r="X4916" t="str">
            <v>EST ESTANTE VO (C) (MTZ ONIX PRETO) (LAM 3 LOURO PRETO) - 1,04x0,45x2,11H</v>
          </cell>
          <cell r="Y4916">
            <v>65765.279999999999</v>
          </cell>
          <cell r="Z4916">
            <v>0.35</v>
          </cell>
          <cell r="AA4916">
            <v>42747.432000000001</v>
          </cell>
          <cell r="AB4916"/>
        </row>
        <row r="4917">
          <cell r="C4917">
            <v>6</v>
          </cell>
          <cell r="D4917">
            <v>0</v>
          </cell>
          <cell r="E4917">
            <v>0</v>
          </cell>
          <cell r="F4917">
            <v>0</v>
          </cell>
          <cell r="H4917">
            <v>6</v>
          </cell>
          <cell r="O4917">
            <v>334461</v>
          </cell>
          <cell r="P4917" t="str">
            <v>2022/222-0029-01</v>
          </cell>
          <cell r="Q4917" t="str">
            <v>EST COMPONENTE PRATELEIRA ESTANTE VO (UNIAO) (LAM 3 LOURO P)</v>
          </cell>
          <cell r="R4917"/>
          <cell r="S4917"/>
          <cell r="T4917">
            <v>0.6</v>
          </cell>
          <cell r="U4917">
            <v>0.39</v>
          </cell>
          <cell r="V4917">
            <v>0.03</v>
          </cell>
          <cell r="W4917">
            <v>0</v>
          </cell>
          <cell r="X4917" t="str">
            <v>EST COMPONENTE PRATELEIRA ESTANTE VO (UNIAO) (LAM 3 LOURO P) - 0,6x0,39x0,03H</v>
          </cell>
          <cell r="Y4917">
            <v>2825.8</v>
          </cell>
          <cell r="Z4917">
            <v>0.35</v>
          </cell>
          <cell r="AA4917">
            <v>1836.7700000000002</v>
          </cell>
          <cell r="AB4917"/>
        </row>
        <row r="4918">
          <cell r="C4918">
            <v>6</v>
          </cell>
          <cell r="D4918">
            <v>0</v>
          </cell>
          <cell r="E4918">
            <v>0</v>
          </cell>
          <cell r="F4918">
            <v>0</v>
          </cell>
          <cell r="H4918">
            <v>6</v>
          </cell>
          <cell r="O4918">
            <v>334461</v>
          </cell>
          <cell r="P4918" t="str">
            <v>2022/222-0030-01</v>
          </cell>
          <cell r="Q4918" t="str">
            <v>EST COMPONENTE PRATELEIRA ESTANTE VO (UNIAO) (LAM 3 LOURO P)</v>
          </cell>
          <cell r="R4918"/>
          <cell r="S4918"/>
          <cell r="T4918">
            <v>0.6</v>
          </cell>
          <cell r="U4918">
            <v>0.39</v>
          </cell>
          <cell r="V4918">
            <v>0.03</v>
          </cell>
          <cell r="W4918">
            <v>0</v>
          </cell>
          <cell r="X4918" t="str">
            <v>EST COMPONENTE PRATELEIRA ESTANTE VO (UNIAO) (LAM 3 LOURO P) - 0,6x0,39x0,03H</v>
          </cell>
          <cell r="Y4918">
            <v>2825.8</v>
          </cell>
          <cell r="Z4918">
            <v>0.35</v>
          </cell>
          <cell r="AA4918">
            <v>1836.7700000000002</v>
          </cell>
          <cell r="AB4918"/>
        </row>
        <row r="4919">
          <cell r="C4919">
            <v>6</v>
          </cell>
          <cell r="D4919">
            <v>0</v>
          </cell>
          <cell r="E4919">
            <v>0</v>
          </cell>
          <cell r="F4919">
            <v>0</v>
          </cell>
          <cell r="H4919">
            <v>6</v>
          </cell>
          <cell r="O4919">
            <v>334461</v>
          </cell>
          <cell r="P4919" t="str">
            <v>2022/222-0031-01</v>
          </cell>
          <cell r="Q4919" t="str">
            <v>EST COMPONENTE PRATELEIRA ESTANTE VO (UNIAO) (LAM 3 LOURO P)</v>
          </cell>
          <cell r="R4919"/>
          <cell r="S4919"/>
          <cell r="T4919">
            <v>0.6</v>
          </cell>
          <cell r="U4919">
            <v>0.39</v>
          </cell>
          <cell r="V4919">
            <v>0.03</v>
          </cell>
          <cell r="W4919">
            <v>0</v>
          </cell>
          <cell r="X4919" t="str">
            <v>EST COMPONENTE PRATELEIRA ESTANTE VO (UNIAO) (LAM 3 LOURO P) - 0,6x0,39x0,03H</v>
          </cell>
          <cell r="Y4919">
            <v>2825.8</v>
          </cell>
          <cell r="Z4919">
            <v>0.35</v>
          </cell>
          <cell r="AA4919">
            <v>1836.7700000000002</v>
          </cell>
          <cell r="AB4919"/>
        </row>
        <row r="4920">
          <cell r="C4920">
            <v>6</v>
          </cell>
          <cell r="D4920">
            <v>0</v>
          </cell>
          <cell r="E4920">
            <v>0</v>
          </cell>
          <cell r="F4920">
            <v>0</v>
          </cell>
          <cell r="H4920">
            <v>6</v>
          </cell>
          <cell r="O4920">
            <v>334461</v>
          </cell>
          <cell r="P4920" t="str">
            <v>2022/222-0033-01</v>
          </cell>
          <cell r="Q4920" t="str">
            <v>EST COMPONENTE PRATELEIRA ESTANTE VO (UNIAO) (LAM 3 LOURO P)</v>
          </cell>
          <cell r="R4920"/>
          <cell r="S4920"/>
          <cell r="T4920">
            <v>0.6</v>
          </cell>
          <cell r="U4920">
            <v>0.39</v>
          </cell>
          <cell r="V4920">
            <v>0.03</v>
          </cell>
          <cell r="W4920">
            <v>0</v>
          </cell>
          <cell r="X4920" t="str">
            <v>EST COMPONENTE PRATELEIRA ESTANTE VO (UNIAO) (LAM 3 LOURO P) - 0,6x0,39x0,03H</v>
          </cell>
          <cell r="Y4920">
            <v>2825.8</v>
          </cell>
          <cell r="Z4920">
            <v>0.35</v>
          </cell>
          <cell r="AA4920">
            <v>1836.7700000000002</v>
          </cell>
          <cell r="AB4920"/>
        </row>
        <row r="4921">
          <cell r="C4921">
            <v>6</v>
          </cell>
          <cell r="D4921">
            <v>0</v>
          </cell>
          <cell r="E4921">
            <v>0</v>
          </cell>
          <cell r="F4921">
            <v>0</v>
          </cell>
          <cell r="H4921">
            <v>6</v>
          </cell>
          <cell r="O4921">
            <v>334461</v>
          </cell>
          <cell r="P4921" t="str">
            <v>2022/222-0036-01</v>
          </cell>
          <cell r="Q4921" t="str">
            <v>EST COMPONENTE PRATELEIRA ESTANTE VO (UNIAO) (LAM 3 LOURO P)</v>
          </cell>
          <cell r="R4921"/>
          <cell r="S4921"/>
          <cell r="T4921">
            <v>0.6</v>
          </cell>
          <cell r="U4921">
            <v>0.39</v>
          </cell>
          <cell r="V4921">
            <v>0.03</v>
          </cell>
          <cell r="W4921">
            <v>0</v>
          </cell>
          <cell r="X4921" t="str">
            <v>EST COMPONENTE PRATELEIRA ESTANTE VO (UNIAO) (LAM 3 LOURO P) - 0,6x0,39x0,03H</v>
          </cell>
          <cell r="Y4921">
            <v>2825.8</v>
          </cell>
          <cell r="Z4921">
            <v>0.35</v>
          </cell>
          <cell r="AA4921">
            <v>1836.7700000000002</v>
          </cell>
          <cell r="AB4921"/>
        </row>
        <row r="4922">
          <cell r="C4922">
            <v>6</v>
          </cell>
          <cell r="D4922">
            <v>0</v>
          </cell>
          <cell r="E4922">
            <v>0</v>
          </cell>
          <cell r="F4922">
            <v>0</v>
          </cell>
          <cell r="H4922">
            <v>6</v>
          </cell>
          <cell r="O4922">
            <v>334461</v>
          </cell>
          <cell r="P4922" t="str">
            <v>2022/222-0039-01</v>
          </cell>
          <cell r="Q4922" t="str">
            <v>EST COMPONENTE PRATELEIRA ESTANTE VO (UNIAO) (LAM 3 LOURO P)</v>
          </cell>
          <cell r="R4922"/>
          <cell r="S4922"/>
          <cell r="T4922">
            <v>0.6</v>
          </cell>
          <cell r="U4922">
            <v>0.39</v>
          </cell>
          <cell r="V4922">
            <v>0.03</v>
          </cell>
          <cell r="W4922">
            <v>0</v>
          </cell>
          <cell r="X4922" t="str">
            <v>EST COMPONENTE PRATELEIRA ESTANTE VO (UNIAO) (LAM 3 LOURO P) - 0,6x0,39x0,03H</v>
          </cell>
          <cell r="Y4922">
            <v>2825.8</v>
          </cell>
          <cell r="Z4922">
            <v>0.35</v>
          </cell>
          <cell r="AA4922">
            <v>1836.7700000000002</v>
          </cell>
          <cell r="AB4922"/>
        </row>
        <row r="4923">
          <cell r="C4923">
            <v>0</v>
          </cell>
          <cell r="D4923">
            <v>1</v>
          </cell>
          <cell r="E4923">
            <v>0</v>
          </cell>
          <cell r="F4923">
            <v>0</v>
          </cell>
          <cell r="H4923">
            <v>0</v>
          </cell>
          <cell r="O4923">
            <v>334463</v>
          </cell>
          <cell r="P4923" t="str">
            <v>2022/222-0040-01</v>
          </cell>
          <cell r="Q4923" t="str">
            <v>EST ESCRIVANINHA REGIA (LAMINA 3 LOURO PRETO)</v>
          </cell>
          <cell r="R4923"/>
          <cell r="S4923"/>
          <cell r="T4923">
            <v>1.8</v>
          </cell>
          <cell r="U4923">
            <v>0.7</v>
          </cell>
          <cell r="V4923">
            <v>0.75</v>
          </cell>
          <cell r="W4923">
            <v>0</v>
          </cell>
          <cell r="X4923" t="str">
            <v>EST ESCRIVANINHA REGIA (LAMINA 3 LOURO PRETO) - 1,8x0,7x0,75H</v>
          </cell>
          <cell r="Y4923">
            <v>36477.949999999997</v>
          </cell>
          <cell r="Z4923">
            <v>0.5</v>
          </cell>
          <cell r="AA4923">
            <v>18238.974999999999</v>
          </cell>
          <cell r="AB4923"/>
        </row>
        <row r="4924">
          <cell r="C4924">
            <v>0</v>
          </cell>
          <cell r="D4924">
            <v>0</v>
          </cell>
          <cell r="E4924">
            <v>0</v>
          </cell>
          <cell r="F4924">
            <v>0</v>
          </cell>
          <cell r="H4924">
            <v>0</v>
          </cell>
          <cell r="O4924">
            <v>334464</v>
          </cell>
          <cell r="P4924" t="str">
            <v>2022/200-0054-01</v>
          </cell>
          <cell r="Q4924" t="str">
            <v>EST MESA JANTAR MONIZ (C/GIR) (CZ FENDI ESC M157 C/VD 4MM)</v>
          </cell>
          <cell r="R4924"/>
          <cell r="S4924"/>
          <cell r="T4924">
            <v>1.5</v>
          </cell>
          <cell r="U4924">
            <v>0</v>
          </cell>
          <cell r="V4924">
            <v>0.75</v>
          </cell>
          <cell r="W4924">
            <v>1.5</v>
          </cell>
          <cell r="X4924" t="str">
            <v>EST MESA JANTAR MONIZ (C/GIR) (CZ FENDI ESC M157 C/VD 4MM) - Ø1,5x0,75H</v>
          </cell>
          <cell r="Y4924">
            <v>37265.360000000001</v>
          </cell>
          <cell r="Z4924">
            <v>0.35</v>
          </cell>
          <cell r="AA4924">
            <v>24222.484</v>
          </cell>
          <cell r="AB4924"/>
        </row>
        <row r="4925">
          <cell r="C4925">
            <v>0</v>
          </cell>
          <cell r="D4925">
            <v>0</v>
          </cell>
          <cell r="E4925">
            <v>0</v>
          </cell>
          <cell r="F4925">
            <v>0</v>
          </cell>
          <cell r="H4925">
            <v>2</v>
          </cell>
          <cell r="O4925">
            <v>334521</v>
          </cell>
          <cell r="P4925" t="str">
            <v>2022/199-0088-01</v>
          </cell>
          <cell r="Q4925" t="str">
            <v>EST PUFF OLY H45 FX F8027 HASTE METAL MARROM CLARO</v>
          </cell>
          <cell r="R4925"/>
          <cell r="S4925"/>
          <cell r="T4925">
            <v>0.6</v>
          </cell>
          <cell r="U4925">
            <v>0</v>
          </cell>
          <cell r="V4925">
            <v>0.45</v>
          </cell>
          <cell r="W4925">
            <v>0.6</v>
          </cell>
          <cell r="X4925" t="str">
            <v>EST PUFF OLY H45 FX F8027 HASTE METAL MARROM CLARO - Ø0,6x0,45H</v>
          </cell>
          <cell r="Y4925">
            <v>7494.64</v>
          </cell>
          <cell r="Z4925">
            <v>0.5</v>
          </cell>
          <cell r="AA4925">
            <v>3747.32</v>
          </cell>
          <cell r="AB4925"/>
        </row>
        <row r="4926">
          <cell r="C4926">
            <v>0</v>
          </cell>
          <cell r="D4926">
            <v>0</v>
          </cell>
          <cell r="E4926">
            <v>0</v>
          </cell>
          <cell r="F4926">
            <v>0</v>
          </cell>
          <cell r="H4926">
            <v>1</v>
          </cell>
          <cell r="O4926">
            <v>334631</v>
          </cell>
          <cell r="P4926" t="str">
            <v>2022/224-0050-01</v>
          </cell>
          <cell r="Q4926" t="str">
            <v>EST MESA CENTRO PISAC (RET) (MTX PRETA) (LAMINA WALNUT)</v>
          </cell>
          <cell r="R4926"/>
          <cell r="S4926"/>
          <cell r="T4926">
            <v>1.4</v>
          </cell>
          <cell r="U4926">
            <v>0.7</v>
          </cell>
          <cell r="V4926">
            <v>0.4</v>
          </cell>
          <cell r="W4926">
            <v>0</v>
          </cell>
          <cell r="X4926" t="str">
            <v>EST MESA CENTRO PISAC (RET) (MTX PRETA) (LAMINA WALNUT) - 1,4x0,7x0,4H</v>
          </cell>
          <cell r="Y4926">
            <v>16851.34</v>
          </cell>
          <cell r="Z4926">
            <v>0.5</v>
          </cell>
          <cell r="AA4926">
            <v>8425.67</v>
          </cell>
          <cell r="AB4926"/>
        </row>
        <row r="4927">
          <cell r="C4927">
            <v>0</v>
          </cell>
          <cell r="D4927">
            <v>0</v>
          </cell>
          <cell r="E4927">
            <v>0</v>
          </cell>
          <cell r="F4927">
            <v>0</v>
          </cell>
          <cell r="H4927">
            <v>0</v>
          </cell>
          <cell r="O4927">
            <v>334653</v>
          </cell>
          <cell r="P4927" t="str">
            <v>2022/210-0136-01</v>
          </cell>
          <cell r="Q4927" t="str">
            <v>EST MESA LATERAL CANCUN (MAD PINT AUT GREY) (TP AUT GREY)</v>
          </cell>
          <cell r="R4927"/>
          <cell r="S4927"/>
          <cell r="T4927">
            <v>0.55000000000000004</v>
          </cell>
          <cell r="U4927">
            <v>0</v>
          </cell>
          <cell r="V4927">
            <v>0.52</v>
          </cell>
          <cell r="W4927">
            <v>0.55000000000000004</v>
          </cell>
          <cell r="X4927" t="str">
            <v>EST MESA LATERAL CANCUN (MAD PINT AUT GREY) (TP AUT GREY) - Ø0,55x0,52H</v>
          </cell>
          <cell r="Y4927">
            <v>8089.85</v>
          </cell>
          <cell r="Z4927">
            <v>0.35</v>
          </cell>
          <cell r="AA4927">
            <v>5258.4025000000001</v>
          </cell>
          <cell r="AB4927"/>
        </row>
        <row r="4928">
          <cell r="C4928" t="e">
            <v>#N/A</v>
          </cell>
          <cell r="D4928" t="e">
            <v>#N/A</v>
          </cell>
          <cell r="E4928" t="e">
            <v>#N/A</v>
          </cell>
          <cell r="F4928" t="e">
            <v>#N/A</v>
          </cell>
          <cell r="H4928" t="e">
            <v>#N/A</v>
          </cell>
          <cell r="O4928">
            <v>335087</v>
          </cell>
          <cell r="P4928" t="str">
            <v>2022/228-0010-01</v>
          </cell>
          <cell r="Q4928" t="e">
            <v>#N/A</v>
          </cell>
          <cell r="R4928"/>
          <cell r="S4928"/>
          <cell r="T4928" t="e">
            <v>#N/A</v>
          </cell>
          <cell r="U4928" t="e">
            <v>#N/A</v>
          </cell>
          <cell r="V4928" t="e">
            <v>#N/A</v>
          </cell>
          <cell r="W4928" t="e">
            <v>#N/A</v>
          </cell>
          <cell r="X4928" t="e">
            <v>#N/A</v>
          </cell>
          <cell r="Y4928">
            <v>6244.63</v>
          </cell>
          <cell r="Z4928">
            <v>0.5</v>
          </cell>
          <cell r="AA4928">
            <v>3122.3150000000001</v>
          </cell>
          <cell r="AB4928"/>
        </row>
        <row r="4929">
          <cell r="C4929">
            <v>0</v>
          </cell>
          <cell r="D4929">
            <v>0</v>
          </cell>
          <cell r="E4929">
            <v>0</v>
          </cell>
          <cell r="F4929">
            <v>0</v>
          </cell>
          <cell r="H4929">
            <v>3</v>
          </cell>
          <cell r="O4929">
            <v>335132</v>
          </cell>
          <cell r="P4929" t="str">
            <v>2022/220-0011-01</v>
          </cell>
          <cell r="Q4929" t="str">
            <v>EST ALMOFADA BRACO PARATY (FX 50043) (WALNUT MATT)</v>
          </cell>
          <cell r="R4929"/>
          <cell r="S4929"/>
          <cell r="T4929">
            <v>0.52</v>
          </cell>
          <cell r="U4929">
            <v>0.23</v>
          </cell>
          <cell r="V4929">
            <v>0.14000000000000001</v>
          </cell>
          <cell r="W4929">
            <v>0</v>
          </cell>
          <cell r="X4929" t="str">
            <v>EST ALMOFADA BRACO PARATY (FX 50043) (WALNUT MATT) - 0,52x0,23x0,14H</v>
          </cell>
          <cell r="Y4929">
            <v>1564.28</v>
          </cell>
          <cell r="Z4929">
            <v>0.35</v>
          </cell>
          <cell r="AA4929">
            <v>1016.782</v>
          </cell>
          <cell r="AB4929"/>
        </row>
        <row r="4930">
          <cell r="C4930">
            <v>0</v>
          </cell>
          <cell r="D4930">
            <v>0</v>
          </cell>
          <cell r="E4930">
            <v>0</v>
          </cell>
          <cell r="F4930">
            <v>0</v>
          </cell>
          <cell r="H4930">
            <v>3</v>
          </cell>
          <cell r="O4930">
            <v>335132</v>
          </cell>
          <cell r="P4930" t="str">
            <v>2022/220-0012-01</v>
          </cell>
          <cell r="Q4930" t="str">
            <v>EST ALMOFADA BRACO PARATY (FX 50043) (WALNUT MATT)</v>
          </cell>
          <cell r="R4930"/>
          <cell r="S4930"/>
          <cell r="T4930">
            <v>0.52</v>
          </cell>
          <cell r="U4930">
            <v>0.23</v>
          </cell>
          <cell r="V4930">
            <v>0.14000000000000001</v>
          </cell>
          <cell r="W4930">
            <v>0</v>
          </cell>
          <cell r="X4930" t="str">
            <v>EST ALMOFADA BRACO PARATY (FX 50043) (WALNUT MATT) - 0,52x0,23x0,14H</v>
          </cell>
          <cell r="Y4930">
            <v>1564.28</v>
          </cell>
          <cell r="Z4930">
            <v>0.35</v>
          </cell>
          <cell r="AA4930">
            <v>1016.782</v>
          </cell>
          <cell r="AB4930"/>
        </row>
        <row r="4931">
          <cell r="C4931">
            <v>0</v>
          </cell>
          <cell r="D4931">
            <v>0</v>
          </cell>
          <cell r="E4931">
            <v>0</v>
          </cell>
          <cell r="F4931">
            <v>0</v>
          </cell>
          <cell r="H4931">
            <v>3</v>
          </cell>
          <cell r="O4931">
            <v>335132</v>
          </cell>
          <cell r="P4931" t="str">
            <v>2022/220-0013-01</v>
          </cell>
          <cell r="Q4931" t="str">
            <v>EST ALMOFADA BRACO PARATY (FX 50043) (WALNUT MATT)</v>
          </cell>
          <cell r="R4931"/>
          <cell r="S4931"/>
          <cell r="T4931">
            <v>0.52</v>
          </cell>
          <cell r="U4931">
            <v>0.23</v>
          </cell>
          <cell r="V4931">
            <v>0.14000000000000001</v>
          </cell>
          <cell r="W4931">
            <v>0</v>
          </cell>
          <cell r="X4931" t="str">
            <v>EST ALMOFADA BRACO PARATY (FX 50043) (WALNUT MATT) - 0,52x0,23x0,14H</v>
          </cell>
          <cell r="Y4931">
            <v>1564.28</v>
          </cell>
          <cell r="Z4931">
            <v>0.35</v>
          </cell>
          <cell r="AA4931">
            <v>1016.782</v>
          </cell>
          <cell r="AB4931"/>
        </row>
        <row r="4932">
          <cell r="C4932">
            <v>0</v>
          </cell>
          <cell r="D4932">
            <v>0</v>
          </cell>
          <cell r="E4932">
            <v>0</v>
          </cell>
          <cell r="F4932">
            <v>0</v>
          </cell>
          <cell r="H4932">
            <v>6</v>
          </cell>
          <cell r="O4932">
            <v>335133</v>
          </cell>
          <cell r="P4932" t="str">
            <v>2022/220-0014-01</v>
          </cell>
          <cell r="Q4932" t="str">
            <v>EST ALMOFADA ENCOSTO PARATY (FX 50043)</v>
          </cell>
          <cell r="R4932"/>
          <cell r="S4932"/>
          <cell r="T4932">
            <v>0.65</v>
          </cell>
          <cell r="U4932">
            <v>0.65</v>
          </cell>
          <cell r="V4932">
            <v>0</v>
          </cell>
          <cell r="W4932">
            <v>0</v>
          </cell>
          <cell r="X4932" t="str">
            <v>EST ALMOFADA ENCOSTO PARATY (FX 50043) - 0,65x0,65x0H</v>
          </cell>
          <cell r="Y4932">
            <v>1730.89</v>
          </cell>
          <cell r="Z4932">
            <v>0.35</v>
          </cell>
          <cell r="AA4932">
            <v>1125.0785000000001</v>
          </cell>
          <cell r="AB4932"/>
        </row>
        <row r="4933">
          <cell r="C4933">
            <v>0</v>
          </cell>
          <cell r="D4933">
            <v>0</v>
          </cell>
          <cell r="E4933">
            <v>0</v>
          </cell>
          <cell r="F4933">
            <v>0</v>
          </cell>
          <cell r="H4933">
            <v>6</v>
          </cell>
          <cell r="O4933">
            <v>335133</v>
          </cell>
          <cell r="P4933" t="str">
            <v>2022/220-0018-01</v>
          </cell>
          <cell r="Q4933" t="str">
            <v>EST ALMOFADA ENCOSTO PARATY (FX 50043)</v>
          </cell>
          <cell r="R4933"/>
          <cell r="S4933"/>
          <cell r="T4933">
            <v>0.65</v>
          </cell>
          <cell r="U4933">
            <v>0.65</v>
          </cell>
          <cell r="V4933">
            <v>0</v>
          </cell>
          <cell r="W4933">
            <v>0</v>
          </cell>
          <cell r="X4933" t="str">
            <v>EST ALMOFADA ENCOSTO PARATY (FX 50043) - 0,65x0,65x0H</v>
          </cell>
          <cell r="Y4933">
            <v>1730.89</v>
          </cell>
          <cell r="Z4933">
            <v>0.35</v>
          </cell>
          <cell r="AA4933">
            <v>1125.0785000000001</v>
          </cell>
          <cell r="AB4933"/>
        </row>
        <row r="4934">
          <cell r="C4934">
            <v>0</v>
          </cell>
          <cell r="D4934">
            <v>0</v>
          </cell>
          <cell r="E4934">
            <v>0</v>
          </cell>
          <cell r="F4934">
            <v>0</v>
          </cell>
          <cell r="H4934">
            <v>6</v>
          </cell>
          <cell r="O4934">
            <v>335133</v>
          </cell>
          <cell r="P4934" t="str">
            <v>2022/220-0019-01</v>
          </cell>
          <cell r="Q4934" t="str">
            <v>EST ALMOFADA ENCOSTO PARATY (FX 50043)</v>
          </cell>
          <cell r="R4934"/>
          <cell r="S4934"/>
          <cell r="T4934">
            <v>0.65</v>
          </cell>
          <cell r="U4934">
            <v>0.65</v>
          </cell>
          <cell r="V4934">
            <v>0</v>
          </cell>
          <cell r="W4934">
            <v>0</v>
          </cell>
          <cell r="X4934" t="str">
            <v>EST ALMOFADA ENCOSTO PARATY (FX 50043) - 0,65x0,65x0H</v>
          </cell>
          <cell r="Y4934">
            <v>1730.89</v>
          </cell>
          <cell r="Z4934">
            <v>0.35</v>
          </cell>
          <cell r="AA4934">
            <v>1125.0785000000001</v>
          </cell>
          <cell r="AB4934"/>
        </row>
        <row r="4935">
          <cell r="C4935">
            <v>0</v>
          </cell>
          <cell r="D4935">
            <v>0</v>
          </cell>
          <cell r="E4935">
            <v>0</v>
          </cell>
          <cell r="F4935">
            <v>0</v>
          </cell>
          <cell r="H4935">
            <v>6</v>
          </cell>
          <cell r="O4935">
            <v>335133</v>
          </cell>
          <cell r="P4935" t="str">
            <v>2022/220-0015-01</v>
          </cell>
          <cell r="Q4935" t="str">
            <v>EST ALMOFADA ENCOSTO PARATY (FX 50043)</v>
          </cell>
          <cell r="R4935"/>
          <cell r="S4935"/>
          <cell r="T4935">
            <v>0.65</v>
          </cell>
          <cell r="U4935">
            <v>0.65</v>
          </cell>
          <cell r="V4935">
            <v>0</v>
          </cell>
          <cell r="W4935">
            <v>0</v>
          </cell>
          <cell r="X4935" t="str">
            <v>EST ALMOFADA ENCOSTO PARATY (FX 50043) - 0,65x0,65x0H</v>
          </cell>
          <cell r="Y4935">
            <v>1730.89</v>
          </cell>
          <cell r="Z4935">
            <v>0.35</v>
          </cell>
          <cell r="AA4935">
            <v>1125.0785000000001</v>
          </cell>
          <cell r="AB4935"/>
        </row>
        <row r="4936">
          <cell r="C4936">
            <v>0</v>
          </cell>
          <cell r="D4936">
            <v>0</v>
          </cell>
          <cell r="E4936">
            <v>0</v>
          </cell>
          <cell r="F4936">
            <v>0</v>
          </cell>
          <cell r="H4936">
            <v>6</v>
          </cell>
          <cell r="O4936">
            <v>335133</v>
          </cell>
          <cell r="P4936" t="str">
            <v>2022/220-0016-01</v>
          </cell>
          <cell r="Q4936" t="str">
            <v>EST ALMOFADA ENCOSTO PARATY (FX 50043)</v>
          </cell>
          <cell r="R4936"/>
          <cell r="S4936"/>
          <cell r="T4936">
            <v>0.65</v>
          </cell>
          <cell r="U4936">
            <v>0.65</v>
          </cell>
          <cell r="V4936">
            <v>0</v>
          </cell>
          <cell r="W4936">
            <v>0</v>
          </cell>
          <cell r="X4936" t="str">
            <v>EST ALMOFADA ENCOSTO PARATY (FX 50043) - 0,65x0,65x0H</v>
          </cell>
          <cell r="Y4936">
            <v>1730.89</v>
          </cell>
          <cell r="Z4936">
            <v>0.35</v>
          </cell>
          <cell r="AA4936">
            <v>1125.0785000000001</v>
          </cell>
          <cell r="AB4936"/>
        </row>
        <row r="4937">
          <cell r="C4937">
            <v>0</v>
          </cell>
          <cell r="D4937">
            <v>0</v>
          </cell>
          <cell r="E4937">
            <v>0</v>
          </cell>
          <cell r="F4937">
            <v>0</v>
          </cell>
          <cell r="H4937">
            <v>6</v>
          </cell>
          <cell r="O4937">
            <v>335133</v>
          </cell>
          <cell r="P4937" t="str">
            <v>2022/220-0017-01</v>
          </cell>
          <cell r="Q4937" t="str">
            <v>EST ALMOFADA ENCOSTO PARATY (FX 50043)</v>
          </cell>
          <cell r="R4937"/>
          <cell r="S4937"/>
          <cell r="T4937">
            <v>0.65</v>
          </cell>
          <cell r="U4937">
            <v>0.65</v>
          </cell>
          <cell r="V4937">
            <v>0</v>
          </cell>
          <cell r="W4937">
            <v>0</v>
          </cell>
          <cell r="X4937" t="str">
            <v>EST ALMOFADA ENCOSTO PARATY (FX 50043) - 0,65x0,65x0H</v>
          </cell>
          <cell r="Y4937">
            <v>1730.89</v>
          </cell>
          <cell r="Z4937">
            <v>0.35</v>
          </cell>
          <cell r="AA4937">
            <v>1125.0785000000001</v>
          </cell>
          <cell r="AB4937"/>
        </row>
        <row r="4938">
          <cell r="C4938">
            <v>0</v>
          </cell>
          <cell r="D4938">
            <v>0</v>
          </cell>
          <cell r="E4938">
            <v>0</v>
          </cell>
          <cell r="F4938">
            <v>0</v>
          </cell>
          <cell r="H4938">
            <v>1</v>
          </cell>
          <cell r="O4938">
            <v>335134</v>
          </cell>
          <cell r="P4938" t="str">
            <v>2022/220-0020-01</v>
          </cell>
          <cell r="Q4938" t="str">
            <v>EST MODULO S/BRACO C/ENC PARATY (FX 50043) (WALNUT MATT)</v>
          </cell>
          <cell r="R4938"/>
          <cell r="S4938"/>
          <cell r="T4938">
            <v>1.8</v>
          </cell>
          <cell r="U4938">
            <v>1</v>
          </cell>
          <cell r="V4938">
            <v>0.77</v>
          </cell>
          <cell r="W4938">
            <v>0</v>
          </cell>
          <cell r="X4938" t="str">
            <v>EST MODULO S/BRACO C/ENC PARATY (FX 50043) (WALNUT MATT) - 1,8x1x0,77H</v>
          </cell>
          <cell r="Y4938">
            <v>18690.87</v>
          </cell>
          <cell r="Z4938">
            <v>0.35</v>
          </cell>
          <cell r="AA4938">
            <v>12149.065500000001</v>
          </cell>
          <cell r="AB4938"/>
        </row>
        <row r="4939">
          <cell r="C4939">
            <v>0</v>
          </cell>
          <cell r="D4939">
            <v>0</v>
          </cell>
          <cell r="E4939">
            <v>0</v>
          </cell>
          <cell r="F4939">
            <v>0</v>
          </cell>
          <cell r="H4939">
            <v>3</v>
          </cell>
          <cell r="O4939">
            <v>335135</v>
          </cell>
          <cell r="P4939" t="str">
            <v>2022/220-0021-01</v>
          </cell>
          <cell r="Q4939" t="str">
            <v>EST MODULO PUFF PARATY (FX 50043) (WALNUT MATT)</v>
          </cell>
          <cell r="R4939"/>
          <cell r="S4939"/>
          <cell r="T4939">
            <v>0.9</v>
          </cell>
          <cell r="U4939">
            <v>0.7</v>
          </cell>
          <cell r="V4939">
            <v>0.4</v>
          </cell>
          <cell r="W4939">
            <v>0</v>
          </cell>
          <cell r="X4939" t="str">
            <v>EST MODULO PUFF PARATY (FX 50043) (WALNUT MATT) - 0,9x0,7x0,4H</v>
          </cell>
          <cell r="Y4939">
            <v>7893.18</v>
          </cell>
          <cell r="Z4939">
            <v>0.35</v>
          </cell>
          <cell r="AA4939">
            <v>5130.5670000000009</v>
          </cell>
          <cell r="AB4939"/>
        </row>
        <row r="4940">
          <cell r="C4940">
            <v>0</v>
          </cell>
          <cell r="D4940">
            <v>0</v>
          </cell>
          <cell r="E4940">
            <v>0</v>
          </cell>
          <cell r="F4940">
            <v>0</v>
          </cell>
          <cell r="H4940">
            <v>3</v>
          </cell>
          <cell r="O4940">
            <v>335135</v>
          </cell>
          <cell r="P4940" t="str">
            <v>2022/220-0022-01</v>
          </cell>
          <cell r="Q4940" t="str">
            <v>EST MODULO PUFF PARATY (FX 50043) (WALNUT MATT)</v>
          </cell>
          <cell r="R4940"/>
          <cell r="S4940"/>
          <cell r="T4940">
            <v>0.9</v>
          </cell>
          <cell r="U4940">
            <v>0.7</v>
          </cell>
          <cell r="V4940">
            <v>0.4</v>
          </cell>
          <cell r="W4940">
            <v>0</v>
          </cell>
          <cell r="X4940" t="str">
            <v>EST MODULO PUFF PARATY (FX 50043) (WALNUT MATT) - 0,9x0,7x0,4H</v>
          </cell>
          <cell r="Y4940">
            <v>7893.18</v>
          </cell>
          <cell r="Z4940">
            <v>0.35</v>
          </cell>
          <cell r="AA4940">
            <v>5130.5670000000009</v>
          </cell>
          <cell r="AB4940"/>
        </row>
        <row r="4941">
          <cell r="C4941">
            <v>0</v>
          </cell>
          <cell r="D4941">
            <v>0</v>
          </cell>
          <cell r="E4941">
            <v>0</v>
          </cell>
          <cell r="F4941">
            <v>0</v>
          </cell>
          <cell r="H4941">
            <v>3</v>
          </cell>
          <cell r="O4941">
            <v>335135</v>
          </cell>
          <cell r="P4941" t="str">
            <v>2022/220-0023-01</v>
          </cell>
          <cell r="Q4941" t="str">
            <v>EST MODULO PUFF PARATY (FX 50043) (WALNUT MATT)</v>
          </cell>
          <cell r="R4941"/>
          <cell r="S4941"/>
          <cell r="T4941">
            <v>0.9</v>
          </cell>
          <cell r="U4941">
            <v>0.7</v>
          </cell>
          <cell r="V4941">
            <v>0.4</v>
          </cell>
          <cell r="W4941">
            <v>0</v>
          </cell>
          <cell r="X4941" t="str">
            <v>EST MODULO PUFF PARATY (FX 50043) (WALNUT MATT) - 0,9x0,7x0,4H</v>
          </cell>
          <cell r="Y4941">
            <v>7893.18</v>
          </cell>
          <cell r="Z4941">
            <v>0.35</v>
          </cell>
          <cell r="AA4941">
            <v>5130.5670000000009</v>
          </cell>
          <cell r="AB4941"/>
        </row>
        <row r="4942">
          <cell r="C4942">
            <v>0</v>
          </cell>
          <cell r="D4942">
            <v>0</v>
          </cell>
          <cell r="E4942">
            <v>0</v>
          </cell>
          <cell r="F4942">
            <v>0</v>
          </cell>
          <cell r="H4942">
            <v>1</v>
          </cell>
          <cell r="O4942">
            <v>335136</v>
          </cell>
          <cell r="P4942" t="str">
            <v>2022/220-0024-01</v>
          </cell>
          <cell r="Q4942" t="str">
            <v>EST MODULO S/BRACO C/ENC PARATY(FX 50043) (WALNUT MATT)</v>
          </cell>
          <cell r="R4942"/>
          <cell r="S4942"/>
          <cell r="T4942">
            <v>0.9</v>
          </cell>
          <cell r="U4942">
            <v>0</v>
          </cell>
          <cell r="V4942">
            <v>0.77</v>
          </cell>
          <cell r="W4942">
            <v>0</v>
          </cell>
          <cell r="X4942" t="str">
            <v>EST MODULO S/BRACO C/ENC PARATY(FX 50043) (WALNUT MATT) - Ø0x0,77H</v>
          </cell>
          <cell r="Y4942">
            <v>11679.99</v>
          </cell>
          <cell r="Z4942">
            <v>0.35</v>
          </cell>
          <cell r="AA4942">
            <v>7591.9935000000005</v>
          </cell>
          <cell r="AB4942"/>
        </row>
        <row r="4943">
          <cell r="C4943">
            <v>0</v>
          </cell>
          <cell r="D4943">
            <v>0</v>
          </cell>
          <cell r="E4943">
            <v>0</v>
          </cell>
          <cell r="F4943">
            <v>0</v>
          </cell>
          <cell r="H4943">
            <v>2</v>
          </cell>
          <cell r="O4943">
            <v>335137</v>
          </cell>
          <cell r="P4943" t="str">
            <v>2022/220-0025-01</v>
          </cell>
          <cell r="Q4943" t="str">
            <v>EST PUFF PARATY (FX 50043) (WALNUT MATT)</v>
          </cell>
          <cell r="R4943"/>
          <cell r="S4943"/>
          <cell r="T4943">
            <v>1.77</v>
          </cell>
          <cell r="U4943">
            <v>0.75</v>
          </cell>
          <cell r="V4943">
            <v>0.4</v>
          </cell>
          <cell r="W4943">
            <v>0</v>
          </cell>
          <cell r="X4943" t="str">
            <v>EST PUFF PARATY (FX 50043) (WALNUT MATT) - 1,77x0,75x0,4H</v>
          </cell>
          <cell r="Y4943">
            <v>11980.46</v>
          </cell>
          <cell r="Z4943">
            <v>0.35</v>
          </cell>
          <cell r="AA4943">
            <v>7787.299</v>
          </cell>
          <cell r="AB4943"/>
        </row>
        <row r="4944">
          <cell r="C4944">
            <v>0</v>
          </cell>
          <cell r="D4944">
            <v>0</v>
          </cell>
          <cell r="E4944">
            <v>0</v>
          </cell>
          <cell r="F4944">
            <v>0</v>
          </cell>
          <cell r="H4944">
            <v>2</v>
          </cell>
          <cell r="O4944">
            <v>335137</v>
          </cell>
          <cell r="P4944" t="str">
            <v>2022/220-0026-01</v>
          </cell>
          <cell r="Q4944" t="str">
            <v>EST PUFF PARATY (FX 50043) (WALNUT MATT)</v>
          </cell>
          <cell r="R4944"/>
          <cell r="S4944"/>
          <cell r="T4944">
            <v>1.77</v>
          </cell>
          <cell r="U4944">
            <v>0.75</v>
          </cell>
          <cell r="V4944">
            <v>0.4</v>
          </cell>
          <cell r="W4944">
            <v>0</v>
          </cell>
          <cell r="X4944" t="str">
            <v>EST PUFF PARATY (FX 50043) (WALNUT MATT) - 1,77x0,75x0,4H</v>
          </cell>
          <cell r="Y4944">
            <v>11980.46</v>
          </cell>
          <cell r="Z4944">
            <v>0.35</v>
          </cell>
          <cell r="AA4944">
            <v>7787.299</v>
          </cell>
          <cell r="AB4944"/>
        </row>
        <row r="4945">
          <cell r="C4945">
            <v>0</v>
          </cell>
          <cell r="D4945">
            <v>0</v>
          </cell>
          <cell r="E4945">
            <v>0</v>
          </cell>
          <cell r="F4945">
            <v>0</v>
          </cell>
          <cell r="H4945">
            <v>1</v>
          </cell>
          <cell r="O4945">
            <v>335139</v>
          </cell>
          <cell r="P4945" t="str">
            <v>2022/206-0018-01</v>
          </cell>
          <cell r="Q4945" t="str">
            <v>EST MODULO ENCOSTO (L) LENCOIS M (DET BG4) (FX8285)</v>
          </cell>
          <cell r="R4945"/>
          <cell r="S4945"/>
          <cell r="T4945">
            <v>1.2</v>
          </cell>
          <cell r="U4945">
            <v>0.8</v>
          </cell>
          <cell r="V4945">
            <v>0.26</v>
          </cell>
          <cell r="W4945">
            <v>0</v>
          </cell>
          <cell r="X4945" t="str">
            <v>EST MODULO ENCOSTO (L) LENCOIS M (DET BG4) (FX8285) - 1,2x0,8x0,26H</v>
          </cell>
          <cell r="Y4945">
            <v>7455.97</v>
          </cell>
          <cell r="Z4945">
            <v>0.35</v>
          </cell>
          <cell r="AA4945">
            <v>4846.3805000000002</v>
          </cell>
          <cell r="AB4945"/>
        </row>
        <row r="4946">
          <cell r="C4946">
            <v>0</v>
          </cell>
          <cell r="D4946">
            <v>0</v>
          </cell>
          <cell r="E4946">
            <v>0</v>
          </cell>
          <cell r="F4946">
            <v>0</v>
          </cell>
          <cell r="H4946">
            <v>2</v>
          </cell>
          <cell r="O4946">
            <v>335140</v>
          </cell>
          <cell r="P4946" t="str">
            <v>2022/206-0019-01</v>
          </cell>
          <cell r="Q4946" t="str">
            <v>EST MODULO ENCOSTO RETO LENCOIS M (DET BG4) (FX8285)</v>
          </cell>
          <cell r="R4946"/>
          <cell r="S4946"/>
          <cell r="T4946">
            <v>0.8</v>
          </cell>
          <cell r="U4946">
            <v>0.26</v>
          </cell>
          <cell r="V4946">
            <v>0.26</v>
          </cell>
          <cell r="W4946">
            <v>0</v>
          </cell>
          <cell r="X4946" t="str">
            <v>EST MODULO ENCOSTO RETO LENCOIS M (DET BG4) (FX8285) - 0,8x0,26x0,26H</v>
          </cell>
          <cell r="Y4946">
            <v>3828.83</v>
          </cell>
          <cell r="Z4946">
            <v>0.35</v>
          </cell>
          <cell r="AA4946">
            <v>2488.7395000000001</v>
          </cell>
          <cell r="AB4946"/>
        </row>
        <row r="4947">
          <cell r="C4947">
            <v>0</v>
          </cell>
          <cell r="D4947">
            <v>0</v>
          </cell>
          <cell r="E4947">
            <v>0</v>
          </cell>
          <cell r="F4947">
            <v>0</v>
          </cell>
          <cell r="H4947">
            <v>2</v>
          </cell>
          <cell r="O4947">
            <v>335140</v>
          </cell>
          <cell r="P4947" t="str">
            <v>2022/206-0020-01</v>
          </cell>
          <cell r="Q4947" t="str">
            <v>EST MODULO ENCOSTO RETO LENCOIS M (DET BG4) (FX8285)</v>
          </cell>
          <cell r="R4947"/>
          <cell r="S4947"/>
          <cell r="T4947">
            <v>0.8</v>
          </cell>
          <cell r="U4947">
            <v>0.26</v>
          </cell>
          <cell r="V4947">
            <v>0.26</v>
          </cell>
          <cell r="W4947">
            <v>0</v>
          </cell>
          <cell r="X4947" t="str">
            <v>EST MODULO ENCOSTO RETO LENCOIS M (DET BG4) (FX8285) - 0,8x0,26x0,26H</v>
          </cell>
          <cell r="Y4947">
            <v>3828.83</v>
          </cell>
          <cell r="Z4947">
            <v>0.35</v>
          </cell>
          <cell r="AA4947">
            <v>2488.7395000000001</v>
          </cell>
          <cell r="AB4947"/>
        </row>
        <row r="4948">
          <cell r="C4948">
            <v>0</v>
          </cell>
          <cell r="D4948">
            <v>0</v>
          </cell>
          <cell r="E4948">
            <v>0</v>
          </cell>
          <cell r="F4948">
            <v>0</v>
          </cell>
          <cell r="H4948">
            <v>2</v>
          </cell>
          <cell r="O4948">
            <v>335203</v>
          </cell>
          <cell r="P4948" t="str">
            <v>2022/206-0021-01</v>
          </cell>
          <cell r="Q4948" t="str">
            <v>EST MODULO ENCOSTO RETO LENCOIS M (DET MR5) (FX5322)</v>
          </cell>
          <cell r="R4948"/>
          <cell r="S4948"/>
          <cell r="T4948">
            <v>0.8</v>
          </cell>
          <cell r="U4948">
            <v>0.26</v>
          </cell>
          <cell r="V4948">
            <v>0.26</v>
          </cell>
          <cell r="W4948">
            <v>0</v>
          </cell>
          <cell r="X4948" t="str">
            <v>EST MODULO ENCOSTO RETO LENCOIS M (DET MR5) (FX5322) - 0,8x0,26x0,26H</v>
          </cell>
          <cell r="Y4948">
            <v>3265.79</v>
          </cell>
          <cell r="Z4948">
            <v>0.35</v>
          </cell>
          <cell r="AA4948">
            <v>2122.7635</v>
          </cell>
          <cell r="AB4948"/>
        </row>
        <row r="4949">
          <cell r="C4949">
            <v>0</v>
          </cell>
          <cell r="D4949">
            <v>0</v>
          </cell>
          <cell r="E4949">
            <v>0</v>
          </cell>
          <cell r="F4949">
            <v>0</v>
          </cell>
          <cell r="H4949">
            <v>2</v>
          </cell>
          <cell r="O4949">
            <v>335203</v>
          </cell>
          <cell r="P4949" t="str">
            <v>2022/206-0022-01</v>
          </cell>
          <cell r="Q4949" t="str">
            <v>EST MODULO ENCOSTO RETO LENCOIS M (DET MR5) (FX5322)</v>
          </cell>
          <cell r="R4949"/>
          <cell r="S4949"/>
          <cell r="T4949">
            <v>0.8</v>
          </cell>
          <cell r="U4949">
            <v>0.26</v>
          </cell>
          <cell r="V4949">
            <v>0.26</v>
          </cell>
          <cell r="W4949">
            <v>0</v>
          </cell>
          <cell r="X4949" t="str">
            <v>EST MODULO ENCOSTO RETO LENCOIS M (DET MR5) (FX5322) - 0,8x0,26x0,26H</v>
          </cell>
          <cell r="Y4949">
            <v>3265.79</v>
          </cell>
          <cell r="Z4949">
            <v>0.35</v>
          </cell>
          <cell r="AA4949">
            <v>2122.7635</v>
          </cell>
          <cell r="AB4949"/>
        </row>
        <row r="4950">
          <cell r="C4950">
            <v>0</v>
          </cell>
          <cell r="D4950">
            <v>0</v>
          </cell>
          <cell r="E4950">
            <v>0</v>
          </cell>
          <cell r="F4950">
            <v>0</v>
          </cell>
          <cell r="H4950">
            <v>1</v>
          </cell>
          <cell r="O4950">
            <v>335206</v>
          </cell>
          <cell r="P4950" t="str">
            <v>2022/206-0023-01</v>
          </cell>
          <cell r="Q4950" t="str">
            <v>EST MODULO PUFF CANTO 90 LENCOIS M (RVST BG4) (FX8285)</v>
          </cell>
          <cell r="R4950"/>
          <cell r="S4950"/>
          <cell r="T4950">
            <v>1</v>
          </cell>
          <cell r="U4950">
            <v>1</v>
          </cell>
          <cell r="V4950">
            <v>0.38</v>
          </cell>
          <cell r="W4950">
            <v>0</v>
          </cell>
          <cell r="X4950" t="str">
            <v>EST MODULO PUFF CANTO 90 LENCOIS M (RVST BG4) (FX8285) - 1x1x0,38H</v>
          </cell>
          <cell r="Y4950">
            <v>11125.27</v>
          </cell>
          <cell r="Z4950">
            <v>0.35</v>
          </cell>
          <cell r="AA4950">
            <v>7231.4255000000012</v>
          </cell>
          <cell r="AB4950"/>
        </row>
        <row r="4951">
          <cell r="C4951">
            <v>0</v>
          </cell>
          <cell r="D4951">
            <v>0</v>
          </cell>
          <cell r="E4951">
            <v>0</v>
          </cell>
          <cell r="F4951">
            <v>0</v>
          </cell>
          <cell r="H4951">
            <v>1</v>
          </cell>
          <cell r="O4951">
            <v>335210</v>
          </cell>
          <cell r="P4951" t="str">
            <v>2022/206-0024-01</v>
          </cell>
          <cell r="Q4951" t="str">
            <v>EST MODULO PUFF CHAISE LENCOIS M (RVST MR5) (FX5322)</v>
          </cell>
          <cell r="R4951"/>
          <cell r="S4951"/>
          <cell r="T4951">
            <v>2.4</v>
          </cell>
          <cell r="U4951">
            <v>1.55</v>
          </cell>
          <cell r="V4951">
            <v>0.38</v>
          </cell>
          <cell r="W4951">
            <v>0</v>
          </cell>
          <cell r="X4951" t="str">
            <v>EST MODULO PUFF CHAISE LENCOIS M (RVST MR5) (FX5322) - 2,4x1,55x0,38H</v>
          </cell>
          <cell r="Y4951">
            <v>23400.2</v>
          </cell>
          <cell r="Z4951">
            <v>0.35</v>
          </cell>
          <cell r="AA4951">
            <v>15210.130000000001</v>
          </cell>
          <cell r="AB4951"/>
        </row>
        <row r="4952">
          <cell r="C4952">
            <v>0</v>
          </cell>
          <cell r="D4952">
            <v>0</v>
          </cell>
          <cell r="E4952">
            <v>0</v>
          </cell>
          <cell r="F4952">
            <v>0</v>
          </cell>
          <cell r="H4952">
            <v>1</v>
          </cell>
          <cell r="O4952">
            <v>335211</v>
          </cell>
          <cell r="P4952" t="str">
            <v>2022/206-0025-01</v>
          </cell>
          <cell r="Q4952" t="str">
            <v>EST MODULO PUFF LENCOIS M (RVST MR5) (FX5322)</v>
          </cell>
          <cell r="R4952"/>
          <cell r="S4952"/>
          <cell r="T4952">
            <v>2.4</v>
          </cell>
          <cell r="U4952">
            <v>1</v>
          </cell>
          <cell r="V4952">
            <v>0.38</v>
          </cell>
          <cell r="W4952">
            <v>0</v>
          </cell>
          <cell r="X4952" t="str">
            <v>EST MODULO PUFF LENCOIS M (RVST MR5) (FX5322) - 2,4x1x0,38H</v>
          </cell>
          <cell r="Y4952">
            <v>15817.54</v>
          </cell>
          <cell r="Z4952">
            <v>0.35</v>
          </cell>
          <cell r="AA4952">
            <v>10281.401000000002</v>
          </cell>
          <cell r="AB4952"/>
        </row>
        <row r="4953">
          <cell r="C4953">
            <v>0</v>
          </cell>
          <cell r="D4953">
            <v>0</v>
          </cell>
          <cell r="E4953">
            <v>0</v>
          </cell>
          <cell r="F4953">
            <v>6</v>
          </cell>
          <cell r="H4953">
            <v>2</v>
          </cell>
          <cell r="O4953">
            <v>335230</v>
          </cell>
          <cell r="P4953" t="str">
            <v>2022/220-0006-01</v>
          </cell>
          <cell r="Q4953" t="str">
            <v>EST CADEIRA JULIA C/BRACO (COURO PIG 000) (MARROM MTZ)</v>
          </cell>
          <cell r="R4953"/>
          <cell r="S4953"/>
          <cell r="T4953">
            <v>0.61</v>
          </cell>
          <cell r="U4953">
            <v>0.54</v>
          </cell>
          <cell r="V4953">
            <v>0.76</v>
          </cell>
          <cell r="W4953">
            <v>0</v>
          </cell>
          <cell r="X4953" t="str">
            <v>EST CADEIRA JULIA C/BRACO (COURO PIG 000) (MARROM MTZ) - 0,61x0,54x0,76H</v>
          </cell>
          <cell r="Y4953">
            <v>8798.630000000001</v>
          </cell>
          <cell r="Z4953">
            <v>0.5</v>
          </cell>
          <cell r="AA4953">
            <v>4399.3150000000005</v>
          </cell>
          <cell r="AB4953"/>
        </row>
        <row r="4954">
          <cell r="C4954">
            <v>0</v>
          </cell>
          <cell r="D4954">
            <v>0</v>
          </cell>
          <cell r="E4954">
            <v>0</v>
          </cell>
          <cell r="F4954">
            <v>6</v>
          </cell>
          <cell r="H4954">
            <v>2</v>
          </cell>
          <cell r="O4954">
            <v>335230</v>
          </cell>
          <cell r="P4954" t="str">
            <v>2022/220-0008-01</v>
          </cell>
          <cell r="Q4954" t="str">
            <v>EST CADEIRA JULIA C/BRACO (COURO PIG 000) (MARROM MTZ)</v>
          </cell>
          <cell r="R4954"/>
          <cell r="S4954"/>
          <cell r="T4954">
            <v>0.61</v>
          </cell>
          <cell r="U4954">
            <v>0.54</v>
          </cell>
          <cell r="V4954">
            <v>0.76</v>
          </cell>
          <cell r="W4954">
            <v>0</v>
          </cell>
          <cell r="X4954" t="str">
            <v>EST CADEIRA JULIA C/BRACO (COURO PIG 000) (MARROM MTZ) - 0,61x0,54x0,76H</v>
          </cell>
          <cell r="Y4954">
            <v>8798.630000000001</v>
          </cell>
          <cell r="Z4954">
            <v>0.5</v>
          </cell>
          <cell r="AA4954">
            <v>4399.3150000000005</v>
          </cell>
          <cell r="AB4954"/>
        </row>
        <row r="4955">
          <cell r="C4955">
            <v>0</v>
          </cell>
          <cell r="D4955">
            <v>0</v>
          </cell>
          <cell r="E4955">
            <v>0</v>
          </cell>
          <cell r="F4955">
            <v>0</v>
          </cell>
          <cell r="H4955">
            <v>1</v>
          </cell>
          <cell r="O4955">
            <v>335234</v>
          </cell>
          <cell r="P4955" t="str">
            <v>2022/217-0026-01</v>
          </cell>
          <cell r="Q4955" t="str">
            <v>EST BANCO EOS Ø66 (ACO PINT MARROM) TC RUST CAVALC 5204/755</v>
          </cell>
          <cell r="R4955"/>
          <cell r="S4955"/>
          <cell r="T4955">
            <v>0.66</v>
          </cell>
          <cell r="U4955">
            <v>0</v>
          </cell>
          <cell r="V4955">
            <v>0.51</v>
          </cell>
          <cell r="W4955">
            <v>0.66</v>
          </cell>
          <cell r="X4955" t="str">
            <v>EST BANCO EOS Ø66 (ACO PINT MARROM) TC RUST CAVALC 5204/755 - Ø0,66x0,51H</v>
          </cell>
          <cell r="Y4955">
            <v>4388.38</v>
          </cell>
          <cell r="Z4955">
            <v>0.5</v>
          </cell>
          <cell r="AA4955">
            <v>2194.19</v>
          </cell>
          <cell r="AB4955"/>
        </row>
        <row r="4956">
          <cell r="C4956">
            <v>0</v>
          </cell>
          <cell r="D4956">
            <v>0</v>
          </cell>
          <cell r="E4956">
            <v>0</v>
          </cell>
          <cell r="F4956">
            <v>0</v>
          </cell>
          <cell r="H4956">
            <v>1</v>
          </cell>
          <cell r="O4956">
            <v>335325</v>
          </cell>
          <cell r="P4956" t="str">
            <v>2022/213-0003-01</v>
          </cell>
          <cell r="Q4956" t="str">
            <v>EST POLTRONA HARRY (GIRATORIA) FX B2171</v>
          </cell>
          <cell r="R4956"/>
          <cell r="S4956"/>
          <cell r="T4956">
            <v>0.89</v>
          </cell>
          <cell r="U4956">
            <v>0.83</v>
          </cell>
          <cell r="V4956">
            <v>0.72</v>
          </cell>
          <cell r="W4956">
            <v>0</v>
          </cell>
          <cell r="X4956" t="str">
            <v>EST POLTRONA HARRY (GIRATORIA) FX B2171 - 0,89x0,83x0,72H</v>
          </cell>
          <cell r="Y4956">
            <v>8599.4</v>
          </cell>
          <cell r="Z4956">
            <v>0.5</v>
          </cell>
          <cell r="AA4956">
            <v>4299.7</v>
          </cell>
          <cell r="AB4956"/>
        </row>
        <row r="4957">
          <cell r="C4957">
            <v>0</v>
          </cell>
          <cell r="D4957">
            <v>0</v>
          </cell>
          <cell r="E4957">
            <v>0</v>
          </cell>
          <cell r="F4957">
            <v>0</v>
          </cell>
          <cell r="H4957">
            <v>3</v>
          </cell>
          <cell r="O4957">
            <v>336638</v>
          </cell>
          <cell r="P4957" t="str">
            <v>2022/203-0092-01</v>
          </cell>
          <cell r="Q4957" t="str">
            <v>EST CADEIRA MELIZA (GIR) (COURO 2 2014) (TING AMENDOA)</v>
          </cell>
          <cell r="R4957"/>
          <cell r="S4957"/>
          <cell r="T4957">
            <v>0.6</v>
          </cell>
          <cell r="U4957">
            <v>0.49</v>
          </cell>
          <cell r="V4957">
            <v>0.79</v>
          </cell>
          <cell r="W4957">
            <v>0</v>
          </cell>
          <cell r="X4957" t="str">
            <v>EST CADEIRA MELIZA (GIR) (COURO 2 2014) (TING AMENDOA) - 0,6x0,49x0,79H</v>
          </cell>
          <cell r="Y4957">
            <v>8851.81</v>
          </cell>
          <cell r="Z4957">
            <v>0.5</v>
          </cell>
          <cell r="AA4957">
            <v>4425.9049999999997</v>
          </cell>
          <cell r="AB4957"/>
        </row>
        <row r="4958">
          <cell r="C4958">
            <v>0</v>
          </cell>
          <cell r="D4958">
            <v>0</v>
          </cell>
          <cell r="E4958">
            <v>0</v>
          </cell>
          <cell r="F4958">
            <v>0</v>
          </cell>
          <cell r="H4958">
            <v>3</v>
          </cell>
          <cell r="O4958">
            <v>336638</v>
          </cell>
          <cell r="P4958" t="str">
            <v>2022/203-0095-01</v>
          </cell>
          <cell r="Q4958" t="str">
            <v>EST CADEIRA MELIZA (GIR) (COURO 2 2014) (TING AMENDOA)</v>
          </cell>
          <cell r="R4958"/>
          <cell r="S4958"/>
          <cell r="T4958">
            <v>0.6</v>
          </cell>
          <cell r="U4958">
            <v>0.49</v>
          </cell>
          <cell r="V4958">
            <v>0.79</v>
          </cell>
          <cell r="W4958">
            <v>0</v>
          </cell>
          <cell r="X4958" t="str">
            <v>EST CADEIRA MELIZA (GIR) (COURO 2 2014) (TING AMENDOA) - 0,6x0,49x0,79H</v>
          </cell>
          <cell r="Y4958">
            <v>8851.81</v>
          </cell>
          <cell r="Z4958">
            <v>0.5</v>
          </cell>
          <cell r="AA4958">
            <v>4425.9049999999997</v>
          </cell>
          <cell r="AB4958"/>
        </row>
        <row r="4959">
          <cell r="C4959">
            <v>0</v>
          </cell>
          <cell r="D4959">
            <v>0</v>
          </cell>
          <cell r="E4959">
            <v>0</v>
          </cell>
          <cell r="F4959">
            <v>0</v>
          </cell>
          <cell r="H4959">
            <v>3</v>
          </cell>
          <cell r="O4959">
            <v>336638</v>
          </cell>
          <cell r="P4959" t="str">
            <v>2022/203-0096-01</v>
          </cell>
          <cell r="Q4959" t="str">
            <v>EST CADEIRA MELIZA (GIR) (COURO 2 2014) (TING AMENDOA)</v>
          </cell>
          <cell r="R4959"/>
          <cell r="S4959"/>
          <cell r="T4959">
            <v>0.6</v>
          </cell>
          <cell r="U4959">
            <v>0.49</v>
          </cell>
          <cell r="V4959">
            <v>0.79</v>
          </cell>
          <cell r="W4959">
            <v>0</v>
          </cell>
          <cell r="X4959" t="str">
            <v>EST CADEIRA MELIZA (GIR) (COURO 2 2014) (TING AMENDOA) - 0,6x0,49x0,79H</v>
          </cell>
          <cell r="Y4959">
            <v>8851.81</v>
          </cell>
          <cell r="Z4959">
            <v>0.5</v>
          </cell>
          <cell r="AA4959">
            <v>4425.9049999999997</v>
          </cell>
          <cell r="AB4959"/>
        </row>
        <row r="4960">
          <cell r="C4960">
            <v>0</v>
          </cell>
          <cell r="D4960">
            <v>0</v>
          </cell>
          <cell r="E4960">
            <v>0</v>
          </cell>
          <cell r="F4960">
            <v>0</v>
          </cell>
          <cell r="H4960">
            <v>3</v>
          </cell>
          <cell r="O4960">
            <v>336638</v>
          </cell>
          <cell r="P4960" t="str">
            <v>2022/203-0098-01</v>
          </cell>
          <cell r="Q4960" t="str">
            <v>EST CADEIRA MELIZA (GIR) (COURO 2 2014) (TING AMENDOA)</v>
          </cell>
          <cell r="R4960"/>
          <cell r="S4960"/>
          <cell r="T4960">
            <v>0.6</v>
          </cell>
          <cell r="U4960">
            <v>0.49</v>
          </cell>
          <cell r="V4960">
            <v>0.79</v>
          </cell>
          <cell r="W4960">
            <v>0</v>
          </cell>
          <cell r="X4960" t="str">
            <v>EST CADEIRA MELIZA (GIR) (COURO 2 2014) (TING AMENDOA) - 0,6x0,49x0,79H</v>
          </cell>
          <cell r="Y4960">
            <v>8851.81</v>
          </cell>
          <cell r="Z4960">
            <v>0.5</v>
          </cell>
          <cell r="AA4960">
            <v>4425.9049999999997</v>
          </cell>
          <cell r="AB4960"/>
        </row>
        <row r="4961">
          <cell r="C4961">
            <v>0</v>
          </cell>
          <cell r="D4961">
            <v>0</v>
          </cell>
          <cell r="E4961">
            <v>0</v>
          </cell>
          <cell r="F4961">
            <v>0</v>
          </cell>
          <cell r="H4961">
            <v>0</v>
          </cell>
          <cell r="O4961">
            <v>336640</v>
          </cell>
          <cell r="P4961" t="str">
            <v>2022/251-0026-01</v>
          </cell>
          <cell r="Q4961" t="str">
            <v>EST MESA JANTAR VELL (FREIJO NT) (TP FREIJO NT) (CHAMPAGNE)</v>
          </cell>
          <cell r="R4961"/>
          <cell r="S4961"/>
          <cell r="T4961">
            <v>1.6</v>
          </cell>
          <cell r="U4961">
            <v>1.6</v>
          </cell>
          <cell r="V4961">
            <v>0.75</v>
          </cell>
          <cell r="W4961">
            <v>0</v>
          </cell>
          <cell r="X4961" t="str">
            <v>EST MESA JANTAR VELL (FREIJO NT) (TP FREIJO NT) (CHAMPAGNE) - 1,6x1,6x0,75H</v>
          </cell>
          <cell r="Y4961">
            <v>49715.99</v>
          </cell>
          <cell r="Z4961">
            <v>0.5</v>
          </cell>
          <cell r="AA4961">
            <v>24857.994999999999</v>
          </cell>
          <cell r="AB4961"/>
        </row>
        <row r="4962">
          <cell r="C4962">
            <v>0</v>
          </cell>
          <cell r="D4962">
            <v>0</v>
          </cell>
          <cell r="E4962">
            <v>0</v>
          </cell>
          <cell r="F4962">
            <v>0</v>
          </cell>
          <cell r="H4962">
            <v>1</v>
          </cell>
          <cell r="O4962">
            <v>336641</v>
          </cell>
          <cell r="P4962" t="str">
            <v>2022/251-0027-01</v>
          </cell>
          <cell r="Q4962" t="str">
            <v>EST APARADOR VELL 01 (FREIJO NT) (TP FREIJO NT) (CHAMPAGNE)</v>
          </cell>
          <cell r="R4962"/>
          <cell r="S4962"/>
          <cell r="T4962">
            <v>2.2000000000000002</v>
          </cell>
          <cell r="U4962">
            <v>0.5</v>
          </cell>
          <cell r="V4962">
            <v>0.75</v>
          </cell>
          <cell r="W4962">
            <v>0</v>
          </cell>
          <cell r="X4962" t="str">
            <v>EST APARADOR VELL 01 (FREIJO NT) (TP FREIJO NT) (CHAMPAGNE) - 2,2x0,5x0,75H</v>
          </cell>
          <cell r="Y4962">
            <v>34630.71</v>
          </cell>
          <cell r="Z4962">
            <v>0.35</v>
          </cell>
          <cell r="AA4962">
            <v>22509.961499999998</v>
          </cell>
          <cell r="AB4962"/>
        </row>
        <row r="4963">
          <cell r="C4963">
            <v>0</v>
          </cell>
          <cell r="D4963">
            <v>0</v>
          </cell>
          <cell r="E4963">
            <v>0</v>
          </cell>
          <cell r="F4963">
            <v>0</v>
          </cell>
          <cell r="H4963">
            <v>1</v>
          </cell>
          <cell r="O4963">
            <v>336654</v>
          </cell>
          <cell r="P4963" t="str">
            <v>2022/217-0027-01</v>
          </cell>
          <cell r="Q4963" t="str">
            <v>EST BANCO EOS Ø40 (PINT MARROM) TC RUST CAVAL 5204/755</v>
          </cell>
          <cell r="R4963"/>
          <cell r="S4963"/>
          <cell r="T4963">
            <v>0.4</v>
          </cell>
          <cell r="U4963">
            <v>0</v>
          </cell>
          <cell r="V4963">
            <v>0.43</v>
          </cell>
          <cell r="W4963">
            <v>0.4</v>
          </cell>
          <cell r="X4963" t="str">
            <v>EST BANCO EOS Ø40 (PINT MARROM) TC RUST CAVAL 5204/755 - Ø0,4x0,43H</v>
          </cell>
          <cell r="Y4963">
            <v>4209.63</v>
          </cell>
          <cell r="Z4963">
            <v>0.5</v>
          </cell>
          <cell r="AA4963">
            <v>2104.8150000000001</v>
          </cell>
          <cell r="AB4963"/>
        </row>
        <row r="4964">
          <cell r="C4964">
            <v>0</v>
          </cell>
          <cell r="D4964">
            <v>0</v>
          </cell>
          <cell r="E4964">
            <v>0</v>
          </cell>
          <cell r="F4964">
            <v>0</v>
          </cell>
          <cell r="H4964">
            <v>0</v>
          </cell>
          <cell r="O4964">
            <v>342296</v>
          </cell>
          <cell r="P4964" t="str">
            <v>2022/217-0004-01</v>
          </cell>
          <cell r="Q4964" t="str">
            <v>EST TAPETE MATISSE ETERNITY 1 (10MM) F:918/D:94</v>
          </cell>
          <cell r="R4964"/>
          <cell r="S4964"/>
          <cell r="T4964">
            <v>3</v>
          </cell>
          <cell r="U4964">
            <v>0</v>
          </cell>
          <cell r="V4964">
            <v>0.01</v>
          </cell>
          <cell r="W4964">
            <v>3</v>
          </cell>
          <cell r="X4964" t="str">
            <v>EST TAPETE MATISSE ETERNITY 1 (10MM) F:918/D:94 - Ø3x0,01H</v>
          </cell>
          <cell r="Y4964">
            <v>28022.399999999998</v>
          </cell>
          <cell r="Z4964">
            <v>0.35</v>
          </cell>
          <cell r="AA4964">
            <v>18214.559999999998</v>
          </cell>
          <cell r="AB4964"/>
        </row>
        <row r="4965">
          <cell r="C4965">
            <v>1</v>
          </cell>
          <cell r="D4965">
            <v>0</v>
          </cell>
          <cell r="E4965">
            <v>0</v>
          </cell>
          <cell r="F4965">
            <v>0</v>
          </cell>
          <cell r="H4965">
            <v>0</v>
          </cell>
          <cell r="O4965">
            <v>342297</v>
          </cell>
          <cell r="P4965" t="str">
            <v>2022/217-0005-01</v>
          </cell>
          <cell r="Q4965" t="str">
            <v>EST TAPETE MATISSE WAVES ROUND 1 (CENT) (10MM) F:1280/D:94</v>
          </cell>
          <cell r="R4965"/>
          <cell r="S4965"/>
          <cell r="T4965">
            <v>4</v>
          </cell>
          <cell r="U4965">
            <v>0</v>
          </cell>
          <cell r="V4965">
            <v>0.01</v>
          </cell>
          <cell r="W4965">
            <v>4</v>
          </cell>
          <cell r="X4965" t="str">
            <v>EST TAPETE MATISSE WAVES ROUND 1 (CENT) (10MM) F:1280/D:94 - Ø4x0,01H</v>
          </cell>
          <cell r="Y4965">
            <v>58490.879999999997</v>
          </cell>
          <cell r="Z4965">
            <v>0.35</v>
          </cell>
          <cell r="AA4965">
            <v>38019.072</v>
          </cell>
          <cell r="AB4965"/>
        </row>
        <row r="4966">
          <cell r="C4966">
            <v>0</v>
          </cell>
          <cell r="D4966">
            <v>1</v>
          </cell>
          <cell r="E4966">
            <v>0</v>
          </cell>
          <cell r="F4966">
            <v>0</v>
          </cell>
          <cell r="H4966">
            <v>0</v>
          </cell>
          <cell r="O4966">
            <v>342298</v>
          </cell>
          <cell r="P4966" t="str">
            <v>2022/217-0006-01</v>
          </cell>
          <cell r="Q4966" t="str">
            <v>EST TAPETE MATISSE STRIPES ZIG ZAG (10MM) F:918/D:94</v>
          </cell>
          <cell r="R4966"/>
          <cell r="S4966"/>
          <cell r="T4966">
            <v>6</v>
          </cell>
          <cell r="U4966">
            <v>4</v>
          </cell>
          <cell r="V4966">
            <v>0.01</v>
          </cell>
          <cell r="W4966">
            <v>0</v>
          </cell>
          <cell r="X4966" t="str">
            <v>EST TAPETE MATISSE STRIPES ZIG ZAG (10MM) F:918/D:94 - 6x4x0,01H</v>
          </cell>
          <cell r="Y4966">
            <v>87736.319999999992</v>
          </cell>
          <cell r="Z4966">
            <v>0.35</v>
          </cell>
          <cell r="AA4966">
            <v>57028.607999999993</v>
          </cell>
          <cell r="AB4966"/>
        </row>
        <row r="4967">
          <cell r="C4967">
            <v>0</v>
          </cell>
          <cell r="D4967">
            <v>0</v>
          </cell>
          <cell r="E4967">
            <v>0</v>
          </cell>
          <cell r="F4967">
            <v>1</v>
          </cell>
          <cell r="H4967">
            <v>0</v>
          </cell>
          <cell r="O4967">
            <v>342300</v>
          </cell>
          <cell r="P4967" t="str">
            <v>2022/217-0008-01</v>
          </cell>
          <cell r="Q4967" t="str">
            <v>EST TAPETE MATISSE CURTAIN (10MM) F:1469/D:6 CORES</v>
          </cell>
          <cell r="R4967"/>
          <cell r="S4967"/>
          <cell r="T4967">
            <v>4</v>
          </cell>
          <cell r="U4967">
            <v>0</v>
          </cell>
          <cell r="V4967">
            <v>0.01</v>
          </cell>
          <cell r="W4967">
            <v>4</v>
          </cell>
          <cell r="X4967" t="str">
            <v>EST TAPETE MATISSE CURTAIN (10MM) F:1469/D:6 CORES - Ø4x0,01H</v>
          </cell>
          <cell r="Y4967">
            <v>49817.599999999999</v>
          </cell>
          <cell r="Z4967">
            <v>0.35</v>
          </cell>
          <cell r="AA4967">
            <v>32381.439999999999</v>
          </cell>
          <cell r="AB4967"/>
        </row>
        <row r="4968">
          <cell r="C4968">
            <v>0</v>
          </cell>
          <cell r="D4968">
            <v>0</v>
          </cell>
          <cell r="E4968">
            <v>1</v>
          </cell>
          <cell r="F4968">
            <v>0</v>
          </cell>
          <cell r="H4968">
            <v>0</v>
          </cell>
          <cell r="O4968">
            <v>342304</v>
          </cell>
          <cell r="P4968" t="str">
            <v>2022/217-0013-01</v>
          </cell>
          <cell r="Q4968" t="str">
            <v>EST TAPETE MATISSE ETERNITY 2 (10MM) F:918/D:1057/73</v>
          </cell>
          <cell r="R4968"/>
          <cell r="S4968"/>
          <cell r="T4968">
            <v>4</v>
          </cell>
          <cell r="U4968">
            <v>0</v>
          </cell>
          <cell r="V4968">
            <v>0.01</v>
          </cell>
          <cell r="W4968">
            <v>4</v>
          </cell>
          <cell r="X4968" t="str">
            <v>EST TAPETE MATISSE ETERNITY 2 (10MM) F:918/D:1057/73 - Ø4x0,01H</v>
          </cell>
          <cell r="Y4968">
            <v>81428.479999999996</v>
          </cell>
          <cell r="Z4968">
            <v>0.35</v>
          </cell>
          <cell r="AA4968">
            <v>52928.512000000002</v>
          </cell>
          <cell r="AB4968"/>
        </row>
        <row r="4969">
          <cell r="C4969">
            <v>0</v>
          </cell>
          <cell r="D4969">
            <v>0</v>
          </cell>
          <cell r="E4969">
            <v>0</v>
          </cell>
          <cell r="F4969">
            <v>1</v>
          </cell>
          <cell r="H4969">
            <v>0</v>
          </cell>
          <cell r="O4969">
            <v>343959</v>
          </cell>
          <cell r="P4969"/>
          <cell r="Q4969" t="str">
            <v>EST LIVRO A ORIGEM DO HOMEM E SEUS DEUSES-ADRIANO GAMBARINI</v>
          </cell>
          <cell r="R4969"/>
          <cell r="S4969"/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 t="str">
            <v>EST LIVRO A ORIGEM DO HOMEM E SEUS DEUSES-ADRIANO GAMBARINI - Ø0x0H</v>
          </cell>
          <cell r="Y4969">
            <v>470.09</v>
          </cell>
          <cell r="Z4969">
            <v>0.35</v>
          </cell>
          <cell r="AA4969">
            <v>305.55849999999998</v>
          </cell>
          <cell r="AB4969"/>
        </row>
        <row r="4970">
          <cell r="C4970">
            <v>0</v>
          </cell>
          <cell r="D4970">
            <v>0</v>
          </cell>
          <cell r="E4970">
            <v>0</v>
          </cell>
          <cell r="F4970">
            <v>2</v>
          </cell>
          <cell r="H4970">
            <v>0</v>
          </cell>
          <cell r="O4970">
            <v>343960</v>
          </cell>
          <cell r="P4970"/>
          <cell r="Q4970" t="str">
            <v>EST LIVRO AMANTIKIR - PATRIMONIO NATURAL DO BRASIL</v>
          </cell>
          <cell r="R4970"/>
          <cell r="S4970"/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 t="str">
            <v>EST LIVRO AMANTIKIR - PATRIMONIO NATURAL DO BRASIL - Ø0x0H</v>
          </cell>
          <cell r="Y4970">
            <v>279.10000000000002</v>
          </cell>
          <cell r="Z4970">
            <v>0.35</v>
          </cell>
          <cell r="AA4970">
            <v>181.41500000000002</v>
          </cell>
          <cell r="AB4970"/>
        </row>
        <row r="4971">
          <cell r="C4971">
            <v>0</v>
          </cell>
          <cell r="D4971">
            <v>0</v>
          </cell>
          <cell r="E4971">
            <v>0</v>
          </cell>
          <cell r="F4971">
            <v>1</v>
          </cell>
          <cell r="H4971">
            <v>0</v>
          </cell>
          <cell r="O4971">
            <v>343961</v>
          </cell>
          <cell r="P4971"/>
          <cell r="Q4971" t="str">
            <v>EST LIVRO ANNA MARIA MAIOLINO: PSSSIIIUUU... - MIYADA</v>
          </cell>
          <cell r="R4971"/>
          <cell r="S4971"/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 t="str">
            <v>EST LIVRO ANNA MARIA MAIOLINO: PSSSIIIUUU... - MIYADA - Ø0x0H</v>
          </cell>
          <cell r="Y4971">
            <v>467.26</v>
          </cell>
          <cell r="Z4971">
            <v>0.35</v>
          </cell>
          <cell r="AA4971">
            <v>303.71899999999999</v>
          </cell>
          <cell r="AB4971"/>
        </row>
        <row r="4972">
          <cell r="C4972">
            <v>0</v>
          </cell>
          <cell r="D4972">
            <v>0</v>
          </cell>
          <cell r="E4972">
            <v>0</v>
          </cell>
          <cell r="F4972">
            <v>2</v>
          </cell>
          <cell r="H4972">
            <v>0</v>
          </cell>
          <cell r="O4972">
            <v>343962</v>
          </cell>
          <cell r="P4972"/>
          <cell r="Q4972" t="str">
            <v>EST LIVRO ANTONIO DIAS - ANTONIO DIAS</v>
          </cell>
          <cell r="R4972"/>
          <cell r="S4972"/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 t="str">
            <v>EST LIVRO ANTONIO DIAS - ANTONIO DIAS - Ø0x0H</v>
          </cell>
          <cell r="Y4972">
            <v>373.18</v>
          </cell>
          <cell r="Z4972">
            <v>0.35</v>
          </cell>
          <cell r="AA4972">
            <v>242.56700000000001</v>
          </cell>
          <cell r="AB4972"/>
        </row>
        <row r="4973">
          <cell r="C4973">
            <v>0</v>
          </cell>
          <cell r="D4973">
            <v>0</v>
          </cell>
          <cell r="E4973">
            <v>0</v>
          </cell>
          <cell r="F4973">
            <v>1</v>
          </cell>
          <cell r="H4973">
            <v>0</v>
          </cell>
          <cell r="O4973">
            <v>343963</v>
          </cell>
          <cell r="P4973"/>
          <cell r="Q4973" t="str">
            <v>EST LIVRO ARAUCARIA - A FLORESTA DO BRASIL MERIDIONAL</v>
          </cell>
          <cell r="R4973"/>
          <cell r="S4973"/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 t="str">
            <v>EST LIVRO ARAUCARIA - A FLORESTA DO BRASIL MERIDIONAL - Ø0x0H</v>
          </cell>
          <cell r="Y4973">
            <v>376.32</v>
          </cell>
          <cell r="Z4973">
            <v>0.35</v>
          </cell>
          <cell r="AA4973">
            <v>244.608</v>
          </cell>
          <cell r="AB4973"/>
        </row>
        <row r="4974">
          <cell r="C4974">
            <v>0</v>
          </cell>
          <cell r="D4974">
            <v>0</v>
          </cell>
          <cell r="E4974">
            <v>0</v>
          </cell>
          <cell r="F4974">
            <v>2</v>
          </cell>
          <cell r="H4974">
            <v>0</v>
          </cell>
          <cell r="O4974">
            <v>343964</v>
          </cell>
          <cell r="P4974"/>
          <cell r="Q4974" t="str">
            <v>EST LIVRO ART DECO NO BRASIL - COL FULVIA E ADOLPHO LEIRNER</v>
          </cell>
          <cell r="R4974"/>
          <cell r="S4974"/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 t="str">
            <v>EST LIVRO ART DECO NO BRASIL - COL FULVIA E ADOLPHO LEIRNER - Ø0x0H</v>
          </cell>
          <cell r="Y4974">
            <v>564.48</v>
          </cell>
          <cell r="Z4974">
            <v>0.35</v>
          </cell>
          <cell r="AA4974">
            <v>366.91200000000003</v>
          </cell>
          <cell r="AB4974"/>
        </row>
        <row r="4975">
          <cell r="C4975">
            <v>0</v>
          </cell>
          <cell r="D4975">
            <v>0</v>
          </cell>
          <cell r="E4975">
            <v>0</v>
          </cell>
          <cell r="F4975">
            <v>1</v>
          </cell>
          <cell r="H4975">
            <v>0</v>
          </cell>
          <cell r="O4975">
            <v>343965</v>
          </cell>
          <cell r="P4975"/>
          <cell r="Q4975" t="str">
            <v>EST LIVRO ATHLETAS - GUSTAVO MALHEIROS</v>
          </cell>
          <cell r="R4975"/>
          <cell r="S4975"/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 t="str">
            <v>EST LIVRO ATHLETAS - GUSTAVO MALHEIROS - Ø0x0H</v>
          </cell>
          <cell r="Y4975">
            <v>282.24</v>
          </cell>
          <cell r="Z4975">
            <v>0.35</v>
          </cell>
          <cell r="AA4975">
            <v>183.45600000000002</v>
          </cell>
          <cell r="AB4975"/>
        </row>
        <row r="4976">
          <cell r="C4976">
            <v>0</v>
          </cell>
          <cell r="D4976">
            <v>0</v>
          </cell>
          <cell r="E4976">
            <v>0</v>
          </cell>
          <cell r="F4976">
            <v>1</v>
          </cell>
          <cell r="H4976">
            <v>0</v>
          </cell>
          <cell r="O4976">
            <v>343966</v>
          </cell>
          <cell r="P4976"/>
          <cell r="Q4976" t="str">
            <v>EST LIVRO AVES / BIRDS AQUARELAS DE TOMAS SIGRIST</v>
          </cell>
          <cell r="R4976"/>
          <cell r="S4976"/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 t="str">
            <v>EST LIVRO AVES / BIRDS AQUARELAS DE TOMAS SIGRIST - Ø0x0H</v>
          </cell>
          <cell r="Y4976">
            <v>658.56</v>
          </cell>
          <cell r="Z4976">
            <v>0.35</v>
          </cell>
          <cell r="AA4976">
            <v>428.06399999999996</v>
          </cell>
          <cell r="AB4976"/>
        </row>
        <row r="4977">
          <cell r="C4977">
            <v>0</v>
          </cell>
          <cell r="D4977">
            <v>0</v>
          </cell>
          <cell r="E4977">
            <v>0</v>
          </cell>
          <cell r="F4977">
            <v>1</v>
          </cell>
          <cell r="H4977">
            <v>0</v>
          </cell>
          <cell r="O4977">
            <v>343967</v>
          </cell>
          <cell r="P4977"/>
          <cell r="Q4977" t="str">
            <v>EST LIVRO BEATRIZ MILHAZES, COLAGENS - PAUL/ARMSTRONG</v>
          </cell>
          <cell r="R4977"/>
          <cell r="S4977"/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 t="str">
            <v>EST LIVRO BEATRIZ MILHAZES, COLAGENS - PAUL/ARMSTRONG - Ø0x0H</v>
          </cell>
          <cell r="Y4977">
            <v>392</v>
          </cell>
          <cell r="Z4977">
            <v>0.35</v>
          </cell>
          <cell r="AA4977">
            <v>254.8</v>
          </cell>
          <cell r="AB4977"/>
        </row>
        <row r="4978">
          <cell r="C4978">
            <v>0</v>
          </cell>
          <cell r="D4978">
            <v>0</v>
          </cell>
          <cell r="E4978">
            <v>0</v>
          </cell>
          <cell r="F4978">
            <v>1</v>
          </cell>
          <cell r="H4978">
            <v>0</v>
          </cell>
          <cell r="O4978">
            <v>343968</v>
          </cell>
          <cell r="P4978"/>
          <cell r="Q4978" t="str">
            <v>EST LIVRO BEIJA-FLORES DO BRASIL - SILVEIRA, LUIS FABIO</v>
          </cell>
          <cell r="R4978"/>
          <cell r="S4978"/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 t="str">
            <v>EST LIVRO BEIJA-FLORES DO BRASIL - SILVEIRA, LUIS FABIO - Ø0x0H</v>
          </cell>
          <cell r="Y4978">
            <v>937.66</v>
          </cell>
          <cell r="Z4978">
            <v>0.35</v>
          </cell>
          <cell r="AA4978">
            <v>609.47900000000004</v>
          </cell>
          <cell r="AB4978"/>
        </row>
        <row r="4979">
          <cell r="C4979">
            <v>0</v>
          </cell>
          <cell r="D4979">
            <v>0</v>
          </cell>
          <cell r="E4979">
            <v>0</v>
          </cell>
          <cell r="F4979">
            <v>1</v>
          </cell>
          <cell r="H4979">
            <v>0</v>
          </cell>
          <cell r="O4979">
            <v>343969</v>
          </cell>
          <cell r="P4979"/>
          <cell r="Q4979" t="str">
            <v>EST LIVRO BONITO - CONFINS DO NOVO MUNDO - CRUZ</v>
          </cell>
          <cell r="R4979"/>
          <cell r="S4979"/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 t="str">
            <v>EST LIVRO BONITO - CONFINS DO NOVO MUNDO - CRUZ - Ø0x0H</v>
          </cell>
          <cell r="Y4979">
            <v>376.32</v>
          </cell>
          <cell r="Z4979">
            <v>0.35</v>
          </cell>
          <cell r="AA4979">
            <v>244.608</v>
          </cell>
          <cell r="AB4979"/>
        </row>
        <row r="4980">
          <cell r="C4980">
            <v>0</v>
          </cell>
          <cell r="D4980">
            <v>0</v>
          </cell>
          <cell r="E4980">
            <v>0</v>
          </cell>
          <cell r="F4980">
            <v>1</v>
          </cell>
          <cell r="H4980">
            <v>0</v>
          </cell>
          <cell r="O4980">
            <v>343970</v>
          </cell>
          <cell r="P4980"/>
          <cell r="Q4980" t="str">
            <v>EST LIVRO BRASIL: DUAS DECADAS, DUAS CAPITAIS- INTERNACIONAL</v>
          </cell>
          <cell r="R4980"/>
          <cell r="S4980"/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 t="str">
            <v>EST LIVRO BRASIL: DUAS DECADAS, DUAS CAPITAIS- INTERNACIONAL - Ø0x0H</v>
          </cell>
          <cell r="Y4980">
            <v>250.57</v>
          </cell>
          <cell r="Z4980">
            <v>0.35</v>
          </cell>
          <cell r="AA4980">
            <v>162.87049999999999</v>
          </cell>
          <cell r="AB4980"/>
        </row>
        <row r="4981">
          <cell r="C4981">
            <v>0</v>
          </cell>
          <cell r="D4981">
            <v>0</v>
          </cell>
          <cell r="E4981">
            <v>0</v>
          </cell>
          <cell r="F4981">
            <v>1</v>
          </cell>
          <cell r="H4981">
            <v>0</v>
          </cell>
          <cell r="O4981">
            <v>343971</v>
          </cell>
          <cell r="P4981"/>
          <cell r="Q4981" t="str">
            <v>EST LIVRO BRASIL: DUAS DECADAS, DUAS CAPITAIS-NACIONAL</v>
          </cell>
          <cell r="R4981"/>
          <cell r="S4981"/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 t="str">
            <v>EST LIVRO BRASIL: DUAS DECADAS, DUAS CAPITAIS-NACIONAL - Ø0x0H</v>
          </cell>
          <cell r="Y4981">
            <v>250.57</v>
          </cell>
          <cell r="Z4981">
            <v>0.35</v>
          </cell>
          <cell r="AA4981">
            <v>162.87049999999999</v>
          </cell>
          <cell r="AB4981"/>
        </row>
        <row r="4982">
          <cell r="C4982">
            <v>0</v>
          </cell>
          <cell r="D4982">
            <v>0</v>
          </cell>
          <cell r="E4982">
            <v>0</v>
          </cell>
          <cell r="F4982">
            <v>1</v>
          </cell>
          <cell r="H4982">
            <v>0</v>
          </cell>
          <cell r="O4982">
            <v>343972</v>
          </cell>
          <cell r="P4982"/>
          <cell r="Q4982" t="str">
            <v>EST LIVRO BRASILIA -HISTORIA E MODERNIDADE-LEONARDO FINOTTI</v>
          </cell>
          <cell r="R4982"/>
          <cell r="S4982"/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 t="str">
            <v>EST LIVRO BRASILIA -HISTORIA E MODERNIDADE-LEONARDO FINOTTI - Ø0x0H</v>
          </cell>
          <cell r="Y4982">
            <v>219.52</v>
          </cell>
          <cell r="Z4982">
            <v>0.35</v>
          </cell>
          <cell r="AA4982">
            <v>142.68800000000002</v>
          </cell>
          <cell r="AB4982"/>
        </row>
        <row r="4983">
          <cell r="C4983">
            <v>0</v>
          </cell>
          <cell r="D4983">
            <v>0</v>
          </cell>
          <cell r="E4983">
            <v>0</v>
          </cell>
          <cell r="F4983">
            <v>1</v>
          </cell>
          <cell r="H4983">
            <v>0</v>
          </cell>
          <cell r="O4983">
            <v>343973</v>
          </cell>
          <cell r="P4983"/>
          <cell r="Q4983" t="str">
            <v>EST LIVRO CAIS - ADERI COSTA</v>
          </cell>
          <cell r="R4983"/>
          <cell r="S4983"/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 t="str">
            <v>EST LIVRO CAIS - ADERI COSTA - Ø0x0H</v>
          </cell>
          <cell r="Y4983">
            <v>564.48</v>
          </cell>
          <cell r="Z4983">
            <v>0.35</v>
          </cell>
          <cell r="AA4983">
            <v>366.91200000000003</v>
          </cell>
          <cell r="AB4983"/>
        </row>
        <row r="4984">
          <cell r="C4984">
            <v>0</v>
          </cell>
          <cell r="D4984">
            <v>0</v>
          </cell>
          <cell r="E4984">
            <v>0</v>
          </cell>
          <cell r="F4984">
            <v>1</v>
          </cell>
          <cell r="H4984">
            <v>0</v>
          </cell>
          <cell r="O4984">
            <v>343974</v>
          </cell>
          <cell r="P4984"/>
          <cell r="Q4984" t="str">
            <v>EST LIVRO CATAS ALTAS DO MATTO DENTRO MINAS GERAES</v>
          </cell>
          <cell r="R4984"/>
          <cell r="S4984"/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 t="str">
            <v>EST LIVRO CATAS ALTAS DO MATTO DENTRO MINAS GERAES - Ø0x0H</v>
          </cell>
          <cell r="Y4984">
            <v>297.92</v>
          </cell>
          <cell r="Z4984">
            <v>0.35</v>
          </cell>
          <cell r="AA4984">
            <v>193.64800000000002</v>
          </cell>
          <cell r="AB4984"/>
        </row>
        <row r="4985">
          <cell r="C4985">
            <v>0</v>
          </cell>
          <cell r="D4985">
            <v>0</v>
          </cell>
          <cell r="E4985">
            <v>0</v>
          </cell>
          <cell r="F4985">
            <v>1</v>
          </cell>
          <cell r="H4985">
            <v>0</v>
          </cell>
          <cell r="O4985">
            <v>343975</v>
          </cell>
          <cell r="P4985"/>
          <cell r="Q4985" t="str">
            <v>EST LIVRO COFFEA - O CAFE NO BRASIL - MARCOS PIFFER</v>
          </cell>
          <cell r="R4985"/>
          <cell r="S4985"/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 t="str">
            <v>EST LIVRO COFFEA - O CAFE NO BRASIL - MARCOS PIFFER - Ø0x0H</v>
          </cell>
          <cell r="Y4985">
            <v>341.82</v>
          </cell>
          <cell r="Z4985">
            <v>0.35</v>
          </cell>
          <cell r="AA4985">
            <v>222.18299999999999</v>
          </cell>
          <cell r="AB4985"/>
        </row>
        <row r="4986">
          <cell r="C4986">
            <v>0</v>
          </cell>
          <cell r="D4986">
            <v>0</v>
          </cell>
          <cell r="E4986">
            <v>0</v>
          </cell>
          <cell r="F4986">
            <v>1</v>
          </cell>
          <cell r="H4986">
            <v>0</v>
          </cell>
          <cell r="O4986">
            <v>343976</v>
          </cell>
          <cell r="P4986"/>
          <cell r="Q4986" t="str">
            <v>EST LIVRO COPACABANA - CAFI</v>
          </cell>
          <cell r="R4986"/>
          <cell r="S4986"/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 t="str">
            <v>EST LIVRO COPACABANA - CAFI - Ø0x0H</v>
          </cell>
          <cell r="Y4986">
            <v>156.80000000000001</v>
          </cell>
          <cell r="Z4986">
            <v>0.35</v>
          </cell>
          <cell r="AA4986">
            <v>101.92000000000002</v>
          </cell>
          <cell r="AB4986"/>
        </row>
        <row r="4987">
          <cell r="C4987">
            <v>0</v>
          </cell>
          <cell r="D4987">
            <v>0</v>
          </cell>
          <cell r="E4987">
            <v>0</v>
          </cell>
          <cell r="F4987">
            <v>1</v>
          </cell>
          <cell r="H4987">
            <v>0</v>
          </cell>
          <cell r="O4987">
            <v>343977</v>
          </cell>
          <cell r="P4987"/>
          <cell r="Q4987" t="str">
            <v>EST LIVRO GABRIEL WICKBOLD - WICKBOLD</v>
          </cell>
          <cell r="R4987"/>
          <cell r="S4987"/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 t="str">
            <v>EST LIVRO GABRIEL WICKBOLD - WICKBOLD - Ø0x0H</v>
          </cell>
          <cell r="Y4987">
            <v>1097.5999999999999</v>
          </cell>
          <cell r="Z4987">
            <v>0.35</v>
          </cell>
          <cell r="AA4987">
            <v>713.43999999999994</v>
          </cell>
          <cell r="AB4987"/>
        </row>
        <row r="4988">
          <cell r="C4988">
            <v>0</v>
          </cell>
          <cell r="D4988">
            <v>0</v>
          </cell>
          <cell r="E4988">
            <v>0</v>
          </cell>
          <cell r="F4988">
            <v>1</v>
          </cell>
          <cell r="H4988">
            <v>0</v>
          </cell>
          <cell r="O4988">
            <v>343978</v>
          </cell>
          <cell r="P4988"/>
          <cell r="Q4988" t="str">
            <v>EST LIVRO GENEVIEVE NAYLOR - ERMAKOFF GEORGE</v>
          </cell>
          <cell r="R4988"/>
          <cell r="S4988"/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 t="str">
            <v>EST LIVRO GENEVIEVE NAYLOR - ERMAKOFF GEORGE - Ø0x0H</v>
          </cell>
          <cell r="Y4988">
            <v>373.18</v>
          </cell>
          <cell r="Z4988">
            <v>0.35</v>
          </cell>
          <cell r="AA4988">
            <v>242.56700000000001</v>
          </cell>
          <cell r="AB4988"/>
        </row>
        <row r="4989">
          <cell r="C4989">
            <v>0</v>
          </cell>
          <cell r="D4989">
            <v>0</v>
          </cell>
          <cell r="E4989">
            <v>0</v>
          </cell>
          <cell r="F4989">
            <v>1</v>
          </cell>
          <cell r="H4989">
            <v>0</v>
          </cell>
          <cell r="O4989">
            <v>343979</v>
          </cell>
          <cell r="P4989"/>
          <cell r="Q4989" t="str">
            <v>EST LIVRO HISTORIA DAS AGUAS RIO NEGRO - ADRIANO GAMBARINI</v>
          </cell>
          <cell r="R4989"/>
          <cell r="S4989"/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 t="str">
            <v>EST LIVRO HISTORIA DAS AGUAS RIO NEGRO - ADRIANO GAMBARINI - Ø0x0H</v>
          </cell>
          <cell r="Y4989">
            <v>470.4</v>
          </cell>
          <cell r="Z4989">
            <v>0.35</v>
          </cell>
          <cell r="AA4989">
            <v>305.76</v>
          </cell>
          <cell r="AB4989"/>
        </row>
        <row r="4990">
          <cell r="C4990">
            <v>0</v>
          </cell>
          <cell r="D4990">
            <v>0</v>
          </cell>
          <cell r="E4990">
            <v>0</v>
          </cell>
          <cell r="F4990">
            <v>1</v>
          </cell>
          <cell r="H4990">
            <v>0</v>
          </cell>
          <cell r="O4990">
            <v>343980</v>
          </cell>
          <cell r="P4990"/>
          <cell r="Q4990" t="str">
            <v>EST LIVRO ICONOGRAFIA DAS AVES DO BRASIL: BIOMA CERRADO</v>
          </cell>
          <cell r="R4990"/>
          <cell r="S4990"/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 t="str">
            <v>EST LIVRO ICONOGRAFIA DAS AVES DO BRASIL: BIOMA CERRADO - Ø0x0H</v>
          </cell>
          <cell r="Y4990">
            <v>874.94</v>
          </cell>
          <cell r="Z4990">
            <v>0.35</v>
          </cell>
          <cell r="AA4990">
            <v>568.71100000000001</v>
          </cell>
          <cell r="AB4990"/>
        </row>
        <row r="4991">
          <cell r="C4991">
            <v>0</v>
          </cell>
          <cell r="D4991">
            <v>0</v>
          </cell>
          <cell r="E4991">
            <v>0</v>
          </cell>
          <cell r="F4991">
            <v>1</v>
          </cell>
          <cell r="H4991">
            <v>0</v>
          </cell>
          <cell r="O4991">
            <v>343981</v>
          </cell>
          <cell r="P4991"/>
          <cell r="Q4991" t="str">
            <v>EST LIVRO JUN SAKAMOTO-O VIRTUOSE DO SUSHI</v>
          </cell>
          <cell r="R4991"/>
          <cell r="S4991"/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 t="str">
            <v>EST LIVRO JUN SAKAMOTO-O VIRTUOSE DO SUSHI - Ø0x0H</v>
          </cell>
          <cell r="Y4991">
            <v>548.79999999999995</v>
          </cell>
          <cell r="Z4991">
            <v>0.35</v>
          </cell>
          <cell r="AA4991">
            <v>356.71999999999997</v>
          </cell>
          <cell r="AB4991"/>
        </row>
        <row r="4992">
          <cell r="C4992">
            <v>0</v>
          </cell>
          <cell r="D4992">
            <v>0</v>
          </cell>
          <cell r="E4992">
            <v>0</v>
          </cell>
          <cell r="F4992">
            <v>2</v>
          </cell>
          <cell r="H4992">
            <v>0</v>
          </cell>
          <cell r="O4992">
            <v>343982</v>
          </cell>
          <cell r="P4992"/>
          <cell r="Q4992" t="str">
            <v>EST LIVRO LASAR SEGALL (1889-1957)</v>
          </cell>
          <cell r="R4992"/>
          <cell r="S4992"/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 t="str">
            <v>EST LIVRO LASAR SEGALL (1889-1957) - Ø0x0H</v>
          </cell>
          <cell r="Y4992">
            <v>156.80000000000001</v>
          </cell>
          <cell r="Z4992">
            <v>0.35</v>
          </cell>
          <cell r="AA4992">
            <v>101.92000000000002</v>
          </cell>
          <cell r="AB4992"/>
        </row>
        <row r="4993">
          <cell r="C4993">
            <v>0</v>
          </cell>
          <cell r="D4993">
            <v>0</v>
          </cell>
          <cell r="E4993">
            <v>0</v>
          </cell>
          <cell r="F4993">
            <v>2</v>
          </cell>
          <cell r="H4993">
            <v>0</v>
          </cell>
          <cell r="O4993">
            <v>343983</v>
          </cell>
          <cell r="P4993"/>
          <cell r="Q4993" t="str">
            <v>EST LIVRO LASAR SEGALL (1891-1957) OBRAS SOBRE PAPEL</v>
          </cell>
          <cell r="R4993"/>
          <cell r="S4993"/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 t="str">
            <v>EST LIVRO LASAR SEGALL (1891-1957) OBRAS SOBRE PAPEL - Ø0x0H</v>
          </cell>
          <cell r="Y4993">
            <v>279.10000000000002</v>
          </cell>
          <cell r="Z4993">
            <v>0.35</v>
          </cell>
          <cell r="AA4993">
            <v>181.41500000000002</v>
          </cell>
          <cell r="AB4993"/>
        </row>
        <row r="4994">
          <cell r="C4994">
            <v>0</v>
          </cell>
          <cell r="D4994">
            <v>0</v>
          </cell>
          <cell r="E4994">
            <v>0</v>
          </cell>
          <cell r="F4994">
            <v>1</v>
          </cell>
          <cell r="H4994">
            <v>0</v>
          </cell>
          <cell r="O4994">
            <v>343984</v>
          </cell>
          <cell r="P4994"/>
          <cell r="Q4994" t="str">
            <v>EST LIVRO MARCELO MOSCHETA - MOSCHETA</v>
          </cell>
          <cell r="R4994"/>
          <cell r="S4994"/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 t="str">
            <v>EST LIVRO MARCELO MOSCHETA - MOSCHETA - Ø0x0H</v>
          </cell>
          <cell r="Y4994">
            <v>282.24</v>
          </cell>
          <cell r="Z4994">
            <v>0.35</v>
          </cell>
          <cell r="AA4994">
            <v>183.45600000000002</v>
          </cell>
          <cell r="AB4994"/>
        </row>
        <row r="4995">
          <cell r="C4995">
            <v>0</v>
          </cell>
          <cell r="D4995">
            <v>0</v>
          </cell>
          <cell r="E4995">
            <v>0</v>
          </cell>
          <cell r="F4995">
            <v>1</v>
          </cell>
          <cell r="H4995">
            <v>0</v>
          </cell>
          <cell r="O4995">
            <v>343985</v>
          </cell>
          <cell r="P4995"/>
          <cell r="Q4995" t="str">
            <v>EST LIVRO MINAS EM FOCO - MARCIO CARVALHO</v>
          </cell>
          <cell r="R4995"/>
          <cell r="S4995"/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 t="str">
            <v>EST LIVRO MINAS EM FOCO - MARCIO CARVALHO - Ø0x0H</v>
          </cell>
          <cell r="Y4995">
            <v>439.04</v>
          </cell>
          <cell r="Z4995">
            <v>0.35</v>
          </cell>
          <cell r="AA4995">
            <v>285.37600000000003</v>
          </cell>
          <cell r="AB4995"/>
        </row>
        <row r="4996">
          <cell r="C4996">
            <v>0</v>
          </cell>
          <cell r="D4996">
            <v>0</v>
          </cell>
          <cell r="E4996">
            <v>0</v>
          </cell>
          <cell r="F4996">
            <v>2</v>
          </cell>
          <cell r="H4996">
            <v>0</v>
          </cell>
          <cell r="O4996">
            <v>343986</v>
          </cell>
          <cell r="P4996"/>
          <cell r="Q4996" t="str">
            <v>EST LIVRO O LIVRO DA MATEMATICA - KINDERSLEY</v>
          </cell>
          <cell r="R4996"/>
          <cell r="S4996"/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 t="str">
            <v>EST LIVRO O LIVRO DA MATEMATICA - KINDERSLEY - Ø0x0H</v>
          </cell>
          <cell r="Y4996">
            <v>247.74</v>
          </cell>
          <cell r="Z4996">
            <v>0.35</v>
          </cell>
          <cell r="AA4996">
            <v>161.03100000000001</v>
          </cell>
          <cell r="AB4996"/>
        </row>
        <row r="4997">
          <cell r="C4997">
            <v>0</v>
          </cell>
          <cell r="D4997">
            <v>0</v>
          </cell>
          <cell r="E4997">
            <v>0</v>
          </cell>
          <cell r="F4997">
            <v>1</v>
          </cell>
          <cell r="H4997">
            <v>0</v>
          </cell>
          <cell r="O4997">
            <v>343987</v>
          </cell>
          <cell r="P4997"/>
          <cell r="Q4997" t="str">
            <v>EST LIVRO PAO DA PAZ -RECEITAS DE PAISES MEMBROS DA ONU</v>
          </cell>
          <cell r="R4997"/>
          <cell r="S4997"/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 t="str">
            <v>EST LIVRO PAO DA PAZ -RECEITAS DE PAISES MEMBROS DA ONU - Ø0x0H</v>
          </cell>
          <cell r="Y4997">
            <v>624.05999999999995</v>
          </cell>
          <cell r="Z4997">
            <v>0.35</v>
          </cell>
          <cell r="AA4997">
            <v>405.63900000000001</v>
          </cell>
          <cell r="AB4997"/>
        </row>
        <row r="4998">
          <cell r="C4998">
            <v>0</v>
          </cell>
          <cell r="D4998">
            <v>0</v>
          </cell>
          <cell r="E4998">
            <v>0</v>
          </cell>
          <cell r="F4998">
            <v>1</v>
          </cell>
          <cell r="H4998">
            <v>0</v>
          </cell>
          <cell r="O4998">
            <v>343988</v>
          </cell>
          <cell r="P4998"/>
          <cell r="Q4998" t="str">
            <v>EST LIVRO PIERRE VERGER - GOMES</v>
          </cell>
          <cell r="R4998"/>
          <cell r="S4998"/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 t="str">
            <v>EST LIVRO PIERRE VERGER - GOMES - Ø0x0H</v>
          </cell>
          <cell r="Y4998">
            <v>376.32</v>
          </cell>
          <cell r="Z4998">
            <v>0.35</v>
          </cell>
          <cell r="AA4998">
            <v>244.608</v>
          </cell>
          <cell r="AB4998"/>
        </row>
        <row r="4999">
          <cell r="C4999">
            <v>0</v>
          </cell>
          <cell r="D4999">
            <v>0</v>
          </cell>
          <cell r="E4999">
            <v>0</v>
          </cell>
          <cell r="F4999">
            <v>2</v>
          </cell>
          <cell r="H4999">
            <v>0</v>
          </cell>
          <cell r="O4999">
            <v>343989</v>
          </cell>
          <cell r="P4999"/>
          <cell r="Q4999" t="str">
            <v>EST LIVRO RONALDO BARBOSA: 40 ANOS DE ARTE E DESIGN</v>
          </cell>
          <cell r="R4999"/>
          <cell r="S4999"/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 t="str">
            <v>EST LIVRO RONALDO BARBOSA: 40 ANOS DE ARTE E DESIGN - Ø0x0H</v>
          </cell>
          <cell r="Y4999">
            <v>627.20000000000005</v>
          </cell>
          <cell r="Z4999">
            <v>0.35</v>
          </cell>
          <cell r="AA4999">
            <v>407.68000000000006</v>
          </cell>
          <cell r="AB4999"/>
        </row>
        <row r="5000">
          <cell r="C5000">
            <v>0</v>
          </cell>
          <cell r="D5000">
            <v>0</v>
          </cell>
          <cell r="E5000">
            <v>0</v>
          </cell>
          <cell r="F5000">
            <v>1</v>
          </cell>
          <cell r="H5000">
            <v>0</v>
          </cell>
          <cell r="O5000">
            <v>343990</v>
          </cell>
          <cell r="P5000"/>
          <cell r="Q5000" t="str">
            <v>EST LIVRO TIRADENTES - TIRADENTES</v>
          </cell>
          <cell r="R5000"/>
          <cell r="S5000"/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 t="str">
            <v>EST LIVRO TIRADENTES - TIRADENTES - Ø0x0H</v>
          </cell>
          <cell r="Y5000">
            <v>196</v>
          </cell>
          <cell r="Z5000">
            <v>0.35</v>
          </cell>
          <cell r="AA5000">
            <v>127.4</v>
          </cell>
          <cell r="AB5000"/>
        </row>
        <row r="5001">
          <cell r="C5001">
            <v>0</v>
          </cell>
          <cell r="D5001">
            <v>0</v>
          </cell>
          <cell r="E5001">
            <v>0</v>
          </cell>
          <cell r="F5001">
            <v>1</v>
          </cell>
          <cell r="H5001">
            <v>0</v>
          </cell>
          <cell r="O5001">
            <v>343991</v>
          </cell>
          <cell r="P5001"/>
          <cell r="Q5001" t="str">
            <v>EST LIVRO UMA OUTRA MISSAO FRANCESA 1917-1918</v>
          </cell>
          <cell r="R5001"/>
          <cell r="S5001"/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 t="str">
            <v>EST LIVRO UMA OUTRA MISSAO FRANCESA 1917-1918 - Ø0x0H</v>
          </cell>
          <cell r="Y5001">
            <v>282.24</v>
          </cell>
          <cell r="Z5001">
            <v>0.35</v>
          </cell>
          <cell r="AA5001">
            <v>183.45600000000002</v>
          </cell>
          <cell r="AB5001"/>
        </row>
        <row r="5002">
          <cell r="C5002">
            <v>0</v>
          </cell>
          <cell r="D5002">
            <v>0</v>
          </cell>
          <cell r="E5002">
            <v>0</v>
          </cell>
          <cell r="F5002">
            <v>3</v>
          </cell>
          <cell r="H5002">
            <v>0</v>
          </cell>
          <cell r="O5002">
            <v>343992</v>
          </cell>
          <cell r="P5002" t="str">
            <v>2022/208-0090-01</v>
          </cell>
          <cell r="Q5002" t="str">
            <v>EST LIVRO VICTOR BRECHERET 1894-1955 - CHIARELLI</v>
          </cell>
          <cell r="R5002"/>
          <cell r="S5002"/>
          <cell r="T5002">
            <v>0</v>
          </cell>
          <cell r="U5002">
            <v>0</v>
          </cell>
          <cell r="V5002">
            <v>0</v>
          </cell>
          <cell r="W5002">
            <v>0</v>
          </cell>
          <cell r="X5002" t="str">
            <v>EST LIVRO VICTOR BRECHERET 1894-1955 - CHIARELLI - Ø0x0H</v>
          </cell>
          <cell r="Y5002">
            <v>250.88</v>
          </cell>
          <cell r="Z5002">
            <v>0.35</v>
          </cell>
          <cell r="AA5002">
            <v>163.072</v>
          </cell>
          <cell r="AB5002"/>
        </row>
        <row r="5003">
          <cell r="C5003">
            <v>0</v>
          </cell>
          <cell r="D5003">
            <v>0</v>
          </cell>
          <cell r="E5003">
            <v>0</v>
          </cell>
          <cell r="F5003">
            <v>3</v>
          </cell>
          <cell r="H5003">
            <v>0</v>
          </cell>
          <cell r="O5003">
            <v>343992</v>
          </cell>
          <cell r="P5003" t="str">
            <v>2022/208-0091-01</v>
          </cell>
          <cell r="Q5003" t="str">
            <v>EST LIVRO VICTOR BRECHERET 1894-1955 - CHIARELLI</v>
          </cell>
          <cell r="R5003"/>
          <cell r="S5003"/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 t="str">
            <v>EST LIVRO VICTOR BRECHERET 1894-1955 - CHIARELLI - Ø0x0H</v>
          </cell>
          <cell r="Y5003">
            <v>250.88</v>
          </cell>
          <cell r="Z5003">
            <v>0.35</v>
          </cell>
          <cell r="AA5003">
            <v>163.072</v>
          </cell>
          <cell r="AB5003"/>
        </row>
        <row r="5004">
          <cell r="C5004">
            <v>0</v>
          </cell>
          <cell r="D5004">
            <v>0</v>
          </cell>
          <cell r="E5004">
            <v>0</v>
          </cell>
          <cell r="F5004">
            <v>3</v>
          </cell>
          <cell r="H5004">
            <v>0</v>
          </cell>
          <cell r="O5004">
            <v>343992</v>
          </cell>
          <cell r="P5004" t="str">
            <v>2022/208-0092-01</v>
          </cell>
          <cell r="Q5004" t="str">
            <v>EST LIVRO VICTOR BRECHERET 1894-1955 - CHIARELLI</v>
          </cell>
          <cell r="R5004"/>
          <cell r="S5004"/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 t="str">
            <v>EST LIVRO VICTOR BRECHERET 1894-1955 - CHIARELLI - Ø0x0H</v>
          </cell>
          <cell r="Y5004">
            <v>250.88</v>
          </cell>
          <cell r="Z5004">
            <v>0.35</v>
          </cell>
          <cell r="AA5004">
            <v>163.072</v>
          </cell>
          <cell r="AB5004"/>
        </row>
        <row r="5005">
          <cell r="C5005">
            <v>0</v>
          </cell>
          <cell r="D5005">
            <v>0</v>
          </cell>
          <cell r="E5005">
            <v>0</v>
          </cell>
          <cell r="F5005">
            <v>1</v>
          </cell>
          <cell r="H5005">
            <v>0</v>
          </cell>
          <cell r="O5005">
            <v>343993</v>
          </cell>
          <cell r="P5005"/>
          <cell r="Q5005" t="str">
            <v>EST LIVRO VINICIUS DE MORAES - POETA DENTRO DA VIDA</v>
          </cell>
          <cell r="R5005"/>
          <cell r="S5005"/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 t="str">
            <v>EST LIVRO VINICIUS DE MORAES - POETA DENTRO DA VIDA - Ø0x0H</v>
          </cell>
          <cell r="Y5005">
            <v>376.32</v>
          </cell>
          <cell r="Z5005">
            <v>0.35</v>
          </cell>
          <cell r="AA5005">
            <v>244.608</v>
          </cell>
          <cell r="AB5005"/>
        </row>
        <row r="5006">
          <cell r="C5006">
            <v>0</v>
          </cell>
          <cell r="D5006">
            <v>0</v>
          </cell>
          <cell r="E5006">
            <v>0</v>
          </cell>
          <cell r="F5006">
            <v>1</v>
          </cell>
          <cell r="H5006">
            <v>0</v>
          </cell>
          <cell r="O5006">
            <v>343994</v>
          </cell>
          <cell r="P5006"/>
          <cell r="Q5006" t="str">
            <v>EST LIVRO VITALINO E VERGER ARTE DO BARRO E O OLHAR DA ARTE</v>
          </cell>
          <cell r="R5006"/>
          <cell r="S5006"/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 t="str">
            <v>EST LIVRO VITALINO E VERGER ARTE DO BARRO E O OLHAR DA ARTE - Ø0x0H</v>
          </cell>
          <cell r="Y5006">
            <v>219.52</v>
          </cell>
          <cell r="Z5006">
            <v>0.35</v>
          </cell>
          <cell r="AA5006">
            <v>142.68800000000002</v>
          </cell>
          <cell r="AB5006"/>
        </row>
        <row r="5007">
          <cell r="C5007">
            <v>0</v>
          </cell>
          <cell r="D5007">
            <v>0</v>
          </cell>
          <cell r="E5007">
            <v>0</v>
          </cell>
          <cell r="F5007">
            <v>0</v>
          </cell>
          <cell r="H5007">
            <v>1</v>
          </cell>
          <cell r="O5007">
            <v>349986</v>
          </cell>
          <cell r="P5007"/>
          <cell r="Q5007" t="str">
            <v>EST CAPA ENCOSTO RETO LENCOIS M (DET MR5) FX7621</v>
          </cell>
          <cell r="R5007"/>
          <cell r="S5007"/>
          <cell r="T5007">
            <v>0.7</v>
          </cell>
          <cell r="U5007">
            <v>0.26</v>
          </cell>
          <cell r="V5007">
            <v>0.26</v>
          </cell>
          <cell r="W5007">
            <v>0</v>
          </cell>
          <cell r="X5007" t="str">
            <v>EST CAPA ENCOSTO RETO LENCOIS M (DET MR5) FX7621 - 0,7x0,26x0,26H</v>
          </cell>
          <cell r="Y5007" t="e">
            <v>#VALUE!</v>
          </cell>
          <cell r="Z5007">
            <v>0.35</v>
          </cell>
          <cell r="AA5007" t="e">
            <v>#VALUE!</v>
          </cell>
          <cell r="AB5007"/>
        </row>
        <row r="5008">
          <cell r="C5008">
            <v>0</v>
          </cell>
          <cell r="D5008">
            <v>0</v>
          </cell>
          <cell r="E5008">
            <v>0</v>
          </cell>
          <cell r="F5008">
            <v>0</v>
          </cell>
          <cell r="H5008">
            <v>2</v>
          </cell>
          <cell r="O5008">
            <v>351423</v>
          </cell>
          <cell r="P5008"/>
          <cell r="Q5008" t="str">
            <v>EST ACESSORIO VASO VIDRO GOYA</v>
          </cell>
          <cell r="R5008"/>
          <cell r="S5008"/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 t="str">
            <v>EST ACESSORIO VASO VIDRO GOYA - Ø0x0H</v>
          </cell>
          <cell r="Y5008" t="e">
            <v>#VALUE!</v>
          </cell>
          <cell r="Z5008">
            <v>0.35</v>
          </cell>
          <cell r="AA5008" t="e">
            <v>#VALUE!</v>
          </cell>
          <cell r="AB5008"/>
        </row>
        <row r="5009">
          <cell r="C5009">
            <v>0</v>
          </cell>
          <cell r="D5009">
            <v>0</v>
          </cell>
          <cell r="E5009">
            <v>0</v>
          </cell>
          <cell r="F5009">
            <v>0</v>
          </cell>
          <cell r="H5009">
            <v>2</v>
          </cell>
          <cell r="O5009">
            <v>351424</v>
          </cell>
          <cell r="P5009"/>
          <cell r="Q5009" t="str">
            <v>EST ACESSORIO VASO CERAMICA CLAY II</v>
          </cell>
          <cell r="R5009"/>
          <cell r="S5009"/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 t="str">
            <v>EST ACESSORIO VASO CERAMICA CLAY II - Ø0x0H</v>
          </cell>
          <cell r="Y5009" t="e">
            <v>#VALUE!</v>
          </cell>
          <cell r="Z5009">
            <v>0.35</v>
          </cell>
          <cell r="AA5009" t="e">
            <v>#VALUE!</v>
          </cell>
          <cell r="AB5009"/>
        </row>
        <row r="5010">
          <cell r="C5010">
            <v>0</v>
          </cell>
          <cell r="D5010">
            <v>0</v>
          </cell>
          <cell r="E5010">
            <v>0</v>
          </cell>
          <cell r="F5010">
            <v>1</v>
          </cell>
          <cell r="H5010">
            <v>0</v>
          </cell>
          <cell r="O5010">
            <v>351677</v>
          </cell>
          <cell r="P5010" t="str">
            <v>2022/242-0009-01</v>
          </cell>
          <cell r="Q5010" t="str">
            <v>EST ALMOFADA CLAMI 1 (PLUMA SINT) (BISTROL AMARELO/CINZA)</v>
          </cell>
          <cell r="R5010"/>
          <cell r="S5010"/>
          <cell r="T5010">
            <v>0.7</v>
          </cell>
          <cell r="U5010">
            <v>0.3</v>
          </cell>
          <cell r="V5010">
            <v>0.15</v>
          </cell>
          <cell r="W5010">
            <v>0</v>
          </cell>
          <cell r="X5010" t="str">
            <v>EST ALMOFADA CLAMI 1 (PLUMA SINT) (BISTROL AMARELO/CINZA) - 0,7x0,3x0,15H</v>
          </cell>
          <cell r="Y5010">
            <v>770.52</v>
          </cell>
          <cell r="Z5010">
            <v>0.35</v>
          </cell>
          <cell r="AA5010">
            <v>500.83800000000002</v>
          </cell>
          <cell r="AB5010"/>
        </row>
        <row r="5011">
          <cell r="C5011">
            <v>0</v>
          </cell>
          <cell r="D5011">
            <v>0</v>
          </cell>
          <cell r="E5011">
            <v>0</v>
          </cell>
          <cell r="F5011">
            <v>1</v>
          </cell>
          <cell r="H5011">
            <v>0</v>
          </cell>
          <cell r="O5011">
            <v>351678</v>
          </cell>
          <cell r="P5011"/>
          <cell r="Q5011" t="str">
            <v>EST ALMOFADA CLAMI 1 (PLUMA SINT) (BISTROL AMARELO/CINZA)</v>
          </cell>
          <cell r="R5011"/>
          <cell r="S5011"/>
          <cell r="T5011">
            <v>0.6</v>
          </cell>
          <cell r="U5011">
            <v>0.25</v>
          </cell>
          <cell r="V5011">
            <v>0.15</v>
          </cell>
          <cell r="W5011">
            <v>0</v>
          </cell>
          <cell r="X5011" t="str">
            <v>EST ALMOFADA CLAMI 1 (PLUMA SINT) (BISTROL AMARELO/CINZA) - 0,6x0,25x0,15H</v>
          </cell>
          <cell r="Y5011">
            <v>550.37</v>
          </cell>
          <cell r="Z5011">
            <v>0.35</v>
          </cell>
          <cell r="AA5011">
            <v>357.7405</v>
          </cell>
          <cell r="AB5011"/>
        </row>
        <row r="5012">
          <cell r="C5012">
            <v>0</v>
          </cell>
          <cell r="D5012">
            <v>0</v>
          </cell>
          <cell r="E5012">
            <v>0</v>
          </cell>
          <cell r="F5012">
            <v>2</v>
          </cell>
          <cell r="H5012">
            <v>0</v>
          </cell>
          <cell r="O5012">
            <v>351688</v>
          </cell>
          <cell r="P5012" t="str">
            <v>2022/242-0019-01</v>
          </cell>
          <cell r="Q5012" t="str">
            <v>EST ALMOFADA CLAMI 1 (PLUMA SINT) (BISTROL NUVEM/CINZA)</v>
          </cell>
          <cell r="R5012"/>
          <cell r="S5012"/>
          <cell r="T5012">
            <v>0.7</v>
          </cell>
          <cell r="U5012">
            <v>0.3</v>
          </cell>
          <cell r="V5012">
            <v>0.15</v>
          </cell>
          <cell r="W5012">
            <v>0</v>
          </cell>
          <cell r="X5012" t="str">
            <v>EST ALMOFADA CLAMI 1 (PLUMA SINT) (BISTROL NUVEM/CINZA) - 0,7x0,3x0,15H</v>
          </cell>
          <cell r="Y5012">
            <v>770.52</v>
          </cell>
          <cell r="Z5012">
            <v>0.35</v>
          </cell>
          <cell r="AA5012">
            <v>500.83800000000002</v>
          </cell>
          <cell r="AB5012"/>
        </row>
        <row r="5013">
          <cell r="C5013">
            <v>0</v>
          </cell>
          <cell r="D5013">
            <v>0</v>
          </cell>
          <cell r="E5013">
            <v>0</v>
          </cell>
          <cell r="F5013">
            <v>2</v>
          </cell>
          <cell r="H5013">
            <v>0</v>
          </cell>
          <cell r="O5013">
            <v>351688</v>
          </cell>
          <cell r="P5013" t="str">
            <v>2022/242-0020-01</v>
          </cell>
          <cell r="Q5013" t="str">
            <v>EST ALMOFADA CLAMI 1 (PLUMA SINT) (BISTROL NUVEM/CINZA)</v>
          </cell>
          <cell r="R5013"/>
          <cell r="S5013"/>
          <cell r="T5013">
            <v>0.7</v>
          </cell>
          <cell r="U5013">
            <v>0.3</v>
          </cell>
          <cell r="V5013">
            <v>0.15</v>
          </cell>
          <cell r="W5013">
            <v>0</v>
          </cell>
          <cell r="X5013" t="str">
            <v>EST ALMOFADA CLAMI 1 (PLUMA SINT) (BISTROL NUVEM/CINZA) - 0,7x0,3x0,15H</v>
          </cell>
          <cell r="Y5013">
            <v>770.52</v>
          </cell>
          <cell r="Z5013">
            <v>0.35</v>
          </cell>
          <cell r="AA5013">
            <v>500.83800000000002</v>
          </cell>
          <cell r="AB5013"/>
        </row>
        <row r="5014">
          <cell r="C5014">
            <v>0</v>
          </cell>
          <cell r="D5014">
            <v>0</v>
          </cell>
          <cell r="E5014">
            <v>0</v>
          </cell>
          <cell r="F5014">
            <v>2</v>
          </cell>
          <cell r="H5014">
            <v>0</v>
          </cell>
          <cell r="O5014">
            <v>351696</v>
          </cell>
          <cell r="P5014" t="str">
            <v>2022/242-0035-01</v>
          </cell>
          <cell r="Q5014" t="str">
            <v>EST ALMOFADA CLAMI 2 (PLUMA SINT) (BISTROL NUVEM/CINZA)</v>
          </cell>
          <cell r="R5014"/>
          <cell r="S5014"/>
          <cell r="T5014">
            <v>0.7</v>
          </cell>
          <cell r="U5014">
            <v>0.3</v>
          </cell>
          <cell r="V5014">
            <v>0.15</v>
          </cell>
          <cell r="W5014">
            <v>0</v>
          </cell>
          <cell r="X5014" t="str">
            <v>EST ALMOFADA CLAMI 2 (PLUMA SINT) (BISTROL NUVEM/CINZA) - 0,7x0,3x0,15H</v>
          </cell>
          <cell r="Y5014">
            <v>770.52</v>
          </cell>
          <cell r="Z5014">
            <v>0.35</v>
          </cell>
          <cell r="AA5014">
            <v>500.83800000000002</v>
          </cell>
          <cell r="AB5014"/>
        </row>
        <row r="5015">
          <cell r="C5015">
            <v>0</v>
          </cell>
          <cell r="D5015">
            <v>0</v>
          </cell>
          <cell r="E5015">
            <v>0</v>
          </cell>
          <cell r="F5015">
            <v>2</v>
          </cell>
          <cell r="H5015">
            <v>0</v>
          </cell>
          <cell r="O5015">
            <v>351696</v>
          </cell>
          <cell r="P5015"/>
          <cell r="Q5015" t="str">
            <v>EST ALMOFADA CLAMI 2 (PLUMA SINT) (BISTROL NUVEM/CINZA)</v>
          </cell>
          <cell r="R5015"/>
          <cell r="S5015"/>
          <cell r="T5015">
            <v>0.7</v>
          </cell>
          <cell r="U5015">
            <v>0.3</v>
          </cell>
          <cell r="V5015">
            <v>0.15</v>
          </cell>
          <cell r="W5015">
            <v>0</v>
          </cell>
          <cell r="X5015" t="str">
            <v>EST ALMOFADA CLAMI 2 (PLUMA SINT) (BISTROL NUVEM/CINZA) - 0,7x0,3x0,15H</v>
          </cell>
          <cell r="Y5015">
            <v>770.52</v>
          </cell>
          <cell r="Z5015">
            <v>0.35</v>
          </cell>
          <cell r="AA5015">
            <v>500.83800000000002</v>
          </cell>
          <cell r="AB5015"/>
        </row>
        <row r="5016">
          <cell r="C5016">
            <v>0</v>
          </cell>
          <cell r="D5016">
            <v>0</v>
          </cell>
          <cell r="E5016">
            <v>0</v>
          </cell>
          <cell r="F5016">
            <v>1</v>
          </cell>
          <cell r="H5016">
            <v>0</v>
          </cell>
          <cell r="O5016">
            <v>351710</v>
          </cell>
          <cell r="P5016"/>
          <cell r="Q5016" t="str">
            <v>EST ALMOFADA CLAMI 1 (PLUMA SINT) (PALLA CINZA/CINZA)</v>
          </cell>
          <cell r="R5016"/>
          <cell r="S5016"/>
          <cell r="T5016">
            <v>0.7</v>
          </cell>
          <cell r="U5016">
            <v>0.3</v>
          </cell>
          <cell r="V5016">
            <v>0.15</v>
          </cell>
          <cell r="W5016">
            <v>0</v>
          </cell>
          <cell r="X5016" t="str">
            <v>EST ALMOFADA CLAMI 1 (PLUMA SINT) (PALLA CINZA/CINZA) - 0,7x0,3x0,15H</v>
          </cell>
          <cell r="Y5016">
            <v>770.52</v>
          </cell>
          <cell r="Z5016">
            <v>0.35</v>
          </cell>
          <cell r="AA5016">
            <v>500.83800000000002</v>
          </cell>
          <cell r="AB5016"/>
        </row>
        <row r="5017">
          <cell r="C5017">
            <v>0</v>
          </cell>
          <cell r="D5017">
            <v>0</v>
          </cell>
          <cell r="E5017">
            <v>0</v>
          </cell>
          <cell r="F5017">
            <v>1</v>
          </cell>
          <cell r="H5017">
            <v>0</v>
          </cell>
          <cell r="O5017">
            <v>351711</v>
          </cell>
          <cell r="P5017"/>
          <cell r="Q5017" t="str">
            <v>EST ALMOFADA CLAMI 1 (PLUMA SINT) (PALLA CINZA/CINZA)</v>
          </cell>
          <cell r="R5017"/>
          <cell r="S5017"/>
          <cell r="T5017">
            <v>0.6</v>
          </cell>
          <cell r="U5017">
            <v>0.25</v>
          </cell>
          <cell r="V5017">
            <v>0.15</v>
          </cell>
          <cell r="W5017">
            <v>0</v>
          </cell>
          <cell r="X5017" t="str">
            <v>EST ALMOFADA CLAMI 1 (PLUMA SINT) (PALLA CINZA/CINZA) - 0,6x0,25x0,15H</v>
          </cell>
          <cell r="Y5017">
            <v>550.37</v>
          </cell>
          <cell r="Z5017">
            <v>0.35</v>
          </cell>
          <cell r="AA5017">
            <v>357.7405</v>
          </cell>
          <cell r="AB5017"/>
        </row>
        <row r="5018">
          <cell r="C5018">
            <v>0</v>
          </cell>
          <cell r="D5018">
            <v>0</v>
          </cell>
          <cell r="E5018">
            <v>0</v>
          </cell>
          <cell r="F5018">
            <v>2</v>
          </cell>
          <cell r="H5018">
            <v>0</v>
          </cell>
          <cell r="O5018">
            <v>351723</v>
          </cell>
          <cell r="P5018" t="str">
            <v>2022/242-0077-01</v>
          </cell>
          <cell r="Q5018" t="str">
            <v>EST ALMOFADA CLAMI 2 (PLUMA SINT) (MAQUINETADO CRU/PRETO)</v>
          </cell>
          <cell r="R5018"/>
          <cell r="S5018"/>
          <cell r="T5018">
            <v>0.7</v>
          </cell>
          <cell r="U5018">
            <v>0.3</v>
          </cell>
          <cell r="V5018">
            <v>0.15</v>
          </cell>
          <cell r="W5018">
            <v>0</v>
          </cell>
          <cell r="X5018" t="str">
            <v>EST ALMOFADA CLAMI 2 (PLUMA SINT) (MAQUINETADO CRU/PRETO) - 0,7x0,3x0,15H</v>
          </cell>
          <cell r="Y5018">
            <v>770.52</v>
          </cell>
          <cell r="Z5018">
            <v>0.35</v>
          </cell>
          <cell r="AA5018">
            <v>500.83800000000002</v>
          </cell>
          <cell r="AB5018"/>
        </row>
        <row r="5019">
          <cell r="C5019">
            <v>0</v>
          </cell>
          <cell r="D5019">
            <v>0</v>
          </cell>
          <cell r="E5019">
            <v>0</v>
          </cell>
          <cell r="F5019">
            <v>2</v>
          </cell>
          <cell r="H5019">
            <v>0</v>
          </cell>
          <cell r="O5019">
            <v>351723</v>
          </cell>
          <cell r="P5019" t="str">
            <v>2022/242-0078-01</v>
          </cell>
          <cell r="Q5019" t="str">
            <v>EST ALMOFADA CLAMI 2 (PLUMA SINT) (MAQUINETADO CRU/PRETO)</v>
          </cell>
          <cell r="R5019"/>
          <cell r="S5019"/>
          <cell r="T5019">
            <v>0.7</v>
          </cell>
          <cell r="U5019">
            <v>0.3</v>
          </cell>
          <cell r="V5019">
            <v>0.15</v>
          </cell>
          <cell r="W5019">
            <v>0</v>
          </cell>
          <cell r="X5019" t="str">
            <v>EST ALMOFADA CLAMI 2 (PLUMA SINT) (MAQUINETADO CRU/PRETO) - 0,7x0,3x0,15H</v>
          </cell>
          <cell r="Y5019">
            <v>770.52</v>
          </cell>
          <cell r="Z5019">
            <v>0.35</v>
          </cell>
          <cell r="AA5019">
            <v>500.83800000000002</v>
          </cell>
          <cell r="AB5019"/>
        </row>
        <row r="5020">
          <cell r="C5020">
            <v>0</v>
          </cell>
          <cell r="D5020">
            <v>1</v>
          </cell>
          <cell r="E5020">
            <v>0</v>
          </cell>
          <cell r="F5020">
            <v>0</v>
          </cell>
          <cell r="H5020">
            <v>2</v>
          </cell>
          <cell r="O5020">
            <v>354570</v>
          </cell>
          <cell r="P5020" t="str">
            <v>2022/245-0016-01</v>
          </cell>
          <cell r="Q5020" t="str">
            <v>EST TAPETE MATISSE WAVES ROUND 2 (LAT) (10MM) F:1280/D:73</v>
          </cell>
          <cell r="R5020"/>
          <cell r="S5020"/>
          <cell r="T5020">
            <v>3</v>
          </cell>
          <cell r="U5020">
            <v>0</v>
          </cell>
          <cell r="V5020">
            <v>0.01</v>
          </cell>
          <cell r="W5020">
            <v>3</v>
          </cell>
          <cell r="X5020" t="str">
            <v>EST TAPETE MATISSE WAVES ROUND 2 (LAT) (10MM) F:1280/D:73 - Ø3x0,01H</v>
          </cell>
          <cell r="Y5020">
            <v>26046.720000000001</v>
          </cell>
          <cell r="Z5020">
            <v>0.35</v>
          </cell>
          <cell r="AA5020">
            <v>16930.368000000002</v>
          </cell>
          <cell r="AB5020"/>
        </row>
        <row r="5021">
          <cell r="C5021">
            <v>0</v>
          </cell>
          <cell r="D5021">
            <v>0</v>
          </cell>
          <cell r="E5021">
            <v>0</v>
          </cell>
          <cell r="F5021">
            <v>0</v>
          </cell>
          <cell r="H5021">
            <v>1</v>
          </cell>
          <cell r="O5021">
            <v>355669</v>
          </cell>
          <cell r="P5021"/>
          <cell r="Q5021" t="str">
            <v>EST MESA LATERAL JANETE (FREIJO NATURAL)</v>
          </cell>
          <cell r="R5021"/>
          <cell r="S5021"/>
          <cell r="T5021">
            <v>0.6</v>
          </cell>
          <cell r="U5021">
            <v>0</v>
          </cell>
          <cell r="V5021">
            <v>0.6</v>
          </cell>
          <cell r="W5021">
            <v>0.6</v>
          </cell>
          <cell r="X5021" t="str">
            <v>EST MESA LATERAL JANETE (FREIJO NATURAL) - Ø0,6x0,6H</v>
          </cell>
          <cell r="Y5021">
            <v>0</v>
          </cell>
          <cell r="Z5021">
            <v>0.35</v>
          </cell>
          <cell r="AA5021">
            <v>0</v>
          </cell>
          <cell r="AB5021"/>
        </row>
        <row r="5022">
          <cell r="C5022">
            <v>1</v>
          </cell>
          <cell r="D5022">
            <v>1</v>
          </cell>
          <cell r="E5022">
            <v>1</v>
          </cell>
          <cell r="F5022">
            <v>0</v>
          </cell>
          <cell r="H5022">
            <v>0</v>
          </cell>
          <cell r="O5022">
            <v>359591</v>
          </cell>
          <cell r="P5022" t="str">
            <v>2022/347-0001-01</v>
          </cell>
          <cell r="Q5022" t="str">
            <v>EST VASO MATISSE III (OURO VELHO)</v>
          </cell>
          <cell r="R5022"/>
          <cell r="S5022"/>
          <cell r="T5022">
            <v>0.15</v>
          </cell>
          <cell r="U5022">
            <v>0.1</v>
          </cell>
          <cell r="V5022">
            <v>0.16</v>
          </cell>
          <cell r="W5022">
            <v>0</v>
          </cell>
          <cell r="X5022" t="str">
            <v>EST VASO MATISSE III (OURO VELHO) - 0,15x0,1x0,16H</v>
          </cell>
          <cell r="Y5022">
            <v>380.8</v>
          </cell>
          <cell r="Z5022">
            <v>0.5</v>
          </cell>
          <cell r="AA5022">
            <v>190.4</v>
          </cell>
          <cell r="AB5022"/>
        </row>
        <row r="5023">
          <cell r="C5023">
            <v>1</v>
          </cell>
          <cell r="D5023">
            <v>0</v>
          </cell>
          <cell r="E5023">
            <v>0</v>
          </cell>
          <cell r="F5023">
            <v>1</v>
          </cell>
          <cell r="H5023">
            <v>0</v>
          </cell>
          <cell r="O5023">
            <v>359684</v>
          </cell>
          <cell r="P5023" t="str">
            <v>2022/347-0027-01</v>
          </cell>
          <cell r="Q5023" t="str">
            <v>EST VASO MATISSE I (TRANSPARENTE)</v>
          </cell>
          <cell r="R5023"/>
          <cell r="S5023"/>
          <cell r="T5023">
            <v>0.19</v>
          </cell>
          <cell r="U5023">
            <v>0.17</v>
          </cell>
          <cell r="V5023">
            <v>0.28000000000000003</v>
          </cell>
          <cell r="W5023">
            <v>0</v>
          </cell>
          <cell r="X5023" t="str">
            <v>EST VASO MATISSE I (TRANSPARENTE) - 0,19x0,17x0,28H</v>
          </cell>
          <cell r="Y5023">
            <v>582.4</v>
          </cell>
          <cell r="Z5023">
            <v>0.5</v>
          </cell>
          <cell r="AA5023">
            <v>291.2</v>
          </cell>
          <cell r="AB5023"/>
        </row>
        <row r="5024">
          <cell r="C5024">
            <v>1</v>
          </cell>
          <cell r="D5024">
            <v>1</v>
          </cell>
          <cell r="E5024">
            <v>0</v>
          </cell>
          <cell r="F5024">
            <v>1</v>
          </cell>
          <cell r="H5024">
            <v>0</v>
          </cell>
          <cell r="O5024">
            <v>359685</v>
          </cell>
          <cell r="P5024" t="str">
            <v>2022/347-0030-01</v>
          </cell>
          <cell r="Q5024" t="str">
            <v>EST VASO MATISSE II (TRANSPARENTE)</v>
          </cell>
          <cell r="R5024"/>
          <cell r="S5024"/>
          <cell r="T5024">
            <v>0.16</v>
          </cell>
          <cell r="U5024">
            <v>0.14000000000000001</v>
          </cell>
          <cell r="V5024">
            <v>0.24</v>
          </cell>
          <cell r="W5024">
            <v>0</v>
          </cell>
          <cell r="X5024" t="str">
            <v>EST VASO MATISSE II (TRANSPARENTE) - 0,16x0,14x0,24H</v>
          </cell>
          <cell r="Y5024">
            <v>492.8</v>
          </cell>
          <cell r="Z5024">
            <v>0.5</v>
          </cell>
          <cell r="AA5024">
            <v>246.4</v>
          </cell>
          <cell r="AB5024"/>
        </row>
        <row r="5025">
          <cell r="C5025">
            <v>1</v>
          </cell>
          <cell r="D5025">
            <v>1</v>
          </cell>
          <cell r="E5025">
            <v>0</v>
          </cell>
          <cell r="F5025">
            <v>1</v>
          </cell>
          <cell r="H5025">
            <v>0</v>
          </cell>
          <cell r="O5025">
            <v>359686</v>
          </cell>
          <cell r="P5025" t="str">
            <v>2022/347-0036-01</v>
          </cell>
          <cell r="Q5025" t="str">
            <v>EST VASO MATISSE III (TRANSPARENTE)</v>
          </cell>
          <cell r="R5025"/>
          <cell r="S5025"/>
          <cell r="T5025">
            <v>0.15</v>
          </cell>
          <cell r="U5025">
            <v>0.1</v>
          </cell>
          <cell r="V5025">
            <v>0.16</v>
          </cell>
          <cell r="W5025">
            <v>0</v>
          </cell>
          <cell r="X5025" t="str">
            <v>EST VASO MATISSE III (TRANSPARENTE) - 0,15x0,1x0,16H</v>
          </cell>
          <cell r="Y5025">
            <v>380.8</v>
          </cell>
          <cell r="Z5025">
            <v>0.5</v>
          </cell>
          <cell r="AA5025">
            <v>190.4</v>
          </cell>
          <cell r="AB5025"/>
        </row>
        <row r="5026">
          <cell r="C5026">
            <v>0</v>
          </cell>
          <cell r="D5026">
            <v>0</v>
          </cell>
          <cell r="E5026">
            <v>0</v>
          </cell>
          <cell r="F5026">
            <v>0</v>
          </cell>
          <cell r="H5026">
            <v>1</v>
          </cell>
          <cell r="O5026">
            <v>361331</v>
          </cell>
          <cell r="P5026" t="str">
            <v>2023/039-0007-01</v>
          </cell>
          <cell r="Q5026" t="str">
            <v>EST MESA CENTRO CACAU (BAND MARM 5 SCARLAT) (MTZ CHAMP ACIN)</v>
          </cell>
          <cell r="R5026"/>
          <cell r="S5026"/>
          <cell r="T5026">
            <v>1.3</v>
          </cell>
          <cell r="U5026">
            <v>0.8</v>
          </cell>
          <cell r="V5026">
            <v>0.3</v>
          </cell>
          <cell r="W5026">
            <v>0</v>
          </cell>
          <cell r="X5026" t="str">
            <v>EST MESA CENTRO CACAU (BAND MARM 5 SCARLAT) (MTZ CHAMP ACIN) - 1,3x0,8x0,3H</v>
          </cell>
          <cell r="Y5026">
            <v>38764.36</v>
          </cell>
          <cell r="Z5026">
            <v>0.5</v>
          </cell>
          <cell r="AA5026">
            <v>19382.18</v>
          </cell>
          <cell r="AB5026"/>
        </row>
        <row r="5027">
          <cell r="C5027" t="e">
            <v>#N/A</v>
          </cell>
          <cell r="D5027" t="e">
            <v>#N/A</v>
          </cell>
          <cell r="E5027" t="e">
            <v>#N/A</v>
          </cell>
          <cell r="F5027" t="e">
            <v>#N/A</v>
          </cell>
          <cell r="H5027" t="e">
            <v>#N/A</v>
          </cell>
          <cell r="O5027">
            <v>361518</v>
          </cell>
          <cell r="P5027" t="str">
            <v>2023/025-0041-01</v>
          </cell>
          <cell r="Q5027" t="e">
            <v>#N/A</v>
          </cell>
          <cell r="R5027"/>
          <cell r="S5027"/>
          <cell r="T5027" t="e">
            <v>#N/A</v>
          </cell>
          <cell r="U5027" t="e">
            <v>#N/A</v>
          </cell>
          <cell r="V5027" t="e">
            <v>#N/A</v>
          </cell>
          <cell r="W5027" t="e">
            <v>#N/A</v>
          </cell>
          <cell r="X5027" t="e">
            <v>#N/A</v>
          </cell>
          <cell r="Y5027">
            <v>24926.68</v>
          </cell>
          <cell r="Z5027">
            <v>0.5</v>
          </cell>
          <cell r="AA5027">
            <v>12463.34</v>
          </cell>
          <cell r="AB5027"/>
        </row>
        <row r="5028">
          <cell r="C5028">
            <v>1</v>
          </cell>
          <cell r="D5028">
            <v>1</v>
          </cell>
          <cell r="E5028">
            <v>0</v>
          </cell>
          <cell r="F5028">
            <v>0</v>
          </cell>
          <cell r="H5028">
            <v>2</v>
          </cell>
          <cell r="O5028">
            <v>361520</v>
          </cell>
          <cell r="P5028" t="str">
            <v>2023/041-0016-01</v>
          </cell>
          <cell r="Q5028" t="str">
            <v>EST BANQUETA BAR MELIZA H75 (GIR) (FX 60004) (TING NOGAL)</v>
          </cell>
          <cell r="R5028"/>
          <cell r="S5028"/>
          <cell r="T5028">
            <v>0.5</v>
          </cell>
          <cell r="U5028">
            <v>0.6</v>
          </cell>
          <cell r="V5028">
            <v>0.99</v>
          </cell>
          <cell r="W5028">
            <v>0</v>
          </cell>
          <cell r="X5028" t="str">
            <v>EST BANQUETA BAR MELIZA H75 (GIR) (FX 60004) (TING NOGAL) - 0,5x0,6x0,99H</v>
          </cell>
          <cell r="Y5028">
            <v>6882.09</v>
          </cell>
          <cell r="Z5028">
            <v>0.5</v>
          </cell>
          <cell r="AA5028">
            <v>3441.0450000000001</v>
          </cell>
          <cell r="AB5028"/>
        </row>
        <row r="5029">
          <cell r="C5029">
            <v>1</v>
          </cell>
          <cell r="D5029">
            <v>1</v>
          </cell>
          <cell r="E5029">
            <v>0</v>
          </cell>
          <cell r="F5029">
            <v>0</v>
          </cell>
          <cell r="H5029">
            <v>2</v>
          </cell>
          <cell r="O5029">
            <v>361520</v>
          </cell>
          <cell r="P5029" t="str">
            <v>2023/041-0017-01</v>
          </cell>
          <cell r="Q5029" t="str">
            <v>EST BANQUETA BAR MELIZA H75 (GIR) (FX 60004) (TING NOGAL)</v>
          </cell>
          <cell r="R5029"/>
          <cell r="S5029"/>
          <cell r="T5029">
            <v>0.5</v>
          </cell>
          <cell r="U5029">
            <v>0.6</v>
          </cell>
          <cell r="V5029">
            <v>0.99</v>
          </cell>
          <cell r="W5029">
            <v>0</v>
          </cell>
          <cell r="X5029" t="str">
            <v>EST BANQUETA BAR MELIZA H75 (GIR) (FX 60004) (TING NOGAL) - 0,5x0,6x0,99H</v>
          </cell>
          <cell r="Y5029">
            <v>6882.09</v>
          </cell>
          <cell r="Z5029">
            <v>0.5</v>
          </cell>
          <cell r="AA5029">
            <v>3441.0450000000001</v>
          </cell>
          <cell r="AB5029"/>
        </row>
        <row r="5030">
          <cell r="C5030">
            <v>0</v>
          </cell>
          <cell r="D5030">
            <v>0</v>
          </cell>
          <cell r="E5030">
            <v>0</v>
          </cell>
          <cell r="F5030">
            <v>0</v>
          </cell>
          <cell r="H5030">
            <v>0</v>
          </cell>
          <cell r="O5030">
            <v>361796</v>
          </cell>
          <cell r="P5030"/>
          <cell r="Q5030" t="str">
            <v>EST TAMPO CENTRO LITORAL (DAGUA) (MARMORE ROSA PARANA)</v>
          </cell>
          <cell r="R5030"/>
          <cell r="S5030"/>
          <cell r="T5030">
            <v>1.5</v>
          </cell>
          <cell r="U5030">
            <v>1.37</v>
          </cell>
          <cell r="V5030">
            <v>0.02</v>
          </cell>
          <cell r="W5030">
            <v>0</v>
          </cell>
          <cell r="X5030" t="str">
            <v>EST TAMPO CENTRO LITORAL (DAGUA) (MARMORE ROSA PARANA) - 1,5x1,37x0,02H</v>
          </cell>
          <cell r="Y5030">
            <v>0</v>
          </cell>
          <cell r="Z5030">
            <v>0.35</v>
          </cell>
          <cell r="AA5030">
            <v>0</v>
          </cell>
          <cell r="AB5030"/>
        </row>
        <row r="5031">
          <cell r="C5031">
            <v>0</v>
          </cell>
          <cell r="D5031">
            <v>0</v>
          </cell>
          <cell r="E5031">
            <v>0</v>
          </cell>
          <cell r="F5031">
            <v>0</v>
          </cell>
          <cell r="H5031">
            <v>1</v>
          </cell>
          <cell r="O5031">
            <v>362425</v>
          </cell>
          <cell r="P5031" t="str">
            <v>2023/082-0013-01</v>
          </cell>
          <cell r="Q5031" t="str">
            <v>EST POLTRONA BUBA (TC CURATOR 136195 COR 166)</v>
          </cell>
          <cell r="R5031"/>
          <cell r="S5031"/>
          <cell r="T5031">
            <v>1.05</v>
          </cell>
          <cell r="U5031">
            <v>1</v>
          </cell>
          <cell r="V5031">
            <v>0.74</v>
          </cell>
          <cell r="W5031">
            <v>0</v>
          </cell>
          <cell r="X5031" t="str">
            <v>EST POLTRONA BUBA (TC CURATOR 136195 COR 166) - 1,05x1x0,74H</v>
          </cell>
          <cell r="Y5031">
            <v>29586.37</v>
          </cell>
          <cell r="Z5031">
            <v>0.35</v>
          </cell>
          <cell r="AA5031">
            <v>19231.140500000001</v>
          </cell>
          <cell r="AB5031"/>
        </row>
        <row r="5032">
          <cell r="C5032">
            <v>0</v>
          </cell>
          <cell r="D5032">
            <v>0</v>
          </cell>
          <cell r="E5032">
            <v>0</v>
          </cell>
          <cell r="F5032">
            <v>0</v>
          </cell>
          <cell r="H5032">
            <v>1</v>
          </cell>
          <cell r="O5032">
            <v>362425</v>
          </cell>
          <cell r="P5032" t="str">
            <v>2023/082-0014-01</v>
          </cell>
          <cell r="Q5032" t="str">
            <v>EST POLTRONA BUBA (TC CURATOR 136195 COR 166)</v>
          </cell>
          <cell r="R5032"/>
          <cell r="S5032"/>
          <cell r="T5032">
            <v>1.05</v>
          </cell>
          <cell r="U5032">
            <v>1</v>
          </cell>
          <cell r="V5032">
            <v>0.74</v>
          </cell>
          <cell r="W5032">
            <v>0</v>
          </cell>
          <cell r="X5032" t="str">
            <v>EST POLTRONA BUBA (TC CURATOR 136195 COR 166) - 1,05x1x0,74H</v>
          </cell>
          <cell r="Y5032">
            <v>29586.37</v>
          </cell>
          <cell r="Z5032">
            <v>0.35</v>
          </cell>
          <cell r="AA5032">
            <v>19231.140500000001</v>
          </cell>
          <cell r="AB5032"/>
        </row>
        <row r="5033">
          <cell r="C5033">
            <v>0</v>
          </cell>
          <cell r="D5033">
            <v>0</v>
          </cell>
          <cell r="E5033">
            <v>0</v>
          </cell>
          <cell r="F5033">
            <v>0</v>
          </cell>
          <cell r="H5033">
            <v>5</v>
          </cell>
          <cell r="O5033">
            <v>364289</v>
          </cell>
          <cell r="P5033" t="str">
            <v>2023/152-0031-01</v>
          </cell>
          <cell r="Q5033" t="str">
            <v>EST CADEIRA CACAU (DAMASCO) (LATAO) TC PREMIUM P018</v>
          </cell>
          <cell r="R5033"/>
          <cell r="S5033"/>
          <cell r="T5033">
            <v>0.5</v>
          </cell>
          <cell r="U5033">
            <v>0.61</v>
          </cell>
          <cell r="V5033">
            <v>0.84</v>
          </cell>
          <cell r="W5033">
            <v>0</v>
          </cell>
          <cell r="X5033" t="str">
            <v>EST CADEIRA CACAU (DAMASCO) (LATAO) TC PREMIUM P018 - 0,5x0,61x0,84H</v>
          </cell>
          <cell r="Y5033">
            <v>5085.5600000000004</v>
          </cell>
          <cell r="Z5033">
            <v>0.35</v>
          </cell>
          <cell r="AA5033">
            <v>3305.6140000000005</v>
          </cell>
          <cell r="AB5033"/>
        </row>
        <row r="5034">
          <cell r="C5034">
            <v>0</v>
          </cell>
          <cell r="D5034">
            <v>0</v>
          </cell>
          <cell r="E5034">
            <v>0</v>
          </cell>
          <cell r="F5034">
            <v>0</v>
          </cell>
          <cell r="H5034">
            <v>5</v>
          </cell>
          <cell r="O5034">
            <v>364289</v>
          </cell>
          <cell r="P5034" t="str">
            <v>2023/152-0032-01</v>
          </cell>
          <cell r="Q5034" t="str">
            <v>EST CADEIRA CACAU (DAMASCO) (LATAO) TC PREMIUM P018</v>
          </cell>
          <cell r="R5034"/>
          <cell r="S5034"/>
          <cell r="T5034">
            <v>0.5</v>
          </cell>
          <cell r="U5034">
            <v>0.61</v>
          </cell>
          <cell r="V5034">
            <v>0.84</v>
          </cell>
          <cell r="W5034">
            <v>0</v>
          </cell>
          <cell r="X5034" t="str">
            <v>EST CADEIRA CACAU (DAMASCO) (LATAO) TC PREMIUM P018 - 0,5x0,61x0,84H</v>
          </cell>
          <cell r="Y5034">
            <v>5085.5600000000004</v>
          </cell>
          <cell r="Z5034">
            <v>0.35</v>
          </cell>
          <cell r="AA5034">
            <v>3305.6140000000005</v>
          </cell>
          <cell r="AB5034"/>
        </row>
        <row r="5035">
          <cell r="C5035">
            <v>0</v>
          </cell>
          <cell r="D5035">
            <v>0</v>
          </cell>
          <cell r="E5035">
            <v>0</v>
          </cell>
          <cell r="F5035">
            <v>0</v>
          </cell>
          <cell r="H5035">
            <v>5</v>
          </cell>
          <cell r="O5035">
            <v>364289</v>
          </cell>
          <cell r="P5035" t="str">
            <v>2023/152-0033-01</v>
          </cell>
          <cell r="Q5035" t="str">
            <v>EST CADEIRA CACAU (DAMASCO) (LATAO) TC PREMIUM P018</v>
          </cell>
          <cell r="R5035"/>
          <cell r="S5035"/>
          <cell r="T5035">
            <v>0.5</v>
          </cell>
          <cell r="U5035">
            <v>0.61</v>
          </cell>
          <cell r="V5035">
            <v>0.84</v>
          </cell>
          <cell r="W5035">
            <v>0</v>
          </cell>
          <cell r="X5035" t="str">
            <v>EST CADEIRA CACAU (DAMASCO) (LATAO) TC PREMIUM P018 - 0,5x0,61x0,84H</v>
          </cell>
          <cell r="Y5035">
            <v>5085.5600000000004</v>
          </cell>
          <cell r="Z5035">
            <v>0.35</v>
          </cell>
          <cell r="AA5035">
            <v>3305.6140000000005</v>
          </cell>
          <cell r="AB5035"/>
        </row>
        <row r="5036">
          <cell r="C5036">
            <v>0</v>
          </cell>
          <cell r="D5036">
            <v>0</v>
          </cell>
          <cell r="E5036">
            <v>0</v>
          </cell>
          <cell r="F5036">
            <v>0</v>
          </cell>
          <cell r="H5036">
            <v>5</v>
          </cell>
          <cell r="O5036">
            <v>364289</v>
          </cell>
          <cell r="P5036" t="str">
            <v>2023/152-0034-01</v>
          </cell>
          <cell r="Q5036" t="str">
            <v>EST CADEIRA CACAU (DAMASCO) (LATAO) TC PREMIUM P018</v>
          </cell>
          <cell r="R5036"/>
          <cell r="S5036"/>
          <cell r="T5036">
            <v>0.5</v>
          </cell>
          <cell r="U5036">
            <v>0.61</v>
          </cell>
          <cell r="V5036">
            <v>0.84</v>
          </cell>
          <cell r="W5036">
            <v>0</v>
          </cell>
          <cell r="X5036" t="str">
            <v>EST CADEIRA CACAU (DAMASCO) (LATAO) TC PREMIUM P018 - 0,5x0,61x0,84H</v>
          </cell>
          <cell r="Y5036">
            <v>5085.5600000000004</v>
          </cell>
          <cell r="Z5036">
            <v>0.35</v>
          </cell>
          <cell r="AA5036">
            <v>3305.6140000000005</v>
          </cell>
          <cell r="AB5036"/>
        </row>
        <row r="5037">
          <cell r="C5037">
            <v>0</v>
          </cell>
          <cell r="D5037">
            <v>0</v>
          </cell>
          <cell r="E5037">
            <v>0</v>
          </cell>
          <cell r="F5037">
            <v>0</v>
          </cell>
          <cell r="H5037">
            <v>5</v>
          </cell>
          <cell r="O5037">
            <v>364289</v>
          </cell>
          <cell r="P5037" t="str">
            <v>2023/152-0035-01</v>
          </cell>
          <cell r="Q5037" t="str">
            <v>EST CADEIRA CACAU (DAMASCO) (LATAO) TC PREMIUM P018</v>
          </cell>
          <cell r="R5037"/>
          <cell r="S5037"/>
          <cell r="T5037">
            <v>0.5</v>
          </cell>
          <cell r="U5037">
            <v>0.61</v>
          </cell>
          <cell r="V5037">
            <v>0.84</v>
          </cell>
          <cell r="W5037">
            <v>0</v>
          </cell>
          <cell r="X5037" t="str">
            <v>EST CADEIRA CACAU (DAMASCO) (LATAO) TC PREMIUM P018 - 0,5x0,61x0,84H</v>
          </cell>
          <cell r="Y5037">
            <v>5085.5600000000004</v>
          </cell>
          <cell r="Z5037">
            <v>0.35</v>
          </cell>
          <cell r="AA5037">
            <v>3305.6140000000005</v>
          </cell>
          <cell r="AB5037"/>
        </row>
        <row r="5038">
          <cell r="C5038">
            <v>0</v>
          </cell>
          <cell r="D5038">
            <v>0</v>
          </cell>
          <cell r="E5038">
            <v>0</v>
          </cell>
          <cell r="F5038">
            <v>0</v>
          </cell>
          <cell r="H5038">
            <v>5</v>
          </cell>
          <cell r="O5038">
            <v>364289</v>
          </cell>
          <cell r="P5038" t="str">
            <v>2023/152-0036-01</v>
          </cell>
          <cell r="Q5038" t="str">
            <v>EST CADEIRA CACAU (DAMASCO) (LATAO) TC PREMIUM P018</v>
          </cell>
          <cell r="R5038"/>
          <cell r="S5038"/>
          <cell r="T5038">
            <v>0.5</v>
          </cell>
          <cell r="U5038">
            <v>0.61</v>
          </cell>
          <cell r="V5038">
            <v>0.84</v>
          </cell>
          <cell r="W5038">
            <v>0</v>
          </cell>
          <cell r="X5038" t="str">
            <v>EST CADEIRA CACAU (DAMASCO) (LATAO) TC PREMIUM P018 - 0,5x0,61x0,84H</v>
          </cell>
          <cell r="Y5038">
            <v>5085.5600000000004</v>
          </cell>
          <cell r="Z5038">
            <v>0.35</v>
          </cell>
          <cell r="AA5038">
            <v>3305.6140000000005</v>
          </cell>
          <cell r="AB5038"/>
        </row>
        <row r="5039">
          <cell r="C5039">
            <v>0</v>
          </cell>
          <cell r="D5039">
            <v>0</v>
          </cell>
          <cell r="E5039">
            <v>0</v>
          </cell>
          <cell r="F5039">
            <v>0</v>
          </cell>
          <cell r="H5039">
            <v>1</v>
          </cell>
          <cell r="O5039">
            <v>364310</v>
          </cell>
          <cell r="P5039" t="str">
            <v>2023/152-0045-01</v>
          </cell>
          <cell r="Q5039" t="str">
            <v>EST CADEIRA CACAU C/BRACO (DAMASCO) (LATAO) TC PREMIUM P018</v>
          </cell>
          <cell r="R5039"/>
          <cell r="S5039"/>
          <cell r="T5039">
            <v>0.61</v>
          </cell>
          <cell r="U5039">
            <v>0.61</v>
          </cell>
          <cell r="V5039">
            <v>0.84</v>
          </cell>
          <cell r="W5039">
            <v>0</v>
          </cell>
          <cell r="X5039" t="str">
            <v>EST CADEIRA CACAU C/BRACO (DAMASCO) (LATAO) TC PREMIUM P018 - 0,61x0,61x0,84H</v>
          </cell>
          <cell r="Y5039">
            <v>7275.88</v>
          </cell>
          <cell r="Z5039">
            <v>0.35</v>
          </cell>
          <cell r="AA5039">
            <v>4729.3220000000001</v>
          </cell>
          <cell r="AB5039"/>
        </row>
        <row r="5040">
          <cell r="C5040">
            <v>0</v>
          </cell>
          <cell r="D5040">
            <v>0</v>
          </cell>
          <cell r="E5040">
            <v>0</v>
          </cell>
          <cell r="F5040">
            <v>0</v>
          </cell>
          <cell r="H5040">
            <v>1</v>
          </cell>
          <cell r="O5040">
            <v>364310</v>
          </cell>
          <cell r="P5040" t="str">
            <v>2023/152-0046-01</v>
          </cell>
          <cell r="Q5040" t="str">
            <v>EST CADEIRA CACAU C/BRACO (DAMASCO) (LATAO) TC PREMIUM P018</v>
          </cell>
          <cell r="R5040"/>
          <cell r="S5040"/>
          <cell r="T5040">
            <v>0.61</v>
          </cell>
          <cell r="U5040">
            <v>0.61</v>
          </cell>
          <cell r="V5040">
            <v>0.84</v>
          </cell>
          <cell r="W5040">
            <v>0</v>
          </cell>
          <cell r="X5040" t="str">
            <v>EST CADEIRA CACAU C/BRACO (DAMASCO) (LATAO) TC PREMIUM P018 - 0,61x0,61x0,84H</v>
          </cell>
          <cell r="Y5040">
            <v>7275.88</v>
          </cell>
          <cell r="Z5040">
            <v>0.35</v>
          </cell>
          <cell r="AA5040">
            <v>4729.3220000000001</v>
          </cell>
          <cell r="AB5040"/>
        </row>
        <row r="5041">
          <cell r="C5041">
            <v>0</v>
          </cell>
          <cell r="D5041">
            <v>0</v>
          </cell>
          <cell r="E5041">
            <v>0</v>
          </cell>
          <cell r="F5041">
            <v>0</v>
          </cell>
          <cell r="H5041">
            <v>1</v>
          </cell>
          <cell r="O5041">
            <v>365416</v>
          </cell>
          <cell r="P5041"/>
          <cell r="Q5041" t="str">
            <v>EST POLTRONA CEGONHA (PRETO) (TAUARI NT) COURO IMPORT 300</v>
          </cell>
          <cell r="R5041"/>
          <cell r="S5041"/>
          <cell r="T5041">
            <v>0.71</v>
          </cell>
          <cell r="U5041">
            <v>0.88</v>
          </cell>
          <cell r="V5041">
            <v>0.94</v>
          </cell>
          <cell r="W5041">
            <v>0</v>
          </cell>
          <cell r="X5041" t="str">
            <v>EST POLTRONA CEGONHA (PRETO) (TAUARI NT) COURO IMPORT 300 - 0,71x0,88x0,94H</v>
          </cell>
          <cell r="Y5041">
            <v>0</v>
          </cell>
          <cell r="Z5041">
            <v>0.35</v>
          </cell>
          <cell r="AA5041">
            <v>0</v>
          </cell>
          <cell r="AB5041"/>
        </row>
        <row r="5042">
          <cell r="C5042">
            <v>0</v>
          </cell>
          <cell r="D5042">
            <v>0</v>
          </cell>
          <cell r="E5042">
            <v>0</v>
          </cell>
          <cell r="F5042">
            <v>0</v>
          </cell>
          <cell r="H5042">
            <v>0</v>
          </cell>
          <cell r="O5042">
            <v>365452</v>
          </cell>
          <cell r="P5042"/>
          <cell r="Q5042" t="str">
            <v>EST CADEIRA JOHN GRAZ (NOGUEIRA) COURO IMPORT 300</v>
          </cell>
          <cell r="R5042"/>
          <cell r="S5042"/>
          <cell r="T5042">
            <v>0.48</v>
          </cell>
          <cell r="U5042">
            <v>0.53</v>
          </cell>
          <cell r="V5042">
            <v>0.82</v>
          </cell>
          <cell r="W5042">
            <v>0</v>
          </cell>
          <cell r="X5042" t="str">
            <v>EST CADEIRA JOHN GRAZ (NOGUEIRA) COURO IMPORT 300 - 0,48x0,53x0,82H</v>
          </cell>
          <cell r="Y5042">
            <v>0</v>
          </cell>
          <cell r="Z5042">
            <v>0.35</v>
          </cell>
          <cell r="AA5042">
            <v>0</v>
          </cell>
          <cell r="AB5042"/>
        </row>
        <row r="5043">
          <cell r="C5043">
            <v>0</v>
          </cell>
          <cell r="D5043">
            <v>0</v>
          </cell>
          <cell r="E5043">
            <v>0</v>
          </cell>
          <cell r="F5043">
            <v>0</v>
          </cell>
          <cell r="H5043">
            <v>1</v>
          </cell>
          <cell r="O5043">
            <v>365739</v>
          </cell>
          <cell r="P5043"/>
          <cell r="Q5043" t="str">
            <v>EST TAMPO CRISTAL LAPIDADO (12MM) INCOLOR (CIRCULAR)</v>
          </cell>
          <cell r="R5043"/>
          <cell r="S5043"/>
          <cell r="T5043">
            <v>1.5</v>
          </cell>
          <cell r="U5043">
            <v>0</v>
          </cell>
          <cell r="V5043">
            <v>0.01</v>
          </cell>
          <cell r="W5043">
            <v>1.5</v>
          </cell>
          <cell r="X5043" t="str">
            <v>EST TAMPO CRISTAL LAPIDADO (12MM) INCOLOR (CIRCULAR) - Ø1,5x0,01H</v>
          </cell>
          <cell r="Y5043" t="e">
            <v>#VALUE!</v>
          </cell>
          <cell r="Z5043">
            <v>0.35</v>
          </cell>
          <cell r="AA5043" t="e">
            <v>#VALUE!</v>
          </cell>
          <cell r="AB5043"/>
        </row>
        <row r="5044">
          <cell r="C5044">
            <v>0</v>
          </cell>
          <cell r="D5044">
            <v>0</v>
          </cell>
          <cell r="E5044">
            <v>0</v>
          </cell>
          <cell r="F5044">
            <v>0</v>
          </cell>
          <cell r="H5044">
            <v>0</v>
          </cell>
          <cell r="O5044">
            <v>370670</v>
          </cell>
          <cell r="P5044"/>
          <cell r="Q5044" t="str">
            <v>EST SOFA PLATAFORMA (SUCUPIRA) ELB LUDA LINEN/SILVER/GREY</v>
          </cell>
          <cell r="R5044"/>
          <cell r="S5044"/>
          <cell r="T5044">
            <v>3.6</v>
          </cell>
          <cell r="U5044">
            <v>0.9</v>
          </cell>
          <cell r="V5044">
            <v>0.8</v>
          </cell>
          <cell r="W5044">
            <v>0</v>
          </cell>
          <cell r="X5044" t="str">
            <v>EST SOFA PLATAFORMA (SUCUPIRA) ELB LUDA LINEN/SILVER/GREY - 3,6x0,9x0,8H</v>
          </cell>
          <cell r="Y5044">
            <v>0</v>
          </cell>
          <cell r="Z5044">
            <v>0.35</v>
          </cell>
          <cell r="AA5044">
            <v>0</v>
          </cell>
          <cell r="AB5044"/>
        </row>
        <row r="5045">
          <cell r="C5045">
            <v>0</v>
          </cell>
          <cell r="D5045">
            <v>0</v>
          </cell>
          <cell r="E5045">
            <v>0</v>
          </cell>
          <cell r="F5045">
            <v>0</v>
          </cell>
          <cell r="H5045">
            <v>1</v>
          </cell>
          <cell r="O5045">
            <v>370965</v>
          </cell>
          <cell r="P5045" t="str">
            <v>2024/074-0018-01</v>
          </cell>
          <cell r="Q5045" t="str">
            <v>EST MESA JANTAR BELIZE (MADEIRA) TP/BS LAMINA AMENDOA</v>
          </cell>
          <cell r="R5045"/>
          <cell r="S5045"/>
          <cell r="T5045">
            <v>2.8</v>
          </cell>
          <cell r="U5045">
            <v>1.4</v>
          </cell>
          <cell r="V5045">
            <v>0.76</v>
          </cell>
          <cell r="W5045">
            <v>0</v>
          </cell>
          <cell r="X5045" t="str">
            <v>EST MESA JANTAR BELIZE (MADEIRA) TP/BS LAMINA AMENDOA - 2,8x1,4x0,76H</v>
          </cell>
          <cell r="Y5045">
            <v>26065</v>
          </cell>
          <cell r="Z5045">
            <v>0.35</v>
          </cell>
          <cell r="AA5045">
            <v>16942.25</v>
          </cell>
          <cell r="AB5045"/>
        </row>
        <row r="5046">
          <cell r="C5046">
            <v>0</v>
          </cell>
          <cell r="D5046">
            <v>1</v>
          </cell>
          <cell r="E5046">
            <v>0</v>
          </cell>
          <cell r="F5046">
            <v>0</v>
          </cell>
          <cell r="H5046">
            <v>1</v>
          </cell>
          <cell r="O5046">
            <v>371340</v>
          </cell>
          <cell r="P5046" t="str">
            <v>2023/234-0089-01</v>
          </cell>
          <cell r="Q5046" t="str">
            <v>EST CADEIRA QUERO QUERO (COURO 2 2016) (NATURE MATT)</v>
          </cell>
          <cell r="R5046"/>
          <cell r="S5046"/>
          <cell r="T5046">
            <v>0.49</v>
          </cell>
          <cell r="U5046">
            <v>0.54</v>
          </cell>
          <cell r="V5046">
            <v>0.8</v>
          </cell>
          <cell r="W5046">
            <v>0</v>
          </cell>
          <cell r="X5046" t="str">
            <v>EST CADEIRA QUERO QUERO (COURO 2 2016) (NATURE MATT) - 0,49x0,54x0,8H</v>
          </cell>
          <cell r="Y5046">
            <v>7735.8</v>
          </cell>
          <cell r="Z5046">
            <v>0.35</v>
          </cell>
          <cell r="AA5046">
            <v>5028.2700000000004</v>
          </cell>
          <cell r="AB5046"/>
        </row>
        <row r="5047">
          <cell r="C5047">
            <v>0</v>
          </cell>
          <cell r="D5047">
            <v>1</v>
          </cell>
          <cell r="E5047">
            <v>0</v>
          </cell>
          <cell r="F5047">
            <v>0</v>
          </cell>
          <cell r="H5047">
            <v>1</v>
          </cell>
          <cell r="O5047">
            <v>371340</v>
          </cell>
          <cell r="P5047" t="str">
            <v>2023/234-0091-01</v>
          </cell>
          <cell r="Q5047" t="str">
            <v>EST CADEIRA QUERO QUERO (COURO 2 2016) (NATURE MATT)</v>
          </cell>
          <cell r="R5047"/>
          <cell r="S5047"/>
          <cell r="T5047">
            <v>0.49</v>
          </cell>
          <cell r="U5047">
            <v>0.54</v>
          </cell>
          <cell r="V5047">
            <v>0.8</v>
          </cell>
          <cell r="W5047">
            <v>0</v>
          </cell>
          <cell r="X5047" t="str">
            <v>EST CADEIRA QUERO QUERO (COURO 2 2016) (NATURE MATT) - 0,49x0,54x0,8H</v>
          </cell>
          <cell r="Y5047">
            <v>7735.8</v>
          </cell>
          <cell r="Z5047">
            <v>0.35</v>
          </cell>
          <cell r="AA5047">
            <v>5028.2700000000004</v>
          </cell>
          <cell r="AB5047"/>
        </row>
        <row r="5048">
          <cell r="C5048">
            <v>0</v>
          </cell>
          <cell r="D5048">
            <v>1</v>
          </cell>
          <cell r="E5048">
            <v>0</v>
          </cell>
          <cell r="F5048">
            <v>0</v>
          </cell>
          <cell r="H5048">
            <v>1</v>
          </cell>
          <cell r="O5048">
            <v>371340</v>
          </cell>
          <cell r="P5048" t="str">
            <v>2023/234-0092-01</v>
          </cell>
          <cell r="Q5048" t="str">
            <v>EST CADEIRA QUERO QUERO (COURO 2 2016) (NATURE MATT)</v>
          </cell>
          <cell r="R5048"/>
          <cell r="S5048"/>
          <cell r="T5048">
            <v>0.49</v>
          </cell>
          <cell r="U5048">
            <v>0.54</v>
          </cell>
          <cell r="V5048">
            <v>0.8</v>
          </cell>
          <cell r="W5048">
            <v>0</v>
          </cell>
          <cell r="X5048" t="str">
            <v>EST CADEIRA QUERO QUERO (COURO 2 2016) (NATURE MATT) - 0,49x0,54x0,8H</v>
          </cell>
          <cell r="Y5048">
            <v>7735.8</v>
          </cell>
          <cell r="Z5048">
            <v>0.35</v>
          </cell>
          <cell r="AA5048">
            <v>5028.2700000000004</v>
          </cell>
          <cell r="AB5048"/>
        </row>
        <row r="5049">
          <cell r="C5049">
            <v>0</v>
          </cell>
          <cell r="D5049">
            <v>1</v>
          </cell>
          <cell r="E5049">
            <v>0</v>
          </cell>
          <cell r="F5049">
            <v>0</v>
          </cell>
          <cell r="H5049">
            <v>1</v>
          </cell>
          <cell r="O5049">
            <v>371340</v>
          </cell>
          <cell r="P5049" t="str">
            <v>2023/234-0093-01</v>
          </cell>
          <cell r="Q5049" t="str">
            <v>EST CADEIRA QUERO QUERO (COURO 2 2016) (NATURE MATT)</v>
          </cell>
          <cell r="R5049"/>
          <cell r="S5049"/>
          <cell r="T5049">
            <v>0.49</v>
          </cell>
          <cell r="U5049">
            <v>0.54</v>
          </cell>
          <cell r="V5049">
            <v>0.8</v>
          </cell>
          <cell r="W5049">
            <v>0</v>
          </cell>
          <cell r="X5049" t="str">
            <v>EST CADEIRA QUERO QUERO (COURO 2 2016) (NATURE MATT) - 0,49x0,54x0,8H</v>
          </cell>
          <cell r="Y5049">
            <v>7735.8</v>
          </cell>
          <cell r="Z5049">
            <v>0.35</v>
          </cell>
          <cell r="AA5049">
            <v>5028.2700000000004</v>
          </cell>
          <cell r="AB5049"/>
        </row>
        <row r="5050">
          <cell r="C5050">
            <v>0</v>
          </cell>
          <cell r="D5050">
            <v>1</v>
          </cell>
          <cell r="E5050">
            <v>0</v>
          </cell>
          <cell r="F5050">
            <v>0</v>
          </cell>
          <cell r="H5050">
            <v>1</v>
          </cell>
          <cell r="O5050">
            <v>371340</v>
          </cell>
          <cell r="P5050" t="str">
            <v>2023/234-0088-01</v>
          </cell>
          <cell r="Q5050" t="str">
            <v>EST CADEIRA QUERO QUERO (COURO 2 2016) (NATURE MATT)</v>
          </cell>
          <cell r="R5050"/>
          <cell r="S5050"/>
          <cell r="T5050">
            <v>0.49</v>
          </cell>
          <cell r="U5050">
            <v>0.54</v>
          </cell>
          <cell r="V5050">
            <v>0.8</v>
          </cell>
          <cell r="W5050">
            <v>0</v>
          </cell>
          <cell r="X5050" t="str">
            <v>EST CADEIRA QUERO QUERO (COURO 2 2016) (NATURE MATT) - 0,49x0,54x0,8H</v>
          </cell>
          <cell r="Y5050">
            <v>7735.8</v>
          </cell>
          <cell r="Z5050">
            <v>0.35</v>
          </cell>
          <cell r="AA5050">
            <v>5028.2700000000004</v>
          </cell>
          <cell r="AB5050"/>
        </row>
        <row r="5051">
          <cell r="C5051">
            <v>0</v>
          </cell>
          <cell r="D5051">
            <v>0</v>
          </cell>
          <cell r="E5051">
            <v>0</v>
          </cell>
          <cell r="F5051">
            <v>0</v>
          </cell>
          <cell r="H5051">
            <v>1</v>
          </cell>
          <cell r="O5051">
            <v>371556</v>
          </cell>
          <cell r="P5051"/>
          <cell r="Q5051" t="str">
            <v>EST MESA CENTRO VENTURA (IMBUIA)</v>
          </cell>
          <cell r="R5051"/>
          <cell r="S5051"/>
          <cell r="T5051">
            <v>1.6</v>
          </cell>
          <cell r="U5051">
            <v>0</v>
          </cell>
          <cell r="V5051">
            <v>0.35</v>
          </cell>
          <cell r="W5051">
            <v>1.6</v>
          </cell>
          <cell r="X5051" t="str">
            <v>EST MESA CENTRO VENTURA (IMBUIA) - Ø1,6x0,35H</v>
          </cell>
          <cell r="Y5051">
            <v>0</v>
          </cell>
          <cell r="Z5051">
            <v>0.35</v>
          </cell>
          <cell r="AA5051">
            <v>0</v>
          </cell>
          <cell r="AB5051"/>
        </row>
        <row r="5052">
          <cell r="C5052">
            <v>0</v>
          </cell>
          <cell r="D5052">
            <v>0</v>
          </cell>
          <cell r="E5052">
            <v>0</v>
          </cell>
          <cell r="F5052">
            <v>0</v>
          </cell>
          <cell r="H5052">
            <v>1</v>
          </cell>
          <cell r="O5052">
            <v>371595</v>
          </cell>
          <cell r="P5052" t="str">
            <v>2023/269-0007-01</v>
          </cell>
          <cell r="Q5052" t="str">
            <v>EST MESA CENTRO ECLIPSE (TP LAM NAT/LAM NAT) (MTZ CHAMP)</v>
          </cell>
          <cell r="R5052"/>
          <cell r="S5052"/>
          <cell r="T5052">
            <v>1.6</v>
          </cell>
          <cell r="U5052">
            <v>1.2</v>
          </cell>
          <cell r="V5052">
            <v>0.35</v>
          </cell>
          <cell r="W5052">
            <v>0</v>
          </cell>
          <cell r="X5052" t="str">
            <v>EST MESA CENTRO ECLIPSE (TP LAM NAT/LAM NAT) (MTZ CHAMP) - 1,6x1,2x0,35H</v>
          </cell>
          <cell r="Y5052">
            <v>22094.33</v>
          </cell>
          <cell r="Z5052">
            <v>0.35</v>
          </cell>
          <cell r="AA5052">
            <v>14361.3145</v>
          </cell>
          <cell r="AB5052"/>
        </row>
        <row r="5053">
          <cell r="C5053">
            <v>0</v>
          </cell>
          <cell r="D5053">
            <v>0</v>
          </cell>
          <cell r="E5053">
            <v>1</v>
          </cell>
          <cell r="F5053">
            <v>0</v>
          </cell>
          <cell r="H5053">
            <v>0</v>
          </cell>
          <cell r="O5053">
            <v>371604</v>
          </cell>
          <cell r="P5053" t="str">
            <v>2023/258-0044-01</v>
          </cell>
          <cell r="Q5053" t="str">
            <v>EST MESA CENTRO ECLIPSE (MARM 1 ARMANI/ESP BZ) (MTZ COSMIC)</v>
          </cell>
          <cell r="R5053"/>
          <cell r="S5053"/>
          <cell r="T5053">
            <v>1.6</v>
          </cell>
          <cell r="U5053">
            <v>1.2</v>
          </cell>
          <cell r="V5053">
            <v>0.35</v>
          </cell>
          <cell r="W5053">
            <v>0</v>
          </cell>
          <cell r="X5053" t="str">
            <v>EST MESA CENTRO ECLIPSE (MARM 1 ARMANI/ESP BZ) (MTZ COSMIC) - 1,6x1,2x0,35H</v>
          </cell>
          <cell r="Y5053">
            <v>49454.32</v>
          </cell>
          <cell r="Z5053">
            <v>0.35</v>
          </cell>
          <cell r="AA5053">
            <v>32145.308000000001</v>
          </cell>
          <cell r="AB5053"/>
        </row>
        <row r="5054">
          <cell r="C5054">
            <v>0</v>
          </cell>
          <cell r="D5054">
            <v>0</v>
          </cell>
          <cell r="E5054">
            <v>0</v>
          </cell>
          <cell r="F5054">
            <v>6</v>
          </cell>
          <cell r="H5054">
            <v>0</v>
          </cell>
          <cell r="O5054">
            <v>373424</v>
          </cell>
          <cell r="P5054" t="str">
            <v>2023/280-0015-01</v>
          </cell>
          <cell r="Q5054" t="str">
            <v>EST CADEIRA QUERO QUERO (FX 50010) (WALNUT MATT)</v>
          </cell>
          <cell r="R5054"/>
          <cell r="S5054"/>
          <cell r="T5054">
            <v>0.49</v>
          </cell>
          <cell r="U5054">
            <v>0.54</v>
          </cell>
          <cell r="V5054">
            <v>0.8</v>
          </cell>
          <cell r="W5054">
            <v>0</v>
          </cell>
          <cell r="X5054" t="str">
            <v>EST CADEIRA QUERO QUERO (FX 50010) (WALNUT MATT) - 0,49x0,54x0,8H</v>
          </cell>
          <cell r="Y5054">
            <v>6223.93</v>
          </cell>
          <cell r="Z5054">
            <v>0.35</v>
          </cell>
          <cell r="AA5054">
            <v>4045.5545000000002</v>
          </cell>
          <cell r="AB5054"/>
        </row>
        <row r="5055">
          <cell r="C5055">
            <v>0</v>
          </cell>
          <cell r="D5055">
            <v>0</v>
          </cell>
          <cell r="E5055">
            <v>0</v>
          </cell>
          <cell r="F5055">
            <v>6</v>
          </cell>
          <cell r="H5055">
            <v>0</v>
          </cell>
          <cell r="O5055">
            <v>373424</v>
          </cell>
          <cell r="P5055" t="str">
            <v>2023/280-0019-01</v>
          </cell>
          <cell r="Q5055" t="str">
            <v>EST CADEIRA QUERO QUERO (FX 50010) (WALNUT MATT)</v>
          </cell>
          <cell r="R5055"/>
          <cell r="S5055"/>
          <cell r="T5055">
            <v>0.49</v>
          </cell>
          <cell r="U5055">
            <v>0.54</v>
          </cell>
          <cell r="V5055">
            <v>0.8</v>
          </cell>
          <cell r="W5055">
            <v>0</v>
          </cell>
          <cell r="X5055" t="str">
            <v>EST CADEIRA QUERO QUERO (FX 50010) (WALNUT MATT) - 0,49x0,54x0,8H</v>
          </cell>
          <cell r="Y5055">
            <v>6223.93</v>
          </cell>
          <cell r="Z5055">
            <v>0.35</v>
          </cell>
          <cell r="AA5055">
            <v>4045.5545000000002</v>
          </cell>
          <cell r="AB5055"/>
        </row>
        <row r="5056">
          <cell r="C5056">
            <v>0</v>
          </cell>
          <cell r="D5056">
            <v>0</v>
          </cell>
          <cell r="E5056">
            <v>0</v>
          </cell>
          <cell r="F5056">
            <v>0</v>
          </cell>
          <cell r="H5056">
            <v>1</v>
          </cell>
          <cell r="O5056">
            <v>373835</v>
          </cell>
          <cell r="P5056" t="str">
            <v>2023/294-0009-01</v>
          </cell>
          <cell r="Q5056" t="str">
            <v>EST SOFA NEW CHATEAU (BI PARTIDO) (MTX GRAFITE) FX D4235</v>
          </cell>
          <cell r="R5056"/>
          <cell r="S5056"/>
          <cell r="T5056">
            <v>2.96</v>
          </cell>
          <cell r="U5056">
            <v>0.96</v>
          </cell>
          <cell r="V5056">
            <v>0.8</v>
          </cell>
          <cell r="W5056">
            <v>0</v>
          </cell>
          <cell r="X5056" t="str">
            <v>EST SOFA NEW CHATEAU (BI PARTIDO) (MTX GRAFITE) FX D4235 - 2,96x0,96x0,8H</v>
          </cell>
          <cell r="Y5056">
            <v>30524.75</v>
          </cell>
          <cell r="Z5056">
            <v>0.35</v>
          </cell>
          <cell r="AA5056">
            <v>19841.087500000001</v>
          </cell>
          <cell r="AB5056"/>
        </row>
        <row r="5057">
          <cell r="C5057">
            <v>0</v>
          </cell>
          <cell r="D5057">
            <v>0</v>
          </cell>
          <cell r="E5057">
            <v>0</v>
          </cell>
          <cell r="F5057">
            <v>0</v>
          </cell>
          <cell r="H5057">
            <v>1</v>
          </cell>
          <cell r="O5057">
            <v>374359</v>
          </cell>
          <cell r="P5057" t="str">
            <v>2024/026-0022-01</v>
          </cell>
          <cell r="Q5057" t="str">
            <v>EST PUFF HIMALAYA (CON) (FX PET 02) NOG</v>
          </cell>
          <cell r="R5057"/>
          <cell r="S5057"/>
          <cell r="T5057">
            <v>1.6</v>
          </cell>
          <cell r="U5057">
            <v>0</v>
          </cell>
          <cell r="V5057">
            <v>0.42</v>
          </cell>
          <cell r="W5057">
            <v>0</v>
          </cell>
          <cell r="X5057" t="str">
            <v>EST PUFF HIMALAYA (CON) (FX PET 02) NOG - Ø0x0,42H</v>
          </cell>
          <cell r="Y5057">
            <v>27884.15</v>
          </cell>
          <cell r="Z5057">
            <v>0.35</v>
          </cell>
          <cell r="AA5057">
            <v>18124.697500000002</v>
          </cell>
          <cell r="AB5057"/>
        </row>
        <row r="5058">
          <cell r="C5058">
            <v>0</v>
          </cell>
          <cell r="D5058">
            <v>0</v>
          </cell>
          <cell r="E5058">
            <v>0</v>
          </cell>
          <cell r="F5058">
            <v>0</v>
          </cell>
          <cell r="H5058">
            <v>0</v>
          </cell>
          <cell r="O5058">
            <v>374364</v>
          </cell>
          <cell r="P5058" t="str">
            <v>2024/026-0029-01</v>
          </cell>
          <cell r="Q5058" t="str">
            <v>EST POLTRONA HIMALAYA (JANTAR) (CLA) (C3002/DB3001) NOG</v>
          </cell>
          <cell r="R5058"/>
          <cell r="S5058"/>
          <cell r="T5058">
            <v>0.7</v>
          </cell>
          <cell r="U5058">
            <v>0.7</v>
          </cell>
          <cell r="V5058">
            <v>0.76</v>
          </cell>
          <cell r="W5058">
            <v>0</v>
          </cell>
          <cell r="X5058" t="str">
            <v>EST POLTRONA HIMALAYA (JANTAR) (CLA) (C3002/DB3001) NOG - 0,7x0,7x0,76H</v>
          </cell>
          <cell r="Y5058">
            <v>11584.681500000001</v>
          </cell>
          <cell r="Z5058">
            <v>0.35</v>
          </cell>
          <cell r="AA5058">
            <v>7530.0429750000003</v>
          </cell>
          <cell r="AB5058"/>
        </row>
        <row r="5059">
          <cell r="C5059">
            <v>0</v>
          </cell>
          <cell r="D5059">
            <v>0</v>
          </cell>
          <cell r="E5059">
            <v>0</v>
          </cell>
          <cell r="F5059">
            <v>0</v>
          </cell>
          <cell r="H5059">
            <v>0</v>
          </cell>
          <cell r="O5059">
            <v>374364</v>
          </cell>
          <cell r="P5059" t="str">
            <v>2024/026-0030-01</v>
          </cell>
          <cell r="Q5059" t="str">
            <v>EST POLTRONA HIMALAYA (JANTAR) (CLA) (C3002/DB3001) NOG</v>
          </cell>
          <cell r="R5059"/>
          <cell r="S5059"/>
          <cell r="T5059">
            <v>0.7</v>
          </cell>
          <cell r="U5059">
            <v>0.7</v>
          </cell>
          <cell r="V5059">
            <v>0.76</v>
          </cell>
          <cell r="W5059">
            <v>0</v>
          </cell>
          <cell r="X5059" t="str">
            <v>EST POLTRONA HIMALAYA (JANTAR) (CLA) (C3002/DB3001) NOG - 0,7x0,7x0,76H</v>
          </cell>
          <cell r="Y5059">
            <v>11584.681500000001</v>
          </cell>
          <cell r="Z5059">
            <v>0.35</v>
          </cell>
          <cell r="AA5059">
            <v>7530.0429750000003</v>
          </cell>
          <cell r="AB5059"/>
        </row>
        <row r="5060">
          <cell r="C5060">
            <v>0</v>
          </cell>
          <cell r="D5060">
            <v>0</v>
          </cell>
          <cell r="E5060">
            <v>0</v>
          </cell>
          <cell r="F5060">
            <v>1</v>
          </cell>
          <cell r="H5060">
            <v>1</v>
          </cell>
          <cell r="O5060">
            <v>374368</v>
          </cell>
          <cell r="P5060" t="str">
            <v>2024/026-0045-01</v>
          </cell>
          <cell r="Q5060" t="str">
            <v>EST BANQUETA BAR HIMALAYA 75H C/BR (CON) (C3008) AMENDOA</v>
          </cell>
          <cell r="R5060"/>
          <cell r="S5060"/>
          <cell r="T5060">
            <v>0.56000000000000005</v>
          </cell>
          <cell r="U5060">
            <v>0.52</v>
          </cell>
          <cell r="V5060">
            <v>1.04</v>
          </cell>
          <cell r="W5060">
            <v>0</v>
          </cell>
          <cell r="X5060" t="str">
            <v>EST BANQUETA BAR HIMALAYA 75H C/BR (CON) (C3008) AMENDOA - 0,56x0,52x1,04H</v>
          </cell>
          <cell r="Y5060">
            <v>10607.92</v>
          </cell>
          <cell r="Z5060">
            <v>0.35</v>
          </cell>
          <cell r="AA5060">
            <v>6895.1480000000001</v>
          </cell>
          <cell r="AB5060"/>
        </row>
        <row r="5061">
          <cell r="C5061">
            <v>0</v>
          </cell>
          <cell r="D5061">
            <v>0</v>
          </cell>
          <cell r="E5061">
            <v>0</v>
          </cell>
          <cell r="F5061">
            <v>0</v>
          </cell>
          <cell r="H5061">
            <v>6</v>
          </cell>
          <cell r="O5061">
            <v>388702</v>
          </cell>
          <cell r="P5061" t="str">
            <v>2024/239-0095-01</v>
          </cell>
          <cell r="Q5061" t="str">
            <v>EST CADEIRA ERICA C/B (MAD A JEQ 05) TC BRUNELL0 227</v>
          </cell>
          <cell r="R5061"/>
          <cell r="S5061"/>
          <cell r="T5061">
            <v>0.5</v>
          </cell>
          <cell r="U5061">
            <v>0.61</v>
          </cell>
          <cell r="V5061">
            <v>0.78</v>
          </cell>
          <cell r="W5061">
            <v>0</v>
          </cell>
          <cell r="X5061" t="str">
            <v>EST CADEIRA ERICA C/B (MAD A JEQ 05) TC BRUNELL0 227 - 0,5x0,61x0,78H</v>
          </cell>
          <cell r="Y5061">
            <v>9209.5400000000009</v>
          </cell>
          <cell r="Z5061">
            <v>0.35</v>
          </cell>
          <cell r="AA5061">
            <v>5986.2010000000009</v>
          </cell>
          <cell r="AB5061"/>
        </row>
        <row r="5062">
          <cell r="C5062">
            <v>0</v>
          </cell>
          <cell r="D5062">
            <v>0</v>
          </cell>
          <cell r="E5062">
            <v>0</v>
          </cell>
          <cell r="F5062">
            <v>0</v>
          </cell>
          <cell r="H5062">
            <v>6</v>
          </cell>
          <cell r="O5062">
            <v>388702</v>
          </cell>
          <cell r="P5062" t="str">
            <v>2024/239-0096-01</v>
          </cell>
          <cell r="Q5062" t="str">
            <v>EST CADEIRA ERICA C/B (MAD A JEQ 05) TC BRUNELL0 227</v>
          </cell>
          <cell r="R5062"/>
          <cell r="S5062"/>
          <cell r="T5062">
            <v>0.5</v>
          </cell>
          <cell r="U5062">
            <v>0.61</v>
          </cell>
          <cell r="V5062">
            <v>0.78</v>
          </cell>
          <cell r="W5062">
            <v>0</v>
          </cell>
          <cell r="X5062" t="str">
            <v>EST CADEIRA ERICA C/B (MAD A JEQ 05) TC BRUNELL0 227 - 0,5x0,61x0,78H</v>
          </cell>
          <cell r="Y5062">
            <v>9209.5400000000009</v>
          </cell>
          <cell r="Z5062">
            <v>0.35</v>
          </cell>
          <cell r="AA5062">
            <v>5986.2010000000009</v>
          </cell>
          <cell r="AB5062"/>
        </row>
        <row r="5063">
          <cell r="C5063">
            <v>0</v>
          </cell>
          <cell r="D5063">
            <v>0</v>
          </cell>
          <cell r="E5063">
            <v>0</v>
          </cell>
          <cell r="F5063">
            <v>0</v>
          </cell>
          <cell r="H5063">
            <v>6</v>
          </cell>
          <cell r="O5063">
            <v>388702</v>
          </cell>
          <cell r="P5063" t="str">
            <v>2024/239-0097-01</v>
          </cell>
          <cell r="Q5063" t="str">
            <v>EST CADEIRA ERICA C/B (MAD A JEQ 05) TC BRUNELL0 227</v>
          </cell>
          <cell r="R5063"/>
          <cell r="S5063"/>
          <cell r="T5063">
            <v>0.5</v>
          </cell>
          <cell r="U5063">
            <v>0.61</v>
          </cell>
          <cell r="V5063">
            <v>0.78</v>
          </cell>
          <cell r="W5063">
            <v>0</v>
          </cell>
          <cell r="X5063" t="str">
            <v>EST CADEIRA ERICA C/B (MAD A JEQ 05) TC BRUNELL0 227 - 0,5x0,61x0,78H</v>
          </cell>
          <cell r="Y5063">
            <v>9209.5400000000009</v>
          </cell>
          <cell r="Z5063">
            <v>0.35</v>
          </cell>
          <cell r="AA5063">
            <v>5986.2010000000009</v>
          </cell>
          <cell r="AB5063"/>
        </row>
        <row r="5064">
          <cell r="C5064">
            <v>0</v>
          </cell>
          <cell r="D5064">
            <v>0</v>
          </cell>
          <cell r="E5064">
            <v>0</v>
          </cell>
          <cell r="F5064">
            <v>0</v>
          </cell>
          <cell r="H5064">
            <v>6</v>
          </cell>
          <cell r="O5064">
            <v>388702</v>
          </cell>
          <cell r="P5064" t="str">
            <v>2024/239-0098-01</v>
          </cell>
          <cell r="Q5064" t="str">
            <v>EST CADEIRA ERICA C/B (MAD A JEQ 05) TC BRUNELL0 227</v>
          </cell>
          <cell r="R5064"/>
          <cell r="S5064"/>
          <cell r="T5064">
            <v>0.5</v>
          </cell>
          <cell r="U5064">
            <v>0.61</v>
          </cell>
          <cell r="V5064">
            <v>0.78</v>
          </cell>
          <cell r="W5064">
            <v>0</v>
          </cell>
          <cell r="X5064" t="str">
            <v>EST CADEIRA ERICA C/B (MAD A JEQ 05) TC BRUNELL0 227 - 0,5x0,61x0,78H</v>
          </cell>
          <cell r="Y5064">
            <v>9209.5400000000009</v>
          </cell>
          <cell r="Z5064">
            <v>0.35</v>
          </cell>
          <cell r="AA5064">
            <v>5986.2010000000009</v>
          </cell>
          <cell r="AB5064"/>
        </row>
        <row r="5065">
          <cell r="C5065">
            <v>1</v>
          </cell>
          <cell r="D5065">
            <v>0</v>
          </cell>
          <cell r="E5065">
            <v>0</v>
          </cell>
          <cell r="F5065">
            <v>0</v>
          </cell>
          <cell r="H5065">
            <v>0</v>
          </cell>
          <cell r="O5065">
            <v>378168</v>
          </cell>
          <cell r="P5065" t="str">
            <v>2024/023-0004-01</v>
          </cell>
          <cell r="Q5065" t="str">
            <v>EST TAPETE SISAL CY (BARRA VIRADA)</v>
          </cell>
          <cell r="R5065"/>
          <cell r="S5065"/>
          <cell r="T5065">
            <v>6</v>
          </cell>
          <cell r="U5065">
            <v>4</v>
          </cell>
          <cell r="V5065">
            <v>0</v>
          </cell>
          <cell r="W5065">
            <v>0</v>
          </cell>
          <cell r="X5065" t="str">
            <v>EST TAPETE SISAL CY (BARRA VIRADA) - 6x4x0H</v>
          </cell>
          <cell r="Y5065">
            <v>10662.4</v>
          </cell>
          <cell r="Z5065">
            <v>0.35</v>
          </cell>
          <cell r="AA5065">
            <v>6930.5599999999995</v>
          </cell>
          <cell r="AB5065"/>
        </row>
        <row r="5066">
          <cell r="C5066">
            <v>1</v>
          </cell>
          <cell r="D5066">
            <v>0</v>
          </cell>
          <cell r="E5066">
            <v>0</v>
          </cell>
          <cell r="F5066">
            <v>0</v>
          </cell>
          <cell r="H5066">
            <v>0</v>
          </cell>
          <cell r="O5066">
            <v>378174</v>
          </cell>
          <cell r="P5066" t="str">
            <v>2024/023-0012-01</v>
          </cell>
          <cell r="Q5066" t="str">
            <v>EST TAPETE SISAL C44 (BARRA VIRADA)</v>
          </cell>
          <cell r="R5066"/>
          <cell r="S5066"/>
          <cell r="T5066">
            <v>3.9</v>
          </cell>
          <cell r="U5066">
            <v>0</v>
          </cell>
          <cell r="V5066">
            <v>0</v>
          </cell>
          <cell r="W5066">
            <v>3.9</v>
          </cell>
          <cell r="X5066" t="str">
            <v>EST TAPETE SISAL C44 (BARRA VIRADA) - Ø3,9x0H</v>
          </cell>
          <cell r="Y5066">
            <v>7123.2</v>
          </cell>
          <cell r="Z5066">
            <v>0.35</v>
          </cell>
          <cell r="AA5066">
            <v>4630.08</v>
          </cell>
          <cell r="AB5066"/>
        </row>
        <row r="5067">
          <cell r="C5067">
            <v>0</v>
          </cell>
          <cell r="D5067">
            <v>0</v>
          </cell>
          <cell r="E5067">
            <v>0</v>
          </cell>
          <cell r="F5067">
            <v>0</v>
          </cell>
          <cell r="H5067">
            <v>1</v>
          </cell>
          <cell r="O5067">
            <v>378220</v>
          </cell>
          <cell r="P5067"/>
          <cell r="Q5067" t="str">
            <v>EST POLTRONA JOHN GRAZ (IMBUIA) TC VINAMALA 01 MULTI</v>
          </cell>
          <cell r="R5067"/>
          <cell r="S5067"/>
          <cell r="T5067">
            <v>0.8</v>
          </cell>
          <cell r="U5067">
            <v>0.83</v>
          </cell>
          <cell r="V5067">
            <v>0.74</v>
          </cell>
          <cell r="W5067">
            <v>0</v>
          </cell>
          <cell r="X5067" t="str">
            <v>EST POLTRONA JOHN GRAZ (IMBUIA) TC VINAMALA 01 MULTI - 0,8x0,83x0,74H</v>
          </cell>
          <cell r="Y5067">
            <v>0</v>
          </cell>
          <cell r="Z5067">
            <v>0.35</v>
          </cell>
          <cell r="AA5067">
            <v>0</v>
          </cell>
          <cell r="AB5067"/>
        </row>
        <row r="5068">
          <cell r="C5068">
            <v>0</v>
          </cell>
          <cell r="D5068">
            <v>0</v>
          </cell>
          <cell r="E5068">
            <v>0</v>
          </cell>
          <cell r="F5068">
            <v>0</v>
          </cell>
          <cell r="H5068">
            <v>8</v>
          </cell>
          <cell r="O5068">
            <v>378285</v>
          </cell>
          <cell r="P5068" t="str">
            <v>2024/033-0034-01</v>
          </cell>
          <cell r="Q5068" t="str">
            <v>EST CADEIRA PI C/BRACO (MARROM) TC RUSTICO ASTI 5229-121</v>
          </cell>
          <cell r="R5068"/>
          <cell r="S5068"/>
          <cell r="T5068">
            <v>0.75</v>
          </cell>
          <cell r="U5068">
            <v>0.6</v>
          </cell>
          <cell r="V5068">
            <v>0.76</v>
          </cell>
          <cell r="W5068">
            <v>0</v>
          </cell>
          <cell r="X5068" t="str">
            <v>EST CADEIRA PI C/BRACO (MARROM) TC RUSTICO ASTI 5229-121 - 0,75x0,6x0,76H</v>
          </cell>
          <cell r="Y5068">
            <v>8684.11</v>
          </cell>
          <cell r="Z5068">
            <v>0.5</v>
          </cell>
          <cell r="AA5068">
            <v>4342.0550000000003</v>
          </cell>
          <cell r="AB5068"/>
        </row>
        <row r="5069">
          <cell r="C5069">
            <v>0</v>
          </cell>
          <cell r="D5069">
            <v>0</v>
          </cell>
          <cell r="E5069">
            <v>0</v>
          </cell>
          <cell r="F5069">
            <v>0</v>
          </cell>
          <cell r="H5069">
            <v>8</v>
          </cell>
          <cell r="O5069">
            <v>378285</v>
          </cell>
          <cell r="P5069" t="str">
            <v>2024/033-0035-01</v>
          </cell>
          <cell r="Q5069" t="str">
            <v>EST CADEIRA PI C/BRACO (MARROM) TC RUSTICO ASTI 5229-121</v>
          </cell>
          <cell r="R5069"/>
          <cell r="S5069"/>
          <cell r="T5069">
            <v>0.75</v>
          </cell>
          <cell r="U5069">
            <v>0.6</v>
          </cell>
          <cell r="V5069">
            <v>0.76</v>
          </cell>
          <cell r="W5069">
            <v>0</v>
          </cell>
          <cell r="X5069" t="str">
            <v>EST CADEIRA PI C/BRACO (MARROM) TC RUSTICO ASTI 5229-121 - 0,75x0,6x0,76H</v>
          </cell>
          <cell r="Y5069">
            <v>8684.11</v>
          </cell>
          <cell r="Z5069">
            <v>0.5</v>
          </cell>
          <cell r="AA5069">
            <v>4342.0550000000003</v>
          </cell>
          <cell r="AB5069"/>
        </row>
        <row r="5070">
          <cell r="C5070">
            <v>0</v>
          </cell>
          <cell r="D5070">
            <v>0</v>
          </cell>
          <cell r="E5070">
            <v>0</v>
          </cell>
          <cell r="F5070">
            <v>0</v>
          </cell>
          <cell r="H5070">
            <v>8</v>
          </cell>
          <cell r="O5070">
            <v>378285</v>
          </cell>
          <cell r="P5070" t="str">
            <v>2024/033-0036-01</v>
          </cell>
          <cell r="Q5070" t="str">
            <v>EST CADEIRA PI C/BRACO (MARROM) TC RUSTICO ASTI 5229-121</v>
          </cell>
          <cell r="R5070"/>
          <cell r="S5070"/>
          <cell r="T5070">
            <v>0.75</v>
          </cell>
          <cell r="U5070">
            <v>0.6</v>
          </cell>
          <cell r="V5070">
            <v>0.76</v>
          </cell>
          <cell r="W5070">
            <v>0</v>
          </cell>
          <cell r="X5070" t="str">
            <v>EST CADEIRA PI C/BRACO (MARROM) TC RUSTICO ASTI 5229-121 - 0,75x0,6x0,76H</v>
          </cell>
          <cell r="Y5070">
            <v>8684.11</v>
          </cell>
          <cell r="Z5070">
            <v>0.5</v>
          </cell>
          <cell r="AA5070">
            <v>4342.0550000000003</v>
          </cell>
          <cell r="AB5070"/>
        </row>
        <row r="5071">
          <cell r="C5071">
            <v>0</v>
          </cell>
          <cell r="D5071">
            <v>0</v>
          </cell>
          <cell r="E5071">
            <v>0</v>
          </cell>
          <cell r="F5071">
            <v>0</v>
          </cell>
          <cell r="H5071">
            <v>8</v>
          </cell>
          <cell r="O5071">
            <v>378285</v>
          </cell>
          <cell r="P5071" t="str">
            <v>2024/033-0037-01</v>
          </cell>
          <cell r="Q5071" t="str">
            <v>EST CADEIRA PI C/BRACO (MARROM) TC RUSTICO ASTI 5229-121</v>
          </cell>
          <cell r="R5071"/>
          <cell r="S5071"/>
          <cell r="T5071">
            <v>0.75</v>
          </cell>
          <cell r="U5071">
            <v>0.6</v>
          </cell>
          <cell r="V5071">
            <v>0.76</v>
          </cell>
          <cell r="W5071">
            <v>0</v>
          </cell>
          <cell r="X5071" t="str">
            <v>EST CADEIRA PI C/BRACO (MARROM) TC RUSTICO ASTI 5229-121 - 0,75x0,6x0,76H</v>
          </cell>
          <cell r="Y5071">
            <v>8684.11</v>
          </cell>
          <cell r="Z5071">
            <v>0.5</v>
          </cell>
          <cell r="AA5071">
            <v>4342.0550000000003</v>
          </cell>
          <cell r="AB5071"/>
        </row>
        <row r="5072">
          <cell r="C5072">
            <v>0</v>
          </cell>
          <cell r="D5072">
            <v>0</v>
          </cell>
          <cell r="E5072">
            <v>0</v>
          </cell>
          <cell r="F5072">
            <v>0</v>
          </cell>
          <cell r="H5072">
            <v>8</v>
          </cell>
          <cell r="O5072">
            <v>378285</v>
          </cell>
          <cell r="P5072" t="str">
            <v>2024/033-0039-01</v>
          </cell>
          <cell r="Q5072" t="str">
            <v>EST CADEIRA PI C/BRACO (MARROM) TC RUSTICO ASTI 5229-121</v>
          </cell>
          <cell r="R5072"/>
          <cell r="S5072"/>
          <cell r="T5072">
            <v>0.75</v>
          </cell>
          <cell r="U5072">
            <v>0.6</v>
          </cell>
          <cell r="V5072">
            <v>0.76</v>
          </cell>
          <cell r="W5072">
            <v>0</v>
          </cell>
          <cell r="X5072" t="str">
            <v>EST CADEIRA PI C/BRACO (MARROM) TC RUSTICO ASTI 5229-121 - 0,75x0,6x0,76H</v>
          </cell>
          <cell r="Y5072">
            <v>8684.11</v>
          </cell>
          <cell r="Z5072">
            <v>0.5</v>
          </cell>
          <cell r="AA5072">
            <v>4342.0550000000003</v>
          </cell>
          <cell r="AB5072"/>
        </row>
        <row r="5073">
          <cell r="C5073">
            <v>0</v>
          </cell>
          <cell r="D5073">
            <v>0</v>
          </cell>
          <cell r="E5073">
            <v>0</v>
          </cell>
          <cell r="F5073">
            <v>0</v>
          </cell>
          <cell r="H5073">
            <v>8</v>
          </cell>
          <cell r="O5073">
            <v>378285</v>
          </cell>
          <cell r="P5073" t="str">
            <v>2024/033-0040-01</v>
          </cell>
          <cell r="Q5073" t="str">
            <v>EST CADEIRA PI C/BRACO (MARROM) TC RUSTICO ASTI 5229-121</v>
          </cell>
          <cell r="R5073"/>
          <cell r="S5073"/>
          <cell r="T5073">
            <v>0.75</v>
          </cell>
          <cell r="U5073">
            <v>0.6</v>
          </cell>
          <cell r="V5073">
            <v>0.76</v>
          </cell>
          <cell r="W5073">
            <v>0</v>
          </cell>
          <cell r="X5073" t="str">
            <v>EST CADEIRA PI C/BRACO (MARROM) TC RUSTICO ASTI 5229-121 - 0,75x0,6x0,76H</v>
          </cell>
          <cell r="Y5073">
            <v>8684.11</v>
          </cell>
          <cell r="Z5073">
            <v>0.5</v>
          </cell>
          <cell r="AA5073">
            <v>4342.0550000000003</v>
          </cell>
          <cell r="AB5073"/>
        </row>
        <row r="5074">
          <cell r="C5074">
            <v>0</v>
          </cell>
          <cell r="D5074">
            <v>0</v>
          </cell>
          <cell r="E5074">
            <v>0</v>
          </cell>
          <cell r="F5074">
            <v>0</v>
          </cell>
          <cell r="H5074">
            <v>8</v>
          </cell>
          <cell r="O5074">
            <v>378285</v>
          </cell>
          <cell r="P5074" t="str">
            <v>2024/033-0033-01</v>
          </cell>
          <cell r="Q5074" t="str">
            <v>EST CADEIRA PI C/BRACO (MARROM) TC RUSTICO ASTI 5229-121</v>
          </cell>
          <cell r="R5074"/>
          <cell r="S5074"/>
          <cell r="T5074">
            <v>0.75</v>
          </cell>
          <cell r="U5074">
            <v>0.6</v>
          </cell>
          <cell r="V5074">
            <v>0.76</v>
          </cell>
          <cell r="W5074">
            <v>0</v>
          </cell>
          <cell r="X5074" t="str">
            <v>EST CADEIRA PI C/BRACO (MARROM) TC RUSTICO ASTI 5229-121 - 0,75x0,6x0,76H</v>
          </cell>
          <cell r="Y5074">
            <v>8684.11</v>
          </cell>
          <cell r="Z5074">
            <v>0.5</v>
          </cell>
          <cell r="AA5074">
            <v>4342.0550000000003</v>
          </cell>
          <cell r="AB5074"/>
        </row>
        <row r="5075">
          <cell r="C5075">
            <v>0</v>
          </cell>
          <cell r="D5075">
            <v>0</v>
          </cell>
          <cell r="E5075">
            <v>0</v>
          </cell>
          <cell r="F5075">
            <v>0</v>
          </cell>
          <cell r="H5075">
            <v>8</v>
          </cell>
          <cell r="O5075">
            <v>378285</v>
          </cell>
          <cell r="P5075" t="str">
            <v>2024/033-0038-01</v>
          </cell>
          <cell r="Q5075" t="str">
            <v>EST CADEIRA PI C/BRACO (MARROM) TC RUSTICO ASTI 5229-121</v>
          </cell>
          <cell r="R5075"/>
          <cell r="S5075"/>
          <cell r="T5075">
            <v>0.75</v>
          </cell>
          <cell r="U5075">
            <v>0.6</v>
          </cell>
          <cell r="V5075">
            <v>0.76</v>
          </cell>
          <cell r="W5075">
            <v>0</v>
          </cell>
          <cell r="X5075" t="str">
            <v>EST CADEIRA PI C/BRACO (MARROM) TC RUSTICO ASTI 5229-121 - 0,75x0,6x0,76H</v>
          </cell>
          <cell r="Y5075">
            <v>8684.11</v>
          </cell>
          <cell r="Z5075">
            <v>0.5</v>
          </cell>
          <cell r="AA5075">
            <v>4342.0550000000003</v>
          </cell>
          <cell r="AB5075"/>
        </row>
        <row r="5076">
          <cell r="C5076">
            <v>0</v>
          </cell>
          <cell r="D5076">
            <v>0</v>
          </cell>
          <cell r="E5076">
            <v>0</v>
          </cell>
          <cell r="F5076">
            <v>0</v>
          </cell>
          <cell r="H5076">
            <v>0</v>
          </cell>
          <cell r="O5076">
            <v>378346</v>
          </cell>
          <cell r="P5076" t="str">
            <v>2024/032-0034-01</v>
          </cell>
          <cell r="Q5076" t="str">
            <v>EST POLTRONA AGHATA PLUS (GIRATORIA) (MTX MARROM) FX B2220</v>
          </cell>
          <cell r="R5076"/>
          <cell r="S5076"/>
          <cell r="T5076">
            <v>0.68</v>
          </cell>
          <cell r="U5076">
            <v>0.8</v>
          </cell>
          <cell r="V5076">
            <v>0.76</v>
          </cell>
          <cell r="W5076">
            <v>0</v>
          </cell>
          <cell r="X5076" t="str">
            <v>EST POLTRONA AGHATA PLUS (GIRATORIA) (MTX MARROM) FX B2220 - 0,68x0,8x0,76H</v>
          </cell>
          <cell r="Y5076">
            <v>9627.9699999999993</v>
          </cell>
          <cell r="Z5076">
            <v>0.35</v>
          </cell>
          <cell r="AA5076">
            <v>6258.1805000000004</v>
          </cell>
          <cell r="AB5076"/>
        </row>
        <row r="5077">
          <cell r="C5077">
            <v>0</v>
          </cell>
          <cell r="D5077">
            <v>0</v>
          </cell>
          <cell r="E5077">
            <v>0</v>
          </cell>
          <cell r="F5077">
            <v>0</v>
          </cell>
          <cell r="H5077">
            <v>0</v>
          </cell>
          <cell r="O5077">
            <v>378346</v>
          </cell>
          <cell r="P5077" t="str">
            <v>2024/032-0035-01</v>
          </cell>
          <cell r="Q5077" t="str">
            <v>EST POLTRONA AGHATA PLUS (GIRATORIA) (MTX MARROM) FX B2220</v>
          </cell>
          <cell r="R5077"/>
          <cell r="S5077"/>
          <cell r="T5077">
            <v>0.68</v>
          </cell>
          <cell r="U5077">
            <v>0.8</v>
          </cell>
          <cell r="V5077">
            <v>0.76</v>
          </cell>
          <cell r="W5077">
            <v>0</v>
          </cell>
          <cell r="X5077" t="str">
            <v>EST POLTRONA AGHATA PLUS (GIRATORIA) (MTX MARROM) FX B2220 - 0,68x0,8x0,76H</v>
          </cell>
          <cell r="Y5077">
            <v>9627.9699999999993</v>
          </cell>
          <cell r="Z5077">
            <v>0.35</v>
          </cell>
          <cell r="AA5077">
            <v>6258.1805000000004</v>
          </cell>
          <cell r="AB5077"/>
        </row>
        <row r="5078">
          <cell r="C5078">
            <v>0</v>
          </cell>
          <cell r="D5078">
            <v>0</v>
          </cell>
          <cell r="E5078">
            <v>0</v>
          </cell>
          <cell r="F5078">
            <v>0</v>
          </cell>
          <cell r="H5078">
            <v>1</v>
          </cell>
          <cell r="O5078">
            <v>378392</v>
          </cell>
          <cell r="P5078" t="str">
            <v>2024/030-0068-01</v>
          </cell>
          <cell r="Q5078" t="str">
            <v>EST TAPETE TROPICAL (LISO) (1 COR) (10MM) F:89</v>
          </cell>
          <cell r="R5078"/>
          <cell r="S5078"/>
          <cell r="T5078">
            <v>4</v>
          </cell>
          <cell r="U5078">
            <v>1</v>
          </cell>
          <cell r="V5078">
            <v>0.01</v>
          </cell>
          <cell r="W5078">
            <v>0</v>
          </cell>
          <cell r="X5078" t="str">
            <v>EST TAPETE TROPICAL (LISO) (1 COR) (10MM) F:89 - 4x1x0,01H</v>
          </cell>
          <cell r="Y5078">
            <v>6773.76</v>
          </cell>
          <cell r="Z5078">
            <v>0.35</v>
          </cell>
          <cell r="AA5078">
            <v>4402.9440000000004</v>
          </cell>
          <cell r="AB5078"/>
        </row>
        <row r="5079">
          <cell r="C5079">
            <v>0</v>
          </cell>
          <cell r="D5079">
            <v>0</v>
          </cell>
          <cell r="E5079">
            <v>0</v>
          </cell>
          <cell r="F5079">
            <v>0</v>
          </cell>
          <cell r="H5079">
            <v>1</v>
          </cell>
          <cell r="O5079">
            <v>378477</v>
          </cell>
          <cell r="P5079" t="str">
            <v>2024/030-0010-01</v>
          </cell>
          <cell r="Q5079" t="str">
            <v>EST MESA CENTRO HIMALAYA (CLAS) (TP MARM NEW ROME) (WALNUT)</v>
          </cell>
          <cell r="R5079"/>
          <cell r="S5079"/>
          <cell r="T5079">
            <v>1.2</v>
          </cell>
          <cell r="U5079">
            <v>0</v>
          </cell>
          <cell r="V5079">
            <v>0.35</v>
          </cell>
          <cell r="W5079">
            <v>1.2</v>
          </cell>
          <cell r="X5079" t="str">
            <v>EST MESA CENTRO HIMALAYA (CLAS) (TP MARM NEW ROME) (WALNUT) - Ø1,2x0,35H</v>
          </cell>
          <cell r="Y5079">
            <v>43885.41</v>
          </cell>
          <cell r="Z5079">
            <v>0.5</v>
          </cell>
          <cell r="AA5079">
            <v>21942.705000000002</v>
          </cell>
          <cell r="AB5079"/>
        </row>
        <row r="5080">
          <cell r="C5080">
            <v>0</v>
          </cell>
          <cell r="D5080">
            <v>0</v>
          </cell>
          <cell r="E5080">
            <v>0</v>
          </cell>
          <cell r="F5080">
            <v>0</v>
          </cell>
          <cell r="H5080">
            <v>1</v>
          </cell>
          <cell r="O5080">
            <v>378493</v>
          </cell>
          <cell r="P5080" t="str">
            <v>2024/075-0029-01</v>
          </cell>
          <cell r="Q5080" t="str">
            <v>EST MESA JANTAR HIMALAYA (CONT) (TP MARM NUVOLA) (WALNUT)</v>
          </cell>
          <cell r="R5080"/>
          <cell r="S5080"/>
          <cell r="T5080">
            <v>1.8</v>
          </cell>
          <cell r="U5080">
            <v>0</v>
          </cell>
          <cell r="V5080">
            <v>0.75</v>
          </cell>
          <cell r="W5080">
            <v>1.8</v>
          </cell>
          <cell r="X5080" t="str">
            <v>EST MESA JANTAR HIMALAYA (CONT) (TP MARM NUVOLA) (WALNUT) - Ø1,8x0,75H</v>
          </cell>
          <cell r="Y5080">
            <v>97143.6</v>
          </cell>
          <cell r="Z5080">
            <v>0.35</v>
          </cell>
          <cell r="AA5080">
            <v>63143.340000000004</v>
          </cell>
          <cell r="AB5080"/>
        </row>
        <row r="5081">
          <cell r="C5081">
            <v>0</v>
          </cell>
          <cell r="D5081">
            <v>0</v>
          </cell>
          <cell r="E5081">
            <v>0</v>
          </cell>
          <cell r="F5081">
            <v>2</v>
          </cell>
          <cell r="H5081">
            <v>0</v>
          </cell>
          <cell r="O5081">
            <v>378711</v>
          </cell>
          <cell r="P5081" t="str">
            <v>2024/031-0035-01</v>
          </cell>
          <cell r="Q5081" t="str">
            <v>EST CADEIRA CACAU C/BRACO (AMENDOA) (LATAO) TC 1000 - 1374</v>
          </cell>
          <cell r="R5081"/>
          <cell r="S5081"/>
          <cell r="T5081">
            <v>0.61</v>
          </cell>
          <cell r="U5081">
            <v>0.61</v>
          </cell>
          <cell r="V5081">
            <v>0.84</v>
          </cell>
          <cell r="W5081">
            <v>0</v>
          </cell>
          <cell r="X5081" t="str">
            <v>EST CADEIRA CACAU C/BRACO (AMENDOA) (LATAO) TC 1000 - 1374 - 0,61x0,61x0,84H</v>
          </cell>
          <cell r="Y5081">
            <v>6616.15</v>
          </cell>
          <cell r="Z5081">
            <v>0.5</v>
          </cell>
          <cell r="AA5081">
            <v>3308.0749999999998</v>
          </cell>
          <cell r="AB5081"/>
        </row>
        <row r="5082">
          <cell r="C5082">
            <v>6</v>
          </cell>
          <cell r="D5082">
            <v>0</v>
          </cell>
          <cell r="E5082">
            <v>1</v>
          </cell>
          <cell r="F5082">
            <v>1</v>
          </cell>
          <cell r="H5082">
            <v>0</v>
          </cell>
          <cell r="O5082">
            <v>378829</v>
          </cell>
          <cell r="P5082" t="str">
            <v>2024/065-0023-01</v>
          </cell>
          <cell r="Q5082" t="str">
            <v>EST CADEIRA DYLAN III (CINAMOMO AMENDOA NOCE) COURO CH 32</v>
          </cell>
          <cell r="R5082"/>
          <cell r="S5082"/>
          <cell r="T5082">
            <v>0.5</v>
          </cell>
          <cell r="U5082">
            <v>0.57999999999999996</v>
          </cell>
          <cell r="V5082">
            <v>0.8</v>
          </cell>
          <cell r="W5082">
            <v>0</v>
          </cell>
          <cell r="X5082" t="str">
            <v>EST CADEIRA DYLAN III (CINAMOMO AMENDOA NOCE) COURO CH 32 - 0,5x0,58x0,8H</v>
          </cell>
          <cell r="Y5082">
            <v>4387.8899999999994</v>
          </cell>
          <cell r="Z5082">
            <v>0.35</v>
          </cell>
          <cell r="AA5082">
            <v>2852.1284999999998</v>
          </cell>
          <cell r="AB5082"/>
        </row>
        <row r="5083">
          <cell r="C5083">
            <v>0</v>
          </cell>
          <cell r="D5083">
            <v>0</v>
          </cell>
          <cell r="E5083">
            <v>0</v>
          </cell>
          <cell r="F5083">
            <v>0</v>
          </cell>
          <cell r="H5083">
            <v>1</v>
          </cell>
          <cell r="O5083">
            <v>378923</v>
          </cell>
          <cell r="P5083" t="str">
            <v>2024/065-0084-01</v>
          </cell>
          <cell r="Q5083" t="str">
            <v>EST MESA CENTRO HIMALAYA VITRINE (CLEAR) (LAM1 EBANIZ) NOGAL</v>
          </cell>
          <cell r="R5083"/>
          <cell r="S5083"/>
          <cell r="T5083">
            <v>1.05</v>
          </cell>
          <cell r="U5083">
            <v>1.05</v>
          </cell>
          <cell r="V5083">
            <v>0.31</v>
          </cell>
          <cell r="W5083">
            <v>0</v>
          </cell>
          <cell r="X5083" t="str">
            <v>EST MESA CENTRO HIMALAYA VITRINE (CLEAR) (LAM1 EBANIZ) NOGAL - 1,05x1,05x0,31H</v>
          </cell>
          <cell r="Y5083">
            <v>37340.35</v>
          </cell>
          <cell r="Z5083">
            <v>0.35</v>
          </cell>
          <cell r="AA5083">
            <v>24271.227500000001</v>
          </cell>
          <cell r="AB5083"/>
        </row>
        <row r="5084">
          <cell r="C5084">
            <v>0</v>
          </cell>
          <cell r="D5084">
            <v>1</v>
          </cell>
          <cell r="E5084">
            <v>0</v>
          </cell>
          <cell r="F5084">
            <v>0</v>
          </cell>
          <cell r="H5084">
            <v>5</v>
          </cell>
          <cell r="O5084">
            <v>379015</v>
          </cell>
          <cell r="P5084" t="str">
            <v>2024/211-0033-01</v>
          </cell>
          <cell r="Q5084" t="str">
            <v>EST CADEIRA VIA (COURO TP3 PROMO LA PAZ PRETO FSC) PRETO</v>
          </cell>
          <cell r="R5084"/>
          <cell r="S5084"/>
          <cell r="T5084">
            <v>0.6</v>
          </cell>
          <cell r="U5084">
            <v>0.53</v>
          </cell>
          <cell r="V5084">
            <v>0.78</v>
          </cell>
          <cell r="W5084">
            <v>0</v>
          </cell>
          <cell r="X5084" t="str">
            <v>EST CADEIRA VIA (COURO TP3 PROMO LA PAZ PRETO FSC) PRETO - 0,6x0,53x0,78H</v>
          </cell>
          <cell r="Y5084">
            <v>11913.13</v>
          </cell>
          <cell r="Z5084">
            <v>0.35</v>
          </cell>
          <cell r="AA5084">
            <v>7743.5344999999998</v>
          </cell>
          <cell r="AB5084"/>
        </row>
        <row r="5085">
          <cell r="C5085">
            <v>0</v>
          </cell>
          <cell r="D5085">
            <v>1</v>
          </cell>
          <cell r="E5085">
            <v>0</v>
          </cell>
          <cell r="F5085">
            <v>0</v>
          </cell>
          <cell r="H5085">
            <v>5</v>
          </cell>
          <cell r="O5085">
            <v>379015</v>
          </cell>
          <cell r="P5085" t="str">
            <v>2024/211-0032-01</v>
          </cell>
          <cell r="Q5085" t="str">
            <v>EST CADEIRA VIA (COURO TP3 PROMO LA PAZ PRETO FSC) PRETO</v>
          </cell>
          <cell r="R5085"/>
          <cell r="S5085"/>
          <cell r="T5085">
            <v>0.6</v>
          </cell>
          <cell r="U5085">
            <v>0.53</v>
          </cell>
          <cell r="V5085">
            <v>0.78</v>
          </cell>
          <cell r="W5085">
            <v>0</v>
          </cell>
          <cell r="X5085" t="str">
            <v>EST CADEIRA VIA (COURO TP3 PROMO LA PAZ PRETO FSC) PRETO - 0,6x0,53x0,78H</v>
          </cell>
          <cell r="Y5085">
            <v>11913.13</v>
          </cell>
          <cell r="Z5085">
            <v>0.35</v>
          </cell>
          <cell r="AA5085">
            <v>7743.5344999999998</v>
          </cell>
          <cell r="AB5085"/>
        </row>
        <row r="5086">
          <cell r="C5086">
            <v>0</v>
          </cell>
          <cell r="D5086">
            <v>1</v>
          </cell>
          <cell r="E5086">
            <v>0</v>
          </cell>
          <cell r="F5086">
            <v>0</v>
          </cell>
          <cell r="H5086">
            <v>5</v>
          </cell>
          <cell r="O5086">
            <v>379015</v>
          </cell>
          <cell r="P5086" t="str">
            <v>2024/211-0034-01</v>
          </cell>
          <cell r="Q5086" t="str">
            <v>EST CADEIRA VIA (COURO TP3 PROMO LA PAZ PRETO FSC) PRETO</v>
          </cell>
          <cell r="R5086"/>
          <cell r="S5086"/>
          <cell r="T5086">
            <v>0.6</v>
          </cell>
          <cell r="U5086">
            <v>0.53</v>
          </cell>
          <cell r="V5086">
            <v>0.78</v>
          </cell>
          <cell r="W5086">
            <v>0</v>
          </cell>
          <cell r="X5086" t="str">
            <v>EST CADEIRA VIA (COURO TP3 PROMO LA PAZ PRETO FSC) PRETO - 0,6x0,53x0,78H</v>
          </cell>
          <cell r="Y5086">
            <v>11913.13</v>
          </cell>
          <cell r="Z5086">
            <v>0.35</v>
          </cell>
          <cell r="AA5086">
            <v>7743.5344999999998</v>
          </cell>
          <cell r="AB5086"/>
        </row>
        <row r="5087">
          <cell r="C5087">
            <v>0</v>
          </cell>
          <cell r="D5087">
            <v>1</v>
          </cell>
          <cell r="E5087">
            <v>0</v>
          </cell>
          <cell r="F5087">
            <v>0</v>
          </cell>
          <cell r="H5087">
            <v>5</v>
          </cell>
          <cell r="O5087">
            <v>379015</v>
          </cell>
          <cell r="P5087" t="str">
            <v>2024/211-0036-01</v>
          </cell>
          <cell r="Q5087" t="str">
            <v>EST CADEIRA VIA (COURO TP3 PROMO LA PAZ PRETO FSC) PRETO</v>
          </cell>
          <cell r="R5087"/>
          <cell r="S5087"/>
          <cell r="T5087">
            <v>0.6</v>
          </cell>
          <cell r="U5087">
            <v>0.53</v>
          </cell>
          <cell r="V5087">
            <v>0.78</v>
          </cell>
          <cell r="W5087">
            <v>0</v>
          </cell>
          <cell r="X5087" t="str">
            <v>EST CADEIRA VIA (COURO TP3 PROMO LA PAZ PRETO FSC) PRETO - 0,6x0,53x0,78H</v>
          </cell>
          <cell r="Y5087">
            <v>11913.13</v>
          </cell>
          <cell r="Z5087">
            <v>0.35</v>
          </cell>
          <cell r="AA5087">
            <v>7743.5344999999998</v>
          </cell>
          <cell r="AB5087"/>
        </row>
        <row r="5088">
          <cell r="C5088">
            <v>2</v>
          </cell>
          <cell r="D5088">
            <v>0</v>
          </cell>
          <cell r="E5088">
            <v>0</v>
          </cell>
          <cell r="F5088">
            <v>0</v>
          </cell>
          <cell r="H5088">
            <v>4</v>
          </cell>
          <cell r="O5088">
            <v>379017</v>
          </cell>
          <cell r="P5088" t="str">
            <v>2024/201-0004-01</v>
          </cell>
          <cell r="Q5088" t="str">
            <v>EST CADEIRA VIA (COURO TP2 PROMO GRANO SANDSTORM) CHAMPAGNE</v>
          </cell>
          <cell r="R5088"/>
          <cell r="S5088"/>
          <cell r="T5088">
            <v>0.6</v>
          </cell>
          <cell r="U5088">
            <v>0.53</v>
          </cell>
          <cell r="V5088">
            <v>0.78</v>
          </cell>
          <cell r="W5088">
            <v>0</v>
          </cell>
          <cell r="X5088" t="str">
            <v>EST CADEIRA VIA (COURO TP2 PROMO GRANO SANDSTORM) CHAMPAGNE - 0,6x0,53x0,78H</v>
          </cell>
          <cell r="Y5088">
            <v>11701.89</v>
          </cell>
          <cell r="Z5088">
            <v>0.35</v>
          </cell>
          <cell r="AA5088">
            <v>7606.2284999999993</v>
          </cell>
          <cell r="AB5088"/>
        </row>
        <row r="5089">
          <cell r="C5089">
            <v>2</v>
          </cell>
          <cell r="D5089">
            <v>0</v>
          </cell>
          <cell r="E5089">
            <v>0</v>
          </cell>
          <cell r="F5089">
            <v>0</v>
          </cell>
          <cell r="H5089">
            <v>4</v>
          </cell>
          <cell r="O5089">
            <v>379017</v>
          </cell>
          <cell r="P5089" t="str">
            <v>2024/201-0005-01</v>
          </cell>
          <cell r="Q5089" t="str">
            <v>EST CADEIRA VIA (COURO TP2 PROMO GRANO SANDSTORM) CHAMPAGNE</v>
          </cell>
          <cell r="R5089"/>
          <cell r="S5089"/>
          <cell r="T5089">
            <v>0.6</v>
          </cell>
          <cell r="U5089">
            <v>0.53</v>
          </cell>
          <cell r="V5089">
            <v>0.78</v>
          </cell>
          <cell r="W5089">
            <v>0</v>
          </cell>
          <cell r="X5089" t="str">
            <v>EST CADEIRA VIA (COURO TP2 PROMO GRANO SANDSTORM) CHAMPAGNE - 0,6x0,53x0,78H</v>
          </cell>
          <cell r="Y5089">
            <v>11701.89</v>
          </cell>
          <cell r="Z5089">
            <v>0.35</v>
          </cell>
          <cell r="AA5089">
            <v>7606.2284999999993</v>
          </cell>
          <cell r="AB5089"/>
        </row>
        <row r="5090">
          <cell r="C5090">
            <v>2</v>
          </cell>
          <cell r="D5090">
            <v>0</v>
          </cell>
          <cell r="E5090">
            <v>0</v>
          </cell>
          <cell r="F5090">
            <v>0</v>
          </cell>
          <cell r="H5090">
            <v>4</v>
          </cell>
          <cell r="O5090">
            <v>379017</v>
          </cell>
          <cell r="P5090" t="str">
            <v>2024/201-0006-01</v>
          </cell>
          <cell r="Q5090" t="str">
            <v>EST CADEIRA VIA (COURO TP2 PROMO GRANO SANDSTORM) CHAMPAGNE</v>
          </cell>
          <cell r="R5090"/>
          <cell r="S5090"/>
          <cell r="T5090">
            <v>0.6</v>
          </cell>
          <cell r="U5090">
            <v>0.53</v>
          </cell>
          <cell r="V5090">
            <v>0.78</v>
          </cell>
          <cell r="W5090">
            <v>0</v>
          </cell>
          <cell r="X5090" t="str">
            <v>EST CADEIRA VIA (COURO TP2 PROMO GRANO SANDSTORM) CHAMPAGNE - 0,6x0,53x0,78H</v>
          </cell>
          <cell r="Y5090">
            <v>11701.89</v>
          </cell>
          <cell r="Z5090">
            <v>0.35</v>
          </cell>
          <cell r="AA5090">
            <v>7606.2284999999993</v>
          </cell>
          <cell r="AB5090"/>
        </row>
        <row r="5091">
          <cell r="C5091">
            <v>2</v>
          </cell>
          <cell r="D5091">
            <v>0</v>
          </cell>
          <cell r="E5091">
            <v>0</v>
          </cell>
          <cell r="F5091">
            <v>0</v>
          </cell>
          <cell r="H5091">
            <v>4</v>
          </cell>
          <cell r="O5091">
            <v>379017</v>
          </cell>
          <cell r="P5091" t="str">
            <v>2024/201-0007-01</v>
          </cell>
          <cell r="Q5091" t="str">
            <v>EST CADEIRA VIA (COURO TP2 PROMO GRANO SANDSTORM) CHAMPAGNE</v>
          </cell>
          <cell r="R5091"/>
          <cell r="S5091"/>
          <cell r="T5091">
            <v>0.6</v>
          </cell>
          <cell r="U5091">
            <v>0.53</v>
          </cell>
          <cell r="V5091">
            <v>0.78</v>
          </cell>
          <cell r="W5091">
            <v>0</v>
          </cell>
          <cell r="X5091" t="str">
            <v>EST CADEIRA VIA (COURO TP2 PROMO GRANO SANDSTORM) CHAMPAGNE - 0,6x0,53x0,78H</v>
          </cell>
          <cell r="Y5091">
            <v>11701.89</v>
          </cell>
          <cell r="Z5091">
            <v>0.35</v>
          </cell>
          <cell r="AA5091">
            <v>7606.2284999999993</v>
          </cell>
          <cell r="AB5091"/>
        </row>
        <row r="5092">
          <cell r="C5092">
            <v>0</v>
          </cell>
          <cell r="D5092">
            <v>0</v>
          </cell>
          <cell r="E5092">
            <v>0</v>
          </cell>
          <cell r="F5092">
            <v>0</v>
          </cell>
          <cell r="H5092">
            <v>1</v>
          </cell>
          <cell r="O5092">
            <v>379022</v>
          </cell>
          <cell r="P5092" t="str">
            <v>2024/073-0007-01</v>
          </cell>
          <cell r="Q5092" t="str">
            <v>EST POLTRONA GALAPAGOS (MST) (TP2 G SILVESTRE) (TP4 C MUSGO)</v>
          </cell>
          <cell r="R5092"/>
          <cell r="S5092"/>
          <cell r="T5092">
            <v>0.85</v>
          </cell>
          <cell r="U5092">
            <v>0.92</v>
          </cell>
          <cell r="V5092">
            <v>0.8</v>
          </cell>
          <cell r="W5092">
            <v>0</v>
          </cell>
          <cell r="X5092" t="str">
            <v>EST POLTRONA GALAPAGOS (MST) (TP2 G SILVESTRE) (TP4 C MUSGO) - 0,85x0,92x0,8H</v>
          </cell>
          <cell r="Y5092">
            <v>25108.43</v>
          </cell>
          <cell r="Z5092">
            <v>0.35</v>
          </cell>
          <cell r="AA5092">
            <v>16320.479500000001</v>
          </cell>
          <cell r="AB5092"/>
        </row>
        <row r="5093">
          <cell r="C5093">
            <v>0</v>
          </cell>
          <cell r="D5093">
            <v>0</v>
          </cell>
          <cell r="E5093">
            <v>0</v>
          </cell>
          <cell r="F5093">
            <v>0</v>
          </cell>
          <cell r="H5093">
            <v>2</v>
          </cell>
          <cell r="O5093">
            <v>379023</v>
          </cell>
          <cell r="P5093" t="str">
            <v>2024/073-0008-01</v>
          </cell>
          <cell r="Q5093" t="str">
            <v>EST POLTRONA GALAPAGOS (MST) (TP3 E COGNAC) (TP4 C TABACO)</v>
          </cell>
          <cell r="R5093"/>
          <cell r="S5093"/>
          <cell r="T5093">
            <v>0.85</v>
          </cell>
          <cell r="U5093">
            <v>0.92</v>
          </cell>
          <cell r="V5093">
            <v>0.8</v>
          </cell>
          <cell r="W5093">
            <v>0</v>
          </cell>
          <cell r="X5093" t="str">
            <v>EST POLTRONA GALAPAGOS (MST) (TP3 E COGNAC) (TP4 C TABACO) - 0,85x0,92x0,8H</v>
          </cell>
          <cell r="Y5093">
            <v>25108.43</v>
          </cell>
          <cell r="Z5093">
            <v>0.35</v>
          </cell>
          <cell r="AA5093">
            <v>16320.479500000001</v>
          </cell>
          <cell r="AB5093"/>
        </row>
        <row r="5094">
          <cell r="C5094">
            <v>0</v>
          </cell>
          <cell r="D5094">
            <v>0</v>
          </cell>
          <cell r="E5094">
            <v>0</v>
          </cell>
          <cell r="F5094">
            <v>0</v>
          </cell>
          <cell r="H5094">
            <v>2</v>
          </cell>
          <cell r="O5094">
            <v>379023</v>
          </cell>
          <cell r="P5094" t="str">
            <v>2024/073-0009-01</v>
          </cell>
          <cell r="Q5094" t="str">
            <v>EST POLTRONA GALAPAGOS (MST) (TP3 E COGNAC) (TP4 C TABACO)</v>
          </cell>
          <cell r="R5094"/>
          <cell r="S5094"/>
          <cell r="T5094">
            <v>0.85</v>
          </cell>
          <cell r="U5094">
            <v>0.92</v>
          </cell>
          <cell r="V5094">
            <v>0.8</v>
          </cell>
          <cell r="W5094">
            <v>0</v>
          </cell>
          <cell r="X5094" t="str">
            <v>EST POLTRONA GALAPAGOS (MST) (TP3 E COGNAC) (TP4 C TABACO) - 0,85x0,92x0,8H</v>
          </cell>
          <cell r="Y5094">
            <v>25108.43</v>
          </cell>
          <cell r="Z5094">
            <v>0.35</v>
          </cell>
          <cell r="AA5094">
            <v>16320.479500000001</v>
          </cell>
          <cell r="AB5094"/>
        </row>
        <row r="5095">
          <cell r="C5095">
            <v>0</v>
          </cell>
          <cell r="D5095">
            <v>0</v>
          </cell>
          <cell r="E5095">
            <v>0</v>
          </cell>
          <cell r="F5095">
            <v>0</v>
          </cell>
          <cell r="H5095">
            <v>0</v>
          </cell>
          <cell r="O5095">
            <v>379527</v>
          </cell>
          <cell r="P5095" t="str">
            <v>2024/068-0007-01</v>
          </cell>
          <cell r="Q5095" t="str">
            <v>EST POLTRONA MONDRIAN (LAM) (C1 CREME/CARV BR) (TC 6649)</v>
          </cell>
          <cell r="R5095"/>
          <cell r="S5095"/>
          <cell r="T5095">
            <v>0.98</v>
          </cell>
          <cell r="U5095">
            <v>1.05</v>
          </cell>
          <cell r="V5095">
            <v>0.71</v>
          </cell>
          <cell r="W5095">
            <v>0</v>
          </cell>
          <cell r="X5095" t="str">
            <v>EST POLTRONA MONDRIAN (LAM) (C1 CREME/CARV BR) (TC 6649) - 0,98x1,05x0,71H</v>
          </cell>
          <cell r="Y5095">
            <v>49714.02</v>
          </cell>
          <cell r="Z5095">
            <v>0.35</v>
          </cell>
          <cell r="AA5095">
            <v>32314.112999999998</v>
          </cell>
          <cell r="AB5095"/>
        </row>
        <row r="5096">
          <cell r="C5096">
            <v>0</v>
          </cell>
          <cell r="D5096">
            <v>0</v>
          </cell>
          <cell r="E5096">
            <v>0</v>
          </cell>
          <cell r="F5096">
            <v>0</v>
          </cell>
          <cell r="H5096">
            <v>1</v>
          </cell>
          <cell r="O5096">
            <v>379528</v>
          </cell>
          <cell r="P5096" t="str">
            <v>2024/068-0008-01</v>
          </cell>
          <cell r="Q5096" t="str">
            <v>EST POLTRONA MONDRIAN (MISTO) (C2 KURK/CARV BR) (C1 CREME)</v>
          </cell>
          <cell r="R5096"/>
          <cell r="S5096"/>
          <cell r="T5096">
            <v>0.98</v>
          </cell>
          <cell r="U5096">
            <v>1.05</v>
          </cell>
          <cell r="V5096">
            <v>0.81</v>
          </cell>
          <cell r="W5096">
            <v>0</v>
          </cell>
          <cell r="X5096" t="str">
            <v>EST POLTRONA MONDRIAN (MISTO) (C2 KURK/CARV BR) (C1 CREME) - 0,98x1,05x0,81H</v>
          </cell>
          <cell r="Y5096">
            <v>72154.3</v>
          </cell>
          <cell r="Z5096">
            <v>0.35</v>
          </cell>
          <cell r="AA5096">
            <v>46900.294999999998</v>
          </cell>
          <cell r="AB5096"/>
        </row>
        <row r="5097">
          <cell r="C5097">
            <v>0</v>
          </cell>
          <cell r="D5097">
            <v>0</v>
          </cell>
          <cell r="E5097">
            <v>0</v>
          </cell>
          <cell r="F5097">
            <v>0</v>
          </cell>
          <cell r="H5097">
            <v>1</v>
          </cell>
          <cell r="O5097">
            <v>379532</v>
          </cell>
          <cell r="P5097" t="str">
            <v>2024/068-0009-01</v>
          </cell>
          <cell r="Q5097" t="str">
            <v>EST CHAISE B/DIR MONDRIAN (LAM) (C1 SEPIA/NOG) (C1 SEPIA)</v>
          </cell>
          <cell r="R5097"/>
          <cell r="S5097"/>
          <cell r="T5097">
            <v>0.94</v>
          </cell>
          <cell r="U5097">
            <v>1.7</v>
          </cell>
          <cell r="V5097">
            <v>0.71</v>
          </cell>
          <cell r="W5097">
            <v>0</v>
          </cell>
          <cell r="X5097" t="str">
            <v>EST CHAISE B/DIR MONDRIAN (LAM) (C1 SEPIA/NOG) (C1 SEPIA) - 0,94x1,7x0,71H</v>
          </cell>
          <cell r="Y5097">
            <v>71279.08</v>
          </cell>
          <cell r="Z5097">
            <v>0.35</v>
          </cell>
          <cell r="AA5097">
            <v>46331.402000000002</v>
          </cell>
          <cell r="AB5097"/>
        </row>
        <row r="5098">
          <cell r="C5098">
            <v>0</v>
          </cell>
          <cell r="D5098">
            <v>0</v>
          </cell>
          <cell r="E5098">
            <v>0</v>
          </cell>
          <cell r="F5098">
            <v>0</v>
          </cell>
          <cell r="H5098">
            <v>0</v>
          </cell>
          <cell r="O5098">
            <v>379548</v>
          </cell>
          <cell r="P5098" t="str">
            <v>2024/080-0011-01</v>
          </cell>
          <cell r="Q5098" t="str">
            <v>EST POLTRONA HIMALAYA (JANTAR) (CON) (C3008) NOG</v>
          </cell>
          <cell r="R5098"/>
          <cell r="S5098"/>
          <cell r="T5098">
            <v>0.7</v>
          </cell>
          <cell r="U5098">
            <v>0.7</v>
          </cell>
          <cell r="V5098">
            <v>0.76</v>
          </cell>
          <cell r="W5098">
            <v>0</v>
          </cell>
          <cell r="X5098" t="str">
            <v>EST POLTRONA HIMALAYA (JANTAR) (CON) (C3008) NOG - 0,7x0,7x0,76H</v>
          </cell>
          <cell r="Y5098">
            <v>10182.82</v>
          </cell>
          <cell r="Z5098">
            <v>0.35</v>
          </cell>
          <cell r="AA5098">
            <v>6618.8330000000005</v>
          </cell>
          <cell r="AB5098"/>
        </row>
        <row r="5099">
          <cell r="C5099">
            <v>0</v>
          </cell>
          <cell r="D5099">
            <v>0</v>
          </cell>
          <cell r="E5099">
            <v>0</v>
          </cell>
          <cell r="F5099">
            <v>0</v>
          </cell>
          <cell r="H5099">
            <v>0</v>
          </cell>
          <cell r="O5099">
            <v>379548</v>
          </cell>
          <cell r="P5099" t="str">
            <v>2024/080-0010-01</v>
          </cell>
          <cell r="Q5099" t="str">
            <v>EST POLTRONA HIMALAYA (JANTAR) (CON) (C3008) NOG</v>
          </cell>
          <cell r="R5099"/>
          <cell r="S5099"/>
          <cell r="T5099">
            <v>0.7</v>
          </cell>
          <cell r="U5099">
            <v>0.7</v>
          </cell>
          <cell r="V5099">
            <v>0.76</v>
          </cell>
          <cell r="W5099">
            <v>0</v>
          </cell>
          <cell r="X5099" t="str">
            <v>EST POLTRONA HIMALAYA (JANTAR) (CON) (C3008) NOG - 0,7x0,7x0,76H</v>
          </cell>
          <cell r="Y5099">
            <v>10182.82</v>
          </cell>
          <cell r="Z5099">
            <v>0.35</v>
          </cell>
          <cell r="AA5099">
            <v>6618.8330000000005</v>
          </cell>
          <cell r="AB5099"/>
        </row>
        <row r="5100">
          <cell r="C5100">
            <v>0</v>
          </cell>
          <cell r="D5100">
            <v>0</v>
          </cell>
          <cell r="E5100">
            <v>0</v>
          </cell>
          <cell r="F5100">
            <v>0</v>
          </cell>
          <cell r="H5100">
            <v>2</v>
          </cell>
          <cell r="O5100">
            <v>379646</v>
          </cell>
          <cell r="P5100" t="str">
            <v>2024/081-0055-01</v>
          </cell>
          <cell r="Q5100" t="str">
            <v>EST POLTRONA PATER (IMBUIA) COURO 1 SEPIA/ALMOF FX7560</v>
          </cell>
          <cell r="R5100"/>
          <cell r="S5100"/>
          <cell r="T5100">
            <v>0.82</v>
          </cell>
          <cell r="U5100">
            <v>0.94</v>
          </cell>
          <cell r="V5100">
            <v>0.83</v>
          </cell>
          <cell r="W5100">
            <v>0</v>
          </cell>
          <cell r="X5100" t="str">
            <v>EST POLTRONA PATER (IMBUIA) COURO 1 SEPIA/ALMOF FX7560 - 0,82x0,94x0,83H</v>
          </cell>
          <cell r="Y5100">
            <v>34077.97</v>
          </cell>
          <cell r="Z5100">
            <v>0.5</v>
          </cell>
          <cell r="AA5100">
            <v>17038.985000000001</v>
          </cell>
          <cell r="AB5100"/>
        </row>
        <row r="5101">
          <cell r="C5101">
            <v>0</v>
          </cell>
          <cell r="D5101">
            <v>0</v>
          </cell>
          <cell r="E5101">
            <v>0</v>
          </cell>
          <cell r="F5101">
            <v>0</v>
          </cell>
          <cell r="H5101">
            <v>1</v>
          </cell>
          <cell r="O5101">
            <v>379862</v>
          </cell>
          <cell r="P5101" t="str">
            <v>2024/068-0021-01</v>
          </cell>
          <cell r="Q5101" t="str">
            <v>EST CHAISE B/ESQ MONDRIAN (LAM) (C1 SEPIA/NOG) (C1 SEPIA)</v>
          </cell>
          <cell r="R5101"/>
          <cell r="S5101"/>
          <cell r="T5101">
            <v>0.94</v>
          </cell>
          <cell r="U5101">
            <v>1.7</v>
          </cell>
          <cell r="V5101">
            <v>0.71</v>
          </cell>
          <cell r="W5101">
            <v>0</v>
          </cell>
          <cell r="X5101" t="str">
            <v>EST CHAISE B/ESQ MONDRIAN (LAM) (C1 SEPIA/NOG) (C1 SEPIA) - 0,94x1,7x0,71H</v>
          </cell>
          <cell r="Y5101">
            <v>71279.08</v>
          </cell>
          <cell r="Z5101">
            <v>0.35</v>
          </cell>
          <cell r="AA5101">
            <v>46331.402000000002</v>
          </cell>
          <cell r="AB5101"/>
        </row>
        <row r="5102">
          <cell r="C5102">
            <v>1</v>
          </cell>
          <cell r="D5102">
            <v>0</v>
          </cell>
          <cell r="E5102">
            <v>0</v>
          </cell>
          <cell r="F5102">
            <v>2</v>
          </cell>
          <cell r="H5102">
            <v>2</v>
          </cell>
          <cell r="O5102">
            <v>379864</v>
          </cell>
          <cell r="P5102" t="str">
            <v>2024/068-0028-01</v>
          </cell>
          <cell r="Q5102" t="str">
            <v>EST BASE CENTRO MONDRIAN (LAMINA NOGUEIRA)</v>
          </cell>
          <cell r="R5102"/>
          <cell r="S5102"/>
          <cell r="T5102">
            <v>0.9</v>
          </cell>
          <cell r="U5102">
            <v>0.9</v>
          </cell>
          <cell r="V5102">
            <v>0.24</v>
          </cell>
          <cell r="W5102">
            <v>0</v>
          </cell>
          <cell r="X5102" t="str">
            <v>EST BASE CENTRO MONDRIAN (LAMINA NOGUEIRA) - 0,9x0,9x0,24H</v>
          </cell>
          <cell r="Y5102">
            <v>12272.92</v>
          </cell>
          <cell r="Z5102">
            <v>0.35</v>
          </cell>
          <cell r="AA5102">
            <v>7977.3980000000001</v>
          </cell>
          <cell r="AB5102"/>
        </row>
        <row r="5103">
          <cell r="C5103">
            <v>0</v>
          </cell>
          <cell r="D5103">
            <v>0</v>
          </cell>
          <cell r="E5103">
            <v>0</v>
          </cell>
          <cell r="F5103">
            <v>2</v>
          </cell>
          <cell r="H5103">
            <v>1</v>
          </cell>
          <cell r="O5103">
            <v>379866</v>
          </cell>
          <cell r="P5103" t="str">
            <v>2024/068-0030-01</v>
          </cell>
          <cell r="Q5103" t="str">
            <v>EST TAMPO MONDRIAN (PEDRA 1) (BRANCO PARANA LEVIGADO)</v>
          </cell>
          <cell r="R5103"/>
          <cell r="S5103"/>
          <cell r="T5103">
            <v>0.87</v>
          </cell>
          <cell r="U5103">
            <v>0.6</v>
          </cell>
          <cell r="V5103">
            <v>0.02</v>
          </cell>
          <cell r="W5103">
            <v>0</v>
          </cell>
          <cell r="X5103" t="str">
            <v>EST TAMPO MONDRIAN (PEDRA 1) (BRANCO PARANA LEVIGADO) - 0,87x0,6x0,02H</v>
          </cell>
          <cell r="Y5103">
            <v>10052.99</v>
          </cell>
          <cell r="Z5103">
            <v>0.35</v>
          </cell>
          <cell r="AA5103">
            <v>6534.4434999999994</v>
          </cell>
          <cell r="AB5103"/>
        </row>
        <row r="5104">
          <cell r="C5104">
            <v>0</v>
          </cell>
          <cell r="D5104">
            <v>0</v>
          </cell>
          <cell r="E5104">
            <v>0</v>
          </cell>
          <cell r="F5104">
            <v>2</v>
          </cell>
          <cell r="H5104">
            <v>1</v>
          </cell>
          <cell r="O5104">
            <v>379866</v>
          </cell>
          <cell r="P5104" t="str">
            <v>2024/068-0033-01</v>
          </cell>
          <cell r="Q5104" t="str">
            <v>EST TAMPO MONDRIAN (PEDRA 1) (BRANCO PARANA LEVIGADO)</v>
          </cell>
          <cell r="R5104"/>
          <cell r="S5104"/>
          <cell r="T5104">
            <v>0.87</v>
          </cell>
          <cell r="U5104">
            <v>0.6</v>
          </cell>
          <cell r="V5104">
            <v>0.02</v>
          </cell>
          <cell r="W5104">
            <v>0</v>
          </cell>
          <cell r="X5104" t="str">
            <v>EST TAMPO MONDRIAN (PEDRA 1) (BRANCO PARANA LEVIGADO) - 0,87x0,6x0,02H</v>
          </cell>
          <cell r="Y5104">
            <v>10052.99</v>
          </cell>
          <cell r="Z5104">
            <v>0.35</v>
          </cell>
          <cell r="AA5104">
            <v>6534.4434999999994</v>
          </cell>
          <cell r="AB5104"/>
        </row>
        <row r="5105">
          <cell r="C5105">
            <v>0</v>
          </cell>
          <cell r="D5105">
            <v>0</v>
          </cell>
          <cell r="E5105">
            <v>0</v>
          </cell>
          <cell r="F5105">
            <v>0</v>
          </cell>
          <cell r="H5105">
            <v>1</v>
          </cell>
          <cell r="O5105">
            <v>379892</v>
          </cell>
          <cell r="P5105" t="str">
            <v>2024/068-0055-01</v>
          </cell>
          <cell r="Q5105" t="str">
            <v>EST PUFF MONDRIAN (C1 CREME/CARV) (TC 6649)</v>
          </cell>
          <cell r="R5105"/>
          <cell r="S5105"/>
          <cell r="T5105">
            <v>0.9</v>
          </cell>
          <cell r="U5105">
            <v>0.6</v>
          </cell>
          <cell r="V5105">
            <v>0.43</v>
          </cell>
          <cell r="W5105">
            <v>0</v>
          </cell>
          <cell r="X5105" t="str">
            <v>EST PUFF MONDRIAN (C1 CREME/CARV) (TC 6649) - 0,9x0,6x0,43H</v>
          </cell>
          <cell r="Y5105">
            <v>17198.59</v>
          </cell>
          <cell r="Z5105">
            <v>0.35</v>
          </cell>
          <cell r="AA5105">
            <v>11179.083500000001</v>
          </cell>
          <cell r="AB5105"/>
        </row>
        <row r="5106">
          <cell r="C5106">
            <v>0</v>
          </cell>
          <cell r="D5106">
            <v>0</v>
          </cell>
          <cell r="E5106">
            <v>0</v>
          </cell>
          <cell r="F5106">
            <v>0</v>
          </cell>
          <cell r="H5106">
            <v>1</v>
          </cell>
          <cell r="O5106">
            <v>379893</v>
          </cell>
          <cell r="P5106" t="str">
            <v>2024/068-0056-01</v>
          </cell>
          <cell r="Q5106" t="str">
            <v>EST POLTRONA MONDRIAN (ESTOF) (C2 MAMMUT/NOG) (C1 SEPIA)</v>
          </cell>
          <cell r="R5106"/>
          <cell r="S5106"/>
          <cell r="T5106">
            <v>1.18</v>
          </cell>
          <cell r="U5106">
            <v>1.05</v>
          </cell>
          <cell r="V5106">
            <v>0.71</v>
          </cell>
          <cell r="W5106">
            <v>0</v>
          </cell>
          <cell r="X5106" t="str">
            <v>EST POLTRONA MONDRIAN (ESTOF) (C2 MAMMUT/NOG) (C1 SEPIA) - 1,18x1,05x0,71H</v>
          </cell>
          <cell r="Y5106">
            <v>72635.72</v>
          </cell>
          <cell r="Z5106">
            <v>0.35</v>
          </cell>
          <cell r="AA5106">
            <v>47213.218000000001</v>
          </cell>
          <cell r="AB5106"/>
        </row>
        <row r="5107">
          <cell r="C5107">
            <v>0</v>
          </cell>
          <cell r="D5107">
            <v>0</v>
          </cell>
          <cell r="E5107">
            <v>0</v>
          </cell>
          <cell r="F5107">
            <v>0</v>
          </cell>
          <cell r="H5107">
            <v>1</v>
          </cell>
          <cell r="O5107">
            <v>379894</v>
          </cell>
          <cell r="P5107" t="str">
            <v>2024/072-0095-01</v>
          </cell>
          <cell r="Q5107" t="str">
            <v>EST PUFF MONDRIAN (C2 MAMMUT/NOG) (C1 SEPIA)</v>
          </cell>
          <cell r="R5107"/>
          <cell r="S5107"/>
          <cell r="T5107">
            <v>0.9</v>
          </cell>
          <cell r="U5107">
            <v>0.6</v>
          </cell>
          <cell r="V5107">
            <v>0.43</v>
          </cell>
          <cell r="W5107">
            <v>0</v>
          </cell>
          <cell r="X5107" t="str">
            <v>EST PUFF MONDRIAN (C2 MAMMUT/NOG) (C1 SEPIA) - 0,9x0,6x0,43H</v>
          </cell>
          <cell r="Y5107">
            <v>22600.79</v>
          </cell>
          <cell r="Z5107">
            <v>0.35</v>
          </cell>
          <cell r="AA5107">
            <v>14690.513500000001</v>
          </cell>
          <cell r="AB5107"/>
        </row>
        <row r="5108">
          <cell r="C5108">
            <v>0</v>
          </cell>
          <cell r="D5108">
            <v>0</v>
          </cell>
          <cell r="E5108">
            <v>0</v>
          </cell>
          <cell r="F5108">
            <v>0</v>
          </cell>
          <cell r="H5108">
            <v>2</v>
          </cell>
          <cell r="O5108">
            <v>379907</v>
          </cell>
          <cell r="P5108" t="str">
            <v>2024/219-0036-01</v>
          </cell>
          <cell r="Q5108" t="str">
            <v>EST POLTRONA BARISTA (COURO T4 COGNAC) PRETO/PRETO</v>
          </cell>
          <cell r="R5108"/>
          <cell r="S5108"/>
          <cell r="T5108">
            <v>1</v>
          </cell>
          <cell r="U5108">
            <v>0.81</v>
          </cell>
          <cell r="V5108">
            <v>0.69</v>
          </cell>
          <cell r="W5108">
            <v>0</v>
          </cell>
          <cell r="X5108" t="str">
            <v>EST POLTRONA BARISTA (COURO T4 COGNAC) PRETO/PRETO - 1x0,81x0,69H</v>
          </cell>
          <cell r="Y5108">
            <v>21001.52</v>
          </cell>
          <cell r="Z5108">
            <v>0.35</v>
          </cell>
          <cell r="AA5108">
            <v>13650.988000000001</v>
          </cell>
          <cell r="AB5108"/>
        </row>
        <row r="5109">
          <cell r="C5109">
            <v>0</v>
          </cell>
          <cell r="D5109">
            <v>0</v>
          </cell>
          <cell r="E5109">
            <v>0</v>
          </cell>
          <cell r="F5109">
            <v>0</v>
          </cell>
          <cell r="H5109">
            <v>2</v>
          </cell>
          <cell r="O5109">
            <v>379907</v>
          </cell>
          <cell r="P5109" t="str">
            <v>2024/219-0037-01</v>
          </cell>
          <cell r="Q5109" t="str">
            <v>EST POLTRONA BARISTA (COURO T4 COGNAC) PRETO/PRETO</v>
          </cell>
          <cell r="R5109"/>
          <cell r="S5109"/>
          <cell r="T5109">
            <v>1</v>
          </cell>
          <cell r="U5109">
            <v>0.81</v>
          </cell>
          <cell r="V5109">
            <v>0.69</v>
          </cell>
          <cell r="W5109">
            <v>0</v>
          </cell>
          <cell r="X5109" t="str">
            <v>EST POLTRONA BARISTA (COURO T4 COGNAC) PRETO/PRETO - 1x0,81x0,69H</v>
          </cell>
          <cell r="Y5109">
            <v>21001.52</v>
          </cell>
          <cell r="Z5109">
            <v>0.35</v>
          </cell>
          <cell r="AA5109">
            <v>13650.988000000001</v>
          </cell>
          <cell r="AB5109"/>
        </row>
        <row r="5110">
          <cell r="C5110">
            <v>0</v>
          </cell>
          <cell r="D5110">
            <v>0</v>
          </cell>
          <cell r="E5110">
            <v>0</v>
          </cell>
          <cell r="F5110">
            <v>0</v>
          </cell>
          <cell r="H5110">
            <v>2</v>
          </cell>
          <cell r="O5110">
            <v>379908</v>
          </cell>
          <cell r="P5110" t="str">
            <v>2024/219-0038-01</v>
          </cell>
          <cell r="Q5110" t="str">
            <v>EST POLTRONA BARISTA (COURO TP2 OPALA) PRETO/NOGUEIRA</v>
          </cell>
          <cell r="R5110"/>
          <cell r="S5110"/>
          <cell r="T5110">
            <v>1</v>
          </cell>
          <cell r="U5110">
            <v>0.81</v>
          </cell>
          <cell r="V5110">
            <v>0.69</v>
          </cell>
          <cell r="W5110">
            <v>0</v>
          </cell>
          <cell r="X5110" t="str">
            <v>EST POLTRONA BARISTA (COURO TP2 OPALA) PRETO/NOGUEIRA - 1x0,81x0,69H</v>
          </cell>
          <cell r="Y5110">
            <v>19488</v>
          </cell>
          <cell r="Z5110">
            <v>0.35</v>
          </cell>
          <cell r="AA5110">
            <v>12667.2</v>
          </cell>
          <cell r="AB5110"/>
        </row>
        <row r="5111">
          <cell r="C5111">
            <v>0</v>
          </cell>
          <cell r="D5111">
            <v>0</v>
          </cell>
          <cell r="E5111">
            <v>0</v>
          </cell>
          <cell r="F5111">
            <v>0</v>
          </cell>
          <cell r="H5111">
            <v>2</v>
          </cell>
          <cell r="O5111">
            <v>379908</v>
          </cell>
          <cell r="P5111" t="str">
            <v>2024/219-0039-01</v>
          </cell>
          <cell r="Q5111" t="str">
            <v>EST POLTRONA BARISTA (COURO TP2 OPALA) PRETO/NOGUEIRA</v>
          </cell>
          <cell r="R5111"/>
          <cell r="S5111"/>
          <cell r="T5111">
            <v>1</v>
          </cell>
          <cell r="U5111">
            <v>0.81</v>
          </cell>
          <cell r="V5111">
            <v>0.69</v>
          </cell>
          <cell r="W5111">
            <v>0</v>
          </cell>
          <cell r="X5111" t="str">
            <v>EST POLTRONA BARISTA (COURO TP2 OPALA) PRETO/NOGUEIRA - 1x0,81x0,69H</v>
          </cell>
          <cell r="Y5111">
            <v>19488</v>
          </cell>
          <cell r="Z5111">
            <v>0.35</v>
          </cell>
          <cell r="AA5111">
            <v>12667.2</v>
          </cell>
          <cell r="AB5111"/>
        </row>
        <row r="5112">
          <cell r="C5112">
            <v>0</v>
          </cell>
          <cell r="D5112">
            <v>0</v>
          </cell>
          <cell r="E5112">
            <v>0</v>
          </cell>
          <cell r="F5112">
            <v>0</v>
          </cell>
          <cell r="H5112">
            <v>1</v>
          </cell>
          <cell r="O5112">
            <v>380287</v>
          </cell>
          <cell r="P5112"/>
          <cell r="Q5112" t="str">
            <v>EST POLTRONA SAPAO (FREIJO TNZ 01) COURO PIG 712</v>
          </cell>
          <cell r="R5112"/>
          <cell r="S5112"/>
          <cell r="T5112">
            <v>0.75</v>
          </cell>
          <cell r="U5112">
            <v>0.72</v>
          </cell>
          <cell r="V5112">
            <v>0.6</v>
          </cell>
          <cell r="W5112">
            <v>0</v>
          </cell>
          <cell r="X5112" t="str">
            <v>EST POLTRONA SAPAO (FREIJO TNZ 01) COURO PIG 712 - 0,75x0,72x0,6H</v>
          </cell>
          <cell r="Y5112">
            <v>0</v>
          </cell>
          <cell r="Z5112">
            <v>0.35</v>
          </cell>
          <cell r="AA5112">
            <v>0</v>
          </cell>
          <cell r="AB5112"/>
        </row>
        <row r="5113">
          <cell r="C5113">
            <v>0</v>
          </cell>
          <cell r="D5113">
            <v>0</v>
          </cell>
          <cell r="E5113">
            <v>0</v>
          </cell>
          <cell r="F5113">
            <v>0</v>
          </cell>
          <cell r="H5113">
            <v>4</v>
          </cell>
          <cell r="O5113">
            <v>383214</v>
          </cell>
          <cell r="P5113" t="str">
            <v>2024/093-0062-01</v>
          </cell>
          <cell r="Q5113" t="str">
            <v>EST ALMOFADA DECORATIVA HIMALAYA (G) (SOFT) FIRENZE 12</v>
          </cell>
          <cell r="R5113"/>
          <cell r="S5113"/>
          <cell r="T5113">
            <v>0.9</v>
          </cell>
          <cell r="U5113">
            <v>0.7</v>
          </cell>
          <cell r="V5113">
            <v>0</v>
          </cell>
          <cell r="W5113">
            <v>0</v>
          </cell>
          <cell r="X5113" t="str">
            <v>EST ALMOFADA DECORATIVA HIMALAYA (G) (SOFT) FIRENZE 12 - 0,9x0,7x0H</v>
          </cell>
          <cell r="Y5113">
            <v>4631.2439999999997</v>
          </cell>
          <cell r="Z5113">
            <v>0.35</v>
          </cell>
          <cell r="AA5113">
            <v>3010.3085999999998</v>
          </cell>
          <cell r="AB5113"/>
        </row>
        <row r="5114">
          <cell r="C5114">
            <v>0</v>
          </cell>
          <cell r="D5114">
            <v>0</v>
          </cell>
          <cell r="E5114">
            <v>0</v>
          </cell>
          <cell r="F5114">
            <v>0</v>
          </cell>
          <cell r="H5114">
            <v>4</v>
          </cell>
          <cell r="O5114">
            <v>383214</v>
          </cell>
          <cell r="P5114" t="str">
            <v>2024/093-0063-01</v>
          </cell>
          <cell r="Q5114" t="str">
            <v>EST ALMOFADA DECORATIVA HIMALAYA (G) (SOFT) FIRENZE 12</v>
          </cell>
          <cell r="R5114"/>
          <cell r="S5114"/>
          <cell r="T5114">
            <v>0.9</v>
          </cell>
          <cell r="U5114">
            <v>0.7</v>
          </cell>
          <cell r="V5114">
            <v>0</v>
          </cell>
          <cell r="W5114">
            <v>0</v>
          </cell>
          <cell r="X5114" t="str">
            <v>EST ALMOFADA DECORATIVA HIMALAYA (G) (SOFT) FIRENZE 12 - 0,9x0,7x0H</v>
          </cell>
          <cell r="Y5114">
            <v>4631.2439999999997</v>
          </cell>
          <cell r="Z5114">
            <v>0.35</v>
          </cell>
          <cell r="AA5114">
            <v>3010.3085999999998</v>
          </cell>
          <cell r="AB5114"/>
        </row>
        <row r="5115">
          <cell r="C5115">
            <v>0</v>
          </cell>
          <cell r="D5115">
            <v>0</v>
          </cell>
          <cell r="E5115">
            <v>0</v>
          </cell>
          <cell r="F5115">
            <v>0</v>
          </cell>
          <cell r="H5115">
            <v>4</v>
          </cell>
          <cell r="O5115">
            <v>383214</v>
          </cell>
          <cell r="P5115" t="str">
            <v>2024/093-0064-01</v>
          </cell>
          <cell r="Q5115" t="str">
            <v>EST ALMOFADA DECORATIVA HIMALAYA (G) (SOFT) FIRENZE 12</v>
          </cell>
          <cell r="R5115"/>
          <cell r="S5115"/>
          <cell r="T5115">
            <v>0.9</v>
          </cell>
          <cell r="U5115">
            <v>0.7</v>
          </cell>
          <cell r="V5115">
            <v>0</v>
          </cell>
          <cell r="W5115">
            <v>0</v>
          </cell>
          <cell r="X5115" t="str">
            <v>EST ALMOFADA DECORATIVA HIMALAYA (G) (SOFT) FIRENZE 12 - 0,9x0,7x0H</v>
          </cell>
          <cell r="Y5115">
            <v>4631.2439999999997</v>
          </cell>
          <cell r="Z5115">
            <v>0.35</v>
          </cell>
          <cell r="AA5115">
            <v>3010.3085999999998</v>
          </cell>
          <cell r="AB5115"/>
        </row>
        <row r="5116">
          <cell r="C5116">
            <v>0</v>
          </cell>
          <cell r="D5116">
            <v>0</v>
          </cell>
          <cell r="E5116">
            <v>0</v>
          </cell>
          <cell r="F5116">
            <v>0</v>
          </cell>
          <cell r="H5116">
            <v>4</v>
          </cell>
          <cell r="O5116">
            <v>383214</v>
          </cell>
          <cell r="P5116" t="str">
            <v>2024/093-0061-01</v>
          </cell>
          <cell r="Q5116" t="str">
            <v>EST ALMOFADA DECORATIVA HIMALAYA (G) (SOFT) FIRENZE 12</v>
          </cell>
          <cell r="R5116"/>
          <cell r="S5116"/>
          <cell r="T5116">
            <v>0.9</v>
          </cell>
          <cell r="U5116">
            <v>0.7</v>
          </cell>
          <cell r="V5116">
            <v>0</v>
          </cell>
          <cell r="W5116">
            <v>0</v>
          </cell>
          <cell r="X5116" t="str">
            <v>EST ALMOFADA DECORATIVA HIMALAYA (G) (SOFT) FIRENZE 12 - 0,9x0,7x0H</v>
          </cell>
          <cell r="Y5116">
            <v>4631.2439999999997</v>
          </cell>
          <cell r="Z5116">
            <v>0.35</v>
          </cell>
          <cell r="AA5116">
            <v>3010.3085999999998</v>
          </cell>
          <cell r="AB5116"/>
        </row>
        <row r="5117">
          <cell r="C5117">
            <v>0</v>
          </cell>
          <cell r="D5117">
            <v>0</v>
          </cell>
          <cell r="E5117">
            <v>2</v>
          </cell>
          <cell r="F5117">
            <v>0</v>
          </cell>
          <cell r="H5117">
            <v>2</v>
          </cell>
          <cell r="O5117">
            <v>383215</v>
          </cell>
          <cell r="P5117" t="str">
            <v>2024/093-0067-01</v>
          </cell>
          <cell r="Q5117" t="str">
            <v>EST ALMOFADA DECORATIVA HIMALAYA (G) (SOFT) (FX PET 01)</v>
          </cell>
          <cell r="R5117"/>
          <cell r="S5117"/>
          <cell r="T5117">
            <v>0.9</v>
          </cell>
          <cell r="U5117">
            <v>0.7</v>
          </cell>
          <cell r="V5117">
            <v>0</v>
          </cell>
          <cell r="W5117">
            <v>0</v>
          </cell>
          <cell r="X5117" t="str">
            <v>EST ALMOFADA DECORATIVA HIMALAYA (G) (SOFT) (FX PET 01) - 0,9x0,7x0H</v>
          </cell>
          <cell r="Y5117">
            <v>4907.53</v>
          </cell>
          <cell r="Z5117">
            <v>0.35</v>
          </cell>
          <cell r="AA5117">
            <v>3189.8944999999999</v>
          </cell>
          <cell r="AB5117"/>
        </row>
        <row r="5118">
          <cell r="C5118">
            <v>4</v>
          </cell>
          <cell r="D5118">
            <v>0</v>
          </cell>
          <cell r="E5118">
            <v>0</v>
          </cell>
          <cell r="F5118">
            <v>7</v>
          </cell>
          <cell r="H5118">
            <v>0</v>
          </cell>
          <cell r="O5118">
            <v>383227</v>
          </cell>
          <cell r="P5118" t="str">
            <v>2024/093-0076-01</v>
          </cell>
          <cell r="Q5118" t="str">
            <v>EST ALMOFADA DECORATIVA HIMALAYA (G) (SOFT) TC CRAFTED GLAZE</v>
          </cell>
          <cell r="R5118"/>
          <cell r="S5118"/>
          <cell r="T5118">
            <v>0.9</v>
          </cell>
          <cell r="U5118">
            <v>0.7</v>
          </cell>
          <cell r="V5118">
            <v>0</v>
          </cell>
          <cell r="W5118">
            <v>0</v>
          </cell>
          <cell r="X5118" t="str">
            <v>EST ALMOFADA DECORATIVA HIMALAYA (G) (SOFT) TC CRAFTED GLAZE - 0,9x0,7x0H</v>
          </cell>
          <cell r="Y5118">
            <v>2915.6380600000002</v>
          </cell>
          <cell r="Z5118">
            <v>0.35</v>
          </cell>
          <cell r="AA5118">
            <v>1895.1647390000003</v>
          </cell>
          <cell r="AB5118"/>
        </row>
        <row r="5119">
          <cell r="C5119">
            <v>4</v>
          </cell>
          <cell r="D5119">
            <v>0</v>
          </cell>
          <cell r="E5119">
            <v>0</v>
          </cell>
          <cell r="F5119">
            <v>7</v>
          </cell>
          <cell r="H5119">
            <v>0</v>
          </cell>
          <cell r="O5119">
            <v>383227</v>
          </cell>
          <cell r="P5119" t="str">
            <v>2024/093-0078-01</v>
          </cell>
          <cell r="Q5119" t="str">
            <v>EST ALMOFADA DECORATIVA HIMALAYA (G) (SOFT) TC CRAFTED GLAZE</v>
          </cell>
          <cell r="R5119"/>
          <cell r="S5119"/>
          <cell r="T5119">
            <v>0.9</v>
          </cell>
          <cell r="U5119">
            <v>0.7</v>
          </cell>
          <cell r="V5119">
            <v>0</v>
          </cell>
          <cell r="W5119">
            <v>0</v>
          </cell>
          <cell r="X5119" t="str">
            <v>EST ALMOFADA DECORATIVA HIMALAYA (G) (SOFT) TC CRAFTED GLAZE - 0,9x0,7x0H</v>
          </cell>
          <cell r="Y5119">
            <v>2915.6380600000002</v>
          </cell>
          <cell r="Z5119">
            <v>0.35</v>
          </cell>
          <cell r="AA5119">
            <v>1895.1647390000003</v>
          </cell>
          <cell r="AB5119"/>
        </row>
        <row r="5120">
          <cell r="C5120">
            <v>4</v>
          </cell>
          <cell r="D5120">
            <v>0</v>
          </cell>
          <cell r="E5120">
            <v>0</v>
          </cell>
          <cell r="F5120">
            <v>7</v>
          </cell>
          <cell r="H5120">
            <v>0</v>
          </cell>
          <cell r="O5120">
            <v>383227</v>
          </cell>
          <cell r="P5120" t="str">
            <v>2024/093-0079-01</v>
          </cell>
          <cell r="Q5120" t="str">
            <v>EST ALMOFADA DECORATIVA HIMALAYA (G) (SOFT) TC CRAFTED GLAZE</v>
          </cell>
          <cell r="R5120"/>
          <cell r="S5120"/>
          <cell r="T5120">
            <v>0.9</v>
          </cell>
          <cell r="U5120">
            <v>0.7</v>
          </cell>
          <cell r="V5120">
            <v>0</v>
          </cell>
          <cell r="W5120">
            <v>0</v>
          </cell>
          <cell r="X5120" t="str">
            <v>EST ALMOFADA DECORATIVA HIMALAYA (G) (SOFT) TC CRAFTED GLAZE - 0,9x0,7x0H</v>
          </cell>
          <cell r="Y5120">
            <v>2915.6380600000002</v>
          </cell>
          <cell r="Z5120">
            <v>0.35</v>
          </cell>
          <cell r="AA5120">
            <v>1895.1647390000003</v>
          </cell>
          <cell r="AB5120"/>
        </row>
        <row r="5121">
          <cell r="C5121">
            <v>4</v>
          </cell>
          <cell r="D5121">
            <v>0</v>
          </cell>
          <cell r="E5121">
            <v>0</v>
          </cell>
          <cell r="F5121">
            <v>7</v>
          </cell>
          <cell r="H5121">
            <v>0</v>
          </cell>
          <cell r="O5121">
            <v>383227</v>
          </cell>
          <cell r="P5121" t="str">
            <v>2024/093-0077-01</v>
          </cell>
          <cell r="Q5121" t="str">
            <v>EST ALMOFADA DECORATIVA HIMALAYA (G) (SOFT) TC CRAFTED GLAZE</v>
          </cell>
          <cell r="R5121"/>
          <cell r="S5121"/>
          <cell r="T5121">
            <v>0.9</v>
          </cell>
          <cell r="U5121">
            <v>0.7</v>
          </cell>
          <cell r="V5121">
            <v>0</v>
          </cell>
          <cell r="W5121">
            <v>0</v>
          </cell>
          <cell r="X5121" t="str">
            <v>EST ALMOFADA DECORATIVA HIMALAYA (G) (SOFT) TC CRAFTED GLAZE - 0,9x0,7x0H</v>
          </cell>
          <cell r="Y5121">
            <v>2915.6380600000002</v>
          </cell>
          <cell r="Z5121">
            <v>0.35</v>
          </cell>
          <cell r="AA5121">
            <v>1895.1647390000003</v>
          </cell>
          <cell r="AB5121"/>
        </row>
        <row r="5122">
          <cell r="C5122">
            <v>0</v>
          </cell>
          <cell r="D5122">
            <v>0</v>
          </cell>
          <cell r="E5122">
            <v>0</v>
          </cell>
          <cell r="F5122">
            <v>0</v>
          </cell>
          <cell r="H5122">
            <v>0</v>
          </cell>
          <cell r="O5122">
            <v>383848</v>
          </cell>
          <cell r="P5122" t="str">
            <v>2024/171-0009-01</v>
          </cell>
          <cell r="Q5122" t="str">
            <v>EST POLTRONA RENATA (FREIJO NT) COURO NOBUK 10</v>
          </cell>
          <cell r="R5122"/>
          <cell r="S5122"/>
          <cell r="T5122">
            <v>0.75</v>
          </cell>
          <cell r="U5122">
            <v>0.8</v>
          </cell>
          <cell r="V5122">
            <v>0.7</v>
          </cell>
          <cell r="W5122">
            <v>0</v>
          </cell>
          <cell r="X5122" t="str">
            <v>EST POLTRONA RENATA (FREIJO NT) COURO NOBUK 10 - 0,75x0,8x0,7H</v>
          </cell>
          <cell r="Y5122">
            <v>53838.66</v>
          </cell>
          <cell r="Z5122">
            <v>0</v>
          </cell>
          <cell r="AA5122">
            <v>53838.66</v>
          </cell>
          <cell r="AB5122"/>
        </row>
        <row r="5123">
          <cell r="C5123">
            <v>0</v>
          </cell>
          <cell r="D5123">
            <v>0</v>
          </cell>
          <cell r="E5123">
            <v>0</v>
          </cell>
          <cell r="F5123">
            <v>0</v>
          </cell>
          <cell r="H5123">
            <v>0</v>
          </cell>
          <cell r="O5123">
            <v>383848</v>
          </cell>
          <cell r="P5123" t="str">
            <v>2024/171-0010-01</v>
          </cell>
          <cell r="Q5123" t="str">
            <v>EST POLTRONA RENATA (FREIJO NT) COURO NOBUK 10</v>
          </cell>
          <cell r="R5123"/>
          <cell r="S5123"/>
          <cell r="T5123">
            <v>0.75</v>
          </cell>
          <cell r="U5123">
            <v>0.8</v>
          </cell>
          <cell r="V5123">
            <v>0.7</v>
          </cell>
          <cell r="W5123">
            <v>0</v>
          </cell>
          <cell r="X5123" t="str">
            <v>EST POLTRONA RENATA (FREIJO NT) COURO NOBUK 10 - 0,75x0,8x0,7H</v>
          </cell>
          <cell r="Y5123">
            <v>53838.66</v>
          </cell>
          <cell r="Z5123">
            <v>0</v>
          </cell>
          <cell r="AA5123">
            <v>53838.66</v>
          </cell>
          <cell r="AB5123"/>
        </row>
        <row r="5124">
          <cell r="C5124">
            <v>0</v>
          </cell>
          <cell r="D5124">
            <v>2</v>
          </cell>
          <cell r="E5124">
            <v>1</v>
          </cell>
          <cell r="F5124">
            <v>3</v>
          </cell>
          <cell r="H5124">
            <v>0</v>
          </cell>
          <cell r="O5124">
            <v>383974</v>
          </cell>
          <cell r="P5124" t="str">
            <v>2024/073-0034-01</v>
          </cell>
          <cell r="Q5124" t="str">
            <v>EST QUADRO (1510 PRETO)</v>
          </cell>
          <cell r="R5124"/>
          <cell r="S5124"/>
          <cell r="T5124">
            <v>1.5</v>
          </cell>
          <cell r="U5124">
            <v>2</v>
          </cell>
          <cell r="V5124">
            <v>0.06</v>
          </cell>
          <cell r="W5124">
            <v>0</v>
          </cell>
          <cell r="X5124" t="str">
            <v>EST QUADRO (1510 PRETO) - 1,5x2x0,06H</v>
          </cell>
          <cell r="Y5124">
            <v>5376</v>
          </cell>
          <cell r="Z5124">
            <v>0.35</v>
          </cell>
          <cell r="AA5124">
            <v>3494.4</v>
          </cell>
          <cell r="AB5124"/>
        </row>
        <row r="5125">
          <cell r="C5125">
            <v>0</v>
          </cell>
          <cell r="D5125">
            <v>2</v>
          </cell>
          <cell r="E5125">
            <v>1</v>
          </cell>
          <cell r="F5125">
            <v>3</v>
          </cell>
          <cell r="H5125">
            <v>0</v>
          </cell>
          <cell r="O5125">
            <v>383974</v>
          </cell>
          <cell r="P5125" t="str">
            <v>2024/073-0035-01</v>
          </cell>
          <cell r="Q5125" t="str">
            <v>EST QUADRO (1510 PRETO)</v>
          </cell>
          <cell r="R5125"/>
          <cell r="S5125"/>
          <cell r="T5125">
            <v>1.5</v>
          </cell>
          <cell r="U5125">
            <v>2</v>
          </cell>
          <cell r="V5125">
            <v>0.06</v>
          </cell>
          <cell r="W5125">
            <v>0</v>
          </cell>
          <cell r="X5125" t="str">
            <v>EST QUADRO (1510 PRETO) - 1,5x2x0,06H</v>
          </cell>
          <cell r="Y5125">
            <v>5376</v>
          </cell>
          <cell r="Z5125">
            <v>0.35</v>
          </cell>
          <cell r="AA5125">
            <v>3494.4</v>
          </cell>
          <cell r="AB5125"/>
        </row>
        <row r="5126">
          <cell r="C5126">
            <v>0</v>
          </cell>
          <cell r="D5126">
            <v>6</v>
          </cell>
          <cell r="E5126">
            <v>4</v>
          </cell>
          <cell r="F5126">
            <v>0</v>
          </cell>
          <cell r="H5126">
            <v>0</v>
          </cell>
          <cell r="O5126">
            <v>383975</v>
          </cell>
          <cell r="P5126" t="str">
            <v>2024/073-0039-01</v>
          </cell>
          <cell r="Q5126" t="str">
            <v>EST QUADRO (1210 PRETO)</v>
          </cell>
          <cell r="R5126"/>
          <cell r="S5126"/>
          <cell r="T5126">
            <v>0.8</v>
          </cell>
          <cell r="U5126">
            <v>1.1000000000000001</v>
          </cell>
          <cell r="V5126">
            <v>0.06</v>
          </cell>
          <cell r="W5126">
            <v>0</v>
          </cell>
          <cell r="X5126" t="str">
            <v>EST QUADRO (1210 PRETO) - 0,8x1,1x0,06H</v>
          </cell>
          <cell r="Y5126">
            <v>1747.2</v>
          </cell>
          <cell r="Z5126">
            <v>0.35</v>
          </cell>
          <cell r="AA5126">
            <v>1135.68</v>
          </cell>
          <cell r="AB5126"/>
        </row>
        <row r="5127">
          <cell r="C5127">
            <v>0</v>
          </cell>
          <cell r="D5127">
            <v>6</v>
          </cell>
          <cell r="E5127">
            <v>4</v>
          </cell>
          <cell r="F5127">
            <v>0</v>
          </cell>
          <cell r="H5127">
            <v>0</v>
          </cell>
          <cell r="O5127">
            <v>383975</v>
          </cell>
          <cell r="P5127" t="str">
            <v>2024/073-0040-01</v>
          </cell>
          <cell r="Q5127" t="str">
            <v>EST QUADRO (1210 PRETO)</v>
          </cell>
          <cell r="R5127"/>
          <cell r="S5127"/>
          <cell r="T5127">
            <v>0.8</v>
          </cell>
          <cell r="U5127">
            <v>1.1000000000000001</v>
          </cell>
          <cell r="V5127">
            <v>0.06</v>
          </cell>
          <cell r="W5127">
            <v>0</v>
          </cell>
          <cell r="X5127" t="str">
            <v>EST QUADRO (1210 PRETO) - 0,8x1,1x0,06H</v>
          </cell>
          <cell r="Y5127">
            <v>1747.2</v>
          </cell>
          <cell r="Z5127">
            <v>0.35</v>
          </cell>
          <cell r="AA5127">
            <v>1135.68</v>
          </cell>
          <cell r="AB5127"/>
        </row>
        <row r="5128">
          <cell r="C5128">
            <v>0</v>
          </cell>
          <cell r="D5128">
            <v>6</v>
          </cell>
          <cell r="E5128">
            <v>4</v>
          </cell>
          <cell r="F5128">
            <v>0</v>
          </cell>
          <cell r="H5128">
            <v>0</v>
          </cell>
          <cell r="O5128">
            <v>383975</v>
          </cell>
          <cell r="P5128" t="str">
            <v>2024/073-0041-01</v>
          </cell>
          <cell r="Q5128" t="str">
            <v>EST QUADRO (1210 PRETO)</v>
          </cell>
          <cell r="R5128"/>
          <cell r="S5128"/>
          <cell r="T5128">
            <v>0.8</v>
          </cell>
          <cell r="U5128">
            <v>1.1000000000000001</v>
          </cell>
          <cell r="V5128">
            <v>0.06</v>
          </cell>
          <cell r="W5128">
            <v>0</v>
          </cell>
          <cell r="X5128" t="str">
            <v>EST QUADRO (1210 PRETO) - 0,8x1,1x0,06H</v>
          </cell>
          <cell r="Y5128">
            <v>1747.2</v>
          </cell>
          <cell r="Z5128">
            <v>0.35</v>
          </cell>
          <cell r="AA5128">
            <v>1135.68</v>
          </cell>
          <cell r="AB5128"/>
        </row>
        <row r="5129">
          <cell r="C5129">
            <v>0</v>
          </cell>
          <cell r="D5129">
            <v>6</v>
          </cell>
          <cell r="E5129">
            <v>4</v>
          </cell>
          <cell r="F5129">
            <v>0</v>
          </cell>
          <cell r="H5129">
            <v>0</v>
          </cell>
          <cell r="O5129">
            <v>383975</v>
          </cell>
          <cell r="P5129" t="str">
            <v>2024/073-0042-01</v>
          </cell>
          <cell r="Q5129" t="str">
            <v>EST QUADRO (1210 PRETO)</v>
          </cell>
          <cell r="R5129"/>
          <cell r="S5129"/>
          <cell r="T5129">
            <v>0.8</v>
          </cell>
          <cell r="U5129">
            <v>1.1000000000000001</v>
          </cell>
          <cell r="V5129">
            <v>0.06</v>
          </cell>
          <cell r="W5129">
            <v>0</v>
          </cell>
          <cell r="X5129" t="str">
            <v>EST QUADRO (1210 PRETO) - 0,8x1,1x0,06H</v>
          </cell>
          <cell r="Y5129">
            <v>1747.2</v>
          </cell>
          <cell r="Z5129">
            <v>0.35</v>
          </cell>
          <cell r="AA5129">
            <v>1135.68</v>
          </cell>
          <cell r="AB5129"/>
        </row>
        <row r="5130">
          <cell r="C5130">
            <v>1</v>
          </cell>
          <cell r="D5130">
            <v>1</v>
          </cell>
          <cell r="E5130">
            <v>0</v>
          </cell>
          <cell r="F5130">
            <v>1</v>
          </cell>
          <cell r="H5130">
            <v>1</v>
          </cell>
          <cell r="O5130">
            <v>385723</v>
          </cell>
          <cell r="P5130" t="str">
            <v>2024/172-0066-01</v>
          </cell>
          <cell r="Q5130" t="str">
            <v>EST BANQUETA BAR MOI H76 (PRETO FOSCO) (TC LISO LINHO CRU)</v>
          </cell>
          <cell r="R5130"/>
          <cell r="S5130"/>
          <cell r="T5130">
            <v>0.51</v>
          </cell>
          <cell r="U5130">
            <v>0.57999999999999996</v>
          </cell>
          <cell r="V5130">
            <v>1.0900000000000001</v>
          </cell>
          <cell r="W5130">
            <v>0</v>
          </cell>
          <cell r="X5130" t="str">
            <v>EST BANQUETA BAR MOI H76 (PRETO FOSCO) (TC LISO LINHO CRU) - 0,51x0,58x1,09H</v>
          </cell>
          <cell r="Y5130">
            <v>9059.3700000000008</v>
          </cell>
          <cell r="Z5130">
            <v>0.35</v>
          </cell>
          <cell r="AA5130">
            <v>5888.5905000000002</v>
          </cell>
          <cell r="AB5130"/>
        </row>
        <row r="5131">
          <cell r="C5131">
            <v>0</v>
          </cell>
          <cell r="D5131">
            <v>0</v>
          </cell>
          <cell r="E5131">
            <v>0</v>
          </cell>
          <cell r="F5131">
            <v>0</v>
          </cell>
          <cell r="H5131">
            <v>1</v>
          </cell>
          <cell r="O5131">
            <v>386032</v>
          </cell>
          <cell r="P5131" t="str">
            <v>2024/110-0088-01</v>
          </cell>
          <cell r="Q5131" t="str">
            <v>EST MESA JANTAR HIMALAYA (CONT) (TP MARM NUVOLA) (WALNUT)</v>
          </cell>
          <cell r="R5131"/>
          <cell r="S5131"/>
          <cell r="T5131">
            <v>1.8</v>
          </cell>
          <cell r="U5131">
            <v>0</v>
          </cell>
          <cell r="V5131">
            <v>0.75</v>
          </cell>
          <cell r="W5131">
            <v>1.8</v>
          </cell>
          <cell r="X5131" t="str">
            <v>EST MESA JANTAR HIMALAYA (CONT) (TP MARM NUVOLA) (WALNUT) - Ø1,8x0,75H</v>
          </cell>
          <cell r="Y5131">
            <v>97143.6</v>
          </cell>
          <cell r="Z5131">
            <v>0.35</v>
          </cell>
          <cell r="AA5131">
            <v>63143.340000000004</v>
          </cell>
          <cell r="AB5131"/>
        </row>
        <row r="5132">
          <cell r="C5132">
            <v>6</v>
          </cell>
          <cell r="D5132">
            <v>0</v>
          </cell>
          <cell r="E5132">
            <v>0</v>
          </cell>
          <cell r="F5132">
            <v>0</v>
          </cell>
          <cell r="H5132">
            <v>2</v>
          </cell>
          <cell r="O5132">
            <v>386525</v>
          </cell>
          <cell r="P5132" t="str">
            <v>2024/159-0031-01</v>
          </cell>
          <cell r="Q5132" t="str">
            <v>EST CADEIRA JUSSARA (CASTANHO) TC 2000 - 2337</v>
          </cell>
          <cell r="R5132"/>
          <cell r="S5132"/>
          <cell r="T5132">
            <v>0.48</v>
          </cell>
          <cell r="U5132">
            <v>0.6</v>
          </cell>
          <cell r="V5132">
            <v>0.89</v>
          </cell>
          <cell r="W5132">
            <v>0</v>
          </cell>
          <cell r="X5132" t="str">
            <v>EST CADEIRA JUSSARA (CASTANHO) TC 2000 - 2337 - 0,48x0,6x0,89H</v>
          </cell>
          <cell r="Y5132">
            <v>3837.75</v>
          </cell>
          <cell r="Z5132">
            <v>0.5</v>
          </cell>
          <cell r="AA5132">
            <v>1918.875</v>
          </cell>
          <cell r="AB5132"/>
        </row>
        <row r="5133">
          <cell r="C5133">
            <v>6</v>
          </cell>
          <cell r="D5133">
            <v>0</v>
          </cell>
          <cell r="E5133">
            <v>0</v>
          </cell>
          <cell r="F5133">
            <v>0</v>
          </cell>
          <cell r="H5133">
            <v>2</v>
          </cell>
          <cell r="O5133">
            <v>386525</v>
          </cell>
          <cell r="P5133" t="str">
            <v>2024/159-0032-01</v>
          </cell>
          <cell r="Q5133" t="str">
            <v>EST CADEIRA JUSSARA (CASTANHO) TC 2000 - 2337</v>
          </cell>
          <cell r="R5133"/>
          <cell r="S5133"/>
          <cell r="T5133">
            <v>0.48</v>
          </cell>
          <cell r="U5133">
            <v>0.6</v>
          </cell>
          <cell r="V5133">
            <v>0.89</v>
          </cell>
          <cell r="W5133">
            <v>0</v>
          </cell>
          <cell r="X5133" t="str">
            <v>EST CADEIRA JUSSARA (CASTANHO) TC 2000 - 2337 - 0,48x0,6x0,89H</v>
          </cell>
          <cell r="Y5133">
            <v>3837.75</v>
          </cell>
          <cell r="Z5133">
            <v>0.5</v>
          </cell>
          <cell r="AA5133">
            <v>1918.875</v>
          </cell>
          <cell r="AB5133"/>
        </row>
        <row r="5134">
          <cell r="C5134">
            <v>0</v>
          </cell>
          <cell r="D5134">
            <v>0</v>
          </cell>
          <cell r="E5134">
            <v>0</v>
          </cell>
          <cell r="F5134">
            <v>0</v>
          </cell>
          <cell r="H5134">
            <v>0</v>
          </cell>
          <cell r="O5134">
            <v>387060</v>
          </cell>
          <cell r="P5134"/>
          <cell r="Q5134" t="str">
            <v>EST DAYBED LUXOR (3 ALMF) (MAD IMBUIA STAIN) TC MIKA CAMEL</v>
          </cell>
          <cell r="R5134"/>
          <cell r="S5134"/>
          <cell r="T5134">
            <v>2</v>
          </cell>
          <cell r="U5134">
            <v>0.7</v>
          </cell>
          <cell r="V5134">
            <v>0.4</v>
          </cell>
          <cell r="W5134">
            <v>0</v>
          </cell>
          <cell r="X5134" t="str">
            <v>EST DAYBED LUXOR (3 ALMF) (MAD IMBUIA STAIN) TC MIKA CAMEL - 2x0,7x0,4H</v>
          </cell>
          <cell r="Y5134">
            <v>0</v>
          </cell>
          <cell r="Z5134">
            <v>0.35</v>
          </cell>
          <cell r="AA5134">
            <v>0</v>
          </cell>
          <cell r="AB5134"/>
        </row>
        <row r="5135">
          <cell r="C5135">
            <v>0</v>
          </cell>
          <cell r="D5135">
            <v>0</v>
          </cell>
          <cell r="E5135">
            <v>0</v>
          </cell>
          <cell r="F5135">
            <v>0</v>
          </cell>
          <cell r="H5135">
            <v>6</v>
          </cell>
          <cell r="O5135">
            <v>388702</v>
          </cell>
          <cell r="P5135" t="str">
            <v>2024/239-0099-01</v>
          </cell>
          <cell r="Q5135" t="str">
            <v>EST CADEIRA ERICA C/B (MAD A JEQ 05) TC BRUNELL0 227</v>
          </cell>
          <cell r="R5135"/>
          <cell r="S5135"/>
          <cell r="T5135">
            <v>0.5</v>
          </cell>
          <cell r="U5135">
            <v>0.61</v>
          </cell>
          <cell r="V5135">
            <v>0.78</v>
          </cell>
          <cell r="W5135">
            <v>0</v>
          </cell>
          <cell r="X5135" t="str">
            <v>EST CADEIRA ERICA C/B (MAD A JEQ 05) TC BRUNELL0 227 - 0,5x0,61x0,78H</v>
          </cell>
          <cell r="Y5135">
            <v>9209.5400000000009</v>
          </cell>
          <cell r="Z5135">
            <v>0.35</v>
          </cell>
          <cell r="AA5135">
            <v>5986.2010000000009</v>
          </cell>
          <cell r="AB5135"/>
        </row>
        <row r="5136">
          <cell r="C5136">
            <v>0</v>
          </cell>
          <cell r="D5136">
            <v>0</v>
          </cell>
          <cell r="E5136">
            <v>0</v>
          </cell>
          <cell r="F5136">
            <v>0</v>
          </cell>
          <cell r="H5136">
            <v>0</v>
          </cell>
          <cell r="O5136">
            <v>387652</v>
          </cell>
          <cell r="P5136"/>
          <cell r="Q5136" t="str">
            <v>EST POLTRONA ZECA (FREIJO ENV) TC MIKA CHIVE</v>
          </cell>
          <cell r="R5136"/>
          <cell r="S5136"/>
          <cell r="T5136">
            <v>0.69</v>
          </cell>
          <cell r="U5136">
            <v>0.76</v>
          </cell>
          <cell r="V5136">
            <v>0.77</v>
          </cell>
          <cell r="W5136">
            <v>0</v>
          </cell>
          <cell r="X5136" t="str">
            <v>EST POLTRONA ZECA (FREIJO ENV) TC MIKA CHIVE - 0,69x0,76x0,77H</v>
          </cell>
          <cell r="Y5136">
            <v>0</v>
          </cell>
          <cell r="Z5136">
            <v>0.35</v>
          </cell>
          <cell r="AA5136">
            <v>0</v>
          </cell>
          <cell r="AB5136"/>
        </row>
        <row r="5137">
          <cell r="C5137">
            <v>0</v>
          </cell>
          <cell r="D5137">
            <v>0</v>
          </cell>
          <cell r="E5137">
            <v>1</v>
          </cell>
          <cell r="F5137">
            <v>0</v>
          </cell>
          <cell r="H5137">
            <v>0</v>
          </cell>
          <cell r="O5137">
            <v>387661</v>
          </cell>
          <cell r="P5137" t="str">
            <v>2024/206-0064-01</v>
          </cell>
          <cell r="Q5137" t="str">
            <v>EST CADEIRA BLANCA (CASTANHO) TC 3000 - 3336</v>
          </cell>
          <cell r="R5137"/>
          <cell r="S5137"/>
          <cell r="T5137">
            <v>0.54</v>
          </cell>
          <cell r="U5137">
            <v>0.56000000000000005</v>
          </cell>
          <cell r="V5137">
            <v>0.79</v>
          </cell>
          <cell r="W5137">
            <v>0</v>
          </cell>
          <cell r="X5137" t="str">
            <v>EST CADEIRA BLANCA (CASTANHO) TC 3000 - 3336 - 0,54x0,56x0,79H</v>
          </cell>
          <cell r="Y5137">
            <v>3460.76</v>
          </cell>
          <cell r="Z5137">
            <v>0.35</v>
          </cell>
          <cell r="AA5137">
            <v>2249.4940000000001</v>
          </cell>
          <cell r="AB5137"/>
        </row>
        <row r="5138">
          <cell r="C5138">
            <v>0</v>
          </cell>
          <cell r="D5138">
            <v>0</v>
          </cell>
          <cell r="E5138">
            <v>1</v>
          </cell>
          <cell r="F5138">
            <v>0</v>
          </cell>
          <cell r="H5138">
            <v>0</v>
          </cell>
          <cell r="O5138">
            <v>387661</v>
          </cell>
          <cell r="P5138" t="str">
            <v>2024/206-0060-01</v>
          </cell>
          <cell r="Q5138" t="str">
            <v>EST CADEIRA BLANCA (CASTANHO) TC 3000 - 3336</v>
          </cell>
          <cell r="R5138"/>
          <cell r="S5138"/>
          <cell r="T5138">
            <v>0.54</v>
          </cell>
          <cell r="U5138">
            <v>0.56000000000000005</v>
          </cell>
          <cell r="V5138">
            <v>0.79</v>
          </cell>
          <cell r="W5138">
            <v>0</v>
          </cell>
          <cell r="X5138" t="str">
            <v>EST CADEIRA BLANCA (CASTANHO) TC 3000 - 3336 - 0,54x0,56x0,79H</v>
          </cell>
          <cell r="Y5138">
            <v>3460.76</v>
          </cell>
          <cell r="Z5138">
            <v>0.35</v>
          </cell>
          <cell r="AA5138">
            <v>2249.4940000000001</v>
          </cell>
          <cell r="AB5138"/>
        </row>
        <row r="5139">
          <cell r="C5139">
            <v>0</v>
          </cell>
          <cell r="D5139">
            <v>0</v>
          </cell>
          <cell r="E5139">
            <v>1</v>
          </cell>
          <cell r="F5139">
            <v>0</v>
          </cell>
          <cell r="H5139">
            <v>0</v>
          </cell>
          <cell r="O5139">
            <v>387661</v>
          </cell>
          <cell r="P5139" t="str">
            <v>2024/206-0061-01</v>
          </cell>
          <cell r="Q5139" t="str">
            <v>EST CADEIRA BLANCA (CASTANHO) TC 3000 - 3336</v>
          </cell>
          <cell r="R5139"/>
          <cell r="S5139"/>
          <cell r="T5139">
            <v>0.54</v>
          </cell>
          <cell r="U5139">
            <v>0.56000000000000005</v>
          </cell>
          <cell r="V5139">
            <v>0.79</v>
          </cell>
          <cell r="W5139">
            <v>0</v>
          </cell>
          <cell r="X5139" t="str">
            <v>EST CADEIRA BLANCA (CASTANHO) TC 3000 - 3336 - 0,54x0,56x0,79H</v>
          </cell>
          <cell r="Y5139">
            <v>3460.76</v>
          </cell>
          <cell r="Z5139">
            <v>0.35</v>
          </cell>
          <cell r="AA5139">
            <v>2249.4940000000001</v>
          </cell>
          <cell r="AB5139"/>
        </row>
        <row r="5140">
          <cell r="C5140">
            <v>0</v>
          </cell>
          <cell r="D5140">
            <v>0</v>
          </cell>
          <cell r="E5140">
            <v>1</v>
          </cell>
          <cell r="F5140">
            <v>0</v>
          </cell>
          <cell r="H5140">
            <v>0</v>
          </cell>
          <cell r="O5140">
            <v>387661</v>
          </cell>
          <cell r="P5140" t="str">
            <v>2024/206-0062-01</v>
          </cell>
          <cell r="Q5140" t="str">
            <v>EST CADEIRA BLANCA (CASTANHO) TC 3000 - 3336</v>
          </cell>
          <cell r="R5140"/>
          <cell r="S5140"/>
          <cell r="T5140">
            <v>0.54</v>
          </cell>
          <cell r="U5140">
            <v>0.56000000000000005</v>
          </cell>
          <cell r="V5140">
            <v>0.79</v>
          </cell>
          <cell r="W5140">
            <v>0</v>
          </cell>
          <cell r="X5140" t="str">
            <v>EST CADEIRA BLANCA (CASTANHO) TC 3000 - 3336 - 0,54x0,56x0,79H</v>
          </cell>
          <cell r="Y5140">
            <v>3460.76</v>
          </cell>
          <cell r="Z5140">
            <v>0.35</v>
          </cell>
          <cell r="AA5140">
            <v>2249.4940000000001</v>
          </cell>
          <cell r="AB5140"/>
        </row>
        <row r="5141">
          <cell r="C5141">
            <v>0</v>
          </cell>
          <cell r="D5141">
            <v>0</v>
          </cell>
          <cell r="E5141">
            <v>1</v>
          </cell>
          <cell r="F5141">
            <v>0</v>
          </cell>
          <cell r="H5141">
            <v>0</v>
          </cell>
          <cell r="O5141">
            <v>387661</v>
          </cell>
          <cell r="P5141" t="str">
            <v>2024/206-0063-01</v>
          </cell>
          <cell r="Q5141" t="str">
            <v>EST CADEIRA BLANCA (CASTANHO) TC 3000 - 3336</v>
          </cell>
          <cell r="R5141"/>
          <cell r="S5141"/>
          <cell r="T5141">
            <v>0.54</v>
          </cell>
          <cell r="U5141">
            <v>0.56000000000000005</v>
          </cell>
          <cell r="V5141">
            <v>0.79</v>
          </cell>
          <cell r="W5141">
            <v>0</v>
          </cell>
          <cell r="X5141" t="str">
            <v>EST CADEIRA BLANCA (CASTANHO) TC 3000 - 3336 - 0,54x0,56x0,79H</v>
          </cell>
          <cell r="Y5141">
            <v>3460.76</v>
          </cell>
          <cell r="Z5141">
            <v>0.35</v>
          </cell>
          <cell r="AA5141">
            <v>2249.4940000000001</v>
          </cell>
          <cell r="AB5141"/>
        </row>
        <row r="5142">
          <cell r="C5142">
            <v>5</v>
          </cell>
          <cell r="D5142">
            <v>0</v>
          </cell>
          <cell r="E5142">
            <v>0</v>
          </cell>
          <cell r="F5142">
            <v>0</v>
          </cell>
          <cell r="H5142">
            <v>0</v>
          </cell>
          <cell r="O5142">
            <v>387663</v>
          </cell>
          <cell r="P5142" t="str">
            <v>2024/206-0076-01</v>
          </cell>
          <cell r="Q5142" t="str">
            <v>EST CADEIRA BLANCA (DAMASCO) TC 1000 - 1272</v>
          </cell>
          <cell r="R5142"/>
          <cell r="S5142"/>
          <cell r="T5142">
            <v>0.54</v>
          </cell>
          <cell r="U5142">
            <v>0.56000000000000005</v>
          </cell>
          <cell r="V5142">
            <v>0.79</v>
          </cell>
          <cell r="W5142">
            <v>0</v>
          </cell>
          <cell r="X5142" t="str">
            <v>EST CADEIRA BLANCA (DAMASCO) TC 1000 - 1272 - 0,54x0,56x0,79H</v>
          </cell>
          <cell r="Y5142">
            <v>3536.15</v>
          </cell>
          <cell r="Z5142">
            <v>0.35</v>
          </cell>
          <cell r="AA5142">
            <v>2298.4975000000004</v>
          </cell>
          <cell r="AB5142"/>
        </row>
        <row r="5143">
          <cell r="C5143">
            <v>0</v>
          </cell>
          <cell r="D5143">
            <v>0</v>
          </cell>
          <cell r="E5143">
            <v>0</v>
          </cell>
          <cell r="F5143">
            <v>0</v>
          </cell>
          <cell r="H5143">
            <v>1</v>
          </cell>
          <cell r="O5143">
            <v>387720</v>
          </cell>
          <cell r="P5143" t="str">
            <v>2024/206-0093-01</v>
          </cell>
          <cell r="Q5143" t="str">
            <v>EST MESA JANTAR ORIENTE TEKA (TP LAM NOG) BS NOG/MTZ PRETO</v>
          </cell>
          <cell r="R5143"/>
          <cell r="S5143"/>
          <cell r="T5143">
            <v>2.78</v>
          </cell>
          <cell r="U5143">
            <v>1.2</v>
          </cell>
          <cell r="V5143">
            <v>0.76</v>
          </cell>
          <cell r="W5143">
            <v>0</v>
          </cell>
          <cell r="X5143" t="str">
            <v>EST MESA JANTAR ORIENTE TEKA (TP LAM NOG) BS NOG/MTZ PRETO - 2,78x1,2x0,76H</v>
          </cell>
          <cell r="Y5143">
            <v>26717.200000000001</v>
          </cell>
          <cell r="Z5143">
            <v>0.35</v>
          </cell>
          <cell r="AA5143">
            <v>17366.18</v>
          </cell>
          <cell r="AB5143"/>
        </row>
        <row r="5144">
          <cell r="C5144">
            <v>0</v>
          </cell>
          <cell r="D5144">
            <v>0</v>
          </cell>
          <cell r="E5144">
            <v>0</v>
          </cell>
          <cell r="F5144">
            <v>0</v>
          </cell>
          <cell r="H5144">
            <v>6</v>
          </cell>
          <cell r="O5144">
            <v>388702</v>
          </cell>
          <cell r="P5144" t="str">
            <v>2024/239-0100-01</v>
          </cell>
          <cell r="Q5144" t="str">
            <v>EST CADEIRA ERICA C/B (MAD A JEQ 05) TC BRUNELL0 227</v>
          </cell>
          <cell r="R5144"/>
          <cell r="S5144"/>
          <cell r="T5144">
            <v>0.5</v>
          </cell>
          <cell r="U5144">
            <v>0.61</v>
          </cell>
          <cell r="V5144">
            <v>0.78</v>
          </cell>
          <cell r="W5144">
            <v>0</v>
          </cell>
          <cell r="X5144" t="str">
            <v>EST CADEIRA ERICA C/B (MAD A JEQ 05) TC BRUNELL0 227 - 0,5x0,61x0,78H</v>
          </cell>
          <cell r="Y5144">
            <v>9209.5400000000009</v>
          </cell>
          <cell r="Z5144">
            <v>0.35</v>
          </cell>
          <cell r="AA5144">
            <v>5986.2010000000009</v>
          </cell>
          <cell r="AB5144"/>
        </row>
        <row r="5145">
          <cell r="C5145">
            <v>0</v>
          </cell>
          <cell r="D5145">
            <v>0</v>
          </cell>
          <cell r="E5145">
            <v>0</v>
          </cell>
          <cell r="F5145">
            <v>0</v>
          </cell>
          <cell r="H5145">
            <v>1</v>
          </cell>
          <cell r="O5145">
            <v>388738</v>
          </cell>
          <cell r="P5145" t="str">
            <v>2024/239-0124-01</v>
          </cell>
          <cell r="Q5145" t="str">
            <v>EST MESA JANTAR TWINS (DET LAMINA DIF TECA 2) (MAD A JEQ 5)</v>
          </cell>
          <cell r="R5145"/>
          <cell r="S5145"/>
          <cell r="T5145">
            <v>3</v>
          </cell>
          <cell r="U5145">
            <v>1.1499999999999999</v>
          </cell>
          <cell r="V5145">
            <v>0.75</v>
          </cell>
          <cell r="W5145">
            <v>0</v>
          </cell>
          <cell r="X5145" t="str">
            <v>EST MESA JANTAR TWINS (DET LAMINA DIF TECA 2) (MAD A JEQ 5) - 3x1,15x0,75H</v>
          </cell>
          <cell r="Y5145">
            <v>49249.22</v>
          </cell>
          <cell r="Z5145">
            <v>0.35</v>
          </cell>
          <cell r="AA5145">
            <v>32011.993000000002</v>
          </cell>
          <cell r="AB5145"/>
        </row>
        <row r="5146">
          <cell r="C5146">
            <v>1</v>
          </cell>
          <cell r="D5146">
            <v>0</v>
          </cell>
          <cell r="E5146">
            <v>0</v>
          </cell>
          <cell r="F5146">
            <v>0</v>
          </cell>
          <cell r="H5146">
            <v>0</v>
          </cell>
          <cell r="O5146">
            <v>391649</v>
          </cell>
          <cell r="P5146" t="str">
            <v>2024/303-0078-01</v>
          </cell>
          <cell r="Q5146" t="str">
            <v>EST CADEIRA PAX OFFICE MISTA (MAD A TAUARI ENV) TC UDIN 102</v>
          </cell>
          <cell r="R5146"/>
          <cell r="S5146"/>
          <cell r="T5146">
            <v>0.61</v>
          </cell>
          <cell r="U5146">
            <v>0.57999999999999996</v>
          </cell>
          <cell r="V5146">
            <v>0.89</v>
          </cell>
          <cell r="W5146">
            <v>0</v>
          </cell>
          <cell r="X5146" t="str">
            <v>EST CADEIRA PAX OFFICE MISTA (MAD A TAUARI ENV) TC UDIN 102 - 0,61x0,58x0,89H</v>
          </cell>
          <cell r="Y5146">
            <v>23507.55</v>
          </cell>
          <cell r="Z5146">
            <v>0.35</v>
          </cell>
          <cell r="AA5146">
            <v>15279.907499999999</v>
          </cell>
          <cell r="AB5146"/>
        </row>
        <row r="5147">
          <cell r="C5147">
            <v>0</v>
          </cell>
          <cell r="D5147">
            <v>0</v>
          </cell>
          <cell r="E5147">
            <v>0</v>
          </cell>
          <cell r="F5147">
            <v>0</v>
          </cell>
          <cell r="H5147">
            <v>0</v>
          </cell>
          <cell r="O5147">
            <v>145544</v>
          </cell>
          <cell r="P5147"/>
          <cell r="Q5147" t="str">
            <v>EST MESA JANTAR BOSQUE (CATUABA ENVELHECIDA) (INT LC PRETA)</v>
          </cell>
          <cell r="R5147"/>
          <cell r="S5147"/>
          <cell r="T5147">
            <v>2.6</v>
          </cell>
          <cell r="U5147">
            <v>1.2</v>
          </cell>
          <cell r="V5147">
            <v>0.75</v>
          </cell>
          <cell r="W5147">
            <v>0</v>
          </cell>
          <cell r="X5147" t="str">
            <v>EST MESA JANTAR BOSQUE (CATUABA ENVELHECIDA) (INT LC PRETA) - 2,6x1,2x0,75H</v>
          </cell>
          <cell r="Y5147">
            <v>19283.89</v>
          </cell>
          <cell r="Z5147">
            <v>0.35</v>
          </cell>
          <cell r="AA5147">
            <v>12534.5285</v>
          </cell>
          <cell r="AB5147"/>
        </row>
        <row r="5148">
          <cell r="C5148">
            <v>0</v>
          </cell>
          <cell r="D5148">
            <v>0</v>
          </cell>
          <cell r="E5148">
            <v>0</v>
          </cell>
          <cell r="F5148">
            <v>0</v>
          </cell>
          <cell r="H5148">
            <v>1</v>
          </cell>
          <cell r="O5148">
            <v>231142</v>
          </cell>
          <cell r="P5148" t="str">
            <v>2019/035-0118-01</v>
          </cell>
          <cell r="Q5148" t="str">
            <v>EST MESA CENTRO MATIZ (MOD 01) (NERO) (MAD B FREIJO NT)</v>
          </cell>
          <cell r="R5148"/>
          <cell r="S5148"/>
          <cell r="T5148">
            <v>1.83</v>
          </cell>
          <cell r="U5148">
            <v>0.43</v>
          </cell>
          <cell r="V5148">
            <v>0.25</v>
          </cell>
          <cell r="W5148">
            <v>0</v>
          </cell>
          <cell r="X5148" t="str">
            <v>EST MESA CENTRO MATIZ (MOD 01) (NERO) (MAD B FREIJO NT) - 1,83x0,43x0,25H</v>
          </cell>
          <cell r="Y5148">
            <v>43099.780500000001</v>
          </cell>
          <cell r="Z5148">
            <v>0.35</v>
          </cell>
          <cell r="AA5148">
            <v>28014.857325000001</v>
          </cell>
          <cell r="AB5148"/>
        </row>
        <row r="5149">
          <cell r="C5149">
            <v>0</v>
          </cell>
          <cell r="D5149">
            <v>0</v>
          </cell>
          <cell r="E5149">
            <v>0</v>
          </cell>
          <cell r="F5149">
            <v>0</v>
          </cell>
          <cell r="H5149">
            <v>0</v>
          </cell>
          <cell r="O5149">
            <v>334170</v>
          </cell>
          <cell r="P5149" t="str">
            <v>2022/203-0040-01</v>
          </cell>
          <cell r="Q5149" t="str">
            <v>EST MESA JANTAR CRUZADAS (MAD A TAUARI POA)</v>
          </cell>
          <cell r="R5149"/>
          <cell r="S5149"/>
          <cell r="T5149">
            <v>1.6</v>
          </cell>
          <cell r="U5149">
            <v>0</v>
          </cell>
          <cell r="V5149">
            <v>0.75</v>
          </cell>
          <cell r="W5149">
            <v>1.6</v>
          </cell>
          <cell r="X5149" t="str">
            <v>EST MESA JANTAR CRUZADAS (MAD A TAUARI POA) - Ø1,6x0,75H</v>
          </cell>
          <cell r="Y5149">
            <v>23486.799999999999</v>
          </cell>
          <cell r="Z5149">
            <v>0.35</v>
          </cell>
          <cell r="AA5149">
            <v>15266.42</v>
          </cell>
          <cell r="AB5149"/>
        </row>
        <row r="5150">
          <cell r="C5150">
            <v>0</v>
          </cell>
          <cell r="D5150">
            <v>0</v>
          </cell>
          <cell r="E5150">
            <v>0</v>
          </cell>
          <cell r="F5150">
            <v>0</v>
          </cell>
          <cell r="H5150">
            <v>1</v>
          </cell>
          <cell r="O5150">
            <v>336547</v>
          </cell>
          <cell r="P5150"/>
          <cell r="Q5150" t="str">
            <v>EST MESA LATERAL LUSA (OBL CER BEGE) (TAUARI ENV) HST ENV</v>
          </cell>
          <cell r="R5150"/>
          <cell r="S5150"/>
          <cell r="T5150">
            <v>0.51</v>
          </cell>
          <cell r="U5150">
            <v>0.28000000000000003</v>
          </cell>
          <cell r="V5150">
            <v>0.62</v>
          </cell>
          <cell r="W5150">
            <v>0</v>
          </cell>
          <cell r="X5150" t="str">
            <v>EST MESA LATERAL LUSA (OBL CER BEGE) (TAUARI ENV) HST ENV - 0,51x0,28x0,62H</v>
          </cell>
          <cell r="Y5150" t="e">
            <v>#VALUE!</v>
          </cell>
          <cell r="Z5150">
            <v>0.35</v>
          </cell>
          <cell r="AA5150" t="e">
            <v>#VALUE!</v>
          </cell>
          <cell r="AB5150"/>
        </row>
        <row r="5151">
          <cell r="C5151">
            <v>0</v>
          </cell>
          <cell r="D5151">
            <v>0</v>
          </cell>
          <cell r="E5151">
            <v>0</v>
          </cell>
          <cell r="F5151">
            <v>0</v>
          </cell>
          <cell r="H5151">
            <v>1</v>
          </cell>
          <cell r="O5151">
            <v>336551</v>
          </cell>
          <cell r="P5151" t="str">
            <v>2022/307-0061-01</v>
          </cell>
          <cell r="Q5151" t="str">
            <v>EST MESA LATERAL LUSA (RED CER AZUL) (MAD A TAUARI ENV)</v>
          </cell>
          <cell r="R5151"/>
          <cell r="S5151"/>
          <cell r="T5151">
            <v>0.4</v>
          </cell>
          <cell r="U5151">
            <v>0.45</v>
          </cell>
          <cell r="V5151">
            <v>0.72</v>
          </cell>
          <cell r="W5151">
            <v>0</v>
          </cell>
          <cell r="X5151" t="str">
            <v>EST MESA LATERAL LUSA (RED CER AZUL) (MAD A TAUARI ENV) - 0,4x0,45x0,72H</v>
          </cell>
          <cell r="Y5151">
            <v>13265.1</v>
          </cell>
          <cell r="Z5151">
            <v>0.5</v>
          </cell>
          <cell r="AA5151">
            <v>6632.55</v>
          </cell>
          <cell r="AB5151"/>
        </row>
        <row r="5152">
          <cell r="C5152">
            <v>0</v>
          </cell>
          <cell r="D5152">
            <v>0</v>
          </cell>
          <cell r="E5152">
            <v>0</v>
          </cell>
          <cell r="F5152">
            <v>0</v>
          </cell>
          <cell r="H5152">
            <v>1</v>
          </cell>
          <cell r="O5152">
            <v>336618</v>
          </cell>
          <cell r="P5152" t="str">
            <v>2022/307-0062-01</v>
          </cell>
          <cell r="Q5152" t="str">
            <v>EST MESA LATERAL LUSA (OBL CER BEGE) (MAD A TAUARI ENV)</v>
          </cell>
          <cell r="R5152"/>
          <cell r="S5152"/>
          <cell r="T5152">
            <v>0.51</v>
          </cell>
          <cell r="U5152">
            <v>0.28000000000000003</v>
          </cell>
          <cell r="V5152">
            <v>0.56999999999999995</v>
          </cell>
          <cell r="W5152">
            <v>0</v>
          </cell>
          <cell r="X5152" t="str">
            <v>EST MESA LATERAL LUSA (OBL CER BEGE) (MAD A TAUARI ENV) - 0,51x0,28x0,57H</v>
          </cell>
          <cell r="Y5152">
            <v>12034.76</v>
          </cell>
          <cell r="Z5152">
            <v>0.5</v>
          </cell>
          <cell r="AA5152">
            <v>6017.38</v>
          </cell>
          <cell r="AB5152"/>
        </row>
        <row r="5153">
          <cell r="C5153">
            <v>0</v>
          </cell>
          <cell r="D5153">
            <v>0</v>
          </cell>
          <cell r="E5153">
            <v>0</v>
          </cell>
          <cell r="F5153">
            <v>0</v>
          </cell>
          <cell r="H5153">
            <v>8</v>
          </cell>
          <cell r="O5153">
            <v>336658</v>
          </cell>
          <cell r="P5153" t="str">
            <v>2022/230-0022-01</v>
          </cell>
          <cell r="Q5153" t="str">
            <v>EST CADEIRA NINA (MAD A CINAM NT) TC10 11202-331/SEXT TING</v>
          </cell>
          <cell r="R5153"/>
          <cell r="S5153"/>
          <cell r="T5153">
            <v>0.5</v>
          </cell>
          <cell r="U5153">
            <v>0.61</v>
          </cell>
          <cell r="V5153">
            <v>0.88</v>
          </cell>
          <cell r="W5153">
            <v>0</v>
          </cell>
          <cell r="X5153" t="str">
            <v>EST CADEIRA NINA (MAD A CINAM NT) TC10 11202-331/SEXT TING - 0,5x0,61x0,88H</v>
          </cell>
          <cell r="Y5153">
            <v>7742.6</v>
          </cell>
          <cell r="Z5153">
            <v>0.5</v>
          </cell>
          <cell r="AA5153">
            <v>3871.3</v>
          </cell>
          <cell r="AB5153"/>
        </row>
        <row r="5154">
          <cell r="C5154">
            <v>0</v>
          </cell>
          <cell r="D5154">
            <v>0</v>
          </cell>
          <cell r="E5154">
            <v>0</v>
          </cell>
          <cell r="F5154">
            <v>0</v>
          </cell>
          <cell r="H5154">
            <v>8</v>
          </cell>
          <cell r="O5154">
            <v>336658</v>
          </cell>
          <cell r="P5154" t="str">
            <v>2022/230-0023-01</v>
          </cell>
          <cell r="Q5154" t="str">
            <v>EST CADEIRA NINA (MAD A CINAM NT) TC10 11202-331/SEXT TING</v>
          </cell>
          <cell r="R5154"/>
          <cell r="S5154"/>
          <cell r="T5154">
            <v>0.5</v>
          </cell>
          <cell r="U5154">
            <v>0.61</v>
          </cell>
          <cell r="V5154">
            <v>0.88</v>
          </cell>
          <cell r="W5154">
            <v>0</v>
          </cell>
          <cell r="X5154" t="str">
            <v>EST CADEIRA NINA (MAD A CINAM NT) TC10 11202-331/SEXT TING - 0,5x0,61x0,88H</v>
          </cell>
          <cell r="Y5154">
            <v>7742.6</v>
          </cell>
          <cell r="Z5154">
            <v>0.5</v>
          </cell>
          <cell r="AA5154">
            <v>3871.3</v>
          </cell>
          <cell r="AB5154"/>
        </row>
        <row r="5155">
          <cell r="C5155">
            <v>0</v>
          </cell>
          <cell r="D5155">
            <v>0</v>
          </cell>
          <cell r="E5155">
            <v>0</v>
          </cell>
          <cell r="F5155">
            <v>0</v>
          </cell>
          <cell r="H5155">
            <v>8</v>
          </cell>
          <cell r="O5155">
            <v>336658</v>
          </cell>
          <cell r="P5155" t="str">
            <v>2022/230-0024-01</v>
          </cell>
          <cell r="Q5155" t="str">
            <v>EST CADEIRA NINA (MAD A CINAM NT) TC10 11202-331/SEXT TING</v>
          </cell>
          <cell r="R5155"/>
          <cell r="S5155"/>
          <cell r="T5155">
            <v>0.5</v>
          </cell>
          <cell r="U5155">
            <v>0.61</v>
          </cell>
          <cell r="V5155">
            <v>0.88</v>
          </cell>
          <cell r="W5155">
            <v>0</v>
          </cell>
          <cell r="X5155" t="str">
            <v>EST CADEIRA NINA (MAD A CINAM NT) TC10 11202-331/SEXT TING - 0,5x0,61x0,88H</v>
          </cell>
          <cell r="Y5155">
            <v>7742.6</v>
          </cell>
          <cell r="Z5155">
            <v>0.5</v>
          </cell>
          <cell r="AA5155">
            <v>3871.3</v>
          </cell>
          <cell r="AB5155"/>
        </row>
        <row r="5156">
          <cell r="C5156">
            <v>0</v>
          </cell>
          <cell r="D5156">
            <v>0</v>
          </cell>
          <cell r="E5156">
            <v>0</v>
          </cell>
          <cell r="F5156">
            <v>0</v>
          </cell>
          <cell r="H5156">
            <v>8</v>
          </cell>
          <cell r="O5156">
            <v>336658</v>
          </cell>
          <cell r="P5156" t="str">
            <v>2022/230-0025-01</v>
          </cell>
          <cell r="Q5156" t="str">
            <v>EST CADEIRA NINA (MAD A CINAM NT) TC10 11202-331/SEXT TING</v>
          </cell>
          <cell r="R5156"/>
          <cell r="S5156"/>
          <cell r="T5156">
            <v>0.5</v>
          </cell>
          <cell r="U5156">
            <v>0.61</v>
          </cell>
          <cell r="V5156">
            <v>0.88</v>
          </cell>
          <cell r="W5156">
            <v>0</v>
          </cell>
          <cell r="X5156" t="str">
            <v>EST CADEIRA NINA (MAD A CINAM NT) TC10 11202-331/SEXT TING - 0,5x0,61x0,88H</v>
          </cell>
          <cell r="Y5156">
            <v>7742.6</v>
          </cell>
          <cell r="Z5156">
            <v>0.5</v>
          </cell>
          <cell r="AA5156">
            <v>3871.3</v>
          </cell>
          <cell r="AB5156"/>
        </row>
        <row r="5157">
          <cell r="C5157">
            <v>0</v>
          </cell>
          <cell r="D5157">
            <v>0</v>
          </cell>
          <cell r="E5157">
            <v>0</v>
          </cell>
          <cell r="F5157">
            <v>0</v>
          </cell>
          <cell r="H5157">
            <v>8</v>
          </cell>
          <cell r="O5157">
            <v>336658</v>
          </cell>
          <cell r="P5157" t="str">
            <v>2022/230-0026-01</v>
          </cell>
          <cell r="Q5157" t="str">
            <v>EST CADEIRA NINA (MAD A CINAM NT) TC10 11202-331/SEXT TING</v>
          </cell>
          <cell r="R5157"/>
          <cell r="S5157"/>
          <cell r="T5157">
            <v>0.5</v>
          </cell>
          <cell r="U5157">
            <v>0.61</v>
          </cell>
          <cell r="V5157">
            <v>0.88</v>
          </cell>
          <cell r="W5157">
            <v>0</v>
          </cell>
          <cell r="X5157" t="str">
            <v>EST CADEIRA NINA (MAD A CINAM NT) TC10 11202-331/SEXT TING - 0,5x0,61x0,88H</v>
          </cell>
          <cell r="Y5157">
            <v>7742.6</v>
          </cell>
          <cell r="Z5157">
            <v>0.5</v>
          </cell>
          <cell r="AA5157">
            <v>3871.3</v>
          </cell>
          <cell r="AB5157"/>
        </row>
        <row r="5158">
          <cell r="C5158">
            <v>0</v>
          </cell>
          <cell r="D5158">
            <v>0</v>
          </cell>
          <cell r="E5158">
            <v>0</v>
          </cell>
          <cell r="F5158">
            <v>0</v>
          </cell>
          <cell r="H5158">
            <v>8</v>
          </cell>
          <cell r="O5158">
            <v>336658</v>
          </cell>
          <cell r="P5158" t="str">
            <v>2022/230-0027-01</v>
          </cell>
          <cell r="Q5158" t="str">
            <v>EST CADEIRA NINA (MAD A CINAM NT) TC10 11202-331/SEXT TING</v>
          </cell>
          <cell r="R5158"/>
          <cell r="S5158"/>
          <cell r="T5158">
            <v>0.5</v>
          </cell>
          <cell r="U5158">
            <v>0.61</v>
          </cell>
          <cell r="V5158">
            <v>0.88</v>
          </cell>
          <cell r="W5158">
            <v>0</v>
          </cell>
          <cell r="X5158" t="str">
            <v>EST CADEIRA NINA (MAD A CINAM NT) TC10 11202-331/SEXT TING - 0,5x0,61x0,88H</v>
          </cell>
          <cell r="Y5158">
            <v>7742.6</v>
          </cell>
          <cell r="Z5158">
            <v>0.5</v>
          </cell>
          <cell r="AA5158">
            <v>3871.3</v>
          </cell>
          <cell r="AB5158"/>
        </row>
        <row r="5159">
          <cell r="C5159">
            <v>0</v>
          </cell>
          <cell r="D5159">
            <v>0</v>
          </cell>
          <cell r="E5159">
            <v>0</v>
          </cell>
          <cell r="F5159">
            <v>0</v>
          </cell>
          <cell r="H5159">
            <v>8</v>
          </cell>
          <cell r="O5159">
            <v>336658</v>
          </cell>
          <cell r="P5159" t="str">
            <v>2022/230-0028-01</v>
          </cell>
          <cell r="Q5159" t="str">
            <v>EST CADEIRA NINA (MAD A CINAM NT) TC10 11202-331/SEXT TING</v>
          </cell>
          <cell r="R5159"/>
          <cell r="S5159"/>
          <cell r="T5159">
            <v>0.5</v>
          </cell>
          <cell r="U5159">
            <v>0.61</v>
          </cell>
          <cell r="V5159">
            <v>0.88</v>
          </cell>
          <cell r="W5159">
            <v>0</v>
          </cell>
          <cell r="X5159" t="str">
            <v>EST CADEIRA NINA (MAD A CINAM NT) TC10 11202-331/SEXT TING - 0,5x0,61x0,88H</v>
          </cell>
          <cell r="Y5159">
            <v>7742.6</v>
          </cell>
          <cell r="Z5159">
            <v>0.5</v>
          </cell>
          <cell r="AA5159">
            <v>3871.3</v>
          </cell>
          <cell r="AB5159"/>
        </row>
        <row r="5160">
          <cell r="C5160">
            <v>0</v>
          </cell>
          <cell r="D5160">
            <v>0</v>
          </cell>
          <cell r="E5160">
            <v>0</v>
          </cell>
          <cell r="F5160">
            <v>0</v>
          </cell>
          <cell r="H5160">
            <v>8</v>
          </cell>
          <cell r="O5160">
            <v>336658</v>
          </cell>
          <cell r="P5160" t="str">
            <v>2022/230-0029-01</v>
          </cell>
          <cell r="Q5160" t="str">
            <v>EST CADEIRA NINA (MAD A CINAM NT) TC10 11202-331/SEXT TING</v>
          </cell>
          <cell r="R5160"/>
          <cell r="S5160"/>
          <cell r="T5160">
            <v>0.5</v>
          </cell>
          <cell r="U5160">
            <v>0.61</v>
          </cell>
          <cell r="V5160">
            <v>0.88</v>
          </cell>
          <cell r="W5160">
            <v>0</v>
          </cell>
          <cell r="X5160" t="str">
            <v>EST CADEIRA NINA (MAD A CINAM NT) TC10 11202-331/SEXT TING - 0,5x0,61x0,88H</v>
          </cell>
          <cell r="Y5160">
            <v>7742.6</v>
          </cell>
          <cell r="Z5160">
            <v>0.5</v>
          </cell>
          <cell r="AA5160">
            <v>3871.3</v>
          </cell>
          <cell r="AB5160"/>
        </row>
        <row r="5161">
          <cell r="C5161">
            <v>0</v>
          </cell>
          <cell r="D5161">
            <v>0</v>
          </cell>
          <cell r="E5161">
            <v>0</v>
          </cell>
          <cell r="F5161">
            <v>0</v>
          </cell>
          <cell r="H5161">
            <v>3</v>
          </cell>
          <cell r="O5161">
            <v>336696</v>
          </cell>
          <cell r="P5161" t="str">
            <v>2022/223-0030-01</v>
          </cell>
          <cell r="Q5161" t="str">
            <v>EST POLTRONA PACO (MAD A TAUARI ENV) TC G10-11202-343</v>
          </cell>
          <cell r="R5161"/>
          <cell r="S5161"/>
          <cell r="T5161">
            <v>0.88</v>
          </cell>
          <cell r="U5161">
            <v>1.04</v>
          </cell>
          <cell r="V5161">
            <v>0.81</v>
          </cell>
          <cell r="W5161">
            <v>0</v>
          </cell>
          <cell r="X5161" t="str">
            <v>EST POLTRONA PACO (MAD A TAUARI ENV) TC G10-11202-343 - 0,88x1,04x0,81H</v>
          </cell>
          <cell r="Y5161">
            <v>43835.360000000001</v>
          </cell>
          <cell r="Z5161">
            <v>0.5</v>
          </cell>
          <cell r="AA5161">
            <v>21917.68</v>
          </cell>
          <cell r="AB5161"/>
        </row>
        <row r="5162">
          <cell r="C5162">
            <v>0</v>
          </cell>
          <cell r="D5162">
            <v>0</v>
          </cell>
          <cell r="E5162">
            <v>0</v>
          </cell>
          <cell r="F5162">
            <v>0</v>
          </cell>
          <cell r="H5162">
            <v>1</v>
          </cell>
          <cell r="O5162">
            <v>336702</v>
          </cell>
          <cell r="P5162"/>
          <cell r="Q5162" t="str">
            <v>EST MESA LATERAL LUSA (RED CER BEGE) (FREIJO NT) HAST ENV</v>
          </cell>
          <cell r="R5162"/>
          <cell r="S5162"/>
          <cell r="T5162">
            <v>0.4</v>
          </cell>
          <cell r="U5162">
            <v>0.45</v>
          </cell>
          <cell r="V5162">
            <v>0.67</v>
          </cell>
          <cell r="W5162">
            <v>0</v>
          </cell>
          <cell r="X5162" t="str">
            <v>EST MESA LATERAL LUSA (RED CER BEGE) (FREIJO NT) HAST ENV - 0,4x0,45x0,67H</v>
          </cell>
          <cell r="Y5162" t="e">
            <v>#VALUE!</v>
          </cell>
          <cell r="Z5162">
            <v>0.35</v>
          </cell>
          <cell r="AA5162" t="e">
            <v>#VALUE!</v>
          </cell>
          <cell r="AB5162"/>
        </row>
        <row r="5163">
          <cell r="C5163">
            <v>0</v>
          </cell>
          <cell r="D5163">
            <v>0</v>
          </cell>
          <cell r="E5163">
            <v>1</v>
          </cell>
          <cell r="F5163">
            <v>0</v>
          </cell>
          <cell r="H5163">
            <v>3</v>
          </cell>
          <cell r="O5163">
            <v>336726</v>
          </cell>
          <cell r="P5163" t="str">
            <v>2022/223-0035-01</v>
          </cell>
          <cell r="Q5163" t="str">
            <v>EST CADEIRA NINA (MAD A CINAM CALRIF) 74 CAMEL/SEXT TING</v>
          </cell>
          <cell r="R5163"/>
          <cell r="S5163"/>
          <cell r="T5163">
            <v>0.5</v>
          </cell>
          <cell r="U5163">
            <v>0.61</v>
          </cell>
          <cell r="V5163">
            <v>0.88</v>
          </cell>
          <cell r="W5163">
            <v>0</v>
          </cell>
          <cell r="X5163" t="str">
            <v>EST CADEIRA NINA (MAD A CINAM CALRIF) 74 CAMEL/SEXT TING - 0,5x0,61x0,88H</v>
          </cell>
          <cell r="Y5163">
            <v>9037.64</v>
          </cell>
          <cell r="Z5163">
            <v>0.5</v>
          </cell>
          <cell r="AA5163">
            <v>4518.82</v>
          </cell>
          <cell r="AB5163"/>
        </row>
        <row r="5164">
          <cell r="C5164">
            <v>0</v>
          </cell>
          <cell r="D5164">
            <v>0</v>
          </cell>
          <cell r="E5164">
            <v>1</v>
          </cell>
          <cell r="F5164">
            <v>0</v>
          </cell>
          <cell r="H5164">
            <v>3</v>
          </cell>
          <cell r="O5164">
            <v>336726</v>
          </cell>
          <cell r="P5164" t="str">
            <v>2022/223-0037-01</v>
          </cell>
          <cell r="Q5164" t="str">
            <v>EST CADEIRA NINA (MAD A CINAM CALRIF) 74 CAMEL/SEXT TING</v>
          </cell>
          <cell r="R5164"/>
          <cell r="S5164"/>
          <cell r="T5164">
            <v>0.5</v>
          </cell>
          <cell r="U5164">
            <v>0.61</v>
          </cell>
          <cell r="V5164">
            <v>0.88</v>
          </cell>
          <cell r="W5164">
            <v>0</v>
          </cell>
          <cell r="X5164" t="str">
            <v>EST CADEIRA NINA (MAD A CINAM CALRIF) 74 CAMEL/SEXT TING - 0,5x0,61x0,88H</v>
          </cell>
          <cell r="Y5164">
            <v>9037.64</v>
          </cell>
          <cell r="Z5164">
            <v>0.5</v>
          </cell>
          <cell r="AA5164">
            <v>4518.82</v>
          </cell>
          <cell r="AB5164"/>
        </row>
        <row r="5165">
          <cell r="C5165">
            <v>0</v>
          </cell>
          <cell r="D5165">
            <v>0</v>
          </cell>
          <cell r="E5165">
            <v>1</v>
          </cell>
          <cell r="F5165">
            <v>0</v>
          </cell>
          <cell r="H5165">
            <v>5</v>
          </cell>
          <cell r="O5165">
            <v>336728</v>
          </cell>
          <cell r="P5165" t="str">
            <v>2022/223-0043-01</v>
          </cell>
          <cell r="Q5165" t="str">
            <v>EST CADEIRA PLIE (MAD A TAUARI ENV) COURO 74 CAMEL</v>
          </cell>
          <cell r="R5165"/>
          <cell r="S5165"/>
          <cell r="T5165">
            <v>0.47</v>
          </cell>
          <cell r="U5165">
            <v>0.55000000000000004</v>
          </cell>
          <cell r="V5165">
            <v>0.8</v>
          </cell>
          <cell r="W5165">
            <v>0</v>
          </cell>
          <cell r="X5165" t="str">
            <v>EST CADEIRA PLIE (MAD A TAUARI ENV) COURO 74 CAMEL - 0,47x0,55x0,8H</v>
          </cell>
          <cell r="Y5165">
            <v>13574.98</v>
          </cell>
          <cell r="Z5165">
            <v>0.5</v>
          </cell>
          <cell r="AA5165">
            <v>6787.49</v>
          </cell>
          <cell r="AB5165"/>
        </row>
        <row r="5166">
          <cell r="C5166">
            <v>0</v>
          </cell>
          <cell r="D5166">
            <v>0</v>
          </cell>
          <cell r="E5166">
            <v>0</v>
          </cell>
          <cell r="F5166">
            <v>0</v>
          </cell>
          <cell r="H5166">
            <v>1</v>
          </cell>
          <cell r="O5166">
            <v>369133</v>
          </cell>
          <cell r="P5166" t="str">
            <v>2023/124-0008-01</v>
          </cell>
          <cell r="Q5166" t="str">
            <v>EST MESA LATERAL TRIBO (C) H66 (MAD A TAUARI CASTANHO)</v>
          </cell>
          <cell r="R5166"/>
          <cell r="S5166"/>
          <cell r="T5166">
            <v>0.33</v>
          </cell>
          <cell r="U5166">
            <v>0</v>
          </cell>
          <cell r="V5166">
            <v>0.66</v>
          </cell>
          <cell r="W5166">
            <v>0.33</v>
          </cell>
          <cell r="X5166" t="str">
            <v>EST MESA LATERAL TRIBO (C) H66 (MAD A TAUARI CASTANHO) - Ø0,33x0,66H</v>
          </cell>
          <cell r="Y5166">
            <v>6331.94</v>
          </cell>
          <cell r="Z5166">
            <v>0.5</v>
          </cell>
          <cell r="AA5166">
            <v>3165.97</v>
          </cell>
          <cell r="AB5166"/>
        </row>
        <row r="5167">
          <cell r="C5167">
            <v>0</v>
          </cell>
          <cell r="D5167">
            <v>0</v>
          </cell>
          <cell r="E5167">
            <v>0</v>
          </cell>
          <cell r="F5167">
            <v>0</v>
          </cell>
          <cell r="H5167">
            <v>1</v>
          </cell>
          <cell r="O5167">
            <v>389096</v>
          </cell>
          <cell r="P5167"/>
          <cell r="Q5167" t="str">
            <v>EST SOFA JOHN GRAZ (IMBUIA) (TC VERDE MUSGO)</v>
          </cell>
          <cell r="R5167"/>
          <cell r="S5167"/>
          <cell r="T5167">
            <v>1.6</v>
          </cell>
          <cell r="U5167">
            <v>0.83</v>
          </cell>
          <cell r="V5167">
            <v>0.74</v>
          </cell>
          <cell r="W5167">
            <v>0</v>
          </cell>
          <cell r="X5167" t="str">
            <v>EST SOFA JOHN GRAZ (IMBUIA) (TC VERDE MUSGO) - 1,6x0,83x0,74H</v>
          </cell>
          <cell r="Y5167">
            <v>0</v>
          </cell>
          <cell r="Z5167">
            <v>0.35</v>
          </cell>
          <cell r="AA5167">
            <v>0</v>
          </cell>
          <cell r="AB5167"/>
        </row>
        <row r="5168">
          <cell r="C5168">
            <v>0</v>
          </cell>
          <cell r="D5168">
            <v>0</v>
          </cell>
          <cell r="E5168">
            <v>0</v>
          </cell>
          <cell r="F5168">
            <v>0</v>
          </cell>
          <cell r="H5168">
            <v>0</v>
          </cell>
          <cell r="O5168">
            <v>389768</v>
          </cell>
          <cell r="P5168"/>
          <cell r="Q5168" t="str">
            <v>EST LUMINARIA ITAMARATY (HASTE PTO FOSCO) (SUCUPIRA)</v>
          </cell>
          <cell r="R5168"/>
          <cell r="S5168"/>
          <cell r="T5168">
            <v>0.6</v>
          </cell>
          <cell r="U5168">
            <v>0</v>
          </cell>
          <cell r="V5168">
            <v>1.41</v>
          </cell>
          <cell r="W5168">
            <v>0</v>
          </cell>
          <cell r="X5168" t="str">
            <v>EST LUMINARIA ITAMARATY (HASTE PTO FOSCO) (SUCUPIRA) - Ø0x1,41H</v>
          </cell>
          <cell r="Y5168">
            <v>0</v>
          </cell>
          <cell r="Z5168">
            <v>0.35</v>
          </cell>
          <cell r="AA5168">
            <v>0</v>
          </cell>
          <cell r="AB5168"/>
        </row>
        <row r="5169">
          <cell r="C5169">
            <v>1</v>
          </cell>
          <cell r="D5169">
            <v>0</v>
          </cell>
          <cell r="E5169">
            <v>0</v>
          </cell>
          <cell r="F5169">
            <v>2</v>
          </cell>
          <cell r="H5169">
            <v>0</v>
          </cell>
          <cell r="O5169">
            <v>389956</v>
          </cell>
          <cell r="P5169" t="str">
            <v>2024/267-0083-01</v>
          </cell>
          <cell r="Q5169" t="str">
            <v>EST CAPA PUFF LENCOIS M OUTDOOR (CAPA LISO) TC 8599</v>
          </cell>
          <cell r="R5169"/>
          <cell r="S5169"/>
          <cell r="T5169">
            <v>1.7</v>
          </cell>
          <cell r="U5169">
            <v>0</v>
          </cell>
          <cell r="V5169">
            <v>0</v>
          </cell>
          <cell r="W5169">
            <v>0</v>
          </cell>
          <cell r="X5169" t="str">
            <v>EST CAPA PUFF LENCOIS M OUTDOOR (CAPA LISO) TC 8599 - Ø0x0H</v>
          </cell>
          <cell r="Y5169">
            <v>5320.99</v>
          </cell>
          <cell r="Z5169">
            <v>0.35</v>
          </cell>
          <cell r="AA5169">
            <v>3458.6435000000001</v>
          </cell>
          <cell r="AB5169"/>
        </row>
        <row r="5170">
          <cell r="C5170">
            <v>1</v>
          </cell>
          <cell r="D5170">
            <v>0</v>
          </cell>
          <cell r="E5170">
            <v>0</v>
          </cell>
          <cell r="F5170">
            <v>2</v>
          </cell>
          <cell r="H5170">
            <v>1</v>
          </cell>
          <cell r="O5170">
            <v>389958</v>
          </cell>
          <cell r="P5170" t="str">
            <v>2024/267-0089-01</v>
          </cell>
          <cell r="Q5170" t="str">
            <v>EST ALMOFADA DECORATIVA LENCOIS M OUTDOOR TC KEEPSAKE TAUPE</v>
          </cell>
          <cell r="R5170"/>
          <cell r="S5170"/>
          <cell r="T5170">
            <v>0.6</v>
          </cell>
          <cell r="U5170">
            <v>0.6</v>
          </cell>
          <cell r="V5170">
            <v>0</v>
          </cell>
          <cell r="W5170">
            <v>0</v>
          </cell>
          <cell r="X5170" t="str">
            <v>EST ALMOFADA DECORATIVA LENCOIS M OUTDOOR TC KEEPSAKE TAUPE - 0,6x0,6x0H</v>
          </cell>
          <cell r="Y5170">
            <v>1751.3990200000003</v>
          </cell>
          <cell r="Z5170">
            <v>0.35</v>
          </cell>
          <cell r="AA5170">
            <v>1138.4093630000002</v>
          </cell>
          <cell r="AB5170"/>
        </row>
        <row r="5171">
          <cell r="C5171">
            <v>0</v>
          </cell>
          <cell r="D5171">
            <v>0</v>
          </cell>
          <cell r="E5171">
            <v>0</v>
          </cell>
          <cell r="F5171">
            <v>0</v>
          </cell>
          <cell r="H5171">
            <v>1</v>
          </cell>
          <cell r="O5171">
            <v>389996</v>
          </cell>
          <cell r="P5171" t="str">
            <v>2024/297-0132-01</v>
          </cell>
          <cell r="Q5171" t="str">
            <v>EST CADEIRA WOODY C/B (TING MEL) CAMURCA HAVANA/SOL HAVANA</v>
          </cell>
          <cell r="R5171"/>
          <cell r="S5171"/>
          <cell r="T5171">
            <v>0.53</v>
          </cell>
          <cell r="U5171">
            <v>0.53</v>
          </cell>
          <cell r="V5171">
            <v>0.82</v>
          </cell>
          <cell r="W5171">
            <v>0</v>
          </cell>
          <cell r="X5171" t="str">
            <v>EST CADEIRA WOODY C/B (TING MEL) CAMURCA HAVANA/SOL HAVANA - 0,53x0,53x0,82H</v>
          </cell>
          <cell r="Y5171">
            <v>12116.470000000001</v>
          </cell>
          <cell r="Z5171">
            <v>0.35</v>
          </cell>
          <cell r="AA5171">
            <v>7875.7055000000009</v>
          </cell>
          <cell r="AB5171"/>
        </row>
        <row r="5172">
          <cell r="C5172">
            <v>0</v>
          </cell>
          <cell r="D5172">
            <v>0</v>
          </cell>
          <cell r="E5172">
            <v>0</v>
          </cell>
          <cell r="F5172">
            <v>0</v>
          </cell>
          <cell r="H5172">
            <v>1</v>
          </cell>
          <cell r="O5172">
            <v>389996</v>
          </cell>
          <cell r="P5172" t="str">
            <v>2024/297-0133-01</v>
          </cell>
          <cell r="Q5172" t="str">
            <v>EST CADEIRA WOODY C/B (TING MEL) CAMURCA HAVANA/SOL HAVANA</v>
          </cell>
          <cell r="R5172"/>
          <cell r="S5172"/>
          <cell r="T5172">
            <v>0.53</v>
          </cell>
          <cell r="U5172">
            <v>0.53</v>
          </cell>
          <cell r="V5172">
            <v>0.82</v>
          </cell>
          <cell r="W5172">
            <v>0</v>
          </cell>
          <cell r="X5172" t="str">
            <v>EST CADEIRA WOODY C/B (TING MEL) CAMURCA HAVANA/SOL HAVANA - 0,53x0,53x0,82H</v>
          </cell>
          <cell r="Y5172">
            <v>12116.470000000001</v>
          </cell>
          <cell r="Z5172">
            <v>0.35</v>
          </cell>
          <cell r="AA5172">
            <v>7875.7055000000009</v>
          </cell>
          <cell r="AB5172"/>
        </row>
        <row r="5173">
          <cell r="C5173">
            <v>0</v>
          </cell>
          <cell r="D5173">
            <v>0</v>
          </cell>
          <cell r="E5173">
            <v>1</v>
          </cell>
          <cell r="F5173">
            <v>0</v>
          </cell>
          <cell r="H5173">
            <v>1</v>
          </cell>
          <cell r="O5173">
            <v>389998</v>
          </cell>
          <cell r="P5173" t="str">
            <v>2024/281-0097-01</v>
          </cell>
          <cell r="Q5173" t="str">
            <v>EST CADEIRA WOODY C/B (TING AVELA) COURO PIG 513/SOL FENDY</v>
          </cell>
          <cell r="R5173"/>
          <cell r="S5173"/>
          <cell r="T5173">
            <v>0.53</v>
          </cell>
          <cell r="U5173">
            <v>0.53</v>
          </cell>
          <cell r="V5173">
            <v>0.82</v>
          </cell>
          <cell r="W5173">
            <v>0</v>
          </cell>
          <cell r="X5173" t="str">
            <v>EST CADEIRA WOODY C/B (TING AVELA) COURO PIG 513/SOL FENDY - 0,53x0,53x0,82H</v>
          </cell>
          <cell r="Y5173">
            <v>10521.59</v>
          </cell>
          <cell r="Z5173">
            <v>0.35</v>
          </cell>
          <cell r="AA5173">
            <v>6839.0335000000005</v>
          </cell>
          <cell r="AB5173"/>
        </row>
        <row r="5174">
          <cell r="C5174">
            <v>0</v>
          </cell>
          <cell r="D5174">
            <v>0</v>
          </cell>
          <cell r="E5174">
            <v>0</v>
          </cell>
          <cell r="F5174">
            <v>0</v>
          </cell>
          <cell r="H5174">
            <v>6</v>
          </cell>
          <cell r="O5174">
            <v>389999</v>
          </cell>
          <cell r="P5174" t="str">
            <v>2024/281-0098-01</v>
          </cell>
          <cell r="Q5174" t="str">
            <v>EST CADEIRA WOODY (TING AVELA) COURO PIG 513/SOL FENDY</v>
          </cell>
          <cell r="R5174"/>
          <cell r="S5174"/>
          <cell r="T5174">
            <v>0.49</v>
          </cell>
          <cell r="U5174">
            <v>0.53</v>
          </cell>
          <cell r="V5174">
            <v>0.82</v>
          </cell>
          <cell r="W5174">
            <v>0</v>
          </cell>
          <cell r="X5174" t="str">
            <v>EST CADEIRA WOODY (TING AVELA) COURO PIG 513/SOL FENDY - 0,49x0,53x0,82H</v>
          </cell>
          <cell r="Y5174">
            <v>9782.0400000000009</v>
          </cell>
          <cell r="Z5174">
            <v>0.35</v>
          </cell>
          <cell r="AA5174">
            <v>6358.3260000000009</v>
          </cell>
          <cell r="AB5174"/>
        </row>
        <row r="5175">
          <cell r="C5175">
            <v>0</v>
          </cell>
          <cell r="D5175">
            <v>0</v>
          </cell>
          <cell r="E5175">
            <v>0</v>
          </cell>
          <cell r="F5175">
            <v>0</v>
          </cell>
          <cell r="H5175">
            <v>6</v>
          </cell>
          <cell r="O5175">
            <v>389999</v>
          </cell>
          <cell r="P5175" t="str">
            <v>2024/281-0099-01</v>
          </cell>
          <cell r="Q5175" t="str">
            <v>EST CADEIRA WOODY (TING AVELA) COURO PIG 513/SOL FENDY</v>
          </cell>
          <cell r="R5175"/>
          <cell r="S5175"/>
          <cell r="T5175">
            <v>0.49</v>
          </cell>
          <cell r="U5175">
            <v>0.53</v>
          </cell>
          <cell r="V5175">
            <v>0.82</v>
          </cell>
          <cell r="W5175">
            <v>0</v>
          </cell>
          <cell r="X5175" t="str">
            <v>EST CADEIRA WOODY (TING AVELA) COURO PIG 513/SOL FENDY - 0,49x0,53x0,82H</v>
          </cell>
          <cell r="Y5175">
            <v>9782.0400000000009</v>
          </cell>
          <cell r="Z5175">
            <v>0.35</v>
          </cell>
          <cell r="AA5175">
            <v>6358.3260000000009</v>
          </cell>
          <cell r="AB5175"/>
        </row>
        <row r="5176">
          <cell r="C5176">
            <v>0</v>
          </cell>
          <cell r="D5176">
            <v>0</v>
          </cell>
          <cell r="E5176">
            <v>0</v>
          </cell>
          <cell r="F5176">
            <v>0</v>
          </cell>
          <cell r="H5176">
            <v>6</v>
          </cell>
          <cell r="O5176">
            <v>389999</v>
          </cell>
          <cell r="P5176" t="str">
            <v>2024/281-0100-01</v>
          </cell>
          <cell r="Q5176" t="str">
            <v>EST CADEIRA WOODY (TING AVELA) COURO PIG 513/SOL FENDY</v>
          </cell>
          <cell r="R5176"/>
          <cell r="S5176"/>
          <cell r="T5176">
            <v>0.49</v>
          </cell>
          <cell r="U5176">
            <v>0.53</v>
          </cell>
          <cell r="V5176">
            <v>0.82</v>
          </cell>
          <cell r="W5176">
            <v>0</v>
          </cell>
          <cell r="X5176" t="str">
            <v>EST CADEIRA WOODY (TING AVELA) COURO PIG 513/SOL FENDY - 0,49x0,53x0,82H</v>
          </cell>
          <cell r="Y5176">
            <v>9782.0400000000009</v>
          </cell>
          <cell r="Z5176">
            <v>0.35</v>
          </cell>
          <cell r="AA5176">
            <v>6358.3260000000009</v>
          </cell>
          <cell r="AB5176"/>
        </row>
        <row r="5177">
          <cell r="C5177">
            <v>0</v>
          </cell>
          <cell r="D5177">
            <v>0</v>
          </cell>
          <cell r="E5177">
            <v>0</v>
          </cell>
          <cell r="F5177">
            <v>0</v>
          </cell>
          <cell r="H5177">
            <v>6</v>
          </cell>
          <cell r="O5177">
            <v>389999</v>
          </cell>
          <cell r="P5177" t="str">
            <v>2024/281-0101-01</v>
          </cell>
          <cell r="Q5177" t="str">
            <v>EST CADEIRA WOODY (TING AVELA) COURO PIG 513/SOL FENDY</v>
          </cell>
          <cell r="R5177"/>
          <cell r="S5177"/>
          <cell r="T5177">
            <v>0.49</v>
          </cell>
          <cell r="U5177">
            <v>0.53</v>
          </cell>
          <cell r="V5177">
            <v>0.82</v>
          </cell>
          <cell r="W5177">
            <v>0</v>
          </cell>
          <cell r="X5177" t="str">
            <v>EST CADEIRA WOODY (TING AVELA) COURO PIG 513/SOL FENDY - 0,49x0,53x0,82H</v>
          </cell>
          <cell r="Y5177">
            <v>9782.0400000000009</v>
          </cell>
          <cell r="Z5177">
            <v>0.35</v>
          </cell>
          <cell r="AA5177">
            <v>6358.3260000000009</v>
          </cell>
          <cell r="AB5177"/>
        </row>
        <row r="5178">
          <cell r="C5178">
            <v>0</v>
          </cell>
          <cell r="D5178">
            <v>0</v>
          </cell>
          <cell r="E5178">
            <v>0</v>
          </cell>
          <cell r="F5178">
            <v>0</v>
          </cell>
          <cell r="H5178">
            <v>6</v>
          </cell>
          <cell r="O5178">
            <v>389999</v>
          </cell>
          <cell r="P5178" t="str">
            <v>2024/281-0102-01</v>
          </cell>
          <cell r="Q5178" t="str">
            <v>EST CADEIRA WOODY (TING AVELA) COURO PIG 513/SOL FENDY</v>
          </cell>
          <cell r="R5178"/>
          <cell r="S5178"/>
          <cell r="T5178">
            <v>0.49</v>
          </cell>
          <cell r="U5178">
            <v>0.53</v>
          </cell>
          <cell r="V5178">
            <v>0.82</v>
          </cell>
          <cell r="W5178">
            <v>0</v>
          </cell>
          <cell r="X5178" t="str">
            <v>EST CADEIRA WOODY (TING AVELA) COURO PIG 513/SOL FENDY - 0,49x0,53x0,82H</v>
          </cell>
          <cell r="Y5178">
            <v>9782.0400000000009</v>
          </cell>
          <cell r="Z5178">
            <v>0.35</v>
          </cell>
          <cell r="AA5178">
            <v>6358.3260000000009</v>
          </cell>
          <cell r="AB5178"/>
        </row>
        <row r="5179">
          <cell r="C5179">
            <v>0</v>
          </cell>
          <cell r="D5179">
            <v>0</v>
          </cell>
          <cell r="E5179">
            <v>0</v>
          </cell>
          <cell r="F5179">
            <v>0</v>
          </cell>
          <cell r="H5179">
            <v>6</v>
          </cell>
          <cell r="O5179">
            <v>389999</v>
          </cell>
          <cell r="P5179" t="str">
            <v>2024/281-0103-01</v>
          </cell>
          <cell r="Q5179" t="str">
            <v>EST CADEIRA WOODY (TING AVELA) COURO PIG 513/SOL FENDY</v>
          </cell>
          <cell r="R5179"/>
          <cell r="S5179"/>
          <cell r="T5179">
            <v>0.49</v>
          </cell>
          <cell r="U5179">
            <v>0.53</v>
          </cell>
          <cell r="V5179">
            <v>0.82</v>
          </cell>
          <cell r="W5179">
            <v>0</v>
          </cell>
          <cell r="X5179" t="str">
            <v>EST CADEIRA WOODY (TING AVELA) COURO PIG 513/SOL FENDY - 0,49x0,53x0,82H</v>
          </cell>
          <cell r="Y5179">
            <v>9782.0400000000009</v>
          </cell>
          <cell r="Z5179">
            <v>0.35</v>
          </cell>
          <cell r="AA5179">
            <v>6358.3260000000009</v>
          </cell>
          <cell r="AB5179"/>
        </row>
        <row r="5180">
          <cell r="C5180">
            <v>0</v>
          </cell>
          <cell r="D5180">
            <v>0</v>
          </cell>
          <cell r="E5180">
            <v>0</v>
          </cell>
          <cell r="F5180">
            <v>0</v>
          </cell>
          <cell r="H5180">
            <v>2</v>
          </cell>
          <cell r="O5180">
            <v>390000</v>
          </cell>
          <cell r="P5180" t="str">
            <v>2024/302-0039-01</v>
          </cell>
          <cell r="Q5180" t="str">
            <v>EST CADEIRA WOODY C/B (TING CHARUTO) COURO PIG 410/SOL CAFE</v>
          </cell>
          <cell r="R5180"/>
          <cell r="S5180"/>
          <cell r="T5180">
            <v>0.53</v>
          </cell>
          <cell r="U5180">
            <v>0.53</v>
          </cell>
          <cell r="V5180">
            <v>0.82</v>
          </cell>
          <cell r="W5180">
            <v>0</v>
          </cell>
          <cell r="X5180" t="str">
            <v>EST CADEIRA WOODY C/B (TING CHARUTO) COURO PIG 410/SOL CAFE - 0,53x0,53x0,82H</v>
          </cell>
          <cell r="Y5180">
            <v>10521.59</v>
          </cell>
          <cell r="Z5180">
            <v>0.35</v>
          </cell>
          <cell r="AA5180">
            <v>6839.0335000000005</v>
          </cell>
          <cell r="AB5180"/>
        </row>
        <row r="5181">
          <cell r="C5181">
            <v>0</v>
          </cell>
          <cell r="D5181">
            <v>0</v>
          </cell>
          <cell r="E5181">
            <v>0</v>
          </cell>
          <cell r="F5181">
            <v>0</v>
          </cell>
          <cell r="H5181">
            <v>2</v>
          </cell>
          <cell r="O5181">
            <v>390000</v>
          </cell>
          <cell r="P5181" t="str">
            <v>2024/302-0040-01</v>
          </cell>
          <cell r="Q5181" t="str">
            <v>EST CADEIRA WOODY C/B (TING CHARUTO) COURO PIG 410/SOL CAFE</v>
          </cell>
          <cell r="R5181"/>
          <cell r="S5181"/>
          <cell r="T5181">
            <v>0.53</v>
          </cell>
          <cell r="U5181">
            <v>0.53</v>
          </cell>
          <cell r="V5181">
            <v>0.82</v>
          </cell>
          <cell r="W5181">
            <v>0</v>
          </cell>
          <cell r="X5181" t="str">
            <v>EST CADEIRA WOODY C/B (TING CHARUTO) COURO PIG 410/SOL CAFE - 0,53x0,53x0,82H</v>
          </cell>
          <cell r="Y5181">
            <v>10521.59</v>
          </cell>
          <cell r="Z5181">
            <v>0.35</v>
          </cell>
          <cell r="AA5181">
            <v>6839.0335000000005</v>
          </cell>
          <cell r="AB5181"/>
        </row>
        <row r="5182">
          <cell r="C5182">
            <v>0</v>
          </cell>
          <cell r="D5182">
            <v>0</v>
          </cell>
          <cell r="E5182">
            <v>0</v>
          </cell>
          <cell r="F5182">
            <v>0</v>
          </cell>
          <cell r="H5182">
            <v>5</v>
          </cell>
          <cell r="O5182">
            <v>390002</v>
          </cell>
          <cell r="P5182" t="str">
            <v>2024/302-0041-01</v>
          </cell>
          <cell r="Q5182" t="str">
            <v>EST CADEIRA WOODY (TING CHARUTO) COURO PIG 410/SOL CAFE</v>
          </cell>
          <cell r="R5182"/>
          <cell r="S5182"/>
          <cell r="T5182">
            <v>0.49</v>
          </cell>
          <cell r="U5182">
            <v>0.53</v>
          </cell>
          <cell r="V5182">
            <v>0.82</v>
          </cell>
          <cell r="W5182">
            <v>0</v>
          </cell>
          <cell r="X5182" t="str">
            <v>EST CADEIRA WOODY (TING CHARUTO) COURO PIG 410/SOL CAFE - 0,49x0,53x0,82H</v>
          </cell>
          <cell r="Y5182">
            <v>9782.0400000000009</v>
          </cell>
          <cell r="Z5182">
            <v>0.35</v>
          </cell>
          <cell r="AA5182">
            <v>6358.3260000000009</v>
          </cell>
          <cell r="AB5182"/>
        </row>
        <row r="5183">
          <cell r="C5183">
            <v>0</v>
          </cell>
          <cell r="D5183">
            <v>0</v>
          </cell>
          <cell r="E5183">
            <v>0</v>
          </cell>
          <cell r="F5183">
            <v>0</v>
          </cell>
          <cell r="H5183">
            <v>5</v>
          </cell>
          <cell r="O5183">
            <v>390002</v>
          </cell>
          <cell r="P5183" t="str">
            <v>2024/302-0042-01</v>
          </cell>
          <cell r="Q5183" t="str">
            <v>EST CADEIRA WOODY (TING CHARUTO) COURO PIG 410/SOL CAFE</v>
          </cell>
          <cell r="R5183"/>
          <cell r="S5183"/>
          <cell r="T5183">
            <v>0.49</v>
          </cell>
          <cell r="U5183">
            <v>0.53</v>
          </cell>
          <cell r="V5183">
            <v>0.82</v>
          </cell>
          <cell r="W5183">
            <v>0</v>
          </cell>
          <cell r="X5183" t="str">
            <v>EST CADEIRA WOODY (TING CHARUTO) COURO PIG 410/SOL CAFE - 0,49x0,53x0,82H</v>
          </cell>
          <cell r="Y5183">
            <v>9782.0400000000009</v>
          </cell>
          <cell r="Z5183">
            <v>0.35</v>
          </cell>
          <cell r="AA5183">
            <v>6358.3260000000009</v>
          </cell>
          <cell r="AB5183"/>
        </row>
        <row r="5184">
          <cell r="C5184">
            <v>0</v>
          </cell>
          <cell r="D5184">
            <v>0</v>
          </cell>
          <cell r="E5184">
            <v>0</v>
          </cell>
          <cell r="F5184">
            <v>0</v>
          </cell>
          <cell r="H5184">
            <v>5</v>
          </cell>
          <cell r="O5184">
            <v>390002</v>
          </cell>
          <cell r="P5184" t="str">
            <v>2024/302-0043-01</v>
          </cell>
          <cell r="Q5184" t="str">
            <v>EST CADEIRA WOODY (TING CHARUTO) COURO PIG 410/SOL CAFE</v>
          </cell>
          <cell r="R5184"/>
          <cell r="S5184"/>
          <cell r="T5184">
            <v>0.49</v>
          </cell>
          <cell r="U5184">
            <v>0.53</v>
          </cell>
          <cell r="V5184">
            <v>0.82</v>
          </cell>
          <cell r="W5184">
            <v>0</v>
          </cell>
          <cell r="X5184" t="str">
            <v>EST CADEIRA WOODY (TING CHARUTO) COURO PIG 410/SOL CAFE - 0,49x0,53x0,82H</v>
          </cell>
          <cell r="Y5184">
            <v>9782.0400000000009</v>
          </cell>
          <cell r="Z5184">
            <v>0.35</v>
          </cell>
          <cell r="AA5184">
            <v>6358.3260000000009</v>
          </cell>
          <cell r="AB5184"/>
        </row>
        <row r="5185">
          <cell r="C5185">
            <v>0</v>
          </cell>
          <cell r="D5185">
            <v>0</v>
          </cell>
          <cell r="E5185">
            <v>0</v>
          </cell>
          <cell r="F5185">
            <v>0</v>
          </cell>
          <cell r="H5185">
            <v>5</v>
          </cell>
          <cell r="O5185">
            <v>390002</v>
          </cell>
          <cell r="P5185" t="str">
            <v>2024/302-0044-01</v>
          </cell>
          <cell r="Q5185" t="str">
            <v>EST CADEIRA WOODY (TING CHARUTO) COURO PIG 410/SOL CAFE</v>
          </cell>
          <cell r="R5185"/>
          <cell r="S5185"/>
          <cell r="T5185">
            <v>0.49</v>
          </cell>
          <cell r="U5185">
            <v>0.53</v>
          </cell>
          <cell r="V5185">
            <v>0.82</v>
          </cell>
          <cell r="W5185">
            <v>0</v>
          </cell>
          <cell r="X5185" t="str">
            <v>EST CADEIRA WOODY (TING CHARUTO) COURO PIG 410/SOL CAFE - 0,49x0,53x0,82H</v>
          </cell>
          <cell r="Y5185">
            <v>9782.0400000000009</v>
          </cell>
          <cell r="Z5185">
            <v>0.35</v>
          </cell>
          <cell r="AA5185">
            <v>6358.3260000000009</v>
          </cell>
          <cell r="AB5185"/>
        </row>
        <row r="5186">
          <cell r="C5186">
            <v>0</v>
          </cell>
          <cell r="D5186">
            <v>0</v>
          </cell>
          <cell r="E5186">
            <v>0</v>
          </cell>
          <cell r="F5186">
            <v>0</v>
          </cell>
          <cell r="H5186">
            <v>5</v>
          </cell>
          <cell r="O5186">
            <v>390002</v>
          </cell>
          <cell r="P5186" t="str">
            <v>2024/302-0045-01</v>
          </cell>
          <cell r="Q5186" t="str">
            <v>EST CADEIRA WOODY (TING CHARUTO) COURO PIG 410/SOL CAFE</v>
          </cell>
          <cell r="R5186"/>
          <cell r="S5186"/>
          <cell r="T5186">
            <v>0.49</v>
          </cell>
          <cell r="U5186">
            <v>0.53</v>
          </cell>
          <cell r="V5186">
            <v>0.82</v>
          </cell>
          <cell r="W5186">
            <v>0</v>
          </cell>
          <cell r="X5186" t="str">
            <v>EST CADEIRA WOODY (TING CHARUTO) COURO PIG 410/SOL CAFE - 0,49x0,53x0,82H</v>
          </cell>
          <cell r="Y5186">
            <v>9782.0400000000009</v>
          </cell>
          <cell r="Z5186">
            <v>0.35</v>
          </cell>
          <cell r="AA5186">
            <v>6358.3260000000009</v>
          </cell>
          <cell r="AB5186"/>
        </row>
        <row r="5187">
          <cell r="C5187">
            <v>0</v>
          </cell>
          <cell r="D5187">
            <v>0</v>
          </cell>
          <cell r="E5187">
            <v>0</v>
          </cell>
          <cell r="F5187">
            <v>0</v>
          </cell>
          <cell r="H5187">
            <v>5</v>
          </cell>
          <cell r="O5187">
            <v>390002</v>
          </cell>
          <cell r="P5187" t="str">
            <v>2024/302-0046-01</v>
          </cell>
          <cell r="Q5187" t="str">
            <v>EST CADEIRA WOODY (TING CHARUTO) COURO PIG 410/SOL CAFE</v>
          </cell>
          <cell r="R5187"/>
          <cell r="S5187"/>
          <cell r="T5187">
            <v>0.49</v>
          </cell>
          <cell r="U5187">
            <v>0.53</v>
          </cell>
          <cell r="V5187">
            <v>0.82</v>
          </cell>
          <cell r="W5187">
            <v>0</v>
          </cell>
          <cell r="X5187" t="str">
            <v>EST CADEIRA WOODY (TING CHARUTO) COURO PIG 410/SOL CAFE - 0,49x0,53x0,82H</v>
          </cell>
          <cell r="Y5187">
            <v>9782.0400000000009</v>
          </cell>
          <cell r="Z5187">
            <v>0.35</v>
          </cell>
          <cell r="AA5187">
            <v>6358.3260000000009</v>
          </cell>
          <cell r="AB5187"/>
        </row>
        <row r="5188">
          <cell r="C5188">
            <v>0</v>
          </cell>
          <cell r="D5188">
            <v>0</v>
          </cell>
          <cell r="E5188">
            <v>0</v>
          </cell>
          <cell r="F5188">
            <v>1</v>
          </cell>
          <cell r="H5188">
            <v>0</v>
          </cell>
          <cell r="O5188">
            <v>390838</v>
          </cell>
          <cell r="P5188" t="str">
            <v>2024/226-0025-01</v>
          </cell>
          <cell r="Q5188" t="str">
            <v>EST BANQUETA BAR CAVALETTA H65 (JEQUITIBA CASTANHO CLARO)</v>
          </cell>
          <cell r="R5188"/>
          <cell r="S5188"/>
          <cell r="T5188">
            <v>0.42</v>
          </cell>
          <cell r="U5188">
            <v>0.46</v>
          </cell>
          <cell r="V5188">
            <v>0.65</v>
          </cell>
          <cell r="W5188">
            <v>0</v>
          </cell>
          <cell r="X5188" t="str">
            <v>EST BANQUETA BAR CAVALETTA H65 (JEQUITIBA CASTANHO CLARO) - 0,42x0,46x0,65H</v>
          </cell>
          <cell r="Y5188">
            <v>6456.31</v>
          </cell>
          <cell r="Z5188">
            <v>0.35</v>
          </cell>
          <cell r="AA5188">
            <v>4196.6015000000007</v>
          </cell>
          <cell r="AB5188"/>
        </row>
        <row r="5189">
          <cell r="C5189">
            <v>0</v>
          </cell>
          <cell r="D5189">
            <v>0</v>
          </cell>
          <cell r="E5189">
            <v>0</v>
          </cell>
          <cell r="F5189">
            <v>1</v>
          </cell>
          <cell r="H5189">
            <v>0</v>
          </cell>
          <cell r="O5189">
            <v>390838</v>
          </cell>
          <cell r="P5189" t="str">
            <v>2024/226-0027-01</v>
          </cell>
          <cell r="Q5189" t="str">
            <v>EST BANQUETA BAR CAVALETTA H65 (JEQUITIBA CASTANHO CLARO)</v>
          </cell>
          <cell r="R5189"/>
          <cell r="S5189"/>
          <cell r="T5189">
            <v>0.42</v>
          </cell>
          <cell r="U5189">
            <v>0.46</v>
          </cell>
          <cell r="V5189">
            <v>0.65</v>
          </cell>
          <cell r="W5189">
            <v>0</v>
          </cell>
          <cell r="X5189" t="str">
            <v>EST BANQUETA BAR CAVALETTA H65 (JEQUITIBA CASTANHO CLARO) - 0,42x0,46x0,65H</v>
          </cell>
          <cell r="Y5189">
            <v>6456.31</v>
          </cell>
          <cell r="Z5189">
            <v>0.35</v>
          </cell>
          <cell r="AA5189">
            <v>4196.6015000000007</v>
          </cell>
          <cell r="AB5189"/>
        </row>
        <row r="5190">
          <cell r="C5190">
            <v>0</v>
          </cell>
          <cell r="D5190">
            <v>0</v>
          </cell>
          <cell r="E5190">
            <v>0</v>
          </cell>
          <cell r="F5190">
            <v>0</v>
          </cell>
          <cell r="H5190">
            <v>2</v>
          </cell>
          <cell r="O5190">
            <v>377309</v>
          </cell>
          <cell r="P5190" t="str">
            <v>2023/331-0032-01</v>
          </cell>
          <cell r="Q5190" t="str">
            <v>EST POLTRONA SALVADOR (MAD B TECA NT) TC VALENCIA 302</v>
          </cell>
          <cell r="R5190"/>
          <cell r="S5190"/>
          <cell r="T5190">
            <v>0.7</v>
          </cell>
          <cell r="U5190">
            <v>0.66</v>
          </cell>
          <cell r="V5190">
            <v>0.7</v>
          </cell>
          <cell r="W5190">
            <v>0</v>
          </cell>
          <cell r="X5190" t="str">
            <v>EST POLTRONA SALVADOR (MAD B TECA NT) TC VALENCIA 302 - 0,7x0,66x0,7H</v>
          </cell>
          <cell r="Y5190">
            <v>18577.57</v>
          </cell>
          <cell r="Z5190">
            <v>0.5</v>
          </cell>
          <cell r="AA5190">
            <v>9288.7849999999999</v>
          </cell>
          <cell r="AB5190"/>
        </row>
        <row r="5191">
          <cell r="C5191">
            <v>0</v>
          </cell>
          <cell r="D5191">
            <v>0</v>
          </cell>
          <cell r="E5191">
            <v>0</v>
          </cell>
          <cell r="F5191">
            <v>0</v>
          </cell>
          <cell r="H5191">
            <v>1</v>
          </cell>
          <cell r="O5191">
            <v>394928</v>
          </cell>
          <cell r="P5191" t="str">
            <v>2025/118-0005-01</v>
          </cell>
          <cell r="Q5191" t="str">
            <v>EST MESA CENTRO ESSENCE OBLONGO (MTZ GOLDEN) CLEAR/ESP CARV</v>
          </cell>
          <cell r="R5191"/>
          <cell r="S5191"/>
          <cell r="T5191">
            <v>1.58</v>
          </cell>
          <cell r="U5191">
            <v>1.2</v>
          </cell>
          <cell r="V5191">
            <v>0.3</v>
          </cell>
          <cell r="W5191">
            <v>0</v>
          </cell>
          <cell r="X5191" t="str">
            <v>EST MESA CENTRO ESSENCE OBLONGO (MTZ GOLDEN) CLEAR/ESP CARV - 1,58x1,2x0,3H</v>
          </cell>
          <cell r="Y5191">
            <v>21664.34</v>
          </cell>
          <cell r="Z5191">
            <v>0.35</v>
          </cell>
          <cell r="AA5191">
            <v>14081.821</v>
          </cell>
          <cell r="AB5191"/>
        </row>
        <row r="5192">
          <cell r="C5192">
            <v>0</v>
          </cell>
          <cell r="D5192">
            <v>0</v>
          </cell>
          <cell r="E5192">
            <v>0</v>
          </cell>
          <cell r="F5192">
            <v>0</v>
          </cell>
          <cell r="H5192">
            <v>2</v>
          </cell>
          <cell r="O5192">
            <v>377309</v>
          </cell>
          <cell r="P5192" t="str">
            <v>2023/331-0033-01</v>
          </cell>
          <cell r="Q5192" t="str">
            <v>EST POLTRONA SALVADOR (MAD B TECA NT) TC VALENCIA 302</v>
          </cell>
          <cell r="R5192"/>
          <cell r="S5192"/>
          <cell r="T5192">
            <v>0.7</v>
          </cell>
          <cell r="U5192">
            <v>0.66</v>
          </cell>
          <cell r="V5192">
            <v>0.7</v>
          </cell>
          <cell r="W5192">
            <v>0</v>
          </cell>
          <cell r="X5192" t="str">
            <v>EST POLTRONA SALVADOR (MAD B TECA NT) TC VALENCIA 302 - 0,7x0,66x0,7H</v>
          </cell>
          <cell r="Y5192">
            <v>18577.57</v>
          </cell>
          <cell r="Z5192">
            <v>0.5</v>
          </cell>
          <cell r="AA5192">
            <v>9288.7849999999999</v>
          </cell>
          <cell r="AB5192"/>
        </row>
        <row r="5193">
          <cell r="C5193" t="e">
            <v>#N/A</v>
          </cell>
          <cell r="D5193" t="e">
            <v>#N/A</v>
          </cell>
          <cell r="E5193" t="e">
            <v>#N/A</v>
          </cell>
          <cell r="F5193" t="e">
            <v>#N/A</v>
          </cell>
          <cell r="H5193" t="e">
            <v>#N/A</v>
          </cell>
          <cell r="O5193">
            <v>387259</v>
          </cell>
          <cell r="P5193"/>
          <cell r="Q5193" t="e">
            <v>#N/A</v>
          </cell>
          <cell r="R5193"/>
          <cell r="S5193"/>
          <cell r="T5193" t="e">
            <v>#N/A</v>
          </cell>
          <cell r="U5193" t="e">
            <v>#N/A</v>
          </cell>
          <cell r="V5193" t="e">
            <v>#N/A</v>
          </cell>
          <cell r="W5193" t="e">
            <v>#N/A</v>
          </cell>
          <cell r="X5193" t="e">
            <v>#N/A</v>
          </cell>
          <cell r="Y5193">
            <v>0</v>
          </cell>
          <cell r="Z5193">
            <v>0.35</v>
          </cell>
          <cell r="AA5193">
            <v>0</v>
          </cell>
          <cell r="AB5193"/>
        </row>
        <row r="5194">
          <cell r="C5194">
            <v>0</v>
          </cell>
          <cell r="D5194">
            <v>0</v>
          </cell>
          <cell r="E5194">
            <v>0</v>
          </cell>
          <cell r="F5194">
            <v>0</v>
          </cell>
          <cell r="H5194">
            <v>1</v>
          </cell>
          <cell r="O5194">
            <v>398569</v>
          </cell>
          <cell r="P5194"/>
          <cell r="Q5194" t="str">
            <v>EST TAMPO GELSOMINA (CIRCULAR) (VITORIA REGIA)</v>
          </cell>
          <cell r="R5194"/>
          <cell r="S5194"/>
          <cell r="T5194">
            <v>1.2</v>
          </cell>
          <cell r="U5194">
            <v>0</v>
          </cell>
          <cell r="V5194">
            <v>0.02</v>
          </cell>
          <cell r="W5194">
            <v>1.2</v>
          </cell>
          <cell r="X5194" t="str">
            <v>EST TAMPO GELSOMINA (CIRCULAR) (VITORIA REGIA) - Ø1,2x0,02H</v>
          </cell>
          <cell r="Y5194">
            <v>0</v>
          </cell>
          <cell r="Z5194">
            <v>0.35</v>
          </cell>
          <cell r="AA5194">
            <v>0</v>
          </cell>
          <cell r="AB5194"/>
        </row>
        <row r="5195">
          <cell r="C5195">
            <v>0</v>
          </cell>
          <cell r="D5195">
            <v>0</v>
          </cell>
          <cell r="E5195">
            <v>0</v>
          </cell>
          <cell r="F5195">
            <v>0</v>
          </cell>
          <cell r="H5195">
            <v>1</v>
          </cell>
          <cell r="O5195">
            <v>398669</v>
          </cell>
          <cell r="P5195"/>
          <cell r="Q5195" t="str">
            <v>EST MODULO ENCOSTO RETO LENCOIS M (DET CR5) (FX5416)</v>
          </cell>
          <cell r="R5195"/>
          <cell r="S5195"/>
          <cell r="T5195">
            <v>0.8</v>
          </cell>
          <cell r="U5195">
            <v>0.26</v>
          </cell>
          <cell r="V5195">
            <v>0.26</v>
          </cell>
          <cell r="W5195">
            <v>0</v>
          </cell>
          <cell r="X5195" t="str">
            <v>EST MODULO ENCOSTO RETO LENCOIS M (DET CR5) (FX5416) - 0,8x0,26x0,26H</v>
          </cell>
          <cell r="Y5195" t="e">
            <v>#VALUE!</v>
          </cell>
          <cell r="Z5195">
            <v>0.35</v>
          </cell>
          <cell r="AA5195" t="e">
            <v>#VALUE!</v>
          </cell>
          <cell r="AB5195"/>
        </row>
        <row r="5196">
          <cell r="C5196">
            <v>0</v>
          </cell>
          <cell r="D5196">
            <v>0</v>
          </cell>
          <cell r="E5196">
            <v>0</v>
          </cell>
          <cell r="F5196">
            <v>0</v>
          </cell>
          <cell r="H5196">
            <v>1</v>
          </cell>
          <cell r="O5196">
            <v>398670</v>
          </cell>
          <cell r="P5196" t="str">
            <v>2024/305-0063-01</v>
          </cell>
          <cell r="Q5196" t="str">
            <v>EST MODULO PUFF LENCOIS M (RVST DET CR5) (FX5416)</v>
          </cell>
          <cell r="R5196"/>
          <cell r="S5196"/>
          <cell r="T5196">
            <v>2</v>
          </cell>
          <cell r="U5196">
            <v>1</v>
          </cell>
          <cell r="V5196">
            <v>0.38</v>
          </cell>
          <cell r="W5196">
            <v>0</v>
          </cell>
          <cell r="X5196" t="str">
            <v>EST MODULO PUFF LENCOIS M (RVST DET CR5) (FX5416) - 2x1x0,38H</v>
          </cell>
          <cell r="Y5196" t="e">
            <v>#VALUE!</v>
          </cell>
          <cell r="Z5196">
            <v>0.35</v>
          </cell>
          <cell r="AA5196" t="e">
            <v>#VALUE!</v>
          </cell>
          <cell r="AB5196"/>
        </row>
        <row r="5197">
          <cell r="C5197">
            <v>0</v>
          </cell>
          <cell r="D5197">
            <v>0</v>
          </cell>
          <cell r="E5197">
            <v>0</v>
          </cell>
          <cell r="F5197">
            <v>0</v>
          </cell>
          <cell r="H5197">
            <v>1</v>
          </cell>
          <cell r="O5197">
            <v>398671</v>
          </cell>
          <cell r="P5197"/>
          <cell r="Q5197" t="str">
            <v>EST MODULO ENCOSTO (L) LENCOIS M (DET CR5) (FX5416)</v>
          </cell>
          <cell r="R5197"/>
          <cell r="S5197"/>
          <cell r="T5197">
            <v>1</v>
          </cell>
          <cell r="U5197">
            <v>0.8</v>
          </cell>
          <cell r="V5197">
            <v>0.26</v>
          </cell>
          <cell r="W5197">
            <v>0</v>
          </cell>
          <cell r="X5197" t="str">
            <v>EST MODULO ENCOSTO (L) LENCOIS M (DET CR5) (FX5416) - 1x0,8x0,26H</v>
          </cell>
          <cell r="Y5197" t="e">
            <v>#VALUE!</v>
          </cell>
          <cell r="Z5197">
            <v>0.35</v>
          </cell>
          <cell r="AA5197" t="e">
            <v>#VALUE!</v>
          </cell>
          <cell r="AB5197"/>
        </row>
        <row r="5198">
          <cell r="C5198">
            <v>0</v>
          </cell>
          <cell r="D5198">
            <v>0</v>
          </cell>
          <cell r="E5198">
            <v>0</v>
          </cell>
          <cell r="F5198">
            <v>0</v>
          </cell>
          <cell r="H5198">
            <v>6</v>
          </cell>
          <cell r="O5198">
            <v>388701</v>
          </cell>
          <cell r="P5198" t="str">
            <v>2024/239-0089-01</v>
          </cell>
          <cell r="Q5198" t="str">
            <v>EST CADEIRA ERICA C/B (MAD A TAUARI ENV) TC MITRA ECO 005</v>
          </cell>
          <cell r="R5198"/>
          <cell r="S5198"/>
          <cell r="T5198">
            <v>0.5</v>
          </cell>
          <cell r="U5198">
            <v>0.61</v>
          </cell>
          <cell r="V5198">
            <v>0.78</v>
          </cell>
          <cell r="W5198">
            <v>0</v>
          </cell>
          <cell r="X5198" t="str">
            <v>EST CADEIRA ERICA C/B (MAD A TAUARI ENV) TC MITRA ECO 005 - 0,5x0,61x0,78H</v>
          </cell>
          <cell r="Y5198">
            <v>9390.08</v>
          </cell>
          <cell r="Z5198">
            <v>0.35</v>
          </cell>
          <cell r="AA5198">
            <v>6103.5519999999997</v>
          </cell>
          <cell r="AB5198"/>
        </row>
        <row r="5199">
          <cell r="C5199">
            <v>0</v>
          </cell>
          <cell r="D5199">
            <v>0</v>
          </cell>
          <cell r="E5199">
            <v>0</v>
          </cell>
          <cell r="F5199">
            <v>0</v>
          </cell>
          <cell r="H5199">
            <v>1</v>
          </cell>
          <cell r="O5199">
            <v>399204</v>
          </cell>
          <cell r="P5199"/>
          <cell r="Q5199" t="str">
            <v>EST CADEIRA JULIETA (JEQ BS DAGUA) (COURO PIGMENTADO PRETO)</v>
          </cell>
          <cell r="R5199"/>
          <cell r="S5199"/>
          <cell r="T5199">
            <v>0.6</v>
          </cell>
          <cell r="U5199">
            <v>0.5</v>
          </cell>
          <cell r="V5199">
            <v>0.7</v>
          </cell>
          <cell r="W5199">
            <v>0</v>
          </cell>
          <cell r="X5199" t="str">
            <v>EST CADEIRA JULIETA (JEQ BS DAGUA) (COURO PIGMENTADO PRETO) - 0,6x0,5x0,7H</v>
          </cell>
          <cell r="Y5199" t="e">
            <v>#VALUE!</v>
          </cell>
          <cell r="Z5199">
            <v>0.35</v>
          </cell>
          <cell r="AA5199" t="e">
            <v>#VALUE!</v>
          </cell>
          <cell r="AB5199"/>
        </row>
        <row r="5200">
          <cell r="C5200">
            <v>0</v>
          </cell>
          <cell r="D5200">
            <v>0</v>
          </cell>
          <cell r="E5200">
            <v>0</v>
          </cell>
          <cell r="F5200">
            <v>0</v>
          </cell>
          <cell r="H5200">
            <v>0</v>
          </cell>
          <cell r="O5200">
            <v>399359</v>
          </cell>
          <cell r="P5200" t="str">
            <v>2025/029-0027-01</v>
          </cell>
          <cell r="Q5200" t="str">
            <v>EST SOFA NEW ANDROS (2B) (FX E5158) (BASE LAMINA WALNUT)</v>
          </cell>
          <cell r="R5200"/>
          <cell r="S5200"/>
          <cell r="T5200">
            <v>2.8</v>
          </cell>
          <cell r="U5200">
            <v>1.5</v>
          </cell>
          <cell r="V5200">
            <v>0.76</v>
          </cell>
          <cell r="W5200">
            <v>0</v>
          </cell>
          <cell r="X5200" t="str">
            <v>EST SOFA NEW ANDROS (2B) (FX E5158) (BASE LAMINA WALNUT) - 2,8x1,5x0,76H</v>
          </cell>
          <cell r="Y5200">
            <v>50309.19</v>
          </cell>
          <cell r="Z5200">
            <v>0.35</v>
          </cell>
          <cell r="AA5200">
            <v>32700.973500000004</v>
          </cell>
          <cell r="AB5200"/>
        </row>
        <row r="5201">
          <cell r="C5201">
            <v>0</v>
          </cell>
          <cell r="D5201">
            <v>0</v>
          </cell>
          <cell r="E5201">
            <v>0</v>
          </cell>
          <cell r="F5201">
            <v>0</v>
          </cell>
          <cell r="H5201">
            <v>6</v>
          </cell>
          <cell r="O5201">
            <v>388701</v>
          </cell>
          <cell r="P5201" t="str">
            <v>2024/239-0090-01</v>
          </cell>
          <cell r="Q5201" t="str">
            <v>EST CADEIRA ERICA C/B (MAD A TAUARI ENV) TC MITRA ECO 005</v>
          </cell>
          <cell r="R5201"/>
          <cell r="S5201"/>
          <cell r="T5201">
            <v>0.5</v>
          </cell>
          <cell r="U5201">
            <v>0.61</v>
          </cell>
          <cell r="V5201">
            <v>0.78</v>
          </cell>
          <cell r="W5201">
            <v>0</v>
          </cell>
          <cell r="X5201" t="str">
            <v>EST CADEIRA ERICA C/B (MAD A TAUARI ENV) TC MITRA ECO 005 - 0,5x0,61x0,78H</v>
          </cell>
          <cell r="Y5201">
            <v>9390.08</v>
          </cell>
          <cell r="Z5201">
            <v>0.35</v>
          </cell>
          <cell r="AA5201">
            <v>6103.5519999999997</v>
          </cell>
          <cell r="AB5201"/>
        </row>
        <row r="5202">
          <cell r="C5202">
            <v>0</v>
          </cell>
          <cell r="D5202">
            <v>0</v>
          </cell>
          <cell r="E5202">
            <v>0</v>
          </cell>
          <cell r="F5202">
            <v>0</v>
          </cell>
          <cell r="H5202">
            <v>6</v>
          </cell>
          <cell r="O5202">
            <v>388701</v>
          </cell>
          <cell r="P5202" t="str">
            <v>2024/239-0091-01</v>
          </cell>
          <cell r="Q5202" t="str">
            <v>EST CADEIRA ERICA C/B (MAD A TAUARI ENV) TC MITRA ECO 005</v>
          </cell>
          <cell r="R5202"/>
          <cell r="S5202"/>
          <cell r="T5202">
            <v>0.5</v>
          </cell>
          <cell r="U5202">
            <v>0.61</v>
          </cell>
          <cell r="V5202">
            <v>0.78</v>
          </cell>
          <cell r="W5202">
            <v>0</v>
          </cell>
          <cell r="X5202" t="str">
            <v>EST CADEIRA ERICA C/B (MAD A TAUARI ENV) TC MITRA ECO 005 - 0,5x0,61x0,78H</v>
          </cell>
          <cell r="Y5202">
            <v>9390.08</v>
          </cell>
          <cell r="Z5202">
            <v>0.35</v>
          </cell>
          <cell r="AA5202">
            <v>6103.5519999999997</v>
          </cell>
          <cell r="AB5202"/>
        </row>
        <row r="5203">
          <cell r="C5203">
            <v>0</v>
          </cell>
          <cell r="D5203">
            <v>0</v>
          </cell>
          <cell r="E5203">
            <v>0</v>
          </cell>
          <cell r="F5203">
            <v>0</v>
          </cell>
          <cell r="H5203">
            <v>6</v>
          </cell>
          <cell r="O5203">
            <v>388701</v>
          </cell>
          <cell r="P5203" t="str">
            <v>2024/239-0092-01</v>
          </cell>
          <cell r="Q5203" t="str">
            <v>EST CADEIRA ERICA C/B (MAD A TAUARI ENV) TC MITRA ECO 005</v>
          </cell>
          <cell r="R5203"/>
          <cell r="S5203"/>
          <cell r="T5203">
            <v>0.5</v>
          </cell>
          <cell r="U5203">
            <v>0.61</v>
          </cell>
          <cell r="V5203">
            <v>0.78</v>
          </cell>
          <cell r="W5203">
            <v>0</v>
          </cell>
          <cell r="X5203" t="str">
            <v>EST CADEIRA ERICA C/B (MAD A TAUARI ENV) TC MITRA ECO 005 - 0,5x0,61x0,78H</v>
          </cell>
          <cell r="Y5203">
            <v>9390.08</v>
          </cell>
          <cell r="Z5203">
            <v>0.35</v>
          </cell>
          <cell r="AA5203">
            <v>6103.5519999999997</v>
          </cell>
          <cell r="AB5203"/>
        </row>
        <row r="5204">
          <cell r="C5204" t="e">
            <v>#N/A</v>
          </cell>
          <cell r="D5204" t="e">
            <v>#N/A</v>
          </cell>
          <cell r="E5204" t="e">
            <v>#N/A</v>
          </cell>
          <cell r="F5204" t="e">
            <v>#N/A</v>
          </cell>
          <cell r="H5204" t="e">
            <v>#N/A</v>
          </cell>
          <cell r="O5204">
            <v>400437</v>
          </cell>
          <cell r="P5204" t="str">
            <v>2025/052-0035-01</v>
          </cell>
          <cell r="Q5204" t="e">
            <v>#N/A</v>
          </cell>
          <cell r="R5204"/>
          <cell r="S5204"/>
          <cell r="T5204" t="e">
            <v>#N/A</v>
          </cell>
          <cell r="U5204" t="e">
            <v>#N/A</v>
          </cell>
          <cell r="V5204" t="e">
            <v>#N/A</v>
          </cell>
          <cell r="W5204" t="e">
            <v>#N/A</v>
          </cell>
          <cell r="X5204" t="e">
            <v>#N/A</v>
          </cell>
          <cell r="Y5204">
            <v>51742.99</v>
          </cell>
          <cell r="Z5204">
            <v>0.35</v>
          </cell>
          <cell r="AA5204">
            <v>33632.943500000001</v>
          </cell>
          <cell r="AB5204"/>
        </row>
        <row r="5205">
          <cell r="C5205" t="e">
            <v>#N/A</v>
          </cell>
          <cell r="D5205" t="e">
            <v>#N/A</v>
          </cell>
          <cell r="E5205" t="e">
            <v>#N/A</v>
          </cell>
          <cell r="F5205" t="e">
            <v>#N/A</v>
          </cell>
          <cell r="H5205" t="e">
            <v>#N/A</v>
          </cell>
          <cell r="O5205">
            <v>400438</v>
          </cell>
          <cell r="P5205" t="str">
            <v>2025/052-0036-01</v>
          </cell>
          <cell r="Q5205" t="e">
            <v>#N/A</v>
          </cell>
          <cell r="R5205"/>
          <cell r="S5205"/>
          <cell r="T5205" t="e">
            <v>#N/A</v>
          </cell>
          <cell r="U5205" t="e">
            <v>#N/A</v>
          </cell>
          <cell r="V5205" t="e">
            <v>#N/A</v>
          </cell>
          <cell r="W5205" t="e">
            <v>#N/A</v>
          </cell>
          <cell r="X5205" t="e">
            <v>#N/A</v>
          </cell>
          <cell r="Y5205">
            <v>19338.61</v>
          </cell>
          <cell r="Z5205">
            <v>0.35</v>
          </cell>
          <cell r="AA5205">
            <v>12570.0965</v>
          </cell>
          <cell r="AB5205"/>
        </row>
        <row r="5206">
          <cell r="C5206">
            <v>0</v>
          </cell>
          <cell r="D5206">
            <v>0</v>
          </cell>
          <cell r="E5206">
            <v>0</v>
          </cell>
          <cell r="F5206">
            <v>0</v>
          </cell>
          <cell r="H5206">
            <v>1</v>
          </cell>
          <cell r="O5206">
            <v>400456</v>
          </cell>
          <cell r="P5206" t="str">
            <v>2025/055-0036-01</v>
          </cell>
          <cell r="Q5206" t="str">
            <v>EST MESA CENTRO TAPI (SUCUPIRA NATURAL) (CAMURCA VERDE)</v>
          </cell>
          <cell r="R5206"/>
          <cell r="S5206"/>
          <cell r="T5206">
            <v>1.8</v>
          </cell>
          <cell r="U5206">
            <v>0.9</v>
          </cell>
          <cell r="V5206">
            <v>0.3</v>
          </cell>
          <cell r="W5206">
            <v>0</v>
          </cell>
          <cell r="X5206" t="str">
            <v>EST MESA CENTRO TAPI (SUCUPIRA NATURAL) (CAMURCA VERDE) - 1,8x0,9x0,3H</v>
          </cell>
          <cell r="Y5206">
            <v>64597.83</v>
          </cell>
          <cell r="Z5206">
            <v>0.35</v>
          </cell>
          <cell r="AA5206">
            <v>41988.589500000002</v>
          </cell>
          <cell r="AB5206"/>
        </row>
        <row r="5207">
          <cell r="C5207">
            <v>0</v>
          </cell>
          <cell r="D5207">
            <v>0</v>
          </cell>
          <cell r="E5207">
            <v>0</v>
          </cell>
          <cell r="F5207">
            <v>0</v>
          </cell>
          <cell r="H5207">
            <v>1</v>
          </cell>
          <cell r="O5207">
            <v>400456</v>
          </cell>
          <cell r="P5207"/>
          <cell r="Q5207" t="str">
            <v>EST MESA CENTRO TAPI (SUCUPIRA NATURAL) (CAMURCA VERDE)</v>
          </cell>
          <cell r="R5207"/>
          <cell r="S5207"/>
          <cell r="T5207">
            <v>1.8</v>
          </cell>
          <cell r="U5207">
            <v>0.9</v>
          </cell>
          <cell r="V5207">
            <v>0.3</v>
          </cell>
          <cell r="W5207">
            <v>0</v>
          </cell>
          <cell r="X5207" t="str">
            <v>EST MESA CENTRO TAPI (SUCUPIRA NATURAL) (CAMURCA VERDE) - 1,8x0,9x0,3H</v>
          </cell>
          <cell r="Y5207">
            <v>0</v>
          </cell>
          <cell r="Z5207">
            <v>0.35</v>
          </cell>
          <cell r="AA5207">
            <v>0</v>
          </cell>
          <cell r="AB5207"/>
        </row>
        <row r="5208">
          <cell r="C5208">
            <v>0</v>
          </cell>
          <cell r="D5208">
            <v>0</v>
          </cell>
          <cell r="E5208">
            <v>0</v>
          </cell>
          <cell r="F5208">
            <v>0</v>
          </cell>
          <cell r="H5208">
            <v>2</v>
          </cell>
          <cell r="O5208">
            <v>400486</v>
          </cell>
          <cell r="P5208"/>
          <cell r="Q5208" t="str">
            <v>EST POLTRONA DIZ (ESTOF S/FURO) (MAD A COR 2) COURO CH 05</v>
          </cell>
          <cell r="R5208"/>
          <cell r="S5208"/>
          <cell r="T5208">
            <v>0.78</v>
          </cell>
          <cell r="U5208">
            <v>0.89</v>
          </cell>
          <cell r="V5208">
            <v>0.71</v>
          </cell>
          <cell r="W5208">
            <v>0</v>
          </cell>
          <cell r="X5208" t="str">
            <v>EST POLTRONA DIZ (ESTOF S/FURO) (MAD A COR 2) COURO CH 05 - 0,78x0,89x0,71H</v>
          </cell>
          <cell r="Y5208">
            <v>0</v>
          </cell>
          <cell r="Z5208">
            <v>0.35</v>
          </cell>
          <cell r="AA5208">
            <v>0</v>
          </cell>
          <cell r="AB5208"/>
        </row>
        <row r="5209">
          <cell r="C5209">
            <v>0</v>
          </cell>
          <cell r="D5209">
            <v>0</v>
          </cell>
          <cell r="E5209">
            <v>0</v>
          </cell>
          <cell r="F5209">
            <v>0</v>
          </cell>
          <cell r="H5209">
            <v>6</v>
          </cell>
          <cell r="O5209">
            <v>388701</v>
          </cell>
          <cell r="P5209" t="str">
            <v>2024/239-0093-01</v>
          </cell>
          <cell r="Q5209" t="str">
            <v>EST CADEIRA ERICA C/B (MAD A TAUARI ENV) TC MITRA ECO 005</v>
          </cell>
          <cell r="R5209"/>
          <cell r="S5209"/>
          <cell r="T5209">
            <v>0.5</v>
          </cell>
          <cell r="U5209">
            <v>0.61</v>
          </cell>
          <cell r="V5209">
            <v>0.78</v>
          </cell>
          <cell r="W5209">
            <v>0</v>
          </cell>
          <cell r="X5209" t="str">
            <v>EST CADEIRA ERICA C/B (MAD A TAUARI ENV) TC MITRA ECO 005 - 0,5x0,61x0,78H</v>
          </cell>
          <cell r="Y5209">
            <v>9390.08</v>
          </cell>
          <cell r="Z5209">
            <v>0.35</v>
          </cell>
          <cell r="AA5209">
            <v>6103.5519999999997</v>
          </cell>
          <cell r="AB5209"/>
        </row>
        <row r="5210">
          <cell r="C5210">
            <v>0</v>
          </cell>
          <cell r="D5210">
            <v>0</v>
          </cell>
          <cell r="E5210">
            <v>0</v>
          </cell>
          <cell r="F5210">
            <v>0</v>
          </cell>
          <cell r="H5210">
            <v>6</v>
          </cell>
          <cell r="O5210">
            <v>388701</v>
          </cell>
          <cell r="P5210" t="str">
            <v>2024/239-0094-01</v>
          </cell>
          <cell r="Q5210" t="str">
            <v>EST CADEIRA ERICA C/B (MAD A TAUARI ENV) TC MITRA ECO 005</v>
          </cell>
          <cell r="R5210"/>
          <cell r="S5210"/>
          <cell r="T5210">
            <v>0.5</v>
          </cell>
          <cell r="U5210">
            <v>0.61</v>
          </cell>
          <cell r="V5210">
            <v>0.78</v>
          </cell>
          <cell r="W5210">
            <v>0</v>
          </cell>
          <cell r="X5210" t="str">
            <v>EST CADEIRA ERICA C/B (MAD A TAUARI ENV) TC MITRA ECO 005 - 0,5x0,61x0,78H</v>
          </cell>
          <cell r="Y5210">
            <v>9390.08</v>
          </cell>
          <cell r="Z5210">
            <v>0.35</v>
          </cell>
          <cell r="AA5210">
            <v>6103.5519999999997</v>
          </cell>
          <cell r="AB5210"/>
        </row>
        <row r="5211">
          <cell r="C5211">
            <v>0</v>
          </cell>
          <cell r="D5211">
            <v>0</v>
          </cell>
          <cell r="E5211">
            <v>0</v>
          </cell>
          <cell r="F5211">
            <v>0</v>
          </cell>
          <cell r="H5211">
            <v>0</v>
          </cell>
          <cell r="O5211">
            <v>400747</v>
          </cell>
          <cell r="P5211"/>
          <cell r="Q5211" t="str">
            <v>EST BASE JANTAR FIO (4 PES) (P/TP 3,00X1,20) (CANELA ESCURA)</v>
          </cell>
          <cell r="R5211"/>
          <cell r="S5211"/>
          <cell r="T5211">
            <v>2.84</v>
          </cell>
          <cell r="U5211">
            <v>1.04</v>
          </cell>
          <cell r="V5211">
            <v>0.72</v>
          </cell>
          <cell r="W5211">
            <v>0</v>
          </cell>
          <cell r="X5211" t="str">
            <v>EST BASE JANTAR FIO (4 PES) (P/TP 3,00X1,20) (CANELA ESCURA) - 2,84x1,04x0,72H</v>
          </cell>
          <cell r="Y5211">
            <v>0</v>
          </cell>
          <cell r="Z5211">
            <v>0.35</v>
          </cell>
          <cell r="AA5211">
            <v>0</v>
          </cell>
          <cell r="AB5211"/>
        </row>
        <row r="5212">
          <cell r="C5212">
            <v>0</v>
          </cell>
          <cell r="D5212">
            <v>0</v>
          </cell>
          <cell r="E5212">
            <v>0</v>
          </cell>
          <cell r="F5212">
            <v>0</v>
          </cell>
          <cell r="H5212">
            <v>0</v>
          </cell>
          <cell r="O5212">
            <v>400750</v>
          </cell>
          <cell r="P5212"/>
          <cell r="Q5212" t="str">
            <v>EST TAMPO FIO (G4-GREEN BAMBOO LEVIG) (TRIP)</v>
          </cell>
          <cell r="R5212"/>
          <cell r="S5212"/>
          <cell r="T5212">
            <v>3</v>
          </cell>
          <cell r="U5212">
            <v>1.2</v>
          </cell>
          <cell r="V5212">
            <v>0</v>
          </cell>
          <cell r="W5212">
            <v>0</v>
          </cell>
          <cell r="X5212" t="str">
            <v>EST TAMPO FIO (G4-GREEN BAMBOO LEVIG) (TRIP) - 3x1,2x0H</v>
          </cell>
          <cell r="Y5212">
            <v>0</v>
          </cell>
          <cell r="Z5212">
            <v>0.35</v>
          </cell>
          <cell r="AA5212">
            <v>0</v>
          </cell>
          <cell r="AB5212"/>
        </row>
        <row r="5213"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H5213">
            <v>0</v>
          </cell>
          <cell r="O5213">
            <v>400750</v>
          </cell>
          <cell r="P5213"/>
          <cell r="Q5213" t="str">
            <v>EST TAMPO FIO (G4-GREEN BAMBOO LEVIG) (TRIP)</v>
          </cell>
          <cell r="R5213"/>
          <cell r="S5213"/>
          <cell r="T5213">
            <v>3</v>
          </cell>
          <cell r="U5213">
            <v>1.2</v>
          </cell>
          <cell r="V5213">
            <v>0</v>
          </cell>
          <cell r="W5213">
            <v>0</v>
          </cell>
          <cell r="X5213" t="str">
            <v>EST TAMPO FIO (G4-GREEN BAMBOO LEVIG) (TRIP) - 3x1,2x0H</v>
          </cell>
          <cell r="Y5213" t="str">
            <v>EST</v>
          </cell>
          <cell r="Z5213">
            <v>0.35</v>
          </cell>
          <cell r="AA5213" t="e">
            <v>#VALUE!</v>
          </cell>
          <cell r="AB5213"/>
        </row>
        <row r="5214">
          <cell r="C5214">
            <v>0</v>
          </cell>
          <cell r="D5214">
            <v>0</v>
          </cell>
          <cell r="E5214">
            <v>0</v>
          </cell>
          <cell r="F5214">
            <v>0</v>
          </cell>
          <cell r="H5214">
            <v>1</v>
          </cell>
          <cell r="O5214">
            <v>400828</v>
          </cell>
          <cell r="P5214"/>
          <cell r="Q5214" t="str">
            <v>EST BUFFET ITA (3P) (M2 V LACTEA) (FREIJO EBANIZADO)</v>
          </cell>
          <cell r="R5214"/>
          <cell r="S5214"/>
          <cell r="T5214">
            <v>1.89</v>
          </cell>
          <cell r="U5214">
            <v>0.5</v>
          </cell>
          <cell r="V5214">
            <v>0.78</v>
          </cell>
          <cell r="W5214">
            <v>0</v>
          </cell>
          <cell r="X5214" t="str">
            <v>EST BUFFET ITA (3P) (M2 V LACTEA) (FREIJO EBANIZADO) - 1,89x0,5x0,78H</v>
          </cell>
          <cell r="Y5214">
            <v>0</v>
          </cell>
          <cell r="Z5214">
            <v>0.35</v>
          </cell>
          <cell r="AA5214">
            <v>0</v>
          </cell>
          <cell r="AB5214"/>
        </row>
        <row r="5215">
          <cell r="C5215">
            <v>0</v>
          </cell>
          <cell r="D5215">
            <v>0</v>
          </cell>
          <cell r="E5215">
            <v>0</v>
          </cell>
          <cell r="F5215">
            <v>0</v>
          </cell>
          <cell r="H5215">
            <v>0</v>
          </cell>
          <cell r="O5215">
            <v>400829</v>
          </cell>
          <cell r="P5215"/>
          <cell r="Q5215" t="str">
            <v>EST BUFFET ITA (4P/2G) (M2 V LACTEA) (P FERRO CLARO)</v>
          </cell>
          <cell r="R5215"/>
          <cell r="S5215"/>
          <cell r="T5215">
            <v>2.4</v>
          </cell>
          <cell r="U5215">
            <v>0.5</v>
          </cell>
          <cell r="V5215">
            <v>0.78</v>
          </cell>
          <cell r="W5215">
            <v>0</v>
          </cell>
          <cell r="X5215" t="str">
            <v>EST BUFFET ITA (4P/2G) (M2 V LACTEA) (P FERRO CLARO) - 2,4x0,5x0,78H</v>
          </cell>
          <cell r="Y5215">
            <v>0</v>
          </cell>
          <cell r="Z5215">
            <v>0.35</v>
          </cell>
          <cell r="AA5215">
            <v>0</v>
          </cell>
          <cell r="AB5215"/>
        </row>
        <row r="5216">
          <cell r="C5216">
            <v>0</v>
          </cell>
          <cell r="D5216">
            <v>0</v>
          </cell>
          <cell r="E5216">
            <v>0</v>
          </cell>
          <cell r="F5216">
            <v>0</v>
          </cell>
          <cell r="H5216">
            <v>1</v>
          </cell>
          <cell r="O5216">
            <v>402107</v>
          </cell>
          <cell r="P5216"/>
          <cell r="Q5216" t="str">
            <v>EST MESA JANTAR TAL (AREA COBERTA) (IPE)</v>
          </cell>
          <cell r="R5216"/>
          <cell r="S5216"/>
          <cell r="T5216">
            <v>3</v>
          </cell>
          <cell r="U5216">
            <v>1.1000000000000001</v>
          </cell>
          <cell r="V5216">
            <v>0.74</v>
          </cell>
          <cell r="W5216">
            <v>0</v>
          </cell>
          <cell r="X5216" t="str">
            <v>EST MESA JANTAR TAL (AREA COBERTA) (IPE) - 3x1,1x0,74H</v>
          </cell>
          <cell r="Y5216">
            <v>0</v>
          </cell>
          <cell r="Z5216">
            <v>0.35</v>
          </cell>
          <cell r="AA5216">
            <v>0</v>
          </cell>
          <cell r="AB5216"/>
        </row>
        <row r="5217">
          <cell r="C5217">
            <v>0</v>
          </cell>
          <cell r="D5217">
            <v>0</v>
          </cell>
          <cell r="E5217">
            <v>0</v>
          </cell>
          <cell r="F5217">
            <v>0</v>
          </cell>
          <cell r="H5217">
            <v>1</v>
          </cell>
          <cell r="O5217">
            <v>402169</v>
          </cell>
          <cell r="P5217"/>
          <cell r="Q5217" t="str">
            <v>EST BANCO DOMINO (2 LUG) (CONC GOIABA) (INOX)</v>
          </cell>
          <cell r="R5217"/>
          <cell r="S5217"/>
          <cell r="T5217">
            <v>1.27</v>
          </cell>
          <cell r="U5217">
            <v>0.45</v>
          </cell>
          <cell r="V5217">
            <v>0.48</v>
          </cell>
          <cell r="W5217">
            <v>0</v>
          </cell>
          <cell r="X5217" t="str">
            <v>EST BANCO DOMINO (2 LUG) (CONC GOIABA) (INOX) - 1,27x0,45x0,48H</v>
          </cell>
          <cell r="Y5217">
            <v>0</v>
          </cell>
          <cell r="Z5217">
            <v>0.35</v>
          </cell>
          <cell r="AA5217">
            <v>0</v>
          </cell>
          <cell r="AB5217"/>
        </row>
        <row r="5218">
          <cell r="C5218">
            <v>0</v>
          </cell>
          <cell r="D5218">
            <v>0</v>
          </cell>
          <cell r="E5218">
            <v>0</v>
          </cell>
          <cell r="F5218">
            <v>0</v>
          </cell>
          <cell r="H5218">
            <v>1</v>
          </cell>
          <cell r="O5218">
            <v>402174</v>
          </cell>
          <cell r="P5218"/>
          <cell r="Q5218" t="str">
            <v>EST BANCO DOMINO (6 LUG) (CILIN FREIJO) (CONC NT) (INOX)</v>
          </cell>
          <cell r="R5218"/>
          <cell r="S5218"/>
          <cell r="T5218">
            <v>2.73</v>
          </cell>
          <cell r="U5218">
            <v>0.45</v>
          </cell>
          <cell r="V5218">
            <v>0.48</v>
          </cell>
          <cell r="W5218">
            <v>0</v>
          </cell>
          <cell r="X5218" t="str">
            <v>EST BANCO DOMINO (6 LUG) (CILIN FREIJO) (CONC NT) (INOX) - 2,73x0,45x0,48H</v>
          </cell>
          <cell r="Y5218">
            <v>0</v>
          </cell>
          <cell r="Z5218">
            <v>0.35</v>
          </cell>
          <cell r="AA5218">
            <v>0</v>
          </cell>
          <cell r="AB5218"/>
        </row>
        <row r="5219">
          <cell r="C5219">
            <v>0</v>
          </cell>
          <cell r="D5219">
            <v>0</v>
          </cell>
          <cell r="E5219">
            <v>0</v>
          </cell>
          <cell r="F5219">
            <v>0</v>
          </cell>
          <cell r="H5219">
            <v>0</v>
          </cell>
          <cell r="O5219">
            <v>402237</v>
          </cell>
          <cell r="P5219"/>
          <cell r="Q5219" t="str">
            <v>EST POLTRONA COZY (C/CAPA) (IMBUIA) TC GALLIA ESTONADO MUSGO</v>
          </cell>
          <cell r="R5219"/>
          <cell r="S5219"/>
          <cell r="T5219">
            <v>0.89</v>
          </cell>
          <cell r="U5219">
            <v>1.03</v>
          </cell>
          <cell r="V5219">
            <v>0.89</v>
          </cell>
          <cell r="W5219">
            <v>0</v>
          </cell>
          <cell r="X5219" t="str">
            <v>EST POLTRONA COZY (C/CAPA) (IMBUIA) TC GALLIA ESTONADO MUSGO - 0,89x1,03x0,89H</v>
          </cell>
          <cell r="Y5219" t="e">
            <v>#VALUE!</v>
          </cell>
          <cell r="Z5219">
            <v>0.35</v>
          </cell>
          <cell r="AA5219" t="e">
            <v>#VALUE!</v>
          </cell>
          <cell r="AB5219"/>
        </row>
        <row r="5220">
          <cell r="C5220">
            <v>0</v>
          </cell>
          <cell r="D5220">
            <v>0</v>
          </cell>
          <cell r="E5220">
            <v>0</v>
          </cell>
          <cell r="F5220">
            <v>0</v>
          </cell>
          <cell r="H5220">
            <v>1</v>
          </cell>
          <cell r="O5220">
            <v>402311</v>
          </cell>
          <cell r="P5220"/>
          <cell r="Q5220" t="str">
            <v>EST POLTRONA SAPAO (FREIJO NATURAL) COURO CAMURCA VERDE</v>
          </cell>
          <cell r="R5220"/>
          <cell r="S5220"/>
          <cell r="T5220">
            <v>0.75</v>
          </cell>
          <cell r="U5220">
            <v>0.72</v>
          </cell>
          <cell r="V5220">
            <v>0.6</v>
          </cell>
          <cell r="W5220">
            <v>0</v>
          </cell>
          <cell r="X5220" t="str">
            <v>EST POLTRONA SAPAO (FREIJO NATURAL) COURO CAMURCA VERDE - 0,75x0,72x0,6H</v>
          </cell>
          <cell r="Y5220">
            <v>0</v>
          </cell>
          <cell r="Z5220">
            <v>0.35</v>
          </cell>
          <cell r="AA5220">
            <v>0</v>
          </cell>
          <cell r="AB5220"/>
        </row>
        <row r="5221">
          <cell r="C5221">
            <v>0</v>
          </cell>
          <cell r="D5221">
            <v>0</v>
          </cell>
          <cell r="E5221">
            <v>0</v>
          </cell>
          <cell r="F5221">
            <v>0</v>
          </cell>
          <cell r="H5221">
            <v>3</v>
          </cell>
          <cell r="O5221">
            <v>402396</v>
          </cell>
          <cell r="P5221" t="str">
            <v>2025/045-0005-01</v>
          </cell>
          <cell r="Q5221" t="str">
            <v>EST BANQUETA BAR QUERO QUERO H65 (KOURO CAFE) (WALNUT MATT)</v>
          </cell>
          <cell r="R5221"/>
          <cell r="S5221"/>
          <cell r="T5221">
            <v>0.46</v>
          </cell>
          <cell r="U5221">
            <v>0.56000000000000005</v>
          </cell>
          <cell r="V5221">
            <v>0.92</v>
          </cell>
          <cell r="W5221">
            <v>0</v>
          </cell>
          <cell r="X5221" t="str">
            <v>EST BANQUETA BAR QUERO QUERO H65 (KOURO CAFE) (WALNUT MATT) - 0,46x0,56x0,92H</v>
          </cell>
          <cell r="Y5221">
            <v>7575.86</v>
          </cell>
          <cell r="Z5221">
            <v>0.35</v>
          </cell>
          <cell r="AA5221">
            <v>4924.3089999999993</v>
          </cell>
          <cell r="AB5221"/>
        </row>
        <row r="5222">
          <cell r="C5222">
            <v>0</v>
          </cell>
          <cell r="D5222">
            <v>0</v>
          </cell>
          <cell r="E5222">
            <v>0</v>
          </cell>
          <cell r="F5222">
            <v>0</v>
          </cell>
          <cell r="H5222">
            <v>3</v>
          </cell>
          <cell r="O5222">
            <v>402396</v>
          </cell>
          <cell r="P5222" t="str">
            <v>2025/045-0006-01</v>
          </cell>
          <cell r="Q5222" t="str">
            <v>EST BANQUETA BAR QUERO QUERO H65 (KOURO CAFE) (WALNUT MATT)</v>
          </cell>
          <cell r="R5222"/>
          <cell r="S5222"/>
          <cell r="T5222">
            <v>0.46</v>
          </cell>
          <cell r="U5222">
            <v>0.56000000000000005</v>
          </cell>
          <cell r="V5222">
            <v>0.92</v>
          </cell>
          <cell r="W5222">
            <v>0</v>
          </cell>
          <cell r="X5222" t="str">
            <v>EST BANQUETA BAR QUERO QUERO H65 (KOURO CAFE) (WALNUT MATT) - 0,46x0,56x0,92H</v>
          </cell>
          <cell r="Y5222">
            <v>7575.86</v>
          </cell>
          <cell r="Z5222">
            <v>0.35</v>
          </cell>
          <cell r="AA5222">
            <v>4924.3089999999993</v>
          </cell>
          <cell r="AB5222"/>
        </row>
        <row r="5223">
          <cell r="C5223">
            <v>0</v>
          </cell>
          <cell r="D5223">
            <v>0</v>
          </cell>
          <cell r="E5223">
            <v>0</v>
          </cell>
          <cell r="F5223">
            <v>0</v>
          </cell>
          <cell r="H5223">
            <v>3</v>
          </cell>
          <cell r="O5223">
            <v>402396</v>
          </cell>
          <cell r="P5223" t="str">
            <v>2025/045-0007-01</v>
          </cell>
          <cell r="Q5223" t="str">
            <v>EST BANQUETA BAR QUERO QUERO H65 (KOURO CAFE) (WALNUT MATT)</v>
          </cell>
          <cell r="R5223"/>
          <cell r="S5223"/>
          <cell r="T5223">
            <v>0.46</v>
          </cell>
          <cell r="U5223">
            <v>0.56000000000000005</v>
          </cell>
          <cell r="V5223">
            <v>0.92</v>
          </cell>
          <cell r="W5223">
            <v>0</v>
          </cell>
          <cell r="X5223" t="str">
            <v>EST BANQUETA BAR QUERO QUERO H65 (KOURO CAFE) (WALNUT MATT) - 0,46x0,56x0,92H</v>
          </cell>
          <cell r="Y5223">
            <v>7575.86</v>
          </cell>
          <cell r="Z5223">
            <v>0.35</v>
          </cell>
          <cell r="AA5223">
            <v>4924.3089999999993</v>
          </cell>
          <cell r="AB5223"/>
        </row>
        <row r="5224">
          <cell r="C5224">
            <v>1</v>
          </cell>
          <cell r="D5224">
            <v>0</v>
          </cell>
          <cell r="E5224">
            <v>1</v>
          </cell>
          <cell r="F5224">
            <v>0</v>
          </cell>
          <cell r="H5224">
            <v>0</v>
          </cell>
          <cell r="O5224">
            <v>402537</v>
          </cell>
          <cell r="P5224" t="str">
            <v>2025/125-0046-01</v>
          </cell>
          <cell r="Q5224" t="str">
            <v>EST LUMINARIA PENDENTE NOVENTA (G) (INDIRETA) (PRETA)</v>
          </cell>
          <cell r="R5224"/>
          <cell r="S5224"/>
          <cell r="T5224">
            <v>0.65</v>
          </cell>
          <cell r="U5224">
            <v>0.56000000000000005</v>
          </cell>
          <cell r="V5224">
            <v>0.3</v>
          </cell>
          <cell r="W5224">
            <v>0</v>
          </cell>
          <cell r="X5224" t="str">
            <v>EST LUMINARIA PENDENTE NOVENTA (G) (INDIRETA) (PRETA) - 0,65x0,56x0,3H</v>
          </cell>
          <cell r="Y5224" t="e">
            <v>#VALUE!</v>
          </cell>
          <cell r="Z5224">
            <v>0.35</v>
          </cell>
          <cell r="AA5224" t="e">
            <v>#VALUE!</v>
          </cell>
          <cell r="AB5224"/>
        </row>
        <row r="5225">
          <cell r="C5225">
            <v>1</v>
          </cell>
          <cell r="D5225">
            <v>0</v>
          </cell>
          <cell r="E5225">
            <v>1</v>
          </cell>
          <cell r="F5225">
            <v>0</v>
          </cell>
          <cell r="H5225">
            <v>0</v>
          </cell>
          <cell r="O5225">
            <v>402537</v>
          </cell>
          <cell r="P5225" t="str">
            <v>2025/125-0047-01</v>
          </cell>
          <cell r="Q5225" t="str">
            <v>EST LUMINARIA PENDENTE NOVENTA (G) (INDIRETA) (PRETA)</v>
          </cell>
          <cell r="R5225"/>
          <cell r="S5225"/>
          <cell r="T5225">
            <v>0.65</v>
          </cell>
          <cell r="U5225">
            <v>0.56000000000000005</v>
          </cell>
          <cell r="V5225">
            <v>0.3</v>
          </cell>
          <cell r="W5225">
            <v>0</v>
          </cell>
          <cell r="X5225" t="str">
            <v>EST LUMINARIA PENDENTE NOVENTA (G) (INDIRETA) (PRETA) - 0,65x0,56x0,3H</v>
          </cell>
          <cell r="Y5225" t="e">
            <v>#VALUE!</v>
          </cell>
          <cell r="Z5225">
            <v>0.35</v>
          </cell>
          <cell r="AA5225" t="e">
            <v>#VALUE!</v>
          </cell>
          <cell r="AB5225"/>
        </row>
        <row r="5226">
          <cell r="C5226">
            <v>0</v>
          </cell>
          <cell r="D5226">
            <v>1</v>
          </cell>
          <cell r="E5226">
            <v>0</v>
          </cell>
          <cell r="F5226">
            <v>0</v>
          </cell>
          <cell r="H5226">
            <v>0</v>
          </cell>
          <cell r="O5226">
            <v>402539</v>
          </cell>
          <cell r="P5226" t="str">
            <v>2025/125-0049-01</v>
          </cell>
          <cell r="Q5226" t="str">
            <v>EST LUMINARIA PENDENTE NOVENTA (G) (DIRETA) (PRETA)</v>
          </cell>
          <cell r="R5226"/>
          <cell r="S5226"/>
          <cell r="T5226">
            <v>0.65</v>
          </cell>
          <cell r="U5226">
            <v>0.56000000000000005</v>
          </cell>
          <cell r="V5226">
            <v>0.3</v>
          </cell>
          <cell r="W5226">
            <v>0</v>
          </cell>
          <cell r="X5226" t="str">
            <v>EST LUMINARIA PENDENTE NOVENTA (G) (DIRETA) (PRETA) - 0,65x0,56x0,3H</v>
          </cell>
          <cell r="Y5226" t="e">
            <v>#VALUE!</v>
          </cell>
          <cell r="Z5226">
            <v>0.35</v>
          </cell>
          <cell r="AA5226" t="e">
            <v>#VALUE!</v>
          </cell>
          <cell r="AB5226"/>
        </row>
        <row r="5227">
          <cell r="C5227">
            <v>0</v>
          </cell>
          <cell r="D5227">
            <v>1</v>
          </cell>
          <cell r="E5227">
            <v>0</v>
          </cell>
          <cell r="F5227">
            <v>0</v>
          </cell>
          <cell r="H5227">
            <v>0</v>
          </cell>
          <cell r="O5227">
            <v>402539</v>
          </cell>
          <cell r="P5227" t="str">
            <v>2025/125-0048-01</v>
          </cell>
          <cell r="Q5227" t="str">
            <v>EST LUMINARIA PENDENTE NOVENTA (G) (DIRETA) (PRETA)</v>
          </cell>
          <cell r="R5227"/>
          <cell r="S5227"/>
          <cell r="T5227">
            <v>0.65</v>
          </cell>
          <cell r="U5227">
            <v>0.56000000000000005</v>
          </cell>
          <cell r="V5227">
            <v>0.3</v>
          </cell>
          <cell r="W5227">
            <v>0</v>
          </cell>
          <cell r="X5227" t="str">
            <v>EST LUMINARIA PENDENTE NOVENTA (G) (DIRETA) (PRETA) - 0,65x0,56x0,3H</v>
          </cell>
          <cell r="Y5227">
            <v>7192.46</v>
          </cell>
          <cell r="Z5227">
            <v>0.35</v>
          </cell>
          <cell r="AA5227">
            <v>4675.0990000000002</v>
          </cell>
          <cell r="AB5227"/>
        </row>
        <row r="5228">
          <cell r="C5228">
            <v>1</v>
          </cell>
          <cell r="D5228">
            <v>0</v>
          </cell>
          <cell r="E5228">
            <v>1</v>
          </cell>
          <cell r="F5228">
            <v>0</v>
          </cell>
          <cell r="H5228">
            <v>0</v>
          </cell>
          <cell r="O5228">
            <v>402540</v>
          </cell>
          <cell r="P5228" t="str">
            <v>2025/125-0050-01</v>
          </cell>
          <cell r="Q5228" t="str">
            <v>EST LUMINARIA PENDENTE NOVENTA (P) (DIRETA) (PRETA)</v>
          </cell>
          <cell r="R5228"/>
          <cell r="S5228"/>
          <cell r="T5228">
            <v>0.45</v>
          </cell>
          <cell r="U5228">
            <v>0.39</v>
          </cell>
          <cell r="V5228">
            <v>0.3</v>
          </cell>
          <cell r="W5228">
            <v>0</v>
          </cell>
          <cell r="X5228" t="str">
            <v>EST LUMINARIA PENDENTE NOVENTA (P) (DIRETA) (PRETA) - 0,45x0,39x0,3H</v>
          </cell>
          <cell r="Y5228" t="e">
            <v>#VALUE!</v>
          </cell>
          <cell r="Z5228">
            <v>0.35</v>
          </cell>
          <cell r="AA5228" t="e">
            <v>#VALUE!</v>
          </cell>
          <cell r="AB5228"/>
        </row>
        <row r="5229">
          <cell r="C5229">
            <v>1</v>
          </cell>
          <cell r="D5229">
            <v>0</v>
          </cell>
          <cell r="E5229">
            <v>1</v>
          </cell>
          <cell r="F5229">
            <v>0</v>
          </cell>
          <cell r="H5229">
            <v>0</v>
          </cell>
          <cell r="O5229">
            <v>402540</v>
          </cell>
          <cell r="P5229" t="str">
            <v>2025/125-0051-01</v>
          </cell>
          <cell r="Q5229" t="str">
            <v>EST LUMINARIA PENDENTE NOVENTA (P) (DIRETA) (PRETA)</v>
          </cell>
          <cell r="R5229"/>
          <cell r="S5229"/>
          <cell r="T5229">
            <v>0.45</v>
          </cell>
          <cell r="U5229">
            <v>0.39</v>
          </cell>
          <cell r="V5229">
            <v>0.3</v>
          </cell>
          <cell r="W5229">
            <v>0</v>
          </cell>
          <cell r="X5229" t="str">
            <v>EST LUMINARIA PENDENTE NOVENTA (P) (DIRETA) (PRETA) - 0,45x0,39x0,3H</v>
          </cell>
          <cell r="Y5229" t="e">
            <v>#VALUE!</v>
          </cell>
          <cell r="Z5229">
            <v>0.35</v>
          </cell>
          <cell r="AA5229" t="e">
            <v>#VALUE!</v>
          </cell>
          <cell r="AB5229"/>
        </row>
        <row r="5230">
          <cell r="C5230">
            <v>1</v>
          </cell>
          <cell r="D5230">
            <v>1</v>
          </cell>
          <cell r="E5230">
            <v>1</v>
          </cell>
          <cell r="F5230">
            <v>1</v>
          </cell>
          <cell r="H5230">
            <v>0</v>
          </cell>
          <cell r="O5230">
            <v>402541</v>
          </cell>
          <cell r="P5230" t="str">
            <v>2025/104-0024-01</v>
          </cell>
          <cell r="Q5230" t="str">
            <v>EST LUMINARIA MESA NOVENTA (G) (PRETA)</v>
          </cell>
          <cell r="R5230"/>
          <cell r="S5230"/>
          <cell r="T5230">
            <v>0.33</v>
          </cell>
          <cell r="U5230">
            <v>0.22</v>
          </cell>
          <cell r="V5230">
            <v>0.57999999999999996</v>
          </cell>
          <cell r="W5230">
            <v>0</v>
          </cell>
          <cell r="X5230" t="str">
            <v>EST LUMINARIA MESA NOVENTA (G) (PRETA) - 0,33x0,22x0,58H</v>
          </cell>
          <cell r="Y5230" t="e">
            <v>#VALUE!</v>
          </cell>
          <cell r="Z5230">
            <v>0.35</v>
          </cell>
          <cell r="AA5230" t="e">
            <v>#VALUE!</v>
          </cell>
          <cell r="AB5230"/>
        </row>
        <row r="5231">
          <cell r="C5231">
            <v>1</v>
          </cell>
          <cell r="D5231">
            <v>1</v>
          </cell>
          <cell r="E5231">
            <v>1</v>
          </cell>
          <cell r="F5231">
            <v>1</v>
          </cell>
          <cell r="H5231">
            <v>0</v>
          </cell>
          <cell r="O5231">
            <v>402541</v>
          </cell>
          <cell r="P5231" t="str">
            <v>2025/126-0028-01</v>
          </cell>
          <cell r="Q5231" t="str">
            <v>EST LUMINARIA MESA NOVENTA (G) (PRETA)</v>
          </cell>
          <cell r="R5231"/>
          <cell r="S5231"/>
          <cell r="T5231">
            <v>0.33</v>
          </cell>
          <cell r="U5231">
            <v>0.22</v>
          </cell>
          <cell r="V5231">
            <v>0.57999999999999996</v>
          </cell>
          <cell r="W5231">
            <v>0</v>
          </cell>
          <cell r="X5231" t="str">
            <v>EST LUMINARIA MESA NOVENTA (G) (PRETA) - 0,33x0,22x0,58H</v>
          </cell>
          <cell r="Y5231" t="e">
            <v>#VALUE!</v>
          </cell>
          <cell r="Z5231">
            <v>0.35</v>
          </cell>
          <cell r="AA5231" t="e">
            <v>#VALUE!</v>
          </cell>
          <cell r="AB5231"/>
        </row>
        <row r="5232">
          <cell r="C5232">
            <v>0</v>
          </cell>
          <cell r="D5232">
            <v>0</v>
          </cell>
          <cell r="E5232">
            <v>0</v>
          </cell>
          <cell r="F5232">
            <v>0</v>
          </cell>
          <cell r="H5232">
            <v>8</v>
          </cell>
          <cell r="O5232">
            <v>402646</v>
          </cell>
          <cell r="P5232"/>
          <cell r="Q5232" t="str">
            <v>EST CADEIRA GB MTF600 (S/B) TC EL ANGOLA COOPER</v>
          </cell>
          <cell r="R5232"/>
          <cell r="S5232"/>
          <cell r="T5232">
            <v>0.4</v>
          </cell>
          <cell r="U5232">
            <v>0.48</v>
          </cell>
          <cell r="V5232">
            <v>0.82</v>
          </cell>
          <cell r="W5232">
            <v>0</v>
          </cell>
          <cell r="X5232" t="str">
            <v>EST CADEIRA GB MTF600 (S/B) TC EL ANGOLA COOPER - 0,4x0,48x0,82H</v>
          </cell>
          <cell r="Y5232" t="e">
            <v>#VALUE!</v>
          </cell>
          <cell r="Z5232">
            <v>0.35</v>
          </cell>
          <cell r="AA5232" t="e">
            <v>#VALUE!</v>
          </cell>
          <cell r="AB5232"/>
        </row>
        <row r="5233">
          <cell r="C5233">
            <v>0</v>
          </cell>
          <cell r="D5233">
            <v>0</v>
          </cell>
          <cell r="E5233">
            <v>0</v>
          </cell>
          <cell r="F5233">
            <v>0</v>
          </cell>
          <cell r="H5233">
            <v>8</v>
          </cell>
          <cell r="O5233">
            <v>402646</v>
          </cell>
          <cell r="P5233"/>
          <cell r="Q5233" t="str">
            <v>EST CADEIRA GB MTF600 (S/B) TC EL ANGOLA COOPER</v>
          </cell>
          <cell r="R5233"/>
          <cell r="S5233"/>
          <cell r="T5233">
            <v>0.4</v>
          </cell>
          <cell r="U5233">
            <v>0.48</v>
          </cell>
          <cell r="V5233">
            <v>0.82</v>
          </cell>
          <cell r="W5233">
            <v>0</v>
          </cell>
          <cell r="X5233" t="str">
            <v>EST CADEIRA GB MTF600 (S/B) TC EL ANGOLA COOPER - 0,4x0,48x0,82H</v>
          </cell>
          <cell r="Y5233">
            <v>0</v>
          </cell>
          <cell r="Z5233">
            <v>0.35</v>
          </cell>
          <cell r="AA5233">
            <v>0</v>
          </cell>
          <cell r="AB5233"/>
        </row>
        <row r="5234">
          <cell r="C5234">
            <v>0</v>
          </cell>
          <cell r="D5234">
            <v>0</v>
          </cell>
          <cell r="E5234">
            <v>0</v>
          </cell>
          <cell r="F5234">
            <v>0</v>
          </cell>
          <cell r="H5234">
            <v>2</v>
          </cell>
          <cell r="O5234">
            <v>388726</v>
          </cell>
          <cell r="P5234" t="str">
            <v>2024/239-0117-01</v>
          </cell>
          <cell r="Q5234" t="str">
            <v>EST POLTRONA MUXA (MAD A MUIRACATIARA PU) TC ANGOLA BEIGE</v>
          </cell>
          <cell r="R5234"/>
          <cell r="S5234"/>
          <cell r="T5234">
            <v>0.97</v>
          </cell>
          <cell r="U5234">
            <v>0.93</v>
          </cell>
          <cell r="V5234">
            <v>0.69</v>
          </cell>
          <cell r="W5234">
            <v>0</v>
          </cell>
          <cell r="X5234" t="str">
            <v>EST POLTRONA MUXA (MAD A MUIRACATIARA PU) TC ANGOLA BEIGE - 0,97x0,93x0,69H</v>
          </cell>
          <cell r="Y5234">
            <v>39882.991999999998</v>
          </cell>
          <cell r="Z5234">
            <v>0.35</v>
          </cell>
          <cell r="AA5234">
            <v>25923.944799999997</v>
          </cell>
          <cell r="AB5234"/>
        </row>
        <row r="5235">
          <cell r="C5235">
            <v>0</v>
          </cell>
          <cell r="D5235">
            <v>0</v>
          </cell>
          <cell r="E5235">
            <v>0</v>
          </cell>
          <cell r="F5235">
            <v>0</v>
          </cell>
          <cell r="H5235">
            <v>2</v>
          </cell>
          <cell r="O5235">
            <v>388726</v>
          </cell>
          <cell r="P5235" t="str">
            <v>2024/239-0118-01</v>
          </cell>
          <cell r="Q5235" t="str">
            <v>EST POLTRONA MUXA (MAD A MUIRACATIARA PU) TC ANGOLA BEIGE</v>
          </cell>
          <cell r="R5235"/>
          <cell r="S5235"/>
          <cell r="T5235">
            <v>0.97</v>
          </cell>
          <cell r="U5235">
            <v>0.93</v>
          </cell>
          <cell r="V5235">
            <v>0.69</v>
          </cell>
          <cell r="W5235">
            <v>0</v>
          </cell>
          <cell r="X5235" t="str">
            <v>EST POLTRONA MUXA (MAD A MUIRACATIARA PU) TC ANGOLA BEIGE - 0,97x0,93x0,69H</v>
          </cell>
          <cell r="Y5235">
            <v>39882.991999999998</v>
          </cell>
          <cell r="Z5235">
            <v>0.35</v>
          </cell>
          <cell r="AA5235">
            <v>25923.944799999997</v>
          </cell>
          <cell r="AB5235"/>
        </row>
        <row r="5236">
          <cell r="C5236">
            <v>0</v>
          </cell>
          <cell r="D5236">
            <v>0</v>
          </cell>
          <cell r="E5236">
            <v>0</v>
          </cell>
          <cell r="F5236">
            <v>0</v>
          </cell>
          <cell r="H5236">
            <v>1</v>
          </cell>
          <cell r="O5236">
            <v>402715</v>
          </cell>
          <cell r="P5236"/>
          <cell r="Q5236" t="str">
            <v>EST MESA CENTRO PICK (CATUABA) (CONCRETO NATURAL)</v>
          </cell>
          <cell r="R5236"/>
          <cell r="S5236"/>
          <cell r="T5236">
            <v>1.94</v>
          </cell>
          <cell r="U5236">
            <v>1.04</v>
          </cell>
          <cell r="V5236">
            <v>0.35</v>
          </cell>
          <cell r="W5236">
            <v>0</v>
          </cell>
          <cell r="X5236" t="str">
            <v>EST MESA CENTRO PICK (CATUABA) (CONCRETO NATURAL) - 1,94x1,04x0,35H</v>
          </cell>
          <cell r="Y5236">
            <v>0</v>
          </cell>
          <cell r="Z5236">
            <v>0.35</v>
          </cell>
          <cell r="AA5236">
            <v>0</v>
          </cell>
          <cell r="AB5236"/>
        </row>
        <row r="5237">
          <cell r="C5237" t="e">
            <v>#N/A</v>
          </cell>
          <cell r="D5237" t="e">
            <v>#N/A</v>
          </cell>
          <cell r="E5237" t="e">
            <v>#N/A</v>
          </cell>
          <cell r="F5237" t="e">
            <v>#N/A</v>
          </cell>
          <cell r="H5237" t="e">
            <v>#N/A</v>
          </cell>
          <cell r="O5237">
            <v>403847</v>
          </cell>
          <cell r="P5237"/>
          <cell r="Q5237" t="e">
            <v>#N/A</v>
          </cell>
          <cell r="R5237"/>
          <cell r="S5237"/>
          <cell r="T5237" t="e">
            <v>#N/A</v>
          </cell>
          <cell r="U5237" t="e">
            <v>#N/A</v>
          </cell>
          <cell r="V5237" t="e">
            <v>#N/A</v>
          </cell>
          <cell r="W5237" t="e">
            <v>#N/A</v>
          </cell>
          <cell r="X5237" t="e">
            <v>#N/A</v>
          </cell>
          <cell r="Y5237">
            <v>0</v>
          </cell>
          <cell r="Z5237">
            <v>0.35</v>
          </cell>
          <cell r="AA5237">
            <v>0</v>
          </cell>
          <cell r="AB5237"/>
        </row>
        <row r="5238">
          <cell r="C5238">
            <v>0</v>
          </cell>
          <cell r="D5238">
            <v>0</v>
          </cell>
          <cell r="E5238">
            <v>0</v>
          </cell>
          <cell r="F5238">
            <v>0</v>
          </cell>
          <cell r="H5238">
            <v>1</v>
          </cell>
          <cell r="O5238">
            <v>403848</v>
          </cell>
          <cell r="P5238"/>
          <cell r="Q5238" t="str">
            <v>EST BANCO GAMELA (ASS PAU FERRO/BASE PINHO DE RIGA XXVI)</v>
          </cell>
          <cell r="R5238"/>
          <cell r="S5238"/>
          <cell r="T5238">
            <v>3.47</v>
          </cell>
          <cell r="U5238">
            <v>0.27</v>
          </cell>
          <cell r="V5238">
            <v>0.39</v>
          </cell>
          <cell r="W5238">
            <v>0</v>
          </cell>
          <cell r="X5238" t="str">
            <v>EST BANCO GAMELA (ASS PAU FERRO/BASE PINHO DE RIGA XXVI) - 3,47x0,27x0,39H</v>
          </cell>
          <cell r="Y5238">
            <v>0</v>
          </cell>
          <cell r="Z5238">
            <v>0.35</v>
          </cell>
          <cell r="AA5238">
            <v>0</v>
          </cell>
          <cell r="AB5238"/>
        </row>
        <row r="5239">
          <cell r="C5239">
            <v>2</v>
          </cell>
          <cell r="D5239">
            <v>0</v>
          </cell>
          <cell r="E5239">
            <v>0</v>
          </cell>
          <cell r="F5239">
            <v>0</v>
          </cell>
          <cell r="H5239">
            <v>0</v>
          </cell>
          <cell r="O5239">
            <v>404174</v>
          </cell>
          <cell r="P5239" t="str">
            <v>2025/148-0043-01</v>
          </cell>
          <cell r="Q5239" t="str">
            <v>EST MOVEL AUXILIAR BARCELONA (MARM 1 NUVOLA GOLD) LAM WALNUT</v>
          </cell>
          <cell r="R5239"/>
          <cell r="S5239"/>
          <cell r="T5239">
            <v>0.5</v>
          </cell>
          <cell r="U5239">
            <v>0</v>
          </cell>
          <cell r="V5239">
            <v>0.55000000000000004</v>
          </cell>
          <cell r="W5239">
            <v>0.5</v>
          </cell>
          <cell r="X5239" t="str">
            <v>EST MOVEL AUXILIAR BARCELONA (MARM 1 NUVOLA GOLD) LAM WALNUT - Ø0,5x0,55H</v>
          </cell>
          <cell r="Y5239">
            <v>16629.45</v>
          </cell>
          <cell r="Z5239">
            <v>0.35</v>
          </cell>
          <cell r="AA5239">
            <v>10809.142500000002</v>
          </cell>
          <cell r="AB5239"/>
        </row>
        <row r="5240">
          <cell r="C5240">
            <v>2</v>
          </cell>
          <cell r="D5240">
            <v>0</v>
          </cell>
          <cell r="E5240">
            <v>0</v>
          </cell>
          <cell r="F5240">
            <v>0</v>
          </cell>
          <cell r="H5240">
            <v>0</v>
          </cell>
          <cell r="O5240">
            <v>404174</v>
          </cell>
          <cell r="P5240" t="str">
            <v>2025/148-0045-01</v>
          </cell>
          <cell r="Q5240" t="str">
            <v>EST MOVEL AUXILIAR BARCELONA (MARM 1 NUVOLA GOLD) LAM WALNUT</v>
          </cell>
          <cell r="R5240"/>
          <cell r="S5240"/>
          <cell r="T5240">
            <v>0.5</v>
          </cell>
          <cell r="U5240">
            <v>0</v>
          </cell>
          <cell r="V5240">
            <v>0.55000000000000004</v>
          </cell>
          <cell r="W5240">
            <v>0.5</v>
          </cell>
          <cell r="X5240" t="str">
            <v>EST MOVEL AUXILIAR BARCELONA (MARM 1 NUVOLA GOLD) LAM WALNUT - Ø0,5x0,55H</v>
          </cell>
          <cell r="Y5240">
            <v>16629.45</v>
          </cell>
          <cell r="Z5240">
            <v>0.35</v>
          </cell>
          <cell r="AA5240">
            <v>10809.142500000002</v>
          </cell>
          <cell r="AB5240"/>
        </row>
        <row r="5241">
          <cell r="C5241" t="e">
            <v>#N/A</v>
          </cell>
          <cell r="D5241" t="e">
            <v>#N/A</v>
          </cell>
          <cell r="E5241" t="e">
            <v>#N/A</v>
          </cell>
          <cell r="F5241" t="e">
            <v>#N/A</v>
          </cell>
          <cell r="H5241" t="e">
            <v>#N/A</v>
          </cell>
          <cell r="O5241">
            <v>404544</v>
          </cell>
          <cell r="P5241"/>
          <cell r="Q5241" t="e">
            <v>#N/A</v>
          </cell>
          <cell r="R5241"/>
          <cell r="S5241"/>
          <cell r="T5241" t="e">
            <v>#N/A</v>
          </cell>
          <cell r="U5241" t="e">
            <v>#N/A</v>
          </cell>
          <cell r="V5241" t="e">
            <v>#N/A</v>
          </cell>
          <cell r="W5241" t="e">
            <v>#N/A</v>
          </cell>
          <cell r="X5241" t="e">
            <v>#N/A</v>
          </cell>
          <cell r="Y5241">
            <v>0</v>
          </cell>
          <cell r="Z5241">
            <v>0.35</v>
          </cell>
          <cell r="AA5241">
            <v>0</v>
          </cell>
          <cell r="AB5241"/>
        </row>
        <row r="5242">
          <cell r="C5242">
            <v>0</v>
          </cell>
          <cell r="D5242">
            <v>0</v>
          </cell>
          <cell r="E5242">
            <v>0</v>
          </cell>
          <cell r="F5242">
            <v>0</v>
          </cell>
          <cell r="H5242">
            <v>1</v>
          </cell>
          <cell r="O5242">
            <v>404545</v>
          </cell>
          <cell r="P5242"/>
          <cell r="Q5242" t="str">
            <v>EST COMPONENTE CAPA PAULISTANO (LONA 45 BLUSH ROSADO)</v>
          </cell>
          <cell r="R5242"/>
          <cell r="S5242"/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 t="str">
            <v>EST COMPONENTE CAPA PAULISTANO (LONA 45 BLUSH ROSADO) - Ø0x0H</v>
          </cell>
          <cell r="Y5242">
            <v>0</v>
          </cell>
          <cell r="Z5242">
            <v>0.35</v>
          </cell>
          <cell r="AA5242">
            <v>0</v>
          </cell>
          <cell r="AB5242"/>
        </row>
        <row r="5243">
          <cell r="C5243">
            <v>0</v>
          </cell>
          <cell r="D5243">
            <v>0</v>
          </cell>
          <cell r="E5243">
            <v>0</v>
          </cell>
          <cell r="F5243">
            <v>0</v>
          </cell>
          <cell r="H5243">
            <v>3</v>
          </cell>
          <cell r="O5243">
            <v>404558</v>
          </cell>
          <cell r="P5243"/>
          <cell r="Q5243" t="str">
            <v>EST COMPONENTE ESTRUTURA CADEIRA PAULISTANO (ACO PRETO)</v>
          </cell>
          <cell r="R5243"/>
          <cell r="S5243"/>
          <cell r="T5243">
            <v>0.72</v>
          </cell>
          <cell r="U5243">
            <v>0.74</v>
          </cell>
          <cell r="V5243">
            <v>0.82</v>
          </cell>
          <cell r="W5243">
            <v>0</v>
          </cell>
          <cell r="X5243" t="str">
            <v>EST COMPONENTE ESTRUTURA CADEIRA PAULISTANO (ACO PRETO) - 0,72x0,74x0,82H</v>
          </cell>
          <cell r="Y5243">
            <v>0</v>
          </cell>
          <cell r="Z5243">
            <v>0.35</v>
          </cell>
          <cell r="AA5243">
            <v>0</v>
          </cell>
          <cell r="AB5243"/>
        </row>
        <row r="5244">
          <cell r="C5244">
            <v>0</v>
          </cell>
          <cell r="D5244">
            <v>0</v>
          </cell>
          <cell r="E5244">
            <v>0</v>
          </cell>
          <cell r="F5244">
            <v>0</v>
          </cell>
          <cell r="H5244">
            <v>2</v>
          </cell>
          <cell r="O5244">
            <v>404559</v>
          </cell>
          <cell r="P5244"/>
          <cell r="Q5244" t="str">
            <v>EST COMPONENTE ESTRUTURA CADEIRA PAULISTANO (INOX POLIDO)</v>
          </cell>
          <cell r="R5244"/>
          <cell r="S5244"/>
          <cell r="T5244">
            <v>0.72</v>
          </cell>
          <cell r="U5244">
            <v>0.74</v>
          </cell>
          <cell r="V5244">
            <v>0.82</v>
          </cell>
          <cell r="W5244">
            <v>0</v>
          </cell>
          <cell r="X5244" t="str">
            <v>EST COMPONENTE ESTRUTURA CADEIRA PAULISTANO (INOX POLIDO) - 0,72x0,74x0,82H</v>
          </cell>
          <cell r="Y5244">
            <v>0</v>
          </cell>
          <cell r="Z5244">
            <v>0.35</v>
          </cell>
          <cell r="AA5244">
            <v>0</v>
          </cell>
          <cell r="AB5244"/>
        </row>
        <row r="5245">
          <cell r="C5245">
            <v>1</v>
          </cell>
          <cell r="D5245">
            <v>0</v>
          </cell>
          <cell r="E5245">
            <v>1</v>
          </cell>
          <cell r="F5245">
            <v>0</v>
          </cell>
          <cell r="H5245">
            <v>1</v>
          </cell>
          <cell r="O5245">
            <v>404589</v>
          </cell>
          <cell r="P5245" t="str">
            <v>2025/154-0031-01</v>
          </cell>
          <cell r="Q5245" t="str">
            <v>EST COMPONENTE ALMOFADA CHAISE BELLAGIO TC KEEPSAKE SILVER</v>
          </cell>
          <cell r="R5245"/>
          <cell r="S5245"/>
          <cell r="T5245">
            <v>1.7</v>
          </cell>
          <cell r="U5245">
            <v>0.7</v>
          </cell>
          <cell r="V5245">
            <v>0.05</v>
          </cell>
          <cell r="W5245">
            <v>0</v>
          </cell>
          <cell r="X5245" t="str">
            <v>EST COMPONENTE ALMOFADA CHAISE BELLAGIO TC KEEPSAKE SILVER - 1,7x0,7x0,05H</v>
          </cell>
          <cell r="Y5245">
            <v>8865.7227999999996</v>
          </cell>
          <cell r="Z5245">
            <v>0.35</v>
          </cell>
          <cell r="AA5245">
            <v>5762.7198200000003</v>
          </cell>
          <cell r="AB5245"/>
        </row>
        <row r="5246">
          <cell r="C5246">
            <v>1</v>
          </cell>
          <cell r="D5246">
            <v>0</v>
          </cell>
          <cell r="E5246">
            <v>1</v>
          </cell>
          <cell r="F5246">
            <v>0</v>
          </cell>
          <cell r="H5246">
            <v>1</v>
          </cell>
          <cell r="O5246">
            <v>404589</v>
          </cell>
          <cell r="P5246" t="str">
            <v>2025/154-0032-01</v>
          </cell>
          <cell r="Q5246" t="str">
            <v>EST COMPONENTE ALMOFADA CHAISE BELLAGIO TC KEEPSAKE SILVER</v>
          </cell>
          <cell r="R5246"/>
          <cell r="S5246"/>
          <cell r="T5246">
            <v>1.7</v>
          </cell>
          <cell r="U5246">
            <v>0.7</v>
          </cell>
          <cell r="V5246">
            <v>0.05</v>
          </cell>
          <cell r="W5246">
            <v>0</v>
          </cell>
          <cell r="X5246" t="str">
            <v>EST COMPONENTE ALMOFADA CHAISE BELLAGIO TC KEEPSAKE SILVER - 1,7x0,7x0,05H</v>
          </cell>
          <cell r="Y5246">
            <v>8865.7227999999996</v>
          </cell>
          <cell r="Z5246">
            <v>0.35</v>
          </cell>
          <cell r="AA5246">
            <v>5762.7198200000003</v>
          </cell>
          <cell r="AB5246"/>
        </row>
        <row r="5247">
          <cell r="C5247">
            <v>0</v>
          </cell>
          <cell r="D5247">
            <v>0</v>
          </cell>
          <cell r="E5247">
            <v>0</v>
          </cell>
          <cell r="F5247">
            <v>0</v>
          </cell>
          <cell r="H5247">
            <v>0</v>
          </cell>
          <cell r="O5247">
            <v>404602</v>
          </cell>
          <cell r="P5247" t="str">
            <v>2025/246-0034-01</v>
          </cell>
          <cell r="Q5247" t="str">
            <v>EST MESA CENTRO BELLAGIO (ALU C29)</v>
          </cell>
          <cell r="R5247"/>
          <cell r="S5247"/>
          <cell r="T5247">
            <v>1.2</v>
          </cell>
          <cell r="U5247">
            <v>0</v>
          </cell>
          <cell r="V5247">
            <v>0.35</v>
          </cell>
          <cell r="W5247">
            <v>1.2</v>
          </cell>
          <cell r="X5247" t="str">
            <v>EST MESA CENTRO BELLAGIO (ALU C29) - Ø1,2x0,35H</v>
          </cell>
          <cell r="Y5247">
            <v>22279.71</v>
          </cell>
          <cell r="Z5247">
            <v>0.35</v>
          </cell>
          <cell r="AA5247">
            <v>14481.8115</v>
          </cell>
          <cell r="AB5247"/>
        </row>
        <row r="5248">
          <cell r="C5248">
            <v>0</v>
          </cell>
          <cell r="D5248">
            <v>0</v>
          </cell>
          <cell r="E5248">
            <v>0</v>
          </cell>
          <cell r="F5248">
            <v>0</v>
          </cell>
          <cell r="H5248">
            <v>0</v>
          </cell>
          <cell r="O5248">
            <v>404607</v>
          </cell>
          <cell r="P5248" t="str">
            <v>2025/246-0035-01</v>
          </cell>
          <cell r="Q5248" t="str">
            <v>EST MESA CENTRO BELLAGIO (ALU C32)</v>
          </cell>
          <cell r="R5248"/>
          <cell r="S5248"/>
          <cell r="T5248">
            <v>1.2</v>
          </cell>
          <cell r="U5248">
            <v>0</v>
          </cell>
          <cell r="V5248">
            <v>0.35</v>
          </cell>
          <cell r="W5248">
            <v>1.2</v>
          </cell>
          <cell r="X5248" t="str">
            <v>EST MESA CENTRO BELLAGIO (ALU C32) - Ø1,2x0,35H</v>
          </cell>
          <cell r="Y5248">
            <v>22279.71</v>
          </cell>
          <cell r="Z5248">
            <v>0.35</v>
          </cell>
          <cell r="AA5248">
            <v>14481.8115</v>
          </cell>
          <cell r="AB5248"/>
        </row>
        <row r="5249">
          <cell r="C5249">
            <v>0</v>
          </cell>
          <cell r="D5249">
            <v>0</v>
          </cell>
          <cell r="E5249">
            <v>0</v>
          </cell>
          <cell r="F5249">
            <v>1</v>
          </cell>
          <cell r="H5249">
            <v>0</v>
          </cell>
          <cell r="O5249">
            <v>404610</v>
          </cell>
          <cell r="P5249" t="str">
            <v>2025/154-0018-01</v>
          </cell>
          <cell r="Q5249" t="str">
            <v>EST MESA LATERAL BELLAGIO (FORMICA TS CORDA) (ALU C29)</v>
          </cell>
          <cell r="R5249"/>
          <cell r="S5249"/>
          <cell r="T5249">
            <v>0.5</v>
          </cell>
          <cell r="U5249">
            <v>0</v>
          </cell>
          <cell r="V5249">
            <v>0.45</v>
          </cell>
          <cell r="W5249">
            <v>0.5</v>
          </cell>
          <cell r="X5249" t="str">
            <v>EST MESA LATERAL BELLAGIO (FORMICA TS CORDA) (ALU C29) - Ø0,5x0,45H</v>
          </cell>
          <cell r="Y5249">
            <v>8226.94</v>
          </cell>
          <cell r="Z5249">
            <v>0.35</v>
          </cell>
          <cell r="AA5249">
            <v>5347.5110000000004</v>
          </cell>
          <cell r="AB5249"/>
        </row>
        <row r="5250">
          <cell r="C5250" t="e">
            <v>#N/A</v>
          </cell>
          <cell r="D5250" t="e">
            <v>#N/A</v>
          </cell>
          <cell r="E5250" t="e">
            <v>#N/A</v>
          </cell>
          <cell r="F5250" t="e">
            <v>#N/A</v>
          </cell>
          <cell r="H5250" t="e">
            <v>#N/A</v>
          </cell>
          <cell r="O5250">
            <v>404611</v>
          </cell>
          <cell r="P5250"/>
          <cell r="Q5250" t="e">
            <v>#N/A</v>
          </cell>
          <cell r="R5250"/>
          <cell r="S5250"/>
          <cell r="T5250" t="e">
            <v>#N/A</v>
          </cell>
          <cell r="U5250" t="e">
            <v>#N/A</v>
          </cell>
          <cell r="V5250" t="e">
            <v>#N/A</v>
          </cell>
          <cell r="W5250" t="e">
            <v>#N/A</v>
          </cell>
          <cell r="X5250" t="e">
            <v>#N/A</v>
          </cell>
          <cell r="Y5250">
            <v>7336.09</v>
          </cell>
          <cell r="Z5250">
            <v>0.35</v>
          </cell>
          <cell r="AA5250">
            <v>4768.4585000000006</v>
          </cell>
          <cell r="AB5250"/>
        </row>
        <row r="5251">
          <cell r="C5251">
            <v>0</v>
          </cell>
          <cell r="D5251">
            <v>0</v>
          </cell>
          <cell r="E5251">
            <v>0</v>
          </cell>
          <cell r="F5251">
            <v>0</v>
          </cell>
          <cell r="H5251">
            <v>1</v>
          </cell>
          <cell r="O5251">
            <v>404793</v>
          </cell>
          <cell r="P5251"/>
          <cell r="Q5251" t="str">
            <v>EST TAMPO CENTRO LITORAL (DAGUA) (G3-ROMA IMPERIALLE LEVIG)</v>
          </cell>
          <cell r="R5251"/>
          <cell r="S5251"/>
          <cell r="T5251">
            <v>1.5</v>
          </cell>
          <cell r="U5251">
            <v>1.37</v>
          </cell>
          <cell r="V5251">
            <v>0.02</v>
          </cell>
          <cell r="W5251">
            <v>0</v>
          </cell>
          <cell r="X5251" t="str">
            <v>EST TAMPO CENTRO LITORAL (DAGUA) (G3-ROMA IMPERIALLE LEVIG) - 1,5x1,37x0,02H</v>
          </cell>
          <cell r="Y5251">
            <v>0</v>
          </cell>
          <cell r="Z5251">
            <v>0.35</v>
          </cell>
          <cell r="AA5251">
            <v>0</v>
          </cell>
          <cell r="AB5251"/>
        </row>
        <row r="5252">
          <cell r="C5252">
            <v>1</v>
          </cell>
          <cell r="D5252">
            <v>0</v>
          </cell>
          <cell r="E5252">
            <v>0</v>
          </cell>
          <cell r="F5252">
            <v>0</v>
          </cell>
          <cell r="H5252">
            <v>0</v>
          </cell>
          <cell r="O5252">
            <v>404832</v>
          </cell>
          <cell r="P5252" t="str">
            <v>2025/129-0036-01</v>
          </cell>
          <cell r="Q5252" t="str">
            <v>EST TAPETE SISAL C18 (BARRA VIRADA)</v>
          </cell>
          <cell r="R5252"/>
          <cell r="S5252"/>
          <cell r="T5252">
            <v>4.5</v>
          </cell>
          <cell r="U5252">
            <v>3</v>
          </cell>
          <cell r="V5252">
            <v>0</v>
          </cell>
          <cell r="W5252">
            <v>0</v>
          </cell>
          <cell r="X5252" t="str">
            <v>EST TAPETE SISAL C18 (BARRA VIRADA) - 4,5x3x0H</v>
          </cell>
          <cell r="Y5252">
            <v>8937.24</v>
          </cell>
          <cell r="Z5252">
            <v>0.35</v>
          </cell>
          <cell r="AA5252">
            <v>5809.2060000000001</v>
          </cell>
          <cell r="AB5252"/>
        </row>
        <row r="5253">
          <cell r="C5253">
            <v>0</v>
          </cell>
          <cell r="D5253">
            <v>0</v>
          </cell>
          <cell r="E5253">
            <v>0</v>
          </cell>
          <cell r="F5253">
            <v>0</v>
          </cell>
          <cell r="H5253">
            <v>1</v>
          </cell>
          <cell r="O5253">
            <v>404833</v>
          </cell>
          <cell r="P5253" t="str">
            <v>2025/129-0037-01</v>
          </cell>
          <cell r="Q5253" t="str">
            <v>EST TAPETE SISAL CH (BARRA VIRADA)</v>
          </cell>
          <cell r="R5253"/>
          <cell r="S5253"/>
          <cell r="T5253">
            <v>6</v>
          </cell>
          <cell r="U5253">
            <v>4.5</v>
          </cell>
          <cell r="V5253">
            <v>0</v>
          </cell>
          <cell r="W5253">
            <v>0</v>
          </cell>
          <cell r="X5253" t="str">
            <v>EST TAPETE SISAL CH (BARRA VIRADA) - 6x4,5x0H</v>
          </cell>
          <cell r="Y5253">
            <v>19170.91</v>
          </cell>
          <cell r="Z5253">
            <v>0.35</v>
          </cell>
          <cell r="AA5253">
            <v>12461.0915</v>
          </cell>
          <cell r="AB5253"/>
        </row>
        <row r="5254">
          <cell r="C5254">
            <v>0</v>
          </cell>
          <cell r="D5254">
            <v>0</v>
          </cell>
          <cell r="E5254">
            <v>0</v>
          </cell>
          <cell r="F5254">
            <v>0</v>
          </cell>
          <cell r="H5254">
            <v>1</v>
          </cell>
          <cell r="O5254">
            <v>404854</v>
          </cell>
          <cell r="P5254"/>
          <cell r="Q5254" t="str">
            <v>EST CADEIRA ESTRIBO TC EL ANGOLA GREEN</v>
          </cell>
          <cell r="R5254"/>
          <cell r="S5254"/>
          <cell r="T5254">
            <v>0.44</v>
          </cell>
          <cell r="U5254">
            <v>0.57999999999999996</v>
          </cell>
          <cell r="V5254">
            <v>0.85</v>
          </cell>
          <cell r="W5254">
            <v>0</v>
          </cell>
          <cell r="X5254" t="str">
            <v>EST CADEIRA ESTRIBO TC EL ANGOLA GREEN - 0,44x0,58x0,85H</v>
          </cell>
          <cell r="Y5254">
            <v>0</v>
          </cell>
          <cell r="Z5254">
            <v>0.35</v>
          </cell>
          <cell r="AA5254">
            <v>0</v>
          </cell>
          <cell r="AB5254"/>
        </row>
        <row r="5255">
          <cell r="C5255" t="e">
            <v>#N/A</v>
          </cell>
          <cell r="D5255" t="e">
            <v>#N/A</v>
          </cell>
          <cell r="E5255" t="e">
            <v>#N/A</v>
          </cell>
          <cell r="F5255" t="e">
            <v>#N/A</v>
          </cell>
          <cell r="H5255" t="e">
            <v>#N/A</v>
          </cell>
          <cell r="O5255">
            <v>404856</v>
          </cell>
          <cell r="P5255"/>
          <cell r="Q5255" t="e">
            <v>#N/A</v>
          </cell>
          <cell r="R5255"/>
          <cell r="S5255"/>
          <cell r="T5255" t="e">
            <v>#N/A</v>
          </cell>
          <cell r="U5255" t="e">
            <v>#N/A</v>
          </cell>
          <cell r="V5255" t="e">
            <v>#N/A</v>
          </cell>
          <cell r="W5255" t="e">
            <v>#N/A</v>
          </cell>
          <cell r="X5255" t="e">
            <v>#N/A</v>
          </cell>
          <cell r="Y5255" t="e">
            <v>#VALUE!</v>
          </cell>
          <cell r="Z5255">
            <v>0.35</v>
          </cell>
          <cell r="AA5255" t="e">
            <v>#VALUE!</v>
          </cell>
          <cell r="AB5255"/>
        </row>
        <row r="5256">
          <cell r="C5256">
            <v>0</v>
          </cell>
          <cell r="D5256">
            <v>0</v>
          </cell>
          <cell r="E5256">
            <v>0</v>
          </cell>
          <cell r="F5256">
            <v>0</v>
          </cell>
          <cell r="H5256">
            <v>0</v>
          </cell>
          <cell r="O5256">
            <v>404939</v>
          </cell>
          <cell r="P5256"/>
          <cell r="Q5256" t="str">
            <v>EST LUMINARIA ALVORADA (HASTE FREIJO)</v>
          </cell>
          <cell r="R5256"/>
          <cell r="S5256"/>
          <cell r="T5256">
            <v>0.36</v>
          </cell>
          <cell r="U5256">
            <v>0</v>
          </cell>
          <cell r="V5256">
            <v>0.57999999999999996</v>
          </cell>
          <cell r="W5256">
            <v>0.36</v>
          </cell>
          <cell r="X5256" t="str">
            <v>EST LUMINARIA ALVORADA (HASTE FREIJO) - Ø0,36x0,58H</v>
          </cell>
          <cell r="Y5256">
            <v>0</v>
          </cell>
          <cell r="Z5256">
            <v>0.35</v>
          </cell>
          <cell r="AA5256">
            <v>0</v>
          </cell>
          <cell r="AB5256"/>
        </row>
        <row r="5257">
          <cell r="C5257" t="e">
            <v>#N/A</v>
          </cell>
          <cell r="D5257" t="e">
            <v>#N/A</v>
          </cell>
          <cell r="E5257" t="e">
            <v>#N/A</v>
          </cell>
          <cell r="F5257" t="e">
            <v>#N/A</v>
          </cell>
          <cell r="H5257" t="e">
            <v>#N/A</v>
          </cell>
          <cell r="O5257">
            <v>404970</v>
          </cell>
          <cell r="P5257"/>
          <cell r="Q5257" t="e">
            <v>#N/A</v>
          </cell>
          <cell r="R5257"/>
          <cell r="S5257"/>
          <cell r="T5257" t="e">
            <v>#N/A</v>
          </cell>
          <cell r="U5257" t="e">
            <v>#N/A</v>
          </cell>
          <cell r="V5257" t="e">
            <v>#N/A</v>
          </cell>
          <cell r="W5257" t="e">
            <v>#N/A</v>
          </cell>
          <cell r="X5257" t="e">
            <v>#N/A</v>
          </cell>
          <cell r="Y5257" t="e">
            <v>#VALUE!</v>
          </cell>
          <cell r="Z5257">
            <v>0.35</v>
          </cell>
          <cell r="AA5257" t="e">
            <v>#VALUE!</v>
          </cell>
          <cell r="AB5257"/>
        </row>
        <row r="5258">
          <cell r="C5258">
            <v>0</v>
          </cell>
          <cell r="D5258">
            <v>0</v>
          </cell>
          <cell r="E5258">
            <v>0</v>
          </cell>
          <cell r="F5258">
            <v>0</v>
          </cell>
          <cell r="H5258">
            <v>1</v>
          </cell>
          <cell r="O5258">
            <v>404972</v>
          </cell>
          <cell r="P5258"/>
          <cell r="Q5258" t="str">
            <v>EST SOFA CACO (BRANQUILHO) TC ABONO NATURAL</v>
          </cell>
          <cell r="R5258"/>
          <cell r="S5258"/>
          <cell r="T5258">
            <v>4.1500000000000004</v>
          </cell>
          <cell r="U5258">
            <v>1.45</v>
          </cell>
          <cell r="V5258">
            <v>0.74</v>
          </cell>
          <cell r="W5258">
            <v>0</v>
          </cell>
          <cell r="X5258" t="str">
            <v>EST SOFA CACO (BRANQUILHO) TC ABONO NATURAL - 4,15x1,45x0,74H</v>
          </cell>
          <cell r="Y5258">
            <v>0</v>
          </cell>
          <cell r="Z5258">
            <v>0.35</v>
          </cell>
          <cell r="AA5258">
            <v>0</v>
          </cell>
          <cell r="AB5258"/>
        </row>
        <row r="5259">
          <cell r="C5259">
            <v>0</v>
          </cell>
          <cell r="D5259">
            <v>0</v>
          </cell>
          <cell r="E5259">
            <v>0</v>
          </cell>
          <cell r="F5259">
            <v>0</v>
          </cell>
          <cell r="H5259">
            <v>0</v>
          </cell>
          <cell r="O5259">
            <v>404983</v>
          </cell>
          <cell r="P5259"/>
          <cell r="Q5259" t="str">
            <v>EST POLTRONA MOLE (MAD B COR 03) COURO NOBUCK VERDE</v>
          </cell>
          <cell r="R5259"/>
          <cell r="S5259"/>
          <cell r="T5259">
            <v>1.2</v>
          </cell>
          <cell r="U5259">
            <v>1.05</v>
          </cell>
          <cell r="V5259">
            <v>0.82</v>
          </cell>
          <cell r="W5259">
            <v>0</v>
          </cell>
          <cell r="X5259" t="str">
            <v>EST POLTRONA MOLE (MAD B COR 03) COURO NOBUCK VERDE - 1,2x1,05x0,82H</v>
          </cell>
          <cell r="Y5259">
            <v>0</v>
          </cell>
          <cell r="Z5259">
            <v>0.35</v>
          </cell>
          <cell r="AA5259">
            <v>0</v>
          </cell>
          <cell r="AB5259"/>
        </row>
        <row r="5260">
          <cell r="C5260">
            <v>0</v>
          </cell>
          <cell r="D5260">
            <v>0</v>
          </cell>
          <cell r="E5260">
            <v>0</v>
          </cell>
          <cell r="F5260">
            <v>0</v>
          </cell>
          <cell r="H5260">
            <v>0</v>
          </cell>
          <cell r="O5260">
            <v>404991</v>
          </cell>
          <cell r="P5260"/>
          <cell r="Q5260" t="str">
            <v>EST BANQUETA MOLE (MAD B COR 03) COURO NOBUCK VERDE</v>
          </cell>
          <cell r="R5260"/>
          <cell r="S5260"/>
          <cell r="T5260">
            <v>0.82</v>
          </cell>
          <cell r="U5260">
            <v>0.59</v>
          </cell>
          <cell r="V5260">
            <v>0.45</v>
          </cell>
          <cell r="W5260">
            <v>0</v>
          </cell>
          <cell r="X5260" t="str">
            <v>EST BANQUETA MOLE (MAD B COR 03) COURO NOBUCK VERDE - 0,82x0,59x0,45H</v>
          </cell>
          <cell r="Y5260">
            <v>0</v>
          </cell>
          <cell r="Z5260">
            <v>0.35</v>
          </cell>
          <cell r="AA5260">
            <v>0</v>
          </cell>
          <cell r="AB5260"/>
        </row>
        <row r="5261">
          <cell r="C5261">
            <v>0</v>
          </cell>
          <cell r="D5261">
            <v>0</v>
          </cell>
          <cell r="E5261">
            <v>0</v>
          </cell>
          <cell r="F5261">
            <v>0</v>
          </cell>
          <cell r="H5261">
            <v>0</v>
          </cell>
          <cell r="O5261">
            <v>405017</v>
          </cell>
          <cell r="P5261"/>
          <cell r="Q5261" t="str">
            <v>EST POLTRONA BEG (C/ROD) (MAD A COR 02) TC EL ANGOLA GREEN</v>
          </cell>
          <cell r="R5261"/>
          <cell r="S5261"/>
          <cell r="T5261">
            <v>0.65</v>
          </cell>
          <cell r="U5261">
            <v>0.63</v>
          </cell>
          <cell r="V5261">
            <v>0.77</v>
          </cell>
          <cell r="W5261">
            <v>0</v>
          </cell>
          <cell r="X5261" t="str">
            <v>EST POLTRONA BEG (C/ROD) (MAD A COR 02) TC EL ANGOLA GREEN - 0,65x0,63x0,77H</v>
          </cell>
          <cell r="Y5261">
            <v>0</v>
          </cell>
          <cell r="Z5261">
            <v>0.35</v>
          </cell>
          <cell r="AA5261">
            <v>0</v>
          </cell>
          <cell r="AB5261"/>
        </row>
        <row r="5262">
          <cell r="C5262" t="e">
            <v>#N/A</v>
          </cell>
          <cell r="D5262" t="e">
            <v>#N/A</v>
          </cell>
          <cell r="E5262" t="e">
            <v>#N/A</v>
          </cell>
          <cell r="F5262" t="e">
            <v>#N/A</v>
          </cell>
          <cell r="H5262" t="e">
            <v>#N/A</v>
          </cell>
          <cell r="O5262">
            <v>405042</v>
          </cell>
          <cell r="P5262"/>
          <cell r="Q5262" t="e">
            <v>#N/A</v>
          </cell>
          <cell r="R5262"/>
          <cell r="S5262"/>
          <cell r="T5262" t="e">
            <v>#N/A</v>
          </cell>
          <cell r="U5262" t="e">
            <v>#N/A</v>
          </cell>
          <cell r="V5262" t="e">
            <v>#N/A</v>
          </cell>
          <cell r="W5262" t="e">
            <v>#N/A</v>
          </cell>
          <cell r="X5262" t="e">
            <v>#N/A</v>
          </cell>
          <cell r="Y5262">
            <v>0</v>
          </cell>
          <cell r="Z5262">
            <v>0.35</v>
          </cell>
          <cell r="AA5262">
            <v>0</v>
          </cell>
          <cell r="AB5262"/>
        </row>
        <row r="5263">
          <cell r="C5263" t="e">
            <v>#N/A</v>
          </cell>
          <cell r="D5263" t="e">
            <v>#N/A</v>
          </cell>
          <cell r="E5263" t="e">
            <v>#N/A</v>
          </cell>
          <cell r="F5263" t="e">
            <v>#N/A</v>
          </cell>
          <cell r="H5263" t="e">
            <v>#N/A</v>
          </cell>
          <cell r="O5263">
            <v>405043</v>
          </cell>
          <cell r="P5263"/>
          <cell r="Q5263" t="e">
            <v>#N/A</v>
          </cell>
          <cell r="R5263"/>
          <cell r="S5263"/>
          <cell r="T5263" t="e">
            <v>#N/A</v>
          </cell>
          <cell r="U5263" t="e">
            <v>#N/A</v>
          </cell>
          <cell r="V5263" t="e">
            <v>#N/A</v>
          </cell>
          <cell r="W5263" t="e">
            <v>#N/A</v>
          </cell>
          <cell r="X5263" t="e">
            <v>#N/A</v>
          </cell>
          <cell r="Y5263">
            <v>0</v>
          </cell>
          <cell r="Z5263">
            <v>0.35</v>
          </cell>
          <cell r="AA5263">
            <v>0</v>
          </cell>
          <cell r="AB5263"/>
        </row>
        <row r="5264">
          <cell r="C5264">
            <v>3</v>
          </cell>
          <cell r="D5264">
            <v>0</v>
          </cell>
          <cell r="E5264">
            <v>0</v>
          </cell>
          <cell r="F5264">
            <v>0</v>
          </cell>
          <cell r="H5264">
            <v>3</v>
          </cell>
          <cell r="O5264">
            <v>406188</v>
          </cell>
          <cell r="P5264" t="str">
            <v>2025/164-0058-01</v>
          </cell>
          <cell r="Q5264" t="str">
            <v>EST ALMOFADA CLAMI (VIVO) TC TRAMADO AZUL/LISO AZUL</v>
          </cell>
          <cell r="R5264"/>
          <cell r="S5264"/>
          <cell r="T5264">
            <v>0.5</v>
          </cell>
          <cell r="U5264">
            <v>0.5</v>
          </cell>
          <cell r="V5264">
            <v>0</v>
          </cell>
          <cell r="W5264">
            <v>0</v>
          </cell>
          <cell r="X5264" t="str">
            <v>EST ALMOFADA CLAMI (VIVO) TC TRAMADO AZUL/LISO AZUL - 0,5x0,5x0H</v>
          </cell>
          <cell r="Y5264">
            <v>443.52</v>
          </cell>
          <cell r="Z5264">
            <v>0.35</v>
          </cell>
          <cell r="AA5264">
            <v>288.28800000000001</v>
          </cell>
          <cell r="AB5264"/>
        </row>
        <row r="5265">
          <cell r="C5265">
            <v>3</v>
          </cell>
          <cell r="D5265">
            <v>0</v>
          </cell>
          <cell r="E5265">
            <v>0</v>
          </cell>
          <cell r="F5265">
            <v>0</v>
          </cell>
          <cell r="H5265">
            <v>3</v>
          </cell>
          <cell r="O5265">
            <v>406188</v>
          </cell>
          <cell r="P5265" t="str">
            <v>2025/164-0059-01</v>
          </cell>
          <cell r="Q5265" t="str">
            <v>EST ALMOFADA CLAMI (VIVO) TC TRAMADO AZUL/LISO AZUL</v>
          </cell>
          <cell r="R5265"/>
          <cell r="S5265"/>
          <cell r="T5265">
            <v>0.5</v>
          </cell>
          <cell r="U5265">
            <v>0.5</v>
          </cell>
          <cell r="V5265">
            <v>0</v>
          </cell>
          <cell r="W5265">
            <v>0</v>
          </cell>
          <cell r="X5265" t="str">
            <v>EST ALMOFADA CLAMI (VIVO) TC TRAMADO AZUL/LISO AZUL - 0,5x0,5x0H</v>
          </cell>
          <cell r="Y5265">
            <v>443.52</v>
          </cell>
          <cell r="Z5265">
            <v>0.35</v>
          </cell>
          <cell r="AA5265">
            <v>288.28800000000001</v>
          </cell>
          <cell r="AB5265"/>
        </row>
        <row r="5266">
          <cell r="C5266">
            <v>3</v>
          </cell>
          <cell r="D5266">
            <v>0</v>
          </cell>
          <cell r="E5266">
            <v>0</v>
          </cell>
          <cell r="F5266">
            <v>0</v>
          </cell>
          <cell r="H5266">
            <v>3</v>
          </cell>
          <cell r="O5266">
            <v>406188</v>
          </cell>
          <cell r="P5266" t="str">
            <v>2025/164-0060-01</v>
          </cell>
          <cell r="Q5266" t="str">
            <v>EST ALMOFADA CLAMI (VIVO) TC TRAMADO AZUL/LISO AZUL</v>
          </cell>
          <cell r="R5266"/>
          <cell r="S5266"/>
          <cell r="T5266">
            <v>0.5</v>
          </cell>
          <cell r="U5266">
            <v>0.5</v>
          </cell>
          <cell r="V5266">
            <v>0</v>
          </cell>
          <cell r="W5266">
            <v>0</v>
          </cell>
          <cell r="X5266" t="str">
            <v>EST ALMOFADA CLAMI (VIVO) TC TRAMADO AZUL/LISO AZUL - 0,5x0,5x0H</v>
          </cell>
          <cell r="Y5266">
            <v>443.52</v>
          </cell>
          <cell r="Z5266">
            <v>0.35</v>
          </cell>
          <cell r="AA5266">
            <v>288.28800000000001</v>
          </cell>
          <cell r="AB5266"/>
        </row>
        <row r="5267">
          <cell r="C5267">
            <v>2</v>
          </cell>
          <cell r="D5267">
            <v>0</v>
          </cell>
          <cell r="E5267">
            <v>1</v>
          </cell>
          <cell r="F5267">
            <v>2</v>
          </cell>
          <cell r="H5267">
            <v>0</v>
          </cell>
          <cell r="O5267">
            <v>406190</v>
          </cell>
          <cell r="P5267" t="str">
            <v>2025/184-0022-01</v>
          </cell>
          <cell r="Q5267" t="str">
            <v>EST ALMOFADA CLAMI (SIMPLES) TC TRAMADO VERDE</v>
          </cell>
          <cell r="R5267"/>
          <cell r="S5267"/>
          <cell r="T5267">
            <v>0.5</v>
          </cell>
          <cell r="U5267">
            <v>0.5</v>
          </cell>
          <cell r="V5267">
            <v>0</v>
          </cell>
          <cell r="W5267">
            <v>0</v>
          </cell>
          <cell r="X5267" t="str">
            <v>EST ALMOFADA CLAMI (SIMPLES) TC TRAMADO VERDE - 0,5x0,5x0H</v>
          </cell>
          <cell r="Y5267" t="str">
            <v>EST</v>
          </cell>
          <cell r="Z5267">
            <v>0.35</v>
          </cell>
          <cell r="AA5267" t="e">
            <v>#VALUE!</v>
          </cell>
          <cell r="AB5267"/>
        </row>
        <row r="5268">
          <cell r="C5268">
            <v>2</v>
          </cell>
          <cell r="D5268">
            <v>0</v>
          </cell>
          <cell r="E5268">
            <v>1</v>
          </cell>
          <cell r="F5268">
            <v>2</v>
          </cell>
          <cell r="H5268">
            <v>0</v>
          </cell>
          <cell r="O5268">
            <v>406190</v>
          </cell>
          <cell r="P5268" t="str">
            <v>2025/184-0023-01</v>
          </cell>
          <cell r="Q5268" t="str">
            <v>EST ALMOFADA CLAMI (SIMPLES) TC TRAMADO VERDE</v>
          </cell>
          <cell r="R5268"/>
          <cell r="S5268"/>
          <cell r="T5268">
            <v>0.5</v>
          </cell>
          <cell r="U5268">
            <v>0.5</v>
          </cell>
          <cell r="V5268">
            <v>0</v>
          </cell>
          <cell r="W5268">
            <v>0</v>
          </cell>
          <cell r="X5268" t="str">
            <v>EST ALMOFADA CLAMI (SIMPLES) TC TRAMADO VERDE - 0,5x0,5x0H</v>
          </cell>
          <cell r="Y5268" t="str">
            <v>EST</v>
          </cell>
          <cell r="Z5268">
            <v>0.35</v>
          </cell>
          <cell r="AA5268" t="e">
            <v>#VALUE!</v>
          </cell>
          <cell r="AB5268"/>
        </row>
        <row r="5269">
          <cell r="C5269">
            <v>2</v>
          </cell>
          <cell r="D5269">
            <v>2</v>
          </cell>
          <cell r="E5269">
            <v>2</v>
          </cell>
          <cell r="F5269">
            <v>0</v>
          </cell>
          <cell r="H5269">
            <v>0</v>
          </cell>
          <cell r="O5269">
            <v>406192</v>
          </cell>
          <cell r="P5269" t="str">
            <v>2025/164-0074-01</v>
          </cell>
          <cell r="Q5269" t="str">
            <v>EST ALMOFADA CLAMI (SIMPLES) TC TRAMADO BR-LARANJA</v>
          </cell>
          <cell r="R5269"/>
          <cell r="S5269"/>
          <cell r="T5269">
            <v>0.5</v>
          </cell>
          <cell r="U5269">
            <v>0.5</v>
          </cell>
          <cell r="V5269">
            <v>0</v>
          </cell>
          <cell r="W5269">
            <v>0</v>
          </cell>
          <cell r="X5269" t="str">
            <v>EST ALMOFADA CLAMI (SIMPLES) TC TRAMADO BR-LARANJA - 0,5x0,5x0H</v>
          </cell>
          <cell r="Y5269">
            <v>443.52</v>
          </cell>
          <cell r="Z5269">
            <v>0.35</v>
          </cell>
          <cell r="AA5269">
            <v>288.28800000000001</v>
          </cell>
          <cell r="AB5269"/>
        </row>
        <row r="5270">
          <cell r="C5270">
            <v>2</v>
          </cell>
          <cell r="D5270">
            <v>2</v>
          </cell>
          <cell r="E5270">
            <v>2</v>
          </cell>
          <cell r="F5270">
            <v>0</v>
          </cell>
          <cell r="H5270">
            <v>0</v>
          </cell>
          <cell r="O5270">
            <v>406192</v>
          </cell>
          <cell r="P5270" t="str">
            <v>2025/164-0075-01</v>
          </cell>
          <cell r="Q5270" t="str">
            <v>EST ALMOFADA CLAMI (SIMPLES) TC TRAMADO BR-LARANJA</v>
          </cell>
          <cell r="R5270"/>
          <cell r="S5270"/>
          <cell r="T5270">
            <v>0.5</v>
          </cell>
          <cell r="U5270">
            <v>0.5</v>
          </cell>
          <cell r="V5270">
            <v>0</v>
          </cell>
          <cell r="W5270">
            <v>0</v>
          </cell>
          <cell r="X5270" t="str">
            <v>EST ALMOFADA CLAMI (SIMPLES) TC TRAMADO BR-LARANJA - 0,5x0,5x0H</v>
          </cell>
          <cell r="Y5270">
            <v>443.52</v>
          </cell>
          <cell r="Z5270">
            <v>0.35</v>
          </cell>
          <cell r="AA5270">
            <v>288.28800000000001</v>
          </cell>
          <cell r="AB5270"/>
        </row>
        <row r="5271">
          <cell r="C5271">
            <v>2</v>
          </cell>
          <cell r="D5271">
            <v>2</v>
          </cell>
          <cell r="E5271">
            <v>2</v>
          </cell>
          <cell r="F5271">
            <v>0</v>
          </cell>
          <cell r="H5271">
            <v>0</v>
          </cell>
          <cell r="O5271">
            <v>406192</v>
          </cell>
          <cell r="P5271" t="str">
            <v>2025/164-0076-01</v>
          </cell>
          <cell r="Q5271" t="str">
            <v>EST ALMOFADA CLAMI (SIMPLES) TC TRAMADO BR-LARANJA</v>
          </cell>
          <cell r="R5271"/>
          <cell r="S5271"/>
          <cell r="T5271">
            <v>0.5</v>
          </cell>
          <cell r="U5271">
            <v>0.5</v>
          </cell>
          <cell r="V5271">
            <v>0</v>
          </cell>
          <cell r="W5271">
            <v>0</v>
          </cell>
          <cell r="X5271" t="str">
            <v>EST ALMOFADA CLAMI (SIMPLES) TC TRAMADO BR-LARANJA - 0,5x0,5x0H</v>
          </cell>
          <cell r="Y5271">
            <v>443.52</v>
          </cell>
          <cell r="Z5271">
            <v>0.35</v>
          </cell>
          <cell r="AA5271">
            <v>288.28800000000001</v>
          </cell>
          <cell r="AB5271"/>
        </row>
        <row r="5272">
          <cell r="C5272">
            <v>1</v>
          </cell>
          <cell r="D5272">
            <v>2</v>
          </cell>
          <cell r="E5272">
            <v>3</v>
          </cell>
          <cell r="F5272">
            <v>0</v>
          </cell>
          <cell r="H5272">
            <v>0</v>
          </cell>
          <cell r="O5272">
            <v>406193</v>
          </cell>
          <cell r="P5272" t="str">
            <v>2025/184-0028-01</v>
          </cell>
          <cell r="Q5272" t="str">
            <v>EST ALMOFADA CLAMI (VIVO) TC TRAMADO BR-LARANJA/COURO MARROM</v>
          </cell>
          <cell r="R5272"/>
          <cell r="S5272"/>
          <cell r="T5272">
            <v>0.5</v>
          </cell>
          <cell r="U5272">
            <v>0.5</v>
          </cell>
          <cell r="V5272">
            <v>0</v>
          </cell>
          <cell r="W5272">
            <v>0</v>
          </cell>
          <cell r="X5272" t="str">
            <v>EST ALMOFADA CLAMI (VIVO) TC TRAMADO BR-LARANJA/COURO MARROM - 0,5x0,5x0H</v>
          </cell>
          <cell r="Y5272">
            <v>443.52</v>
          </cell>
          <cell r="Z5272">
            <v>0.35</v>
          </cell>
          <cell r="AA5272">
            <v>288.28800000000001</v>
          </cell>
          <cell r="AB5272"/>
        </row>
        <row r="5273">
          <cell r="C5273">
            <v>1</v>
          </cell>
          <cell r="D5273">
            <v>2</v>
          </cell>
          <cell r="E5273">
            <v>3</v>
          </cell>
          <cell r="F5273">
            <v>0</v>
          </cell>
          <cell r="H5273">
            <v>0</v>
          </cell>
          <cell r="O5273">
            <v>406193</v>
          </cell>
          <cell r="P5273" t="str">
            <v>2025/184-0029-01</v>
          </cell>
          <cell r="Q5273" t="str">
            <v>EST ALMOFADA CLAMI (VIVO) TC TRAMADO BR-LARANJA/COURO MARROM</v>
          </cell>
          <cell r="R5273"/>
          <cell r="S5273"/>
          <cell r="T5273">
            <v>0.5</v>
          </cell>
          <cell r="U5273">
            <v>0.5</v>
          </cell>
          <cell r="V5273">
            <v>0</v>
          </cell>
          <cell r="W5273">
            <v>0</v>
          </cell>
          <cell r="X5273" t="str">
            <v>EST ALMOFADA CLAMI (VIVO) TC TRAMADO BR-LARANJA/COURO MARROM - 0,5x0,5x0H</v>
          </cell>
          <cell r="Y5273">
            <v>443.52</v>
          </cell>
          <cell r="Z5273">
            <v>0.35</v>
          </cell>
          <cell r="AA5273">
            <v>288.28800000000001</v>
          </cell>
          <cell r="AB5273"/>
        </row>
        <row r="5274">
          <cell r="C5274">
            <v>1</v>
          </cell>
          <cell r="D5274">
            <v>2</v>
          </cell>
          <cell r="E5274">
            <v>3</v>
          </cell>
          <cell r="F5274">
            <v>0</v>
          </cell>
          <cell r="H5274">
            <v>0</v>
          </cell>
          <cell r="O5274">
            <v>406193</v>
          </cell>
          <cell r="P5274" t="str">
            <v>2025/184-0031-01</v>
          </cell>
          <cell r="Q5274" t="str">
            <v>EST ALMOFADA CLAMI (VIVO) TC TRAMADO BR-LARANJA/COURO MARROM</v>
          </cell>
          <cell r="R5274"/>
          <cell r="S5274"/>
          <cell r="T5274">
            <v>0.5</v>
          </cell>
          <cell r="U5274">
            <v>0.5</v>
          </cell>
          <cell r="V5274">
            <v>0</v>
          </cell>
          <cell r="W5274">
            <v>0</v>
          </cell>
          <cell r="X5274" t="str">
            <v>EST ALMOFADA CLAMI (VIVO) TC TRAMADO BR-LARANJA/COURO MARROM - 0,5x0,5x0H</v>
          </cell>
          <cell r="Y5274">
            <v>443.52</v>
          </cell>
          <cell r="Z5274">
            <v>0.35</v>
          </cell>
          <cell r="AA5274">
            <v>288.28800000000001</v>
          </cell>
          <cell r="AB5274"/>
        </row>
        <row r="5275">
          <cell r="C5275">
            <v>0</v>
          </cell>
          <cell r="D5275">
            <v>0</v>
          </cell>
          <cell r="E5275">
            <v>3</v>
          </cell>
          <cell r="F5275">
            <v>0</v>
          </cell>
          <cell r="H5275">
            <v>0</v>
          </cell>
          <cell r="O5275">
            <v>406195</v>
          </cell>
          <cell r="P5275" t="str">
            <v>2025/164-0082-01</v>
          </cell>
          <cell r="Q5275" t="str">
            <v>EST ALMOFADA CLAMI (VIVO) TC TRAMADO BRANCO-CINZA/LISO CREME</v>
          </cell>
          <cell r="R5275"/>
          <cell r="S5275"/>
          <cell r="T5275">
            <v>0.5</v>
          </cell>
          <cell r="U5275">
            <v>0.5</v>
          </cell>
          <cell r="V5275">
            <v>0</v>
          </cell>
          <cell r="W5275">
            <v>0</v>
          </cell>
          <cell r="X5275" t="str">
            <v>EST ALMOFADA CLAMI (VIVO) TC TRAMADO BRANCO-CINZA/LISO CREME - 0,5x0,5x0H</v>
          </cell>
          <cell r="Y5275">
            <v>443.52</v>
          </cell>
          <cell r="Z5275">
            <v>0.35</v>
          </cell>
          <cell r="AA5275">
            <v>288.28800000000001</v>
          </cell>
          <cell r="AB5275"/>
        </row>
        <row r="5276">
          <cell r="C5276">
            <v>0</v>
          </cell>
          <cell r="D5276">
            <v>0</v>
          </cell>
          <cell r="E5276">
            <v>3</v>
          </cell>
          <cell r="F5276">
            <v>0</v>
          </cell>
          <cell r="H5276">
            <v>0</v>
          </cell>
          <cell r="O5276">
            <v>406195</v>
          </cell>
          <cell r="P5276" t="str">
            <v>2025/164-0083-01</v>
          </cell>
          <cell r="Q5276" t="str">
            <v>EST ALMOFADA CLAMI (VIVO) TC TRAMADO BRANCO-CINZA/LISO CREME</v>
          </cell>
          <cell r="R5276"/>
          <cell r="S5276"/>
          <cell r="T5276">
            <v>0.5</v>
          </cell>
          <cell r="U5276">
            <v>0.5</v>
          </cell>
          <cell r="V5276">
            <v>0</v>
          </cell>
          <cell r="W5276">
            <v>0</v>
          </cell>
          <cell r="X5276" t="str">
            <v>EST ALMOFADA CLAMI (VIVO) TC TRAMADO BRANCO-CINZA/LISO CREME - 0,5x0,5x0H</v>
          </cell>
          <cell r="Y5276">
            <v>443.52</v>
          </cell>
          <cell r="Z5276">
            <v>0.35</v>
          </cell>
          <cell r="AA5276">
            <v>288.28800000000001</v>
          </cell>
          <cell r="AB5276"/>
        </row>
        <row r="5277">
          <cell r="C5277">
            <v>0</v>
          </cell>
          <cell r="D5277">
            <v>0</v>
          </cell>
          <cell r="E5277">
            <v>3</v>
          </cell>
          <cell r="F5277">
            <v>0</v>
          </cell>
          <cell r="H5277">
            <v>0</v>
          </cell>
          <cell r="O5277">
            <v>406195</v>
          </cell>
          <cell r="P5277" t="str">
            <v>2025/164-0084-01</v>
          </cell>
          <cell r="Q5277" t="str">
            <v>EST ALMOFADA CLAMI (VIVO) TC TRAMADO BRANCO-CINZA/LISO CREME</v>
          </cell>
          <cell r="R5277"/>
          <cell r="S5277"/>
          <cell r="T5277">
            <v>0.5</v>
          </cell>
          <cell r="U5277">
            <v>0.5</v>
          </cell>
          <cell r="V5277">
            <v>0</v>
          </cell>
          <cell r="W5277">
            <v>0</v>
          </cell>
          <cell r="X5277" t="str">
            <v>EST ALMOFADA CLAMI (VIVO) TC TRAMADO BRANCO-CINZA/LISO CREME - 0,5x0,5x0H</v>
          </cell>
          <cell r="Y5277">
            <v>443.52</v>
          </cell>
          <cell r="Z5277">
            <v>0.35</v>
          </cell>
          <cell r="AA5277">
            <v>288.28800000000001</v>
          </cell>
          <cell r="AB5277"/>
        </row>
        <row r="5278">
          <cell r="C5278">
            <v>6</v>
          </cell>
          <cell r="D5278">
            <v>4</v>
          </cell>
          <cell r="E5278">
            <v>3</v>
          </cell>
          <cell r="F5278">
            <v>0</v>
          </cell>
          <cell r="H5278">
            <v>0</v>
          </cell>
          <cell r="O5278">
            <v>406198</v>
          </cell>
          <cell r="P5278" t="str">
            <v>2025/164-0089-01</v>
          </cell>
          <cell r="Q5278" t="str">
            <v>EST ALMOFADA CLAMI (SIMPLES) TC TRAMADO TERRACOTA</v>
          </cell>
          <cell r="R5278"/>
          <cell r="S5278"/>
          <cell r="T5278">
            <v>0.5</v>
          </cell>
          <cell r="U5278">
            <v>0.5</v>
          </cell>
          <cell r="V5278">
            <v>0</v>
          </cell>
          <cell r="W5278">
            <v>0</v>
          </cell>
          <cell r="X5278" t="str">
            <v>EST ALMOFADA CLAMI (SIMPLES) TC TRAMADO TERRACOTA - 0,5x0,5x0H</v>
          </cell>
          <cell r="Y5278">
            <v>443.52</v>
          </cell>
          <cell r="Z5278">
            <v>0.35</v>
          </cell>
          <cell r="AA5278">
            <v>288.28800000000001</v>
          </cell>
          <cell r="AB5278"/>
        </row>
        <row r="5279">
          <cell r="C5279">
            <v>6</v>
          </cell>
          <cell r="D5279">
            <v>4</v>
          </cell>
          <cell r="E5279">
            <v>3</v>
          </cell>
          <cell r="F5279">
            <v>0</v>
          </cell>
          <cell r="H5279">
            <v>0</v>
          </cell>
          <cell r="O5279">
            <v>406198</v>
          </cell>
          <cell r="P5279" t="str">
            <v>2025/164-0090-01</v>
          </cell>
          <cell r="Q5279" t="str">
            <v>EST ALMOFADA CLAMI (SIMPLES) TC TRAMADO TERRACOTA</v>
          </cell>
          <cell r="R5279"/>
          <cell r="S5279"/>
          <cell r="T5279">
            <v>0.5</v>
          </cell>
          <cell r="U5279">
            <v>0.5</v>
          </cell>
          <cell r="V5279">
            <v>0</v>
          </cell>
          <cell r="W5279">
            <v>0</v>
          </cell>
          <cell r="X5279" t="str">
            <v>EST ALMOFADA CLAMI (SIMPLES) TC TRAMADO TERRACOTA - 0,5x0,5x0H</v>
          </cell>
          <cell r="Y5279">
            <v>443.52</v>
          </cell>
          <cell r="Z5279">
            <v>0.35</v>
          </cell>
          <cell r="AA5279">
            <v>288.28800000000001</v>
          </cell>
          <cell r="AB5279"/>
        </row>
        <row r="5280">
          <cell r="C5280">
            <v>6</v>
          </cell>
          <cell r="D5280">
            <v>4</v>
          </cell>
          <cell r="E5280">
            <v>3</v>
          </cell>
          <cell r="F5280">
            <v>0</v>
          </cell>
          <cell r="H5280">
            <v>0</v>
          </cell>
          <cell r="O5280">
            <v>406198</v>
          </cell>
          <cell r="P5280" t="str">
            <v>2025/164-0091-01</v>
          </cell>
          <cell r="Q5280" t="str">
            <v>EST ALMOFADA CLAMI (SIMPLES) TC TRAMADO TERRACOTA</v>
          </cell>
          <cell r="R5280"/>
          <cell r="S5280"/>
          <cell r="T5280">
            <v>0.5</v>
          </cell>
          <cell r="U5280">
            <v>0.5</v>
          </cell>
          <cell r="V5280">
            <v>0</v>
          </cell>
          <cell r="W5280">
            <v>0</v>
          </cell>
          <cell r="X5280" t="str">
            <v>EST ALMOFADA CLAMI (SIMPLES) TC TRAMADO TERRACOTA - 0,5x0,5x0H</v>
          </cell>
          <cell r="Y5280">
            <v>443.52</v>
          </cell>
          <cell r="Z5280">
            <v>0.35</v>
          </cell>
          <cell r="AA5280">
            <v>288.28800000000001</v>
          </cell>
          <cell r="AB5280"/>
        </row>
        <row r="5281">
          <cell r="C5281">
            <v>0</v>
          </cell>
          <cell r="D5281">
            <v>0</v>
          </cell>
          <cell r="E5281">
            <v>0</v>
          </cell>
          <cell r="F5281">
            <v>0</v>
          </cell>
          <cell r="H5281">
            <v>0</v>
          </cell>
          <cell r="O5281">
            <v>406273</v>
          </cell>
          <cell r="P5281"/>
          <cell r="Q5281" t="str">
            <v>EST POLTRONA JOHN GRAZ (SUCUPIRA NATURAL) TC MIKA CAMEL</v>
          </cell>
          <cell r="R5281"/>
          <cell r="S5281"/>
          <cell r="T5281">
            <v>0.8</v>
          </cell>
          <cell r="U5281">
            <v>0.83</v>
          </cell>
          <cell r="V5281">
            <v>0.74</v>
          </cell>
          <cell r="W5281">
            <v>0</v>
          </cell>
          <cell r="X5281" t="str">
            <v>EST POLTRONA JOHN GRAZ (SUCUPIRA NATURAL) TC MIKA CAMEL - 0,8x0,83x0,74H</v>
          </cell>
          <cell r="Y5281">
            <v>0</v>
          </cell>
          <cell r="Z5281">
            <v>0.35</v>
          </cell>
          <cell r="AA5281">
            <v>0</v>
          </cell>
          <cell r="AB5281"/>
        </row>
        <row r="5282">
          <cell r="C5282" t="e">
            <v>#N/A</v>
          </cell>
          <cell r="D5282" t="e">
            <v>#N/A</v>
          </cell>
          <cell r="E5282" t="e">
            <v>#N/A</v>
          </cell>
          <cell r="F5282" t="e">
            <v>#N/A</v>
          </cell>
          <cell r="H5282" t="e">
            <v>#N/A</v>
          </cell>
          <cell r="O5282">
            <v>406795</v>
          </cell>
          <cell r="P5282"/>
          <cell r="Q5282" t="e">
            <v>#N/A</v>
          </cell>
          <cell r="R5282"/>
          <cell r="S5282"/>
          <cell r="T5282" t="e">
            <v>#N/A</v>
          </cell>
          <cell r="U5282" t="e">
            <v>#N/A</v>
          </cell>
          <cell r="V5282" t="e">
            <v>#N/A</v>
          </cell>
          <cell r="W5282" t="e">
            <v>#N/A</v>
          </cell>
          <cell r="X5282" t="e">
            <v>#N/A</v>
          </cell>
          <cell r="Y5282" t="e">
            <v>#VALUE!</v>
          </cell>
          <cell r="Z5282">
            <v>0.35</v>
          </cell>
          <cell r="AA5282" t="e">
            <v>#VALUE!</v>
          </cell>
          <cell r="AB5282"/>
        </row>
        <row r="5283">
          <cell r="C5283">
            <v>0</v>
          </cell>
          <cell r="D5283">
            <v>0</v>
          </cell>
          <cell r="E5283">
            <v>0</v>
          </cell>
          <cell r="F5283">
            <v>0</v>
          </cell>
          <cell r="H5283">
            <v>2</v>
          </cell>
          <cell r="O5283">
            <v>406830</v>
          </cell>
          <cell r="P5283"/>
          <cell r="Q5283" t="str">
            <v>EST TAMPO CRISTAL LAPIDADO (10MM) INCOLOR RETILINEO</v>
          </cell>
          <cell r="R5283"/>
          <cell r="S5283"/>
          <cell r="T5283">
            <v>1.54</v>
          </cell>
          <cell r="U5283">
            <v>0.74</v>
          </cell>
          <cell r="V5283">
            <v>0.01</v>
          </cell>
          <cell r="W5283">
            <v>0</v>
          </cell>
          <cell r="X5283" t="str">
            <v>EST TAMPO CRISTAL LAPIDADO (10MM) INCOLOR RETILINEO - 1,54x0,74x0,01H</v>
          </cell>
          <cell r="Y5283">
            <v>0</v>
          </cell>
          <cell r="Z5283">
            <v>0.35</v>
          </cell>
          <cell r="AA5283">
            <v>0</v>
          </cell>
          <cell r="AB5283"/>
        </row>
        <row r="5284">
          <cell r="C5284">
            <v>0</v>
          </cell>
          <cell r="D5284">
            <v>0</v>
          </cell>
          <cell r="E5284">
            <v>0</v>
          </cell>
          <cell r="F5284">
            <v>0</v>
          </cell>
          <cell r="H5284">
            <v>5</v>
          </cell>
          <cell r="O5284">
            <v>400732</v>
          </cell>
          <cell r="P5284"/>
          <cell r="Q5284" t="str">
            <v>EST CADEIRA CA-02 (MAD A CINAMOMO COL) TC VELUDO VERO 224</v>
          </cell>
          <cell r="R5284"/>
          <cell r="S5284"/>
          <cell r="T5284">
            <v>0.47</v>
          </cell>
          <cell r="U5284">
            <v>0.49</v>
          </cell>
          <cell r="V5284">
            <v>0.83</v>
          </cell>
          <cell r="W5284">
            <v>0</v>
          </cell>
          <cell r="X5284" t="str">
            <v>EST CADEIRA CA-02 (MAD A CINAMOMO COL) TC VELUDO VERO 224 - 0,47x0,49x0,83H</v>
          </cell>
          <cell r="Y5284">
            <v>6256.94</v>
          </cell>
          <cell r="Z5284">
            <v>0.35</v>
          </cell>
          <cell r="AA5284">
            <v>4067.011</v>
          </cell>
          <cell r="AB5284"/>
        </row>
        <row r="5285">
          <cell r="C5285">
            <v>0</v>
          </cell>
          <cell r="D5285">
            <v>0</v>
          </cell>
          <cell r="E5285">
            <v>0</v>
          </cell>
          <cell r="F5285">
            <v>0</v>
          </cell>
          <cell r="H5285">
            <v>2</v>
          </cell>
          <cell r="O5285">
            <v>407139</v>
          </cell>
          <cell r="P5285"/>
          <cell r="Q5285" t="str">
            <v>EST MESA LATERAL RELEVO (COURO NOBUCK VERDE)</v>
          </cell>
          <cell r="R5285"/>
          <cell r="S5285"/>
          <cell r="T5285">
            <v>0.46</v>
          </cell>
          <cell r="U5285">
            <v>0.39</v>
          </cell>
          <cell r="V5285">
            <v>0.47</v>
          </cell>
          <cell r="W5285">
            <v>0</v>
          </cell>
          <cell r="X5285" t="str">
            <v>EST MESA LATERAL RELEVO (COURO NOBUCK VERDE) - 0,46x0,39x0,47H</v>
          </cell>
          <cell r="Y5285">
            <v>0</v>
          </cell>
          <cell r="Z5285">
            <v>0.35</v>
          </cell>
          <cell r="AA5285">
            <v>0</v>
          </cell>
          <cell r="AB5285"/>
        </row>
        <row r="5286">
          <cell r="C5286">
            <v>0</v>
          </cell>
          <cell r="D5286">
            <v>0</v>
          </cell>
          <cell r="E5286">
            <v>0</v>
          </cell>
          <cell r="F5286">
            <v>0</v>
          </cell>
          <cell r="H5286">
            <v>2</v>
          </cell>
          <cell r="O5286">
            <v>407140</v>
          </cell>
          <cell r="P5286"/>
          <cell r="Q5286" t="str">
            <v>EST MESA LATERAL RELEVO (COURO SOFT CARAMELO)</v>
          </cell>
          <cell r="R5286"/>
          <cell r="S5286"/>
          <cell r="T5286">
            <v>0.46</v>
          </cell>
          <cell r="U5286">
            <v>0.39</v>
          </cell>
          <cell r="V5286">
            <v>0.47</v>
          </cell>
          <cell r="W5286">
            <v>0</v>
          </cell>
          <cell r="X5286" t="str">
            <v>EST MESA LATERAL RELEVO (COURO SOFT CARAMELO) - 0,46x0,39x0,47H</v>
          </cell>
          <cell r="Y5286">
            <v>0</v>
          </cell>
          <cell r="Z5286">
            <v>0.35</v>
          </cell>
          <cell r="AA5286">
            <v>0</v>
          </cell>
          <cell r="AB5286"/>
        </row>
        <row r="5287">
          <cell r="C5287">
            <v>0</v>
          </cell>
          <cell r="D5287">
            <v>0</v>
          </cell>
          <cell r="E5287">
            <v>0</v>
          </cell>
          <cell r="F5287">
            <v>0</v>
          </cell>
          <cell r="H5287">
            <v>2</v>
          </cell>
          <cell r="O5287">
            <v>407155</v>
          </cell>
          <cell r="P5287"/>
          <cell r="Q5287" t="str">
            <v>EST MESA LATERAL RELEVO (COURO FIRENZE 600)</v>
          </cell>
          <cell r="R5287"/>
          <cell r="S5287"/>
          <cell r="T5287">
            <v>0.46</v>
          </cell>
          <cell r="U5287">
            <v>0.39</v>
          </cell>
          <cell r="V5287">
            <v>0.47</v>
          </cell>
          <cell r="W5287">
            <v>0</v>
          </cell>
          <cell r="X5287" t="str">
            <v>EST MESA LATERAL RELEVO (COURO FIRENZE 600) - 0,46x0,39x0,47H</v>
          </cell>
          <cell r="Y5287">
            <v>0</v>
          </cell>
          <cell r="Z5287">
            <v>0.35</v>
          </cell>
          <cell r="AA5287">
            <v>0</v>
          </cell>
          <cell r="AB5287"/>
        </row>
        <row r="5288">
          <cell r="C5288">
            <v>0</v>
          </cell>
          <cell r="D5288">
            <v>0</v>
          </cell>
          <cell r="E5288">
            <v>2</v>
          </cell>
          <cell r="F5288">
            <v>0</v>
          </cell>
          <cell r="H5288">
            <v>0</v>
          </cell>
          <cell r="O5288">
            <v>407198</v>
          </cell>
          <cell r="P5288" t="str">
            <v>2025/276-0009-01</v>
          </cell>
          <cell r="Q5288" t="str">
            <v>EST POLTRONA MARIA (TAUARI TING COGNAC) COURO PIG 200</v>
          </cell>
          <cell r="R5288"/>
          <cell r="S5288"/>
          <cell r="T5288">
            <v>0.66</v>
          </cell>
          <cell r="U5288">
            <v>0.66</v>
          </cell>
          <cell r="V5288">
            <v>0.81</v>
          </cell>
          <cell r="W5288">
            <v>0</v>
          </cell>
          <cell r="X5288" t="str">
            <v>EST POLTRONA MARIA (TAUARI TING COGNAC) COURO PIG 200 - 0,66x0,66x0,81H</v>
          </cell>
          <cell r="Y5288">
            <v>20508.77</v>
          </cell>
          <cell r="Z5288">
            <v>0.35</v>
          </cell>
          <cell r="AA5288">
            <v>13330.700500000001</v>
          </cell>
          <cell r="AB5288"/>
        </row>
        <row r="5289">
          <cell r="C5289">
            <v>0</v>
          </cell>
          <cell r="D5289">
            <v>0</v>
          </cell>
          <cell r="E5289">
            <v>2</v>
          </cell>
          <cell r="F5289">
            <v>0</v>
          </cell>
          <cell r="H5289">
            <v>0</v>
          </cell>
          <cell r="O5289">
            <v>407198</v>
          </cell>
          <cell r="P5289" t="str">
            <v>2025/276-0010-01</v>
          </cell>
          <cell r="Q5289" t="str">
            <v>EST POLTRONA MARIA (TAUARI TING COGNAC) COURO PIG 200</v>
          </cell>
          <cell r="R5289"/>
          <cell r="S5289"/>
          <cell r="T5289">
            <v>0.66</v>
          </cell>
          <cell r="U5289">
            <v>0.66</v>
          </cell>
          <cell r="V5289">
            <v>0.81</v>
          </cell>
          <cell r="W5289">
            <v>0</v>
          </cell>
          <cell r="X5289" t="str">
            <v>EST POLTRONA MARIA (TAUARI TING COGNAC) COURO PIG 200 - 0,66x0,66x0,81H</v>
          </cell>
          <cell r="Y5289">
            <v>20508.77</v>
          </cell>
          <cell r="Z5289">
            <v>0.35</v>
          </cell>
          <cell r="AA5289">
            <v>13330.700500000001</v>
          </cell>
          <cell r="AB5289"/>
        </row>
        <row r="5290">
          <cell r="C5290">
            <v>0</v>
          </cell>
          <cell r="D5290">
            <v>0</v>
          </cell>
          <cell r="E5290">
            <v>0</v>
          </cell>
          <cell r="F5290">
            <v>0</v>
          </cell>
          <cell r="H5290">
            <v>1</v>
          </cell>
          <cell r="O5290">
            <v>408755</v>
          </cell>
          <cell r="P5290" t="str">
            <v>2025/169-0190-01</v>
          </cell>
          <cell r="Q5290" t="str">
            <v>EST MODULO S/BRACO DOMO (1AS) TC VELUDO CRISTAL NATURAL</v>
          </cell>
          <cell r="R5290"/>
          <cell r="S5290"/>
          <cell r="T5290">
            <v>0.9</v>
          </cell>
          <cell r="U5290">
            <v>1.05</v>
          </cell>
          <cell r="V5290">
            <v>0.85</v>
          </cell>
          <cell r="W5290">
            <v>0</v>
          </cell>
          <cell r="X5290" t="str">
            <v>EST MODULO S/BRACO DOMO (1AS) TC VELUDO CRISTAL NATURAL - 0,9x1,05x0,85H</v>
          </cell>
          <cell r="Y5290">
            <v>12641.207759999999</v>
          </cell>
          <cell r="Z5290">
            <v>0.35</v>
          </cell>
          <cell r="AA5290">
            <v>8216.7850440000002</v>
          </cell>
          <cell r="AB5290"/>
        </row>
        <row r="5291">
          <cell r="C5291">
            <v>0</v>
          </cell>
          <cell r="D5291">
            <v>0</v>
          </cell>
          <cell r="E5291">
            <v>0</v>
          </cell>
          <cell r="F5291">
            <v>0</v>
          </cell>
          <cell r="H5291">
            <v>2</v>
          </cell>
          <cell r="O5291">
            <v>408941</v>
          </cell>
          <cell r="P5291"/>
          <cell r="Q5291" t="str">
            <v>EST CADEIRA LOGAN C/B ESTAR (TAUARI NOGUEIRA) (MADEIRA)</v>
          </cell>
          <cell r="R5291"/>
          <cell r="S5291"/>
          <cell r="T5291">
            <v>0.62</v>
          </cell>
          <cell r="U5291">
            <v>0.6</v>
          </cell>
          <cell r="V5291">
            <v>0.79</v>
          </cell>
          <cell r="W5291">
            <v>0</v>
          </cell>
          <cell r="X5291" t="str">
            <v>EST CADEIRA LOGAN C/B ESTAR (TAUARI NOGUEIRA) (MADEIRA) - 0,62x0,6x0,79H</v>
          </cell>
          <cell r="Y5291">
            <v>0</v>
          </cell>
          <cell r="Z5291">
            <v>0.35</v>
          </cell>
          <cell r="AA5291">
            <v>0</v>
          </cell>
          <cell r="AB5291"/>
        </row>
        <row r="5292">
          <cell r="C5292">
            <v>0</v>
          </cell>
          <cell r="D5292">
            <v>0</v>
          </cell>
          <cell r="E5292">
            <v>0</v>
          </cell>
          <cell r="F5292">
            <v>0</v>
          </cell>
          <cell r="H5292">
            <v>0</v>
          </cell>
          <cell r="O5292">
            <v>400733</v>
          </cell>
          <cell r="P5292"/>
          <cell r="Q5292" t="str">
            <v>EST CADEIRA C/BRACO CA03 (CINAMOMO COLONIAL VELUDO VERO 224)</v>
          </cell>
          <cell r="R5292"/>
          <cell r="S5292"/>
          <cell r="T5292">
            <v>0.6</v>
          </cell>
          <cell r="U5292">
            <v>0.57999999999999996</v>
          </cell>
          <cell r="V5292">
            <v>0.8</v>
          </cell>
          <cell r="W5292">
            <v>0</v>
          </cell>
          <cell r="X5292" t="str">
            <v>EST CADEIRA C/BRACO CA03 (CINAMOMO COLONIAL VELUDO VERO 224) - 0,6x0,58x0,8H</v>
          </cell>
          <cell r="Y5292">
            <v>0</v>
          </cell>
          <cell r="Z5292">
            <v>0.35</v>
          </cell>
          <cell r="AA5292">
            <v>0</v>
          </cell>
          <cell r="AB5292"/>
        </row>
        <row r="5293">
          <cell r="C5293">
            <v>0</v>
          </cell>
          <cell r="D5293">
            <v>0</v>
          </cell>
          <cell r="E5293">
            <v>0</v>
          </cell>
          <cell r="F5293">
            <v>0</v>
          </cell>
          <cell r="H5293">
            <v>5</v>
          </cell>
          <cell r="O5293">
            <v>409030</v>
          </cell>
          <cell r="P5293"/>
          <cell r="Q5293" t="str">
            <v>EST MESA LATERAL OLIVER (MARMORE RAFAELLO)</v>
          </cell>
          <cell r="R5293"/>
          <cell r="S5293"/>
          <cell r="T5293">
            <v>0.5</v>
          </cell>
          <cell r="U5293">
            <v>0</v>
          </cell>
          <cell r="V5293">
            <v>0.45</v>
          </cell>
          <cell r="W5293">
            <v>0</v>
          </cell>
          <cell r="X5293" t="str">
            <v>EST MESA LATERAL OLIVER (MARMORE RAFAELLO) - Ø0x0,45H</v>
          </cell>
          <cell r="Y5293">
            <v>0</v>
          </cell>
          <cell r="Z5293">
            <v>0.35</v>
          </cell>
          <cell r="AA5293">
            <v>0</v>
          </cell>
          <cell r="AB5293"/>
        </row>
        <row r="5294">
          <cell r="C5294">
            <v>0</v>
          </cell>
          <cell r="D5294">
            <v>0</v>
          </cell>
          <cell r="E5294">
            <v>0</v>
          </cell>
          <cell r="F5294">
            <v>0</v>
          </cell>
          <cell r="H5294">
            <v>0</v>
          </cell>
          <cell r="O5294">
            <v>409057</v>
          </cell>
          <cell r="P5294" t="str">
            <v>2025/232-0051-01</v>
          </cell>
          <cell r="Q5294" t="str">
            <v>EST TAMPO MARMORE (F10916) (SILVER FOSCO) (BIPARTIDO)</v>
          </cell>
          <cell r="R5294"/>
          <cell r="S5294"/>
          <cell r="T5294">
            <v>3</v>
          </cell>
          <cell r="U5294">
            <v>1.1000000000000001</v>
          </cell>
          <cell r="V5294">
            <v>0.02</v>
          </cell>
          <cell r="W5294">
            <v>0</v>
          </cell>
          <cell r="X5294" t="str">
            <v>EST TAMPO MARMORE (F10916) (SILVER FOSCO) (BIPARTIDO) - 3x1,1x0,02H</v>
          </cell>
          <cell r="Y5294">
            <v>42630.092999999993</v>
          </cell>
          <cell r="Z5294">
            <v>0.35</v>
          </cell>
          <cell r="AA5294">
            <v>27709.560449999997</v>
          </cell>
          <cell r="AB5294"/>
        </row>
        <row r="5295">
          <cell r="C5295">
            <v>0</v>
          </cell>
          <cell r="D5295">
            <v>0</v>
          </cell>
          <cell r="E5295">
            <v>0</v>
          </cell>
          <cell r="F5295">
            <v>0</v>
          </cell>
          <cell r="H5295">
            <v>0</v>
          </cell>
          <cell r="O5295">
            <v>409083</v>
          </cell>
          <cell r="P5295"/>
          <cell r="Q5295" t="str">
            <v>EST CADEIRA MARESIAS C/B (NAUTICA TERRACOTA) (CUMARU EPS)</v>
          </cell>
          <cell r="R5295"/>
          <cell r="S5295"/>
          <cell r="T5295">
            <v>0.55000000000000004</v>
          </cell>
          <cell r="U5295">
            <v>0.57999999999999996</v>
          </cell>
          <cell r="V5295">
            <v>0.83</v>
          </cell>
          <cell r="W5295">
            <v>0</v>
          </cell>
          <cell r="X5295" t="str">
            <v>EST CADEIRA MARESIAS C/B (NAUTICA TERRACOTA) (CUMARU EPS) - 0,55x0,58x0,83H</v>
          </cell>
          <cell r="Y5295">
            <v>0</v>
          </cell>
          <cell r="Z5295">
            <v>0.35</v>
          </cell>
          <cell r="AA5295">
            <v>0</v>
          </cell>
          <cell r="AB5295"/>
        </row>
        <row r="5296">
          <cell r="C5296">
            <v>0</v>
          </cell>
          <cell r="D5296">
            <v>0</v>
          </cell>
          <cell r="E5296">
            <v>0</v>
          </cell>
          <cell r="F5296">
            <v>0</v>
          </cell>
          <cell r="H5296">
            <v>1</v>
          </cell>
          <cell r="O5296">
            <v>409345</v>
          </cell>
          <cell r="P5296"/>
          <cell r="Q5296" t="str">
            <v>EST APARADOR 14 BIS (15MM) (BRONZE)</v>
          </cell>
          <cell r="R5296"/>
          <cell r="S5296"/>
          <cell r="T5296">
            <v>2.6</v>
          </cell>
          <cell r="U5296">
            <v>0.4</v>
          </cell>
          <cell r="V5296">
            <v>0.8</v>
          </cell>
          <cell r="W5296">
            <v>0</v>
          </cell>
          <cell r="X5296" t="str">
            <v>EST APARADOR 14 BIS (15MM) (BRONZE) - 2,6x0,4x0,8H</v>
          </cell>
          <cell r="Y5296">
            <v>0</v>
          </cell>
          <cell r="Z5296">
            <v>0.35</v>
          </cell>
          <cell r="AA5296">
            <v>0</v>
          </cell>
          <cell r="AB5296"/>
        </row>
        <row r="5297">
          <cell r="C5297">
            <v>0</v>
          </cell>
          <cell r="D5297">
            <v>0</v>
          </cell>
          <cell r="E5297">
            <v>0</v>
          </cell>
          <cell r="F5297">
            <v>0</v>
          </cell>
          <cell r="H5297">
            <v>0</v>
          </cell>
          <cell r="O5297">
            <v>409635</v>
          </cell>
          <cell r="P5297"/>
          <cell r="Q5297" t="str">
            <v>EST POLTRONA REDE (TAUARI NATURAL) (COURO IMPORT 52 PRETO)</v>
          </cell>
          <cell r="R5297"/>
          <cell r="S5297"/>
          <cell r="T5297">
            <v>0.78</v>
          </cell>
          <cell r="U5297">
            <v>0.96</v>
          </cell>
          <cell r="V5297">
            <v>1.24</v>
          </cell>
          <cell r="W5297">
            <v>0</v>
          </cell>
          <cell r="X5297" t="str">
            <v>EST POLTRONA REDE (TAUARI NATURAL) (COURO IMPORT 52 PRETO) - 0,78x0,96x1,24H</v>
          </cell>
          <cell r="Y5297">
            <v>0</v>
          </cell>
          <cell r="Z5297">
            <v>0.35</v>
          </cell>
          <cell r="AA5297">
            <v>0</v>
          </cell>
          <cell r="AB5297"/>
        </row>
        <row r="5298">
          <cell r="C5298">
            <v>0</v>
          </cell>
          <cell r="D5298">
            <v>0</v>
          </cell>
          <cell r="E5298">
            <v>0</v>
          </cell>
          <cell r="F5298">
            <v>0</v>
          </cell>
          <cell r="H5298">
            <v>18</v>
          </cell>
          <cell r="O5298">
            <v>402651</v>
          </cell>
          <cell r="P5298"/>
          <cell r="Q5298" t="str">
            <v>EST CADEIRA TAMBORIM (TELA SEXT NAT) (MAD B IMBUIA)</v>
          </cell>
          <cell r="R5298"/>
          <cell r="S5298"/>
          <cell r="T5298">
            <v>0.59</v>
          </cell>
          <cell r="U5298">
            <v>0.47</v>
          </cell>
          <cell r="V5298">
            <v>0.84</v>
          </cell>
          <cell r="W5298">
            <v>0</v>
          </cell>
          <cell r="X5298" t="str">
            <v>EST CADEIRA TAMBORIM (TELA SEXT NAT) (MAD B IMBUIA) - 0,59x0,47x0,84H</v>
          </cell>
          <cell r="Y5298">
            <v>0</v>
          </cell>
          <cell r="Z5298">
            <v>0.35</v>
          </cell>
          <cell r="AA5298">
            <v>0</v>
          </cell>
          <cell r="AB5298"/>
        </row>
        <row r="5299">
          <cell r="C5299">
            <v>0</v>
          </cell>
          <cell r="D5299">
            <v>0</v>
          </cell>
          <cell r="E5299">
            <v>0</v>
          </cell>
          <cell r="F5299">
            <v>0</v>
          </cell>
          <cell r="H5299">
            <v>15</v>
          </cell>
          <cell r="O5299">
            <v>402654</v>
          </cell>
          <cell r="P5299"/>
          <cell r="Q5299" t="str">
            <v>EST CADEIRA TAMBORIM (TELA SEXT NAT) (MAD B FREIJO NAT)</v>
          </cell>
          <cell r="R5299"/>
          <cell r="S5299"/>
          <cell r="T5299">
            <v>0.59</v>
          </cell>
          <cell r="U5299">
            <v>0.47</v>
          </cell>
          <cell r="V5299">
            <v>0.84</v>
          </cell>
          <cell r="W5299">
            <v>0</v>
          </cell>
          <cell r="X5299" t="str">
            <v>EST CADEIRA TAMBORIM (TELA SEXT NAT) (MAD B FREIJO NAT) - 0,59x0,47x0,84H</v>
          </cell>
          <cell r="Y5299">
            <v>0</v>
          </cell>
          <cell r="Z5299">
            <v>0.35</v>
          </cell>
          <cell r="AA5299">
            <v>0</v>
          </cell>
          <cell r="AB5299"/>
        </row>
        <row r="5300">
          <cell r="C5300">
            <v>0</v>
          </cell>
          <cell r="D5300">
            <v>0</v>
          </cell>
          <cell r="E5300">
            <v>0</v>
          </cell>
          <cell r="F5300">
            <v>0</v>
          </cell>
          <cell r="H5300">
            <v>0</v>
          </cell>
          <cell r="O5300">
            <v>409787</v>
          </cell>
          <cell r="P5300" t="str">
            <v>2025/283-0019-01</v>
          </cell>
          <cell r="Q5300" t="str">
            <v>EST POLTRONA AGHATA PLUS (GIRATORIA) (MTX MARROM) FX E5173</v>
          </cell>
          <cell r="R5300"/>
          <cell r="S5300"/>
          <cell r="T5300">
            <v>0.68</v>
          </cell>
          <cell r="U5300">
            <v>0.8</v>
          </cell>
          <cell r="V5300">
            <v>0.76</v>
          </cell>
          <cell r="W5300">
            <v>0</v>
          </cell>
          <cell r="X5300" t="str">
            <v>EST POLTRONA AGHATA PLUS (GIRATORIA) (MTX MARROM) FX E5173 - 0,68x0,8x0,76H</v>
          </cell>
          <cell r="Y5300">
            <v>10217.31</v>
          </cell>
          <cell r="Z5300">
            <v>0.35</v>
          </cell>
          <cell r="AA5300">
            <v>6641.2515000000003</v>
          </cell>
          <cell r="AB5300"/>
        </row>
        <row r="5301">
          <cell r="C5301">
            <v>0</v>
          </cell>
          <cell r="D5301">
            <v>0</v>
          </cell>
          <cell r="E5301">
            <v>0</v>
          </cell>
          <cell r="F5301">
            <v>0</v>
          </cell>
          <cell r="H5301">
            <v>0</v>
          </cell>
          <cell r="O5301">
            <v>409787</v>
          </cell>
          <cell r="P5301" t="str">
            <v>2025/283-0020-01</v>
          </cell>
          <cell r="Q5301" t="str">
            <v>EST POLTRONA AGHATA PLUS (GIRATORIA) (MTX MARROM) FX E5173</v>
          </cell>
          <cell r="R5301"/>
          <cell r="S5301"/>
          <cell r="T5301">
            <v>0.68</v>
          </cell>
          <cell r="U5301">
            <v>0.8</v>
          </cell>
          <cell r="V5301">
            <v>0.76</v>
          </cell>
          <cell r="W5301">
            <v>0</v>
          </cell>
          <cell r="X5301" t="str">
            <v>EST POLTRONA AGHATA PLUS (GIRATORIA) (MTX MARROM) FX E5173 - 0,68x0,8x0,76H</v>
          </cell>
          <cell r="Y5301">
            <v>10217.31</v>
          </cell>
          <cell r="Z5301">
            <v>0.35</v>
          </cell>
          <cell r="AA5301">
            <v>6641.2515000000003</v>
          </cell>
          <cell r="AB5301"/>
        </row>
        <row r="5302">
          <cell r="C5302">
            <v>0</v>
          </cell>
          <cell r="D5302">
            <v>0</v>
          </cell>
          <cell r="E5302">
            <v>1</v>
          </cell>
          <cell r="F5302">
            <v>2</v>
          </cell>
          <cell r="H5302">
            <v>0</v>
          </cell>
          <cell r="O5302">
            <v>409982</v>
          </cell>
          <cell r="P5302" t="str">
            <v>2025/261-0024-01</v>
          </cell>
          <cell r="Q5302" t="str">
            <v>EST MESA LATERAL PIN (WALNUT MATT) (DET PINT CORTEN)</v>
          </cell>
          <cell r="R5302"/>
          <cell r="S5302"/>
          <cell r="T5302">
            <v>0.35</v>
          </cell>
          <cell r="U5302">
            <v>0</v>
          </cell>
          <cell r="V5302">
            <v>0.52</v>
          </cell>
          <cell r="W5302">
            <v>0.35</v>
          </cell>
          <cell r="X5302" t="str">
            <v>EST MESA LATERAL PIN (WALNUT MATT) (DET PINT CORTEN) - Ø0,35x0,52H</v>
          </cell>
          <cell r="Y5302">
            <v>5384.51</v>
          </cell>
          <cell r="Z5302">
            <v>0.35</v>
          </cell>
          <cell r="AA5302">
            <v>3499.9315000000006</v>
          </cell>
          <cell r="AB5302"/>
        </row>
        <row r="5303">
          <cell r="C5303">
            <v>0</v>
          </cell>
          <cell r="D5303">
            <v>0</v>
          </cell>
          <cell r="E5303">
            <v>0</v>
          </cell>
          <cell r="F5303">
            <v>0</v>
          </cell>
          <cell r="H5303">
            <v>1</v>
          </cell>
          <cell r="O5303">
            <v>409996</v>
          </cell>
          <cell r="P5303"/>
          <cell r="Q5303" t="str">
            <v>EST MESA CENTRO CAVA (G1 - ANTARTIC WHITE LEVIGADO)</v>
          </cell>
          <cell r="R5303"/>
          <cell r="S5303"/>
          <cell r="T5303">
            <v>0.8</v>
          </cell>
          <cell r="U5303">
            <v>0</v>
          </cell>
          <cell r="V5303">
            <v>0.25</v>
          </cell>
          <cell r="W5303">
            <v>0.8</v>
          </cell>
          <cell r="X5303" t="str">
            <v>EST MESA CENTRO CAVA (G1 - ANTARTIC WHITE LEVIGADO) - Ø0,8x0,25H</v>
          </cell>
          <cell r="Y5303">
            <v>0</v>
          </cell>
          <cell r="Z5303">
            <v>0.35</v>
          </cell>
          <cell r="AA5303">
            <v>0</v>
          </cell>
          <cell r="AB5303"/>
        </row>
        <row r="5304">
          <cell r="C5304">
            <v>0</v>
          </cell>
          <cell r="D5304">
            <v>0</v>
          </cell>
          <cell r="E5304">
            <v>0</v>
          </cell>
          <cell r="F5304">
            <v>0</v>
          </cell>
          <cell r="H5304">
            <v>1</v>
          </cell>
          <cell r="O5304">
            <v>410140</v>
          </cell>
          <cell r="P5304"/>
          <cell r="Q5304" t="str">
            <v>EST POLTRONA GB UL19 (METAL) (PAU FERRO) TC EL ANGOLA COOPER</v>
          </cell>
          <cell r="R5304"/>
          <cell r="S5304"/>
          <cell r="T5304">
            <v>0.62</v>
          </cell>
          <cell r="U5304">
            <v>0.69</v>
          </cell>
          <cell r="V5304">
            <v>0.74</v>
          </cell>
          <cell r="W5304">
            <v>0</v>
          </cell>
          <cell r="X5304" t="str">
            <v>EST POLTRONA GB UL19 (METAL) (PAU FERRO) TC EL ANGOLA COOPER - 0,62x0,69x0,74H</v>
          </cell>
          <cell r="Y5304">
            <v>0</v>
          </cell>
          <cell r="Z5304">
            <v>0.35</v>
          </cell>
          <cell r="AA5304">
            <v>0</v>
          </cell>
          <cell r="AB5304"/>
        </row>
        <row r="5305">
          <cell r="C5305" t="e">
            <v>#N/A</v>
          </cell>
          <cell r="D5305" t="e">
            <v>#N/A</v>
          </cell>
          <cell r="E5305" t="e">
            <v>#N/A</v>
          </cell>
          <cell r="F5305" t="e">
            <v>#N/A</v>
          </cell>
          <cell r="H5305" t="e">
            <v>#N/A</v>
          </cell>
          <cell r="O5305">
            <v>410759</v>
          </cell>
          <cell r="P5305" t="str">
            <v>2025/267-0016-01</v>
          </cell>
          <cell r="Q5305" t="e">
            <v>#N/A</v>
          </cell>
          <cell r="R5305"/>
          <cell r="S5305"/>
          <cell r="T5305" t="e">
            <v>#N/A</v>
          </cell>
          <cell r="U5305" t="e">
            <v>#N/A</v>
          </cell>
          <cell r="V5305" t="e">
            <v>#N/A</v>
          </cell>
          <cell r="W5305" t="e">
            <v>#N/A</v>
          </cell>
          <cell r="X5305" t="e">
            <v>#N/A</v>
          </cell>
          <cell r="Y5305">
            <v>45768.08</v>
          </cell>
          <cell r="Z5305">
            <v>0.35</v>
          </cell>
          <cell r="AA5305">
            <v>29749.252</v>
          </cell>
          <cell r="AB5305"/>
        </row>
        <row r="5306">
          <cell r="C5306">
            <v>0</v>
          </cell>
          <cell r="D5306">
            <v>0</v>
          </cell>
          <cell r="E5306">
            <v>0</v>
          </cell>
          <cell r="F5306">
            <v>0</v>
          </cell>
          <cell r="H5306">
            <v>1</v>
          </cell>
          <cell r="O5306">
            <v>411118</v>
          </cell>
          <cell r="P5306" t="str">
            <v>2025/283-0068-01</v>
          </cell>
          <cell r="Q5306" t="str">
            <v>EST MESA JANTAR MONIZ (C/GIR) (ESPINHADA D) (LAM 2 NOGUEIRA)</v>
          </cell>
          <cell r="R5306"/>
          <cell r="S5306"/>
          <cell r="T5306">
            <v>1.8</v>
          </cell>
          <cell r="U5306">
            <v>0</v>
          </cell>
          <cell r="V5306">
            <v>0.75</v>
          </cell>
          <cell r="W5306">
            <v>1.8</v>
          </cell>
          <cell r="X5306" t="str">
            <v>EST MESA JANTAR MONIZ (C/GIR) (ESPINHADA D) (LAM 2 NOGUEIRA) - Ø1,8x0,75H</v>
          </cell>
          <cell r="Y5306">
            <v>44771.28</v>
          </cell>
          <cell r="Z5306">
            <v>0.35</v>
          </cell>
          <cell r="AA5306">
            <v>29101.332000000002</v>
          </cell>
          <cell r="AB5306"/>
        </row>
        <row r="5307">
          <cell r="C5307">
            <v>0</v>
          </cell>
          <cell r="D5307">
            <v>0</v>
          </cell>
          <cell r="E5307">
            <v>0</v>
          </cell>
          <cell r="F5307">
            <v>0</v>
          </cell>
          <cell r="H5307">
            <v>2</v>
          </cell>
          <cell r="O5307">
            <v>179265</v>
          </cell>
          <cell r="P5307"/>
          <cell r="Q5307" t="str">
            <v>EST MESA JANTAR REDE (BASE POLISTER F100)</v>
          </cell>
          <cell r="R5307"/>
          <cell r="S5307"/>
          <cell r="T5307">
            <v>2.0499999999999998</v>
          </cell>
          <cell r="U5307">
            <v>0.5</v>
          </cell>
          <cell r="V5307">
            <v>0.76</v>
          </cell>
          <cell r="W5307">
            <v>0</v>
          </cell>
          <cell r="X5307" t="str">
            <v>EST MESA JANTAR REDE (BASE POLISTER F100) - 2,05x0,5x0,76H</v>
          </cell>
          <cell r="Y5307" t="str">
            <v>EST</v>
          </cell>
          <cell r="Z5307">
            <v>0.5</v>
          </cell>
          <cell r="AA5307" t="e">
            <v>#VALUE!</v>
          </cell>
          <cell r="AB5307"/>
        </row>
        <row r="5308">
          <cell r="C5308">
            <v>0</v>
          </cell>
          <cell r="D5308">
            <v>0</v>
          </cell>
          <cell r="E5308">
            <v>0</v>
          </cell>
          <cell r="F5308">
            <v>0</v>
          </cell>
          <cell r="H5308">
            <v>1</v>
          </cell>
          <cell r="O5308">
            <v>154009</v>
          </cell>
          <cell r="P5308"/>
          <cell r="Q5308" t="str">
            <v>EST MESA JANTAR RAIZES (CATUABA AVELUDADA) (PES LATAO)</v>
          </cell>
          <cell r="R5308"/>
          <cell r="S5308"/>
          <cell r="T5308">
            <v>2.8</v>
          </cell>
          <cell r="U5308">
            <v>1.2</v>
          </cell>
          <cell r="V5308">
            <v>0.75</v>
          </cell>
          <cell r="W5308">
            <v>0</v>
          </cell>
          <cell r="X5308" t="str">
            <v>EST MESA JANTAR RAIZES (CATUABA AVELUDADA) (PES LATAO) - 2,8x1,2x0,75H</v>
          </cell>
          <cell r="Y5308" t="str">
            <v>EST</v>
          </cell>
          <cell r="Z5308">
            <v>0.5</v>
          </cell>
          <cell r="AA5308" t="e">
            <v>#VALUE!</v>
          </cell>
          <cell r="AB5308"/>
        </row>
        <row r="5309">
          <cell r="C5309">
            <v>0</v>
          </cell>
          <cell r="D5309">
            <v>0</v>
          </cell>
          <cell r="E5309">
            <v>0</v>
          </cell>
          <cell r="F5309">
            <v>0</v>
          </cell>
          <cell r="H5309">
            <v>1</v>
          </cell>
          <cell r="O5309">
            <v>210425</v>
          </cell>
          <cell r="P5309"/>
          <cell r="Q5309" t="str">
            <v>EST MESA JANTAR FLAT (ALUMINIO 10 CHAMPAGNE)</v>
          </cell>
          <cell r="R5309"/>
          <cell r="S5309"/>
          <cell r="T5309">
            <v>2.5</v>
          </cell>
          <cell r="U5309">
            <v>1.1000000000000001</v>
          </cell>
          <cell r="V5309">
            <v>0.72</v>
          </cell>
          <cell r="W5309">
            <v>0</v>
          </cell>
          <cell r="X5309" t="str">
            <v>EST MESA JANTAR FLAT (ALUMINIO 10 CHAMPAGNE) - 2,5x1,1x0,72H</v>
          </cell>
          <cell r="Y5309" t="str">
            <v>EST</v>
          </cell>
          <cell r="Z5309">
            <v>0.5</v>
          </cell>
          <cell r="AA5309" t="e">
            <v>#VALUE!</v>
          </cell>
          <cell r="AB5309"/>
        </row>
        <row r="5310">
          <cell r="C5310">
            <v>0</v>
          </cell>
          <cell r="D5310">
            <v>0</v>
          </cell>
          <cell r="E5310">
            <v>0</v>
          </cell>
          <cell r="F5310">
            <v>0</v>
          </cell>
          <cell r="H5310">
            <v>1</v>
          </cell>
          <cell r="O5310">
            <v>151384</v>
          </cell>
          <cell r="P5310"/>
          <cell r="Q5310" t="str">
            <v>EST MESA JANTAR VERMONT (FITA 10MM ARGILA RASPADO TP CUMARU)</v>
          </cell>
          <cell r="R5310"/>
          <cell r="S5310"/>
          <cell r="T5310">
            <v>1.5</v>
          </cell>
          <cell r="U5310">
            <v>1.5</v>
          </cell>
          <cell r="V5310">
            <v>0.8</v>
          </cell>
          <cell r="W5310">
            <v>0</v>
          </cell>
          <cell r="X5310" t="str">
            <v>EST MESA JANTAR VERMONT (FITA 10MM ARGILA RASPADO TP CUMARU) - 1,5x1,5x0,8H</v>
          </cell>
          <cell r="Y5310" t="str">
            <v>EST</v>
          </cell>
          <cell r="Z5310">
            <v>0.5</v>
          </cell>
          <cell r="AA5310" t="e">
            <v>#VALUE!</v>
          </cell>
          <cell r="AB5310"/>
        </row>
        <row r="5311">
          <cell r="C5311" t="e">
            <v>#N/A</v>
          </cell>
          <cell r="D5311" t="e">
            <v>#N/A</v>
          </cell>
          <cell r="E5311" t="e">
            <v>#N/A</v>
          </cell>
          <cell r="F5311" t="e">
            <v>#N/A</v>
          </cell>
          <cell r="H5311" t="e">
            <v>#N/A</v>
          </cell>
          <cell r="O5311"/>
          <cell r="P5311"/>
          <cell r="Q5311" t="e">
            <v>#N/A</v>
          </cell>
          <cell r="R5311"/>
          <cell r="S5311"/>
          <cell r="T5311" t="e">
            <v>#N/A</v>
          </cell>
          <cell r="U5311" t="e">
            <v>#N/A</v>
          </cell>
          <cell r="V5311" t="e">
            <v>#N/A</v>
          </cell>
          <cell r="W5311" t="e">
            <v>#N/A</v>
          </cell>
          <cell r="X5311" t="e">
            <v>#N/A</v>
          </cell>
          <cell r="Y5311" t="str">
            <v>EST</v>
          </cell>
          <cell r="Z5311">
            <v>0.35</v>
          </cell>
          <cell r="AA5311" t="e">
            <v>#VALUE!</v>
          </cell>
          <cell r="AB5311"/>
        </row>
        <row r="5312">
          <cell r="C5312" t="e">
            <v>#N/A</v>
          </cell>
          <cell r="D5312" t="e">
            <v>#N/A</v>
          </cell>
          <cell r="E5312" t="e">
            <v>#N/A</v>
          </cell>
          <cell r="F5312" t="e">
            <v>#N/A</v>
          </cell>
          <cell r="H5312" t="e">
            <v>#N/A</v>
          </cell>
          <cell r="O5312"/>
          <cell r="P5312"/>
          <cell r="Q5312" t="e">
            <v>#N/A</v>
          </cell>
          <cell r="R5312"/>
          <cell r="S5312"/>
          <cell r="T5312" t="e">
            <v>#N/A</v>
          </cell>
          <cell r="U5312" t="e">
            <v>#N/A</v>
          </cell>
          <cell r="V5312" t="e">
            <v>#N/A</v>
          </cell>
          <cell r="W5312" t="e">
            <v>#N/A</v>
          </cell>
          <cell r="X5312" t="e">
            <v>#N/A</v>
          </cell>
          <cell r="Y5312" t="str">
            <v>EST</v>
          </cell>
          <cell r="Z5312">
            <v>0.35</v>
          </cell>
          <cell r="AA5312" t="e">
            <v>#VALUE!</v>
          </cell>
          <cell r="AB5312"/>
        </row>
        <row r="5313">
          <cell r="C5313" t="e">
            <v>#N/A</v>
          </cell>
          <cell r="D5313" t="e">
            <v>#N/A</v>
          </cell>
          <cell r="E5313" t="e">
            <v>#N/A</v>
          </cell>
          <cell r="F5313" t="e">
            <v>#N/A</v>
          </cell>
          <cell r="H5313" t="e">
            <v>#N/A</v>
          </cell>
          <cell r="O5313"/>
          <cell r="P5313"/>
          <cell r="Q5313" t="e">
            <v>#N/A</v>
          </cell>
          <cell r="R5313"/>
          <cell r="S5313"/>
          <cell r="T5313" t="e">
            <v>#N/A</v>
          </cell>
          <cell r="U5313" t="e">
            <v>#N/A</v>
          </cell>
          <cell r="V5313" t="e">
            <v>#N/A</v>
          </cell>
          <cell r="W5313" t="e">
            <v>#N/A</v>
          </cell>
          <cell r="X5313" t="e">
            <v>#N/A</v>
          </cell>
          <cell r="Y5313" t="str">
            <v>EST</v>
          </cell>
          <cell r="Z5313">
            <v>0.35</v>
          </cell>
          <cell r="AA5313" t="e">
            <v>#VALUE!</v>
          </cell>
          <cell r="AB5313"/>
        </row>
        <row r="5314">
          <cell r="C5314" t="e">
            <v>#N/A</v>
          </cell>
          <cell r="D5314" t="e">
            <v>#N/A</v>
          </cell>
          <cell r="E5314" t="e">
            <v>#N/A</v>
          </cell>
          <cell r="F5314" t="e">
            <v>#N/A</v>
          </cell>
          <cell r="H5314" t="e">
            <v>#N/A</v>
          </cell>
          <cell r="O5314"/>
          <cell r="P5314"/>
          <cell r="Q5314" t="e">
            <v>#N/A</v>
          </cell>
          <cell r="R5314"/>
          <cell r="S5314"/>
          <cell r="T5314" t="e">
            <v>#N/A</v>
          </cell>
          <cell r="U5314" t="e">
            <v>#N/A</v>
          </cell>
          <cell r="V5314" t="e">
            <v>#N/A</v>
          </cell>
          <cell r="W5314" t="e">
            <v>#N/A</v>
          </cell>
          <cell r="X5314" t="e">
            <v>#N/A</v>
          </cell>
          <cell r="Y5314" t="str">
            <v>EST</v>
          </cell>
          <cell r="Z5314">
            <v>0.35</v>
          </cell>
          <cell r="AA5314" t="e">
            <v>#VALUE!</v>
          </cell>
          <cell r="AB5314"/>
        </row>
        <row r="5315">
          <cell r="C5315" t="e">
            <v>#N/A</v>
          </cell>
          <cell r="D5315" t="e">
            <v>#N/A</v>
          </cell>
          <cell r="E5315" t="e">
            <v>#N/A</v>
          </cell>
          <cell r="F5315" t="e">
            <v>#N/A</v>
          </cell>
          <cell r="H5315" t="e">
            <v>#N/A</v>
          </cell>
          <cell r="O5315"/>
          <cell r="P5315"/>
          <cell r="Q5315" t="e">
            <v>#N/A</v>
          </cell>
          <cell r="R5315"/>
          <cell r="S5315"/>
          <cell r="T5315" t="e">
            <v>#N/A</v>
          </cell>
          <cell r="U5315" t="e">
            <v>#N/A</v>
          </cell>
          <cell r="V5315" t="e">
            <v>#N/A</v>
          </cell>
          <cell r="W5315" t="e">
            <v>#N/A</v>
          </cell>
          <cell r="X5315" t="e">
            <v>#N/A</v>
          </cell>
          <cell r="Y5315" t="str">
            <v>EST</v>
          </cell>
          <cell r="Z5315">
            <v>0.35</v>
          </cell>
          <cell r="AA5315" t="e">
            <v>#VALUE!</v>
          </cell>
          <cell r="AB5315"/>
        </row>
        <row r="5316">
          <cell r="C5316" t="e">
            <v>#N/A</v>
          </cell>
          <cell r="D5316" t="e">
            <v>#N/A</v>
          </cell>
          <cell r="E5316" t="e">
            <v>#N/A</v>
          </cell>
          <cell r="F5316" t="e">
            <v>#N/A</v>
          </cell>
          <cell r="H5316" t="e">
            <v>#N/A</v>
          </cell>
          <cell r="O5316"/>
          <cell r="P5316"/>
          <cell r="Q5316" t="e">
            <v>#N/A</v>
          </cell>
          <cell r="R5316"/>
          <cell r="S5316"/>
          <cell r="T5316" t="e">
            <v>#N/A</v>
          </cell>
          <cell r="U5316" t="e">
            <v>#N/A</v>
          </cell>
          <cell r="V5316" t="e">
            <v>#N/A</v>
          </cell>
          <cell r="W5316" t="e">
            <v>#N/A</v>
          </cell>
          <cell r="X5316" t="e">
            <v>#N/A</v>
          </cell>
          <cell r="Y5316" t="str">
            <v>EST</v>
          </cell>
          <cell r="Z5316">
            <v>0.35</v>
          </cell>
          <cell r="AA5316" t="e">
            <v>#VALUE!</v>
          </cell>
          <cell r="AB5316"/>
        </row>
        <row r="5317">
          <cell r="C5317" t="e">
            <v>#N/A</v>
          </cell>
          <cell r="D5317" t="e">
            <v>#N/A</v>
          </cell>
          <cell r="E5317" t="e">
            <v>#N/A</v>
          </cell>
          <cell r="F5317" t="e">
            <v>#N/A</v>
          </cell>
          <cell r="H5317" t="e">
            <v>#N/A</v>
          </cell>
          <cell r="O5317"/>
          <cell r="P5317"/>
          <cell r="Q5317" t="e">
            <v>#N/A</v>
          </cell>
          <cell r="R5317"/>
          <cell r="S5317"/>
          <cell r="T5317" t="e">
            <v>#N/A</v>
          </cell>
          <cell r="U5317" t="e">
            <v>#N/A</v>
          </cell>
          <cell r="V5317" t="e">
            <v>#N/A</v>
          </cell>
          <cell r="W5317" t="e">
            <v>#N/A</v>
          </cell>
          <cell r="X5317" t="e">
            <v>#N/A</v>
          </cell>
          <cell r="Y5317" t="str">
            <v>EST</v>
          </cell>
          <cell r="Z5317">
            <v>0.35</v>
          </cell>
          <cell r="AA5317" t="e">
            <v>#VALUE!</v>
          </cell>
          <cell r="AB5317"/>
        </row>
        <row r="5318">
          <cell r="C5318" t="e">
            <v>#N/A</v>
          </cell>
          <cell r="D5318" t="e">
            <v>#N/A</v>
          </cell>
          <cell r="E5318" t="e">
            <v>#N/A</v>
          </cell>
          <cell r="F5318" t="e">
            <v>#N/A</v>
          </cell>
          <cell r="H5318" t="e">
            <v>#N/A</v>
          </cell>
          <cell r="O5318"/>
          <cell r="P5318"/>
          <cell r="Q5318" t="e">
            <v>#N/A</v>
          </cell>
          <cell r="R5318"/>
          <cell r="S5318"/>
          <cell r="T5318" t="e">
            <v>#N/A</v>
          </cell>
          <cell r="U5318" t="e">
            <v>#N/A</v>
          </cell>
          <cell r="V5318" t="e">
            <v>#N/A</v>
          </cell>
          <cell r="W5318" t="e">
            <v>#N/A</v>
          </cell>
          <cell r="X5318" t="e">
            <v>#N/A</v>
          </cell>
          <cell r="Y5318" t="str">
            <v>EST</v>
          </cell>
          <cell r="Z5318">
            <v>0.35</v>
          </cell>
          <cell r="AA5318" t="e">
            <v>#VALUE!</v>
          </cell>
          <cell r="AB5318"/>
        </row>
        <row r="5319">
          <cell r="C5319" t="e">
            <v>#N/A</v>
          </cell>
          <cell r="D5319" t="e">
            <v>#N/A</v>
          </cell>
          <cell r="E5319" t="e">
            <v>#N/A</v>
          </cell>
          <cell r="F5319" t="e">
            <v>#N/A</v>
          </cell>
          <cell r="H5319" t="e">
            <v>#N/A</v>
          </cell>
          <cell r="O5319"/>
          <cell r="P5319"/>
          <cell r="Q5319" t="e">
            <v>#N/A</v>
          </cell>
          <cell r="R5319"/>
          <cell r="S5319"/>
          <cell r="T5319" t="e">
            <v>#N/A</v>
          </cell>
          <cell r="U5319" t="e">
            <v>#N/A</v>
          </cell>
          <cell r="V5319" t="e">
            <v>#N/A</v>
          </cell>
          <cell r="W5319" t="e">
            <v>#N/A</v>
          </cell>
          <cell r="X5319" t="e">
            <v>#N/A</v>
          </cell>
          <cell r="Y5319" t="str">
            <v>EST</v>
          </cell>
          <cell r="Z5319">
            <v>0.35</v>
          </cell>
          <cell r="AA5319" t="e">
            <v>#VALUE!</v>
          </cell>
          <cell r="AB5319"/>
        </row>
        <row r="5320">
          <cell r="C5320" t="e">
            <v>#N/A</v>
          </cell>
          <cell r="D5320" t="e">
            <v>#N/A</v>
          </cell>
          <cell r="E5320" t="e">
            <v>#N/A</v>
          </cell>
          <cell r="F5320" t="e">
            <v>#N/A</v>
          </cell>
          <cell r="H5320" t="e">
            <v>#N/A</v>
          </cell>
          <cell r="O5320"/>
          <cell r="P5320"/>
          <cell r="Q5320" t="e">
            <v>#N/A</v>
          </cell>
          <cell r="R5320"/>
          <cell r="S5320"/>
          <cell r="T5320" t="e">
            <v>#N/A</v>
          </cell>
          <cell r="U5320" t="e">
            <v>#N/A</v>
          </cell>
          <cell r="V5320" t="e">
            <v>#N/A</v>
          </cell>
          <cell r="W5320" t="e">
            <v>#N/A</v>
          </cell>
          <cell r="X5320" t="e">
            <v>#N/A</v>
          </cell>
          <cell r="Y5320" t="str">
            <v>EST</v>
          </cell>
          <cell r="Z5320">
            <v>0.35</v>
          </cell>
          <cell r="AA5320" t="e">
            <v>#VALUE!</v>
          </cell>
          <cell r="AB5320"/>
        </row>
        <row r="5321">
          <cell r="C5321" t="e">
            <v>#N/A</v>
          </cell>
          <cell r="D5321" t="e">
            <v>#N/A</v>
          </cell>
          <cell r="E5321" t="e">
            <v>#N/A</v>
          </cell>
          <cell r="F5321" t="e">
            <v>#N/A</v>
          </cell>
          <cell r="H5321" t="e">
            <v>#N/A</v>
          </cell>
          <cell r="O5321"/>
          <cell r="P5321"/>
          <cell r="Q5321" t="e">
            <v>#N/A</v>
          </cell>
          <cell r="R5321"/>
          <cell r="S5321"/>
          <cell r="T5321" t="e">
            <v>#N/A</v>
          </cell>
          <cell r="U5321" t="e">
            <v>#N/A</v>
          </cell>
          <cell r="V5321" t="e">
            <v>#N/A</v>
          </cell>
          <cell r="W5321" t="e">
            <v>#N/A</v>
          </cell>
          <cell r="X5321" t="e">
            <v>#N/A</v>
          </cell>
          <cell r="Y5321" t="str">
            <v>EST</v>
          </cell>
          <cell r="Z5321">
            <v>0.35</v>
          </cell>
          <cell r="AA5321" t="e">
            <v>#VALUE!</v>
          </cell>
          <cell r="AB5321"/>
        </row>
        <row r="5322">
          <cell r="C5322" t="e">
            <v>#N/A</v>
          </cell>
          <cell r="D5322" t="e">
            <v>#N/A</v>
          </cell>
          <cell r="E5322" t="e">
            <v>#N/A</v>
          </cell>
          <cell r="F5322" t="e">
            <v>#N/A</v>
          </cell>
          <cell r="H5322" t="e">
            <v>#N/A</v>
          </cell>
          <cell r="O5322"/>
          <cell r="P5322"/>
          <cell r="Q5322" t="e">
            <v>#N/A</v>
          </cell>
          <cell r="R5322"/>
          <cell r="S5322"/>
          <cell r="T5322" t="e">
            <v>#N/A</v>
          </cell>
          <cell r="U5322" t="e">
            <v>#N/A</v>
          </cell>
          <cell r="V5322" t="e">
            <v>#N/A</v>
          </cell>
          <cell r="W5322" t="e">
            <v>#N/A</v>
          </cell>
          <cell r="X5322" t="e">
            <v>#N/A</v>
          </cell>
          <cell r="Y5322" t="str">
            <v>EST</v>
          </cell>
          <cell r="Z5322">
            <v>0.35</v>
          </cell>
          <cell r="AA5322" t="e">
            <v>#VALUE!</v>
          </cell>
          <cell r="AB5322"/>
        </row>
        <row r="5323">
          <cell r="C5323" t="e">
            <v>#N/A</v>
          </cell>
          <cell r="D5323" t="e">
            <v>#N/A</v>
          </cell>
          <cell r="E5323" t="e">
            <v>#N/A</v>
          </cell>
          <cell r="F5323" t="e">
            <v>#N/A</v>
          </cell>
          <cell r="H5323" t="e">
            <v>#N/A</v>
          </cell>
          <cell r="O5323"/>
          <cell r="P5323"/>
          <cell r="Q5323" t="e">
            <v>#N/A</v>
          </cell>
          <cell r="R5323"/>
          <cell r="S5323"/>
          <cell r="T5323" t="e">
            <v>#N/A</v>
          </cell>
          <cell r="U5323" t="e">
            <v>#N/A</v>
          </cell>
          <cell r="V5323" t="e">
            <v>#N/A</v>
          </cell>
          <cell r="W5323" t="e">
            <v>#N/A</v>
          </cell>
          <cell r="X5323" t="e">
            <v>#N/A</v>
          </cell>
          <cell r="Y5323" t="str">
            <v>EST</v>
          </cell>
          <cell r="Z5323">
            <v>0.35</v>
          </cell>
          <cell r="AA5323" t="e">
            <v>#VALUE!</v>
          </cell>
          <cell r="AB5323"/>
        </row>
        <row r="5324">
          <cell r="C5324" t="e">
            <v>#N/A</v>
          </cell>
          <cell r="D5324" t="e">
            <v>#N/A</v>
          </cell>
          <cell r="E5324" t="e">
            <v>#N/A</v>
          </cell>
          <cell r="F5324" t="e">
            <v>#N/A</v>
          </cell>
          <cell r="H5324" t="e">
            <v>#N/A</v>
          </cell>
          <cell r="O5324"/>
          <cell r="P5324"/>
          <cell r="Q5324" t="e">
            <v>#N/A</v>
          </cell>
          <cell r="R5324"/>
          <cell r="S5324"/>
          <cell r="T5324" t="e">
            <v>#N/A</v>
          </cell>
          <cell r="U5324" t="e">
            <v>#N/A</v>
          </cell>
          <cell r="V5324" t="e">
            <v>#N/A</v>
          </cell>
          <cell r="W5324" t="e">
            <v>#N/A</v>
          </cell>
          <cell r="X5324" t="e">
            <v>#N/A</v>
          </cell>
          <cell r="Y5324" t="str">
            <v>EST</v>
          </cell>
          <cell r="Z5324">
            <v>0.35</v>
          </cell>
          <cell r="AA5324" t="e">
            <v>#VALUE!</v>
          </cell>
          <cell r="AB5324"/>
        </row>
        <row r="5325">
          <cell r="C5325" t="e">
            <v>#N/A</v>
          </cell>
          <cell r="D5325" t="e">
            <v>#N/A</v>
          </cell>
          <cell r="E5325" t="e">
            <v>#N/A</v>
          </cell>
          <cell r="F5325" t="e">
            <v>#N/A</v>
          </cell>
          <cell r="H5325" t="e">
            <v>#N/A</v>
          </cell>
          <cell r="O5325"/>
          <cell r="P5325"/>
          <cell r="Q5325" t="e">
            <v>#N/A</v>
          </cell>
          <cell r="R5325"/>
          <cell r="S5325"/>
          <cell r="T5325" t="e">
            <v>#N/A</v>
          </cell>
          <cell r="U5325" t="e">
            <v>#N/A</v>
          </cell>
          <cell r="V5325" t="e">
            <v>#N/A</v>
          </cell>
          <cell r="W5325" t="e">
            <v>#N/A</v>
          </cell>
          <cell r="X5325" t="e">
            <v>#N/A</v>
          </cell>
          <cell r="Y5325" t="str">
            <v>EST</v>
          </cell>
          <cell r="Z5325">
            <v>0.35</v>
          </cell>
          <cell r="AA5325" t="e">
            <v>#VALUE!</v>
          </cell>
          <cell r="AB5325"/>
        </row>
        <row r="5326">
          <cell r="C5326" t="e">
            <v>#N/A</v>
          </cell>
          <cell r="D5326" t="e">
            <v>#N/A</v>
          </cell>
          <cell r="E5326" t="e">
            <v>#N/A</v>
          </cell>
          <cell r="F5326" t="e">
            <v>#N/A</v>
          </cell>
          <cell r="H5326" t="e">
            <v>#N/A</v>
          </cell>
          <cell r="O5326"/>
          <cell r="P5326"/>
          <cell r="Q5326" t="e">
            <v>#N/A</v>
          </cell>
          <cell r="R5326"/>
          <cell r="S5326"/>
          <cell r="T5326" t="e">
            <v>#N/A</v>
          </cell>
          <cell r="U5326" t="e">
            <v>#N/A</v>
          </cell>
          <cell r="V5326" t="e">
            <v>#N/A</v>
          </cell>
          <cell r="W5326" t="e">
            <v>#N/A</v>
          </cell>
          <cell r="X5326" t="e">
            <v>#N/A</v>
          </cell>
          <cell r="Y5326" t="str">
            <v>EST</v>
          </cell>
          <cell r="Z5326">
            <v>0.35</v>
          </cell>
          <cell r="AA5326" t="e">
            <v>#VALUE!</v>
          </cell>
          <cell r="AB5326"/>
        </row>
      </sheetData>
      <sheetData sheetId="1"/>
      <sheetData sheetId="2"/>
      <sheetData sheetId="3"/>
      <sheetData sheetId="4">
        <row r="1">
          <cell r="B1" t="str">
            <v>codigo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1833-63EA-448D-84D1-6D0ED7CECE2C}">
  <sheetPr codeName="Planilha2"/>
  <dimension ref="A1:AB1011"/>
  <sheetViews>
    <sheetView tabSelected="1" zoomScale="85" zoomScaleNormal="85" workbookViewId="0">
      <pane ySplit="2" topLeftCell="A112" activePane="bottomLeft" state="frozen"/>
      <selection pane="bottomLeft" activeCell="C2" sqref="C2"/>
    </sheetView>
  </sheetViews>
  <sheetFormatPr defaultRowHeight="15" x14ac:dyDescent="0.25"/>
  <cols>
    <col min="1" max="1" width="16.42578125" bestFit="1" customWidth="1"/>
    <col min="2" max="2" width="54.140625" customWidth="1"/>
    <col min="3" max="3" width="31" style="10" bestFit="1" customWidth="1"/>
    <col min="4" max="4" width="28.42578125" style="10" customWidth="1"/>
    <col min="5" max="5" width="19.42578125" style="9" bestFit="1" customWidth="1"/>
    <col min="6" max="8" width="9.140625" style="9"/>
    <col min="9" max="9" width="13.85546875" style="10" bestFit="1" customWidth="1"/>
    <col min="10" max="10" width="8.42578125" customWidth="1"/>
    <col min="11" max="11" width="16.28515625" style="10" customWidth="1"/>
    <col min="12" max="12" width="9.140625" style="3"/>
    <col min="13" max="13" width="13.28515625" style="4" customWidth="1"/>
    <col min="14" max="14" width="23.140625" style="9" bestFit="1" customWidth="1"/>
    <col min="15" max="15" width="19" style="2" customWidth="1"/>
    <col min="16" max="16" width="15" style="2" customWidth="1"/>
    <col min="17" max="17" width="13.7109375" style="2" customWidth="1"/>
    <col min="18" max="18" width="14.42578125" style="2" customWidth="1"/>
    <col min="19" max="19" width="10" style="2" customWidth="1"/>
    <col min="20" max="20" width="33.28515625" style="9" customWidth="1"/>
    <col min="21" max="21" width="91.85546875" style="10" customWidth="1"/>
    <col min="26" max="26" width="16.140625" bestFit="1" customWidth="1"/>
  </cols>
  <sheetData>
    <row r="1" spans="1:28" ht="48.6" customHeight="1" x14ac:dyDescent="0.2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" t="s">
        <v>1</v>
      </c>
      <c r="AA1" s="14">
        <v>45962</v>
      </c>
      <c r="AB1" s="14"/>
    </row>
    <row r="2" spans="1:28" x14ac:dyDescent="0.25">
      <c r="A2" t="s">
        <v>2</v>
      </c>
      <c r="B2" t="s">
        <v>621</v>
      </c>
      <c r="C2" s="10" t="s">
        <v>3</v>
      </c>
      <c r="D2" s="10" t="s">
        <v>622</v>
      </c>
      <c r="E2" s="15" t="s">
        <v>623</v>
      </c>
      <c r="F2" s="9" t="s">
        <v>624</v>
      </c>
      <c r="G2" s="9" t="s">
        <v>625</v>
      </c>
      <c r="H2" s="9" t="s">
        <v>626</v>
      </c>
      <c r="I2" s="9" t="s">
        <v>4</v>
      </c>
      <c r="J2" s="2" t="s">
        <v>5</v>
      </c>
      <c r="K2" s="9" t="s">
        <v>6</v>
      </c>
      <c r="L2" s="3" t="s">
        <v>7</v>
      </c>
      <c r="M2" s="4" t="s">
        <v>2</v>
      </c>
      <c r="N2" s="9" t="s">
        <v>619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9" t="s">
        <v>620</v>
      </c>
      <c r="U2" s="9" t="s">
        <v>627</v>
      </c>
    </row>
    <row r="3" spans="1:28" x14ac:dyDescent="0.25">
      <c r="A3" s="5">
        <v>379991</v>
      </c>
      <c r="B3" t="str">
        <f>IFERROR((VLOOKUP(A3,'[1]LISTA ETIQUETAS'!O:X,3,0)),"PRODUTO SEM ESTOQUE")</f>
        <v>EST MODULO BRACO DIR LAGO (D4116)</v>
      </c>
      <c r="C3" s="10" t="s">
        <v>13</v>
      </c>
      <c r="D3" s="10" t="s">
        <v>14</v>
      </c>
      <c r="E3" s="11">
        <f>IF(VLOOKUP(A3,'[1]LISTA ETIQUETAS'!O:W,4,0)="",(VLOOKUP(A3,'[1]LISTA ETIQUETAS'!O:W,6,0)),(VLOOKUP(A3,'[1]LISTA ETIQUETAS'!O:W,4,0)))</f>
        <v>3.6</v>
      </c>
      <c r="F3" s="11">
        <f>IF(VLOOKUP(A3,'[1]LISTA ETIQUETAS'!O:W,5,0)="",(VLOOKUP(A3,'[1]LISTA ETIQUETAS'!O:W,7,0)),(VLOOKUP(A3,'[1]LISTA ETIQUETAS'!O:W,5,0)))</f>
        <v>1.6</v>
      </c>
      <c r="G3" s="11">
        <f>IFERROR((VLOOKUP(A3,'[1]LISTA ETIQUETAS'!O:X,8,0)),"")</f>
        <v>0.85</v>
      </c>
      <c r="H3" s="11">
        <f>IFERROR((VLOOKUP(A3,'[1]LISTA ETIQUETAS'!O:X,9,0)),"")</f>
        <v>0</v>
      </c>
      <c r="I3" s="12">
        <f>IFERROR((VLOOKUP(A3,'[1]LISTA ETIQUETAS'!O:Y,11,0)),"")</f>
        <v>42437.590000000004</v>
      </c>
      <c r="J3" s="6">
        <v>0</v>
      </c>
      <c r="K3" s="12">
        <f t="shared" ref="K3:K66" si="0">IFERROR(I3-I3*J3,"")</f>
        <v>42437.590000000004</v>
      </c>
      <c r="L3" s="7" t="str">
        <f>IF(VLOOKUP(A3,'[1]LISTA ETIQUETAS'!O:AB,14,0)="","",(VLOOKUP(A3,'[1]LISTA ETIQUETAS'!O:AB,14,0)))</f>
        <v>JE</v>
      </c>
      <c r="M3" s="8" t="s">
        <v>15</v>
      </c>
      <c r="N3" s="9" t="str">
        <f>IF(M3="",A3,M3)</f>
        <v>379991 | 379989 | 379986</v>
      </c>
      <c r="O3" s="2">
        <f>_xlfn.XLOOKUP($A3,'[1]LISTA ETIQUETAS'!$O:$O,'[1]LISTA ETIQUETAS'!C:C,"",0)</f>
        <v>0</v>
      </c>
      <c r="P3" s="2">
        <f>_xlfn.XLOOKUP($A3,'[1]LISTA ETIQUETAS'!$O:$O,'[1]LISTA ETIQUETAS'!D:D,"",0)</f>
        <v>0</v>
      </c>
      <c r="Q3" s="2">
        <f>_xlfn.XLOOKUP($A3,'[1]LISTA ETIQUETAS'!$O:$O,'[1]LISTA ETIQUETAS'!E:E,"",0)</f>
        <v>0</v>
      </c>
      <c r="R3" s="2">
        <f>_xlfn.XLOOKUP($A3,'[1]LISTA ETIQUETAS'!$O:$O,'[1]LISTA ETIQUETAS'!F:F,"",0)</f>
        <v>0</v>
      </c>
      <c r="S3" s="2">
        <f>_xlfn.XLOOKUP($A3,'[1]LISTA ETIQUETAS'!$O:$O,'[1]LISTA ETIQUETAS'!H:H,"",0)</f>
        <v>1</v>
      </c>
      <c r="T3" s="9">
        <f>SUM(O3:S3)</f>
        <v>1</v>
      </c>
      <c r="U3" s="10" t="s">
        <v>628</v>
      </c>
      <c r="V3" t="str" cm="1">
        <f t="array" aca="1" ref="V3" ca="1">IFERROR(_xludf.TEXTJOIN(" | ",TRUE,FILTRAR($A$2:$A$596, $L$2:$L$596 = L3)),"")</f>
        <v/>
      </c>
    </row>
    <row r="4" spans="1:28" x14ac:dyDescent="0.25">
      <c r="A4" s="5">
        <v>379989</v>
      </c>
      <c r="B4" t="str">
        <f>IFERROR((VLOOKUP(A4,'[1]LISTA ETIQUETAS'!O:X,3,0)),"PRODUTO SEM ESTOQUE")</f>
        <v>EST MODULO S/BRACO LAGO (D4116)</v>
      </c>
      <c r="C4" s="10" t="s">
        <v>13</v>
      </c>
      <c r="D4" s="10" t="s">
        <v>14</v>
      </c>
      <c r="E4" s="11">
        <f>IF(VLOOKUP(A4,'[1]LISTA ETIQUETAS'!O:W,4,0)="",(VLOOKUP(A4,'[1]LISTA ETIQUETAS'!O:W,6,0)),(VLOOKUP(A4,'[1]LISTA ETIQUETAS'!O:W,4,0)))</f>
        <v>3.6</v>
      </c>
      <c r="F4" s="11">
        <f>IF(VLOOKUP(A4,'[1]LISTA ETIQUETAS'!O:W,5,0)="",(VLOOKUP(A4,'[1]LISTA ETIQUETAS'!O:W,7,0)),(VLOOKUP(A4,'[1]LISTA ETIQUETAS'!O:W,5,0)))</f>
        <v>1.6</v>
      </c>
      <c r="G4" s="11">
        <f>IFERROR((VLOOKUP(A4,'[1]LISTA ETIQUETAS'!O:X,8,0)),"")</f>
        <v>0.85</v>
      </c>
      <c r="H4" s="11">
        <f>IFERROR((VLOOKUP(A4,'[1]LISTA ETIQUETAS'!O:X,9,0)),"")</f>
        <v>0</v>
      </c>
      <c r="I4" s="12">
        <f>IFERROR((VLOOKUP(A4,'[1]LISTA ETIQUETAS'!O:Y,11,0)),"")</f>
        <v>42437.590000000004</v>
      </c>
      <c r="J4" s="6">
        <v>0</v>
      </c>
      <c r="K4" s="12">
        <f t="shared" si="0"/>
        <v>42437.590000000004</v>
      </c>
      <c r="L4" s="7" t="str">
        <f>IF(VLOOKUP(A4,'[1]LISTA ETIQUETAS'!O:AB,14,0)="","",(VLOOKUP(A4,'[1]LISTA ETIQUETAS'!O:AB,14,0)))</f>
        <v>JE</v>
      </c>
      <c r="M4" s="8" t="s">
        <v>15</v>
      </c>
      <c r="N4" s="9" t="str">
        <f t="shared" ref="N4:N67" si="1">IF(M4="",A4,M4)</f>
        <v>379991 | 379989 | 379986</v>
      </c>
      <c r="O4" s="2">
        <f>_xlfn.XLOOKUP($A4,'[1]LISTA ETIQUETAS'!$O:$O,'[1]LISTA ETIQUETAS'!C:C,"",0)</f>
        <v>0</v>
      </c>
      <c r="P4" s="2">
        <f>_xlfn.XLOOKUP($A4,'[1]LISTA ETIQUETAS'!$O:$O,'[1]LISTA ETIQUETAS'!D:D,"",0)</f>
        <v>0</v>
      </c>
      <c r="Q4" s="2">
        <f>_xlfn.XLOOKUP($A4,'[1]LISTA ETIQUETAS'!$O:$O,'[1]LISTA ETIQUETAS'!E:E,"",0)</f>
        <v>0</v>
      </c>
      <c r="R4" s="2">
        <f>_xlfn.XLOOKUP($A4,'[1]LISTA ETIQUETAS'!$O:$O,'[1]LISTA ETIQUETAS'!F:F,"",0)</f>
        <v>0</v>
      </c>
      <c r="S4" s="2">
        <f>_xlfn.XLOOKUP($A4,'[1]LISTA ETIQUETAS'!$O:$O,'[1]LISTA ETIQUETAS'!H:H,"",0)</f>
        <v>1</v>
      </c>
      <c r="T4" s="9">
        <f t="shared" ref="T4:T67" si="2">SUM(O4:S4)</f>
        <v>1</v>
      </c>
      <c r="U4" s="10" t="s">
        <v>628</v>
      </c>
      <c r="V4" t="str" cm="1">
        <f t="array" aca="1" ref="V4" ca="1">IFERROR(_xludf.TEXTJOIN(" | ",TRUE,FILTRAR($A$2:$A$596,$L$2:$L$596=L4)),"")</f>
        <v/>
      </c>
    </row>
    <row r="5" spans="1:28" x14ac:dyDescent="0.25">
      <c r="A5" s="5">
        <v>379986</v>
      </c>
      <c r="B5" t="str">
        <f>IFERROR((VLOOKUP(A5,'[1]LISTA ETIQUETAS'!O:X,3,0)),"PRODUTO SEM ESTOQUE")</f>
        <v>EST MODULO CHAISE BRACO ESQ LAGO (D4116)</v>
      </c>
      <c r="C5" s="10" t="s">
        <v>13</v>
      </c>
      <c r="D5" s="10" t="s">
        <v>14</v>
      </c>
      <c r="E5" s="11">
        <f>IF(VLOOKUP(A5,'[1]LISTA ETIQUETAS'!O:W,4,0)="",(VLOOKUP(A5,'[1]LISTA ETIQUETAS'!O:W,6,0)),(VLOOKUP(A5,'[1]LISTA ETIQUETAS'!O:W,4,0)))</f>
        <v>3.6</v>
      </c>
      <c r="F5" s="11">
        <f>IF(VLOOKUP(A5,'[1]LISTA ETIQUETAS'!O:W,5,0)="",(VLOOKUP(A5,'[1]LISTA ETIQUETAS'!O:W,7,0)),(VLOOKUP(A5,'[1]LISTA ETIQUETAS'!O:W,5,0)))</f>
        <v>1.6</v>
      </c>
      <c r="G5" s="11">
        <f>IFERROR((VLOOKUP(A5,'[1]LISTA ETIQUETAS'!O:X,8,0)),"")</f>
        <v>0.85</v>
      </c>
      <c r="H5" s="11">
        <f>IFERROR((VLOOKUP(A5,'[1]LISTA ETIQUETAS'!O:X,9,0)),"")</f>
        <v>0</v>
      </c>
      <c r="I5" s="12">
        <f>IFERROR((VLOOKUP(A5,'[1]LISTA ETIQUETAS'!O:Y,11,0)),"")</f>
        <v>42437.590000000004</v>
      </c>
      <c r="J5" s="6">
        <v>0</v>
      </c>
      <c r="K5" s="12">
        <f t="shared" si="0"/>
        <v>42437.590000000004</v>
      </c>
      <c r="L5" s="7" t="str">
        <f>IF(VLOOKUP(A5,'[1]LISTA ETIQUETAS'!O:AB,14,0)="","",(VLOOKUP(A5,'[1]LISTA ETIQUETAS'!O:AB,14,0)))</f>
        <v>JE</v>
      </c>
      <c r="M5" s="8" t="s">
        <v>15</v>
      </c>
      <c r="N5" s="9" t="str">
        <f t="shared" si="1"/>
        <v>379991 | 379989 | 379986</v>
      </c>
      <c r="O5" s="2">
        <f>_xlfn.XLOOKUP($A5,'[1]LISTA ETIQUETAS'!$O:$O,'[1]LISTA ETIQUETAS'!C:C,"",0)</f>
        <v>0</v>
      </c>
      <c r="P5" s="2">
        <f>_xlfn.XLOOKUP($A5,'[1]LISTA ETIQUETAS'!$O:$O,'[1]LISTA ETIQUETAS'!D:D,"",0)</f>
        <v>0</v>
      </c>
      <c r="Q5" s="2">
        <f>_xlfn.XLOOKUP($A5,'[1]LISTA ETIQUETAS'!$O:$O,'[1]LISTA ETIQUETAS'!E:E,"",0)</f>
        <v>0</v>
      </c>
      <c r="R5" s="2">
        <f>_xlfn.XLOOKUP($A5,'[1]LISTA ETIQUETAS'!$O:$O,'[1]LISTA ETIQUETAS'!F:F,"",0)</f>
        <v>0</v>
      </c>
      <c r="S5" s="2">
        <f>_xlfn.XLOOKUP($A5,'[1]LISTA ETIQUETAS'!$O:$O,'[1]LISTA ETIQUETAS'!H:H,"",0)</f>
        <v>1</v>
      </c>
      <c r="T5" s="9">
        <f t="shared" si="2"/>
        <v>1</v>
      </c>
      <c r="U5" s="10" t="s">
        <v>628</v>
      </c>
      <c r="V5" t="str" cm="1">
        <f t="array" aca="1" ref="V5" ca="1">IFERROR(_xludf.TEXTJOIN(" | ",TRUE,FILTRAR($A$2:$A$596,$L$2:$L$596=L5)),"")</f>
        <v/>
      </c>
    </row>
    <row r="6" spans="1:28" x14ac:dyDescent="0.25">
      <c r="A6" s="5">
        <v>379923</v>
      </c>
      <c r="B6" t="str">
        <f>IFERROR((VLOOKUP(A6,'[1]LISTA ETIQUETAS'!O:X,3,0)),"PRODUTO SEM ESTOQUE")</f>
        <v>EST MODULO S/BRACO C/AVANCO DIR SONETTO (G7138)</v>
      </c>
      <c r="C6" s="10" t="s">
        <v>13</v>
      </c>
      <c r="D6" s="10" t="s">
        <v>16</v>
      </c>
      <c r="E6" s="11">
        <f>IF(VLOOKUP(A6,'[1]LISTA ETIQUETAS'!O:W,4,0)="",(VLOOKUP(A6,'[1]LISTA ETIQUETAS'!O:W,6,0)),(VLOOKUP(A6,'[1]LISTA ETIQUETAS'!O:W,4,0)))</f>
        <v>2.1</v>
      </c>
      <c r="F6" s="11">
        <f>IF(VLOOKUP(A6,'[1]LISTA ETIQUETAS'!O:W,5,0)="",(VLOOKUP(A6,'[1]LISTA ETIQUETAS'!O:W,7,0)),(VLOOKUP(A6,'[1]LISTA ETIQUETAS'!O:W,5,0)))</f>
        <v>1.35</v>
      </c>
      <c r="G6" s="11">
        <f>IFERROR((VLOOKUP(A6,'[1]LISTA ETIQUETAS'!O:X,8,0)),"")</f>
        <v>0.8</v>
      </c>
      <c r="H6" s="11">
        <f>IFERROR((VLOOKUP(A6,'[1]LISTA ETIQUETAS'!O:X,9,0)),"")</f>
        <v>0</v>
      </c>
      <c r="I6" s="12">
        <f>IFERROR((VLOOKUP(A6,'[1]LISTA ETIQUETAS'!O:Y,11,0)),"")</f>
        <v>76597.600000000006</v>
      </c>
      <c r="J6" s="6">
        <v>0</v>
      </c>
      <c r="K6" s="12">
        <f t="shared" si="0"/>
        <v>76597.600000000006</v>
      </c>
      <c r="L6" s="7" t="str">
        <f>IF(VLOOKUP(A6,'[1]LISTA ETIQUETAS'!O:AB,14,0)="","",(VLOOKUP(A6,'[1]LISTA ETIQUETAS'!O:AB,14,0)))</f>
        <v>JB</v>
      </c>
      <c r="M6" s="8" t="s">
        <v>17</v>
      </c>
      <c r="N6" s="9" t="str">
        <f t="shared" si="1"/>
        <v>379923 | 379922</v>
      </c>
      <c r="O6" s="2">
        <f>_xlfn.XLOOKUP($A6,'[1]LISTA ETIQUETAS'!$O:$O,'[1]LISTA ETIQUETAS'!C:C,"",0)</f>
        <v>0</v>
      </c>
      <c r="P6" s="2">
        <f>_xlfn.XLOOKUP($A6,'[1]LISTA ETIQUETAS'!$O:$O,'[1]LISTA ETIQUETAS'!D:D,"",0)</f>
        <v>0</v>
      </c>
      <c r="Q6" s="2">
        <f>_xlfn.XLOOKUP($A6,'[1]LISTA ETIQUETAS'!$O:$O,'[1]LISTA ETIQUETAS'!E:E,"",0)</f>
        <v>0</v>
      </c>
      <c r="R6" s="2">
        <f>_xlfn.XLOOKUP($A6,'[1]LISTA ETIQUETAS'!$O:$O,'[1]LISTA ETIQUETAS'!F:F,"",0)</f>
        <v>0</v>
      </c>
      <c r="S6" s="2">
        <f>_xlfn.XLOOKUP($A6,'[1]LISTA ETIQUETAS'!$O:$O,'[1]LISTA ETIQUETAS'!H:H,"",0)</f>
        <v>1</v>
      </c>
      <c r="T6" s="9">
        <f t="shared" si="2"/>
        <v>1</v>
      </c>
      <c r="U6" s="10" t="s">
        <v>628</v>
      </c>
      <c r="V6" t="str" cm="1">
        <f t="array" aca="1" ref="V6" ca="1">IFERROR(_xludf.TEXTJOIN(" | ",TRUE,FILTRAR($A$2:$A$596,$L$2:$L$596=L6)),"")</f>
        <v/>
      </c>
    </row>
    <row r="7" spans="1:28" x14ac:dyDescent="0.25">
      <c r="A7" s="5">
        <v>379922</v>
      </c>
      <c r="B7" t="str">
        <f>IFERROR((VLOOKUP(A7,'[1]LISTA ETIQUETAS'!O:X,3,0)),"PRODUTO SEM ESTOQUE")</f>
        <v>EST MODULO CHAISE BRACO ESQ SONETTO (G7138)</v>
      </c>
      <c r="C7" s="10" t="s">
        <v>13</v>
      </c>
      <c r="D7" s="10" t="s">
        <v>16</v>
      </c>
      <c r="E7" s="11">
        <f>IF(VLOOKUP(A7,'[1]LISTA ETIQUETAS'!O:W,4,0)="",(VLOOKUP(A7,'[1]LISTA ETIQUETAS'!O:W,6,0)),(VLOOKUP(A7,'[1]LISTA ETIQUETAS'!O:W,4,0)))</f>
        <v>1.75</v>
      </c>
      <c r="F7" s="11">
        <f>IF(VLOOKUP(A7,'[1]LISTA ETIQUETAS'!O:W,5,0)="",(VLOOKUP(A7,'[1]LISTA ETIQUETAS'!O:W,7,0)),(VLOOKUP(A7,'[1]LISTA ETIQUETAS'!O:W,5,0)))</f>
        <v>1.75</v>
      </c>
      <c r="G7" s="11">
        <f>IFERROR((VLOOKUP(A7,'[1]LISTA ETIQUETAS'!O:X,8,0)),"")</f>
        <v>0.8</v>
      </c>
      <c r="H7" s="11">
        <f>IFERROR((VLOOKUP(A7,'[1]LISTA ETIQUETAS'!O:X,9,0)),"")</f>
        <v>0</v>
      </c>
      <c r="I7" s="12">
        <f>IFERROR((VLOOKUP(A7,'[1]LISTA ETIQUETAS'!O:Y,11,0)),"")</f>
        <v>76597.600000000006</v>
      </c>
      <c r="J7" s="6">
        <v>0</v>
      </c>
      <c r="K7" s="12">
        <f t="shared" si="0"/>
        <v>76597.600000000006</v>
      </c>
      <c r="L7" s="7" t="str">
        <f>IF(VLOOKUP(A7,'[1]LISTA ETIQUETAS'!O:AB,14,0)="","",(VLOOKUP(A7,'[1]LISTA ETIQUETAS'!O:AB,14,0)))</f>
        <v>JB</v>
      </c>
      <c r="M7" s="8" t="s">
        <v>17</v>
      </c>
      <c r="N7" s="9" t="str">
        <f t="shared" si="1"/>
        <v>379923 | 379922</v>
      </c>
      <c r="O7" s="2">
        <f>_xlfn.XLOOKUP($A7,'[1]LISTA ETIQUETAS'!$O:$O,'[1]LISTA ETIQUETAS'!C:C,"",0)</f>
        <v>0</v>
      </c>
      <c r="P7" s="2">
        <f>_xlfn.XLOOKUP($A7,'[1]LISTA ETIQUETAS'!$O:$O,'[1]LISTA ETIQUETAS'!D:D,"",0)</f>
        <v>0</v>
      </c>
      <c r="Q7" s="2">
        <f>_xlfn.XLOOKUP($A7,'[1]LISTA ETIQUETAS'!$O:$O,'[1]LISTA ETIQUETAS'!E:E,"",0)</f>
        <v>0</v>
      </c>
      <c r="R7" s="2">
        <f>_xlfn.XLOOKUP($A7,'[1]LISTA ETIQUETAS'!$O:$O,'[1]LISTA ETIQUETAS'!F:F,"",0)</f>
        <v>0</v>
      </c>
      <c r="S7" s="2">
        <f>_xlfn.XLOOKUP($A7,'[1]LISTA ETIQUETAS'!$O:$O,'[1]LISTA ETIQUETAS'!H:H,"",0)</f>
        <v>1</v>
      </c>
      <c r="T7" s="9">
        <f t="shared" si="2"/>
        <v>1</v>
      </c>
      <c r="U7" s="10" t="s">
        <v>628</v>
      </c>
      <c r="V7" t="str" cm="1">
        <f t="array" aca="1" ref="V7" ca="1">IFERROR(_xludf.TEXTJOIN(" | ",TRUE,FILTRAR($A$2:$A$596,$L$2:$L$596=L7)),"")</f>
        <v/>
      </c>
    </row>
    <row r="8" spans="1:28" x14ac:dyDescent="0.25">
      <c r="A8" s="5">
        <v>379920</v>
      </c>
      <c r="B8" t="str">
        <f>IFERROR((VLOOKUP(A8,'[1]LISTA ETIQUETAS'!O:X,3,0)),"PRODUTO SEM ESTOQUE")</f>
        <v>EST MODULO BRACO ESQ SONETTO SMALL (D4236)</v>
      </c>
      <c r="C8" s="10" t="s">
        <v>13</v>
      </c>
      <c r="D8" s="10" t="s">
        <v>18</v>
      </c>
      <c r="E8" s="11">
        <f>IF(VLOOKUP(A8,'[1]LISTA ETIQUETAS'!O:W,4,0)="",(VLOOKUP(A8,'[1]LISTA ETIQUETAS'!O:W,6,0)),(VLOOKUP(A8,'[1]LISTA ETIQUETAS'!O:W,4,0)))</f>
        <v>1.35</v>
      </c>
      <c r="F8" s="11">
        <f>IF(VLOOKUP(A8,'[1]LISTA ETIQUETAS'!O:W,5,0)="",(VLOOKUP(A8,'[1]LISTA ETIQUETAS'!O:W,7,0)),(VLOOKUP(A8,'[1]LISTA ETIQUETAS'!O:W,5,0)))</f>
        <v>1.1499999999999999</v>
      </c>
      <c r="G8" s="11">
        <f>IFERROR((VLOOKUP(A8,'[1]LISTA ETIQUETAS'!O:X,8,0)),"")</f>
        <v>0.8</v>
      </c>
      <c r="H8" s="11">
        <f>IFERROR((VLOOKUP(A8,'[1]LISTA ETIQUETAS'!O:X,9,0)),"")</f>
        <v>0</v>
      </c>
      <c r="I8" s="12">
        <f>IFERROR((VLOOKUP(A8,'[1]LISTA ETIQUETAS'!O:Y,11,0)),"")</f>
        <v>69265.460000000006</v>
      </c>
      <c r="J8" s="6">
        <v>0</v>
      </c>
      <c r="K8" s="12">
        <f t="shared" si="0"/>
        <v>69265.460000000006</v>
      </c>
      <c r="L8" s="7" t="str">
        <f>IF(VLOOKUP(A8,'[1]LISTA ETIQUETAS'!O:AB,14,0)="","",(VLOOKUP(A8,'[1]LISTA ETIQUETAS'!O:AB,14,0)))</f>
        <v>JÁ</v>
      </c>
      <c r="M8" s="8" t="s">
        <v>19</v>
      </c>
      <c r="N8" s="9" t="str">
        <f t="shared" si="1"/>
        <v>379920 | 379917 | 379915</v>
      </c>
      <c r="O8" s="2">
        <f>_xlfn.XLOOKUP($A8,'[1]LISTA ETIQUETAS'!$O:$O,'[1]LISTA ETIQUETAS'!C:C,"",0)</f>
        <v>0</v>
      </c>
      <c r="P8" s="2">
        <f>_xlfn.XLOOKUP($A8,'[1]LISTA ETIQUETAS'!$O:$O,'[1]LISTA ETIQUETAS'!D:D,"",0)</f>
        <v>0</v>
      </c>
      <c r="Q8" s="2">
        <f>_xlfn.XLOOKUP($A8,'[1]LISTA ETIQUETAS'!$O:$O,'[1]LISTA ETIQUETAS'!E:E,"",0)</f>
        <v>0</v>
      </c>
      <c r="R8" s="2">
        <f>_xlfn.XLOOKUP($A8,'[1]LISTA ETIQUETAS'!$O:$O,'[1]LISTA ETIQUETAS'!F:F,"",0)</f>
        <v>0</v>
      </c>
      <c r="S8" s="2">
        <f>_xlfn.XLOOKUP($A8,'[1]LISTA ETIQUETAS'!$O:$O,'[1]LISTA ETIQUETAS'!H:H,"",0)</f>
        <v>1</v>
      </c>
      <c r="T8" s="9">
        <f t="shared" si="2"/>
        <v>1</v>
      </c>
      <c r="U8" s="10" t="s">
        <v>628</v>
      </c>
      <c r="V8" t="str" cm="1">
        <f t="array" aca="1" ref="V8" ca="1">IFERROR(_xludf.TEXTJOIN(" | ",TRUE,FILTRAR($A$2:$A$596,$L$2:$L$596=L8)),"")</f>
        <v/>
      </c>
    </row>
    <row r="9" spans="1:28" x14ac:dyDescent="0.25">
      <c r="A9" s="5">
        <v>379917</v>
      </c>
      <c r="B9" t="str">
        <f>IFERROR((VLOOKUP(A9,'[1]LISTA ETIQUETAS'!O:X,3,0)),"PRODUTO SEM ESTOQUE")</f>
        <v>EST MODULO S/BRACO SONETTO SMALL (D4236)</v>
      </c>
      <c r="C9" s="10" t="s">
        <v>13</v>
      </c>
      <c r="D9" s="10" t="s">
        <v>18</v>
      </c>
      <c r="E9" s="11">
        <f>IF(VLOOKUP(A9,'[1]LISTA ETIQUETAS'!O:W,4,0)="",(VLOOKUP(A9,'[1]LISTA ETIQUETAS'!O:W,6,0)),(VLOOKUP(A9,'[1]LISTA ETIQUETAS'!O:W,4,0)))</f>
        <v>1.1000000000000001</v>
      </c>
      <c r="F9" s="11">
        <f>IF(VLOOKUP(A9,'[1]LISTA ETIQUETAS'!O:W,5,0)="",(VLOOKUP(A9,'[1]LISTA ETIQUETAS'!O:W,7,0)),(VLOOKUP(A9,'[1]LISTA ETIQUETAS'!O:W,5,0)))</f>
        <v>1.1499999999999999</v>
      </c>
      <c r="G9" s="11">
        <f>IFERROR((VLOOKUP(A9,'[1]LISTA ETIQUETAS'!O:X,8,0)),"")</f>
        <v>0.8</v>
      </c>
      <c r="H9" s="11">
        <f>IFERROR((VLOOKUP(A9,'[1]LISTA ETIQUETAS'!O:X,9,0)),"")</f>
        <v>0</v>
      </c>
      <c r="I9" s="12">
        <f>IFERROR((VLOOKUP(A9,'[1]LISTA ETIQUETAS'!O:Y,11,0)),"")</f>
        <v>69265.460000000006</v>
      </c>
      <c r="J9" s="6">
        <v>0</v>
      </c>
      <c r="K9" s="12">
        <f t="shared" si="0"/>
        <v>69265.460000000006</v>
      </c>
      <c r="L9" s="7" t="str">
        <f>IF(VLOOKUP(A9,'[1]LISTA ETIQUETAS'!O:AB,14,0)="","",(VLOOKUP(A9,'[1]LISTA ETIQUETAS'!O:AB,14,0)))</f>
        <v>JÁ</v>
      </c>
      <c r="M9" s="8" t="s">
        <v>19</v>
      </c>
      <c r="N9" s="9" t="str">
        <f t="shared" si="1"/>
        <v>379920 | 379917 | 379915</v>
      </c>
      <c r="O9" s="2">
        <f>_xlfn.XLOOKUP($A9,'[1]LISTA ETIQUETAS'!$O:$O,'[1]LISTA ETIQUETAS'!C:C,"",0)</f>
        <v>0</v>
      </c>
      <c r="P9" s="2">
        <f>_xlfn.XLOOKUP($A9,'[1]LISTA ETIQUETAS'!$O:$O,'[1]LISTA ETIQUETAS'!D:D,"",0)</f>
        <v>0</v>
      </c>
      <c r="Q9" s="2">
        <f>_xlfn.XLOOKUP($A9,'[1]LISTA ETIQUETAS'!$O:$O,'[1]LISTA ETIQUETAS'!E:E,"",0)</f>
        <v>0</v>
      </c>
      <c r="R9" s="2">
        <f>_xlfn.XLOOKUP($A9,'[1]LISTA ETIQUETAS'!$O:$O,'[1]LISTA ETIQUETAS'!F:F,"",0)</f>
        <v>0</v>
      </c>
      <c r="S9" s="2">
        <f>_xlfn.XLOOKUP($A9,'[1]LISTA ETIQUETAS'!$O:$O,'[1]LISTA ETIQUETAS'!H:H,"",0)</f>
        <v>1</v>
      </c>
      <c r="T9" s="9">
        <f t="shared" si="2"/>
        <v>1</v>
      </c>
      <c r="U9" s="10" t="s">
        <v>628</v>
      </c>
      <c r="V9" t="str" cm="1">
        <f t="array" aca="1" ref="V9" ca="1">IFERROR(_xludf.TEXTJOIN(" | ",TRUE,FILTRAR($A$2:$A$596,$L$2:$L$596=L9)),"")</f>
        <v/>
      </c>
    </row>
    <row r="10" spans="1:28" x14ac:dyDescent="0.25">
      <c r="A10" s="5">
        <v>379915</v>
      </c>
      <c r="B10" t="str">
        <f>IFERROR((VLOOKUP(A10,'[1]LISTA ETIQUETAS'!O:X,3,0)),"PRODUTO SEM ESTOQUE")</f>
        <v>EST MODULO CHAISE BRACO DIREITO SONETTO SMALL (D4236)</v>
      </c>
      <c r="C10" s="10" t="s">
        <v>13</v>
      </c>
      <c r="D10" s="10" t="s">
        <v>18</v>
      </c>
      <c r="E10" s="11">
        <f>IF(VLOOKUP(A10,'[1]LISTA ETIQUETAS'!O:W,4,0)="",(VLOOKUP(A10,'[1]LISTA ETIQUETAS'!O:W,6,0)),(VLOOKUP(A10,'[1]LISTA ETIQUETAS'!O:W,4,0)))</f>
        <v>1.35</v>
      </c>
      <c r="F10" s="11">
        <f>IF(VLOOKUP(A10,'[1]LISTA ETIQUETAS'!O:W,5,0)="",(VLOOKUP(A10,'[1]LISTA ETIQUETAS'!O:W,7,0)),(VLOOKUP(A10,'[1]LISTA ETIQUETAS'!O:W,5,0)))</f>
        <v>1.55</v>
      </c>
      <c r="G10" s="11">
        <f>IFERROR((VLOOKUP(A10,'[1]LISTA ETIQUETAS'!O:X,8,0)),"")</f>
        <v>0.8</v>
      </c>
      <c r="H10" s="11">
        <f>IFERROR((VLOOKUP(A10,'[1]LISTA ETIQUETAS'!O:X,9,0)),"")</f>
        <v>0</v>
      </c>
      <c r="I10" s="12">
        <f>IFERROR((VLOOKUP(A10,'[1]LISTA ETIQUETAS'!O:Y,11,0)),"")</f>
        <v>69265.460000000006</v>
      </c>
      <c r="J10" s="6">
        <v>0</v>
      </c>
      <c r="K10" s="12">
        <f t="shared" si="0"/>
        <v>69265.460000000006</v>
      </c>
      <c r="L10" s="7" t="str">
        <f>IF(VLOOKUP(A10,'[1]LISTA ETIQUETAS'!O:AB,14,0)="","",(VLOOKUP(A10,'[1]LISTA ETIQUETAS'!O:AB,14,0)))</f>
        <v>JÁ</v>
      </c>
      <c r="M10" s="8" t="s">
        <v>19</v>
      </c>
      <c r="N10" s="9" t="str">
        <f t="shared" si="1"/>
        <v>379920 | 379917 | 379915</v>
      </c>
      <c r="O10" s="2">
        <f>_xlfn.XLOOKUP($A10,'[1]LISTA ETIQUETAS'!$O:$O,'[1]LISTA ETIQUETAS'!C:C,"",0)</f>
        <v>0</v>
      </c>
      <c r="P10" s="2">
        <f>_xlfn.XLOOKUP($A10,'[1]LISTA ETIQUETAS'!$O:$O,'[1]LISTA ETIQUETAS'!D:D,"",0)</f>
        <v>0</v>
      </c>
      <c r="Q10" s="2">
        <f>_xlfn.XLOOKUP($A10,'[1]LISTA ETIQUETAS'!$O:$O,'[1]LISTA ETIQUETAS'!E:E,"",0)</f>
        <v>0</v>
      </c>
      <c r="R10" s="2">
        <f>_xlfn.XLOOKUP($A10,'[1]LISTA ETIQUETAS'!$O:$O,'[1]LISTA ETIQUETAS'!F:F,"",0)</f>
        <v>0</v>
      </c>
      <c r="S10" s="2">
        <f>_xlfn.XLOOKUP($A10,'[1]LISTA ETIQUETAS'!$O:$O,'[1]LISTA ETIQUETAS'!H:H,"",0)</f>
        <v>1</v>
      </c>
      <c r="T10" s="9">
        <f t="shared" si="2"/>
        <v>1</v>
      </c>
      <c r="U10" s="10" t="s">
        <v>628</v>
      </c>
      <c r="V10" t="str" cm="1">
        <f t="array" aca="1" ref="V10" ca="1">IFERROR(_xludf.TEXTJOIN(" | ",TRUE,FILTRAR($A$2:$A$596,$L$2:$L$596=L10)),"")</f>
        <v/>
      </c>
    </row>
    <row r="11" spans="1:28" x14ac:dyDescent="0.25">
      <c r="A11" s="5">
        <v>379927</v>
      </c>
      <c r="B11" t="str">
        <f>IFERROR((VLOOKUP(A11,'[1]LISTA ETIQUETAS'!O:X,3,0)),"PRODUTO SEM ESTOQUE")</f>
        <v>EST MODULO CHAISE BRACO ESQ SONETTO (D4139)</v>
      </c>
      <c r="C11" s="10" t="s">
        <v>13</v>
      </c>
      <c r="D11" s="10" t="s">
        <v>16</v>
      </c>
      <c r="E11" s="11">
        <f>IF(VLOOKUP(A11,'[1]LISTA ETIQUETAS'!O:W,4,0)="",(VLOOKUP(A11,'[1]LISTA ETIQUETAS'!O:W,6,0)),(VLOOKUP(A11,'[1]LISTA ETIQUETAS'!O:W,4,0)))</f>
        <v>1.55</v>
      </c>
      <c r="F11" s="11">
        <f>IF(VLOOKUP(A11,'[1]LISTA ETIQUETAS'!O:W,5,0)="",(VLOOKUP(A11,'[1]LISTA ETIQUETAS'!O:W,7,0)),(VLOOKUP(A11,'[1]LISTA ETIQUETAS'!O:W,5,0)))</f>
        <v>1.75</v>
      </c>
      <c r="G11" s="11">
        <f>IFERROR((VLOOKUP(A11,'[1]LISTA ETIQUETAS'!O:X,8,0)),"")</f>
        <v>0.8</v>
      </c>
      <c r="H11" s="11">
        <f>IFERROR((VLOOKUP(A11,'[1]LISTA ETIQUETAS'!O:X,9,0)),"")</f>
        <v>0</v>
      </c>
      <c r="I11" s="12">
        <f>IFERROR((VLOOKUP(A11,'[1]LISTA ETIQUETAS'!O:Y,11,0)),"")</f>
        <v>63418.7</v>
      </c>
      <c r="J11" s="6">
        <v>0</v>
      </c>
      <c r="K11" s="12">
        <f t="shared" si="0"/>
        <v>63418.7</v>
      </c>
      <c r="L11" s="7" t="str">
        <f>IF(VLOOKUP(A11,'[1]LISTA ETIQUETAS'!O:AB,14,0)="","",(VLOOKUP(A11,'[1]LISTA ETIQUETAS'!O:AB,14,0)))</f>
        <v>IW</v>
      </c>
      <c r="M11" s="8" t="s">
        <v>20</v>
      </c>
      <c r="N11" s="9" t="str">
        <f t="shared" si="1"/>
        <v>379927 | 379925</v>
      </c>
      <c r="O11" s="2">
        <f>_xlfn.XLOOKUP($A11,'[1]LISTA ETIQUETAS'!$O:$O,'[1]LISTA ETIQUETAS'!C:C,"",0)</f>
        <v>0</v>
      </c>
      <c r="P11" s="2">
        <f>_xlfn.XLOOKUP($A11,'[1]LISTA ETIQUETAS'!$O:$O,'[1]LISTA ETIQUETAS'!D:D,"",0)</f>
        <v>0</v>
      </c>
      <c r="Q11" s="2">
        <f>_xlfn.XLOOKUP($A11,'[1]LISTA ETIQUETAS'!$O:$O,'[1]LISTA ETIQUETAS'!E:E,"",0)</f>
        <v>0</v>
      </c>
      <c r="R11" s="2">
        <f>_xlfn.XLOOKUP($A11,'[1]LISTA ETIQUETAS'!$O:$O,'[1]LISTA ETIQUETAS'!F:F,"",0)</f>
        <v>0</v>
      </c>
      <c r="S11" s="2">
        <f>_xlfn.XLOOKUP($A11,'[1]LISTA ETIQUETAS'!$O:$O,'[1]LISTA ETIQUETAS'!H:H,"",0)</f>
        <v>1</v>
      </c>
      <c r="T11" s="9">
        <f t="shared" si="2"/>
        <v>1</v>
      </c>
      <c r="U11" s="10" t="s">
        <v>628</v>
      </c>
      <c r="V11" t="str" cm="1">
        <f t="array" aca="1" ref="V11" ca="1">IFERROR(_xludf.TEXTJOIN(" | ",TRUE,FILTRAR($A$2:$A$596,$L$2:$L$596=L11)),"")</f>
        <v/>
      </c>
    </row>
    <row r="12" spans="1:28" x14ac:dyDescent="0.25">
      <c r="A12" s="5">
        <v>379925</v>
      </c>
      <c r="B12" t="str">
        <f>IFERROR((VLOOKUP(A12,'[1]LISTA ETIQUETAS'!O:X,3,0)),"PRODUTO SEM ESTOQUE")</f>
        <v>EST MODULO CHAISE BRACO DIR SONETTO (D4139)</v>
      </c>
      <c r="C12" s="10" t="s">
        <v>13</v>
      </c>
      <c r="D12" s="10" t="s">
        <v>16</v>
      </c>
      <c r="E12" s="11">
        <f>IF(VLOOKUP(A12,'[1]LISTA ETIQUETAS'!O:W,4,0)="",(VLOOKUP(A12,'[1]LISTA ETIQUETAS'!O:W,6,0)),(VLOOKUP(A12,'[1]LISTA ETIQUETAS'!O:W,4,0)))</f>
        <v>1.55</v>
      </c>
      <c r="F12" s="11">
        <f>IF(VLOOKUP(A12,'[1]LISTA ETIQUETAS'!O:W,5,0)="",(VLOOKUP(A12,'[1]LISTA ETIQUETAS'!O:W,7,0)),(VLOOKUP(A12,'[1]LISTA ETIQUETAS'!O:W,5,0)))</f>
        <v>1.75</v>
      </c>
      <c r="G12" s="11">
        <f>IFERROR((VLOOKUP(A12,'[1]LISTA ETIQUETAS'!O:X,8,0)),"")</f>
        <v>0.8</v>
      </c>
      <c r="H12" s="11">
        <f>IFERROR((VLOOKUP(A12,'[1]LISTA ETIQUETAS'!O:X,9,0)),"")</f>
        <v>0</v>
      </c>
      <c r="I12" s="12">
        <f>IFERROR((VLOOKUP(A12,'[1]LISTA ETIQUETAS'!O:Y,11,0)),"")</f>
        <v>63418.7</v>
      </c>
      <c r="J12" s="6">
        <v>0</v>
      </c>
      <c r="K12" s="12">
        <f t="shared" si="0"/>
        <v>63418.7</v>
      </c>
      <c r="L12" s="7" t="str">
        <f>IF(VLOOKUP(A12,'[1]LISTA ETIQUETAS'!O:AB,14,0)="","",(VLOOKUP(A12,'[1]LISTA ETIQUETAS'!O:AB,14,0)))</f>
        <v>IW</v>
      </c>
      <c r="M12" s="8" t="s">
        <v>20</v>
      </c>
      <c r="N12" s="9" t="str">
        <f t="shared" si="1"/>
        <v>379927 | 379925</v>
      </c>
      <c r="O12" s="2">
        <f>_xlfn.XLOOKUP($A12,'[1]LISTA ETIQUETAS'!$O:$O,'[1]LISTA ETIQUETAS'!C:C,"",0)</f>
        <v>0</v>
      </c>
      <c r="P12" s="2">
        <f>_xlfn.XLOOKUP($A12,'[1]LISTA ETIQUETAS'!$O:$O,'[1]LISTA ETIQUETAS'!D:D,"",0)</f>
        <v>0</v>
      </c>
      <c r="Q12" s="2">
        <f>_xlfn.XLOOKUP($A12,'[1]LISTA ETIQUETAS'!$O:$O,'[1]LISTA ETIQUETAS'!E:E,"",0)</f>
        <v>0</v>
      </c>
      <c r="R12" s="2">
        <f>_xlfn.XLOOKUP($A12,'[1]LISTA ETIQUETAS'!$O:$O,'[1]LISTA ETIQUETAS'!F:F,"",0)</f>
        <v>0</v>
      </c>
      <c r="S12" s="2">
        <f>_xlfn.XLOOKUP($A12,'[1]LISTA ETIQUETAS'!$O:$O,'[1]LISTA ETIQUETAS'!H:H,"",0)</f>
        <v>1</v>
      </c>
      <c r="T12" s="9">
        <f t="shared" si="2"/>
        <v>1</v>
      </c>
      <c r="U12" s="10" t="s">
        <v>628</v>
      </c>
      <c r="V12" t="str" cm="1">
        <f t="array" aca="1" ref="V12" ca="1">IFERROR(_xludf.TEXTJOIN(" | ",TRUE,FILTRAR($A$2:$A$596,$L$2:$L$596=L12)),"")</f>
        <v/>
      </c>
    </row>
    <row r="13" spans="1:28" x14ac:dyDescent="0.25">
      <c r="A13" s="5">
        <v>380411</v>
      </c>
      <c r="B13" t="str">
        <f>IFERROR((VLOOKUP(A13,'[1]LISTA ETIQUETAS'!O:X,3,0)),"PRODUTO SEM ESTOQUE")</f>
        <v>EST TAMPO MONDRIAN (PEDRA 1) (BRANCO PARANA LEVIGADO)</v>
      </c>
      <c r="C13" s="10" t="s">
        <v>21</v>
      </c>
      <c r="D13" s="10" t="s">
        <v>22</v>
      </c>
      <c r="E13" s="11">
        <f>IF(VLOOKUP(A13,'[1]LISTA ETIQUETAS'!O:W,4,0)="",(VLOOKUP(A13,'[1]LISTA ETIQUETAS'!O:W,6,0)),(VLOOKUP(A13,'[1]LISTA ETIQUETAS'!O:W,4,0)))</f>
        <v>1.47</v>
      </c>
      <c r="F13" s="11">
        <f>IF(VLOOKUP(A13,'[1]LISTA ETIQUETAS'!O:W,5,0)="",(VLOOKUP(A13,'[1]LISTA ETIQUETAS'!O:W,7,0)),(VLOOKUP(A13,'[1]LISTA ETIQUETAS'!O:W,5,0)))</f>
        <v>0.42</v>
      </c>
      <c r="G13" s="11">
        <f>IFERROR((VLOOKUP(A13,'[1]LISTA ETIQUETAS'!O:X,8,0)),"")</f>
        <v>0.02</v>
      </c>
      <c r="H13" s="11">
        <f>IFERROR((VLOOKUP(A13,'[1]LISTA ETIQUETAS'!O:X,9,0)),"")</f>
        <v>0</v>
      </c>
      <c r="I13" s="12">
        <f>IFERROR((VLOOKUP(A13,'[1]LISTA ETIQUETAS'!O:Y,11,0)),"")</f>
        <v>23418.53</v>
      </c>
      <c r="J13" s="6">
        <v>0</v>
      </c>
      <c r="K13" s="12">
        <f t="shared" si="0"/>
        <v>23418.53</v>
      </c>
      <c r="L13" s="7" t="str">
        <f>IF(VLOOKUP(A13,'[1]LISTA ETIQUETAS'!O:AB,14,0)="","",(VLOOKUP(A13,'[1]LISTA ETIQUETAS'!O:AB,14,0)))</f>
        <v>IS</v>
      </c>
      <c r="M13" s="8" t="s">
        <v>23</v>
      </c>
      <c r="N13" s="9" t="str">
        <f t="shared" si="1"/>
        <v>380411 | 379868</v>
      </c>
      <c r="O13" s="2">
        <f>_xlfn.XLOOKUP($A13,'[1]LISTA ETIQUETAS'!$O:$O,'[1]LISTA ETIQUETAS'!C:C,"",0)</f>
        <v>0</v>
      </c>
      <c r="P13" s="2">
        <f>_xlfn.XLOOKUP($A13,'[1]LISTA ETIQUETAS'!$O:$O,'[1]LISTA ETIQUETAS'!D:D,"",0)</f>
        <v>0</v>
      </c>
      <c r="Q13" s="2">
        <f>_xlfn.XLOOKUP($A13,'[1]LISTA ETIQUETAS'!$O:$O,'[1]LISTA ETIQUETAS'!E:E,"",0)</f>
        <v>0</v>
      </c>
      <c r="R13" s="2">
        <f>_xlfn.XLOOKUP($A13,'[1]LISTA ETIQUETAS'!$O:$O,'[1]LISTA ETIQUETAS'!F:F,"",0)</f>
        <v>0</v>
      </c>
      <c r="S13" s="2">
        <f>_xlfn.XLOOKUP($A13,'[1]LISTA ETIQUETAS'!$O:$O,'[1]LISTA ETIQUETAS'!H:H,"",0)</f>
        <v>1</v>
      </c>
      <c r="T13" s="9">
        <f t="shared" si="2"/>
        <v>1</v>
      </c>
      <c r="U13" s="10" t="s">
        <v>628</v>
      </c>
      <c r="V13" t="str" cm="1">
        <f t="array" aca="1" ref="V13" ca="1">IFERROR(_xludf.TEXTJOIN(" | ",TRUE,FILTRAR($A$2:$A$596,$L$2:$L$596=L13)),"")</f>
        <v/>
      </c>
    </row>
    <row r="14" spans="1:28" x14ac:dyDescent="0.25">
      <c r="A14" s="5">
        <v>379889</v>
      </c>
      <c r="B14" t="str">
        <f>IFERROR((VLOOKUP(A14,'[1]LISTA ETIQUETAS'!O:X,3,0)),"PRODUTO SEM ESTOQUE")</f>
        <v>EST CHAISE B/ESQ MONDRIAN (ESTOF) (C1 CREME/CARV) (TC 6649)</v>
      </c>
      <c r="C14" s="10" t="s">
        <v>24</v>
      </c>
      <c r="D14" s="10" t="s">
        <v>25</v>
      </c>
      <c r="E14" s="11">
        <f>IF(VLOOKUP(A14,'[1]LISTA ETIQUETAS'!O:W,4,0)="",(VLOOKUP(A14,'[1]LISTA ETIQUETAS'!O:W,6,0)),(VLOOKUP(A14,'[1]LISTA ETIQUETAS'!O:W,4,0)))</f>
        <v>1.04</v>
      </c>
      <c r="F14" s="11">
        <f>IF(VLOOKUP(A14,'[1]LISTA ETIQUETAS'!O:W,5,0)="",(VLOOKUP(A14,'[1]LISTA ETIQUETAS'!O:W,7,0)),(VLOOKUP(A14,'[1]LISTA ETIQUETAS'!O:W,5,0)))</f>
        <v>1.7</v>
      </c>
      <c r="G14" s="11">
        <f>IFERROR((VLOOKUP(A14,'[1]LISTA ETIQUETAS'!O:X,8,0)),"")</f>
        <v>0.71</v>
      </c>
      <c r="H14" s="11">
        <f>IFERROR((VLOOKUP(A14,'[1]LISTA ETIQUETAS'!O:X,9,0)),"")</f>
        <v>0</v>
      </c>
      <c r="I14" s="12">
        <f>IFERROR((VLOOKUP(A14,'[1]LISTA ETIQUETAS'!O:Y,11,0)),"")</f>
        <v>123866.81</v>
      </c>
      <c r="J14" s="6">
        <v>0</v>
      </c>
      <c r="K14" s="12">
        <f t="shared" si="0"/>
        <v>123866.81</v>
      </c>
      <c r="L14" s="7" t="str">
        <f>IF(VLOOKUP(A14,'[1]LISTA ETIQUETAS'!O:AB,14,0)="","",(VLOOKUP(A14,'[1]LISTA ETIQUETAS'!O:AB,14,0)))</f>
        <v>IO</v>
      </c>
      <c r="M14" s="8" t="s">
        <v>26</v>
      </c>
      <c r="N14" s="9" t="str">
        <f t="shared" si="1"/>
        <v>379891 | 379890 | 379889</v>
      </c>
      <c r="O14" s="2">
        <f>_xlfn.XLOOKUP($A14,'[1]LISTA ETIQUETAS'!$O:$O,'[1]LISTA ETIQUETAS'!C:C,"",0)</f>
        <v>0</v>
      </c>
      <c r="P14" s="2">
        <f>_xlfn.XLOOKUP($A14,'[1]LISTA ETIQUETAS'!$O:$O,'[1]LISTA ETIQUETAS'!D:D,"",0)</f>
        <v>0</v>
      </c>
      <c r="Q14" s="2">
        <f>_xlfn.XLOOKUP($A14,'[1]LISTA ETIQUETAS'!$O:$O,'[1]LISTA ETIQUETAS'!E:E,"",0)</f>
        <v>0</v>
      </c>
      <c r="R14" s="2">
        <f>_xlfn.XLOOKUP($A14,'[1]LISTA ETIQUETAS'!$O:$O,'[1]LISTA ETIQUETAS'!F:F,"",0)</f>
        <v>0</v>
      </c>
      <c r="S14" s="2">
        <f>_xlfn.XLOOKUP($A14,'[1]LISTA ETIQUETAS'!$O:$O,'[1]LISTA ETIQUETAS'!H:H,"",0)</f>
        <v>1</v>
      </c>
      <c r="T14" s="9">
        <f t="shared" si="2"/>
        <v>1</v>
      </c>
      <c r="U14" s="10" t="s">
        <v>628</v>
      </c>
      <c r="V14" t="str" cm="1">
        <f t="array" aca="1" ref="V14" ca="1">IFERROR(_xludf.TEXTJOIN(" | ",TRUE,FILTRAR($A$2:$A$596,$L$2:$L$596=L14)),"")</f>
        <v/>
      </c>
    </row>
    <row r="15" spans="1:28" x14ac:dyDescent="0.25">
      <c r="A15" s="5">
        <v>379891</v>
      </c>
      <c r="B15" t="str">
        <f>IFERROR((VLOOKUP(A15,'[1]LISTA ETIQUETAS'!O:X,3,0)),"PRODUTO SEM ESTOQUE")</f>
        <v>EST MODULO B/DIR MONDRIAN (ESTOF) (C1 CREME/CARV BR) TC 6649</v>
      </c>
      <c r="C15" s="10" t="s">
        <v>13</v>
      </c>
      <c r="D15" s="10" t="s">
        <v>27</v>
      </c>
      <c r="E15" s="11">
        <f>IF(VLOOKUP(A15,'[1]LISTA ETIQUETAS'!O:W,4,0)="",(VLOOKUP(A15,'[1]LISTA ETIQUETAS'!O:W,6,0)),(VLOOKUP(A15,'[1]LISTA ETIQUETAS'!O:W,4,0)))</f>
        <v>1.94</v>
      </c>
      <c r="F15" s="11">
        <f>IF(VLOOKUP(A15,'[1]LISTA ETIQUETAS'!O:W,5,0)="",(VLOOKUP(A15,'[1]LISTA ETIQUETAS'!O:W,7,0)),(VLOOKUP(A15,'[1]LISTA ETIQUETAS'!O:W,5,0)))</f>
        <v>1.05</v>
      </c>
      <c r="G15" s="11">
        <f>IFERROR((VLOOKUP(A15,'[1]LISTA ETIQUETAS'!O:X,8,0)),"")</f>
        <v>0.71</v>
      </c>
      <c r="H15" s="11">
        <f>IFERROR((VLOOKUP(A15,'[1]LISTA ETIQUETAS'!O:X,9,0)),"")</f>
        <v>0</v>
      </c>
      <c r="I15" s="12">
        <f>IFERROR((VLOOKUP(A15,'[1]LISTA ETIQUETAS'!O:Y,11,0)),"")</f>
        <v>123866.81</v>
      </c>
      <c r="J15" s="6">
        <v>0</v>
      </c>
      <c r="K15" s="12">
        <f t="shared" si="0"/>
        <v>123866.81</v>
      </c>
      <c r="L15" s="7" t="str">
        <f>IF(VLOOKUP(A15,'[1]LISTA ETIQUETAS'!O:AB,14,0)="","",(VLOOKUP(A15,'[1]LISTA ETIQUETAS'!O:AB,14,0)))</f>
        <v>IO</v>
      </c>
      <c r="M15" s="8" t="s">
        <v>26</v>
      </c>
      <c r="N15" s="9" t="str">
        <f t="shared" si="1"/>
        <v>379891 | 379890 | 379889</v>
      </c>
      <c r="O15" s="2">
        <f>_xlfn.XLOOKUP($A15,'[1]LISTA ETIQUETAS'!$O:$O,'[1]LISTA ETIQUETAS'!C:C,"",0)</f>
        <v>0</v>
      </c>
      <c r="P15" s="2">
        <f>_xlfn.XLOOKUP($A15,'[1]LISTA ETIQUETAS'!$O:$O,'[1]LISTA ETIQUETAS'!D:D,"",0)</f>
        <v>0</v>
      </c>
      <c r="Q15" s="2">
        <f>_xlfn.XLOOKUP($A15,'[1]LISTA ETIQUETAS'!$O:$O,'[1]LISTA ETIQUETAS'!E:E,"",0)</f>
        <v>0</v>
      </c>
      <c r="R15" s="2">
        <f>_xlfn.XLOOKUP($A15,'[1]LISTA ETIQUETAS'!$O:$O,'[1]LISTA ETIQUETAS'!F:F,"",0)</f>
        <v>0</v>
      </c>
      <c r="S15" s="2">
        <f>_xlfn.XLOOKUP($A15,'[1]LISTA ETIQUETAS'!$O:$O,'[1]LISTA ETIQUETAS'!H:H,"",0)</f>
        <v>1</v>
      </c>
      <c r="T15" s="9">
        <f t="shared" si="2"/>
        <v>1</v>
      </c>
      <c r="U15" s="10" t="s">
        <v>628</v>
      </c>
      <c r="V15" t="str" cm="1">
        <f t="array" aca="1" ref="V15" ca="1">IFERROR(_xludf.TEXTJOIN(" | ",TRUE,FILTRAR($A$2:$A$596,$L$2:$L$596=L15)),"")</f>
        <v/>
      </c>
    </row>
    <row r="16" spans="1:28" x14ac:dyDescent="0.25">
      <c r="A16" s="5">
        <v>379890</v>
      </c>
      <c r="B16" t="str">
        <f>IFERROR((VLOOKUP(A16,'[1]LISTA ETIQUETAS'!O:X,3,0)),"PRODUTO SEM ESTOQUE")</f>
        <v>EST MODULO S/BRACO MONDRIAN (C1 CREME/CARV) (TC 6649)</v>
      </c>
      <c r="C16" s="10" t="s">
        <v>13</v>
      </c>
      <c r="D16" s="10" t="s">
        <v>27</v>
      </c>
      <c r="E16" s="11">
        <f>IF(VLOOKUP(A16,'[1]LISTA ETIQUETAS'!O:W,4,0)="",(VLOOKUP(A16,'[1]LISTA ETIQUETAS'!O:W,6,0)),(VLOOKUP(A16,'[1]LISTA ETIQUETAS'!O:W,4,0)))</f>
        <v>0.9</v>
      </c>
      <c r="F16" s="11">
        <f>IF(VLOOKUP(A16,'[1]LISTA ETIQUETAS'!O:W,5,0)="",(VLOOKUP(A16,'[1]LISTA ETIQUETAS'!O:W,7,0)),(VLOOKUP(A16,'[1]LISTA ETIQUETAS'!O:W,5,0)))</f>
        <v>0.7</v>
      </c>
      <c r="G16" s="11">
        <f>IFERROR((VLOOKUP(A16,'[1]LISTA ETIQUETAS'!O:X,8,0)),"")</f>
        <v>0.71</v>
      </c>
      <c r="H16" s="11">
        <f>IFERROR((VLOOKUP(A16,'[1]LISTA ETIQUETAS'!O:X,9,0)),"")</f>
        <v>0</v>
      </c>
      <c r="I16" s="12">
        <f>IFERROR((VLOOKUP(A16,'[1]LISTA ETIQUETAS'!O:Y,11,0)),"")</f>
        <v>123866.81</v>
      </c>
      <c r="J16" s="6">
        <v>0</v>
      </c>
      <c r="K16" s="12">
        <f t="shared" si="0"/>
        <v>123866.81</v>
      </c>
      <c r="L16" s="7" t="str">
        <f>IF(VLOOKUP(A16,'[1]LISTA ETIQUETAS'!O:AB,14,0)="","",(VLOOKUP(A16,'[1]LISTA ETIQUETAS'!O:AB,14,0)))</f>
        <v>IO</v>
      </c>
      <c r="M16" s="8" t="s">
        <v>26</v>
      </c>
      <c r="N16" s="9" t="str">
        <f t="shared" si="1"/>
        <v>379891 | 379890 | 379889</v>
      </c>
      <c r="O16" s="2">
        <f>_xlfn.XLOOKUP($A16,'[1]LISTA ETIQUETAS'!$O:$O,'[1]LISTA ETIQUETAS'!C:C,"",0)</f>
        <v>0</v>
      </c>
      <c r="P16" s="2">
        <f>_xlfn.XLOOKUP($A16,'[1]LISTA ETIQUETAS'!$O:$O,'[1]LISTA ETIQUETAS'!D:D,"",0)</f>
        <v>0</v>
      </c>
      <c r="Q16" s="2">
        <f>_xlfn.XLOOKUP($A16,'[1]LISTA ETIQUETAS'!$O:$O,'[1]LISTA ETIQUETAS'!E:E,"",0)</f>
        <v>0</v>
      </c>
      <c r="R16" s="2">
        <f>_xlfn.XLOOKUP($A16,'[1]LISTA ETIQUETAS'!$O:$O,'[1]LISTA ETIQUETAS'!F:F,"",0)</f>
        <v>0</v>
      </c>
      <c r="S16" s="2">
        <f>_xlfn.XLOOKUP($A16,'[1]LISTA ETIQUETAS'!$O:$O,'[1]LISTA ETIQUETAS'!H:H,"",0)</f>
        <v>1</v>
      </c>
      <c r="T16" s="9">
        <f t="shared" si="2"/>
        <v>1</v>
      </c>
      <c r="U16" s="10" t="s">
        <v>628</v>
      </c>
      <c r="V16" t="str" cm="1">
        <f t="array" aca="1" ref="V16" ca="1">IFERROR(_xludf.TEXTJOIN(" | ",TRUE,FILTRAR($A$2:$A$596,$L$2:$L$596=L16)),"")</f>
        <v/>
      </c>
    </row>
    <row r="17" spans="1:22" x14ac:dyDescent="0.25">
      <c r="A17" s="5">
        <v>379996</v>
      </c>
      <c r="B17" t="str">
        <f>IFERROR((VLOOKUP(A17,'[1]LISTA ETIQUETAS'!O:X,3,0)),"PRODUTO SEM ESTOQUE")</f>
        <v>EST ACESSORIO DE MESA DIXON METAL/COURO CAMEL</v>
      </c>
      <c r="C17" s="10" t="s">
        <v>13</v>
      </c>
      <c r="D17" s="10" t="s">
        <v>28</v>
      </c>
      <c r="E17" s="11">
        <f>IF(VLOOKUP(A17,'[1]LISTA ETIQUETAS'!O:W,4,0)="",(VLOOKUP(A17,'[1]LISTA ETIQUETAS'!O:W,6,0)),(VLOOKUP(A17,'[1]LISTA ETIQUETAS'!O:W,4,0)))</f>
        <v>0</v>
      </c>
      <c r="F17" s="11">
        <f>IF(VLOOKUP(A17,'[1]LISTA ETIQUETAS'!O:W,5,0)="",(VLOOKUP(A17,'[1]LISTA ETIQUETAS'!O:W,7,0)),(VLOOKUP(A17,'[1]LISTA ETIQUETAS'!O:W,5,0)))</f>
        <v>0</v>
      </c>
      <c r="G17" s="11">
        <f>IFERROR((VLOOKUP(A17,'[1]LISTA ETIQUETAS'!O:X,8,0)),"")</f>
        <v>0</v>
      </c>
      <c r="H17" s="11">
        <f>IFERROR((VLOOKUP(A17,'[1]LISTA ETIQUETAS'!O:X,9,0)),"")</f>
        <v>0</v>
      </c>
      <c r="I17" s="12">
        <f>IFERROR((VLOOKUP(A17,'[1]LISTA ETIQUETAS'!O:Y,11,0)),"")</f>
        <v>58146.820000000007</v>
      </c>
      <c r="J17" s="6">
        <v>0</v>
      </c>
      <c r="K17" s="12">
        <f t="shared" si="0"/>
        <v>58146.820000000007</v>
      </c>
      <c r="L17" s="7" t="str">
        <f>IF(VLOOKUP(A17,'[1]LISTA ETIQUETAS'!O:AB,14,0)="","",(VLOOKUP(A17,'[1]LISTA ETIQUETAS'!O:AB,14,0)))</f>
        <v>IM</v>
      </c>
      <c r="M17" s="8" t="s">
        <v>29</v>
      </c>
      <c r="N17" s="9" t="str">
        <f t="shared" si="1"/>
        <v>379996 | 379652 | 379651 | 379650</v>
      </c>
      <c r="O17" s="2">
        <f>_xlfn.XLOOKUP($A17,'[1]LISTA ETIQUETAS'!$O:$O,'[1]LISTA ETIQUETAS'!C:C,"",0)</f>
        <v>0</v>
      </c>
      <c r="P17" s="2">
        <f>_xlfn.XLOOKUP($A17,'[1]LISTA ETIQUETAS'!$O:$O,'[1]LISTA ETIQUETAS'!D:D,"",0)</f>
        <v>0</v>
      </c>
      <c r="Q17" s="2">
        <f>_xlfn.XLOOKUP($A17,'[1]LISTA ETIQUETAS'!$O:$O,'[1]LISTA ETIQUETAS'!E:E,"",0)</f>
        <v>0</v>
      </c>
      <c r="R17" s="2">
        <f>_xlfn.XLOOKUP($A17,'[1]LISTA ETIQUETAS'!$O:$O,'[1]LISTA ETIQUETAS'!F:F,"",0)</f>
        <v>0</v>
      </c>
      <c r="S17" s="2">
        <f>_xlfn.XLOOKUP($A17,'[1]LISTA ETIQUETAS'!$O:$O,'[1]LISTA ETIQUETAS'!H:H,"",0)</f>
        <v>1</v>
      </c>
      <c r="T17" s="9">
        <f t="shared" si="2"/>
        <v>1</v>
      </c>
      <c r="U17" s="10" t="s">
        <v>628</v>
      </c>
      <c r="V17" t="str" cm="1">
        <f t="array" aca="1" ref="V17" ca="1">IFERROR(_xludf.TEXTJOIN(" | ",TRUE,FILTRAR($A$2:$A$596,$L$2:$L$596=L17)),"")</f>
        <v/>
      </c>
    </row>
    <row r="18" spans="1:22" x14ac:dyDescent="0.25">
      <c r="A18" s="5">
        <v>379652</v>
      </c>
      <c r="B18" t="str">
        <f>IFERROR((VLOOKUP(A18,'[1]LISTA ETIQUETAS'!O:X,3,0)),"PRODUTO SEM ESTOQUE")</f>
        <v>EST MODULO PUFF DIXON FX C3005/PES PRETO</v>
      </c>
      <c r="C18" s="10" t="s">
        <v>13</v>
      </c>
      <c r="D18" s="10" t="s">
        <v>30</v>
      </c>
      <c r="E18" s="11">
        <f>IF(VLOOKUP(A18,'[1]LISTA ETIQUETAS'!O:W,4,0)="",(VLOOKUP(A18,'[1]LISTA ETIQUETAS'!O:W,6,0)),(VLOOKUP(A18,'[1]LISTA ETIQUETAS'!O:W,4,0)))</f>
        <v>1.01</v>
      </c>
      <c r="F18" s="11">
        <f>IF(VLOOKUP(A18,'[1]LISTA ETIQUETAS'!O:W,5,0)="",(VLOOKUP(A18,'[1]LISTA ETIQUETAS'!O:W,7,0)),(VLOOKUP(A18,'[1]LISTA ETIQUETAS'!O:W,5,0)))</f>
        <v>1.01</v>
      </c>
      <c r="G18" s="11">
        <f>IFERROR((VLOOKUP(A18,'[1]LISTA ETIQUETAS'!O:X,8,0)),"")</f>
        <v>0.44</v>
      </c>
      <c r="H18" s="11">
        <f>IFERROR((VLOOKUP(A18,'[1]LISTA ETIQUETAS'!O:X,9,0)),"")</f>
        <v>0</v>
      </c>
      <c r="I18" s="12">
        <f>IFERROR((VLOOKUP(A18,'[1]LISTA ETIQUETAS'!O:Y,11,0)),"")</f>
        <v>58146.820000000007</v>
      </c>
      <c r="J18" s="6">
        <v>0</v>
      </c>
      <c r="K18" s="12">
        <f t="shared" si="0"/>
        <v>58146.820000000007</v>
      </c>
      <c r="L18" s="7" t="str">
        <f>IF(VLOOKUP(A18,'[1]LISTA ETIQUETAS'!O:AB,14,0)="","",(VLOOKUP(A18,'[1]LISTA ETIQUETAS'!O:AB,14,0)))</f>
        <v>IM</v>
      </c>
      <c r="M18" s="8" t="s">
        <v>29</v>
      </c>
      <c r="N18" s="9" t="str">
        <f t="shared" si="1"/>
        <v>379996 | 379652 | 379651 | 379650</v>
      </c>
      <c r="O18" s="2">
        <f>_xlfn.XLOOKUP($A18,'[1]LISTA ETIQUETAS'!$O:$O,'[1]LISTA ETIQUETAS'!C:C,"",0)</f>
        <v>0</v>
      </c>
      <c r="P18" s="2">
        <f>_xlfn.XLOOKUP($A18,'[1]LISTA ETIQUETAS'!$O:$O,'[1]LISTA ETIQUETAS'!D:D,"",0)</f>
        <v>0</v>
      </c>
      <c r="Q18" s="2">
        <f>_xlfn.XLOOKUP($A18,'[1]LISTA ETIQUETAS'!$O:$O,'[1]LISTA ETIQUETAS'!E:E,"",0)</f>
        <v>0</v>
      </c>
      <c r="R18" s="2">
        <f>_xlfn.XLOOKUP($A18,'[1]LISTA ETIQUETAS'!$O:$O,'[1]LISTA ETIQUETAS'!F:F,"",0)</f>
        <v>0</v>
      </c>
      <c r="S18" s="2">
        <f>_xlfn.XLOOKUP($A18,'[1]LISTA ETIQUETAS'!$O:$O,'[1]LISTA ETIQUETAS'!H:H,"",0)</f>
        <v>1</v>
      </c>
      <c r="T18" s="9">
        <f t="shared" si="2"/>
        <v>1</v>
      </c>
      <c r="U18" s="10" t="s">
        <v>628</v>
      </c>
      <c r="V18" t="str" cm="1">
        <f t="array" aca="1" ref="V18" ca="1">IFERROR(_xludf.TEXTJOIN(" | ",TRUE,FILTRAR($A$2:$A$596,$L$2:$L$596=L18)),"")</f>
        <v/>
      </c>
    </row>
    <row r="19" spans="1:22" x14ac:dyDescent="0.25">
      <c r="A19" s="5">
        <v>379651</v>
      </c>
      <c r="B19" t="str">
        <f>IFERROR((VLOOKUP(A19,'[1]LISTA ETIQUETAS'!O:X,3,0)),"PRODUTO SEM ESTOQUE")</f>
        <v>EST MODULO S/B C/AVANCO BASE DIR DIXON FX C3005/PES PRETO</v>
      </c>
      <c r="C19" s="10" t="s">
        <v>13</v>
      </c>
      <c r="D19" s="10" t="s">
        <v>30</v>
      </c>
      <c r="E19" s="11">
        <f>IF(VLOOKUP(A19,'[1]LISTA ETIQUETAS'!O:W,4,0)="",(VLOOKUP(A19,'[1]LISTA ETIQUETAS'!O:W,6,0)),(VLOOKUP(A19,'[1]LISTA ETIQUETAS'!O:W,4,0)))</f>
        <v>1.65</v>
      </c>
      <c r="F19" s="11">
        <f>IF(VLOOKUP(A19,'[1]LISTA ETIQUETAS'!O:W,5,0)="",(VLOOKUP(A19,'[1]LISTA ETIQUETAS'!O:W,7,0)),(VLOOKUP(A19,'[1]LISTA ETIQUETAS'!O:W,5,0)))</f>
        <v>1.02</v>
      </c>
      <c r="G19" s="11">
        <f>IFERROR((VLOOKUP(A19,'[1]LISTA ETIQUETAS'!O:X,8,0)),"")</f>
        <v>0.8</v>
      </c>
      <c r="H19" s="11">
        <f>IFERROR((VLOOKUP(A19,'[1]LISTA ETIQUETAS'!O:X,9,0)),"")</f>
        <v>0</v>
      </c>
      <c r="I19" s="12">
        <f>IFERROR((VLOOKUP(A19,'[1]LISTA ETIQUETAS'!O:Y,11,0)),"")</f>
        <v>58146.820000000007</v>
      </c>
      <c r="J19" s="6">
        <v>0</v>
      </c>
      <c r="K19" s="12">
        <f t="shared" si="0"/>
        <v>58146.820000000007</v>
      </c>
      <c r="L19" s="7" t="str">
        <f>IF(VLOOKUP(A19,'[1]LISTA ETIQUETAS'!O:AB,14,0)="","",(VLOOKUP(A19,'[1]LISTA ETIQUETAS'!O:AB,14,0)))</f>
        <v>IM</v>
      </c>
      <c r="M19" s="8" t="s">
        <v>29</v>
      </c>
      <c r="N19" s="9" t="str">
        <f t="shared" si="1"/>
        <v>379996 | 379652 | 379651 | 379650</v>
      </c>
      <c r="O19" s="2">
        <f>_xlfn.XLOOKUP($A19,'[1]LISTA ETIQUETAS'!$O:$O,'[1]LISTA ETIQUETAS'!C:C,"",0)</f>
        <v>0</v>
      </c>
      <c r="P19" s="2">
        <f>_xlfn.XLOOKUP($A19,'[1]LISTA ETIQUETAS'!$O:$O,'[1]LISTA ETIQUETAS'!D:D,"",0)</f>
        <v>0</v>
      </c>
      <c r="Q19" s="2">
        <f>_xlfn.XLOOKUP($A19,'[1]LISTA ETIQUETAS'!$O:$O,'[1]LISTA ETIQUETAS'!E:E,"",0)</f>
        <v>0</v>
      </c>
      <c r="R19" s="2">
        <f>_xlfn.XLOOKUP($A19,'[1]LISTA ETIQUETAS'!$O:$O,'[1]LISTA ETIQUETAS'!F:F,"",0)</f>
        <v>0</v>
      </c>
      <c r="S19" s="2">
        <f>_xlfn.XLOOKUP($A19,'[1]LISTA ETIQUETAS'!$O:$O,'[1]LISTA ETIQUETAS'!H:H,"",0)</f>
        <v>1</v>
      </c>
      <c r="T19" s="9">
        <f t="shared" si="2"/>
        <v>1</v>
      </c>
      <c r="U19" s="10" t="s">
        <v>628</v>
      </c>
      <c r="V19" t="str" cm="1">
        <f t="array" aca="1" ref="V19" ca="1">IFERROR(_xludf.TEXTJOIN(" | ",TRUE,FILTRAR($A$2:$A$596,$L$2:$L$596=L19)),"")</f>
        <v/>
      </c>
    </row>
    <row r="20" spans="1:22" x14ac:dyDescent="0.25">
      <c r="A20" s="5">
        <v>379650</v>
      </c>
      <c r="B20" t="str">
        <f>IFERROR((VLOOKUP(A20,'[1]LISTA ETIQUETAS'!O:X,3,0)),"PRODUTO SEM ESTOQUE")</f>
        <v>EST MODULO BRACO ESQ DIXON FX C3005/PES PRETO</v>
      </c>
      <c r="C20" s="10" t="s">
        <v>13</v>
      </c>
      <c r="D20" s="10" t="s">
        <v>30</v>
      </c>
      <c r="E20" s="11">
        <f>IF(VLOOKUP(A20,'[1]LISTA ETIQUETAS'!O:W,4,0)="",(VLOOKUP(A20,'[1]LISTA ETIQUETAS'!O:W,6,0)),(VLOOKUP(A20,'[1]LISTA ETIQUETAS'!O:W,4,0)))</f>
        <v>2.75</v>
      </c>
      <c r="F20" s="11">
        <f>IF(VLOOKUP(A20,'[1]LISTA ETIQUETAS'!O:W,5,0)="",(VLOOKUP(A20,'[1]LISTA ETIQUETAS'!O:W,7,0)),(VLOOKUP(A20,'[1]LISTA ETIQUETAS'!O:W,5,0)))</f>
        <v>1.02</v>
      </c>
      <c r="G20" s="11">
        <f>IFERROR((VLOOKUP(A20,'[1]LISTA ETIQUETAS'!O:X,8,0)),"")</f>
        <v>0.8</v>
      </c>
      <c r="H20" s="11">
        <f>IFERROR((VLOOKUP(A20,'[1]LISTA ETIQUETAS'!O:X,9,0)),"")</f>
        <v>0</v>
      </c>
      <c r="I20" s="12">
        <f>IFERROR((VLOOKUP(A20,'[1]LISTA ETIQUETAS'!O:Y,11,0)),"")</f>
        <v>58146.820000000007</v>
      </c>
      <c r="J20" s="6">
        <v>0</v>
      </c>
      <c r="K20" s="12">
        <f t="shared" si="0"/>
        <v>58146.820000000007</v>
      </c>
      <c r="L20" s="7" t="str">
        <f>IF(VLOOKUP(A20,'[1]LISTA ETIQUETAS'!O:AB,14,0)="","",(VLOOKUP(A20,'[1]LISTA ETIQUETAS'!O:AB,14,0)))</f>
        <v>IM</v>
      </c>
      <c r="M20" s="8" t="s">
        <v>29</v>
      </c>
      <c r="N20" s="9" t="str">
        <f t="shared" si="1"/>
        <v>379996 | 379652 | 379651 | 379650</v>
      </c>
      <c r="O20" s="2">
        <f>_xlfn.XLOOKUP($A20,'[1]LISTA ETIQUETAS'!$O:$O,'[1]LISTA ETIQUETAS'!C:C,"",0)</f>
        <v>0</v>
      </c>
      <c r="P20" s="2">
        <f>_xlfn.XLOOKUP($A20,'[1]LISTA ETIQUETAS'!$O:$O,'[1]LISTA ETIQUETAS'!D:D,"",0)</f>
        <v>0</v>
      </c>
      <c r="Q20" s="2">
        <f>_xlfn.XLOOKUP($A20,'[1]LISTA ETIQUETAS'!$O:$O,'[1]LISTA ETIQUETAS'!E:E,"",0)</f>
        <v>0</v>
      </c>
      <c r="R20" s="2">
        <f>_xlfn.XLOOKUP($A20,'[1]LISTA ETIQUETAS'!$O:$O,'[1]LISTA ETIQUETAS'!F:F,"",0)</f>
        <v>0</v>
      </c>
      <c r="S20" s="2">
        <f>_xlfn.XLOOKUP($A20,'[1]LISTA ETIQUETAS'!$O:$O,'[1]LISTA ETIQUETAS'!H:H,"",0)</f>
        <v>1</v>
      </c>
      <c r="T20" s="9">
        <f t="shared" si="2"/>
        <v>1</v>
      </c>
      <c r="U20" s="10" t="s">
        <v>628</v>
      </c>
    </row>
    <row r="21" spans="1:22" x14ac:dyDescent="0.25">
      <c r="A21" s="5">
        <v>335217</v>
      </c>
      <c r="B21" t="str">
        <f>IFERROR((VLOOKUP(A21,'[1]LISTA ETIQUETAS'!O:X,3,0)),"PRODUTO SEM ESTOQUE")</f>
        <v>EST MODULO CHAISE BRACO ESQ TARANTO TC B2111/VRNZ EBNZ</v>
      </c>
      <c r="C21" s="10" t="s">
        <v>13</v>
      </c>
      <c r="D21" s="10" t="s">
        <v>31</v>
      </c>
      <c r="E21" s="11">
        <f>IF(VLOOKUP(A21,'[1]LISTA ETIQUETAS'!O:W,4,0)="",(VLOOKUP(A21,'[1]LISTA ETIQUETAS'!O:W,6,0)),(VLOOKUP(A21,'[1]LISTA ETIQUETAS'!O:W,4,0)))</f>
        <v>1.2</v>
      </c>
      <c r="F21" s="11">
        <f>IF(VLOOKUP(A21,'[1]LISTA ETIQUETAS'!O:W,5,0)="",(VLOOKUP(A21,'[1]LISTA ETIQUETAS'!O:W,7,0)),(VLOOKUP(A21,'[1]LISTA ETIQUETAS'!O:W,5,0)))</f>
        <v>1.8</v>
      </c>
      <c r="G21" s="11">
        <f>IFERROR((VLOOKUP(A21,'[1]LISTA ETIQUETAS'!O:X,8,0)),"")</f>
        <v>0.95</v>
      </c>
      <c r="H21" s="11">
        <f>IFERROR((VLOOKUP(A21,'[1]LISTA ETIQUETAS'!O:X,9,0)),"")</f>
        <v>0</v>
      </c>
      <c r="I21" s="12">
        <f>IFERROR((VLOOKUP(A21,'[1]LISTA ETIQUETAS'!O:Y,11,0)),"")</f>
        <v>37914.78</v>
      </c>
      <c r="J21" s="6">
        <v>0</v>
      </c>
      <c r="K21" s="12">
        <f t="shared" si="0"/>
        <v>37914.78</v>
      </c>
      <c r="L21" s="7" t="str">
        <f>IF(VLOOKUP(A21,'[1]LISTA ETIQUETAS'!O:AB,14,0)="","",(VLOOKUP(A21,'[1]LISTA ETIQUETAS'!O:AB,14,0)))</f>
        <v>IL</v>
      </c>
      <c r="M21" s="8" t="s">
        <v>32</v>
      </c>
      <c r="N21" s="9" t="str">
        <f t="shared" si="1"/>
        <v>335217 | 335216</v>
      </c>
      <c r="O21" s="2">
        <f>_xlfn.XLOOKUP($A21,'[1]LISTA ETIQUETAS'!$O:$O,'[1]LISTA ETIQUETAS'!C:C,"",0)</f>
        <v>0</v>
      </c>
      <c r="P21" s="2">
        <f>_xlfn.XLOOKUP($A21,'[1]LISTA ETIQUETAS'!$O:$O,'[1]LISTA ETIQUETAS'!D:D,"",0)</f>
        <v>0</v>
      </c>
      <c r="Q21" s="2">
        <f>_xlfn.XLOOKUP($A21,'[1]LISTA ETIQUETAS'!$O:$O,'[1]LISTA ETIQUETAS'!E:E,"",0)</f>
        <v>0</v>
      </c>
      <c r="R21" s="2">
        <f>_xlfn.XLOOKUP($A21,'[1]LISTA ETIQUETAS'!$O:$O,'[1]LISTA ETIQUETAS'!F:F,"",0)</f>
        <v>0</v>
      </c>
      <c r="S21" s="2">
        <f>_xlfn.XLOOKUP($A21,'[1]LISTA ETIQUETAS'!$O:$O,'[1]LISTA ETIQUETAS'!H:H,"",0)</f>
        <v>1</v>
      </c>
      <c r="T21" s="9">
        <f t="shared" si="2"/>
        <v>1</v>
      </c>
      <c r="U21" s="10" t="s">
        <v>628</v>
      </c>
    </row>
    <row r="22" spans="1:22" x14ac:dyDescent="0.25">
      <c r="A22" s="5">
        <v>335216</v>
      </c>
      <c r="B22" t="str">
        <f>IFERROR((VLOOKUP(A22,'[1]LISTA ETIQUETAS'!O:X,3,0)),"PRODUTO SEM ESTOQUE")</f>
        <v>EST MODULO CHAISE BRACO DIR TARANTO TC B2111/VRNZ EBNZ</v>
      </c>
      <c r="C22" s="10" t="s">
        <v>13</v>
      </c>
      <c r="D22" s="10" t="s">
        <v>31</v>
      </c>
      <c r="E22" s="11">
        <f>IF(VLOOKUP(A22,'[1]LISTA ETIQUETAS'!O:W,4,0)="",(VLOOKUP(A22,'[1]LISTA ETIQUETAS'!O:W,6,0)),(VLOOKUP(A22,'[1]LISTA ETIQUETAS'!O:W,4,0)))</f>
        <v>1.2</v>
      </c>
      <c r="F22" s="11">
        <f>IF(VLOOKUP(A22,'[1]LISTA ETIQUETAS'!O:W,5,0)="",(VLOOKUP(A22,'[1]LISTA ETIQUETAS'!O:W,7,0)),(VLOOKUP(A22,'[1]LISTA ETIQUETAS'!O:W,5,0)))</f>
        <v>1.8</v>
      </c>
      <c r="G22" s="11">
        <f>IFERROR((VLOOKUP(A22,'[1]LISTA ETIQUETAS'!O:X,8,0)),"")</f>
        <v>0.95</v>
      </c>
      <c r="H22" s="11">
        <f>IFERROR((VLOOKUP(A22,'[1]LISTA ETIQUETAS'!O:X,9,0)),"")</f>
        <v>0</v>
      </c>
      <c r="I22" s="12">
        <f>IFERROR((VLOOKUP(A22,'[1]LISTA ETIQUETAS'!O:Y,11,0)),"")</f>
        <v>37914.78</v>
      </c>
      <c r="J22" s="6">
        <v>0</v>
      </c>
      <c r="K22" s="12">
        <f t="shared" si="0"/>
        <v>37914.78</v>
      </c>
      <c r="L22" s="7" t="str">
        <f>IF(VLOOKUP(A22,'[1]LISTA ETIQUETAS'!O:AB,14,0)="","",(VLOOKUP(A22,'[1]LISTA ETIQUETAS'!O:AB,14,0)))</f>
        <v>IL</v>
      </c>
      <c r="M22" s="8" t="s">
        <v>32</v>
      </c>
      <c r="N22" s="9" t="str">
        <f t="shared" si="1"/>
        <v>335217 | 335216</v>
      </c>
      <c r="O22" s="2">
        <f>_xlfn.XLOOKUP($A22,'[1]LISTA ETIQUETAS'!$O:$O,'[1]LISTA ETIQUETAS'!C:C,"",0)</f>
        <v>0</v>
      </c>
      <c r="P22" s="2">
        <f>_xlfn.XLOOKUP($A22,'[1]LISTA ETIQUETAS'!$O:$O,'[1]LISTA ETIQUETAS'!D:D,"",0)</f>
        <v>0</v>
      </c>
      <c r="Q22" s="2">
        <f>_xlfn.XLOOKUP($A22,'[1]LISTA ETIQUETAS'!$O:$O,'[1]LISTA ETIQUETAS'!E:E,"",0)</f>
        <v>0</v>
      </c>
      <c r="R22" s="2">
        <f>_xlfn.XLOOKUP($A22,'[1]LISTA ETIQUETAS'!$O:$O,'[1]LISTA ETIQUETAS'!F:F,"",0)</f>
        <v>0</v>
      </c>
      <c r="S22" s="2">
        <f>_xlfn.XLOOKUP($A22,'[1]LISTA ETIQUETAS'!$O:$O,'[1]LISTA ETIQUETAS'!H:H,"",0)</f>
        <v>1</v>
      </c>
      <c r="T22" s="9">
        <f t="shared" si="2"/>
        <v>1</v>
      </c>
      <c r="U22" s="10" t="s">
        <v>628</v>
      </c>
    </row>
    <row r="23" spans="1:22" x14ac:dyDescent="0.25">
      <c r="A23" s="5">
        <v>379799</v>
      </c>
      <c r="B23" t="str">
        <f>IFERROR((VLOOKUP(A23,'[1]LISTA ETIQUETAS'!O:X,3,0)),"PRODUTO SEM ESTOQUE")</f>
        <v>EST TAMPO MONDRIAN (PEDRA 1) (EMERALD GREEN)</v>
      </c>
      <c r="C23" s="10" t="s">
        <v>33</v>
      </c>
      <c r="D23" s="10" t="s">
        <v>22</v>
      </c>
      <c r="E23" s="11">
        <f>IF(VLOOKUP(A23,'[1]LISTA ETIQUETAS'!O:W,4,0)="",(VLOOKUP(A23,'[1]LISTA ETIQUETAS'!O:W,6,0)),(VLOOKUP(A23,'[1]LISTA ETIQUETAS'!O:W,4,0)))</f>
        <v>1.2</v>
      </c>
      <c r="F23" s="11">
        <f>IF(VLOOKUP(A23,'[1]LISTA ETIQUETAS'!O:W,5,0)="",(VLOOKUP(A23,'[1]LISTA ETIQUETAS'!O:W,7,0)),(VLOOKUP(A23,'[1]LISTA ETIQUETAS'!O:W,5,0)))</f>
        <v>0.42</v>
      </c>
      <c r="G23" s="11">
        <f>IFERROR((VLOOKUP(A23,'[1]LISTA ETIQUETAS'!O:X,8,0)),"")</f>
        <v>0.02</v>
      </c>
      <c r="H23" s="11">
        <f>IFERROR((VLOOKUP(A23,'[1]LISTA ETIQUETAS'!O:X,9,0)),"")</f>
        <v>0</v>
      </c>
      <c r="I23" s="12">
        <f>IFERROR((VLOOKUP(A23,'[1]LISTA ETIQUETAS'!O:Y,11,0)),"")</f>
        <v>38590.589999999997</v>
      </c>
      <c r="J23" s="6">
        <v>0</v>
      </c>
      <c r="K23" s="12">
        <f t="shared" si="0"/>
        <v>38590.589999999997</v>
      </c>
      <c r="L23" s="7" t="str">
        <f>IF(VLOOKUP(A23,'[1]LISTA ETIQUETAS'!O:AB,14,0)="","",(VLOOKUP(A23,'[1]LISTA ETIQUETAS'!O:AB,14,0)))</f>
        <v>IB</v>
      </c>
      <c r="M23" s="8" t="s">
        <v>34</v>
      </c>
      <c r="N23" s="9" t="str">
        <f t="shared" si="1"/>
        <v>379799 | 379526</v>
      </c>
      <c r="O23" s="2">
        <f>_xlfn.XLOOKUP($A23,'[1]LISTA ETIQUETAS'!$O:$O,'[1]LISTA ETIQUETAS'!C:C,"",0)</f>
        <v>0</v>
      </c>
      <c r="P23" s="2">
        <f>_xlfn.XLOOKUP($A23,'[1]LISTA ETIQUETAS'!$O:$O,'[1]LISTA ETIQUETAS'!D:D,"",0)</f>
        <v>0</v>
      </c>
      <c r="Q23" s="2">
        <f>_xlfn.XLOOKUP($A23,'[1]LISTA ETIQUETAS'!$O:$O,'[1]LISTA ETIQUETAS'!E:E,"",0)</f>
        <v>0</v>
      </c>
      <c r="R23" s="2">
        <f>_xlfn.XLOOKUP($A23,'[1]LISTA ETIQUETAS'!$O:$O,'[1]LISTA ETIQUETAS'!F:F,"",0)</f>
        <v>0</v>
      </c>
      <c r="S23" s="2">
        <f>_xlfn.XLOOKUP($A23,'[1]LISTA ETIQUETAS'!$O:$O,'[1]LISTA ETIQUETAS'!H:H,"",0)</f>
        <v>1</v>
      </c>
      <c r="T23" s="9">
        <f t="shared" si="2"/>
        <v>1</v>
      </c>
      <c r="U23" s="10" t="s">
        <v>628</v>
      </c>
    </row>
    <row r="24" spans="1:22" x14ac:dyDescent="0.25">
      <c r="A24" s="5">
        <v>379526</v>
      </c>
      <c r="B24" t="str">
        <f>IFERROR((VLOOKUP(A24,'[1]LISTA ETIQUETAS'!O:X,3,0)),"PRODUTO SEM ESTOQUE")</f>
        <v>EST BASE APARADOR MONDRIAN (BAIXO) (C/PORTA) (LAM CARV BR)</v>
      </c>
      <c r="C24" s="10" t="s">
        <v>33</v>
      </c>
      <c r="D24" s="10" t="s">
        <v>35</v>
      </c>
      <c r="E24" s="11">
        <f>IF(VLOOKUP(A24,'[1]LISTA ETIQUETAS'!O:W,4,0)="",(VLOOKUP(A24,'[1]LISTA ETIQUETAS'!O:W,6,0)),(VLOOKUP(A24,'[1]LISTA ETIQUETAS'!O:W,4,0)))</f>
        <v>1.8</v>
      </c>
      <c r="F24" s="11">
        <f>IF(VLOOKUP(A24,'[1]LISTA ETIQUETAS'!O:W,5,0)="",(VLOOKUP(A24,'[1]LISTA ETIQUETAS'!O:W,7,0)),(VLOOKUP(A24,'[1]LISTA ETIQUETAS'!O:W,5,0)))</f>
        <v>0.45</v>
      </c>
      <c r="G24" s="11">
        <f>IFERROR((VLOOKUP(A24,'[1]LISTA ETIQUETAS'!O:X,8,0)),"")</f>
        <v>0.45</v>
      </c>
      <c r="H24" s="11">
        <f>IFERROR((VLOOKUP(A24,'[1]LISTA ETIQUETAS'!O:X,9,0)),"")</f>
        <v>0</v>
      </c>
      <c r="I24" s="12">
        <f>IFERROR((VLOOKUP(A24,'[1]LISTA ETIQUETAS'!O:Y,11,0)),"")</f>
        <v>38590.589999999997</v>
      </c>
      <c r="J24" s="6">
        <v>0</v>
      </c>
      <c r="K24" s="12">
        <f t="shared" si="0"/>
        <v>38590.589999999997</v>
      </c>
      <c r="L24" s="7" t="str">
        <f>IF(VLOOKUP(A24,'[1]LISTA ETIQUETAS'!O:AB,14,0)="","",(VLOOKUP(A24,'[1]LISTA ETIQUETAS'!O:AB,14,0)))</f>
        <v>IB</v>
      </c>
      <c r="M24" s="8" t="s">
        <v>34</v>
      </c>
      <c r="N24" s="9" t="str">
        <f t="shared" si="1"/>
        <v>379799 | 379526</v>
      </c>
      <c r="O24" s="2">
        <f>_xlfn.XLOOKUP($A24,'[1]LISTA ETIQUETAS'!$O:$O,'[1]LISTA ETIQUETAS'!C:C,"",0)</f>
        <v>0</v>
      </c>
      <c r="P24" s="2">
        <f>_xlfn.XLOOKUP($A24,'[1]LISTA ETIQUETAS'!$O:$O,'[1]LISTA ETIQUETAS'!D:D,"",0)</f>
        <v>0</v>
      </c>
      <c r="Q24" s="2">
        <f>_xlfn.XLOOKUP($A24,'[1]LISTA ETIQUETAS'!$O:$O,'[1]LISTA ETIQUETAS'!E:E,"",0)</f>
        <v>0</v>
      </c>
      <c r="R24" s="2">
        <f>_xlfn.XLOOKUP($A24,'[1]LISTA ETIQUETAS'!$O:$O,'[1]LISTA ETIQUETAS'!F:F,"",0)</f>
        <v>0</v>
      </c>
      <c r="S24" s="2">
        <f>_xlfn.XLOOKUP($A24,'[1]LISTA ETIQUETAS'!$O:$O,'[1]LISTA ETIQUETAS'!H:H,"",0)</f>
        <v>1</v>
      </c>
      <c r="T24" s="9">
        <f t="shared" si="2"/>
        <v>1</v>
      </c>
      <c r="U24" s="10" t="s">
        <v>628</v>
      </c>
    </row>
    <row r="25" spans="1:22" x14ac:dyDescent="0.25">
      <c r="A25" s="5">
        <v>300469</v>
      </c>
      <c r="B25" t="str">
        <f>IFERROR((VLOOKUP(A25,'[1]LISTA ETIQUETAS'!O:X,3,0)),"PRODUTO SEM ESTOQUE")</f>
        <v>EST ALMOFADA BRACO PARATY (FX 50041) (BLACK GLOSS)</v>
      </c>
      <c r="C25" s="10" t="s">
        <v>36</v>
      </c>
      <c r="D25" s="10" t="s">
        <v>37</v>
      </c>
      <c r="E25" s="11">
        <f>IF(VLOOKUP(A25,'[1]LISTA ETIQUETAS'!O:W,4,0)="",(VLOOKUP(A25,'[1]LISTA ETIQUETAS'!O:W,6,0)),(VLOOKUP(A25,'[1]LISTA ETIQUETAS'!O:W,4,0)))</f>
        <v>0.52</v>
      </c>
      <c r="F25" s="11">
        <f>IF(VLOOKUP(A25,'[1]LISTA ETIQUETAS'!O:W,5,0)="",(VLOOKUP(A25,'[1]LISTA ETIQUETAS'!O:W,7,0)),(VLOOKUP(A25,'[1]LISTA ETIQUETAS'!O:W,5,0)))</f>
        <v>0.23</v>
      </c>
      <c r="G25" s="11">
        <f>IFERROR((VLOOKUP(A25,'[1]LISTA ETIQUETAS'!O:X,8,0)),"")</f>
        <v>0.14000000000000001</v>
      </c>
      <c r="H25" s="11">
        <f>IFERROR((VLOOKUP(A25,'[1]LISTA ETIQUETAS'!O:X,9,0)),"")</f>
        <v>0</v>
      </c>
      <c r="I25" s="12">
        <f>IFERROR((VLOOKUP(A25,'[1]LISTA ETIQUETAS'!O:Y,11,0)),"")</f>
        <v>86407.75999999998</v>
      </c>
      <c r="J25" s="6">
        <v>0</v>
      </c>
      <c r="K25" s="12">
        <f t="shared" si="0"/>
        <v>86407.75999999998</v>
      </c>
      <c r="L25" s="7" t="str">
        <f>IF(VLOOKUP(A25,'[1]LISTA ETIQUETAS'!O:AB,14,0)="","",(VLOOKUP(A25,'[1]LISTA ETIQUETAS'!O:AB,14,0)))</f>
        <v>I</v>
      </c>
      <c r="M25" s="8" t="s">
        <v>38</v>
      </c>
      <c r="N25" s="9" t="str">
        <f t="shared" si="1"/>
        <v>300472 | 300469 | 300476 | 300471 | 300470 | 300467</v>
      </c>
      <c r="O25" s="2">
        <f>_xlfn.XLOOKUP($A25,'[1]LISTA ETIQUETAS'!$O:$O,'[1]LISTA ETIQUETAS'!C:C,"",0)</f>
        <v>0</v>
      </c>
      <c r="P25" s="2">
        <f>_xlfn.XLOOKUP($A25,'[1]LISTA ETIQUETAS'!$O:$O,'[1]LISTA ETIQUETAS'!D:D,"",0)</f>
        <v>0</v>
      </c>
      <c r="Q25" s="2">
        <f>_xlfn.XLOOKUP($A25,'[1]LISTA ETIQUETAS'!$O:$O,'[1]LISTA ETIQUETAS'!E:E,"",0)</f>
        <v>0</v>
      </c>
      <c r="R25" s="2">
        <f>_xlfn.XLOOKUP($A25,'[1]LISTA ETIQUETAS'!$O:$O,'[1]LISTA ETIQUETAS'!F:F,"",0)</f>
        <v>0</v>
      </c>
      <c r="S25" s="2">
        <f>_xlfn.XLOOKUP($A25,'[1]LISTA ETIQUETAS'!$O:$O,'[1]LISTA ETIQUETAS'!H:H,"",0)</f>
        <v>3</v>
      </c>
      <c r="T25" s="9">
        <f t="shared" si="2"/>
        <v>3</v>
      </c>
      <c r="U25" s="10" t="s">
        <v>628</v>
      </c>
    </row>
    <row r="26" spans="1:22" x14ac:dyDescent="0.25">
      <c r="A26" s="5">
        <v>300470</v>
      </c>
      <c r="B26" t="str">
        <f>IFERROR((VLOOKUP(A26,'[1]LISTA ETIQUETAS'!O:X,3,0)),"PRODUTO SEM ESTOQUE")</f>
        <v>EST ALMOFADA ENCOSTO PARATY (FX 50041)</v>
      </c>
      <c r="C26" s="10" t="s">
        <v>36</v>
      </c>
      <c r="D26" s="10" t="s">
        <v>37</v>
      </c>
      <c r="E26" s="11">
        <f>IF(VLOOKUP(A26,'[1]LISTA ETIQUETAS'!O:W,4,0)="",(VLOOKUP(A26,'[1]LISTA ETIQUETAS'!O:W,6,0)),(VLOOKUP(A26,'[1]LISTA ETIQUETAS'!O:W,4,0)))</f>
        <v>0.65</v>
      </c>
      <c r="F26" s="11">
        <f>IF(VLOOKUP(A26,'[1]LISTA ETIQUETAS'!O:W,5,0)="",(VLOOKUP(A26,'[1]LISTA ETIQUETAS'!O:W,7,0)),(VLOOKUP(A26,'[1]LISTA ETIQUETAS'!O:W,5,0)))</f>
        <v>0.65</v>
      </c>
      <c r="G26" s="11">
        <f>IFERROR((VLOOKUP(A26,'[1]LISTA ETIQUETAS'!O:X,8,0)),"")</f>
        <v>0</v>
      </c>
      <c r="H26" s="11">
        <f>IFERROR((VLOOKUP(A26,'[1]LISTA ETIQUETAS'!O:X,9,0)),"")</f>
        <v>0</v>
      </c>
      <c r="I26" s="12">
        <f>IFERROR((VLOOKUP(A26,'[1]LISTA ETIQUETAS'!O:Y,11,0)),"")</f>
        <v>86407.75999999998</v>
      </c>
      <c r="J26" s="6">
        <v>0</v>
      </c>
      <c r="K26" s="12">
        <f t="shared" si="0"/>
        <v>86407.75999999998</v>
      </c>
      <c r="L26" s="7" t="str">
        <f>IF(VLOOKUP(A26,'[1]LISTA ETIQUETAS'!O:AB,14,0)="","",(VLOOKUP(A26,'[1]LISTA ETIQUETAS'!O:AB,14,0)))</f>
        <v>I</v>
      </c>
      <c r="M26" s="8" t="s">
        <v>38</v>
      </c>
      <c r="N26" s="9" t="str">
        <f t="shared" si="1"/>
        <v>300472 | 300469 | 300476 | 300471 | 300470 | 300467</v>
      </c>
      <c r="O26" s="2">
        <f>_xlfn.XLOOKUP($A26,'[1]LISTA ETIQUETAS'!$O:$O,'[1]LISTA ETIQUETAS'!C:C,"",0)</f>
        <v>0</v>
      </c>
      <c r="P26" s="2">
        <f>_xlfn.XLOOKUP($A26,'[1]LISTA ETIQUETAS'!$O:$O,'[1]LISTA ETIQUETAS'!D:D,"",0)</f>
        <v>0</v>
      </c>
      <c r="Q26" s="2">
        <f>_xlfn.XLOOKUP($A26,'[1]LISTA ETIQUETAS'!$O:$O,'[1]LISTA ETIQUETAS'!E:E,"",0)</f>
        <v>0</v>
      </c>
      <c r="R26" s="2">
        <f>_xlfn.XLOOKUP($A26,'[1]LISTA ETIQUETAS'!$O:$O,'[1]LISTA ETIQUETAS'!F:F,"",0)</f>
        <v>0</v>
      </c>
      <c r="S26" s="2">
        <f>_xlfn.XLOOKUP($A26,'[1]LISTA ETIQUETAS'!$O:$O,'[1]LISTA ETIQUETAS'!H:H,"",0)</f>
        <v>6</v>
      </c>
      <c r="T26" s="9">
        <f t="shared" si="2"/>
        <v>6</v>
      </c>
      <c r="U26" s="10" t="s">
        <v>628</v>
      </c>
    </row>
    <row r="27" spans="1:22" x14ac:dyDescent="0.25">
      <c r="A27" s="5">
        <v>300472</v>
      </c>
      <c r="B27" t="str">
        <f>IFERROR((VLOOKUP(A27,'[1]LISTA ETIQUETAS'!O:X,3,0)),"PRODUTO SEM ESTOQUE")</f>
        <v>EST PUFF PARATY (FX 50041) (BLACK GLOSS)</v>
      </c>
      <c r="C27" s="10" t="s">
        <v>39</v>
      </c>
      <c r="D27" s="10" t="s">
        <v>40</v>
      </c>
      <c r="E27" s="11">
        <f>IF(VLOOKUP(A27,'[1]LISTA ETIQUETAS'!O:W,4,0)="",(VLOOKUP(A27,'[1]LISTA ETIQUETAS'!O:W,6,0)),(VLOOKUP(A27,'[1]LISTA ETIQUETAS'!O:W,4,0)))</f>
        <v>1.77</v>
      </c>
      <c r="F27" s="11">
        <f>IF(VLOOKUP(A27,'[1]LISTA ETIQUETAS'!O:W,5,0)="",(VLOOKUP(A27,'[1]LISTA ETIQUETAS'!O:W,7,0)),(VLOOKUP(A27,'[1]LISTA ETIQUETAS'!O:W,5,0)))</f>
        <v>0.75</v>
      </c>
      <c r="G27" s="11">
        <f>IFERROR((VLOOKUP(A27,'[1]LISTA ETIQUETAS'!O:X,8,0)),"")</f>
        <v>0.4</v>
      </c>
      <c r="H27" s="11">
        <f>IFERROR((VLOOKUP(A27,'[1]LISTA ETIQUETAS'!O:X,9,0)),"")</f>
        <v>0</v>
      </c>
      <c r="I27" s="12">
        <f>IFERROR((VLOOKUP(A27,'[1]LISTA ETIQUETAS'!O:Y,11,0)),"")</f>
        <v>86407.75999999998</v>
      </c>
      <c r="J27" s="6">
        <v>0</v>
      </c>
      <c r="K27" s="12">
        <f t="shared" si="0"/>
        <v>86407.75999999998</v>
      </c>
      <c r="L27" s="7" t="str">
        <f>IF(VLOOKUP(A27,'[1]LISTA ETIQUETAS'!O:AB,14,0)="","",(VLOOKUP(A27,'[1]LISTA ETIQUETAS'!O:AB,14,0)))</f>
        <v>I</v>
      </c>
      <c r="M27" s="8" t="s">
        <v>38</v>
      </c>
      <c r="N27" s="9" t="str">
        <f t="shared" si="1"/>
        <v>300472 | 300469 | 300476 | 300471 | 300470 | 300467</v>
      </c>
      <c r="O27" s="2">
        <f>_xlfn.XLOOKUP($A27,'[1]LISTA ETIQUETAS'!$O:$O,'[1]LISTA ETIQUETAS'!C:C,"",0)</f>
        <v>0</v>
      </c>
      <c r="P27" s="2">
        <f>_xlfn.XLOOKUP($A27,'[1]LISTA ETIQUETAS'!$O:$O,'[1]LISTA ETIQUETAS'!D:D,"",0)</f>
        <v>0</v>
      </c>
      <c r="Q27" s="2">
        <f>_xlfn.XLOOKUP($A27,'[1]LISTA ETIQUETAS'!$O:$O,'[1]LISTA ETIQUETAS'!E:E,"",0)</f>
        <v>0</v>
      </c>
      <c r="R27" s="2">
        <f>_xlfn.XLOOKUP($A27,'[1]LISTA ETIQUETAS'!$O:$O,'[1]LISTA ETIQUETAS'!F:F,"",0)</f>
        <v>0</v>
      </c>
      <c r="S27" s="2">
        <f>_xlfn.XLOOKUP($A27,'[1]LISTA ETIQUETAS'!$O:$O,'[1]LISTA ETIQUETAS'!H:H,"",0)</f>
        <v>1</v>
      </c>
      <c r="T27" s="9">
        <f t="shared" si="2"/>
        <v>1</v>
      </c>
      <c r="U27" s="10" t="s">
        <v>628</v>
      </c>
    </row>
    <row r="28" spans="1:22" x14ac:dyDescent="0.25">
      <c r="A28" s="5">
        <v>300476</v>
      </c>
      <c r="B28" t="str">
        <f>IFERROR((VLOOKUP(A28,'[1]LISTA ETIQUETAS'!O:X,3,0)),"PRODUTO SEM ESTOQUE")</f>
        <v>EST MODULO S/BRACO C/ENCOSTO PARATY (FX 50041) (BLACK GLOSS)</v>
      </c>
      <c r="C28" s="10" t="s">
        <v>13</v>
      </c>
      <c r="D28" s="10" t="s">
        <v>40</v>
      </c>
      <c r="E28" s="11">
        <f>IF(VLOOKUP(A28,'[1]LISTA ETIQUETAS'!O:W,4,0)="",(VLOOKUP(A28,'[1]LISTA ETIQUETAS'!O:W,6,0)),(VLOOKUP(A28,'[1]LISTA ETIQUETAS'!O:W,4,0)))</f>
        <v>1.8</v>
      </c>
      <c r="F28" s="11">
        <f>IF(VLOOKUP(A28,'[1]LISTA ETIQUETAS'!O:W,5,0)="",(VLOOKUP(A28,'[1]LISTA ETIQUETAS'!O:W,7,0)),(VLOOKUP(A28,'[1]LISTA ETIQUETAS'!O:W,5,0)))</f>
        <v>1</v>
      </c>
      <c r="G28" s="11">
        <f>IFERROR((VLOOKUP(A28,'[1]LISTA ETIQUETAS'!O:X,8,0)),"")</f>
        <v>0.77</v>
      </c>
      <c r="H28" s="11">
        <f>IFERROR((VLOOKUP(A28,'[1]LISTA ETIQUETAS'!O:X,9,0)),"")</f>
        <v>0</v>
      </c>
      <c r="I28" s="12">
        <f>IFERROR((VLOOKUP(A28,'[1]LISTA ETIQUETAS'!O:Y,11,0)),"")</f>
        <v>86407.75999999998</v>
      </c>
      <c r="J28" s="6">
        <v>0</v>
      </c>
      <c r="K28" s="12">
        <f t="shared" si="0"/>
        <v>86407.75999999998</v>
      </c>
      <c r="L28" s="7" t="str">
        <f>IF(VLOOKUP(A28,'[1]LISTA ETIQUETAS'!O:AB,14,0)="","",(VLOOKUP(A28,'[1]LISTA ETIQUETAS'!O:AB,14,0)))</f>
        <v>I</v>
      </c>
      <c r="M28" s="8" t="s">
        <v>38</v>
      </c>
      <c r="N28" s="9" t="str">
        <f t="shared" si="1"/>
        <v>300472 | 300469 | 300476 | 300471 | 300470 | 300467</v>
      </c>
      <c r="O28" s="2">
        <f>_xlfn.XLOOKUP($A28,'[1]LISTA ETIQUETAS'!$O:$O,'[1]LISTA ETIQUETAS'!C:C,"",0)</f>
        <v>0</v>
      </c>
      <c r="P28" s="2">
        <f>_xlfn.XLOOKUP($A28,'[1]LISTA ETIQUETAS'!$O:$O,'[1]LISTA ETIQUETAS'!D:D,"",0)</f>
        <v>0</v>
      </c>
      <c r="Q28" s="2">
        <f>_xlfn.XLOOKUP($A28,'[1]LISTA ETIQUETAS'!$O:$O,'[1]LISTA ETIQUETAS'!E:E,"",0)</f>
        <v>0</v>
      </c>
      <c r="R28" s="2">
        <f>_xlfn.XLOOKUP($A28,'[1]LISTA ETIQUETAS'!$O:$O,'[1]LISTA ETIQUETAS'!F:F,"",0)</f>
        <v>0</v>
      </c>
      <c r="S28" s="2">
        <f>_xlfn.XLOOKUP($A28,'[1]LISTA ETIQUETAS'!$O:$O,'[1]LISTA ETIQUETAS'!H:H,"",0)</f>
        <v>1</v>
      </c>
      <c r="T28" s="9">
        <f t="shared" si="2"/>
        <v>1</v>
      </c>
      <c r="U28" s="10" t="s">
        <v>628</v>
      </c>
    </row>
    <row r="29" spans="1:22" x14ac:dyDescent="0.25">
      <c r="A29" s="5">
        <v>300471</v>
      </c>
      <c r="B29" t="str">
        <f>IFERROR((VLOOKUP(A29,'[1]LISTA ETIQUETAS'!O:X,3,0)),"PRODUTO SEM ESTOQUE")</f>
        <v>EST MODULO PUFF PARATY (FX 50041) (BLACK GLOSS)</v>
      </c>
      <c r="C29" s="10" t="s">
        <v>13</v>
      </c>
      <c r="D29" s="10" t="s">
        <v>40</v>
      </c>
      <c r="E29" s="11">
        <f>IF(VLOOKUP(A29,'[1]LISTA ETIQUETAS'!O:W,4,0)="",(VLOOKUP(A29,'[1]LISTA ETIQUETAS'!O:W,6,0)),(VLOOKUP(A29,'[1]LISTA ETIQUETAS'!O:W,4,0)))</f>
        <v>0.9</v>
      </c>
      <c r="F29" s="11">
        <f>IF(VLOOKUP(A29,'[1]LISTA ETIQUETAS'!O:W,5,0)="",(VLOOKUP(A29,'[1]LISTA ETIQUETAS'!O:W,7,0)),(VLOOKUP(A29,'[1]LISTA ETIQUETAS'!O:W,5,0)))</f>
        <v>0.72</v>
      </c>
      <c r="G29" s="11">
        <f>IFERROR((VLOOKUP(A29,'[1]LISTA ETIQUETAS'!O:X,8,0)),"")</f>
        <v>0.4</v>
      </c>
      <c r="H29" s="11">
        <f>IFERROR((VLOOKUP(A29,'[1]LISTA ETIQUETAS'!O:X,9,0)),"")</f>
        <v>0</v>
      </c>
      <c r="I29" s="12">
        <f>IFERROR((VLOOKUP(A29,'[1]LISTA ETIQUETAS'!O:Y,11,0)),"")</f>
        <v>86407.75999999998</v>
      </c>
      <c r="J29" s="6">
        <v>0</v>
      </c>
      <c r="K29" s="12">
        <f t="shared" si="0"/>
        <v>86407.75999999998</v>
      </c>
      <c r="L29" s="7" t="str">
        <f>IF(VLOOKUP(A29,'[1]LISTA ETIQUETAS'!O:AB,14,0)="","",(VLOOKUP(A29,'[1]LISTA ETIQUETAS'!O:AB,14,0)))</f>
        <v>I</v>
      </c>
      <c r="M29" s="8" t="s">
        <v>38</v>
      </c>
      <c r="N29" s="9" t="str">
        <f t="shared" si="1"/>
        <v>300472 | 300469 | 300476 | 300471 | 300470 | 300467</v>
      </c>
      <c r="O29" s="2">
        <f>_xlfn.XLOOKUP($A29,'[1]LISTA ETIQUETAS'!$O:$O,'[1]LISTA ETIQUETAS'!C:C,"",0)</f>
        <v>0</v>
      </c>
      <c r="P29" s="2">
        <f>_xlfn.XLOOKUP($A29,'[1]LISTA ETIQUETAS'!$O:$O,'[1]LISTA ETIQUETAS'!D:D,"",0)</f>
        <v>0</v>
      </c>
      <c r="Q29" s="2">
        <f>_xlfn.XLOOKUP($A29,'[1]LISTA ETIQUETAS'!$O:$O,'[1]LISTA ETIQUETAS'!E:E,"",0)</f>
        <v>0</v>
      </c>
      <c r="R29" s="2">
        <f>_xlfn.XLOOKUP($A29,'[1]LISTA ETIQUETAS'!$O:$O,'[1]LISTA ETIQUETAS'!F:F,"",0)</f>
        <v>0</v>
      </c>
      <c r="S29" s="2">
        <f>_xlfn.XLOOKUP($A29,'[1]LISTA ETIQUETAS'!$O:$O,'[1]LISTA ETIQUETAS'!H:H,"",0)</f>
        <v>3</v>
      </c>
      <c r="T29" s="9">
        <f t="shared" si="2"/>
        <v>3</v>
      </c>
      <c r="U29" s="10" t="s">
        <v>628</v>
      </c>
    </row>
    <row r="30" spans="1:22" x14ac:dyDescent="0.25">
      <c r="A30" s="5">
        <v>300467</v>
      </c>
      <c r="B30" t="str">
        <f>IFERROR((VLOOKUP(A30,'[1]LISTA ETIQUETAS'!O:X,3,0)),"PRODUTO SEM ESTOQUE")</f>
        <v>EST MODULO CHAISE S/BRACO PARATY (FX 50041) (BLACK GLOSS)</v>
      </c>
      <c r="C30" s="10" t="s">
        <v>13</v>
      </c>
      <c r="D30" s="10" t="s">
        <v>40</v>
      </c>
      <c r="E30" s="11">
        <f>IF(VLOOKUP(A30,'[1]LISTA ETIQUETAS'!O:W,4,0)="",(VLOOKUP(A30,'[1]LISTA ETIQUETAS'!O:W,6,0)),(VLOOKUP(A30,'[1]LISTA ETIQUETAS'!O:W,4,0)))</f>
        <v>0.9</v>
      </c>
      <c r="F30" s="11">
        <f>IF(VLOOKUP(A30,'[1]LISTA ETIQUETAS'!O:W,5,0)="",(VLOOKUP(A30,'[1]LISTA ETIQUETAS'!O:W,7,0)),(VLOOKUP(A30,'[1]LISTA ETIQUETAS'!O:W,5,0)))</f>
        <v>1.77</v>
      </c>
      <c r="G30" s="11">
        <f>IFERROR((VLOOKUP(A30,'[1]LISTA ETIQUETAS'!O:X,8,0)),"")</f>
        <v>0.77</v>
      </c>
      <c r="H30" s="11">
        <f>IFERROR((VLOOKUP(A30,'[1]LISTA ETIQUETAS'!O:X,9,0)),"")</f>
        <v>0</v>
      </c>
      <c r="I30" s="12">
        <f>IFERROR((VLOOKUP(A30,'[1]LISTA ETIQUETAS'!O:Y,11,0)),"")</f>
        <v>86407.75999999998</v>
      </c>
      <c r="J30" s="6">
        <v>0</v>
      </c>
      <c r="K30" s="12">
        <f t="shared" si="0"/>
        <v>86407.75999999998</v>
      </c>
      <c r="L30" s="7" t="str">
        <f>IF(VLOOKUP(A30,'[1]LISTA ETIQUETAS'!O:AB,14,0)="","",(VLOOKUP(A30,'[1]LISTA ETIQUETAS'!O:AB,14,0)))</f>
        <v>I</v>
      </c>
      <c r="M30" s="8" t="s">
        <v>38</v>
      </c>
      <c r="N30" s="9" t="str">
        <f t="shared" si="1"/>
        <v>300472 | 300469 | 300476 | 300471 | 300470 | 300467</v>
      </c>
      <c r="O30" s="2">
        <f>_xlfn.XLOOKUP($A30,'[1]LISTA ETIQUETAS'!$O:$O,'[1]LISTA ETIQUETAS'!C:C,"",0)</f>
        <v>0</v>
      </c>
      <c r="P30" s="2">
        <f>_xlfn.XLOOKUP($A30,'[1]LISTA ETIQUETAS'!$O:$O,'[1]LISTA ETIQUETAS'!D:D,"",0)</f>
        <v>0</v>
      </c>
      <c r="Q30" s="2">
        <f>_xlfn.XLOOKUP($A30,'[1]LISTA ETIQUETAS'!$O:$O,'[1]LISTA ETIQUETAS'!E:E,"",0)</f>
        <v>0</v>
      </c>
      <c r="R30" s="2">
        <f>_xlfn.XLOOKUP($A30,'[1]LISTA ETIQUETAS'!$O:$O,'[1]LISTA ETIQUETAS'!F:F,"",0)</f>
        <v>0</v>
      </c>
      <c r="S30" s="2">
        <f>_xlfn.XLOOKUP($A30,'[1]LISTA ETIQUETAS'!$O:$O,'[1]LISTA ETIQUETAS'!H:H,"",0)</f>
        <v>1</v>
      </c>
      <c r="T30" s="9">
        <f t="shared" si="2"/>
        <v>1</v>
      </c>
      <c r="U30" s="10" t="s">
        <v>628</v>
      </c>
    </row>
    <row r="31" spans="1:22" x14ac:dyDescent="0.25">
      <c r="A31" s="5">
        <v>379868</v>
      </c>
      <c r="B31" t="str">
        <f>IFERROR((VLOOKUP(A31,'[1]LISTA ETIQUETAS'!O:X,3,0)),"PRODUTO SEM ESTOQUE")</f>
        <v>EST BASE CENTRO MONDRIAN (LAMINA CARV BRANCO)</v>
      </c>
      <c r="C31" s="10" t="s">
        <v>21</v>
      </c>
      <c r="D31" s="10" t="s">
        <v>41</v>
      </c>
      <c r="E31" s="11">
        <f>IF(VLOOKUP(A31,'[1]LISTA ETIQUETAS'!O:W,4,0)="",(VLOOKUP(A31,'[1]LISTA ETIQUETAS'!O:W,6,0)),(VLOOKUP(A31,'[1]LISTA ETIQUETAS'!O:W,4,0)))</f>
        <v>1.8</v>
      </c>
      <c r="F31" s="11">
        <f>IF(VLOOKUP(A31,'[1]LISTA ETIQUETAS'!O:W,5,0)="",(VLOOKUP(A31,'[1]LISTA ETIQUETAS'!O:W,7,0)),(VLOOKUP(A31,'[1]LISTA ETIQUETAS'!O:W,5,0)))</f>
        <v>0.45</v>
      </c>
      <c r="G31" s="11">
        <f>IFERROR((VLOOKUP(A31,'[1]LISTA ETIQUETAS'!O:X,8,0)),"")</f>
        <v>0.24</v>
      </c>
      <c r="H31" s="11">
        <f>IFERROR((VLOOKUP(A31,'[1]LISTA ETIQUETAS'!O:X,9,0)),"")</f>
        <v>0</v>
      </c>
      <c r="I31" s="12">
        <f>IFERROR((VLOOKUP(A31,'[1]LISTA ETIQUETAS'!O:Y,11,0)),"")</f>
        <v>23418.53</v>
      </c>
      <c r="J31" s="6">
        <v>0</v>
      </c>
      <c r="K31" s="12">
        <f t="shared" si="0"/>
        <v>23418.53</v>
      </c>
      <c r="L31" s="7" t="str">
        <f>IF(VLOOKUP(A31,'[1]LISTA ETIQUETAS'!O:AB,14,0)="","",(VLOOKUP(A31,'[1]LISTA ETIQUETAS'!O:AB,14,0)))</f>
        <v>HX</v>
      </c>
      <c r="M31" s="8" t="s">
        <v>42</v>
      </c>
      <c r="N31" s="9" t="str">
        <f t="shared" si="1"/>
        <v>379870 | 379868</v>
      </c>
      <c r="O31" s="2">
        <f>_xlfn.XLOOKUP($A31,'[1]LISTA ETIQUETAS'!$O:$O,'[1]LISTA ETIQUETAS'!C:C,"",0)</f>
        <v>0</v>
      </c>
      <c r="P31" s="2">
        <f>_xlfn.XLOOKUP($A31,'[1]LISTA ETIQUETAS'!$O:$O,'[1]LISTA ETIQUETAS'!D:D,"",0)</f>
        <v>0</v>
      </c>
      <c r="Q31" s="2">
        <f>_xlfn.XLOOKUP($A31,'[1]LISTA ETIQUETAS'!$O:$O,'[1]LISTA ETIQUETAS'!E:E,"",0)</f>
        <v>0</v>
      </c>
      <c r="R31" s="2">
        <f>_xlfn.XLOOKUP($A31,'[1]LISTA ETIQUETAS'!$O:$O,'[1]LISTA ETIQUETAS'!F:F,"",0)</f>
        <v>0</v>
      </c>
      <c r="S31" s="2">
        <f>_xlfn.XLOOKUP($A31,'[1]LISTA ETIQUETAS'!$O:$O,'[1]LISTA ETIQUETAS'!H:H,"",0)</f>
        <v>4</v>
      </c>
      <c r="T31" s="9">
        <f t="shared" si="2"/>
        <v>4</v>
      </c>
      <c r="U31" s="10" t="s">
        <v>628</v>
      </c>
      <c r="V31" t="str" cm="1">
        <f t="array" aca="1" ref="V31" ca="1">IFERROR(_xludf.TEXTJOIN(" | ",TRUE,FILTRAR($A$2:$A$596,$L$2:$L$596=L31)),"")</f>
        <v/>
      </c>
    </row>
    <row r="32" spans="1:22" x14ac:dyDescent="0.25">
      <c r="A32" s="5">
        <v>379870</v>
      </c>
      <c r="B32" t="str">
        <f>IFERROR((VLOOKUP(A32,'[1]LISTA ETIQUETAS'!O:X,3,0)),"PRODUTO SEM ESTOQUE")</f>
        <v>EST TAMPO MONDRIAN (PEDRA 1) (EMERALD GREEN)</v>
      </c>
      <c r="C32" s="10" t="s">
        <v>21</v>
      </c>
      <c r="D32" s="10" t="s">
        <v>22</v>
      </c>
      <c r="E32" s="11">
        <f>IF(VLOOKUP(A32,'[1]LISTA ETIQUETAS'!O:W,4,0)="",(VLOOKUP(A32,'[1]LISTA ETIQUETAS'!O:W,6,0)),(VLOOKUP(A32,'[1]LISTA ETIQUETAS'!O:W,4,0)))</f>
        <v>1.47</v>
      </c>
      <c r="F32" s="11">
        <f>IF(VLOOKUP(A32,'[1]LISTA ETIQUETAS'!O:W,5,0)="",(VLOOKUP(A32,'[1]LISTA ETIQUETAS'!O:W,7,0)),(VLOOKUP(A32,'[1]LISTA ETIQUETAS'!O:W,5,0)))</f>
        <v>0.42</v>
      </c>
      <c r="G32" s="11">
        <f>IFERROR((VLOOKUP(A32,'[1]LISTA ETIQUETAS'!O:X,8,0)),"")</f>
        <v>0.02</v>
      </c>
      <c r="H32" s="11">
        <f>IFERROR((VLOOKUP(A32,'[1]LISTA ETIQUETAS'!O:X,9,0)),"")</f>
        <v>0</v>
      </c>
      <c r="I32" s="12">
        <f>IFERROR((VLOOKUP(A32,'[1]LISTA ETIQUETAS'!O:Y,11,0)),"")</f>
        <v>23418.53</v>
      </c>
      <c r="J32" s="6">
        <v>0</v>
      </c>
      <c r="K32" s="12">
        <f t="shared" si="0"/>
        <v>23418.53</v>
      </c>
      <c r="L32" s="7" t="str">
        <f>IF(VLOOKUP(A32,'[1]LISTA ETIQUETAS'!O:AB,14,0)="","",(VLOOKUP(A32,'[1]LISTA ETIQUETAS'!O:AB,14,0)))</f>
        <v>HX</v>
      </c>
      <c r="M32" s="8" t="s">
        <v>42</v>
      </c>
      <c r="N32" s="9" t="str">
        <f t="shared" si="1"/>
        <v>379870 | 379868</v>
      </c>
      <c r="O32" s="2">
        <f>_xlfn.XLOOKUP($A32,'[1]LISTA ETIQUETAS'!$O:$O,'[1]LISTA ETIQUETAS'!C:C,"",0)</f>
        <v>0</v>
      </c>
      <c r="P32" s="2">
        <f>_xlfn.XLOOKUP($A32,'[1]LISTA ETIQUETAS'!$O:$O,'[1]LISTA ETIQUETAS'!D:D,"",0)</f>
        <v>0</v>
      </c>
      <c r="Q32" s="2">
        <f>_xlfn.XLOOKUP($A32,'[1]LISTA ETIQUETAS'!$O:$O,'[1]LISTA ETIQUETAS'!E:E,"",0)</f>
        <v>0</v>
      </c>
      <c r="R32" s="2">
        <f>_xlfn.XLOOKUP($A32,'[1]LISTA ETIQUETAS'!$O:$O,'[1]LISTA ETIQUETAS'!F:F,"",0)</f>
        <v>0</v>
      </c>
      <c r="S32" s="2">
        <f>_xlfn.XLOOKUP($A32,'[1]LISTA ETIQUETAS'!$O:$O,'[1]LISTA ETIQUETAS'!H:H,"",0)</f>
        <v>2</v>
      </c>
      <c r="T32" s="9">
        <f t="shared" si="2"/>
        <v>2</v>
      </c>
      <c r="U32" s="10" t="s">
        <v>628</v>
      </c>
    </row>
    <row r="33" spans="1:21" x14ac:dyDescent="0.25">
      <c r="A33" s="5">
        <v>379866</v>
      </c>
      <c r="B33" t="str">
        <f>IFERROR((VLOOKUP(A33,'[1]LISTA ETIQUETAS'!O:X,3,0)),"PRODUTO SEM ESTOQUE")</f>
        <v>EST TAMPO MONDRIAN (PEDRA 1) (BRANCO PARANA LEVIGADO)</v>
      </c>
      <c r="C33" s="10" t="s">
        <v>21</v>
      </c>
      <c r="D33" s="10" t="s">
        <v>22</v>
      </c>
      <c r="E33" s="11">
        <f>IF(VLOOKUP(A33,'[1]LISTA ETIQUETAS'!O:W,4,0)="",(VLOOKUP(A33,'[1]LISTA ETIQUETAS'!O:W,6,0)),(VLOOKUP(A33,'[1]LISTA ETIQUETAS'!O:W,4,0)))</f>
        <v>0.87</v>
      </c>
      <c r="F33" s="11">
        <f>IF(VLOOKUP(A33,'[1]LISTA ETIQUETAS'!O:W,5,0)="",(VLOOKUP(A33,'[1]LISTA ETIQUETAS'!O:W,7,0)),(VLOOKUP(A33,'[1]LISTA ETIQUETAS'!O:W,5,0)))</f>
        <v>0.6</v>
      </c>
      <c r="G33" s="11">
        <f>IFERROR((VLOOKUP(A33,'[1]LISTA ETIQUETAS'!O:X,8,0)),"")</f>
        <v>0.02</v>
      </c>
      <c r="H33" s="11">
        <f>IFERROR((VLOOKUP(A33,'[1]LISTA ETIQUETAS'!O:X,9,0)),"")</f>
        <v>0</v>
      </c>
      <c r="I33" s="12">
        <f>IFERROR((VLOOKUP(A33,'[1]LISTA ETIQUETAS'!O:Y,11,0)),"")</f>
        <v>22325.91</v>
      </c>
      <c r="J33" s="6">
        <v>0</v>
      </c>
      <c r="K33" s="12">
        <f t="shared" si="0"/>
        <v>22325.91</v>
      </c>
      <c r="L33" s="7" t="str">
        <f>IF(VLOOKUP(A33,'[1]LISTA ETIQUETAS'!O:AB,14,0)="","",(VLOOKUP(A33,'[1]LISTA ETIQUETAS'!O:AB,14,0)))</f>
        <v>HU</v>
      </c>
      <c r="M33" s="8"/>
      <c r="N33" s="9">
        <f t="shared" si="1"/>
        <v>379866</v>
      </c>
      <c r="O33" s="2">
        <f>_xlfn.XLOOKUP($A33,'[1]LISTA ETIQUETAS'!$O:$O,'[1]LISTA ETIQUETAS'!C:C,"",0)</f>
        <v>0</v>
      </c>
      <c r="P33" s="2">
        <f>_xlfn.XLOOKUP($A33,'[1]LISTA ETIQUETAS'!$O:$O,'[1]LISTA ETIQUETAS'!D:D,"",0)</f>
        <v>0</v>
      </c>
      <c r="Q33" s="2">
        <f>_xlfn.XLOOKUP($A33,'[1]LISTA ETIQUETAS'!$O:$O,'[1]LISTA ETIQUETAS'!E:E,"",0)</f>
        <v>0</v>
      </c>
      <c r="R33" s="2">
        <f>_xlfn.XLOOKUP($A33,'[1]LISTA ETIQUETAS'!$O:$O,'[1]LISTA ETIQUETAS'!F:F,"",0)</f>
        <v>2</v>
      </c>
      <c r="S33" s="2">
        <f>_xlfn.XLOOKUP($A33,'[1]LISTA ETIQUETAS'!$O:$O,'[1]LISTA ETIQUETAS'!H:H,"",0)</f>
        <v>1</v>
      </c>
      <c r="T33" s="9">
        <f t="shared" si="2"/>
        <v>3</v>
      </c>
      <c r="U33" s="10" t="s">
        <v>628</v>
      </c>
    </row>
    <row r="34" spans="1:21" x14ac:dyDescent="0.25">
      <c r="A34" s="5">
        <v>379864</v>
      </c>
      <c r="B34" t="str">
        <f>IFERROR((VLOOKUP(A34,'[1]LISTA ETIQUETAS'!O:X,3,0)),"PRODUTO SEM ESTOQUE")</f>
        <v>EST BASE CENTRO MONDRIAN (LAMINA NOGUEIRA)</v>
      </c>
      <c r="C34" s="10" t="s">
        <v>21</v>
      </c>
      <c r="D34" s="10" t="s">
        <v>41</v>
      </c>
      <c r="E34" s="11">
        <f>IF(VLOOKUP(A34,'[1]LISTA ETIQUETAS'!O:W,4,0)="",(VLOOKUP(A34,'[1]LISTA ETIQUETAS'!O:W,6,0)),(VLOOKUP(A34,'[1]LISTA ETIQUETAS'!O:W,4,0)))</f>
        <v>0.9</v>
      </c>
      <c r="F34" s="11">
        <f>IF(VLOOKUP(A34,'[1]LISTA ETIQUETAS'!O:W,5,0)="",(VLOOKUP(A34,'[1]LISTA ETIQUETAS'!O:W,7,0)),(VLOOKUP(A34,'[1]LISTA ETIQUETAS'!O:W,5,0)))</f>
        <v>0.9</v>
      </c>
      <c r="G34" s="11">
        <f>IFERROR((VLOOKUP(A34,'[1]LISTA ETIQUETAS'!O:X,8,0)),"")</f>
        <v>0.24</v>
      </c>
      <c r="H34" s="11">
        <f>IFERROR((VLOOKUP(A34,'[1]LISTA ETIQUETAS'!O:X,9,0)),"")</f>
        <v>0</v>
      </c>
      <c r="I34" s="12">
        <f>IFERROR((VLOOKUP(A34,'[1]LISTA ETIQUETAS'!O:Y,11,0)),"")</f>
        <v>22325.91</v>
      </c>
      <c r="J34" s="6">
        <v>0</v>
      </c>
      <c r="K34" s="12">
        <f t="shared" si="0"/>
        <v>22325.91</v>
      </c>
      <c r="L34" s="7" t="str">
        <f>IF(VLOOKUP(A34,'[1]LISTA ETIQUETAS'!O:AB,14,0)="","",(VLOOKUP(A34,'[1]LISTA ETIQUETAS'!O:AB,14,0)))</f>
        <v>HT</v>
      </c>
      <c r="M34" s="8" t="s">
        <v>43</v>
      </c>
      <c r="N34" s="9" t="str">
        <f t="shared" si="1"/>
        <v>381897 | 379864</v>
      </c>
      <c r="O34" s="2">
        <f>_xlfn.XLOOKUP($A34,'[1]LISTA ETIQUETAS'!$O:$O,'[1]LISTA ETIQUETAS'!C:C,"",0)</f>
        <v>1</v>
      </c>
      <c r="P34" s="2">
        <f>_xlfn.XLOOKUP($A34,'[1]LISTA ETIQUETAS'!$O:$O,'[1]LISTA ETIQUETAS'!D:D,"",0)</f>
        <v>0</v>
      </c>
      <c r="Q34" s="2">
        <f>_xlfn.XLOOKUP($A34,'[1]LISTA ETIQUETAS'!$O:$O,'[1]LISTA ETIQUETAS'!E:E,"",0)</f>
        <v>0</v>
      </c>
      <c r="R34" s="2">
        <f>_xlfn.XLOOKUP($A34,'[1]LISTA ETIQUETAS'!$O:$O,'[1]LISTA ETIQUETAS'!F:F,"",0)</f>
        <v>2</v>
      </c>
      <c r="S34" s="2">
        <f>_xlfn.XLOOKUP($A34,'[1]LISTA ETIQUETAS'!$O:$O,'[1]LISTA ETIQUETAS'!H:H,"",0)</f>
        <v>2</v>
      </c>
      <c r="T34" s="9">
        <f t="shared" si="2"/>
        <v>5</v>
      </c>
      <c r="U34" s="10" t="s">
        <v>628</v>
      </c>
    </row>
    <row r="35" spans="1:21" x14ac:dyDescent="0.25">
      <c r="A35" s="5">
        <v>381897</v>
      </c>
      <c r="B35" t="str">
        <f>IFERROR((VLOOKUP(A35,'[1]LISTA ETIQUETAS'!O:X,3,0)),"PRODUTO SEM ESTOQUE")</f>
        <v>EST TAMPO MONDRIAN (PEDRA 1) (BRANCO PARANA POLIDO)</v>
      </c>
      <c r="C35" s="10" t="s">
        <v>21</v>
      </c>
      <c r="D35" s="10" t="s">
        <v>22</v>
      </c>
      <c r="E35" s="11">
        <f>IF(VLOOKUP(A35,'[1]LISTA ETIQUETAS'!O:W,4,0)="",(VLOOKUP(A35,'[1]LISTA ETIQUETAS'!O:W,6,0)),(VLOOKUP(A35,'[1]LISTA ETIQUETAS'!O:W,4,0)))</f>
        <v>0.87</v>
      </c>
      <c r="F35" s="11">
        <f>IF(VLOOKUP(A35,'[1]LISTA ETIQUETAS'!O:W,5,0)="",(VLOOKUP(A35,'[1]LISTA ETIQUETAS'!O:W,7,0)),(VLOOKUP(A35,'[1]LISTA ETIQUETAS'!O:W,5,0)))</f>
        <v>0.6</v>
      </c>
      <c r="G35" s="11">
        <f>IFERROR((VLOOKUP(A35,'[1]LISTA ETIQUETAS'!O:X,8,0)),"")</f>
        <v>0.02</v>
      </c>
      <c r="H35" s="11">
        <f>IFERROR((VLOOKUP(A35,'[1]LISTA ETIQUETAS'!O:X,9,0)),"")</f>
        <v>0</v>
      </c>
      <c r="I35" s="12">
        <f>IFERROR((VLOOKUP(A35,'[1]LISTA ETIQUETAS'!O:Y,11,0)),"")</f>
        <v>22325.91</v>
      </c>
      <c r="J35" s="6">
        <v>0</v>
      </c>
      <c r="K35" s="12">
        <f t="shared" si="0"/>
        <v>22325.91</v>
      </c>
      <c r="L35" s="7" t="str">
        <f>IF(VLOOKUP(A35,'[1]LISTA ETIQUETAS'!O:AB,14,0)="","",(VLOOKUP(A35,'[1]LISTA ETIQUETAS'!O:AB,14,0)))</f>
        <v>HT</v>
      </c>
      <c r="M35" s="8" t="s">
        <v>43</v>
      </c>
      <c r="N35" s="9" t="str">
        <f t="shared" si="1"/>
        <v>381897 | 379864</v>
      </c>
      <c r="O35" s="2">
        <f>_xlfn.XLOOKUP($A35,'[1]LISTA ETIQUETAS'!$O:$O,'[1]LISTA ETIQUETAS'!C:C,"",0)</f>
        <v>1</v>
      </c>
      <c r="P35" s="2">
        <f>_xlfn.XLOOKUP($A35,'[1]LISTA ETIQUETAS'!$O:$O,'[1]LISTA ETIQUETAS'!D:D,"",0)</f>
        <v>0</v>
      </c>
      <c r="Q35" s="2">
        <f>_xlfn.XLOOKUP($A35,'[1]LISTA ETIQUETAS'!$O:$O,'[1]LISTA ETIQUETAS'!E:E,"",0)</f>
        <v>0</v>
      </c>
      <c r="R35" s="2">
        <f>_xlfn.XLOOKUP($A35,'[1]LISTA ETIQUETAS'!$O:$O,'[1]LISTA ETIQUETAS'!F:F,"",0)</f>
        <v>0</v>
      </c>
      <c r="S35" s="2">
        <f>_xlfn.XLOOKUP($A35,'[1]LISTA ETIQUETAS'!$O:$O,'[1]LISTA ETIQUETAS'!H:H,"",0)</f>
        <v>1</v>
      </c>
      <c r="T35" s="9">
        <f t="shared" si="2"/>
        <v>2</v>
      </c>
      <c r="U35" s="10" t="s">
        <v>628</v>
      </c>
    </row>
    <row r="36" spans="1:21" x14ac:dyDescent="0.25">
      <c r="A36" s="5">
        <v>379520</v>
      </c>
      <c r="B36" t="str">
        <f>IFERROR((VLOOKUP(A36,'[1]LISTA ETIQUETAS'!O:X,3,0)),"PRODUTO SEM ESTOQUE")</f>
        <v>EST MODULO B/DIR MONDRIAN (ESTOF) (C1 SEPIA/NOG) TC 6590</v>
      </c>
      <c r="C36" s="10" t="s">
        <v>13</v>
      </c>
      <c r="D36" s="10" t="s">
        <v>27</v>
      </c>
      <c r="E36" s="11">
        <f>IF(VLOOKUP(A36,'[1]LISTA ETIQUETAS'!O:W,4,0)="",(VLOOKUP(A36,'[1]LISTA ETIQUETAS'!O:W,6,0)),(VLOOKUP(A36,'[1]LISTA ETIQUETAS'!O:W,4,0)))</f>
        <v>1.94</v>
      </c>
      <c r="F36" s="11">
        <f>IF(VLOOKUP(A36,'[1]LISTA ETIQUETAS'!O:W,5,0)="",(VLOOKUP(A36,'[1]LISTA ETIQUETAS'!O:W,7,0)),(VLOOKUP(A36,'[1]LISTA ETIQUETAS'!O:W,5,0)))</f>
        <v>1.05</v>
      </c>
      <c r="G36" s="11">
        <f>IFERROR((VLOOKUP(A36,'[1]LISTA ETIQUETAS'!O:X,8,0)),"")</f>
        <v>0.71</v>
      </c>
      <c r="H36" s="11">
        <f>IFERROR((VLOOKUP(A36,'[1]LISTA ETIQUETAS'!O:X,9,0)),"")</f>
        <v>0</v>
      </c>
      <c r="I36" s="12">
        <f>IFERROR((VLOOKUP(A36,'[1]LISTA ETIQUETAS'!O:Y,11,0)),"")</f>
        <v>104737.84</v>
      </c>
      <c r="J36" s="6">
        <v>0</v>
      </c>
      <c r="K36" s="12">
        <f t="shared" si="0"/>
        <v>104737.84</v>
      </c>
      <c r="L36" s="7" t="str">
        <f>IF(VLOOKUP(A36,'[1]LISTA ETIQUETAS'!O:AB,14,0)="","",(VLOOKUP(A36,'[1]LISTA ETIQUETAS'!O:AB,14,0)))</f>
        <v>HS</v>
      </c>
      <c r="M36" s="8" t="s">
        <v>44</v>
      </c>
      <c r="N36" s="9" t="str">
        <f t="shared" si="1"/>
        <v>379520 | 379519</v>
      </c>
      <c r="O36" s="2">
        <f>_xlfn.XLOOKUP($A36,'[1]LISTA ETIQUETAS'!$O:$O,'[1]LISTA ETIQUETAS'!C:C,"",0)</f>
        <v>0</v>
      </c>
      <c r="P36" s="2">
        <f>_xlfn.XLOOKUP($A36,'[1]LISTA ETIQUETAS'!$O:$O,'[1]LISTA ETIQUETAS'!D:D,"",0)</f>
        <v>0</v>
      </c>
      <c r="Q36" s="2">
        <f>_xlfn.XLOOKUP($A36,'[1]LISTA ETIQUETAS'!$O:$O,'[1]LISTA ETIQUETAS'!E:E,"",0)</f>
        <v>0</v>
      </c>
      <c r="R36" s="2">
        <f>_xlfn.XLOOKUP($A36,'[1]LISTA ETIQUETAS'!$O:$O,'[1]LISTA ETIQUETAS'!F:F,"",0)</f>
        <v>0</v>
      </c>
      <c r="S36" s="2">
        <f>_xlfn.XLOOKUP($A36,'[1]LISTA ETIQUETAS'!$O:$O,'[1]LISTA ETIQUETAS'!H:H,"",0)</f>
        <v>1</v>
      </c>
      <c r="T36" s="9">
        <f t="shared" si="2"/>
        <v>1</v>
      </c>
      <c r="U36" s="10" t="s">
        <v>628</v>
      </c>
    </row>
    <row r="37" spans="1:21" x14ac:dyDescent="0.25">
      <c r="A37" s="5">
        <v>379519</v>
      </c>
      <c r="B37" t="str">
        <f>IFERROR((VLOOKUP(A37,'[1]LISTA ETIQUETAS'!O:X,3,0)),"PRODUTO SEM ESTOQUE")</f>
        <v>EST MODULO B/ESQ MONDRIAN (ESTOF) (C1 SEPIA/NOG) TC 6590</v>
      </c>
      <c r="C37" s="10" t="s">
        <v>13</v>
      </c>
      <c r="D37" s="10" t="s">
        <v>27</v>
      </c>
      <c r="E37" s="11">
        <f>IF(VLOOKUP(A37,'[1]LISTA ETIQUETAS'!O:W,4,0)="",(VLOOKUP(A37,'[1]LISTA ETIQUETAS'!O:W,6,0)),(VLOOKUP(A37,'[1]LISTA ETIQUETAS'!O:W,4,0)))</f>
        <v>1.94</v>
      </c>
      <c r="F37" s="11">
        <f>IF(VLOOKUP(A37,'[1]LISTA ETIQUETAS'!O:W,5,0)="",(VLOOKUP(A37,'[1]LISTA ETIQUETAS'!O:W,7,0)),(VLOOKUP(A37,'[1]LISTA ETIQUETAS'!O:W,5,0)))</f>
        <v>1.05</v>
      </c>
      <c r="G37" s="11">
        <f>IFERROR((VLOOKUP(A37,'[1]LISTA ETIQUETAS'!O:X,8,0)),"")</f>
        <v>0.71</v>
      </c>
      <c r="H37" s="11">
        <f>IFERROR((VLOOKUP(A37,'[1]LISTA ETIQUETAS'!O:X,9,0)),"")</f>
        <v>0</v>
      </c>
      <c r="I37" s="12">
        <f>IFERROR((VLOOKUP(A37,'[1]LISTA ETIQUETAS'!O:Y,11,0)),"")</f>
        <v>104737.84</v>
      </c>
      <c r="J37" s="6">
        <v>0</v>
      </c>
      <c r="K37" s="12">
        <f t="shared" si="0"/>
        <v>104737.84</v>
      </c>
      <c r="L37" s="7" t="str">
        <f>IF(VLOOKUP(A37,'[1]LISTA ETIQUETAS'!O:AB,14,0)="","",(VLOOKUP(A37,'[1]LISTA ETIQUETAS'!O:AB,14,0)))</f>
        <v>HS</v>
      </c>
      <c r="M37" s="8" t="s">
        <v>44</v>
      </c>
      <c r="N37" s="9" t="str">
        <f t="shared" si="1"/>
        <v>379520 | 379519</v>
      </c>
      <c r="O37" s="2">
        <f>_xlfn.XLOOKUP($A37,'[1]LISTA ETIQUETAS'!$O:$O,'[1]LISTA ETIQUETAS'!C:C,"",0)</f>
        <v>0</v>
      </c>
      <c r="P37" s="2">
        <f>_xlfn.XLOOKUP($A37,'[1]LISTA ETIQUETAS'!$O:$O,'[1]LISTA ETIQUETAS'!D:D,"",0)</f>
        <v>0</v>
      </c>
      <c r="Q37" s="2">
        <f>_xlfn.XLOOKUP($A37,'[1]LISTA ETIQUETAS'!$O:$O,'[1]LISTA ETIQUETAS'!E:E,"",0)</f>
        <v>0</v>
      </c>
      <c r="R37" s="2">
        <f>_xlfn.XLOOKUP($A37,'[1]LISTA ETIQUETAS'!$O:$O,'[1]LISTA ETIQUETAS'!F:F,"",0)</f>
        <v>0</v>
      </c>
      <c r="S37" s="2">
        <f>_xlfn.XLOOKUP($A37,'[1]LISTA ETIQUETAS'!$O:$O,'[1]LISTA ETIQUETAS'!H:H,"",0)</f>
        <v>1</v>
      </c>
      <c r="T37" s="9">
        <f t="shared" si="2"/>
        <v>1</v>
      </c>
      <c r="U37" s="10" t="s">
        <v>628</v>
      </c>
    </row>
    <row r="38" spans="1:21" x14ac:dyDescent="0.25">
      <c r="A38" s="5">
        <v>379522</v>
      </c>
      <c r="B38" t="str">
        <f>IFERROR((VLOOKUP(A38,'[1]LISTA ETIQUETAS'!O:X,3,0)),"PRODUTO SEM ESTOQUE")</f>
        <v>EST MODULO B/DIR MONDRIAN (LAM) (C1 SEPIA/NOG) TC 6590</v>
      </c>
      <c r="C38" s="10" t="s">
        <v>13</v>
      </c>
      <c r="D38" s="10" t="s">
        <v>27</v>
      </c>
      <c r="E38" s="11">
        <f>IF(VLOOKUP(A38,'[1]LISTA ETIQUETAS'!O:W,4,0)="",(VLOOKUP(A38,'[1]LISTA ETIQUETAS'!O:W,6,0)),(VLOOKUP(A38,'[1]LISTA ETIQUETAS'!O:W,4,0)))</f>
        <v>1.84</v>
      </c>
      <c r="F38" s="11">
        <f>IF(VLOOKUP(A38,'[1]LISTA ETIQUETAS'!O:W,5,0)="",(VLOOKUP(A38,'[1]LISTA ETIQUETAS'!O:W,7,0)),(VLOOKUP(A38,'[1]LISTA ETIQUETAS'!O:W,5,0)))</f>
        <v>1.05</v>
      </c>
      <c r="G38" s="11">
        <f>IFERROR((VLOOKUP(A38,'[1]LISTA ETIQUETAS'!O:X,8,0)),"")</f>
        <v>0.71</v>
      </c>
      <c r="H38" s="11">
        <f>IFERROR((VLOOKUP(A38,'[1]LISTA ETIQUETAS'!O:X,9,0)),"")</f>
        <v>0</v>
      </c>
      <c r="I38" s="12">
        <f>IFERROR((VLOOKUP(A38,'[1]LISTA ETIQUETAS'!O:Y,11,0)),"")</f>
        <v>109172.4</v>
      </c>
      <c r="J38" s="6">
        <v>0</v>
      </c>
      <c r="K38" s="12">
        <f t="shared" si="0"/>
        <v>109172.4</v>
      </c>
      <c r="L38" s="7" t="str">
        <f>IF(VLOOKUP(A38,'[1]LISTA ETIQUETAS'!O:AB,14,0)="","",(VLOOKUP(A38,'[1]LISTA ETIQUETAS'!O:AB,14,0)))</f>
        <v>HR</v>
      </c>
      <c r="M38" s="8" t="s">
        <v>45</v>
      </c>
      <c r="N38" s="9" t="str">
        <f t="shared" si="1"/>
        <v>379522 | 379521</v>
      </c>
      <c r="O38" s="2">
        <f>_xlfn.XLOOKUP($A38,'[1]LISTA ETIQUETAS'!$O:$O,'[1]LISTA ETIQUETAS'!C:C,"",0)</f>
        <v>0</v>
      </c>
      <c r="P38" s="2">
        <f>_xlfn.XLOOKUP($A38,'[1]LISTA ETIQUETAS'!$O:$O,'[1]LISTA ETIQUETAS'!D:D,"",0)</f>
        <v>0</v>
      </c>
      <c r="Q38" s="2">
        <f>_xlfn.XLOOKUP($A38,'[1]LISTA ETIQUETAS'!$O:$O,'[1]LISTA ETIQUETAS'!E:E,"",0)</f>
        <v>0</v>
      </c>
      <c r="R38" s="2">
        <f>_xlfn.XLOOKUP($A38,'[1]LISTA ETIQUETAS'!$O:$O,'[1]LISTA ETIQUETAS'!F:F,"",0)</f>
        <v>0</v>
      </c>
      <c r="S38" s="2">
        <f>_xlfn.XLOOKUP($A38,'[1]LISTA ETIQUETAS'!$O:$O,'[1]LISTA ETIQUETAS'!H:H,"",0)</f>
        <v>1</v>
      </c>
      <c r="T38" s="9">
        <f t="shared" si="2"/>
        <v>1</v>
      </c>
      <c r="U38" s="10" t="s">
        <v>628</v>
      </c>
    </row>
    <row r="39" spans="1:21" x14ac:dyDescent="0.25">
      <c r="A39" s="5">
        <v>379521</v>
      </c>
      <c r="B39" t="str">
        <f>IFERROR((VLOOKUP(A39,'[1]LISTA ETIQUETAS'!O:X,3,0)),"PRODUTO SEM ESTOQUE")</f>
        <v>EST MODULO B/ESQ MONDRIAN (LAM) (C1 SEPIA/NOG) TC 6590</v>
      </c>
      <c r="C39" s="10" t="s">
        <v>13</v>
      </c>
      <c r="D39" s="10" t="s">
        <v>27</v>
      </c>
      <c r="E39" s="11">
        <f>IF(VLOOKUP(A39,'[1]LISTA ETIQUETAS'!O:W,4,0)="",(VLOOKUP(A39,'[1]LISTA ETIQUETAS'!O:W,6,0)),(VLOOKUP(A39,'[1]LISTA ETIQUETAS'!O:W,4,0)))</f>
        <v>1.84</v>
      </c>
      <c r="F39" s="11">
        <f>IF(VLOOKUP(A39,'[1]LISTA ETIQUETAS'!O:W,5,0)="",(VLOOKUP(A39,'[1]LISTA ETIQUETAS'!O:W,7,0)),(VLOOKUP(A39,'[1]LISTA ETIQUETAS'!O:W,5,0)))</f>
        <v>1.05</v>
      </c>
      <c r="G39" s="11">
        <f>IFERROR((VLOOKUP(A39,'[1]LISTA ETIQUETAS'!O:X,8,0)),"")</f>
        <v>0.71</v>
      </c>
      <c r="H39" s="11">
        <f>IFERROR((VLOOKUP(A39,'[1]LISTA ETIQUETAS'!O:X,9,0)),"")</f>
        <v>0</v>
      </c>
      <c r="I39" s="12">
        <f>IFERROR((VLOOKUP(A39,'[1]LISTA ETIQUETAS'!O:Y,11,0)),"")</f>
        <v>109172.4</v>
      </c>
      <c r="J39" s="6">
        <v>0</v>
      </c>
      <c r="K39" s="12">
        <f t="shared" si="0"/>
        <v>109172.4</v>
      </c>
      <c r="L39" s="7" t="str">
        <f>IF(VLOOKUP(A39,'[1]LISTA ETIQUETAS'!O:AB,14,0)="","",(VLOOKUP(A39,'[1]LISTA ETIQUETAS'!O:AB,14,0)))</f>
        <v>HR</v>
      </c>
      <c r="M39" s="8" t="s">
        <v>45</v>
      </c>
      <c r="N39" s="9" t="str">
        <f t="shared" si="1"/>
        <v>379522 | 379521</v>
      </c>
      <c r="O39" s="2">
        <f>_xlfn.XLOOKUP($A39,'[1]LISTA ETIQUETAS'!$O:$O,'[1]LISTA ETIQUETAS'!C:C,"",0)</f>
        <v>0</v>
      </c>
      <c r="P39" s="2">
        <f>_xlfn.XLOOKUP($A39,'[1]LISTA ETIQUETAS'!$O:$O,'[1]LISTA ETIQUETAS'!D:D,"",0)</f>
        <v>0</v>
      </c>
      <c r="Q39" s="2">
        <f>_xlfn.XLOOKUP($A39,'[1]LISTA ETIQUETAS'!$O:$O,'[1]LISTA ETIQUETAS'!E:E,"",0)</f>
        <v>0</v>
      </c>
      <c r="R39" s="2">
        <f>_xlfn.XLOOKUP($A39,'[1]LISTA ETIQUETAS'!$O:$O,'[1]LISTA ETIQUETAS'!F:F,"",0)</f>
        <v>0</v>
      </c>
      <c r="S39" s="2">
        <f>_xlfn.XLOOKUP($A39,'[1]LISTA ETIQUETAS'!$O:$O,'[1]LISTA ETIQUETAS'!H:H,"",0)</f>
        <v>1</v>
      </c>
      <c r="T39" s="9">
        <f t="shared" si="2"/>
        <v>1</v>
      </c>
      <c r="U39" s="10" t="s">
        <v>628</v>
      </c>
    </row>
    <row r="40" spans="1:21" x14ac:dyDescent="0.25">
      <c r="A40" s="5">
        <v>379537</v>
      </c>
      <c r="B40" t="str">
        <f>IFERROR((VLOOKUP(A40,'[1]LISTA ETIQUETAS'!O:X,3,0)),"PRODUTO SEM ESTOQUE")</f>
        <v>EST MODULO PUFF MONDRIAN (C1 CREME/CARV BR) (C1 CREME)</v>
      </c>
      <c r="C40" s="10" t="s">
        <v>13</v>
      </c>
      <c r="D40" s="10" t="s">
        <v>27</v>
      </c>
      <c r="E40" s="11">
        <f>IF(VLOOKUP(A40,'[1]LISTA ETIQUETAS'!O:W,4,0)="",(VLOOKUP(A40,'[1]LISTA ETIQUETAS'!O:W,6,0)),(VLOOKUP(A40,'[1]LISTA ETIQUETAS'!O:W,4,0)))</f>
        <v>1.05</v>
      </c>
      <c r="F40" s="11">
        <f>IF(VLOOKUP(A40,'[1]LISTA ETIQUETAS'!O:W,5,0)="",(VLOOKUP(A40,'[1]LISTA ETIQUETAS'!O:W,7,0)),(VLOOKUP(A40,'[1]LISTA ETIQUETAS'!O:W,5,0)))</f>
        <v>1.05</v>
      </c>
      <c r="G40" s="11">
        <f>IFERROR((VLOOKUP(A40,'[1]LISTA ETIQUETAS'!O:X,8,0)),"")</f>
        <v>0.43</v>
      </c>
      <c r="H40" s="11">
        <f>IFERROR((VLOOKUP(A40,'[1]LISTA ETIQUETAS'!O:X,9,0)),"")</f>
        <v>0</v>
      </c>
      <c r="I40" s="12">
        <f>IFERROR((VLOOKUP(A40,'[1]LISTA ETIQUETAS'!O:Y,11,0)),"")</f>
        <v>180845.37999999998</v>
      </c>
      <c r="J40" s="6">
        <v>0</v>
      </c>
      <c r="K40" s="12">
        <f t="shared" si="0"/>
        <v>180845.37999999998</v>
      </c>
      <c r="L40" s="7" t="str">
        <f>IF(VLOOKUP(A40,'[1]LISTA ETIQUETAS'!O:AB,14,0)="","",(VLOOKUP(A40,'[1]LISTA ETIQUETAS'!O:AB,14,0)))</f>
        <v>HQ</v>
      </c>
      <c r="M40" s="8" t="s">
        <v>46</v>
      </c>
      <c r="N40" s="9" t="str">
        <f t="shared" si="1"/>
        <v>379537 | 379536 | 379535 | 379534</v>
      </c>
      <c r="O40" s="2">
        <f>_xlfn.XLOOKUP($A40,'[1]LISTA ETIQUETAS'!$O:$O,'[1]LISTA ETIQUETAS'!C:C,"",0)</f>
        <v>0</v>
      </c>
      <c r="P40" s="2">
        <f>_xlfn.XLOOKUP($A40,'[1]LISTA ETIQUETAS'!$O:$O,'[1]LISTA ETIQUETAS'!D:D,"",0)</f>
        <v>0</v>
      </c>
      <c r="Q40" s="2">
        <f>_xlfn.XLOOKUP($A40,'[1]LISTA ETIQUETAS'!$O:$O,'[1]LISTA ETIQUETAS'!E:E,"",0)</f>
        <v>0</v>
      </c>
      <c r="R40" s="2">
        <f>_xlfn.XLOOKUP($A40,'[1]LISTA ETIQUETAS'!$O:$O,'[1]LISTA ETIQUETAS'!F:F,"",0)</f>
        <v>0</v>
      </c>
      <c r="S40" s="2">
        <f>_xlfn.XLOOKUP($A40,'[1]LISTA ETIQUETAS'!$O:$O,'[1]LISTA ETIQUETAS'!H:H,"",0)</f>
        <v>1</v>
      </c>
      <c r="T40" s="9">
        <f t="shared" si="2"/>
        <v>1</v>
      </c>
      <c r="U40" s="10" t="s">
        <v>628</v>
      </c>
    </row>
    <row r="41" spans="1:21" x14ac:dyDescent="0.25">
      <c r="A41" s="5">
        <v>379536</v>
      </c>
      <c r="B41" t="str">
        <f>IFERROR((VLOOKUP(A41,'[1]LISTA ETIQUETAS'!O:X,3,0)),"PRODUTO SEM ESTOQUE")</f>
        <v>EST MODULO B/ESQ MONDRIAN (MISTO) (C1 CREME/CARV) TC 6651</v>
      </c>
      <c r="C41" s="10" t="s">
        <v>13</v>
      </c>
      <c r="D41" s="10" t="s">
        <v>27</v>
      </c>
      <c r="E41" s="11">
        <f>IF(VLOOKUP(A41,'[1]LISTA ETIQUETAS'!O:W,4,0)="",(VLOOKUP(A41,'[1]LISTA ETIQUETAS'!O:W,6,0)),(VLOOKUP(A41,'[1]LISTA ETIQUETAS'!O:W,4,0)))</f>
        <v>1.84</v>
      </c>
      <c r="F41" s="11">
        <f>IF(VLOOKUP(A41,'[1]LISTA ETIQUETAS'!O:W,5,0)="",(VLOOKUP(A41,'[1]LISTA ETIQUETAS'!O:W,7,0)),(VLOOKUP(A41,'[1]LISTA ETIQUETAS'!O:W,5,0)))</f>
        <v>1.05</v>
      </c>
      <c r="G41" s="11">
        <f>IFERROR((VLOOKUP(A41,'[1]LISTA ETIQUETAS'!O:X,8,0)),"")</f>
        <v>0.71</v>
      </c>
      <c r="H41" s="11">
        <f>IFERROR((VLOOKUP(A41,'[1]LISTA ETIQUETAS'!O:X,9,0)),"")</f>
        <v>0</v>
      </c>
      <c r="I41" s="12">
        <f>IFERROR((VLOOKUP(A41,'[1]LISTA ETIQUETAS'!O:Y,11,0)),"")</f>
        <v>180845.37999999998</v>
      </c>
      <c r="J41" s="6">
        <v>0</v>
      </c>
      <c r="K41" s="12">
        <f t="shared" si="0"/>
        <v>180845.37999999998</v>
      </c>
      <c r="L41" s="7" t="str">
        <f>IF(VLOOKUP(A41,'[1]LISTA ETIQUETAS'!O:AB,14,0)="","",(VLOOKUP(A41,'[1]LISTA ETIQUETAS'!O:AB,14,0)))</f>
        <v>HQ</v>
      </c>
      <c r="M41" s="8" t="s">
        <v>46</v>
      </c>
      <c r="N41" s="9" t="str">
        <f t="shared" si="1"/>
        <v>379537 | 379536 | 379535 | 379534</v>
      </c>
      <c r="O41" s="2">
        <f>_xlfn.XLOOKUP($A41,'[1]LISTA ETIQUETAS'!$O:$O,'[1]LISTA ETIQUETAS'!C:C,"",0)</f>
        <v>0</v>
      </c>
      <c r="P41" s="2">
        <f>_xlfn.XLOOKUP($A41,'[1]LISTA ETIQUETAS'!$O:$O,'[1]LISTA ETIQUETAS'!D:D,"",0)</f>
        <v>0</v>
      </c>
      <c r="Q41" s="2">
        <f>_xlfn.XLOOKUP($A41,'[1]LISTA ETIQUETAS'!$O:$O,'[1]LISTA ETIQUETAS'!E:E,"",0)</f>
        <v>0</v>
      </c>
      <c r="R41" s="2">
        <f>_xlfn.XLOOKUP($A41,'[1]LISTA ETIQUETAS'!$O:$O,'[1]LISTA ETIQUETAS'!F:F,"",0)</f>
        <v>0</v>
      </c>
      <c r="S41" s="2">
        <f>_xlfn.XLOOKUP($A41,'[1]LISTA ETIQUETAS'!$O:$O,'[1]LISTA ETIQUETAS'!H:H,"",0)</f>
        <v>1</v>
      </c>
      <c r="T41" s="9">
        <f t="shared" si="2"/>
        <v>1</v>
      </c>
      <c r="U41" s="10" t="s">
        <v>628</v>
      </c>
    </row>
    <row r="42" spans="1:21" x14ac:dyDescent="0.25">
      <c r="A42" s="5">
        <v>379535</v>
      </c>
      <c r="B42" t="str">
        <f>IFERROR((VLOOKUP(A42,'[1]LISTA ETIQUETAS'!O:X,3,0)),"PRODUTO SEM ESTOQUE")</f>
        <v>EST MODULO S/B MONDRIAN (C1 CREME/CARV BR) TC 6651</v>
      </c>
      <c r="C42" s="10" t="s">
        <v>13</v>
      </c>
      <c r="D42" s="10" t="s">
        <v>27</v>
      </c>
      <c r="E42" s="11">
        <f>IF(VLOOKUP(A42,'[1]LISTA ETIQUETAS'!O:W,4,0)="",(VLOOKUP(A42,'[1]LISTA ETIQUETAS'!O:W,6,0)),(VLOOKUP(A42,'[1]LISTA ETIQUETAS'!O:W,4,0)))</f>
        <v>1.8</v>
      </c>
      <c r="F42" s="11">
        <f>IF(VLOOKUP(A42,'[1]LISTA ETIQUETAS'!O:W,5,0)="",(VLOOKUP(A42,'[1]LISTA ETIQUETAS'!O:W,7,0)),(VLOOKUP(A42,'[1]LISTA ETIQUETAS'!O:W,5,0)))</f>
        <v>1.05</v>
      </c>
      <c r="G42" s="11">
        <f>IFERROR((VLOOKUP(A42,'[1]LISTA ETIQUETAS'!O:X,8,0)),"")</f>
        <v>0.71</v>
      </c>
      <c r="H42" s="11">
        <f>IFERROR((VLOOKUP(A42,'[1]LISTA ETIQUETAS'!O:X,9,0)),"")</f>
        <v>0</v>
      </c>
      <c r="I42" s="12">
        <f>IFERROR((VLOOKUP(A42,'[1]LISTA ETIQUETAS'!O:Y,11,0)),"")</f>
        <v>180845.37999999998</v>
      </c>
      <c r="J42" s="6">
        <v>0</v>
      </c>
      <c r="K42" s="12">
        <f t="shared" si="0"/>
        <v>180845.37999999998</v>
      </c>
      <c r="L42" s="7" t="str">
        <f>IF(VLOOKUP(A42,'[1]LISTA ETIQUETAS'!O:AB,14,0)="","",(VLOOKUP(A42,'[1]LISTA ETIQUETAS'!O:AB,14,0)))</f>
        <v>HQ</v>
      </c>
      <c r="M42" s="8" t="s">
        <v>46</v>
      </c>
      <c r="N42" s="9" t="str">
        <f t="shared" si="1"/>
        <v>379537 | 379536 | 379535 | 379534</v>
      </c>
      <c r="O42" s="2">
        <f>_xlfn.XLOOKUP($A42,'[1]LISTA ETIQUETAS'!$O:$O,'[1]LISTA ETIQUETAS'!C:C,"",0)</f>
        <v>0</v>
      </c>
      <c r="P42" s="2">
        <f>_xlfn.XLOOKUP($A42,'[1]LISTA ETIQUETAS'!$O:$O,'[1]LISTA ETIQUETAS'!D:D,"",0)</f>
        <v>0</v>
      </c>
      <c r="Q42" s="2">
        <f>_xlfn.XLOOKUP($A42,'[1]LISTA ETIQUETAS'!$O:$O,'[1]LISTA ETIQUETAS'!E:E,"",0)</f>
        <v>0</v>
      </c>
      <c r="R42" s="2">
        <f>_xlfn.XLOOKUP($A42,'[1]LISTA ETIQUETAS'!$O:$O,'[1]LISTA ETIQUETAS'!F:F,"",0)</f>
        <v>0</v>
      </c>
      <c r="S42" s="2">
        <f>_xlfn.XLOOKUP($A42,'[1]LISTA ETIQUETAS'!$O:$O,'[1]LISTA ETIQUETAS'!H:H,"",0)</f>
        <v>1</v>
      </c>
      <c r="T42" s="9">
        <f t="shared" si="2"/>
        <v>1</v>
      </c>
      <c r="U42" s="10" t="s">
        <v>628</v>
      </c>
    </row>
    <row r="43" spans="1:21" x14ac:dyDescent="0.25">
      <c r="A43" s="5">
        <v>379534</v>
      </c>
      <c r="B43" t="str">
        <f>IFERROR((VLOOKUP(A43,'[1]LISTA ETIQUETAS'!O:X,3,0)),"PRODUTO SEM ESTOQUE")</f>
        <v>EST MODULO B/DIR MONDRIAN (ESTOF) (C1 CREME/CARV BR) TC 6651</v>
      </c>
      <c r="C43" s="10" t="s">
        <v>13</v>
      </c>
      <c r="D43" s="10" t="s">
        <v>27</v>
      </c>
      <c r="E43" s="11">
        <f>IF(VLOOKUP(A43,'[1]LISTA ETIQUETAS'!O:W,4,0)="",(VLOOKUP(A43,'[1]LISTA ETIQUETAS'!O:W,6,0)),(VLOOKUP(A43,'[1]LISTA ETIQUETAS'!O:W,4,0)))</f>
        <v>1.94</v>
      </c>
      <c r="F43" s="11">
        <f>IF(VLOOKUP(A43,'[1]LISTA ETIQUETAS'!O:W,5,0)="",(VLOOKUP(A43,'[1]LISTA ETIQUETAS'!O:W,7,0)),(VLOOKUP(A43,'[1]LISTA ETIQUETAS'!O:W,5,0)))</f>
        <v>1.05</v>
      </c>
      <c r="G43" s="11">
        <f>IFERROR((VLOOKUP(A43,'[1]LISTA ETIQUETAS'!O:X,8,0)),"")</f>
        <v>0.71</v>
      </c>
      <c r="H43" s="11">
        <f>IFERROR((VLOOKUP(A43,'[1]LISTA ETIQUETAS'!O:X,9,0)),"")</f>
        <v>0</v>
      </c>
      <c r="I43" s="12">
        <f>IFERROR((VLOOKUP(A43,'[1]LISTA ETIQUETAS'!O:Y,11,0)),"")</f>
        <v>180845.37999999998</v>
      </c>
      <c r="J43" s="6">
        <v>0</v>
      </c>
      <c r="K43" s="12">
        <f t="shared" si="0"/>
        <v>180845.37999999998</v>
      </c>
      <c r="L43" s="7" t="str">
        <f>IF(VLOOKUP(A43,'[1]LISTA ETIQUETAS'!O:AB,14,0)="","",(VLOOKUP(A43,'[1]LISTA ETIQUETAS'!O:AB,14,0)))</f>
        <v>HQ</v>
      </c>
      <c r="M43" s="8" t="s">
        <v>46</v>
      </c>
      <c r="N43" s="9" t="str">
        <f t="shared" si="1"/>
        <v>379537 | 379536 | 379535 | 379534</v>
      </c>
      <c r="O43" s="2">
        <f>_xlfn.XLOOKUP($A43,'[1]LISTA ETIQUETAS'!$O:$O,'[1]LISTA ETIQUETAS'!C:C,"",0)</f>
        <v>0</v>
      </c>
      <c r="P43" s="2">
        <f>_xlfn.XLOOKUP($A43,'[1]LISTA ETIQUETAS'!$O:$O,'[1]LISTA ETIQUETAS'!D:D,"",0)</f>
        <v>0</v>
      </c>
      <c r="Q43" s="2">
        <f>_xlfn.XLOOKUP($A43,'[1]LISTA ETIQUETAS'!$O:$O,'[1]LISTA ETIQUETAS'!E:E,"",0)</f>
        <v>0</v>
      </c>
      <c r="R43" s="2">
        <f>_xlfn.XLOOKUP($A43,'[1]LISTA ETIQUETAS'!$O:$O,'[1]LISTA ETIQUETAS'!F:F,"",0)</f>
        <v>0</v>
      </c>
      <c r="S43" s="2">
        <f>_xlfn.XLOOKUP($A43,'[1]LISTA ETIQUETAS'!$O:$O,'[1]LISTA ETIQUETAS'!H:H,"",0)</f>
        <v>1</v>
      </c>
      <c r="T43" s="9">
        <f t="shared" si="2"/>
        <v>1</v>
      </c>
      <c r="U43" s="10" t="s">
        <v>628</v>
      </c>
    </row>
    <row r="44" spans="1:21" x14ac:dyDescent="0.25">
      <c r="A44" s="5">
        <v>374358</v>
      </c>
      <c r="B44" t="str">
        <f>IFERROR((VLOOKUP(A44,'[1]LISTA ETIQUETAS'!O:X,3,0)),"PRODUTO SEM ESTOQUE")</f>
        <v>EST MODULO PUFF HIMALAYA (CON) COURO FIRENZE 12</v>
      </c>
      <c r="C44" s="10" t="s">
        <v>13</v>
      </c>
      <c r="D44" s="10" t="s">
        <v>47</v>
      </c>
      <c r="E44" s="11">
        <f>IF(VLOOKUP(A44,'[1]LISTA ETIQUETAS'!O:W,4,0)="",(VLOOKUP(A44,'[1]LISTA ETIQUETAS'!O:W,6,0)),(VLOOKUP(A44,'[1]LISTA ETIQUETAS'!O:W,4,0)))</f>
        <v>1.05</v>
      </c>
      <c r="F44" s="11">
        <f>IF(VLOOKUP(A44,'[1]LISTA ETIQUETAS'!O:W,5,0)="",(VLOOKUP(A44,'[1]LISTA ETIQUETAS'!O:W,7,0)),(VLOOKUP(A44,'[1]LISTA ETIQUETAS'!O:W,5,0)))</f>
        <v>1.05</v>
      </c>
      <c r="G44" s="11">
        <f>IFERROR((VLOOKUP(A44,'[1]LISTA ETIQUETAS'!O:X,8,0)),"")</f>
        <v>0.42</v>
      </c>
      <c r="H44" s="11">
        <f>IFERROR((VLOOKUP(A44,'[1]LISTA ETIQUETAS'!O:X,9,0)),"")</f>
        <v>0</v>
      </c>
      <c r="I44" s="12">
        <f>IFERROR((VLOOKUP(A44,'[1]LISTA ETIQUETAS'!O:Y,11,0)),"")</f>
        <v>96372.32</v>
      </c>
      <c r="J44" s="6">
        <v>0</v>
      </c>
      <c r="K44" s="12">
        <f t="shared" si="0"/>
        <v>96372.32</v>
      </c>
      <c r="L44" s="7" t="str">
        <f>IF(VLOOKUP(A44,'[1]LISTA ETIQUETAS'!O:AB,14,0)="","",(VLOOKUP(A44,'[1]LISTA ETIQUETAS'!O:AB,14,0)))</f>
        <v>HO</v>
      </c>
      <c r="M44" s="8" t="s">
        <v>48</v>
      </c>
      <c r="N44" s="9" t="str">
        <f t="shared" si="1"/>
        <v>374358 | 374357 | 374356</v>
      </c>
      <c r="O44" s="2">
        <f>_xlfn.XLOOKUP($A44,'[1]LISTA ETIQUETAS'!$O:$O,'[1]LISTA ETIQUETAS'!C:C,"",0)</f>
        <v>0</v>
      </c>
      <c r="P44" s="2">
        <f>_xlfn.XLOOKUP($A44,'[1]LISTA ETIQUETAS'!$O:$O,'[1]LISTA ETIQUETAS'!D:D,"",0)</f>
        <v>0</v>
      </c>
      <c r="Q44" s="2">
        <f>_xlfn.XLOOKUP($A44,'[1]LISTA ETIQUETAS'!$O:$O,'[1]LISTA ETIQUETAS'!E:E,"",0)</f>
        <v>0</v>
      </c>
      <c r="R44" s="2">
        <f>_xlfn.XLOOKUP($A44,'[1]LISTA ETIQUETAS'!$O:$O,'[1]LISTA ETIQUETAS'!F:F,"",0)</f>
        <v>0</v>
      </c>
      <c r="S44" s="2">
        <f>_xlfn.XLOOKUP($A44,'[1]LISTA ETIQUETAS'!$O:$O,'[1]LISTA ETIQUETAS'!H:H,"",0)</f>
        <v>1</v>
      </c>
      <c r="T44" s="9">
        <f t="shared" si="2"/>
        <v>1</v>
      </c>
      <c r="U44" s="10" t="s">
        <v>628</v>
      </c>
    </row>
    <row r="45" spans="1:21" x14ac:dyDescent="0.25">
      <c r="A45" s="5">
        <v>374357</v>
      </c>
      <c r="B45" t="str">
        <f>IFERROR((VLOOKUP(A45,'[1]LISTA ETIQUETAS'!O:X,3,0)),"PRODUTO SEM ESTOQUE")</f>
        <v>EST MODULO ANGULAR DIR S/B HIMALAYA (CON) COURO FIRENZE 12</v>
      </c>
      <c r="C45" s="10" t="s">
        <v>13</v>
      </c>
      <c r="D45" s="10" t="s">
        <v>47</v>
      </c>
      <c r="E45" s="11">
        <f>IF(VLOOKUP(A45,'[1]LISTA ETIQUETAS'!O:W,4,0)="",(VLOOKUP(A45,'[1]LISTA ETIQUETAS'!O:W,6,0)),(VLOOKUP(A45,'[1]LISTA ETIQUETAS'!O:W,4,0)))</f>
        <v>2</v>
      </c>
      <c r="F45" s="11">
        <f>IF(VLOOKUP(A45,'[1]LISTA ETIQUETAS'!O:W,5,0)="",(VLOOKUP(A45,'[1]LISTA ETIQUETAS'!O:W,7,0)),(VLOOKUP(A45,'[1]LISTA ETIQUETAS'!O:W,5,0)))</f>
        <v>1.05</v>
      </c>
      <c r="G45" s="11">
        <f>IFERROR((VLOOKUP(A45,'[1]LISTA ETIQUETAS'!O:X,8,0)),"")</f>
        <v>0.74</v>
      </c>
      <c r="H45" s="11">
        <f>IFERROR((VLOOKUP(A45,'[1]LISTA ETIQUETAS'!O:X,9,0)),"")</f>
        <v>0</v>
      </c>
      <c r="I45" s="12">
        <f>IFERROR((VLOOKUP(A45,'[1]LISTA ETIQUETAS'!O:Y,11,0)),"")</f>
        <v>96372.32</v>
      </c>
      <c r="J45" s="6">
        <v>0</v>
      </c>
      <c r="K45" s="12">
        <f t="shared" si="0"/>
        <v>96372.32</v>
      </c>
      <c r="L45" s="7" t="str">
        <f>IF(VLOOKUP(A45,'[1]LISTA ETIQUETAS'!O:AB,14,0)="","",(VLOOKUP(A45,'[1]LISTA ETIQUETAS'!O:AB,14,0)))</f>
        <v>HO</v>
      </c>
      <c r="M45" s="8" t="s">
        <v>48</v>
      </c>
      <c r="N45" s="9" t="str">
        <f t="shared" si="1"/>
        <v>374358 | 374357 | 374356</v>
      </c>
      <c r="O45" s="2">
        <f>_xlfn.XLOOKUP($A45,'[1]LISTA ETIQUETAS'!$O:$O,'[1]LISTA ETIQUETAS'!C:C,"",0)</f>
        <v>0</v>
      </c>
      <c r="P45" s="2">
        <f>_xlfn.XLOOKUP($A45,'[1]LISTA ETIQUETAS'!$O:$O,'[1]LISTA ETIQUETAS'!D:D,"",0)</f>
        <v>0</v>
      </c>
      <c r="Q45" s="2">
        <f>_xlfn.XLOOKUP($A45,'[1]LISTA ETIQUETAS'!$O:$O,'[1]LISTA ETIQUETAS'!E:E,"",0)</f>
        <v>0</v>
      </c>
      <c r="R45" s="2">
        <f>_xlfn.XLOOKUP($A45,'[1]LISTA ETIQUETAS'!$O:$O,'[1]LISTA ETIQUETAS'!F:F,"",0)</f>
        <v>0</v>
      </c>
      <c r="S45" s="2">
        <f>_xlfn.XLOOKUP($A45,'[1]LISTA ETIQUETAS'!$O:$O,'[1]LISTA ETIQUETAS'!H:H,"",0)</f>
        <v>1</v>
      </c>
      <c r="T45" s="9">
        <f t="shared" si="2"/>
        <v>1</v>
      </c>
      <c r="U45" s="10" t="s">
        <v>628</v>
      </c>
    </row>
    <row r="46" spans="1:21" x14ac:dyDescent="0.25">
      <c r="A46" s="5">
        <v>374356</v>
      </c>
      <c r="B46" t="str">
        <f>IFERROR((VLOOKUP(A46,'[1]LISTA ETIQUETAS'!O:X,3,0)),"PRODUTO SEM ESTOQUE")</f>
        <v>EST MODULO ANGULAR B/DIR HIMALAYA (CON) COURO FIRENZE 12</v>
      </c>
      <c r="C46" s="10" t="s">
        <v>13</v>
      </c>
      <c r="D46" s="10" t="s">
        <v>47</v>
      </c>
      <c r="E46" s="11">
        <f>IF(VLOOKUP(A46,'[1]LISTA ETIQUETAS'!O:W,4,0)="",(VLOOKUP(A46,'[1]LISTA ETIQUETAS'!O:W,6,0)),(VLOOKUP(A46,'[1]LISTA ETIQUETAS'!O:W,4,0)))</f>
        <v>2</v>
      </c>
      <c r="F46" s="11">
        <f>IF(VLOOKUP(A46,'[1]LISTA ETIQUETAS'!O:W,5,0)="",(VLOOKUP(A46,'[1]LISTA ETIQUETAS'!O:W,7,0)),(VLOOKUP(A46,'[1]LISTA ETIQUETAS'!O:W,5,0)))</f>
        <v>1.05</v>
      </c>
      <c r="G46" s="11">
        <f>IFERROR((VLOOKUP(A46,'[1]LISTA ETIQUETAS'!O:X,8,0)),"")</f>
        <v>0.74</v>
      </c>
      <c r="H46" s="11">
        <f>IFERROR((VLOOKUP(A46,'[1]LISTA ETIQUETAS'!O:X,9,0)),"")</f>
        <v>0</v>
      </c>
      <c r="I46" s="12">
        <f>IFERROR((VLOOKUP(A46,'[1]LISTA ETIQUETAS'!O:Y,11,0)),"")</f>
        <v>96372.32</v>
      </c>
      <c r="J46" s="6">
        <v>0</v>
      </c>
      <c r="K46" s="12">
        <f t="shared" si="0"/>
        <v>96372.32</v>
      </c>
      <c r="L46" s="7" t="str">
        <f>IF(VLOOKUP(A46,'[1]LISTA ETIQUETAS'!O:AB,14,0)="","",(VLOOKUP(A46,'[1]LISTA ETIQUETAS'!O:AB,14,0)))</f>
        <v>HO</v>
      </c>
      <c r="M46" s="8" t="s">
        <v>48</v>
      </c>
      <c r="N46" s="9" t="str">
        <f t="shared" si="1"/>
        <v>374358 | 374357 | 374356</v>
      </c>
      <c r="O46" s="2">
        <f>_xlfn.XLOOKUP($A46,'[1]LISTA ETIQUETAS'!$O:$O,'[1]LISTA ETIQUETAS'!C:C,"",0)</f>
        <v>0</v>
      </c>
      <c r="P46" s="2">
        <f>_xlfn.XLOOKUP($A46,'[1]LISTA ETIQUETAS'!$O:$O,'[1]LISTA ETIQUETAS'!D:D,"",0)</f>
        <v>0</v>
      </c>
      <c r="Q46" s="2">
        <f>_xlfn.XLOOKUP($A46,'[1]LISTA ETIQUETAS'!$O:$O,'[1]LISTA ETIQUETAS'!E:E,"",0)</f>
        <v>0</v>
      </c>
      <c r="R46" s="2">
        <f>_xlfn.XLOOKUP($A46,'[1]LISTA ETIQUETAS'!$O:$O,'[1]LISTA ETIQUETAS'!F:F,"",0)</f>
        <v>0</v>
      </c>
      <c r="S46" s="2">
        <f>_xlfn.XLOOKUP($A46,'[1]LISTA ETIQUETAS'!$O:$O,'[1]LISTA ETIQUETAS'!H:H,"",0)</f>
        <v>1</v>
      </c>
      <c r="T46" s="9">
        <f t="shared" si="2"/>
        <v>1</v>
      </c>
      <c r="U46" s="10" t="s">
        <v>628</v>
      </c>
    </row>
    <row r="47" spans="1:21" x14ac:dyDescent="0.25">
      <c r="A47" s="5">
        <v>309891</v>
      </c>
      <c r="B47" t="str">
        <f>IFERROR((VLOOKUP(A47,'[1]LISTA ETIQUETAS'!O:X,3,0)),"PRODUTO SEM ESTOQUE")</f>
        <v>EST COMPONENTE PRATELEIRA ESTANTE VO (UNIAO) (LAM 2 NOG)</v>
      </c>
      <c r="C47" s="10" t="s">
        <v>49</v>
      </c>
      <c r="D47" s="10" t="s">
        <v>50</v>
      </c>
      <c r="E47" s="11">
        <f>IF(VLOOKUP(A47,'[1]LISTA ETIQUETAS'!O:W,4,0)="",(VLOOKUP(A47,'[1]LISTA ETIQUETAS'!O:W,6,0)),(VLOOKUP(A47,'[1]LISTA ETIQUETAS'!O:W,4,0)))</f>
        <v>0.6</v>
      </c>
      <c r="F47" s="11">
        <f>IF(VLOOKUP(A47,'[1]LISTA ETIQUETAS'!O:W,5,0)="",(VLOOKUP(A47,'[1]LISTA ETIQUETAS'!O:W,7,0)),(VLOOKUP(A47,'[1]LISTA ETIQUETAS'!O:W,5,0)))</f>
        <v>0.39</v>
      </c>
      <c r="G47" s="11">
        <f>IFERROR((VLOOKUP(A47,'[1]LISTA ETIQUETAS'!O:X,8,0)),"")</f>
        <v>0.02</v>
      </c>
      <c r="H47" s="11">
        <f>IFERROR((VLOOKUP(A47,'[1]LISTA ETIQUETAS'!O:X,9,0)),"")</f>
        <v>0</v>
      </c>
      <c r="I47" s="12">
        <f>IFERROR((VLOOKUP(A47,'[1]LISTA ETIQUETAS'!O:Y,11,0)),"")</f>
        <v>141393.60999999999</v>
      </c>
      <c r="J47" s="6">
        <v>0</v>
      </c>
      <c r="K47" s="12">
        <f t="shared" si="0"/>
        <v>141393.60999999999</v>
      </c>
      <c r="L47" s="7" t="str">
        <f>IF(VLOOKUP(A47,'[1]LISTA ETIQUETAS'!O:AB,14,0)="","",(VLOOKUP(A47,'[1]LISTA ETIQUETAS'!O:AB,14,0)))</f>
        <v>HN</v>
      </c>
      <c r="M47" s="8" t="s">
        <v>51</v>
      </c>
      <c r="N47" s="9" t="str">
        <f t="shared" si="1"/>
        <v>309891 | 299562 | 299533</v>
      </c>
      <c r="O47" s="2">
        <f>_xlfn.XLOOKUP($A47,'[1]LISTA ETIQUETAS'!$O:$O,'[1]LISTA ETIQUETAS'!C:C,"",0)</f>
        <v>0</v>
      </c>
      <c r="P47" s="2">
        <f>_xlfn.XLOOKUP($A47,'[1]LISTA ETIQUETAS'!$O:$O,'[1]LISTA ETIQUETAS'!D:D,"",0)</f>
        <v>0</v>
      </c>
      <c r="Q47" s="2">
        <f>_xlfn.XLOOKUP($A47,'[1]LISTA ETIQUETAS'!$O:$O,'[1]LISTA ETIQUETAS'!E:E,"",0)</f>
        <v>0</v>
      </c>
      <c r="R47" s="2">
        <f>_xlfn.XLOOKUP($A47,'[1]LISTA ETIQUETAS'!$O:$O,'[1]LISTA ETIQUETAS'!F:F,"",0)</f>
        <v>0</v>
      </c>
      <c r="S47" s="2">
        <f>_xlfn.XLOOKUP($A47,'[1]LISTA ETIQUETAS'!$O:$O,'[1]LISTA ETIQUETAS'!H:H,"",0)</f>
        <v>5</v>
      </c>
      <c r="T47" s="9">
        <f t="shared" si="2"/>
        <v>5</v>
      </c>
      <c r="U47" s="10" t="s">
        <v>628</v>
      </c>
    </row>
    <row r="48" spans="1:21" x14ac:dyDescent="0.25">
      <c r="A48" s="5">
        <v>299562</v>
      </c>
      <c r="B48" t="str">
        <f>IFERROR((VLOOKUP(A48,'[1]LISTA ETIQUETAS'!O:X,3,0)),"PRODUTO SEM ESTOQUE")</f>
        <v>EST ESTANTE VO (C) (MTZ ONIX PRETO) (LAM 2 NOGUEIRA)</v>
      </c>
      <c r="C48" s="10" t="s">
        <v>49</v>
      </c>
      <c r="D48" s="10" t="s">
        <v>50</v>
      </c>
      <c r="E48" s="11">
        <f>IF(VLOOKUP(A48,'[1]LISTA ETIQUETAS'!O:W,4,0)="",(VLOOKUP(A48,'[1]LISTA ETIQUETAS'!O:W,6,0)),(VLOOKUP(A48,'[1]LISTA ETIQUETAS'!O:W,4,0)))</f>
        <v>1.04</v>
      </c>
      <c r="F48" s="11">
        <f>IF(VLOOKUP(A48,'[1]LISTA ETIQUETAS'!O:W,5,0)="",(VLOOKUP(A48,'[1]LISTA ETIQUETAS'!O:W,7,0)),(VLOOKUP(A48,'[1]LISTA ETIQUETAS'!O:W,5,0)))</f>
        <v>0.45</v>
      </c>
      <c r="G48" s="11">
        <f>IFERROR((VLOOKUP(A48,'[1]LISTA ETIQUETAS'!O:X,8,0)),"")</f>
        <v>2.11</v>
      </c>
      <c r="H48" s="11">
        <f>IFERROR((VLOOKUP(A48,'[1]LISTA ETIQUETAS'!O:X,9,0)),"")</f>
        <v>0</v>
      </c>
      <c r="I48" s="12">
        <f>IFERROR((VLOOKUP(A48,'[1]LISTA ETIQUETAS'!O:Y,11,0)),"")</f>
        <v>141393.60999999999</v>
      </c>
      <c r="J48" s="6">
        <v>0</v>
      </c>
      <c r="K48" s="12">
        <f t="shared" si="0"/>
        <v>141393.60999999999</v>
      </c>
      <c r="L48" s="7" t="str">
        <f>IF(VLOOKUP(A48,'[1]LISTA ETIQUETAS'!O:AB,14,0)="","",(VLOOKUP(A48,'[1]LISTA ETIQUETAS'!O:AB,14,0)))</f>
        <v>HN</v>
      </c>
      <c r="M48" s="8" t="s">
        <v>51</v>
      </c>
      <c r="N48" s="9" t="str">
        <f t="shared" si="1"/>
        <v>309891 | 299562 | 299533</v>
      </c>
      <c r="O48" s="2">
        <f>_xlfn.XLOOKUP($A48,'[1]LISTA ETIQUETAS'!$O:$O,'[1]LISTA ETIQUETAS'!C:C,"",0)</f>
        <v>0</v>
      </c>
      <c r="P48" s="2">
        <f>_xlfn.XLOOKUP($A48,'[1]LISTA ETIQUETAS'!$O:$O,'[1]LISTA ETIQUETAS'!D:D,"",0)</f>
        <v>0</v>
      </c>
      <c r="Q48" s="2">
        <f>_xlfn.XLOOKUP($A48,'[1]LISTA ETIQUETAS'!$O:$O,'[1]LISTA ETIQUETAS'!E:E,"",0)</f>
        <v>1</v>
      </c>
      <c r="R48" s="2">
        <f>_xlfn.XLOOKUP($A48,'[1]LISTA ETIQUETAS'!$O:$O,'[1]LISTA ETIQUETAS'!F:F,"",0)</f>
        <v>0</v>
      </c>
      <c r="S48" s="2">
        <f>_xlfn.XLOOKUP($A48,'[1]LISTA ETIQUETAS'!$O:$O,'[1]LISTA ETIQUETAS'!H:H,"",0)</f>
        <v>1</v>
      </c>
      <c r="T48" s="9">
        <f t="shared" si="2"/>
        <v>2</v>
      </c>
      <c r="U48" s="10" t="s">
        <v>628</v>
      </c>
    </row>
    <row r="49" spans="1:21" x14ac:dyDescent="0.25">
      <c r="A49" s="5">
        <v>299533</v>
      </c>
      <c r="B49" t="str">
        <f>IFERROR((VLOOKUP(A49,'[1]LISTA ETIQUETAS'!O:X,3,0)),"PRODUTO SEM ESTOQUE")</f>
        <v>EST ESTANTE VO (B) (MTZ ONIX PRETO) (LAM 2 NOGUEIRA)</v>
      </c>
      <c r="C49" s="10" t="s">
        <v>49</v>
      </c>
      <c r="D49" s="10" t="s">
        <v>50</v>
      </c>
      <c r="E49" s="11">
        <f>IF(VLOOKUP(A49,'[1]LISTA ETIQUETAS'!O:W,4,0)="",(VLOOKUP(A49,'[1]LISTA ETIQUETAS'!O:W,6,0)),(VLOOKUP(A49,'[1]LISTA ETIQUETAS'!O:W,4,0)))</f>
        <v>1.04</v>
      </c>
      <c r="F49" s="11">
        <f>IF(VLOOKUP(A49,'[1]LISTA ETIQUETAS'!O:W,5,0)="",(VLOOKUP(A49,'[1]LISTA ETIQUETAS'!O:W,7,0)),(VLOOKUP(A49,'[1]LISTA ETIQUETAS'!O:W,5,0)))</f>
        <v>0.45</v>
      </c>
      <c r="G49" s="11">
        <f>IFERROR((VLOOKUP(A49,'[1]LISTA ETIQUETAS'!O:X,8,0)),"")</f>
        <v>2.11</v>
      </c>
      <c r="H49" s="11">
        <f>IFERROR((VLOOKUP(A49,'[1]LISTA ETIQUETAS'!O:X,9,0)),"")</f>
        <v>0</v>
      </c>
      <c r="I49" s="12">
        <f>IFERROR((VLOOKUP(A49,'[1]LISTA ETIQUETAS'!O:Y,11,0)),"")</f>
        <v>141393.60999999999</v>
      </c>
      <c r="J49" s="6">
        <v>0</v>
      </c>
      <c r="K49" s="12">
        <f t="shared" si="0"/>
        <v>141393.60999999999</v>
      </c>
      <c r="L49" s="7" t="str">
        <f>IF(VLOOKUP(A49,'[1]LISTA ETIQUETAS'!O:AB,14,0)="","",(VLOOKUP(A49,'[1]LISTA ETIQUETAS'!O:AB,14,0)))</f>
        <v>HN</v>
      </c>
      <c r="M49" s="8" t="s">
        <v>51</v>
      </c>
      <c r="N49" s="9" t="str">
        <f t="shared" si="1"/>
        <v>309891 | 299562 | 299533</v>
      </c>
      <c r="O49" s="2">
        <f>_xlfn.XLOOKUP($A49,'[1]LISTA ETIQUETAS'!$O:$O,'[1]LISTA ETIQUETAS'!C:C,"",0)</f>
        <v>0</v>
      </c>
      <c r="P49" s="2">
        <f>_xlfn.XLOOKUP($A49,'[1]LISTA ETIQUETAS'!$O:$O,'[1]LISTA ETIQUETAS'!D:D,"",0)</f>
        <v>0</v>
      </c>
      <c r="Q49" s="2">
        <f>_xlfn.XLOOKUP($A49,'[1]LISTA ETIQUETAS'!$O:$O,'[1]LISTA ETIQUETAS'!E:E,"",0)</f>
        <v>1</v>
      </c>
      <c r="R49" s="2">
        <f>_xlfn.XLOOKUP($A49,'[1]LISTA ETIQUETAS'!$O:$O,'[1]LISTA ETIQUETAS'!F:F,"",0)</f>
        <v>0</v>
      </c>
      <c r="S49" s="2">
        <f>_xlfn.XLOOKUP($A49,'[1]LISTA ETIQUETAS'!$O:$O,'[1]LISTA ETIQUETAS'!H:H,"",0)</f>
        <v>1</v>
      </c>
      <c r="T49" s="9">
        <f t="shared" si="2"/>
        <v>2</v>
      </c>
      <c r="U49" s="10" t="s">
        <v>628</v>
      </c>
    </row>
    <row r="50" spans="1:21" x14ac:dyDescent="0.25">
      <c r="A50" s="5">
        <v>371721</v>
      </c>
      <c r="B50" t="str">
        <f>IFERROR((VLOOKUP(A50,'[1]LISTA ETIQUETAS'!O:X,3,0)),"PRODUTO SEM ESTOQUE")</f>
        <v>EST TAMPO NINA (RAIO 25MM) (G3-ROMA IMP LEVIG)</v>
      </c>
      <c r="C50" s="10" t="s">
        <v>52</v>
      </c>
      <c r="D50" s="10" t="s">
        <v>53</v>
      </c>
      <c r="E50" s="11">
        <f>IF(VLOOKUP(A50,'[1]LISTA ETIQUETAS'!O:W,4,0)="",(VLOOKUP(A50,'[1]LISTA ETIQUETAS'!O:W,6,0)),(VLOOKUP(A50,'[1]LISTA ETIQUETAS'!O:W,4,0)))</f>
        <v>3</v>
      </c>
      <c r="F50" s="11">
        <f>IF(VLOOKUP(A50,'[1]LISTA ETIQUETAS'!O:W,5,0)="",(VLOOKUP(A50,'[1]LISTA ETIQUETAS'!O:W,7,0)),(VLOOKUP(A50,'[1]LISTA ETIQUETAS'!O:W,5,0)))</f>
        <v>1.3</v>
      </c>
      <c r="G50" s="11">
        <f>IFERROR((VLOOKUP(A50,'[1]LISTA ETIQUETAS'!O:X,8,0)),"")</f>
        <v>0.02</v>
      </c>
      <c r="H50" s="11">
        <f>IFERROR((VLOOKUP(A50,'[1]LISTA ETIQUETAS'!O:X,9,0)),"")</f>
        <v>0</v>
      </c>
      <c r="I50" s="12">
        <f>IFERROR((VLOOKUP(A50,'[1]LISTA ETIQUETAS'!O:Y,11,0)),"")</f>
        <v>88254.43</v>
      </c>
      <c r="J50" s="6">
        <v>0</v>
      </c>
      <c r="K50" s="12">
        <f t="shared" si="0"/>
        <v>88254.43</v>
      </c>
      <c r="L50" s="7" t="str">
        <f>IF(VLOOKUP(A50,'[1]LISTA ETIQUETAS'!O:AB,14,0)="","",(VLOOKUP(A50,'[1]LISTA ETIQUETAS'!O:AB,14,0)))</f>
        <v>HF</v>
      </c>
      <c r="M50" s="8" t="s">
        <v>54</v>
      </c>
      <c r="N50" s="9" t="str">
        <f t="shared" si="1"/>
        <v>371721 | 371720</v>
      </c>
      <c r="O50" s="2">
        <f>_xlfn.XLOOKUP($A50,'[1]LISTA ETIQUETAS'!$O:$O,'[1]LISTA ETIQUETAS'!C:C,"",0)</f>
        <v>0</v>
      </c>
      <c r="P50" s="2">
        <f>_xlfn.XLOOKUP($A50,'[1]LISTA ETIQUETAS'!$O:$O,'[1]LISTA ETIQUETAS'!D:D,"",0)</f>
        <v>0</v>
      </c>
      <c r="Q50" s="2">
        <f>_xlfn.XLOOKUP($A50,'[1]LISTA ETIQUETAS'!$O:$O,'[1]LISTA ETIQUETAS'!E:E,"",0)</f>
        <v>0</v>
      </c>
      <c r="R50" s="2">
        <f>_xlfn.XLOOKUP($A50,'[1]LISTA ETIQUETAS'!$O:$O,'[1]LISTA ETIQUETAS'!F:F,"",0)</f>
        <v>0</v>
      </c>
      <c r="S50" s="2">
        <f>_xlfn.XLOOKUP($A50,'[1]LISTA ETIQUETAS'!$O:$O,'[1]LISTA ETIQUETAS'!H:H,"",0)</f>
        <v>1</v>
      </c>
      <c r="T50" s="9">
        <f t="shared" si="2"/>
        <v>1</v>
      </c>
      <c r="U50" s="10" t="s">
        <v>628</v>
      </c>
    </row>
    <row r="51" spans="1:21" x14ac:dyDescent="0.25">
      <c r="A51" s="5">
        <v>371720</v>
      </c>
      <c r="B51" t="str">
        <f>IFERROR((VLOOKUP(A51,'[1]LISTA ETIQUETAS'!O:X,3,0)),"PRODUTO SEM ESTOQUE")</f>
        <v>EST BASE JANTAR NINA (TAUARI TING NOG)</v>
      </c>
      <c r="C51" s="10" t="s">
        <v>52</v>
      </c>
      <c r="D51" s="10" t="s">
        <v>55</v>
      </c>
      <c r="E51" s="11">
        <f>IF(VLOOKUP(A51,'[1]LISTA ETIQUETAS'!O:W,4,0)="",(VLOOKUP(A51,'[1]LISTA ETIQUETAS'!O:W,6,0)),(VLOOKUP(A51,'[1]LISTA ETIQUETAS'!O:W,4,0)))</f>
        <v>3</v>
      </c>
      <c r="F51" s="11">
        <f>IF(VLOOKUP(A51,'[1]LISTA ETIQUETAS'!O:W,5,0)="",(VLOOKUP(A51,'[1]LISTA ETIQUETAS'!O:W,7,0)),(VLOOKUP(A51,'[1]LISTA ETIQUETAS'!O:W,5,0)))</f>
        <v>1.3</v>
      </c>
      <c r="G51" s="11">
        <f>IFERROR((VLOOKUP(A51,'[1]LISTA ETIQUETAS'!O:X,8,0)),"")</f>
        <v>0.73</v>
      </c>
      <c r="H51" s="11">
        <f>IFERROR((VLOOKUP(A51,'[1]LISTA ETIQUETAS'!O:X,9,0)),"")</f>
        <v>0</v>
      </c>
      <c r="I51" s="12">
        <f>IFERROR((VLOOKUP(A51,'[1]LISTA ETIQUETAS'!O:Y,11,0)),"")</f>
        <v>88254.43</v>
      </c>
      <c r="J51" s="6">
        <v>0</v>
      </c>
      <c r="K51" s="12">
        <f t="shared" si="0"/>
        <v>88254.43</v>
      </c>
      <c r="L51" s="7" t="str">
        <f>IF(VLOOKUP(A51,'[1]LISTA ETIQUETAS'!O:AB,14,0)="","",(VLOOKUP(A51,'[1]LISTA ETIQUETAS'!O:AB,14,0)))</f>
        <v>HF</v>
      </c>
      <c r="M51" s="8" t="s">
        <v>54</v>
      </c>
      <c r="N51" s="9" t="str">
        <f t="shared" si="1"/>
        <v>371721 | 371720</v>
      </c>
      <c r="O51" s="2">
        <f>_xlfn.XLOOKUP($A51,'[1]LISTA ETIQUETAS'!$O:$O,'[1]LISTA ETIQUETAS'!C:C,"",0)</f>
        <v>0</v>
      </c>
      <c r="P51" s="2">
        <f>_xlfn.XLOOKUP($A51,'[1]LISTA ETIQUETAS'!$O:$O,'[1]LISTA ETIQUETAS'!D:D,"",0)</f>
        <v>0</v>
      </c>
      <c r="Q51" s="2">
        <f>_xlfn.XLOOKUP($A51,'[1]LISTA ETIQUETAS'!$O:$O,'[1]LISTA ETIQUETAS'!E:E,"",0)</f>
        <v>0</v>
      </c>
      <c r="R51" s="2">
        <f>_xlfn.XLOOKUP($A51,'[1]LISTA ETIQUETAS'!$O:$O,'[1]LISTA ETIQUETAS'!F:F,"",0)</f>
        <v>0</v>
      </c>
      <c r="S51" s="2">
        <f>_xlfn.XLOOKUP($A51,'[1]LISTA ETIQUETAS'!$O:$O,'[1]LISTA ETIQUETAS'!H:H,"",0)</f>
        <v>1</v>
      </c>
      <c r="T51" s="9">
        <f t="shared" si="2"/>
        <v>1</v>
      </c>
      <c r="U51" s="10" t="s">
        <v>628</v>
      </c>
    </row>
    <row r="52" spans="1:21" x14ac:dyDescent="0.25">
      <c r="A52" s="5">
        <v>372118</v>
      </c>
      <c r="B52" t="str">
        <f>IFERROR((VLOOKUP(A52,'[1]LISTA ETIQUETAS'!O:X,3,0)),"PRODUTO SEM ESTOQUE")</f>
        <v>EST BUFFET YAACOV (B) (TAUARI NATURAL) (TP G2 RAFFAELLO)</v>
      </c>
      <c r="C52" s="10" t="s">
        <v>56</v>
      </c>
      <c r="D52" s="10" t="s">
        <v>57</v>
      </c>
      <c r="E52" s="11">
        <f>IF(VLOOKUP(A52,'[1]LISTA ETIQUETAS'!O:W,4,0)="",(VLOOKUP(A52,'[1]LISTA ETIQUETAS'!O:W,6,0)),(VLOOKUP(A52,'[1]LISTA ETIQUETAS'!O:W,4,0)))</f>
        <v>2.58</v>
      </c>
      <c r="F52" s="11">
        <f>IF(VLOOKUP(A52,'[1]LISTA ETIQUETAS'!O:W,5,0)="",(VLOOKUP(A52,'[1]LISTA ETIQUETAS'!O:W,7,0)),(VLOOKUP(A52,'[1]LISTA ETIQUETAS'!O:W,5,0)))</f>
        <v>0.55000000000000004</v>
      </c>
      <c r="G52" s="11">
        <f>IFERROR((VLOOKUP(A52,'[1]LISTA ETIQUETAS'!O:X,8,0)),"")</f>
        <v>0.7</v>
      </c>
      <c r="H52" s="11">
        <f>IFERROR((VLOOKUP(A52,'[1]LISTA ETIQUETAS'!O:X,9,0)),"")</f>
        <v>0</v>
      </c>
      <c r="I52" s="12">
        <f>IFERROR((VLOOKUP(A52,'[1]LISTA ETIQUETAS'!O:Y,11,0)),"")</f>
        <v>67969.66</v>
      </c>
      <c r="J52" s="6">
        <v>0</v>
      </c>
      <c r="K52" s="12">
        <f t="shared" si="0"/>
        <v>67969.66</v>
      </c>
      <c r="L52" s="7" t="str">
        <f>IF(VLOOKUP(A52,'[1]LISTA ETIQUETAS'!O:AB,14,0)="","",(VLOOKUP(A52,'[1]LISTA ETIQUETAS'!O:AB,14,0)))</f>
        <v>HB</v>
      </c>
      <c r="M52" s="8" t="s">
        <v>58</v>
      </c>
      <c r="N52" s="9" t="str">
        <f t="shared" si="1"/>
        <v>372118 | 371961</v>
      </c>
      <c r="O52" s="2">
        <f>_xlfn.XLOOKUP($A52,'[1]LISTA ETIQUETAS'!$O:$O,'[1]LISTA ETIQUETAS'!C:C,"",0)</f>
        <v>0</v>
      </c>
      <c r="P52" s="2">
        <f>_xlfn.XLOOKUP($A52,'[1]LISTA ETIQUETAS'!$O:$O,'[1]LISTA ETIQUETAS'!D:D,"",0)</f>
        <v>0</v>
      </c>
      <c r="Q52" s="2">
        <f>_xlfn.XLOOKUP($A52,'[1]LISTA ETIQUETAS'!$O:$O,'[1]LISTA ETIQUETAS'!E:E,"",0)</f>
        <v>0</v>
      </c>
      <c r="R52" s="2">
        <f>_xlfn.XLOOKUP($A52,'[1]LISTA ETIQUETAS'!$O:$O,'[1]LISTA ETIQUETAS'!F:F,"",0)</f>
        <v>0</v>
      </c>
      <c r="S52" s="2">
        <f>_xlfn.XLOOKUP($A52,'[1]LISTA ETIQUETAS'!$O:$O,'[1]LISTA ETIQUETAS'!H:H,"",0)</f>
        <v>1</v>
      </c>
      <c r="T52" s="9">
        <f t="shared" si="2"/>
        <v>1</v>
      </c>
      <c r="U52" s="10" t="s">
        <v>628</v>
      </c>
    </row>
    <row r="53" spans="1:21" x14ac:dyDescent="0.25">
      <c r="A53" s="5">
        <v>371961</v>
      </c>
      <c r="B53" t="str">
        <f>IFERROR((VLOOKUP(A53,'[1]LISTA ETIQUETAS'!O:X,3,0)),"PRODUTO SEM ESTOQUE")</f>
        <v>EST TAMPO BUFFET YAACOV (G2-RAFFAELLO LEVIG)</v>
      </c>
      <c r="C53" s="10" t="s">
        <v>56</v>
      </c>
      <c r="D53" s="10" t="s">
        <v>59</v>
      </c>
      <c r="E53" s="11">
        <f>IF(VLOOKUP(A53,'[1]LISTA ETIQUETAS'!O:W,4,0)="",(VLOOKUP(A53,'[1]LISTA ETIQUETAS'!O:W,6,0)),(VLOOKUP(A53,'[1]LISTA ETIQUETAS'!O:W,4,0)))</f>
        <v>1</v>
      </c>
      <c r="F53" s="11">
        <f>IF(VLOOKUP(A53,'[1]LISTA ETIQUETAS'!O:W,5,0)="",(VLOOKUP(A53,'[1]LISTA ETIQUETAS'!O:W,7,0)),(VLOOKUP(A53,'[1]LISTA ETIQUETAS'!O:W,5,0)))</f>
        <v>0.5</v>
      </c>
      <c r="G53" s="11">
        <f>IFERROR((VLOOKUP(A53,'[1]LISTA ETIQUETAS'!O:X,8,0)),"")</f>
        <v>0.02</v>
      </c>
      <c r="H53" s="11">
        <f>IFERROR((VLOOKUP(A53,'[1]LISTA ETIQUETAS'!O:X,9,0)),"")</f>
        <v>0</v>
      </c>
      <c r="I53" s="12">
        <f>IFERROR((VLOOKUP(A53,'[1]LISTA ETIQUETAS'!O:Y,11,0)),"")</f>
        <v>67969.66</v>
      </c>
      <c r="J53" s="6">
        <v>0</v>
      </c>
      <c r="K53" s="12">
        <f t="shared" si="0"/>
        <v>67969.66</v>
      </c>
      <c r="L53" s="7" t="str">
        <f>IF(VLOOKUP(A53,'[1]LISTA ETIQUETAS'!O:AB,14,0)="","",(VLOOKUP(A53,'[1]LISTA ETIQUETAS'!O:AB,14,0)))</f>
        <v>HB</v>
      </c>
      <c r="M53" s="8" t="s">
        <v>58</v>
      </c>
      <c r="N53" s="9" t="str">
        <f t="shared" si="1"/>
        <v>372118 | 371961</v>
      </c>
      <c r="O53" s="2">
        <f>_xlfn.XLOOKUP($A53,'[1]LISTA ETIQUETAS'!$O:$O,'[1]LISTA ETIQUETAS'!C:C,"",0)</f>
        <v>0</v>
      </c>
      <c r="P53" s="2">
        <f>_xlfn.XLOOKUP($A53,'[1]LISTA ETIQUETAS'!$O:$O,'[1]LISTA ETIQUETAS'!D:D,"",0)</f>
        <v>0</v>
      </c>
      <c r="Q53" s="2">
        <f>_xlfn.XLOOKUP($A53,'[1]LISTA ETIQUETAS'!$O:$O,'[1]LISTA ETIQUETAS'!E:E,"",0)</f>
        <v>0</v>
      </c>
      <c r="R53" s="2">
        <f>_xlfn.XLOOKUP($A53,'[1]LISTA ETIQUETAS'!$O:$O,'[1]LISTA ETIQUETAS'!F:F,"",0)</f>
        <v>0</v>
      </c>
      <c r="S53" s="2">
        <f>_xlfn.XLOOKUP($A53,'[1]LISTA ETIQUETAS'!$O:$O,'[1]LISTA ETIQUETAS'!H:H,"",0)</f>
        <v>2</v>
      </c>
      <c r="T53" s="9">
        <f t="shared" si="2"/>
        <v>2</v>
      </c>
      <c r="U53" s="10" t="s">
        <v>628</v>
      </c>
    </row>
    <row r="54" spans="1:21" x14ac:dyDescent="0.25">
      <c r="A54" s="5">
        <v>319559</v>
      </c>
      <c r="B54" t="str">
        <f>IFERROR((VLOOKUP(A54,'[1]LISTA ETIQUETAS'!O:X,3,0)),"PRODUTO SEM ESTOQUE")</f>
        <v>EST MODULO BRACO ESQUERDO MALONE FX F7140</v>
      </c>
      <c r="C54" s="10" t="s">
        <v>13</v>
      </c>
      <c r="D54" s="10" t="s">
        <v>60</v>
      </c>
      <c r="E54" s="11">
        <f>IF(VLOOKUP(A54,'[1]LISTA ETIQUETAS'!O:W,4,0)="",(VLOOKUP(A54,'[1]LISTA ETIQUETAS'!O:W,6,0)),(VLOOKUP(A54,'[1]LISTA ETIQUETAS'!O:W,4,0)))</f>
        <v>1.5</v>
      </c>
      <c r="F54" s="11">
        <f>IF(VLOOKUP(A54,'[1]LISTA ETIQUETAS'!O:W,5,0)="",(VLOOKUP(A54,'[1]LISTA ETIQUETAS'!O:W,7,0)),(VLOOKUP(A54,'[1]LISTA ETIQUETAS'!O:W,5,0)))</f>
        <v>1</v>
      </c>
      <c r="G54" s="11">
        <f>IFERROR((VLOOKUP(A54,'[1]LISTA ETIQUETAS'!O:X,8,0)),"")</f>
        <v>0.85</v>
      </c>
      <c r="H54" s="11">
        <f>IFERROR((VLOOKUP(A54,'[1]LISTA ETIQUETAS'!O:X,9,0)),"")</f>
        <v>0</v>
      </c>
      <c r="I54" s="12">
        <f>IFERROR((VLOOKUP(A54,'[1]LISTA ETIQUETAS'!O:Y,11,0)),"")</f>
        <v>33838.959999999999</v>
      </c>
      <c r="J54" s="6">
        <v>0</v>
      </c>
      <c r="K54" s="12">
        <f t="shared" si="0"/>
        <v>33838.959999999999</v>
      </c>
      <c r="L54" s="7" t="str">
        <f>IF(VLOOKUP(A54,'[1]LISTA ETIQUETAS'!O:AB,14,0)="","",(VLOOKUP(A54,'[1]LISTA ETIQUETAS'!O:AB,14,0)))</f>
        <v>H</v>
      </c>
      <c r="M54" s="8" t="s">
        <v>61</v>
      </c>
      <c r="N54" s="9" t="str">
        <f t="shared" si="1"/>
        <v>319559 | 319558</v>
      </c>
      <c r="O54" s="2">
        <f>_xlfn.XLOOKUP($A54,'[1]LISTA ETIQUETAS'!$O:$O,'[1]LISTA ETIQUETAS'!C:C,"",0)</f>
        <v>0</v>
      </c>
      <c r="P54" s="2">
        <f>_xlfn.XLOOKUP($A54,'[1]LISTA ETIQUETAS'!$O:$O,'[1]LISTA ETIQUETAS'!D:D,"",0)</f>
        <v>0</v>
      </c>
      <c r="Q54" s="2">
        <f>_xlfn.XLOOKUP($A54,'[1]LISTA ETIQUETAS'!$O:$O,'[1]LISTA ETIQUETAS'!E:E,"",0)</f>
        <v>0</v>
      </c>
      <c r="R54" s="2">
        <f>_xlfn.XLOOKUP($A54,'[1]LISTA ETIQUETAS'!$O:$O,'[1]LISTA ETIQUETAS'!F:F,"",0)</f>
        <v>0</v>
      </c>
      <c r="S54" s="2">
        <f>_xlfn.XLOOKUP($A54,'[1]LISTA ETIQUETAS'!$O:$O,'[1]LISTA ETIQUETAS'!H:H,"",0)</f>
        <v>1</v>
      </c>
      <c r="T54" s="9">
        <f t="shared" si="2"/>
        <v>1</v>
      </c>
      <c r="U54" s="10" t="s">
        <v>628</v>
      </c>
    </row>
    <row r="55" spans="1:21" x14ac:dyDescent="0.25">
      <c r="A55" s="5">
        <v>319558</v>
      </c>
      <c r="B55" t="str">
        <f>IFERROR((VLOOKUP(A55,'[1]LISTA ETIQUETAS'!O:X,3,0)),"PRODUTO SEM ESTOQUE")</f>
        <v>EST MODULO BRACO DIREITO MALONE FX F7140</v>
      </c>
      <c r="C55" s="10" t="s">
        <v>13</v>
      </c>
      <c r="D55" s="10" t="s">
        <v>60</v>
      </c>
      <c r="E55" s="11">
        <f>IF(VLOOKUP(A55,'[1]LISTA ETIQUETAS'!O:W,4,0)="",(VLOOKUP(A55,'[1]LISTA ETIQUETAS'!O:W,6,0)),(VLOOKUP(A55,'[1]LISTA ETIQUETAS'!O:W,4,0)))</f>
        <v>1.5</v>
      </c>
      <c r="F55" s="11">
        <f>IF(VLOOKUP(A55,'[1]LISTA ETIQUETAS'!O:W,5,0)="",(VLOOKUP(A55,'[1]LISTA ETIQUETAS'!O:W,7,0)),(VLOOKUP(A55,'[1]LISTA ETIQUETAS'!O:W,5,0)))</f>
        <v>1</v>
      </c>
      <c r="G55" s="11">
        <f>IFERROR((VLOOKUP(A55,'[1]LISTA ETIQUETAS'!O:X,8,0)),"")</f>
        <v>0.85</v>
      </c>
      <c r="H55" s="11">
        <f>IFERROR((VLOOKUP(A55,'[1]LISTA ETIQUETAS'!O:X,9,0)),"")</f>
        <v>0</v>
      </c>
      <c r="I55" s="12">
        <f>IFERROR((VLOOKUP(A55,'[1]LISTA ETIQUETAS'!O:Y,11,0)),"")</f>
        <v>33838.959999999999</v>
      </c>
      <c r="J55" s="6">
        <v>0</v>
      </c>
      <c r="K55" s="12">
        <f t="shared" si="0"/>
        <v>33838.959999999999</v>
      </c>
      <c r="L55" s="7" t="str">
        <f>IF(VLOOKUP(A55,'[1]LISTA ETIQUETAS'!O:AB,14,0)="","",(VLOOKUP(A55,'[1]LISTA ETIQUETAS'!O:AB,14,0)))</f>
        <v>H</v>
      </c>
      <c r="M55" s="8" t="s">
        <v>61</v>
      </c>
      <c r="N55" s="9" t="str">
        <f t="shared" si="1"/>
        <v>319559 | 319558</v>
      </c>
      <c r="O55" s="2">
        <f>_xlfn.XLOOKUP($A55,'[1]LISTA ETIQUETAS'!$O:$O,'[1]LISTA ETIQUETAS'!C:C,"",0)</f>
        <v>0</v>
      </c>
      <c r="P55" s="2">
        <f>_xlfn.XLOOKUP($A55,'[1]LISTA ETIQUETAS'!$O:$O,'[1]LISTA ETIQUETAS'!D:D,"",0)</f>
        <v>0</v>
      </c>
      <c r="Q55" s="2">
        <f>_xlfn.XLOOKUP($A55,'[1]LISTA ETIQUETAS'!$O:$O,'[1]LISTA ETIQUETAS'!E:E,"",0)</f>
        <v>0</v>
      </c>
      <c r="R55" s="2">
        <f>_xlfn.XLOOKUP($A55,'[1]LISTA ETIQUETAS'!$O:$O,'[1]LISTA ETIQUETAS'!F:F,"",0)</f>
        <v>0</v>
      </c>
      <c r="S55" s="2">
        <f>_xlfn.XLOOKUP($A55,'[1]LISTA ETIQUETAS'!$O:$O,'[1]LISTA ETIQUETAS'!H:H,"",0)</f>
        <v>1</v>
      </c>
      <c r="T55" s="9">
        <f t="shared" si="2"/>
        <v>1</v>
      </c>
      <c r="U55" s="10" t="s">
        <v>628</v>
      </c>
    </row>
    <row r="56" spans="1:21" x14ac:dyDescent="0.25">
      <c r="A56" s="5">
        <v>224382</v>
      </c>
      <c r="B56" t="str">
        <f>IFERROR((VLOOKUP(A56,'[1]LISTA ETIQUETAS'!O:X,3,0)),"PRODUTO SEM ESTOQUE")</f>
        <v>EST MODULO CHAISE BRACO ESQ CHATEAU (PES MTX PRETO) FX C3062</v>
      </c>
      <c r="C56" s="10" t="s">
        <v>13</v>
      </c>
      <c r="D56" s="10" t="s">
        <v>62</v>
      </c>
      <c r="E56" s="11">
        <f>IF(VLOOKUP(A56,'[1]LISTA ETIQUETAS'!O:W,4,0)="",(VLOOKUP(A56,'[1]LISTA ETIQUETAS'!O:W,6,0)),(VLOOKUP(A56,'[1]LISTA ETIQUETAS'!O:W,4,0)))</f>
        <v>1.3</v>
      </c>
      <c r="F56" s="11">
        <f>IF(VLOOKUP(A56,'[1]LISTA ETIQUETAS'!O:W,5,0)="",(VLOOKUP(A56,'[1]LISTA ETIQUETAS'!O:W,7,0)),(VLOOKUP(A56,'[1]LISTA ETIQUETAS'!O:W,5,0)))</f>
        <v>2.4500000000000002</v>
      </c>
      <c r="G56" s="11">
        <f>IFERROR((VLOOKUP(A56,'[1]LISTA ETIQUETAS'!O:X,8,0)),"")</f>
        <v>0.94</v>
      </c>
      <c r="H56" s="11">
        <f>IFERROR((VLOOKUP(A56,'[1]LISTA ETIQUETAS'!O:X,9,0)),"")</f>
        <v>0</v>
      </c>
      <c r="I56" s="12">
        <f>IFERROR((VLOOKUP(A56,'[1]LISTA ETIQUETAS'!O:Y,11,0)),"")</f>
        <v>50634.13</v>
      </c>
      <c r="J56" s="6">
        <v>0</v>
      </c>
      <c r="K56" s="12">
        <f t="shared" si="0"/>
        <v>50634.13</v>
      </c>
      <c r="L56" s="7" t="str">
        <f>IF(VLOOKUP(A56,'[1]LISTA ETIQUETAS'!O:AB,14,0)="","",(VLOOKUP(A56,'[1]LISTA ETIQUETAS'!O:AB,14,0)))</f>
        <v>GX</v>
      </c>
      <c r="M56" s="8" t="s">
        <v>63</v>
      </c>
      <c r="N56" s="9" t="str">
        <f t="shared" si="1"/>
        <v>224382 | 224381</v>
      </c>
      <c r="O56" s="2">
        <f>_xlfn.XLOOKUP($A56,'[1]LISTA ETIQUETAS'!$O:$O,'[1]LISTA ETIQUETAS'!C:C,"",0)</f>
        <v>0</v>
      </c>
      <c r="P56" s="2">
        <f>_xlfn.XLOOKUP($A56,'[1]LISTA ETIQUETAS'!$O:$O,'[1]LISTA ETIQUETAS'!D:D,"",0)</f>
        <v>0</v>
      </c>
      <c r="Q56" s="2">
        <f>_xlfn.XLOOKUP($A56,'[1]LISTA ETIQUETAS'!$O:$O,'[1]LISTA ETIQUETAS'!E:E,"",0)</f>
        <v>0</v>
      </c>
      <c r="R56" s="2">
        <f>_xlfn.XLOOKUP($A56,'[1]LISTA ETIQUETAS'!$O:$O,'[1]LISTA ETIQUETAS'!F:F,"",0)</f>
        <v>0</v>
      </c>
      <c r="S56" s="2">
        <f>_xlfn.XLOOKUP($A56,'[1]LISTA ETIQUETAS'!$O:$O,'[1]LISTA ETIQUETAS'!H:H,"",0)</f>
        <v>1</v>
      </c>
      <c r="T56" s="9">
        <f t="shared" si="2"/>
        <v>1</v>
      </c>
      <c r="U56" s="10" t="s">
        <v>628</v>
      </c>
    </row>
    <row r="57" spans="1:21" x14ac:dyDescent="0.25">
      <c r="A57" s="5">
        <v>224381</v>
      </c>
      <c r="B57" t="str">
        <f>IFERROR((VLOOKUP(A57,'[1]LISTA ETIQUETAS'!O:X,3,0)),"PRODUTO SEM ESTOQUE")</f>
        <v>EST MODULO BRACO DIR CHATEAU (2AS) (PES MTX PRETO) FX C3062</v>
      </c>
      <c r="C57" s="10" t="s">
        <v>13</v>
      </c>
      <c r="D57" s="10" t="s">
        <v>62</v>
      </c>
      <c r="E57" s="11">
        <f>IF(VLOOKUP(A57,'[1]LISTA ETIQUETAS'!O:W,4,0)="",(VLOOKUP(A57,'[1]LISTA ETIQUETAS'!O:W,6,0)),(VLOOKUP(A57,'[1]LISTA ETIQUETAS'!O:W,4,0)))</f>
        <v>2.2999999999999998</v>
      </c>
      <c r="F57" s="11">
        <f>IF(VLOOKUP(A57,'[1]LISTA ETIQUETAS'!O:W,5,0)="",(VLOOKUP(A57,'[1]LISTA ETIQUETAS'!O:W,7,0)),(VLOOKUP(A57,'[1]LISTA ETIQUETAS'!O:W,5,0)))</f>
        <v>0.96</v>
      </c>
      <c r="G57" s="11">
        <f>IFERROR((VLOOKUP(A57,'[1]LISTA ETIQUETAS'!O:X,8,0)),"")</f>
        <v>0.94</v>
      </c>
      <c r="H57" s="11">
        <f>IFERROR((VLOOKUP(A57,'[1]LISTA ETIQUETAS'!O:X,9,0)),"")</f>
        <v>0</v>
      </c>
      <c r="I57" s="12">
        <f>IFERROR((VLOOKUP(A57,'[1]LISTA ETIQUETAS'!O:Y,11,0)),"")</f>
        <v>50634.13</v>
      </c>
      <c r="J57" s="6">
        <v>0</v>
      </c>
      <c r="K57" s="12">
        <f t="shared" si="0"/>
        <v>50634.13</v>
      </c>
      <c r="L57" s="7" t="str">
        <f>IF(VLOOKUP(A57,'[1]LISTA ETIQUETAS'!O:AB,14,0)="","",(VLOOKUP(A57,'[1]LISTA ETIQUETAS'!O:AB,14,0)))</f>
        <v>GX</v>
      </c>
      <c r="M57" s="8" t="s">
        <v>63</v>
      </c>
      <c r="N57" s="9" t="str">
        <f t="shared" si="1"/>
        <v>224382 | 224381</v>
      </c>
      <c r="O57" s="2">
        <f>_xlfn.XLOOKUP($A57,'[1]LISTA ETIQUETAS'!$O:$O,'[1]LISTA ETIQUETAS'!C:C,"",0)</f>
        <v>0</v>
      </c>
      <c r="P57" s="2">
        <f>_xlfn.XLOOKUP($A57,'[1]LISTA ETIQUETAS'!$O:$O,'[1]LISTA ETIQUETAS'!D:D,"",0)</f>
        <v>0</v>
      </c>
      <c r="Q57" s="2">
        <f>_xlfn.XLOOKUP($A57,'[1]LISTA ETIQUETAS'!$O:$O,'[1]LISTA ETIQUETAS'!E:E,"",0)</f>
        <v>0</v>
      </c>
      <c r="R57" s="2">
        <f>_xlfn.XLOOKUP($A57,'[1]LISTA ETIQUETAS'!$O:$O,'[1]LISTA ETIQUETAS'!F:F,"",0)</f>
        <v>0</v>
      </c>
      <c r="S57" s="2">
        <f>_xlfn.XLOOKUP($A57,'[1]LISTA ETIQUETAS'!$O:$O,'[1]LISTA ETIQUETAS'!H:H,"",0)</f>
        <v>1</v>
      </c>
      <c r="T57" s="9">
        <f t="shared" si="2"/>
        <v>1</v>
      </c>
      <c r="U57" s="10" t="s">
        <v>628</v>
      </c>
    </row>
    <row r="58" spans="1:21" x14ac:dyDescent="0.25">
      <c r="A58" s="5">
        <v>371916</v>
      </c>
      <c r="B58" t="str">
        <f>IFERROR((VLOOKUP(A58,'[1]LISTA ETIQUETAS'!O:X,3,0)),"PRODUTO SEM ESTOQUE")</f>
        <v>EST BASE JANTAR HOLG (JEQUITIBA TING NOGUEIRA)</v>
      </c>
      <c r="C58" s="10" t="s">
        <v>52</v>
      </c>
      <c r="D58" s="10" t="s">
        <v>64</v>
      </c>
      <c r="E58" s="11">
        <f>IF(VLOOKUP(A58,'[1]LISTA ETIQUETAS'!O:W,4,0)="",(VLOOKUP(A58,'[1]LISTA ETIQUETAS'!O:W,6,0)),(VLOOKUP(A58,'[1]LISTA ETIQUETAS'!O:W,4,0)))</f>
        <v>2.62</v>
      </c>
      <c r="F58" s="11">
        <f>IF(VLOOKUP(A58,'[1]LISTA ETIQUETAS'!O:W,5,0)="",(VLOOKUP(A58,'[1]LISTA ETIQUETAS'!O:W,7,0)),(VLOOKUP(A58,'[1]LISTA ETIQUETAS'!O:W,5,0)))</f>
        <v>1.1200000000000001</v>
      </c>
      <c r="G58" s="11">
        <f>IFERROR((VLOOKUP(A58,'[1]LISTA ETIQUETAS'!O:X,8,0)),"")</f>
        <v>0.76</v>
      </c>
      <c r="H58" s="11">
        <f>IFERROR((VLOOKUP(A58,'[1]LISTA ETIQUETAS'!O:X,9,0)),"")</f>
        <v>0</v>
      </c>
      <c r="I58" s="12">
        <f>IFERROR((VLOOKUP(A58,'[1]LISTA ETIQUETAS'!O:Y,11,0)),"")</f>
        <v>108840.838</v>
      </c>
      <c r="J58" s="6">
        <v>0</v>
      </c>
      <c r="K58" s="12">
        <f t="shared" si="0"/>
        <v>108840.838</v>
      </c>
      <c r="L58" s="7" t="str">
        <f>IF(VLOOKUP(A58,'[1]LISTA ETIQUETAS'!O:AB,14,0)="","",(VLOOKUP(A58,'[1]LISTA ETIQUETAS'!O:AB,14,0)))</f>
        <v>GW</v>
      </c>
      <c r="M58" s="8" t="s">
        <v>65</v>
      </c>
      <c r="N58" s="9" t="str">
        <f t="shared" si="1"/>
        <v>371917 | 371916</v>
      </c>
      <c r="O58" s="2">
        <f>_xlfn.XLOOKUP($A58,'[1]LISTA ETIQUETAS'!$O:$O,'[1]LISTA ETIQUETAS'!C:C,"",0)</f>
        <v>0</v>
      </c>
      <c r="P58" s="2">
        <f>_xlfn.XLOOKUP($A58,'[1]LISTA ETIQUETAS'!$O:$O,'[1]LISTA ETIQUETAS'!D:D,"",0)</f>
        <v>0</v>
      </c>
      <c r="Q58" s="2">
        <f>_xlfn.XLOOKUP($A58,'[1]LISTA ETIQUETAS'!$O:$O,'[1]LISTA ETIQUETAS'!E:E,"",0)</f>
        <v>0</v>
      </c>
      <c r="R58" s="2">
        <f>_xlfn.XLOOKUP($A58,'[1]LISTA ETIQUETAS'!$O:$O,'[1]LISTA ETIQUETAS'!F:F,"",0)</f>
        <v>0</v>
      </c>
      <c r="S58" s="2">
        <f>_xlfn.XLOOKUP($A58,'[1]LISTA ETIQUETAS'!$O:$O,'[1]LISTA ETIQUETAS'!H:H,"",0)</f>
        <v>1</v>
      </c>
      <c r="T58" s="9">
        <f t="shared" si="2"/>
        <v>1</v>
      </c>
      <c r="U58" s="10" t="s">
        <v>628</v>
      </c>
    </row>
    <row r="59" spans="1:21" x14ac:dyDescent="0.25">
      <c r="A59" s="5">
        <v>371917</v>
      </c>
      <c r="B59" t="str">
        <f>IFERROR((VLOOKUP(A59,'[1]LISTA ETIQUETAS'!O:X,3,0)),"PRODUTO SEM ESTOQUE")</f>
        <v>EST TAMPO MARMORE (F9025) (R40/CHANF) (G4-OAK B LEVIG)</v>
      </c>
      <c r="C59" s="10" t="s">
        <v>66</v>
      </c>
      <c r="D59" s="10" t="s">
        <v>67</v>
      </c>
      <c r="E59" s="11">
        <f>IF(VLOOKUP(A59,'[1]LISTA ETIQUETAS'!O:W,4,0)="",(VLOOKUP(A59,'[1]LISTA ETIQUETAS'!O:W,6,0)),(VLOOKUP(A59,'[1]LISTA ETIQUETAS'!O:W,4,0)))</f>
        <v>2.7</v>
      </c>
      <c r="F59" s="11">
        <f>IF(VLOOKUP(A59,'[1]LISTA ETIQUETAS'!O:W,5,0)="",(VLOOKUP(A59,'[1]LISTA ETIQUETAS'!O:W,7,0)),(VLOOKUP(A59,'[1]LISTA ETIQUETAS'!O:W,5,0)))</f>
        <v>1.2</v>
      </c>
      <c r="G59" s="11">
        <f>IFERROR((VLOOKUP(A59,'[1]LISTA ETIQUETAS'!O:X,8,0)),"")</f>
        <v>0.02</v>
      </c>
      <c r="H59" s="11">
        <f>IFERROR((VLOOKUP(A59,'[1]LISTA ETIQUETAS'!O:X,9,0)),"")</f>
        <v>0</v>
      </c>
      <c r="I59" s="12">
        <f>IFERROR((VLOOKUP(A59,'[1]LISTA ETIQUETAS'!O:Y,11,0)),"")</f>
        <v>108840.838</v>
      </c>
      <c r="J59" s="6">
        <v>0</v>
      </c>
      <c r="K59" s="12">
        <f t="shared" si="0"/>
        <v>108840.838</v>
      </c>
      <c r="L59" s="7" t="str">
        <f>IF(VLOOKUP(A59,'[1]LISTA ETIQUETAS'!O:AB,14,0)="","",(VLOOKUP(A59,'[1]LISTA ETIQUETAS'!O:AB,14,0)))</f>
        <v>GW</v>
      </c>
      <c r="M59" s="8" t="s">
        <v>65</v>
      </c>
      <c r="N59" s="9" t="str">
        <f t="shared" si="1"/>
        <v>371917 | 371916</v>
      </c>
      <c r="O59" s="2">
        <f>_xlfn.XLOOKUP($A59,'[1]LISTA ETIQUETAS'!$O:$O,'[1]LISTA ETIQUETAS'!C:C,"",0)</f>
        <v>0</v>
      </c>
      <c r="P59" s="2">
        <f>_xlfn.XLOOKUP($A59,'[1]LISTA ETIQUETAS'!$O:$O,'[1]LISTA ETIQUETAS'!D:D,"",0)</f>
        <v>0</v>
      </c>
      <c r="Q59" s="2">
        <f>_xlfn.XLOOKUP($A59,'[1]LISTA ETIQUETAS'!$O:$O,'[1]LISTA ETIQUETAS'!E:E,"",0)</f>
        <v>0</v>
      </c>
      <c r="R59" s="2">
        <f>_xlfn.XLOOKUP($A59,'[1]LISTA ETIQUETAS'!$O:$O,'[1]LISTA ETIQUETAS'!F:F,"",0)</f>
        <v>0</v>
      </c>
      <c r="S59" s="2">
        <f>_xlfn.XLOOKUP($A59,'[1]LISTA ETIQUETAS'!$O:$O,'[1]LISTA ETIQUETAS'!H:H,"",0)</f>
        <v>1</v>
      </c>
      <c r="T59" s="9">
        <f t="shared" si="2"/>
        <v>1</v>
      </c>
      <c r="U59" s="10" t="s">
        <v>628</v>
      </c>
    </row>
    <row r="60" spans="1:21" x14ac:dyDescent="0.25">
      <c r="A60" s="5">
        <v>361215</v>
      </c>
      <c r="B60" t="str">
        <f>IFERROR((VLOOKUP(A60,'[1]LISTA ETIQUETAS'!O:X,3,0)),"PRODUTO SEM ESTOQUE")</f>
        <v>EST MODULO CHAISE BRACO DIR ORSAGO (CIRCULAR) FX 6553</v>
      </c>
      <c r="C60" s="10" t="s">
        <v>13</v>
      </c>
      <c r="D60" s="10" t="s">
        <v>68</v>
      </c>
      <c r="E60" s="11">
        <f>IF(VLOOKUP(A60,'[1]LISTA ETIQUETAS'!O:W,4,0)="",(VLOOKUP(A60,'[1]LISTA ETIQUETAS'!O:W,6,0)),(VLOOKUP(A60,'[1]LISTA ETIQUETAS'!O:W,4,0)))</f>
        <v>1.4</v>
      </c>
      <c r="F60" s="11">
        <f>IF(VLOOKUP(A60,'[1]LISTA ETIQUETAS'!O:W,5,0)="",(VLOOKUP(A60,'[1]LISTA ETIQUETAS'!O:W,7,0)),(VLOOKUP(A60,'[1]LISTA ETIQUETAS'!O:W,5,0)))</f>
        <v>1.58</v>
      </c>
      <c r="G60" s="11">
        <f>IFERROR((VLOOKUP(A60,'[1]LISTA ETIQUETAS'!O:X,8,0)),"")</f>
        <v>0.71</v>
      </c>
      <c r="H60" s="11">
        <f>IFERROR((VLOOKUP(A60,'[1]LISTA ETIQUETAS'!O:X,9,0)),"")</f>
        <v>0</v>
      </c>
      <c r="I60" s="12">
        <f>IFERROR((VLOOKUP(A60,'[1]LISTA ETIQUETAS'!O:Y,11,0)),"")</f>
        <v>45429.67</v>
      </c>
      <c r="J60" s="6">
        <v>0</v>
      </c>
      <c r="K60" s="12">
        <f t="shared" si="0"/>
        <v>45429.67</v>
      </c>
      <c r="L60" s="7" t="str">
        <f>IF(VLOOKUP(A60,'[1]LISTA ETIQUETAS'!O:AB,14,0)="","",(VLOOKUP(A60,'[1]LISTA ETIQUETAS'!O:AB,14,0)))</f>
        <v>GK</v>
      </c>
      <c r="M60" s="8" t="s">
        <v>69</v>
      </c>
      <c r="N60" s="9" t="str">
        <f t="shared" si="1"/>
        <v>361215 | 361214 | 361213</v>
      </c>
      <c r="O60" s="2">
        <f>_xlfn.XLOOKUP($A60,'[1]LISTA ETIQUETAS'!$O:$O,'[1]LISTA ETIQUETAS'!C:C,"",0)</f>
        <v>0</v>
      </c>
      <c r="P60" s="2">
        <f>_xlfn.XLOOKUP($A60,'[1]LISTA ETIQUETAS'!$O:$O,'[1]LISTA ETIQUETAS'!D:D,"",0)</f>
        <v>0</v>
      </c>
      <c r="Q60" s="2">
        <f>_xlfn.XLOOKUP($A60,'[1]LISTA ETIQUETAS'!$O:$O,'[1]LISTA ETIQUETAS'!E:E,"",0)</f>
        <v>0</v>
      </c>
      <c r="R60" s="2">
        <f>_xlfn.XLOOKUP($A60,'[1]LISTA ETIQUETAS'!$O:$O,'[1]LISTA ETIQUETAS'!F:F,"",0)</f>
        <v>0</v>
      </c>
      <c r="S60" s="2">
        <f>_xlfn.XLOOKUP($A60,'[1]LISTA ETIQUETAS'!$O:$O,'[1]LISTA ETIQUETAS'!H:H,"",0)</f>
        <v>1</v>
      </c>
      <c r="T60" s="9">
        <f t="shared" si="2"/>
        <v>1</v>
      </c>
      <c r="U60" s="10" t="s">
        <v>628</v>
      </c>
    </row>
    <row r="61" spans="1:21" x14ac:dyDescent="0.25">
      <c r="A61" s="5">
        <v>361214</v>
      </c>
      <c r="B61" t="str">
        <f>IFERROR((VLOOKUP(A61,'[1]LISTA ETIQUETAS'!O:X,3,0)),"PRODUTO SEM ESTOQUE")</f>
        <v>EST MODULO S/BRACO ORSAGO (1ASS) FX 6553</v>
      </c>
      <c r="C61" s="10" t="s">
        <v>13</v>
      </c>
      <c r="D61" s="10" t="s">
        <v>68</v>
      </c>
      <c r="E61" s="11">
        <f>IF(VLOOKUP(A61,'[1]LISTA ETIQUETAS'!O:W,4,0)="",(VLOOKUP(A61,'[1]LISTA ETIQUETAS'!O:W,6,0)),(VLOOKUP(A61,'[1]LISTA ETIQUETAS'!O:W,4,0)))</f>
        <v>1.2</v>
      </c>
      <c r="F61" s="11">
        <f>IF(VLOOKUP(A61,'[1]LISTA ETIQUETAS'!O:W,5,0)="",(VLOOKUP(A61,'[1]LISTA ETIQUETAS'!O:W,7,0)),(VLOOKUP(A61,'[1]LISTA ETIQUETAS'!O:W,5,0)))</f>
        <v>1</v>
      </c>
      <c r="G61" s="11">
        <f>IFERROR((VLOOKUP(A61,'[1]LISTA ETIQUETAS'!O:X,8,0)),"")</f>
        <v>0.71</v>
      </c>
      <c r="H61" s="11">
        <f>IFERROR((VLOOKUP(A61,'[1]LISTA ETIQUETAS'!O:X,9,0)),"")</f>
        <v>0</v>
      </c>
      <c r="I61" s="12">
        <f>IFERROR((VLOOKUP(A61,'[1]LISTA ETIQUETAS'!O:Y,11,0)),"")</f>
        <v>45429.67</v>
      </c>
      <c r="J61" s="6">
        <v>0</v>
      </c>
      <c r="K61" s="12">
        <f t="shared" si="0"/>
        <v>45429.67</v>
      </c>
      <c r="L61" s="7" t="str">
        <f>IF(VLOOKUP(A61,'[1]LISTA ETIQUETAS'!O:AB,14,0)="","",(VLOOKUP(A61,'[1]LISTA ETIQUETAS'!O:AB,14,0)))</f>
        <v>GK</v>
      </c>
      <c r="M61" s="8" t="s">
        <v>69</v>
      </c>
      <c r="N61" s="9" t="str">
        <f t="shared" si="1"/>
        <v>361215 | 361214 | 361213</v>
      </c>
      <c r="O61" s="2">
        <f>_xlfn.XLOOKUP($A61,'[1]LISTA ETIQUETAS'!$O:$O,'[1]LISTA ETIQUETAS'!C:C,"",0)</f>
        <v>0</v>
      </c>
      <c r="P61" s="2">
        <f>_xlfn.XLOOKUP($A61,'[1]LISTA ETIQUETAS'!$O:$O,'[1]LISTA ETIQUETAS'!D:D,"",0)</f>
        <v>0</v>
      </c>
      <c r="Q61" s="2">
        <f>_xlfn.XLOOKUP($A61,'[1]LISTA ETIQUETAS'!$O:$O,'[1]LISTA ETIQUETAS'!E:E,"",0)</f>
        <v>0</v>
      </c>
      <c r="R61" s="2">
        <f>_xlfn.XLOOKUP($A61,'[1]LISTA ETIQUETAS'!$O:$O,'[1]LISTA ETIQUETAS'!F:F,"",0)</f>
        <v>0</v>
      </c>
      <c r="S61" s="2">
        <f>_xlfn.XLOOKUP($A61,'[1]LISTA ETIQUETAS'!$O:$O,'[1]LISTA ETIQUETAS'!H:H,"",0)</f>
        <v>1</v>
      </c>
      <c r="T61" s="9">
        <f t="shared" si="2"/>
        <v>1</v>
      </c>
      <c r="U61" s="10" t="s">
        <v>628</v>
      </c>
    </row>
    <row r="62" spans="1:21" x14ac:dyDescent="0.25">
      <c r="A62" s="5">
        <v>361213</v>
      </c>
      <c r="B62" t="str">
        <f>IFERROR((VLOOKUP(A62,'[1]LISTA ETIQUETAS'!O:X,3,0)),"PRODUTO SEM ESTOQUE")</f>
        <v>EST MODULO BRACO ESQ ORSAGO (B20) (1ASS) FX 6553</v>
      </c>
      <c r="C62" s="10" t="s">
        <v>13</v>
      </c>
      <c r="D62" s="10" t="s">
        <v>68</v>
      </c>
      <c r="E62" s="11">
        <f>IF(VLOOKUP(A62,'[1]LISTA ETIQUETAS'!O:W,4,0)="",(VLOOKUP(A62,'[1]LISTA ETIQUETAS'!O:W,6,0)),(VLOOKUP(A62,'[1]LISTA ETIQUETAS'!O:W,4,0)))</f>
        <v>1.4</v>
      </c>
      <c r="F62" s="11">
        <f>IF(VLOOKUP(A62,'[1]LISTA ETIQUETAS'!O:W,5,0)="",(VLOOKUP(A62,'[1]LISTA ETIQUETAS'!O:W,7,0)),(VLOOKUP(A62,'[1]LISTA ETIQUETAS'!O:W,5,0)))</f>
        <v>1</v>
      </c>
      <c r="G62" s="11">
        <f>IFERROR((VLOOKUP(A62,'[1]LISTA ETIQUETAS'!O:X,8,0)),"")</f>
        <v>0.71</v>
      </c>
      <c r="H62" s="11">
        <f>IFERROR((VLOOKUP(A62,'[1]LISTA ETIQUETAS'!O:X,9,0)),"")</f>
        <v>0</v>
      </c>
      <c r="I62" s="12">
        <f>IFERROR((VLOOKUP(A62,'[1]LISTA ETIQUETAS'!O:Y,11,0)),"")</f>
        <v>45429.67</v>
      </c>
      <c r="J62" s="6">
        <v>0</v>
      </c>
      <c r="K62" s="12">
        <f t="shared" si="0"/>
        <v>45429.67</v>
      </c>
      <c r="L62" s="7" t="str">
        <f>IF(VLOOKUP(A62,'[1]LISTA ETIQUETAS'!O:AB,14,0)="","",(VLOOKUP(A62,'[1]LISTA ETIQUETAS'!O:AB,14,0)))</f>
        <v>GK</v>
      </c>
      <c r="M62" s="8" t="s">
        <v>69</v>
      </c>
      <c r="N62" s="9" t="str">
        <f t="shared" si="1"/>
        <v>361215 | 361214 | 361213</v>
      </c>
      <c r="O62" s="2">
        <f>_xlfn.XLOOKUP($A62,'[1]LISTA ETIQUETAS'!$O:$O,'[1]LISTA ETIQUETAS'!C:C,"",0)</f>
        <v>0</v>
      </c>
      <c r="P62" s="2">
        <f>_xlfn.XLOOKUP($A62,'[1]LISTA ETIQUETAS'!$O:$O,'[1]LISTA ETIQUETAS'!D:D,"",0)</f>
        <v>0</v>
      </c>
      <c r="Q62" s="2">
        <f>_xlfn.XLOOKUP($A62,'[1]LISTA ETIQUETAS'!$O:$O,'[1]LISTA ETIQUETAS'!E:E,"",0)</f>
        <v>0</v>
      </c>
      <c r="R62" s="2">
        <f>_xlfn.XLOOKUP($A62,'[1]LISTA ETIQUETAS'!$O:$O,'[1]LISTA ETIQUETAS'!F:F,"",0)</f>
        <v>0</v>
      </c>
      <c r="S62" s="2">
        <f>_xlfn.XLOOKUP($A62,'[1]LISTA ETIQUETAS'!$O:$O,'[1]LISTA ETIQUETAS'!H:H,"",0)</f>
        <v>1</v>
      </c>
      <c r="T62" s="9">
        <f t="shared" si="2"/>
        <v>1</v>
      </c>
      <c r="U62" s="10" t="s">
        <v>628</v>
      </c>
    </row>
    <row r="63" spans="1:21" x14ac:dyDescent="0.25">
      <c r="A63" s="5">
        <v>235153</v>
      </c>
      <c r="B63" t="str">
        <f>IFERROR((VLOOKUP(A63,'[1]LISTA ETIQUETAS'!O:X,3,0)),"PRODUTO SEM ESTOQUE")</f>
        <v>EST BANQUETA BAR DOTY (ESTRUTURA PRETO EPOXI) (S/ ALMOFADA)</v>
      </c>
      <c r="C63" s="10" t="s">
        <v>70</v>
      </c>
      <c r="D63" s="10" t="s">
        <v>71</v>
      </c>
      <c r="E63" s="11">
        <f>IF(VLOOKUP(A63,'[1]LISTA ETIQUETAS'!O:W,4,0)="",(VLOOKUP(A63,'[1]LISTA ETIQUETAS'!O:W,6,0)),(VLOOKUP(A63,'[1]LISTA ETIQUETAS'!O:W,4,0)))</f>
        <v>0.56000000000000005</v>
      </c>
      <c r="F63" s="11">
        <f>IF(VLOOKUP(A63,'[1]LISTA ETIQUETAS'!O:W,5,0)="",(VLOOKUP(A63,'[1]LISTA ETIQUETAS'!O:W,7,0)),(VLOOKUP(A63,'[1]LISTA ETIQUETAS'!O:W,5,0)))</f>
        <v>0.53</v>
      </c>
      <c r="G63" s="11">
        <f>IFERROR((VLOOKUP(A63,'[1]LISTA ETIQUETAS'!O:X,8,0)),"")</f>
        <v>0.94</v>
      </c>
      <c r="H63" s="11">
        <f>IFERROR((VLOOKUP(A63,'[1]LISTA ETIQUETAS'!O:X,9,0)),"")</f>
        <v>0</v>
      </c>
      <c r="I63" s="12">
        <f>IFERROR((VLOOKUP(A63,'[1]LISTA ETIQUETAS'!O:Y,11,0)),"")</f>
        <v>5958.4</v>
      </c>
      <c r="J63" s="6">
        <v>0</v>
      </c>
      <c r="K63" s="12">
        <f t="shared" si="0"/>
        <v>5958.4</v>
      </c>
      <c r="L63" s="7" t="str">
        <f>IF(VLOOKUP(A63,'[1]LISTA ETIQUETAS'!O:AB,14,0)="","",(VLOOKUP(A63,'[1]LISTA ETIQUETAS'!O:AB,14,0)))</f>
        <v>GI</v>
      </c>
      <c r="M63" s="8" t="s">
        <v>72</v>
      </c>
      <c r="N63" s="9" t="str">
        <f t="shared" si="1"/>
        <v>235153 | 235154</v>
      </c>
      <c r="O63" s="2">
        <f>_xlfn.XLOOKUP($A63,'[1]LISTA ETIQUETAS'!$O:$O,'[1]LISTA ETIQUETAS'!C:C,"",0)</f>
        <v>0</v>
      </c>
      <c r="P63" s="2">
        <f>_xlfn.XLOOKUP($A63,'[1]LISTA ETIQUETAS'!$O:$O,'[1]LISTA ETIQUETAS'!D:D,"",0)</f>
        <v>0</v>
      </c>
      <c r="Q63" s="2">
        <f>_xlfn.XLOOKUP($A63,'[1]LISTA ETIQUETAS'!$O:$O,'[1]LISTA ETIQUETAS'!E:E,"",0)</f>
        <v>0</v>
      </c>
      <c r="R63" s="2">
        <f>_xlfn.XLOOKUP($A63,'[1]LISTA ETIQUETAS'!$O:$O,'[1]LISTA ETIQUETAS'!F:F,"",0)</f>
        <v>0</v>
      </c>
      <c r="S63" s="2">
        <f>_xlfn.XLOOKUP($A63,'[1]LISTA ETIQUETAS'!$O:$O,'[1]LISTA ETIQUETAS'!H:H,"",0)</f>
        <v>1</v>
      </c>
      <c r="T63" s="9">
        <f t="shared" si="2"/>
        <v>1</v>
      </c>
      <c r="U63" s="10" t="s">
        <v>628</v>
      </c>
    </row>
    <row r="64" spans="1:21" x14ac:dyDescent="0.25">
      <c r="A64" s="5">
        <v>235154</v>
      </c>
      <c r="B64" t="str">
        <f>IFERROR((VLOOKUP(A64,'[1]LISTA ETIQUETAS'!O:X,3,0)),"PRODUTO SEM ESTOQUE")</f>
        <v>EST ALMOFADA BANQUETA BAR DOTY BAR (TC OTOP LINEN DARK GREY)</v>
      </c>
      <c r="C64" s="10" t="s">
        <v>70</v>
      </c>
      <c r="D64" s="10" t="s">
        <v>71</v>
      </c>
      <c r="E64" s="11">
        <f>IF(VLOOKUP(A64,'[1]LISTA ETIQUETAS'!O:W,4,0)="",(VLOOKUP(A64,'[1]LISTA ETIQUETAS'!O:W,6,0)),(VLOOKUP(A64,'[1]LISTA ETIQUETAS'!O:W,4,0)))</f>
        <v>0</v>
      </c>
      <c r="F64" s="11">
        <f>IF(VLOOKUP(A64,'[1]LISTA ETIQUETAS'!O:W,5,0)="",(VLOOKUP(A64,'[1]LISTA ETIQUETAS'!O:W,7,0)),(VLOOKUP(A64,'[1]LISTA ETIQUETAS'!O:W,5,0)))</f>
        <v>0</v>
      </c>
      <c r="G64" s="11">
        <f>IFERROR((VLOOKUP(A64,'[1]LISTA ETIQUETAS'!O:X,8,0)),"")</f>
        <v>0</v>
      </c>
      <c r="H64" s="11">
        <f>IFERROR((VLOOKUP(A64,'[1]LISTA ETIQUETAS'!O:X,9,0)),"")</f>
        <v>0</v>
      </c>
      <c r="I64" s="12">
        <f>IFERROR((VLOOKUP(A64,'[1]LISTA ETIQUETAS'!O:Y,11,0)),"")</f>
        <v>5958.4</v>
      </c>
      <c r="J64" s="6">
        <v>0</v>
      </c>
      <c r="K64" s="12">
        <f t="shared" si="0"/>
        <v>5958.4</v>
      </c>
      <c r="L64" s="7" t="str">
        <f>IF(VLOOKUP(A64,'[1]LISTA ETIQUETAS'!O:AB,14,0)="","",(VLOOKUP(A64,'[1]LISTA ETIQUETAS'!O:AB,14,0)))</f>
        <v>GI</v>
      </c>
      <c r="M64" s="8" t="s">
        <v>72</v>
      </c>
      <c r="N64" s="9" t="str">
        <f t="shared" si="1"/>
        <v>235153 | 235154</v>
      </c>
      <c r="O64" s="2">
        <f>_xlfn.XLOOKUP($A64,'[1]LISTA ETIQUETAS'!$O:$O,'[1]LISTA ETIQUETAS'!C:C,"",0)</f>
        <v>0</v>
      </c>
      <c r="P64" s="2">
        <f>_xlfn.XLOOKUP($A64,'[1]LISTA ETIQUETAS'!$O:$O,'[1]LISTA ETIQUETAS'!D:D,"",0)</f>
        <v>0</v>
      </c>
      <c r="Q64" s="2">
        <f>_xlfn.XLOOKUP($A64,'[1]LISTA ETIQUETAS'!$O:$O,'[1]LISTA ETIQUETAS'!E:E,"",0)</f>
        <v>0</v>
      </c>
      <c r="R64" s="2">
        <f>_xlfn.XLOOKUP($A64,'[1]LISTA ETIQUETAS'!$O:$O,'[1]LISTA ETIQUETAS'!F:F,"",0)</f>
        <v>0</v>
      </c>
      <c r="S64" s="2">
        <f>_xlfn.XLOOKUP($A64,'[1]LISTA ETIQUETAS'!$O:$O,'[1]LISTA ETIQUETAS'!H:H,"",0)</f>
        <v>1</v>
      </c>
      <c r="T64" s="9">
        <f t="shared" si="2"/>
        <v>1</v>
      </c>
      <c r="U64" s="10" t="s">
        <v>628</v>
      </c>
    </row>
    <row r="65" spans="1:21" x14ac:dyDescent="0.25">
      <c r="A65" s="5">
        <v>361743</v>
      </c>
      <c r="B65" t="str">
        <f>IFERROR((VLOOKUP(A65,'[1]LISTA ETIQUETAS'!O:X,3,0)),"PRODUTO SEM ESTOQUE")</f>
        <v>EST MODULO S/BRACO C/RECUO CLEAN TC ALTAMURA MESCLA PT 974</v>
      </c>
      <c r="C65" s="10" t="s">
        <v>13</v>
      </c>
      <c r="D65" s="10" t="s">
        <v>73</v>
      </c>
      <c r="E65" s="11">
        <f>IF(VLOOKUP(A65,'[1]LISTA ETIQUETAS'!O:W,4,0)="",(VLOOKUP(A65,'[1]LISTA ETIQUETAS'!O:W,6,0)),(VLOOKUP(A65,'[1]LISTA ETIQUETAS'!O:W,4,0)))</f>
        <v>1.4</v>
      </c>
      <c r="F65" s="11">
        <f>IF(VLOOKUP(A65,'[1]LISTA ETIQUETAS'!O:W,5,0)="",(VLOOKUP(A65,'[1]LISTA ETIQUETAS'!O:W,7,0)),(VLOOKUP(A65,'[1]LISTA ETIQUETAS'!O:W,5,0)))</f>
        <v>1.1499999999999999</v>
      </c>
      <c r="G65" s="11">
        <f>IFERROR((VLOOKUP(A65,'[1]LISTA ETIQUETAS'!O:X,8,0)),"")</f>
        <v>0.8</v>
      </c>
      <c r="H65" s="11">
        <f>IFERROR((VLOOKUP(A65,'[1]LISTA ETIQUETAS'!O:X,9,0)),"")</f>
        <v>0</v>
      </c>
      <c r="I65" s="12">
        <f>IFERROR((VLOOKUP(A65,'[1]LISTA ETIQUETAS'!O:Y,11,0)),"")</f>
        <v>31418.16</v>
      </c>
      <c r="J65" s="6">
        <v>0</v>
      </c>
      <c r="K65" s="12">
        <f t="shared" si="0"/>
        <v>31418.16</v>
      </c>
      <c r="L65" s="7" t="str">
        <f>IF(VLOOKUP(A65,'[1]LISTA ETIQUETAS'!O:AB,14,0)="","",(VLOOKUP(A65,'[1]LISTA ETIQUETAS'!O:AB,14,0)))</f>
        <v>GD</v>
      </c>
      <c r="M65" s="8" t="s">
        <v>74</v>
      </c>
      <c r="N65" s="9" t="str">
        <f t="shared" si="1"/>
        <v>361743 | 361742</v>
      </c>
      <c r="O65" s="2">
        <f>_xlfn.XLOOKUP($A65,'[1]LISTA ETIQUETAS'!$O:$O,'[1]LISTA ETIQUETAS'!C:C,"",0)</f>
        <v>0</v>
      </c>
      <c r="P65" s="2">
        <f>_xlfn.XLOOKUP($A65,'[1]LISTA ETIQUETAS'!$O:$O,'[1]LISTA ETIQUETAS'!D:D,"",0)</f>
        <v>0</v>
      </c>
      <c r="Q65" s="2">
        <f>_xlfn.XLOOKUP($A65,'[1]LISTA ETIQUETAS'!$O:$O,'[1]LISTA ETIQUETAS'!E:E,"",0)</f>
        <v>0</v>
      </c>
      <c r="R65" s="2">
        <f>_xlfn.XLOOKUP($A65,'[1]LISTA ETIQUETAS'!$O:$O,'[1]LISTA ETIQUETAS'!F:F,"",0)</f>
        <v>0</v>
      </c>
      <c r="S65" s="2">
        <f>_xlfn.XLOOKUP($A65,'[1]LISTA ETIQUETAS'!$O:$O,'[1]LISTA ETIQUETAS'!H:H,"",0)</f>
        <v>1</v>
      </c>
      <c r="T65" s="9">
        <f t="shared" si="2"/>
        <v>1</v>
      </c>
      <c r="U65" s="10" t="s">
        <v>628</v>
      </c>
    </row>
    <row r="66" spans="1:21" x14ac:dyDescent="0.25">
      <c r="A66" s="5">
        <v>361742</v>
      </c>
      <c r="B66" t="str">
        <f>IFERROR((VLOOKUP(A66,'[1]LISTA ETIQUETAS'!O:X,3,0)),"PRODUTO SEM ESTOQUE")</f>
        <v>EST MODULO BRACO CLEAN (B15) (1AS) TC ALTAMURA MESCLA PT 974</v>
      </c>
      <c r="C66" s="10" t="s">
        <v>13</v>
      </c>
      <c r="D66" s="10" t="s">
        <v>73</v>
      </c>
      <c r="E66" s="11">
        <f>IF(VLOOKUP(A66,'[1]LISTA ETIQUETAS'!O:W,4,0)="",(VLOOKUP(A66,'[1]LISTA ETIQUETAS'!O:W,6,0)),(VLOOKUP(A66,'[1]LISTA ETIQUETAS'!O:W,4,0)))</f>
        <v>1.05</v>
      </c>
      <c r="F66" s="11">
        <f>IF(VLOOKUP(A66,'[1]LISTA ETIQUETAS'!O:W,5,0)="",(VLOOKUP(A66,'[1]LISTA ETIQUETAS'!O:W,7,0)),(VLOOKUP(A66,'[1]LISTA ETIQUETAS'!O:W,5,0)))</f>
        <v>1.1499999999999999</v>
      </c>
      <c r="G66" s="11">
        <f>IFERROR((VLOOKUP(A66,'[1]LISTA ETIQUETAS'!O:X,8,0)),"")</f>
        <v>0.8</v>
      </c>
      <c r="H66" s="11">
        <f>IFERROR((VLOOKUP(A66,'[1]LISTA ETIQUETAS'!O:X,9,0)),"")</f>
        <v>0</v>
      </c>
      <c r="I66" s="12">
        <f>IFERROR((VLOOKUP(A66,'[1]LISTA ETIQUETAS'!O:Y,11,0)),"")</f>
        <v>31418.16</v>
      </c>
      <c r="J66" s="6">
        <v>0</v>
      </c>
      <c r="K66" s="12">
        <f t="shared" si="0"/>
        <v>31418.16</v>
      </c>
      <c r="L66" s="7" t="str">
        <f>IF(VLOOKUP(A66,'[1]LISTA ETIQUETAS'!O:AB,14,0)="","",(VLOOKUP(A66,'[1]LISTA ETIQUETAS'!O:AB,14,0)))</f>
        <v>GD</v>
      </c>
      <c r="M66" s="8" t="s">
        <v>74</v>
      </c>
      <c r="N66" s="9" t="str">
        <f t="shared" si="1"/>
        <v>361743 | 361742</v>
      </c>
      <c r="O66" s="2">
        <f>_xlfn.XLOOKUP($A66,'[1]LISTA ETIQUETAS'!$O:$O,'[1]LISTA ETIQUETAS'!C:C,"",0)</f>
        <v>0</v>
      </c>
      <c r="P66" s="2">
        <f>_xlfn.XLOOKUP($A66,'[1]LISTA ETIQUETAS'!$O:$O,'[1]LISTA ETIQUETAS'!D:D,"",0)</f>
        <v>0</v>
      </c>
      <c r="Q66" s="2">
        <f>_xlfn.XLOOKUP($A66,'[1]LISTA ETIQUETAS'!$O:$O,'[1]LISTA ETIQUETAS'!E:E,"",0)</f>
        <v>0</v>
      </c>
      <c r="R66" s="2">
        <f>_xlfn.XLOOKUP($A66,'[1]LISTA ETIQUETAS'!$O:$O,'[1]LISTA ETIQUETAS'!F:F,"",0)</f>
        <v>0</v>
      </c>
      <c r="S66" s="2">
        <f>_xlfn.XLOOKUP($A66,'[1]LISTA ETIQUETAS'!$O:$O,'[1]LISTA ETIQUETAS'!H:H,"",0)</f>
        <v>1</v>
      </c>
      <c r="T66" s="9">
        <f t="shared" si="2"/>
        <v>1</v>
      </c>
      <c r="U66" s="10" t="s">
        <v>628</v>
      </c>
    </row>
    <row r="67" spans="1:21" x14ac:dyDescent="0.25">
      <c r="A67" s="5">
        <v>327347</v>
      </c>
      <c r="B67" t="str">
        <f>IFERROR((VLOOKUP(A67,'[1]LISTA ETIQUETAS'!O:X,3,0)),"PRODUTO SEM ESTOQUE")</f>
        <v>EST MODULO BRACO ESQ DALOA FX B2072 FREIJO</v>
      </c>
      <c r="C67" s="10" t="s">
        <v>13</v>
      </c>
      <c r="D67" s="10" t="s">
        <v>75</v>
      </c>
      <c r="E67" s="11">
        <f>IF(VLOOKUP(A67,'[1]LISTA ETIQUETAS'!O:W,4,0)="",(VLOOKUP(A67,'[1]LISTA ETIQUETAS'!O:W,6,0)),(VLOOKUP(A67,'[1]LISTA ETIQUETAS'!O:W,4,0)))</f>
        <v>2.13</v>
      </c>
      <c r="F67" s="11">
        <f>IF(VLOOKUP(A67,'[1]LISTA ETIQUETAS'!O:W,5,0)="",(VLOOKUP(A67,'[1]LISTA ETIQUETAS'!O:W,7,0)),(VLOOKUP(A67,'[1]LISTA ETIQUETAS'!O:W,5,0)))</f>
        <v>1</v>
      </c>
      <c r="G67" s="11">
        <f>IFERROR((VLOOKUP(A67,'[1]LISTA ETIQUETAS'!O:X,8,0)),"")</f>
        <v>0.85</v>
      </c>
      <c r="H67" s="11">
        <f>IFERROR((VLOOKUP(A67,'[1]LISTA ETIQUETAS'!O:X,9,0)),"")</f>
        <v>0</v>
      </c>
      <c r="I67" s="12">
        <f>IFERROR((VLOOKUP(A67,'[1]LISTA ETIQUETAS'!O:Y,11,0)),"")</f>
        <v>48532.65</v>
      </c>
      <c r="J67" s="6">
        <v>0</v>
      </c>
      <c r="K67" s="12">
        <f t="shared" ref="K67:K130" si="3">IFERROR(I67-I67*J67,"")</f>
        <v>48532.65</v>
      </c>
      <c r="L67" s="7" t="str">
        <f>IF(VLOOKUP(A67,'[1]LISTA ETIQUETAS'!O:AB,14,0)="","",(VLOOKUP(A67,'[1]LISTA ETIQUETAS'!O:AB,14,0)))</f>
        <v>FY</v>
      </c>
      <c r="M67" s="8" t="s">
        <v>76</v>
      </c>
      <c r="N67" s="9" t="str">
        <f t="shared" si="1"/>
        <v>327347 | 327346</v>
      </c>
      <c r="O67" s="2">
        <f>_xlfn.XLOOKUP($A67,'[1]LISTA ETIQUETAS'!$O:$O,'[1]LISTA ETIQUETAS'!C:C,"",0)</f>
        <v>0</v>
      </c>
      <c r="P67" s="2">
        <f>_xlfn.XLOOKUP($A67,'[1]LISTA ETIQUETAS'!$O:$O,'[1]LISTA ETIQUETAS'!D:D,"",0)</f>
        <v>0</v>
      </c>
      <c r="Q67" s="2">
        <f>_xlfn.XLOOKUP($A67,'[1]LISTA ETIQUETAS'!$O:$O,'[1]LISTA ETIQUETAS'!E:E,"",0)</f>
        <v>0</v>
      </c>
      <c r="R67" s="2">
        <f>_xlfn.XLOOKUP($A67,'[1]LISTA ETIQUETAS'!$O:$O,'[1]LISTA ETIQUETAS'!F:F,"",0)</f>
        <v>0</v>
      </c>
      <c r="S67" s="2">
        <f>_xlfn.XLOOKUP($A67,'[1]LISTA ETIQUETAS'!$O:$O,'[1]LISTA ETIQUETAS'!H:H,"",0)</f>
        <v>1</v>
      </c>
      <c r="T67" s="9">
        <f t="shared" si="2"/>
        <v>1</v>
      </c>
      <c r="U67" s="10" t="s">
        <v>628</v>
      </c>
    </row>
    <row r="68" spans="1:21" x14ac:dyDescent="0.25">
      <c r="A68" s="5">
        <v>327346</v>
      </c>
      <c r="B68" t="str">
        <f>IFERROR((VLOOKUP(A68,'[1]LISTA ETIQUETAS'!O:X,3,0)),"PRODUTO SEM ESTOQUE")</f>
        <v>EST MODULO BRACO DIR C/AVANCO BS DALOA FX B2072 FREIJO</v>
      </c>
      <c r="C68" s="10" t="s">
        <v>13</v>
      </c>
      <c r="D68" s="10" t="s">
        <v>75</v>
      </c>
      <c r="E68" s="11">
        <f>IF(VLOOKUP(A68,'[1]LISTA ETIQUETAS'!O:W,4,0)="",(VLOOKUP(A68,'[1]LISTA ETIQUETAS'!O:W,6,0)),(VLOOKUP(A68,'[1]LISTA ETIQUETAS'!O:W,4,0)))</f>
        <v>1.55</v>
      </c>
      <c r="F68" s="11">
        <f>IF(VLOOKUP(A68,'[1]LISTA ETIQUETAS'!O:W,5,0)="",(VLOOKUP(A68,'[1]LISTA ETIQUETAS'!O:W,7,0)),(VLOOKUP(A68,'[1]LISTA ETIQUETAS'!O:W,5,0)))</f>
        <v>1</v>
      </c>
      <c r="G68" s="11">
        <f>IFERROR((VLOOKUP(A68,'[1]LISTA ETIQUETAS'!O:X,8,0)),"")</f>
        <v>0.85</v>
      </c>
      <c r="H68" s="11">
        <f>IFERROR((VLOOKUP(A68,'[1]LISTA ETIQUETAS'!O:X,9,0)),"")</f>
        <v>0</v>
      </c>
      <c r="I68" s="12">
        <f>IFERROR((VLOOKUP(A68,'[1]LISTA ETIQUETAS'!O:Y,11,0)),"")</f>
        <v>48532.65</v>
      </c>
      <c r="J68" s="6">
        <v>0</v>
      </c>
      <c r="K68" s="12">
        <f t="shared" si="3"/>
        <v>48532.65</v>
      </c>
      <c r="L68" s="7" t="str">
        <f>IF(VLOOKUP(A68,'[1]LISTA ETIQUETAS'!O:AB,14,0)="","",(VLOOKUP(A68,'[1]LISTA ETIQUETAS'!O:AB,14,0)))</f>
        <v>FY</v>
      </c>
      <c r="M68" s="8" t="s">
        <v>76</v>
      </c>
      <c r="N68" s="9" t="str">
        <f t="shared" ref="N68:N131" si="4">IF(M68="",A68,M68)</f>
        <v>327347 | 327346</v>
      </c>
      <c r="O68" s="2">
        <f>_xlfn.XLOOKUP($A68,'[1]LISTA ETIQUETAS'!$O:$O,'[1]LISTA ETIQUETAS'!C:C,"",0)</f>
        <v>0</v>
      </c>
      <c r="P68" s="2">
        <f>_xlfn.XLOOKUP($A68,'[1]LISTA ETIQUETAS'!$O:$O,'[1]LISTA ETIQUETAS'!D:D,"",0)</f>
        <v>0</v>
      </c>
      <c r="Q68" s="2">
        <f>_xlfn.XLOOKUP($A68,'[1]LISTA ETIQUETAS'!$O:$O,'[1]LISTA ETIQUETAS'!E:E,"",0)</f>
        <v>0</v>
      </c>
      <c r="R68" s="2">
        <f>_xlfn.XLOOKUP($A68,'[1]LISTA ETIQUETAS'!$O:$O,'[1]LISTA ETIQUETAS'!F:F,"",0)</f>
        <v>0</v>
      </c>
      <c r="S68" s="2">
        <f>_xlfn.XLOOKUP($A68,'[1]LISTA ETIQUETAS'!$O:$O,'[1]LISTA ETIQUETAS'!H:H,"",0)</f>
        <v>1</v>
      </c>
      <c r="T68" s="9">
        <f t="shared" ref="T68:T131" si="5">SUM(O68:S68)</f>
        <v>1</v>
      </c>
      <c r="U68" s="10" t="s">
        <v>628</v>
      </c>
    </row>
    <row r="69" spans="1:21" x14ac:dyDescent="0.25">
      <c r="A69" s="5">
        <v>307904</v>
      </c>
      <c r="B69" t="str">
        <f>IFERROR((VLOOKUP(A69,'[1]LISTA ETIQUETAS'!O:X,3,0)),"PRODUTO SEM ESTOQUE")</f>
        <v>EST MODULO BRACO ESQUERDO MALONE FX E5001</v>
      </c>
      <c r="C69" s="10" t="s">
        <v>13</v>
      </c>
      <c r="D69" s="10" t="s">
        <v>60</v>
      </c>
      <c r="E69" s="11">
        <f>IF(VLOOKUP(A69,'[1]LISTA ETIQUETAS'!O:W,4,0)="",(VLOOKUP(A69,'[1]LISTA ETIQUETAS'!O:W,6,0)),(VLOOKUP(A69,'[1]LISTA ETIQUETAS'!O:W,4,0)))</f>
        <v>1.4</v>
      </c>
      <c r="F69" s="11">
        <f>IF(VLOOKUP(A69,'[1]LISTA ETIQUETAS'!O:W,5,0)="",(VLOOKUP(A69,'[1]LISTA ETIQUETAS'!O:W,7,0)),(VLOOKUP(A69,'[1]LISTA ETIQUETAS'!O:W,5,0)))</f>
        <v>1</v>
      </c>
      <c r="G69" s="11">
        <f>IFERROR((VLOOKUP(A69,'[1]LISTA ETIQUETAS'!O:X,8,0)),"")</f>
        <v>0.85</v>
      </c>
      <c r="H69" s="11">
        <f>IFERROR((VLOOKUP(A69,'[1]LISTA ETIQUETAS'!O:X,9,0)),"")</f>
        <v>0</v>
      </c>
      <c r="I69" s="12">
        <f>IFERROR((VLOOKUP(A69,'[1]LISTA ETIQUETAS'!O:Y,11,0)),"")</f>
        <v>31770.18</v>
      </c>
      <c r="J69" s="6">
        <v>0</v>
      </c>
      <c r="K69" s="12">
        <f t="shared" si="3"/>
        <v>31770.18</v>
      </c>
      <c r="L69" s="7" t="str">
        <f>IF(VLOOKUP(A69,'[1]LISTA ETIQUETAS'!O:AB,14,0)="","",(VLOOKUP(A69,'[1]LISTA ETIQUETAS'!O:AB,14,0)))</f>
        <v>FX</v>
      </c>
      <c r="M69" s="8" t="s">
        <v>77</v>
      </c>
      <c r="N69" s="9" t="str">
        <f t="shared" si="4"/>
        <v>307904 | 302765</v>
      </c>
      <c r="O69" s="2">
        <f>_xlfn.XLOOKUP($A69,'[1]LISTA ETIQUETAS'!$O:$O,'[1]LISTA ETIQUETAS'!C:C,"",0)</f>
        <v>0</v>
      </c>
      <c r="P69" s="2">
        <f>_xlfn.XLOOKUP($A69,'[1]LISTA ETIQUETAS'!$O:$O,'[1]LISTA ETIQUETAS'!D:D,"",0)</f>
        <v>0</v>
      </c>
      <c r="Q69" s="2">
        <f>_xlfn.XLOOKUP($A69,'[1]LISTA ETIQUETAS'!$O:$O,'[1]LISTA ETIQUETAS'!E:E,"",0)</f>
        <v>0</v>
      </c>
      <c r="R69" s="2">
        <f>_xlfn.XLOOKUP($A69,'[1]LISTA ETIQUETAS'!$O:$O,'[1]LISTA ETIQUETAS'!F:F,"",0)</f>
        <v>0</v>
      </c>
      <c r="S69" s="2">
        <f>_xlfn.XLOOKUP($A69,'[1]LISTA ETIQUETAS'!$O:$O,'[1]LISTA ETIQUETAS'!H:H,"",0)</f>
        <v>1</v>
      </c>
      <c r="T69" s="9">
        <f t="shared" si="5"/>
        <v>1</v>
      </c>
      <c r="U69" s="10" t="s">
        <v>628</v>
      </c>
    </row>
    <row r="70" spans="1:21" x14ac:dyDescent="0.25">
      <c r="A70" s="5">
        <v>302765</v>
      </c>
      <c r="B70" t="str">
        <f>IFERROR((VLOOKUP(A70,'[1]LISTA ETIQUETAS'!O:X,3,0)),"PRODUTO SEM ESTOQUE")</f>
        <v>EST MODULO BRACO DIREITO MALONE FX E5001</v>
      </c>
      <c r="C70" s="10" t="s">
        <v>13</v>
      </c>
      <c r="D70" s="10" t="s">
        <v>60</v>
      </c>
      <c r="E70" s="11">
        <f>IF(VLOOKUP(A70,'[1]LISTA ETIQUETAS'!O:W,4,0)="",(VLOOKUP(A70,'[1]LISTA ETIQUETAS'!O:W,6,0)),(VLOOKUP(A70,'[1]LISTA ETIQUETAS'!O:W,4,0)))</f>
        <v>1.4</v>
      </c>
      <c r="F70" s="11">
        <f>IF(VLOOKUP(A70,'[1]LISTA ETIQUETAS'!O:W,5,0)="",(VLOOKUP(A70,'[1]LISTA ETIQUETAS'!O:W,7,0)),(VLOOKUP(A70,'[1]LISTA ETIQUETAS'!O:W,5,0)))</f>
        <v>1</v>
      </c>
      <c r="G70" s="11">
        <f>IFERROR((VLOOKUP(A70,'[1]LISTA ETIQUETAS'!O:X,8,0)),"")</f>
        <v>0.85</v>
      </c>
      <c r="H70" s="11">
        <f>IFERROR((VLOOKUP(A70,'[1]LISTA ETIQUETAS'!O:X,9,0)),"")</f>
        <v>0</v>
      </c>
      <c r="I70" s="12">
        <f>IFERROR((VLOOKUP(A70,'[1]LISTA ETIQUETAS'!O:Y,11,0)),"")</f>
        <v>31770.18</v>
      </c>
      <c r="J70" s="6">
        <v>0</v>
      </c>
      <c r="K70" s="12">
        <f t="shared" si="3"/>
        <v>31770.18</v>
      </c>
      <c r="L70" s="7" t="str">
        <f>IF(VLOOKUP(A70,'[1]LISTA ETIQUETAS'!O:AB,14,0)="","",(VLOOKUP(A70,'[1]LISTA ETIQUETAS'!O:AB,14,0)))</f>
        <v>FX</v>
      </c>
      <c r="M70" s="8" t="s">
        <v>77</v>
      </c>
      <c r="N70" s="9" t="str">
        <f t="shared" si="4"/>
        <v>307904 | 302765</v>
      </c>
      <c r="O70" s="2">
        <f>_xlfn.XLOOKUP($A70,'[1]LISTA ETIQUETAS'!$O:$O,'[1]LISTA ETIQUETAS'!C:C,"",0)</f>
        <v>0</v>
      </c>
      <c r="P70" s="2">
        <f>_xlfn.XLOOKUP($A70,'[1]LISTA ETIQUETAS'!$O:$O,'[1]LISTA ETIQUETAS'!D:D,"",0)</f>
        <v>0</v>
      </c>
      <c r="Q70" s="2">
        <f>_xlfn.XLOOKUP($A70,'[1]LISTA ETIQUETAS'!$O:$O,'[1]LISTA ETIQUETAS'!E:E,"",0)</f>
        <v>0</v>
      </c>
      <c r="R70" s="2">
        <f>_xlfn.XLOOKUP($A70,'[1]LISTA ETIQUETAS'!$O:$O,'[1]LISTA ETIQUETAS'!F:F,"",0)</f>
        <v>0</v>
      </c>
      <c r="S70" s="2">
        <f>_xlfn.XLOOKUP($A70,'[1]LISTA ETIQUETAS'!$O:$O,'[1]LISTA ETIQUETAS'!H:H,"",0)</f>
        <v>1</v>
      </c>
      <c r="T70" s="9">
        <f t="shared" si="5"/>
        <v>1</v>
      </c>
      <c r="U70" s="10" t="s">
        <v>628</v>
      </c>
    </row>
    <row r="71" spans="1:21" x14ac:dyDescent="0.25">
      <c r="A71" s="5">
        <v>334520</v>
      </c>
      <c r="B71" t="str">
        <f>IFERROR((VLOOKUP(A71,'[1]LISTA ETIQUETAS'!O:X,3,0)),"PRODUTO SEM ESTOQUE")</f>
        <v>EST MODULO BRACO DIREITO MALONE FX E5001</v>
      </c>
      <c r="C71" s="10" t="s">
        <v>13</v>
      </c>
      <c r="D71" s="10" t="s">
        <v>60</v>
      </c>
      <c r="E71" s="11">
        <f>IF(VLOOKUP(A71,'[1]LISTA ETIQUETAS'!O:W,4,0)="",(VLOOKUP(A71,'[1]LISTA ETIQUETAS'!O:W,6,0)),(VLOOKUP(A71,'[1]LISTA ETIQUETAS'!O:W,4,0)))</f>
        <v>1.3</v>
      </c>
      <c r="F71" s="11">
        <f>IF(VLOOKUP(A71,'[1]LISTA ETIQUETAS'!O:W,5,0)="",(VLOOKUP(A71,'[1]LISTA ETIQUETAS'!O:W,7,0)),(VLOOKUP(A71,'[1]LISTA ETIQUETAS'!O:W,5,0)))</f>
        <v>1</v>
      </c>
      <c r="G71" s="11">
        <f>IFERROR((VLOOKUP(A71,'[1]LISTA ETIQUETAS'!O:X,8,0)),"")</f>
        <v>0.85</v>
      </c>
      <c r="H71" s="11">
        <f>IFERROR((VLOOKUP(A71,'[1]LISTA ETIQUETAS'!O:X,9,0)),"")</f>
        <v>0</v>
      </c>
      <c r="I71" s="12">
        <f>IFERROR((VLOOKUP(A71,'[1]LISTA ETIQUETAS'!O:Y,11,0)),"")</f>
        <v>87044.78</v>
      </c>
      <c r="J71" s="6">
        <v>0</v>
      </c>
      <c r="K71" s="12">
        <f t="shared" si="3"/>
        <v>87044.78</v>
      </c>
      <c r="L71" s="7" t="str">
        <f>IF(VLOOKUP(A71,'[1]LISTA ETIQUETAS'!O:AB,14,0)="","",(VLOOKUP(A71,'[1]LISTA ETIQUETAS'!O:AB,14,0)))</f>
        <v>FS</v>
      </c>
      <c r="M71" s="8" t="s">
        <v>78</v>
      </c>
      <c r="N71" s="9" t="str">
        <f t="shared" si="4"/>
        <v>334520 | 334519 | 334518</v>
      </c>
      <c r="O71" s="2">
        <f>_xlfn.XLOOKUP($A71,'[1]LISTA ETIQUETAS'!$O:$O,'[1]LISTA ETIQUETAS'!C:C,"",0)</f>
        <v>0</v>
      </c>
      <c r="P71" s="2">
        <f>_xlfn.XLOOKUP($A71,'[1]LISTA ETIQUETAS'!$O:$O,'[1]LISTA ETIQUETAS'!D:D,"",0)</f>
        <v>0</v>
      </c>
      <c r="Q71" s="2">
        <f>_xlfn.XLOOKUP($A71,'[1]LISTA ETIQUETAS'!$O:$O,'[1]LISTA ETIQUETAS'!E:E,"",0)</f>
        <v>0</v>
      </c>
      <c r="R71" s="2">
        <f>_xlfn.XLOOKUP($A71,'[1]LISTA ETIQUETAS'!$O:$O,'[1]LISTA ETIQUETAS'!F:F,"",0)</f>
        <v>0</v>
      </c>
      <c r="S71" s="2">
        <f>_xlfn.XLOOKUP($A71,'[1]LISTA ETIQUETAS'!$O:$O,'[1]LISTA ETIQUETAS'!H:H,"",0)</f>
        <v>1</v>
      </c>
      <c r="T71" s="9">
        <f t="shared" si="5"/>
        <v>1</v>
      </c>
      <c r="U71" s="10" t="s">
        <v>628</v>
      </c>
    </row>
    <row r="72" spans="1:21" x14ac:dyDescent="0.25">
      <c r="A72" s="5">
        <v>334519</v>
      </c>
      <c r="B72" t="str">
        <f>IFERROR((VLOOKUP(A72,'[1]LISTA ETIQUETAS'!O:X,3,0)),"PRODUTO SEM ESTOQUE")</f>
        <v>EST MODULO CANTO MALONE FX E5001</v>
      </c>
      <c r="C72" s="10" t="s">
        <v>13</v>
      </c>
      <c r="D72" s="10" t="s">
        <v>60</v>
      </c>
      <c r="E72" s="11">
        <f>IF(VLOOKUP(A72,'[1]LISTA ETIQUETAS'!O:W,4,0)="",(VLOOKUP(A72,'[1]LISTA ETIQUETAS'!O:W,6,0)),(VLOOKUP(A72,'[1]LISTA ETIQUETAS'!O:W,4,0)))</f>
        <v>1</v>
      </c>
      <c r="F72" s="11">
        <f>IF(VLOOKUP(A72,'[1]LISTA ETIQUETAS'!O:W,5,0)="",(VLOOKUP(A72,'[1]LISTA ETIQUETAS'!O:W,7,0)),(VLOOKUP(A72,'[1]LISTA ETIQUETAS'!O:W,5,0)))</f>
        <v>1</v>
      </c>
      <c r="G72" s="11">
        <f>IFERROR((VLOOKUP(A72,'[1]LISTA ETIQUETAS'!O:X,8,0)),"")</f>
        <v>0.85</v>
      </c>
      <c r="H72" s="11">
        <f>IFERROR((VLOOKUP(A72,'[1]LISTA ETIQUETAS'!O:X,9,0)),"")</f>
        <v>0</v>
      </c>
      <c r="I72" s="12">
        <f>IFERROR((VLOOKUP(A72,'[1]LISTA ETIQUETAS'!O:Y,11,0)),"")</f>
        <v>87044.78</v>
      </c>
      <c r="J72" s="6">
        <v>0</v>
      </c>
      <c r="K72" s="12">
        <f t="shared" si="3"/>
        <v>87044.78</v>
      </c>
      <c r="L72" s="7" t="str">
        <f>IF(VLOOKUP(A72,'[1]LISTA ETIQUETAS'!O:AB,14,0)="","",(VLOOKUP(A72,'[1]LISTA ETIQUETAS'!O:AB,14,0)))</f>
        <v>FS</v>
      </c>
      <c r="M72" s="8" t="s">
        <v>78</v>
      </c>
      <c r="N72" s="9" t="str">
        <f t="shared" si="4"/>
        <v>334520 | 334519 | 334518</v>
      </c>
      <c r="O72" s="2">
        <f>_xlfn.XLOOKUP($A72,'[1]LISTA ETIQUETAS'!$O:$O,'[1]LISTA ETIQUETAS'!C:C,"",0)</f>
        <v>0</v>
      </c>
      <c r="P72" s="2">
        <f>_xlfn.XLOOKUP($A72,'[1]LISTA ETIQUETAS'!$O:$O,'[1]LISTA ETIQUETAS'!D:D,"",0)</f>
        <v>0</v>
      </c>
      <c r="Q72" s="2">
        <f>_xlfn.XLOOKUP($A72,'[1]LISTA ETIQUETAS'!$O:$O,'[1]LISTA ETIQUETAS'!E:E,"",0)</f>
        <v>0</v>
      </c>
      <c r="R72" s="2">
        <f>_xlfn.XLOOKUP($A72,'[1]LISTA ETIQUETAS'!$O:$O,'[1]LISTA ETIQUETAS'!F:F,"",0)</f>
        <v>0</v>
      </c>
      <c r="S72" s="2">
        <f>_xlfn.XLOOKUP($A72,'[1]LISTA ETIQUETAS'!$O:$O,'[1]LISTA ETIQUETAS'!H:H,"",0)</f>
        <v>1</v>
      </c>
      <c r="T72" s="9">
        <f t="shared" si="5"/>
        <v>1</v>
      </c>
      <c r="U72" s="10" t="s">
        <v>628</v>
      </c>
    </row>
    <row r="73" spans="1:21" x14ac:dyDescent="0.25">
      <c r="A73" s="5">
        <v>334518</v>
      </c>
      <c r="B73" t="str">
        <f>IFERROR((VLOOKUP(A73,'[1]LISTA ETIQUETAS'!O:X,3,0)),"PRODUTO SEM ESTOQUE")</f>
        <v>EST MODULO S/BRACO MALONE FX E5001</v>
      </c>
      <c r="C73" s="10" t="s">
        <v>13</v>
      </c>
      <c r="D73" s="10" t="s">
        <v>60</v>
      </c>
      <c r="E73" s="11">
        <f>IF(VLOOKUP(A73,'[1]LISTA ETIQUETAS'!O:W,4,0)="",(VLOOKUP(A73,'[1]LISTA ETIQUETAS'!O:W,6,0)),(VLOOKUP(A73,'[1]LISTA ETIQUETAS'!O:W,4,0)))</f>
        <v>1.05</v>
      </c>
      <c r="F73" s="11">
        <f>IF(VLOOKUP(A73,'[1]LISTA ETIQUETAS'!O:W,5,0)="",(VLOOKUP(A73,'[1]LISTA ETIQUETAS'!O:W,7,0)),(VLOOKUP(A73,'[1]LISTA ETIQUETAS'!O:W,5,0)))</f>
        <v>1</v>
      </c>
      <c r="G73" s="11">
        <f>IFERROR((VLOOKUP(A73,'[1]LISTA ETIQUETAS'!O:X,8,0)),"")</f>
        <v>0.85</v>
      </c>
      <c r="H73" s="11">
        <f>IFERROR((VLOOKUP(A73,'[1]LISTA ETIQUETAS'!O:X,9,0)),"")</f>
        <v>0</v>
      </c>
      <c r="I73" s="12">
        <f>IFERROR((VLOOKUP(A73,'[1]LISTA ETIQUETAS'!O:Y,11,0)),"")</f>
        <v>87044.78</v>
      </c>
      <c r="J73" s="6">
        <v>0</v>
      </c>
      <c r="K73" s="12">
        <f t="shared" si="3"/>
        <v>87044.78</v>
      </c>
      <c r="L73" s="7" t="str">
        <f>IF(VLOOKUP(A73,'[1]LISTA ETIQUETAS'!O:AB,14,0)="","",(VLOOKUP(A73,'[1]LISTA ETIQUETAS'!O:AB,14,0)))</f>
        <v>FS</v>
      </c>
      <c r="M73" s="8" t="s">
        <v>78</v>
      </c>
      <c r="N73" s="9" t="str">
        <f t="shared" si="4"/>
        <v>334520 | 334519 | 334518</v>
      </c>
      <c r="O73" s="2">
        <f>_xlfn.XLOOKUP($A73,'[1]LISTA ETIQUETAS'!$O:$O,'[1]LISTA ETIQUETAS'!C:C,"",0)</f>
        <v>0</v>
      </c>
      <c r="P73" s="2">
        <f>_xlfn.XLOOKUP($A73,'[1]LISTA ETIQUETAS'!$O:$O,'[1]LISTA ETIQUETAS'!D:D,"",0)</f>
        <v>0</v>
      </c>
      <c r="Q73" s="2">
        <f>_xlfn.XLOOKUP($A73,'[1]LISTA ETIQUETAS'!$O:$O,'[1]LISTA ETIQUETAS'!E:E,"",0)</f>
        <v>0</v>
      </c>
      <c r="R73" s="2">
        <f>_xlfn.XLOOKUP($A73,'[1]LISTA ETIQUETAS'!$O:$O,'[1]LISTA ETIQUETAS'!F:F,"",0)</f>
        <v>0</v>
      </c>
      <c r="S73" s="2">
        <f>_xlfn.XLOOKUP($A73,'[1]LISTA ETIQUETAS'!$O:$O,'[1]LISTA ETIQUETAS'!H:H,"",0)</f>
        <v>3</v>
      </c>
      <c r="T73" s="9">
        <f t="shared" si="5"/>
        <v>3</v>
      </c>
      <c r="U73" s="10" t="s">
        <v>628</v>
      </c>
    </row>
    <row r="74" spans="1:21" x14ac:dyDescent="0.25">
      <c r="A74" s="5">
        <v>223414</v>
      </c>
      <c r="B74" t="str">
        <f>IFERROR((VLOOKUP(A74,'[1]LISTA ETIQUETAS'!O:X,3,0)),"PRODUTO SEM ESTOQUE")</f>
        <v>EST MODULO CHAISE BRACO DIR C/BANDEJA HARRY TC4307/FUME</v>
      </c>
      <c r="C74" s="10" t="s">
        <v>13</v>
      </c>
      <c r="D74" s="10" t="s">
        <v>79</v>
      </c>
      <c r="E74" s="11">
        <f>IF(VLOOKUP(A74,'[1]LISTA ETIQUETAS'!O:W,4,0)="",(VLOOKUP(A74,'[1]LISTA ETIQUETAS'!O:W,6,0)),(VLOOKUP(A74,'[1]LISTA ETIQUETAS'!O:W,4,0)))</f>
        <v>2.8</v>
      </c>
      <c r="F74" s="11">
        <f>IF(VLOOKUP(A74,'[1]LISTA ETIQUETAS'!O:W,5,0)="",(VLOOKUP(A74,'[1]LISTA ETIQUETAS'!O:W,7,0)),(VLOOKUP(A74,'[1]LISTA ETIQUETAS'!O:W,5,0)))</f>
        <v>1</v>
      </c>
      <c r="G74" s="11">
        <f>IFERROR((VLOOKUP(A74,'[1]LISTA ETIQUETAS'!O:X,8,0)),"")</f>
        <v>0.8</v>
      </c>
      <c r="H74" s="11">
        <f>IFERROR((VLOOKUP(A74,'[1]LISTA ETIQUETAS'!O:X,9,0)),"")</f>
        <v>0</v>
      </c>
      <c r="I74" s="12">
        <f>IFERROR((VLOOKUP(A74,'[1]LISTA ETIQUETAS'!O:Y,11,0)),"")</f>
        <v>33712.22</v>
      </c>
      <c r="J74" s="6">
        <v>0</v>
      </c>
      <c r="K74" s="12">
        <f t="shared" si="3"/>
        <v>33712.22</v>
      </c>
      <c r="L74" s="7" t="str">
        <f>IF(VLOOKUP(A74,'[1]LISTA ETIQUETAS'!O:AB,14,0)="","",(VLOOKUP(A74,'[1]LISTA ETIQUETAS'!O:AB,14,0)))</f>
        <v>FQ</v>
      </c>
      <c r="M74" s="8" t="s">
        <v>80</v>
      </c>
      <c r="N74" s="9" t="str">
        <f t="shared" si="4"/>
        <v>223414 | 223413</v>
      </c>
      <c r="O74" s="2">
        <f>_xlfn.XLOOKUP($A74,'[1]LISTA ETIQUETAS'!$O:$O,'[1]LISTA ETIQUETAS'!C:C,"",0)</f>
        <v>0</v>
      </c>
      <c r="P74" s="2">
        <f>_xlfn.XLOOKUP($A74,'[1]LISTA ETIQUETAS'!$O:$O,'[1]LISTA ETIQUETAS'!D:D,"",0)</f>
        <v>0</v>
      </c>
      <c r="Q74" s="2">
        <f>_xlfn.XLOOKUP($A74,'[1]LISTA ETIQUETAS'!$O:$O,'[1]LISTA ETIQUETAS'!E:E,"",0)</f>
        <v>0</v>
      </c>
      <c r="R74" s="2">
        <f>_xlfn.XLOOKUP($A74,'[1]LISTA ETIQUETAS'!$O:$O,'[1]LISTA ETIQUETAS'!F:F,"",0)</f>
        <v>0</v>
      </c>
      <c r="S74" s="2">
        <f>_xlfn.XLOOKUP($A74,'[1]LISTA ETIQUETAS'!$O:$O,'[1]LISTA ETIQUETAS'!H:H,"",0)</f>
        <v>1</v>
      </c>
      <c r="T74" s="9">
        <f t="shared" si="5"/>
        <v>1</v>
      </c>
      <c r="U74" s="10" t="s">
        <v>628</v>
      </c>
    </row>
    <row r="75" spans="1:21" x14ac:dyDescent="0.25">
      <c r="A75" s="5">
        <v>223413</v>
      </c>
      <c r="B75" t="str">
        <f>IFERROR((VLOOKUP(A75,'[1]LISTA ETIQUETAS'!O:X,3,0)),"PRODUTO SEM ESTOQUE")</f>
        <v>EST MODULO BRACO HARRY TC4307/FUME</v>
      </c>
      <c r="C75" s="10" t="s">
        <v>13</v>
      </c>
      <c r="D75" s="10" t="s">
        <v>79</v>
      </c>
      <c r="E75" s="11">
        <f>IF(VLOOKUP(A75,'[1]LISTA ETIQUETAS'!O:W,4,0)="",(VLOOKUP(A75,'[1]LISTA ETIQUETAS'!O:W,6,0)),(VLOOKUP(A75,'[1]LISTA ETIQUETAS'!O:W,4,0)))</f>
        <v>2.25</v>
      </c>
      <c r="F75" s="11">
        <f>IF(VLOOKUP(A75,'[1]LISTA ETIQUETAS'!O:W,5,0)="",(VLOOKUP(A75,'[1]LISTA ETIQUETAS'!O:W,7,0)),(VLOOKUP(A75,'[1]LISTA ETIQUETAS'!O:W,5,0)))</f>
        <v>1</v>
      </c>
      <c r="G75" s="11">
        <f>IFERROR((VLOOKUP(A75,'[1]LISTA ETIQUETAS'!O:X,8,0)),"")</f>
        <v>0.8</v>
      </c>
      <c r="H75" s="11">
        <f>IFERROR((VLOOKUP(A75,'[1]LISTA ETIQUETAS'!O:X,9,0)),"")</f>
        <v>0</v>
      </c>
      <c r="I75" s="12">
        <f>IFERROR((VLOOKUP(A75,'[1]LISTA ETIQUETAS'!O:Y,11,0)),"")</f>
        <v>33712.22</v>
      </c>
      <c r="J75" s="6">
        <v>0</v>
      </c>
      <c r="K75" s="12">
        <f t="shared" si="3"/>
        <v>33712.22</v>
      </c>
      <c r="L75" s="7" t="str">
        <f>IF(VLOOKUP(A75,'[1]LISTA ETIQUETAS'!O:AB,14,0)="","",(VLOOKUP(A75,'[1]LISTA ETIQUETAS'!O:AB,14,0)))</f>
        <v>FQ</v>
      </c>
      <c r="M75" s="8" t="s">
        <v>80</v>
      </c>
      <c r="N75" s="9" t="str">
        <f t="shared" si="4"/>
        <v>223414 | 223413</v>
      </c>
      <c r="O75" s="2">
        <f>_xlfn.XLOOKUP($A75,'[1]LISTA ETIQUETAS'!$O:$O,'[1]LISTA ETIQUETAS'!C:C,"",0)</f>
        <v>0</v>
      </c>
      <c r="P75" s="2">
        <f>_xlfn.XLOOKUP($A75,'[1]LISTA ETIQUETAS'!$O:$O,'[1]LISTA ETIQUETAS'!D:D,"",0)</f>
        <v>0</v>
      </c>
      <c r="Q75" s="2">
        <f>_xlfn.XLOOKUP($A75,'[1]LISTA ETIQUETAS'!$O:$O,'[1]LISTA ETIQUETAS'!E:E,"",0)</f>
        <v>0</v>
      </c>
      <c r="R75" s="2">
        <f>_xlfn.XLOOKUP($A75,'[1]LISTA ETIQUETAS'!$O:$O,'[1]LISTA ETIQUETAS'!F:F,"",0)</f>
        <v>0</v>
      </c>
      <c r="S75" s="2">
        <f>_xlfn.XLOOKUP($A75,'[1]LISTA ETIQUETAS'!$O:$O,'[1]LISTA ETIQUETAS'!H:H,"",0)</f>
        <v>1</v>
      </c>
      <c r="T75" s="9">
        <f t="shared" si="5"/>
        <v>1</v>
      </c>
      <c r="U75" s="10" t="s">
        <v>628</v>
      </c>
    </row>
    <row r="76" spans="1:21" x14ac:dyDescent="0.25">
      <c r="A76" s="5">
        <v>277841</v>
      </c>
      <c r="B76" t="str">
        <f>IFERROR((VLOOKUP(A76,'[1]LISTA ETIQUETAS'!O:X,3,0)),"PRODUTO SEM ESTOQUE")</f>
        <v>EST MODULO CHIAISE CHANFRADA LUME BRACO ESQ FX6363/PES NOG</v>
      </c>
      <c r="C76" s="10" t="s">
        <v>13</v>
      </c>
      <c r="D76" s="10" t="s">
        <v>81</v>
      </c>
      <c r="E76" s="11">
        <f>IF(VLOOKUP(A76,'[1]LISTA ETIQUETAS'!O:W,4,0)="",(VLOOKUP(A76,'[1]LISTA ETIQUETAS'!O:W,6,0)),(VLOOKUP(A76,'[1]LISTA ETIQUETAS'!O:W,4,0)))</f>
        <v>1.5</v>
      </c>
      <c r="F76" s="11">
        <f>IF(VLOOKUP(A76,'[1]LISTA ETIQUETAS'!O:W,5,0)="",(VLOOKUP(A76,'[1]LISTA ETIQUETAS'!O:W,7,0)),(VLOOKUP(A76,'[1]LISTA ETIQUETAS'!O:W,5,0)))</f>
        <v>1.42</v>
      </c>
      <c r="G76" s="11">
        <f>IFERROR((VLOOKUP(A76,'[1]LISTA ETIQUETAS'!O:X,8,0)),"")</f>
        <v>0.67</v>
      </c>
      <c r="H76" s="11">
        <f>IFERROR((VLOOKUP(A76,'[1]LISTA ETIQUETAS'!O:X,9,0)),"")</f>
        <v>0</v>
      </c>
      <c r="I76" s="12">
        <f>IFERROR((VLOOKUP(A76,'[1]LISTA ETIQUETAS'!O:Y,11,0)),"")</f>
        <v>45572.04</v>
      </c>
      <c r="J76" s="6">
        <v>0</v>
      </c>
      <c r="K76" s="12">
        <f t="shared" si="3"/>
        <v>45572.04</v>
      </c>
      <c r="L76" s="7" t="str">
        <f>IF(VLOOKUP(A76,'[1]LISTA ETIQUETAS'!O:AB,14,0)="","",(VLOOKUP(A76,'[1]LISTA ETIQUETAS'!O:AB,14,0)))</f>
        <v>FI</v>
      </c>
      <c r="M76" s="8" t="s">
        <v>82</v>
      </c>
      <c r="N76" s="9" t="str">
        <f t="shared" si="4"/>
        <v>277841 | 277838</v>
      </c>
      <c r="O76" s="2">
        <f>_xlfn.XLOOKUP($A76,'[1]LISTA ETIQUETAS'!$O:$O,'[1]LISTA ETIQUETAS'!C:C,"",0)</f>
        <v>0</v>
      </c>
      <c r="P76" s="2">
        <f>_xlfn.XLOOKUP($A76,'[1]LISTA ETIQUETAS'!$O:$O,'[1]LISTA ETIQUETAS'!D:D,"",0)</f>
        <v>0</v>
      </c>
      <c r="Q76" s="2">
        <f>_xlfn.XLOOKUP($A76,'[1]LISTA ETIQUETAS'!$O:$O,'[1]LISTA ETIQUETAS'!E:E,"",0)</f>
        <v>0</v>
      </c>
      <c r="R76" s="2">
        <f>_xlfn.XLOOKUP($A76,'[1]LISTA ETIQUETAS'!$O:$O,'[1]LISTA ETIQUETAS'!F:F,"",0)</f>
        <v>0</v>
      </c>
      <c r="S76" s="2">
        <f>_xlfn.XLOOKUP($A76,'[1]LISTA ETIQUETAS'!$O:$O,'[1]LISTA ETIQUETAS'!H:H,"",0)</f>
        <v>1</v>
      </c>
      <c r="T76" s="9">
        <f t="shared" si="5"/>
        <v>1</v>
      </c>
      <c r="U76" s="10" t="s">
        <v>628</v>
      </c>
    </row>
    <row r="77" spans="1:21" x14ac:dyDescent="0.25">
      <c r="A77" s="5">
        <v>277838</v>
      </c>
      <c r="B77" t="str">
        <f>IFERROR((VLOOKUP(A77,'[1]LISTA ETIQUETAS'!O:X,3,0)),"PRODUTO SEM ESTOQUE")</f>
        <v>EST MODULO BRACO DIR LUME FX6363/PES NOG</v>
      </c>
      <c r="C77" s="10" t="s">
        <v>13</v>
      </c>
      <c r="D77" s="10" t="s">
        <v>81</v>
      </c>
      <c r="E77" s="11">
        <f>IF(VLOOKUP(A77,'[1]LISTA ETIQUETAS'!O:W,4,0)="",(VLOOKUP(A77,'[1]LISTA ETIQUETAS'!O:W,6,0)),(VLOOKUP(A77,'[1]LISTA ETIQUETAS'!O:W,4,0)))</f>
        <v>1.86</v>
      </c>
      <c r="F77" s="11">
        <f>IF(VLOOKUP(A77,'[1]LISTA ETIQUETAS'!O:W,5,0)="",(VLOOKUP(A77,'[1]LISTA ETIQUETAS'!O:W,7,0)),(VLOOKUP(A77,'[1]LISTA ETIQUETAS'!O:W,5,0)))</f>
        <v>0.93</v>
      </c>
      <c r="G77" s="11">
        <f>IFERROR((VLOOKUP(A77,'[1]LISTA ETIQUETAS'!O:X,8,0)),"")</f>
        <v>0.67</v>
      </c>
      <c r="H77" s="11">
        <f>IFERROR((VLOOKUP(A77,'[1]LISTA ETIQUETAS'!O:X,9,0)),"")</f>
        <v>0</v>
      </c>
      <c r="I77" s="12">
        <f>IFERROR((VLOOKUP(A77,'[1]LISTA ETIQUETAS'!O:Y,11,0)),"")</f>
        <v>45572.04</v>
      </c>
      <c r="J77" s="6">
        <v>0</v>
      </c>
      <c r="K77" s="12">
        <f t="shared" si="3"/>
        <v>45572.04</v>
      </c>
      <c r="L77" s="7" t="str">
        <f>IF(VLOOKUP(A77,'[1]LISTA ETIQUETAS'!O:AB,14,0)="","",(VLOOKUP(A77,'[1]LISTA ETIQUETAS'!O:AB,14,0)))</f>
        <v>FI</v>
      </c>
      <c r="M77" s="8" t="s">
        <v>82</v>
      </c>
      <c r="N77" s="9" t="str">
        <f t="shared" si="4"/>
        <v>277841 | 277838</v>
      </c>
      <c r="O77" s="2">
        <f>_xlfn.XLOOKUP($A77,'[1]LISTA ETIQUETAS'!$O:$O,'[1]LISTA ETIQUETAS'!C:C,"",0)</f>
        <v>0</v>
      </c>
      <c r="P77" s="2">
        <f>_xlfn.XLOOKUP($A77,'[1]LISTA ETIQUETAS'!$O:$O,'[1]LISTA ETIQUETAS'!D:D,"",0)</f>
        <v>0</v>
      </c>
      <c r="Q77" s="2">
        <f>_xlfn.XLOOKUP($A77,'[1]LISTA ETIQUETAS'!$O:$O,'[1]LISTA ETIQUETAS'!E:E,"",0)</f>
        <v>0</v>
      </c>
      <c r="R77" s="2">
        <f>_xlfn.XLOOKUP($A77,'[1]LISTA ETIQUETAS'!$O:$O,'[1]LISTA ETIQUETAS'!F:F,"",0)</f>
        <v>0</v>
      </c>
      <c r="S77" s="2">
        <f>_xlfn.XLOOKUP($A77,'[1]LISTA ETIQUETAS'!$O:$O,'[1]LISTA ETIQUETAS'!H:H,"",0)</f>
        <v>1</v>
      </c>
      <c r="T77" s="9">
        <f t="shared" si="5"/>
        <v>1</v>
      </c>
      <c r="U77" s="10" t="s">
        <v>628</v>
      </c>
    </row>
    <row r="78" spans="1:21" x14ac:dyDescent="0.25">
      <c r="A78" s="5">
        <v>275791</v>
      </c>
      <c r="B78" t="str">
        <f>IFERROR((VLOOKUP(A78,'[1]LISTA ETIQUETAS'!O:X,3,0)),"PRODUTO SEM ESTOQUE")</f>
        <v>EST MESA LATERAL FLY (MARMORE MONT BLANC)</v>
      </c>
      <c r="C78" s="10" t="s">
        <v>83</v>
      </c>
      <c r="D78" s="10" t="s">
        <v>84</v>
      </c>
      <c r="E78" s="11">
        <f>IF(VLOOKUP(A78,'[1]LISTA ETIQUETAS'!O:W,4,0)="",(VLOOKUP(A78,'[1]LISTA ETIQUETAS'!O:W,6,0)),(VLOOKUP(A78,'[1]LISTA ETIQUETAS'!O:W,4,0)))</f>
        <v>0.75</v>
      </c>
      <c r="F78" s="11">
        <f>IF(VLOOKUP(A78,'[1]LISTA ETIQUETAS'!O:W,5,0)="",(VLOOKUP(A78,'[1]LISTA ETIQUETAS'!O:W,7,0)),(VLOOKUP(A78,'[1]LISTA ETIQUETAS'!O:W,5,0)))</f>
        <v>0.75</v>
      </c>
      <c r="G78" s="11">
        <f>IFERROR((VLOOKUP(A78,'[1]LISTA ETIQUETAS'!O:X,8,0)),"")</f>
        <v>0.4</v>
      </c>
      <c r="H78" s="11">
        <f>IFERROR((VLOOKUP(A78,'[1]LISTA ETIQUETAS'!O:X,9,0)),"")</f>
        <v>0</v>
      </c>
      <c r="I78" s="12">
        <f>IFERROR((VLOOKUP(A78,'[1]LISTA ETIQUETAS'!O:Y,11,0)),"")</f>
        <v>58466.239999999998</v>
      </c>
      <c r="J78" s="6">
        <v>0</v>
      </c>
      <c r="K78" s="12">
        <f t="shared" si="3"/>
        <v>58466.239999999998</v>
      </c>
      <c r="L78" s="7" t="str">
        <f>IF(VLOOKUP(A78,'[1]LISTA ETIQUETAS'!O:AB,14,0)="","",(VLOOKUP(A78,'[1]LISTA ETIQUETAS'!O:AB,14,0)))</f>
        <v>FH</v>
      </c>
      <c r="M78" s="8" t="s">
        <v>85</v>
      </c>
      <c r="N78" s="9" t="str">
        <f t="shared" si="4"/>
        <v>275791 | 275789 | 275790</v>
      </c>
      <c r="O78" s="2">
        <f>_xlfn.XLOOKUP($A78,'[1]LISTA ETIQUETAS'!$O:$O,'[1]LISTA ETIQUETAS'!C:C,"",0)</f>
        <v>0</v>
      </c>
      <c r="P78" s="2">
        <f>_xlfn.XLOOKUP($A78,'[1]LISTA ETIQUETAS'!$O:$O,'[1]LISTA ETIQUETAS'!D:D,"",0)</f>
        <v>0</v>
      </c>
      <c r="Q78" s="2">
        <f>_xlfn.XLOOKUP($A78,'[1]LISTA ETIQUETAS'!$O:$O,'[1]LISTA ETIQUETAS'!E:E,"",0)</f>
        <v>0</v>
      </c>
      <c r="R78" s="2">
        <f>_xlfn.XLOOKUP($A78,'[1]LISTA ETIQUETAS'!$O:$O,'[1]LISTA ETIQUETAS'!F:F,"",0)</f>
        <v>0</v>
      </c>
      <c r="S78" s="2">
        <f>_xlfn.XLOOKUP($A78,'[1]LISTA ETIQUETAS'!$O:$O,'[1]LISTA ETIQUETAS'!H:H,"",0)</f>
        <v>1</v>
      </c>
      <c r="T78" s="9">
        <f t="shared" si="5"/>
        <v>1</v>
      </c>
      <c r="U78" s="10" t="s">
        <v>628</v>
      </c>
    </row>
    <row r="79" spans="1:21" x14ac:dyDescent="0.25">
      <c r="A79" s="5">
        <v>275790</v>
      </c>
      <c r="B79" t="str">
        <f>IFERROR((VLOOKUP(A79,'[1]LISTA ETIQUETAS'!O:X,3,0)),"PRODUTO SEM ESTOQUE")</f>
        <v>EST MESA LATERAL FLY (FREIJO) (MTZ CHAMPAGNE)</v>
      </c>
      <c r="C79" s="10" t="s">
        <v>83</v>
      </c>
      <c r="D79" s="10" t="s">
        <v>84</v>
      </c>
      <c r="E79" s="11">
        <f>IF(VLOOKUP(A79,'[1]LISTA ETIQUETAS'!O:W,4,0)="",(VLOOKUP(A79,'[1]LISTA ETIQUETAS'!O:W,6,0)),(VLOOKUP(A79,'[1]LISTA ETIQUETAS'!O:W,4,0)))</f>
        <v>0.35</v>
      </c>
      <c r="F79" s="11">
        <f>IF(VLOOKUP(A79,'[1]LISTA ETIQUETAS'!O:W,5,0)="",(VLOOKUP(A79,'[1]LISTA ETIQUETAS'!O:W,7,0)),(VLOOKUP(A79,'[1]LISTA ETIQUETAS'!O:W,5,0)))</f>
        <v>0.6</v>
      </c>
      <c r="G79" s="11">
        <f>IFERROR((VLOOKUP(A79,'[1]LISTA ETIQUETAS'!O:X,8,0)),"")</f>
        <v>0.4</v>
      </c>
      <c r="H79" s="11">
        <f>IFERROR((VLOOKUP(A79,'[1]LISTA ETIQUETAS'!O:X,9,0)),"")</f>
        <v>0</v>
      </c>
      <c r="I79" s="12">
        <f>IFERROR((VLOOKUP(A79,'[1]LISTA ETIQUETAS'!O:Y,11,0)),"")</f>
        <v>58466.239999999998</v>
      </c>
      <c r="J79" s="6">
        <v>0</v>
      </c>
      <c r="K79" s="12">
        <f t="shared" si="3"/>
        <v>58466.239999999998</v>
      </c>
      <c r="L79" s="7" t="str">
        <f>IF(VLOOKUP(A79,'[1]LISTA ETIQUETAS'!O:AB,14,0)="","",(VLOOKUP(A79,'[1]LISTA ETIQUETAS'!O:AB,14,0)))</f>
        <v>FH</v>
      </c>
      <c r="M79" s="8" t="s">
        <v>85</v>
      </c>
      <c r="N79" s="9" t="str">
        <f t="shared" si="4"/>
        <v>275791 | 275789 | 275790</v>
      </c>
      <c r="O79" s="2">
        <f>_xlfn.XLOOKUP($A79,'[1]LISTA ETIQUETAS'!$O:$O,'[1]LISTA ETIQUETAS'!C:C,"",0)</f>
        <v>0</v>
      </c>
      <c r="P79" s="2">
        <f>_xlfn.XLOOKUP($A79,'[1]LISTA ETIQUETAS'!$O:$O,'[1]LISTA ETIQUETAS'!D:D,"",0)</f>
        <v>0</v>
      </c>
      <c r="Q79" s="2">
        <f>_xlfn.XLOOKUP($A79,'[1]LISTA ETIQUETAS'!$O:$O,'[1]LISTA ETIQUETAS'!E:E,"",0)</f>
        <v>0</v>
      </c>
      <c r="R79" s="2">
        <f>_xlfn.XLOOKUP($A79,'[1]LISTA ETIQUETAS'!$O:$O,'[1]LISTA ETIQUETAS'!F:F,"",0)</f>
        <v>0</v>
      </c>
      <c r="S79" s="2">
        <f>_xlfn.XLOOKUP($A79,'[1]LISTA ETIQUETAS'!$O:$O,'[1]LISTA ETIQUETAS'!H:H,"",0)</f>
        <v>1</v>
      </c>
      <c r="T79" s="9">
        <f t="shared" si="5"/>
        <v>1</v>
      </c>
      <c r="U79" s="10" t="s">
        <v>628</v>
      </c>
    </row>
    <row r="80" spans="1:21" x14ac:dyDescent="0.25">
      <c r="A80" s="5">
        <v>275789</v>
      </c>
      <c r="B80" t="str">
        <f>IFERROR((VLOOKUP(A80,'[1]LISTA ETIQUETAS'!O:X,3,0)),"PRODUTO SEM ESTOQUE")</f>
        <v>EST SOFA FLY (FREIJO) TC PADRAO C 0700</v>
      </c>
      <c r="C80" s="10" t="s">
        <v>13</v>
      </c>
      <c r="D80" s="10" t="s">
        <v>86</v>
      </c>
      <c r="E80" s="11">
        <f>IF(VLOOKUP(A80,'[1]LISTA ETIQUETAS'!O:W,4,0)="",(VLOOKUP(A80,'[1]LISTA ETIQUETAS'!O:W,6,0)),(VLOOKUP(A80,'[1]LISTA ETIQUETAS'!O:W,4,0)))</f>
        <v>2.35</v>
      </c>
      <c r="F80" s="11">
        <f>IF(VLOOKUP(A80,'[1]LISTA ETIQUETAS'!O:W,5,0)="",(VLOOKUP(A80,'[1]LISTA ETIQUETAS'!O:W,7,0)),(VLOOKUP(A80,'[1]LISTA ETIQUETAS'!O:W,5,0)))</f>
        <v>0.98</v>
      </c>
      <c r="G80" s="11">
        <f>IFERROR((VLOOKUP(A80,'[1]LISTA ETIQUETAS'!O:X,8,0)),"")</f>
        <v>0.88</v>
      </c>
      <c r="H80" s="11">
        <f>IFERROR((VLOOKUP(A80,'[1]LISTA ETIQUETAS'!O:X,9,0)),"")</f>
        <v>0</v>
      </c>
      <c r="I80" s="12">
        <f>IFERROR((VLOOKUP(A80,'[1]LISTA ETIQUETAS'!O:Y,11,0)),"")</f>
        <v>58466.239999999998</v>
      </c>
      <c r="J80" s="6">
        <v>0</v>
      </c>
      <c r="K80" s="12">
        <f t="shared" si="3"/>
        <v>58466.239999999998</v>
      </c>
      <c r="L80" s="7" t="str">
        <f>IF(VLOOKUP(A80,'[1]LISTA ETIQUETAS'!O:AB,14,0)="","",(VLOOKUP(A80,'[1]LISTA ETIQUETAS'!O:AB,14,0)))</f>
        <v>FH</v>
      </c>
      <c r="M80" s="8" t="s">
        <v>85</v>
      </c>
      <c r="N80" s="9" t="str">
        <f t="shared" si="4"/>
        <v>275791 | 275789 | 275790</v>
      </c>
      <c r="O80" s="2">
        <f>_xlfn.XLOOKUP($A80,'[1]LISTA ETIQUETAS'!$O:$O,'[1]LISTA ETIQUETAS'!C:C,"",0)</f>
        <v>0</v>
      </c>
      <c r="P80" s="2">
        <f>_xlfn.XLOOKUP($A80,'[1]LISTA ETIQUETAS'!$O:$O,'[1]LISTA ETIQUETAS'!D:D,"",0)</f>
        <v>0</v>
      </c>
      <c r="Q80" s="2">
        <f>_xlfn.XLOOKUP($A80,'[1]LISTA ETIQUETAS'!$O:$O,'[1]LISTA ETIQUETAS'!E:E,"",0)</f>
        <v>0</v>
      </c>
      <c r="R80" s="2">
        <f>_xlfn.XLOOKUP($A80,'[1]LISTA ETIQUETAS'!$O:$O,'[1]LISTA ETIQUETAS'!F:F,"",0)</f>
        <v>0</v>
      </c>
      <c r="S80" s="2">
        <f>_xlfn.XLOOKUP($A80,'[1]LISTA ETIQUETAS'!$O:$O,'[1]LISTA ETIQUETAS'!H:H,"",0)</f>
        <v>1</v>
      </c>
      <c r="T80" s="9">
        <f t="shared" si="5"/>
        <v>1</v>
      </c>
      <c r="U80" s="10" t="s">
        <v>628</v>
      </c>
    </row>
    <row r="81" spans="1:21" x14ac:dyDescent="0.25">
      <c r="A81" s="5">
        <v>270576</v>
      </c>
      <c r="B81" t="str">
        <f>IFERROR((VLOOKUP(A81,'[1]LISTA ETIQUETAS'!O:X,3,0)),"PRODUTO SEM ESTOQUE")</f>
        <v>EST MESA LATERAL FLY (FREIJO) (ELETROSTATICA MARROM CORTEN)</v>
      </c>
      <c r="C81" s="10" t="s">
        <v>83</v>
      </c>
      <c r="D81" s="10" t="s">
        <v>84</v>
      </c>
      <c r="E81" s="11">
        <f>IF(VLOOKUP(A81,'[1]LISTA ETIQUETAS'!O:W,4,0)="",(VLOOKUP(A81,'[1]LISTA ETIQUETAS'!O:W,6,0)),(VLOOKUP(A81,'[1]LISTA ETIQUETAS'!O:W,4,0)))</f>
        <v>0.6</v>
      </c>
      <c r="F81" s="11">
        <f>IF(VLOOKUP(A81,'[1]LISTA ETIQUETAS'!O:W,5,0)="",(VLOOKUP(A81,'[1]LISTA ETIQUETAS'!O:W,7,0)),(VLOOKUP(A81,'[1]LISTA ETIQUETAS'!O:W,5,0)))</f>
        <v>0.35</v>
      </c>
      <c r="G81" s="11">
        <f>IFERROR((VLOOKUP(A81,'[1]LISTA ETIQUETAS'!O:X,8,0)),"")</f>
        <v>0.4</v>
      </c>
      <c r="H81" s="11">
        <f>IFERROR((VLOOKUP(A81,'[1]LISTA ETIQUETAS'!O:X,9,0)),"")</f>
        <v>0</v>
      </c>
      <c r="I81" s="12">
        <f>IFERROR((VLOOKUP(A81,'[1]LISTA ETIQUETAS'!O:Y,11,0)),"")</f>
        <v>47625.759999999995</v>
      </c>
      <c r="J81" s="6">
        <v>0</v>
      </c>
      <c r="K81" s="12">
        <f t="shared" si="3"/>
        <v>47625.759999999995</v>
      </c>
      <c r="L81" s="7" t="str">
        <f>IF(VLOOKUP(A81,'[1]LISTA ETIQUETAS'!O:AB,14,0)="","",(VLOOKUP(A81,'[1]LISTA ETIQUETAS'!O:AB,14,0)))</f>
        <v>FG</v>
      </c>
      <c r="M81" s="8" t="s">
        <v>87</v>
      </c>
      <c r="N81" s="9" t="str">
        <f t="shared" si="4"/>
        <v>270576 | 270499 | 270495</v>
      </c>
      <c r="O81" s="2">
        <f>_xlfn.XLOOKUP($A81,'[1]LISTA ETIQUETAS'!$O:$O,'[1]LISTA ETIQUETAS'!C:C,"",0)</f>
        <v>0</v>
      </c>
      <c r="P81" s="2">
        <f>_xlfn.XLOOKUP($A81,'[1]LISTA ETIQUETAS'!$O:$O,'[1]LISTA ETIQUETAS'!D:D,"",0)</f>
        <v>0</v>
      </c>
      <c r="Q81" s="2">
        <f>_xlfn.XLOOKUP($A81,'[1]LISTA ETIQUETAS'!$O:$O,'[1]LISTA ETIQUETAS'!E:E,"",0)</f>
        <v>0</v>
      </c>
      <c r="R81" s="2">
        <f>_xlfn.XLOOKUP($A81,'[1]LISTA ETIQUETAS'!$O:$O,'[1]LISTA ETIQUETAS'!F:F,"",0)</f>
        <v>0</v>
      </c>
      <c r="S81" s="2">
        <f>_xlfn.XLOOKUP($A81,'[1]LISTA ETIQUETAS'!$O:$O,'[1]LISTA ETIQUETAS'!H:H,"",0)</f>
        <v>1</v>
      </c>
      <c r="T81" s="9">
        <f t="shared" si="5"/>
        <v>1</v>
      </c>
      <c r="U81" s="10" t="s">
        <v>628</v>
      </c>
    </row>
    <row r="82" spans="1:21" x14ac:dyDescent="0.25">
      <c r="A82" s="5">
        <v>270499</v>
      </c>
      <c r="B82" t="str">
        <f>IFERROR((VLOOKUP(A82,'[1]LISTA ETIQUETAS'!O:X,3,0)),"PRODUTO SEM ESTOQUE")</f>
        <v>EST MESA LATERAL FLY (QUARTIZITO MONT BLANC POLIDO)</v>
      </c>
      <c r="C82" s="10" t="s">
        <v>83</v>
      </c>
      <c r="D82" s="10" t="s">
        <v>84</v>
      </c>
      <c r="E82" s="11">
        <f>IF(VLOOKUP(A82,'[1]LISTA ETIQUETAS'!O:W,4,0)="",(VLOOKUP(A82,'[1]LISTA ETIQUETAS'!O:W,6,0)),(VLOOKUP(A82,'[1]LISTA ETIQUETAS'!O:W,4,0)))</f>
        <v>0.75</v>
      </c>
      <c r="F82" s="11">
        <f>IF(VLOOKUP(A82,'[1]LISTA ETIQUETAS'!O:W,5,0)="",(VLOOKUP(A82,'[1]LISTA ETIQUETAS'!O:W,7,0)),(VLOOKUP(A82,'[1]LISTA ETIQUETAS'!O:W,5,0)))</f>
        <v>0.7</v>
      </c>
      <c r="G82" s="11">
        <f>IFERROR((VLOOKUP(A82,'[1]LISTA ETIQUETAS'!O:X,8,0)),"")</f>
        <v>0.4</v>
      </c>
      <c r="H82" s="11">
        <f>IFERROR((VLOOKUP(A82,'[1]LISTA ETIQUETAS'!O:X,9,0)),"")</f>
        <v>0</v>
      </c>
      <c r="I82" s="12">
        <f>IFERROR((VLOOKUP(A82,'[1]LISTA ETIQUETAS'!O:Y,11,0)),"")</f>
        <v>47625.759999999995</v>
      </c>
      <c r="J82" s="6">
        <v>0</v>
      </c>
      <c r="K82" s="12">
        <f t="shared" si="3"/>
        <v>47625.759999999995</v>
      </c>
      <c r="L82" s="7" t="str">
        <f>IF(VLOOKUP(A82,'[1]LISTA ETIQUETAS'!O:AB,14,0)="","",(VLOOKUP(A82,'[1]LISTA ETIQUETAS'!O:AB,14,0)))</f>
        <v>FG</v>
      </c>
      <c r="M82" s="8" t="s">
        <v>87</v>
      </c>
      <c r="N82" s="9" t="str">
        <f t="shared" si="4"/>
        <v>270576 | 270499 | 270495</v>
      </c>
      <c r="O82" s="2">
        <f>_xlfn.XLOOKUP($A82,'[1]LISTA ETIQUETAS'!$O:$O,'[1]LISTA ETIQUETAS'!C:C,"",0)</f>
        <v>0</v>
      </c>
      <c r="P82" s="2">
        <f>_xlfn.XLOOKUP($A82,'[1]LISTA ETIQUETAS'!$O:$O,'[1]LISTA ETIQUETAS'!D:D,"",0)</f>
        <v>0</v>
      </c>
      <c r="Q82" s="2">
        <f>_xlfn.XLOOKUP($A82,'[1]LISTA ETIQUETAS'!$O:$O,'[1]LISTA ETIQUETAS'!E:E,"",0)</f>
        <v>0</v>
      </c>
      <c r="R82" s="2">
        <f>_xlfn.XLOOKUP($A82,'[1]LISTA ETIQUETAS'!$O:$O,'[1]LISTA ETIQUETAS'!F:F,"",0)</f>
        <v>0</v>
      </c>
      <c r="S82" s="2">
        <f>_xlfn.XLOOKUP($A82,'[1]LISTA ETIQUETAS'!$O:$O,'[1]LISTA ETIQUETAS'!H:H,"",0)</f>
        <v>1</v>
      </c>
      <c r="T82" s="9">
        <f t="shared" si="5"/>
        <v>1</v>
      </c>
      <c r="U82" s="10" t="s">
        <v>628</v>
      </c>
    </row>
    <row r="83" spans="1:21" x14ac:dyDescent="0.25">
      <c r="A83" s="5">
        <v>270495</v>
      </c>
      <c r="B83" t="str">
        <f>IFERROR((VLOOKUP(A83,'[1]LISTA ETIQUETAS'!O:X,3,0)),"PRODUTO SEM ESTOQUE")</f>
        <v>EST SOFA FLY (FREIJO) TC PADRAO C 0700 001</v>
      </c>
      <c r="C83" s="10" t="s">
        <v>13</v>
      </c>
      <c r="D83" s="10" t="s">
        <v>86</v>
      </c>
      <c r="E83" s="11">
        <f>IF(VLOOKUP(A83,'[1]LISTA ETIQUETAS'!O:W,4,0)="",(VLOOKUP(A83,'[1]LISTA ETIQUETAS'!O:W,6,0)),(VLOOKUP(A83,'[1]LISTA ETIQUETAS'!O:W,4,0)))</f>
        <v>3.4</v>
      </c>
      <c r="F83" s="11">
        <f>IF(VLOOKUP(A83,'[1]LISTA ETIQUETAS'!O:W,5,0)="",(VLOOKUP(A83,'[1]LISTA ETIQUETAS'!O:W,7,0)),(VLOOKUP(A83,'[1]LISTA ETIQUETAS'!O:W,5,0)))</f>
        <v>0.98</v>
      </c>
      <c r="G83" s="11">
        <f>IFERROR((VLOOKUP(A83,'[1]LISTA ETIQUETAS'!O:X,8,0)),"")</f>
        <v>0.67</v>
      </c>
      <c r="H83" s="11">
        <f>IFERROR((VLOOKUP(A83,'[1]LISTA ETIQUETAS'!O:X,9,0)),"")</f>
        <v>0</v>
      </c>
      <c r="I83" s="12">
        <f>IFERROR((VLOOKUP(A83,'[1]LISTA ETIQUETAS'!O:Y,11,0)),"")</f>
        <v>47625.759999999995</v>
      </c>
      <c r="J83" s="6">
        <v>0</v>
      </c>
      <c r="K83" s="12">
        <f t="shared" si="3"/>
        <v>47625.759999999995</v>
      </c>
      <c r="L83" s="7" t="str">
        <f>IF(VLOOKUP(A83,'[1]LISTA ETIQUETAS'!O:AB,14,0)="","",(VLOOKUP(A83,'[1]LISTA ETIQUETAS'!O:AB,14,0)))</f>
        <v>FG</v>
      </c>
      <c r="M83" s="8" t="s">
        <v>87</v>
      </c>
      <c r="N83" s="9" t="str">
        <f t="shared" si="4"/>
        <v>270576 | 270499 | 270495</v>
      </c>
      <c r="O83" s="2">
        <f>_xlfn.XLOOKUP($A83,'[1]LISTA ETIQUETAS'!$O:$O,'[1]LISTA ETIQUETAS'!C:C,"",0)</f>
        <v>0</v>
      </c>
      <c r="P83" s="2">
        <f>_xlfn.XLOOKUP($A83,'[1]LISTA ETIQUETAS'!$O:$O,'[1]LISTA ETIQUETAS'!D:D,"",0)</f>
        <v>0</v>
      </c>
      <c r="Q83" s="2">
        <f>_xlfn.XLOOKUP($A83,'[1]LISTA ETIQUETAS'!$O:$O,'[1]LISTA ETIQUETAS'!E:E,"",0)</f>
        <v>0</v>
      </c>
      <c r="R83" s="2">
        <f>_xlfn.XLOOKUP($A83,'[1]LISTA ETIQUETAS'!$O:$O,'[1]LISTA ETIQUETAS'!F:F,"",0)</f>
        <v>0</v>
      </c>
      <c r="S83" s="2">
        <f>_xlfn.XLOOKUP($A83,'[1]LISTA ETIQUETAS'!$O:$O,'[1]LISTA ETIQUETAS'!H:H,"",0)</f>
        <v>1</v>
      </c>
      <c r="T83" s="9">
        <f t="shared" si="5"/>
        <v>1</v>
      </c>
      <c r="U83" s="10" t="s">
        <v>628</v>
      </c>
    </row>
    <row r="84" spans="1:21" x14ac:dyDescent="0.25">
      <c r="A84" s="5">
        <v>354545</v>
      </c>
      <c r="B84" t="str">
        <f>IFERROR((VLOOKUP(A84,'[1]LISTA ETIQUETAS'!O:X,3,0)),"PRODUTO SEM ESTOQUE")</f>
        <v>EST MESA LATERAL PACO (MAD A TAUARI ENV) INOX ENV</v>
      </c>
      <c r="C84" s="10" t="s">
        <v>83</v>
      </c>
      <c r="D84" s="10" t="s">
        <v>88</v>
      </c>
      <c r="E84" s="11">
        <f>IF(VLOOKUP(A84,'[1]LISTA ETIQUETAS'!O:W,4,0)="",(VLOOKUP(A84,'[1]LISTA ETIQUETAS'!O:W,6,0)),(VLOOKUP(A84,'[1]LISTA ETIQUETAS'!O:W,4,0)))</f>
        <v>0.25</v>
      </c>
      <c r="F84" s="11">
        <f>IF(VLOOKUP(A84,'[1]LISTA ETIQUETAS'!O:W,5,0)="",(VLOOKUP(A84,'[1]LISTA ETIQUETAS'!O:W,7,0)),(VLOOKUP(A84,'[1]LISTA ETIQUETAS'!O:W,5,0)))</f>
        <v>0</v>
      </c>
      <c r="G84" s="11">
        <f>IFERROR((VLOOKUP(A84,'[1]LISTA ETIQUETAS'!O:X,8,0)),"")</f>
        <v>0.52</v>
      </c>
      <c r="H84" s="11">
        <f>IFERROR((VLOOKUP(A84,'[1]LISTA ETIQUETAS'!O:X,9,0)),"")</f>
        <v>0.25</v>
      </c>
      <c r="I84" s="12">
        <f>IFERROR((VLOOKUP(A84,'[1]LISTA ETIQUETAS'!O:Y,11,0)),"")</f>
        <v>40968.5</v>
      </c>
      <c r="J84" s="6">
        <v>0</v>
      </c>
      <c r="K84" s="12">
        <f t="shared" si="3"/>
        <v>40968.5</v>
      </c>
      <c r="L84" s="7" t="str">
        <f>IF(VLOOKUP(A84,'[1]LISTA ETIQUETAS'!O:AB,14,0)="","",(VLOOKUP(A84,'[1]LISTA ETIQUETAS'!O:AB,14,0)))</f>
        <v>FC</v>
      </c>
      <c r="M84" s="8">
        <v>354545</v>
      </c>
      <c r="N84" s="9">
        <f t="shared" si="4"/>
        <v>354545</v>
      </c>
      <c r="O84" s="2">
        <f>_xlfn.XLOOKUP($A84,'[1]LISTA ETIQUETAS'!$O:$O,'[1]LISTA ETIQUETAS'!C:C,"",0)</f>
        <v>0</v>
      </c>
      <c r="P84" s="2">
        <f>_xlfn.XLOOKUP($A84,'[1]LISTA ETIQUETAS'!$O:$O,'[1]LISTA ETIQUETAS'!D:D,"",0)</f>
        <v>0</v>
      </c>
      <c r="Q84" s="2">
        <f>_xlfn.XLOOKUP($A84,'[1]LISTA ETIQUETAS'!$O:$O,'[1]LISTA ETIQUETAS'!E:E,"",0)</f>
        <v>0</v>
      </c>
      <c r="R84" s="2">
        <f>_xlfn.XLOOKUP($A84,'[1]LISTA ETIQUETAS'!$O:$O,'[1]LISTA ETIQUETAS'!F:F,"",0)</f>
        <v>0</v>
      </c>
      <c r="S84" s="2">
        <f>_xlfn.XLOOKUP($A84,'[1]LISTA ETIQUETAS'!$O:$O,'[1]LISTA ETIQUETAS'!H:H,"",0)</f>
        <v>1</v>
      </c>
      <c r="T84" s="9">
        <f t="shared" si="5"/>
        <v>1</v>
      </c>
      <c r="U84" s="10" t="s">
        <v>628</v>
      </c>
    </row>
    <row r="85" spans="1:21" x14ac:dyDescent="0.25">
      <c r="A85" s="5">
        <v>318595</v>
      </c>
      <c r="B85" t="str">
        <f>IFERROR((VLOOKUP(A85,'[1]LISTA ETIQUETAS'!O:X,3,0)),"PRODUTO SEM ESTOQUE")</f>
        <v>EST MODULO S/BRACO CLEAN (1AS) FX 5730</v>
      </c>
      <c r="C85" s="10" t="s">
        <v>13</v>
      </c>
      <c r="D85" s="10" t="s">
        <v>73</v>
      </c>
      <c r="E85" s="11">
        <f>IF(VLOOKUP(A85,'[1]LISTA ETIQUETAS'!O:W,4,0)="",(VLOOKUP(A85,'[1]LISTA ETIQUETAS'!O:W,6,0)),(VLOOKUP(A85,'[1]LISTA ETIQUETAS'!O:W,4,0)))</f>
        <v>1</v>
      </c>
      <c r="F85" s="11">
        <f>IF(VLOOKUP(A85,'[1]LISTA ETIQUETAS'!O:W,5,0)="",(VLOOKUP(A85,'[1]LISTA ETIQUETAS'!O:W,7,0)),(VLOOKUP(A85,'[1]LISTA ETIQUETAS'!O:W,5,0)))</f>
        <v>1.1499999999999999</v>
      </c>
      <c r="G85" s="11">
        <f>IFERROR((VLOOKUP(A85,'[1]LISTA ETIQUETAS'!O:X,8,0)),"")</f>
        <v>0.8</v>
      </c>
      <c r="H85" s="11">
        <f>IFERROR((VLOOKUP(A85,'[1]LISTA ETIQUETAS'!O:X,9,0)),"")</f>
        <v>0</v>
      </c>
      <c r="I85" s="12">
        <f>IFERROR((VLOOKUP(A85,'[1]LISTA ETIQUETAS'!O:Y,11,0)),"")</f>
        <v>43041.24</v>
      </c>
      <c r="J85" s="6">
        <v>0</v>
      </c>
      <c r="K85" s="12">
        <f t="shared" si="3"/>
        <v>43041.24</v>
      </c>
      <c r="L85" s="7" t="str">
        <f>IF(VLOOKUP(A85,'[1]LISTA ETIQUETAS'!O:AB,14,0)="","",(VLOOKUP(A85,'[1]LISTA ETIQUETAS'!O:AB,14,0)))</f>
        <v>F</v>
      </c>
      <c r="M85" s="8" t="s">
        <v>89</v>
      </c>
      <c r="N85" s="9" t="str">
        <f t="shared" si="4"/>
        <v>318595 | 318592 | 318591</v>
      </c>
      <c r="O85" s="2">
        <f>_xlfn.XLOOKUP($A85,'[1]LISTA ETIQUETAS'!$O:$O,'[1]LISTA ETIQUETAS'!C:C,"",0)</f>
        <v>0</v>
      </c>
      <c r="P85" s="2">
        <f>_xlfn.XLOOKUP($A85,'[1]LISTA ETIQUETAS'!$O:$O,'[1]LISTA ETIQUETAS'!D:D,"",0)</f>
        <v>0</v>
      </c>
      <c r="Q85" s="2">
        <f>_xlfn.XLOOKUP($A85,'[1]LISTA ETIQUETAS'!$O:$O,'[1]LISTA ETIQUETAS'!E:E,"",0)</f>
        <v>0</v>
      </c>
      <c r="R85" s="2">
        <f>_xlfn.XLOOKUP($A85,'[1]LISTA ETIQUETAS'!$O:$O,'[1]LISTA ETIQUETAS'!F:F,"",0)</f>
        <v>0</v>
      </c>
      <c r="S85" s="2">
        <f>_xlfn.XLOOKUP($A85,'[1]LISTA ETIQUETAS'!$O:$O,'[1]LISTA ETIQUETAS'!H:H,"",0)</f>
        <v>1</v>
      </c>
      <c r="T85" s="9">
        <f t="shared" si="5"/>
        <v>1</v>
      </c>
      <c r="U85" s="10" t="s">
        <v>628</v>
      </c>
    </row>
    <row r="86" spans="1:21" x14ac:dyDescent="0.25">
      <c r="A86" s="5">
        <v>318592</v>
      </c>
      <c r="B86" t="str">
        <f>IFERROR((VLOOKUP(A86,'[1]LISTA ETIQUETAS'!O:X,3,0)),"PRODUTO SEM ESTOQUE")</f>
        <v>EST MODULO BRACO ESQUERDO CLEAN (B06) (1AS) FX 5730</v>
      </c>
      <c r="C86" s="10" t="s">
        <v>13</v>
      </c>
      <c r="D86" s="10" t="s">
        <v>73</v>
      </c>
      <c r="E86" s="11">
        <f>IF(VLOOKUP(A86,'[1]LISTA ETIQUETAS'!O:W,4,0)="",(VLOOKUP(A86,'[1]LISTA ETIQUETAS'!O:W,6,0)),(VLOOKUP(A86,'[1]LISTA ETIQUETAS'!O:W,4,0)))</f>
        <v>1.06</v>
      </c>
      <c r="F86" s="11">
        <f>IF(VLOOKUP(A86,'[1]LISTA ETIQUETAS'!O:W,5,0)="",(VLOOKUP(A86,'[1]LISTA ETIQUETAS'!O:W,7,0)),(VLOOKUP(A86,'[1]LISTA ETIQUETAS'!O:W,5,0)))</f>
        <v>1.1499999999999999</v>
      </c>
      <c r="G86" s="11">
        <f>IFERROR((VLOOKUP(A86,'[1]LISTA ETIQUETAS'!O:X,8,0)),"")</f>
        <v>0.8</v>
      </c>
      <c r="H86" s="11">
        <f>IFERROR((VLOOKUP(A86,'[1]LISTA ETIQUETAS'!O:X,9,0)),"")</f>
        <v>0</v>
      </c>
      <c r="I86" s="12">
        <f>IFERROR((VLOOKUP(A86,'[1]LISTA ETIQUETAS'!O:Y,11,0)),"")</f>
        <v>43041.24</v>
      </c>
      <c r="J86" s="6">
        <v>0</v>
      </c>
      <c r="K86" s="12">
        <f t="shared" si="3"/>
        <v>43041.24</v>
      </c>
      <c r="L86" s="7" t="str">
        <f>IF(VLOOKUP(A86,'[1]LISTA ETIQUETAS'!O:AB,14,0)="","",(VLOOKUP(A86,'[1]LISTA ETIQUETAS'!O:AB,14,0)))</f>
        <v>F</v>
      </c>
      <c r="M86" s="8" t="s">
        <v>89</v>
      </c>
      <c r="N86" s="9" t="str">
        <f t="shared" si="4"/>
        <v>318595 | 318592 | 318591</v>
      </c>
      <c r="O86" s="2">
        <f>_xlfn.XLOOKUP($A86,'[1]LISTA ETIQUETAS'!$O:$O,'[1]LISTA ETIQUETAS'!C:C,"",0)</f>
        <v>0</v>
      </c>
      <c r="P86" s="2">
        <f>_xlfn.XLOOKUP($A86,'[1]LISTA ETIQUETAS'!$O:$O,'[1]LISTA ETIQUETAS'!D:D,"",0)</f>
        <v>0</v>
      </c>
      <c r="Q86" s="2">
        <f>_xlfn.XLOOKUP($A86,'[1]LISTA ETIQUETAS'!$O:$O,'[1]LISTA ETIQUETAS'!E:E,"",0)</f>
        <v>0</v>
      </c>
      <c r="R86" s="2">
        <f>_xlfn.XLOOKUP($A86,'[1]LISTA ETIQUETAS'!$O:$O,'[1]LISTA ETIQUETAS'!F:F,"",0)</f>
        <v>0</v>
      </c>
      <c r="S86" s="2">
        <f>_xlfn.XLOOKUP($A86,'[1]LISTA ETIQUETAS'!$O:$O,'[1]LISTA ETIQUETAS'!H:H,"",0)</f>
        <v>1</v>
      </c>
      <c r="T86" s="9">
        <f t="shared" si="5"/>
        <v>1</v>
      </c>
      <c r="U86" s="10" t="s">
        <v>628</v>
      </c>
    </row>
    <row r="87" spans="1:21" x14ac:dyDescent="0.25">
      <c r="A87" s="5">
        <v>318591</v>
      </c>
      <c r="B87" t="str">
        <f>IFERROR((VLOOKUP(A87,'[1]LISTA ETIQUETAS'!O:X,3,0)),"PRODUTO SEM ESTOQUE")</f>
        <v>EST MODULO BRACO DIREITO CLEAN (B06) (1AS) FX 5730</v>
      </c>
      <c r="C87" s="10" t="s">
        <v>13</v>
      </c>
      <c r="D87" s="10" t="s">
        <v>73</v>
      </c>
      <c r="E87" s="11">
        <f>IF(VLOOKUP(A87,'[1]LISTA ETIQUETAS'!O:W,4,0)="",(VLOOKUP(A87,'[1]LISTA ETIQUETAS'!O:W,6,0)),(VLOOKUP(A87,'[1]LISTA ETIQUETAS'!O:W,4,0)))</f>
        <v>1.06</v>
      </c>
      <c r="F87" s="11">
        <f>IF(VLOOKUP(A87,'[1]LISTA ETIQUETAS'!O:W,5,0)="",(VLOOKUP(A87,'[1]LISTA ETIQUETAS'!O:W,7,0)),(VLOOKUP(A87,'[1]LISTA ETIQUETAS'!O:W,5,0)))</f>
        <v>1.1499999999999999</v>
      </c>
      <c r="G87" s="11">
        <f>IFERROR((VLOOKUP(A87,'[1]LISTA ETIQUETAS'!O:X,8,0)),"")</f>
        <v>0.8</v>
      </c>
      <c r="H87" s="11">
        <f>IFERROR((VLOOKUP(A87,'[1]LISTA ETIQUETAS'!O:X,9,0)),"")</f>
        <v>0</v>
      </c>
      <c r="I87" s="12">
        <f>IFERROR((VLOOKUP(A87,'[1]LISTA ETIQUETAS'!O:Y,11,0)),"")</f>
        <v>43041.24</v>
      </c>
      <c r="J87" s="6">
        <v>0</v>
      </c>
      <c r="K87" s="12">
        <f t="shared" si="3"/>
        <v>43041.24</v>
      </c>
      <c r="L87" s="7" t="str">
        <f>IF(VLOOKUP(A87,'[1]LISTA ETIQUETAS'!O:AB,14,0)="","",(VLOOKUP(A87,'[1]LISTA ETIQUETAS'!O:AB,14,0)))</f>
        <v>F</v>
      </c>
      <c r="M87" s="8" t="s">
        <v>89</v>
      </c>
      <c r="N87" s="9" t="str">
        <f t="shared" si="4"/>
        <v>318595 | 318592 | 318591</v>
      </c>
      <c r="O87" s="2">
        <f>_xlfn.XLOOKUP($A87,'[1]LISTA ETIQUETAS'!$O:$O,'[1]LISTA ETIQUETAS'!C:C,"",0)</f>
        <v>0</v>
      </c>
      <c r="P87" s="2">
        <f>_xlfn.XLOOKUP($A87,'[1]LISTA ETIQUETAS'!$O:$O,'[1]LISTA ETIQUETAS'!D:D,"",0)</f>
        <v>0</v>
      </c>
      <c r="Q87" s="2">
        <f>_xlfn.XLOOKUP($A87,'[1]LISTA ETIQUETAS'!$O:$O,'[1]LISTA ETIQUETAS'!E:E,"",0)</f>
        <v>0</v>
      </c>
      <c r="R87" s="2">
        <f>_xlfn.XLOOKUP($A87,'[1]LISTA ETIQUETAS'!$O:$O,'[1]LISTA ETIQUETAS'!F:F,"",0)</f>
        <v>0</v>
      </c>
      <c r="S87" s="2">
        <f>_xlfn.XLOOKUP($A87,'[1]LISTA ETIQUETAS'!$O:$O,'[1]LISTA ETIQUETAS'!H:H,"",0)</f>
        <v>1</v>
      </c>
      <c r="T87" s="9">
        <f t="shared" si="5"/>
        <v>1</v>
      </c>
      <c r="U87" s="10" t="s">
        <v>628</v>
      </c>
    </row>
    <row r="88" spans="1:21" x14ac:dyDescent="0.25">
      <c r="A88" s="5">
        <v>354548</v>
      </c>
      <c r="B88" t="str">
        <f>IFERROR((VLOOKUP(A88,'[1]LISTA ETIQUETAS'!O:X,3,0)),"PRODUTO SEM ESTOQUE")</f>
        <v>EST MESA LATERAL PACO (MAD A TAUARI POA) INOX ENV</v>
      </c>
      <c r="C88" s="10" t="s">
        <v>83</v>
      </c>
      <c r="D88" s="10" t="s">
        <v>88</v>
      </c>
      <c r="E88" s="11">
        <f>IF(VLOOKUP(A88,'[1]LISTA ETIQUETAS'!O:W,4,0)="",(VLOOKUP(A88,'[1]LISTA ETIQUETAS'!O:W,6,0)),(VLOOKUP(A88,'[1]LISTA ETIQUETAS'!O:W,4,0)))</f>
        <v>0.25</v>
      </c>
      <c r="F88" s="11">
        <f>IF(VLOOKUP(A88,'[1]LISTA ETIQUETAS'!O:W,5,0)="",(VLOOKUP(A88,'[1]LISTA ETIQUETAS'!O:W,7,0)),(VLOOKUP(A88,'[1]LISTA ETIQUETAS'!O:W,5,0)))</f>
        <v>0</v>
      </c>
      <c r="G88" s="11">
        <f>IFERROR((VLOOKUP(A88,'[1]LISTA ETIQUETAS'!O:X,8,0)),"")</f>
        <v>0.52</v>
      </c>
      <c r="H88" s="11">
        <f>IFERROR((VLOOKUP(A88,'[1]LISTA ETIQUETAS'!O:X,9,0)),"")</f>
        <v>0.25</v>
      </c>
      <c r="I88" s="12">
        <f>IFERROR((VLOOKUP(A88,'[1]LISTA ETIQUETAS'!O:Y,11,0)),"")</f>
        <v>38816.559999999998</v>
      </c>
      <c r="J88" s="6">
        <v>0</v>
      </c>
      <c r="K88" s="12">
        <f t="shared" si="3"/>
        <v>38816.559999999998</v>
      </c>
      <c r="L88" s="7" t="str">
        <f>IF(VLOOKUP(A88,'[1]LISTA ETIQUETAS'!O:AB,14,0)="","",(VLOOKUP(A88,'[1]LISTA ETIQUETAS'!O:AB,14,0)))</f>
        <v>EZ</v>
      </c>
      <c r="M88" s="8" t="s">
        <v>90</v>
      </c>
      <c r="N88" s="9" t="str">
        <f t="shared" si="4"/>
        <v>354548 | 336556</v>
      </c>
      <c r="O88" s="2">
        <f>_xlfn.XLOOKUP($A88,'[1]LISTA ETIQUETAS'!$O:$O,'[1]LISTA ETIQUETAS'!C:C,"",0)</f>
        <v>0</v>
      </c>
      <c r="P88" s="2">
        <f>_xlfn.XLOOKUP($A88,'[1]LISTA ETIQUETAS'!$O:$O,'[1]LISTA ETIQUETAS'!D:D,"",0)</f>
        <v>0</v>
      </c>
      <c r="Q88" s="2">
        <f>_xlfn.XLOOKUP($A88,'[1]LISTA ETIQUETAS'!$O:$O,'[1]LISTA ETIQUETAS'!E:E,"",0)</f>
        <v>0</v>
      </c>
      <c r="R88" s="2">
        <f>_xlfn.XLOOKUP($A88,'[1]LISTA ETIQUETAS'!$O:$O,'[1]LISTA ETIQUETAS'!F:F,"",0)</f>
        <v>0</v>
      </c>
      <c r="S88" s="2">
        <f>_xlfn.XLOOKUP($A88,'[1]LISTA ETIQUETAS'!$O:$O,'[1]LISTA ETIQUETAS'!H:H,"",0)</f>
        <v>1</v>
      </c>
      <c r="T88" s="9">
        <f t="shared" si="5"/>
        <v>1</v>
      </c>
      <c r="U88" s="10" t="s">
        <v>628</v>
      </c>
    </row>
    <row r="89" spans="1:21" x14ac:dyDescent="0.25">
      <c r="A89" s="5">
        <v>336556</v>
      </c>
      <c r="B89" t="str">
        <f>IFERROR((VLOOKUP(A89,'[1]LISTA ETIQUETAS'!O:X,3,0)),"PRODUTO SEM ESTOQUE")</f>
        <v>EST POLTRONA PACO (MAD A TAUARI POA) TC RUST BRUN 5230/231</v>
      </c>
      <c r="C89" s="10" t="s">
        <v>91</v>
      </c>
      <c r="D89" s="10" t="s">
        <v>92</v>
      </c>
      <c r="E89" s="11">
        <f>IF(VLOOKUP(A89,'[1]LISTA ETIQUETAS'!O:W,4,0)="",(VLOOKUP(A89,'[1]LISTA ETIQUETAS'!O:W,6,0)),(VLOOKUP(A89,'[1]LISTA ETIQUETAS'!O:W,4,0)))</f>
        <v>0.88</v>
      </c>
      <c r="F89" s="11">
        <f>IF(VLOOKUP(A89,'[1]LISTA ETIQUETAS'!O:W,5,0)="",(VLOOKUP(A89,'[1]LISTA ETIQUETAS'!O:W,7,0)),(VLOOKUP(A89,'[1]LISTA ETIQUETAS'!O:W,5,0)))</f>
        <v>1.04</v>
      </c>
      <c r="G89" s="11">
        <f>IFERROR((VLOOKUP(A89,'[1]LISTA ETIQUETAS'!O:X,8,0)),"")</f>
        <v>0.81</v>
      </c>
      <c r="H89" s="11">
        <f>IFERROR((VLOOKUP(A89,'[1]LISTA ETIQUETAS'!O:X,9,0)),"")</f>
        <v>0</v>
      </c>
      <c r="I89" s="12">
        <f>IFERROR((VLOOKUP(A89,'[1]LISTA ETIQUETAS'!O:Y,11,0)),"")</f>
        <v>38816.559999999998</v>
      </c>
      <c r="J89" s="6">
        <v>0</v>
      </c>
      <c r="K89" s="12">
        <f t="shared" si="3"/>
        <v>38816.559999999998</v>
      </c>
      <c r="L89" s="7" t="str">
        <f>IF(VLOOKUP(A89,'[1]LISTA ETIQUETAS'!O:AB,14,0)="","",(VLOOKUP(A89,'[1]LISTA ETIQUETAS'!O:AB,14,0)))</f>
        <v>EZ</v>
      </c>
      <c r="M89" s="8" t="s">
        <v>90</v>
      </c>
      <c r="N89" s="9" t="str">
        <f t="shared" si="4"/>
        <v>354548 | 336556</v>
      </c>
      <c r="O89" s="2">
        <f>_xlfn.XLOOKUP($A89,'[1]LISTA ETIQUETAS'!$O:$O,'[1]LISTA ETIQUETAS'!C:C,"",0)</f>
        <v>0</v>
      </c>
      <c r="P89" s="2">
        <f>_xlfn.XLOOKUP($A89,'[1]LISTA ETIQUETAS'!$O:$O,'[1]LISTA ETIQUETAS'!D:D,"",0)</f>
        <v>0</v>
      </c>
      <c r="Q89" s="2">
        <f>_xlfn.XLOOKUP($A89,'[1]LISTA ETIQUETAS'!$O:$O,'[1]LISTA ETIQUETAS'!E:E,"",0)</f>
        <v>0</v>
      </c>
      <c r="R89" s="2">
        <f>_xlfn.XLOOKUP($A89,'[1]LISTA ETIQUETAS'!$O:$O,'[1]LISTA ETIQUETAS'!F:F,"",0)</f>
        <v>0</v>
      </c>
      <c r="S89" s="2">
        <f>_xlfn.XLOOKUP($A89,'[1]LISTA ETIQUETAS'!$O:$O,'[1]LISTA ETIQUETAS'!H:H,"",0)</f>
        <v>1</v>
      </c>
      <c r="T89" s="9">
        <f t="shared" si="5"/>
        <v>1</v>
      </c>
      <c r="U89" s="10" t="s">
        <v>628</v>
      </c>
    </row>
    <row r="90" spans="1:21" x14ac:dyDescent="0.25">
      <c r="A90" s="5">
        <v>335215</v>
      </c>
      <c r="B90" t="str">
        <f>IFERROR((VLOOKUP(A90,'[1]LISTA ETIQUETAS'!O:X,3,0)),"PRODUTO SEM ESTOQUE")</f>
        <v>EST MODULO BRACO DIREITO C/PUFF AURORA FX8582 /MTX PRETO</v>
      </c>
      <c r="C90" s="10" t="s">
        <v>13</v>
      </c>
      <c r="D90" s="10" t="s">
        <v>93</v>
      </c>
      <c r="E90" s="11">
        <f>IF(VLOOKUP(A90,'[1]LISTA ETIQUETAS'!O:W,4,0)="",(VLOOKUP(A90,'[1]LISTA ETIQUETAS'!O:W,6,0)),(VLOOKUP(A90,'[1]LISTA ETIQUETAS'!O:W,4,0)))</f>
        <v>1.87</v>
      </c>
      <c r="F90" s="11">
        <f>IF(VLOOKUP(A90,'[1]LISTA ETIQUETAS'!O:W,5,0)="",(VLOOKUP(A90,'[1]LISTA ETIQUETAS'!O:W,7,0)),(VLOOKUP(A90,'[1]LISTA ETIQUETAS'!O:W,5,0)))</f>
        <v>0.87</v>
      </c>
      <c r="G90" s="11">
        <f>IFERROR((VLOOKUP(A90,'[1]LISTA ETIQUETAS'!O:X,8,0)),"")</f>
        <v>0.7</v>
      </c>
      <c r="H90" s="11">
        <f>IFERROR((VLOOKUP(A90,'[1]LISTA ETIQUETAS'!O:X,9,0)),"")</f>
        <v>0</v>
      </c>
      <c r="I90" s="12">
        <f>IFERROR((VLOOKUP(A90,'[1]LISTA ETIQUETAS'!O:Y,11,0)),"")</f>
        <v>74409.53</v>
      </c>
      <c r="J90" s="6">
        <v>0</v>
      </c>
      <c r="K90" s="12">
        <f t="shared" si="3"/>
        <v>74409.53</v>
      </c>
      <c r="L90" s="7" t="str">
        <f>IF(VLOOKUP(A90,'[1]LISTA ETIQUETAS'!O:AB,14,0)="","",(VLOOKUP(A90,'[1]LISTA ETIQUETAS'!O:AB,14,0)))</f>
        <v>EU</v>
      </c>
      <c r="M90" s="8" t="s">
        <v>94</v>
      </c>
      <c r="N90" s="9" t="str">
        <f t="shared" si="4"/>
        <v>335215 | 335214 | 335213</v>
      </c>
      <c r="O90" s="2">
        <f>_xlfn.XLOOKUP($A90,'[1]LISTA ETIQUETAS'!$O:$O,'[1]LISTA ETIQUETAS'!C:C,"",0)</f>
        <v>0</v>
      </c>
      <c r="P90" s="2">
        <f>_xlfn.XLOOKUP($A90,'[1]LISTA ETIQUETAS'!$O:$O,'[1]LISTA ETIQUETAS'!D:D,"",0)</f>
        <v>0</v>
      </c>
      <c r="Q90" s="2">
        <f>_xlfn.XLOOKUP($A90,'[1]LISTA ETIQUETAS'!$O:$O,'[1]LISTA ETIQUETAS'!E:E,"",0)</f>
        <v>0</v>
      </c>
      <c r="R90" s="2">
        <f>_xlfn.XLOOKUP($A90,'[1]LISTA ETIQUETAS'!$O:$O,'[1]LISTA ETIQUETAS'!F:F,"",0)</f>
        <v>0</v>
      </c>
      <c r="S90" s="2">
        <f>_xlfn.XLOOKUP($A90,'[1]LISTA ETIQUETAS'!$O:$O,'[1]LISTA ETIQUETAS'!H:H,"",0)</f>
        <v>1</v>
      </c>
      <c r="T90" s="9">
        <f t="shared" si="5"/>
        <v>1</v>
      </c>
      <c r="U90" s="10" t="s">
        <v>628</v>
      </c>
    </row>
    <row r="91" spans="1:21" x14ac:dyDescent="0.25">
      <c r="A91" s="5">
        <v>335214</v>
      </c>
      <c r="B91" t="str">
        <f>IFERROR((VLOOKUP(A91,'[1]LISTA ETIQUETAS'!O:X,3,0)),"PRODUTO SEM ESTOQUE")</f>
        <v>EST MODULO CANTO C/ASSENTO DIREITO AURORA FX8582 /MTX PRETO</v>
      </c>
      <c r="C91" s="10" t="s">
        <v>13</v>
      </c>
      <c r="D91" s="10" t="s">
        <v>93</v>
      </c>
      <c r="E91" s="11">
        <f>IF(VLOOKUP(A91,'[1]LISTA ETIQUETAS'!O:W,4,0)="",(VLOOKUP(A91,'[1]LISTA ETIQUETAS'!O:W,6,0)),(VLOOKUP(A91,'[1]LISTA ETIQUETAS'!O:W,4,0)))</f>
        <v>1.75</v>
      </c>
      <c r="F91" s="11">
        <f>IF(VLOOKUP(A91,'[1]LISTA ETIQUETAS'!O:W,5,0)="",(VLOOKUP(A91,'[1]LISTA ETIQUETAS'!O:W,7,0)),(VLOOKUP(A91,'[1]LISTA ETIQUETAS'!O:W,5,0)))</f>
        <v>0.87</v>
      </c>
      <c r="G91" s="11">
        <f>IFERROR((VLOOKUP(A91,'[1]LISTA ETIQUETAS'!O:X,8,0)),"")</f>
        <v>0.7</v>
      </c>
      <c r="H91" s="11">
        <f>IFERROR((VLOOKUP(A91,'[1]LISTA ETIQUETAS'!O:X,9,0)),"")</f>
        <v>0</v>
      </c>
      <c r="I91" s="12">
        <f>IFERROR((VLOOKUP(A91,'[1]LISTA ETIQUETAS'!O:Y,11,0)),"")</f>
        <v>74409.53</v>
      </c>
      <c r="J91" s="6">
        <v>0</v>
      </c>
      <c r="K91" s="12">
        <f t="shared" si="3"/>
        <v>74409.53</v>
      </c>
      <c r="L91" s="7" t="str">
        <f>IF(VLOOKUP(A91,'[1]LISTA ETIQUETAS'!O:AB,14,0)="","",(VLOOKUP(A91,'[1]LISTA ETIQUETAS'!O:AB,14,0)))</f>
        <v>EU</v>
      </c>
      <c r="M91" s="8" t="s">
        <v>94</v>
      </c>
      <c r="N91" s="9" t="str">
        <f t="shared" si="4"/>
        <v>335215 | 335214 | 335213</v>
      </c>
      <c r="O91" s="2">
        <f>_xlfn.XLOOKUP($A91,'[1]LISTA ETIQUETAS'!$O:$O,'[1]LISTA ETIQUETAS'!C:C,"",0)</f>
        <v>0</v>
      </c>
      <c r="P91" s="2">
        <f>_xlfn.XLOOKUP($A91,'[1]LISTA ETIQUETAS'!$O:$O,'[1]LISTA ETIQUETAS'!D:D,"",0)</f>
        <v>0</v>
      </c>
      <c r="Q91" s="2">
        <f>_xlfn.XLOOKUP($A91,'[1]LISTA ETIQUETAS'!$O:$O,'[1]LISTA ETIQUETAS'!E:E,"",0)</f>
        <v>0</v>
      </c>
      <c r="R91" s="2">
        <f>_xlfn.XLOOKUP($A91,'[1]LISTA ETIQUETAS'!$O:$O,'[1]LISTA ETIQUETAS'!F:F,"",0)</f>
        <v>0</v>
      </c>
      <c r="S91" s="2">
        <f>_xlfn.XLOOKUP($A91,'[1]LISTA ETIQUETAS'!$O:$O,'[1]LISTA ETIQUETAS'!H:H,"",0)</f>
        <v>1</v>
      </c>
      <c r="T91" s="9">
        <f t="shared" si="5"/>
        <v>1</v>
      </c>
      <c r="U91" s="10" t="s">
        <v>628</v>
      </c>
    </row>
    <row r="92" spans="1:21" x14ac:dyDescent="0.25">
      <c r="A92" s="5">
        <v>335213</v>
      </c>
      <c r="B92" t="str">
        <f>IFERROR((VLOOKUP(A92,'[1]LISTA ETIQUETAS'!O:X,3,0)),"PRODUTO SEM ESTOQUE")</f>
        <v>EST MODULO S/BRACO C/PUFF ESQUERDO AURORA FX8582 /MTX PRETO</v>
      </c>
      <c r="C92" s="10" t="s">
        <v>13</v>
      </c>
      <c r="D92" s="10" t="s">
        <v>93</v>
      </c>
      <c r="E92" s="11">
        <f>IF(VLOOKUP(A92,'[1]LISTA ETIQUETAS'!O:W,4,0)="",(VLOOKUP(A92,'[1]LISTA ETIQUETAS'!O:W,6,0)),(VLOOKUP(A92,'[1]LISTA ETIQUETAS'!O:W,4,0)))</f>
        <v>1.75</v>
      </c>
      <c r="F92" s="11">
        <f>IF(VLOOKUP(A92,'[1]LISTA ETIQUETAS'!O:W,5,0)="",(VLOOKUP(A92,'[1]LISTA ETIQUETAS'!O:W,7,0)),(VLOOKUP(A92,'[1]LISTA ETIQUETAS'!O:W,5,0)))</f>
        <v>0.87</v>
      </c>
      <c r="G92" s="11">
        <f>IFERROR((VLOOKUP(A92,'[1]LISTA ETIQUETAS'!O:X,8,0)),"")</f>
        <v>0.7</v>
      </c>
      <c r="H92" s="11">
        <f>IFERROR((VLOOKUP(A92,'[1]LISTA ETIQUETAS'!O:X,9,0)),"")</f>
        <v>0</v>
      </c>
      <c r="I92" s="12">
        <f>IFERROR((VLOOKUP(A92,'[1]LISTA ETIQUETAS'!O:Y,11,0)),"")</f>
        <v>74409.53</v>
      </c>
      <c r="J92" s="6">
        <v>0</v>
      </c>
      <c r="K92" s="12">
        <f t="shared" si="3"/>
        <v>74409.53</v>
      </c>
      <c r="L92" s="7" t="str">
        <f>IF(VLOOKUP(A92,'[1]LISTA ETIQUETAS'!O:AB,14,0)="","",(VLOOKUP(A92,'[1]LISTA ETIQUETAS'!O:AB,14,0)))</f>
        <v>EU</v>
      </c>
      <c r="M92" s="8" t="s">
        <v>94</v>
      </c>
      <c r="N92" s="9" t="str">
        <f t="shared" si="4"/>
        <v>335215 | 335214 | 335213</v>
      </c>
      <c r="O92" s="2">
        <f>_xlfn.XLOOKUP($A92,'[1]LISTA ETIQUETAS'!$O:$O,'[1]LISTA ETIQUETAS'!C:C,"",0)</f>
        <v>0</v>
      </c>
      <c r="P92" s="2">
        <f>_xlfn.XLOOKUP($A92,'[1]LISTA ETIQUETAS'!$O:$O,'[1]LISTA ETIQUETAS'!D:D,"",0)</f>
        <v>0</v>
      </c>
      <c r="Q92" s="2">
        <f>_xlfn.XLOOKUP($A92,'[1]LISTA ETIQUETAS'!$O:$O,'[1]LISTA ETIQUETAS'!E:E,"",0)</f>
        <v>0</v>
      </c>
      <c r="R92" s="2">
        <f>_xlfn.XLOOKUP($A92,'[1]LISTA ETIQUETAS'!$O:$O,'[1]LISTA ETIQUETAS'!F:F,"",0)</f>
        <v>0</v>
      </c>
      <c r="S92" s="2">
        <f>_xlfn.XLOOKUP($A92,'[1]LISTA ETIQUETAS'!$O:$O,'[1]LISTA ETIQUETAS'!H:H,"",0)</f>
        <v>1</v>
      </c>
      <c r="T92" s="9">
        <f t="shared" si="5"/>
        <v>1</v>
      </c>
      <c r="U92" s="10" t="s">
        <v>628</v>
      </c>
    </row>
    <row r="93" spans="1:21" x14ac:dyDescent="0.25">
      <c r="A93" s="5">
        <v>354547</v>
      </c>
      <c r="B93" t="str">
        <f>IFERROR((VLOOKUP(A93,'[1]LISTA ETIQUETAS'!O:X,3,0)),"PRODUTO SEM ESTOQUE")</f>
        <v>EST MESA LATERAL PACO (TAMPO CERAMICA BEGE) INOX ENV</v>
      </c>
      <c r="C93" s="10" t="s">
        <v>83</v>
      </c>
      <c r="D93" s="10" t="s">
        <v>88</v>
      </c>
      <c r="E93" s="11">
        <f>IF(VLOOKUP(A93,'[1]LISTA ETIQUETAS'!O:W,4,0)="",(VLOOKUP(A93,'[1]LISTA ETIQUETAS'!O:W,6,0)),(VLOOKUP(A93,'[1]LISTA ETIQUETAS'!O:W,4,0)))</f>
        <v>0.25</v>
      </c>
      <c r="F93" s="11">
        <f>IF(VLOOKUP(A93,'[1]LISTA ETIQUETAS'!O:W,5,0)="",(VLOOKUP(A93,'[1]LISTA ETIQUETAS'!O:W,7,0)),(VLOOKUP(A93,'[1]LISTA ETIQUETAS'!O:W,5,0)))</f>
        <v>0</v>
      </c>
      <c r="G93" s="11">
        <f>IFERROR((VLOOKUP(A93,'[1]LISTA ETIQUETAS'!O:X,8,0)),"")</f>
        <v>0.52</v>
      </c>
      <c r="H93" s="11">
        <f>IFERROR((VLOOKUP(A93,'[1]LISTA ETIQUETAS'!O:X,9,0)),"")</f>
        <v>0.25</v>
      </c>
      <c r="I93" s="12">
        <f>IFERROR((VLOOKUP(A93,'[1]LISTA ETIQUETAS'!O:Y,11,0)),"")</f>
        <v>45257.460000000006</v>
      </c>
      <c r="J93" s="6">
        <v>0</v>
      </c>
      <c r="K93" s="12">
        <f t="shared" si="3"/>
        <v>45257.460000000006</v>
      </c>
      <c r="L93" s="7" t="str">
        <f>IF(VLOOKUP(A93,'[1]LISTA ETIQUETAS'!O:AB,14,0)="","",(VLOOKUP(A93,'[1]LISTA ETIQUETAS'!O:AB,14,0)))</f>
        <v>ET</v>
      </c>
      <c r="M93" s="8" t="s">
        <v>95</v>
      </c>
      <c r="N93" s="9" t="str">
        <f t="shared" si="4"/>
        <v>354547 | 336696</v>
      </c>
      <c r="O93" s="2">
        <f>_xlfn.XLOOKUP($A93,'[1]LISTA ETIQUETAS'!$O:$O,'[1]LISTA ETIQUETAS'!C:C,"",0)</f>
        <v>0</v>
      </c>
      <c r="P93" s="2">
        <f>_xlfn.XLOOKUP($A93,'[1]LISTA ETIQUETAS'!$O:$O,'[1]LISTA ETIQUETAS'!D:D,"",0)</f>
        <v>0</v>
      </c>
      <c r="Q93" s="2">
        <f>_xlfn.XLOOKUP($A93,'[1]LISTA ETIQUETAS'!$O:$O,'[1]LISTA ETIQUETAS'!E:E,"",0)</f>
        <v>0</v>
      </c>
      <c r="R93" s="2">
        <f>_xlfn.XLOOKUP($A93,'[1]LISTA ETIQUETAS'!$O:$O,'[1]LISTA ETIQUETAS'!F:F,"",0)</f>
        <v>0</v>
      </c>
      <c r="S93" s="2">
        <f>_xlfn.XLOOKUP($A93,'[1]LISTA ETIQUETAS'!$O:$O,'[1]LISTA ETIQUETAS'!H:H,"",0)</f>
        <v>2</v>
      </c>
      <c r="T93" s="9">
        <f t="shared" si="5"/>
        <v>2</v>
      </c>
      <c r="U93" s="10" t="s">
        <v>628</v>
      </c>
    </row>
    <row r="94" spans="1:21" x14ac:dyDescent="0.25">
      <c r="A94" s="5">
        <v>336696</v>
      </c>
      <c r="B94" t="str">
        <f>IFERROR((VLOOKUP(A94,'[1]LISTA ETIQUETAS'!O:X,3,0)),"PRODUTO SEM ESTOQUE")</f>
        <v>EST POLTRONA PACO (MAD A TAUARI ENV) TC G10-11202-343</v>
      </c>
      <c r="C94" s="10" t="s">
        <v>91</v>
      </c>
      <c r="D94" s="10" t="s">
        <v>92</v>
      </c>
      <c r="E94" s="11">
        <f>IF(VLOOKUP(A94,'[1]LISTA ETIQUETAS'!O:W,4,0)="",(VLOOKUP(A94,'[1]LISTA ETIQUETAS'!O:W,6,0)),(VLOOKUP(A94,'[1]LISTA ETIQUETAS'!O:W,4,0)))</f>
        <v>0.88</v>
      </c>
      <c r="F94" s="11">
        <f>IF(VLOOKUP(A94,'[1]LISTA ETIQUETAS'!O:W,5,0)="",(VLOOKUP(A94,'[1]LISTA ETIQUETAS'!O:W,7,0)),(VLOOKUP(A94,'[1]LISTA ETIQUETAS'!O:W,5,0)))</f>
        <v>1.04</v>
      </c>
      <c r="G94" s="11">
        <f>IFERROR((VLOOKUP(A94,'[1]LISTA ETIQUETAS'!O:X,8,0)),"")</f>
        <v>0.81</v>
      </c>
      <c r="H94" s="11">
        <f>IFERROR((VLOOKUP(A94,'[1]LISTA ETIQUETAS'!O:X,9,0)),"")</f>
        <v>0</v>
      </c>
      <c r="I94" s="12">
        <f>IFERROR((VLOOKUP(A94,'[1]LISTA ETIQUETAS'!O:Y,11,0)),"")</f>
        <v>45257.460000000006</v>
      </c>
      <c r="J94" s="6">
        <v>0</v>
      </c>
      <c r="K94" s="12">
        <f t="shared" si="3"/>
        <v>45257.460000000006</v>
      </c>
      <c r="L94" s="7" t="str">
        <f>IF(VLOOKUP(A94,'[1]LISTA ETIQUETAS'!O:AB,14,0)="","",(VLOOKUP(A94,'[1]LISTA ETIQUETAS'!O:AB,14,0)))</f>
        <v>ET</v>
      </c>
      <c r="M94" s="8" t="s">
        <v>95</v>
      </c>
      <c r="N94" s="9" t="str">
        <f t="shared" si="4"/>
        <v>354547 | 336696</v>
      </c>
      <c r="O94" s="2">
        <f>_xlfn.XLOOKUP($A94,'[1]LISTA ETIQUETAS'!$O:$O,'[1]LISTA ETIQUETAS'!C:C,"",0)</f>
        <v>0</v>
      </c>
      <c r="P94" s="2">
        <f>_xlfn.XLOOKUP($A94,'[1]LISTA ETIQUETAS'!$O:$O,'[1]LISTA ETIQUETAS'!D:D,"",0)</f>
        <v>0</v>
      </c>
      <c r="Q94" s="2">
        <f>_xlfn.XLOOKUP($A94,'[1]LISTA ETIQUETAS'!$O:$O,'[1]LISTA ETIQUETAS'!E:E,"",0)</f>
        <v>0</v>
      </c>
      <c r="R94" s="2">
        <f>_xlfn.XLOOKUP($A94,'[1]LISTA ETIQUETAS'!$O:$O,'[1]LISTA ETIQUETAS'!F:F,"",0)</f>
        <v>0</v>
      </c>
      <c r="S94" s="2">
        <f>_xlfn.XLOOKUP($A94,'[1]LISTA ETIQUETAS'!$O:$O,'[1]LISTA ETIQUETAS'!H:H,"",0)</f>
        <v>3</v>
      </c>
      <c r="T94" s="9">
        <f t="shared" si="5"/>
        <v>3</v>
      </c>
      <c r="U94" s="10" t="s">
        <v>628</v>
      </c>
    </row>
    <row r="95" spans="1:21" x14ac:dyDescent="0.25">
      <c r="A95" s="5">
        <v>328727</v>
      </c>
      <c r="B95" t="str">
        <f>IFERROR((VLOOKUP(A95,'[1]LISTA ETIQUETAS'!O:X,3,0)),"PRODUTO SEM ESTOQUE")</f>
        <v>EST MODULO BRACO ESQUERDO DIXON FX C3005/PES MARROM ESCURO</v>
      </c>
      <c r="C95" s="10" t="s">
        <v>13</v>
      </c>
      <c r="D95" s="10" t="s">
        <v>30</v>
      </c>
      <c r="E95" s="11">
        <f>IF(VLOOKUP(A95,'[1]LISTA ETIQUETAS'!O:W,4,0)="",(VLOOKUP(A95,'[1]LISTA ETIQUETAS'!O:W,6,0)),(VLOOKUP(A95,'[1]LISTA ETIQUETAS'!O:W,4,0)))</f>
        <v>2.75</v>
      </c>
      <c r="F95" s="11">
        <f>IF(VLOOKUP(A95,'[1]LISTA ETIQUETAS'!O:W,5,0)="",(VLOOKUP(A95,'[1]LISTA ETIQUETAS'!O:W,7,0)),(VLOOKUP(A95,'[1]LISTA ETIQUETAS'!O:W,5,0)))</f>
        <v>1.02</v>
      </c>
      <c r="G95" s="11">
        <f>IFERROR((VLOOKUP(A95,'[1]LISTA ETIQUETAS'!O:X,8,0)),"")</f>
        <v>0.8</v>
      </c>
      <c r="H95" s="11">
        <f>IFERROR((VLOOKUP(A95,'[1]LISTA ETIQUETAS'!O:X,9,0)),"")</f>
        <v>0</v>
      </c>
      <c r="I95" s="12">
        <f>IFERROR((VLOOKUP(A95,'[1]LISTA ETIQUETAS'!O:Y,11,0)),"")</f>
        <v>58146.820000000007</v>
      </c>
      <c r="J95" s="6">
        <v>0</v>
      </c>
      <c r="K95" s="12">
        <f t="shared" si="3"/>
        <v>58146.820000000007</v>
      </c>
      <c r="L95" s="7" t="str">
        <f>IF(VLOOKUP(A95,'[1]LISTA ETIQUETAS'!O:AB,14,0)="","",(VLOOKUP(A95,'[1]LISTA ETIQUETAS'!O:AB,14,0)))</f>
        <v>EQ</v>
      </c>
      <c r="M95" s="8" t="s">
        <v>96</v>
      </c>
      <c r="N95" s="9" t="str">
        <f t="shared" si="4"/>
        <v>328727 | 328726 | 328725 | 328716</v>
      </c>
      <c r="O95" s="2">
        <f>_xlfn.XLOOKUP($A95,'[1]LISTA ETIQUETAS'!$O:$O,'[1]LISTA ETIQUETAS'!C:C,"",0)</f>
        <v>0</v>
      </c>
      <c r="P95" s="2">
        <f>_xlfn.XLOOKUP($A95,'[1]LISTA ETIQUETAS'!$O:$O,'[1]LISTA ETIQUETAS'!D:D,"",0)</f>
        <v>0</v>
      </c>
      <c r="Q95" s="2">
        <f>_xlfn.XLOOKUP($A95,'[1]LISTA ETIQUETAS'!$O:$O,'[1]LISTA ETIQUETAS'!E:E,"",0)</f>
        <v>0</v>
      </c>
      <c r="R95" s="2">
        <f>_xlfn.XLOOKUP($A95,'[1]LISTA ETIQUETAS'!$O:$O,'[1]LISTA ETIQUETAS'!F:F,"",0)</f>
        <v>0</v>
      </c>
      <c r="S95" s="2">
        <f>_xlfn.XLOOKUP($A95,'[1]LISTA ETIQUETAS'!$O:$O,'[1]LISTA ETIQUETAS'!H:H,"",0)</f>
        <v>1</v>
      </c>
      <c r="T95" s="9">
        <f t="shared" si="5"/>
        <v>1</v>
      </c>
      <c r="U95" s="10" t="s">
        <v>628</v>
      </c>
    </row>
    <row r="96" spans="1:21" x14ac:dyDescent="0.25">
      <c r="A96" s="5">
        <v>328726</v>
      </c>
      <c r="B96" t="str">
        <f>IFERROR((VLOOKUP(A96,'[1]LISTA ETIQUETAS'!O:X,3,0)),"PRODUTO SEM ESTOQUE")</f>
        <v>EST MODULO PUFF DIXON FX C3005/PES MARROMO ESCURO</v>
      </c>
      <c r="C96" s="10" t="s">
        <v>13</v>
      </c>
      <c r="D96" s="10" t="s">
        <v>30</v>
      </c>
      <c r="E96" s="11">
        <f>IF(VLOOKUP(A96,'[1]LISTA ETIQUETAS'!O:W,4,0)="",(VLOOKUP(A96,'[1]LISTA ETIQUETAS'!O:W,6,0)),(VLOOKUP(A96,'[1]LISTA ETIQUETAS'!O:W,4,0)))</f>
        <v>1.01</v>
      </c>
      <c r="F96" s="11">
        <f>IF(VLOOKUP(A96,'[1]LISTA ETIQUETAS'!O:W,5,0)="",(VLOOKUP(A96,'[1]LISTA ETIQUETAS'!O:W,7,0)),(VLOOKUP(A96,'[1]LISTA ETIQUETAS'!O:W,5,0)))</f>
        <v>1.01</v>
      </c>
      <c r="G96" s="11">
        <f>IFERROR((VLOOKUP(A96,'[1]LISTA ETIQUETAS'!O:X,8,0)),"")</f>
        <v>0.44</v>
      </c>
      <c r="H96" s="11">
        <f>IFERROR((VLOOKUP(A96,'[1]LISTA ETIQUETAS'!O:X,9,0)),"")</f>
        <v>0</v>
      </c>
      <c r="I96" s="12">
        <f>IFERROR((VLOOKUP(A96,'[1]LISTA ETIQUETAS'!O:Y,11,0)),"")</f>
        <v>58146.820000000007</v>
      </c>
      <c r="J96" s="6">
        <v>0</v>
      </c>
      <c r="K96" s="12">
        <f t="shared" si="3"/>
        <v>58146.820000000007</v>
      </c>
      <c r="L96" s="7" t="str">
        <f>IF(VLOOKUP(A96,'[1]LISTA ETIQUETAS'!O:AB,14,0)="","",(VLOOKUP(A96,'[1]LISTA ETIQUETAS'!O:AB,14,0)))</f>
        <v>EQ</v>
      </c>
      <c r="M96" s="8" t="s">
        <v>96</v>
      </c>
      <c r="N96" s="9" t="str">
        <f t="shared" si="4"/>
        <v>328727 | 328726 | 328725 | 328716</v>
      </c>
      <c r="O96" s="2">
        <f>_xlfn.XLOOKUP($A96,'[1]LISTA ETIQUETAS'!$O:$O,'[1]LISTA ETIQUETAS'!C:C,"",0)</f>
        <v>0</v>
      </c>
      <c r="P96" s="2">
        <f>_xlfn.XLOOKUP($A96,'[1]LISTA ETIQUETAS'!$O:$O,'[1]LISTA ETIQUETAS'!D:D,"",0)</f>
        <v>0</v>
      </c>
      <c r="Q96" s="2">
        <f>_xlfn.XLOOKUP($A96,'[1]LISTA ETIQUETAS'!$O:$O,'[1]LISTA ETIQUETAS'!E:E,"",0)</f>
        <v>0</v>
      </c>
      <c r="R96" s="2">
        <f>_xlfn.XLOOKUP($A96,'[1]LISTA ETIQUETAS'!$O:$O,'[1]LISTA ETIQUETAS'!F:F,"",0)</f>
        <v>0</v>
      </c>
      <c r="S96" s="2">
        <f>_xlfn.XLOOKUP($A96,'[1]LISTA ETIQUETAS'!$O:$O,'[1]LISTA ETIQUETAS'!H:H,"",0)</f>
        <v>1</v>
      </c>
      <c r="T96" s="9">
        <f t="shared" si="5"/>
        <v>1</v>
      </c>
      <c r="U96" s="10" t="s">
        <v>628</v>
      </c>
    </row>
    <row r="97" spans="1:21" x14ac:dyDescent="0.25">
      <c r="A97" s="5">
        <v>328725</v>
      </c>
      <c r="B97" t="str">
        <f>IFERROR((VLOOKUP(A97,'[1]LISTA ETIQUETAS'!O:X,3,0)),"PRODUTO SEM ESTOQUE")</f>
        <v>EST MODULO S/BRACO C/AVANCO DIXON FX C3005/PES MARROM ESCURO</v>
      </c>
      <c r="C97" s="10" t="s">
        <v>13</v>
      </c>
      <c r="D97" s="10" t="s">
        <v>30</v>
      </c>
      <c r="E97" s="11">
        <f>IF(VLOOKUP(A97,'[1]LISTA ETIQUETAS'!O:W,4,0)="",(VLOOKUP(A97,'[1]LISTA ETIQUETAS'!O:W,6,0)),(VLOOKUP(A97,'[1]LISTA ETIQUETAS'!O:W,4,0)))</f>
        <v>1.65</v>
      </c>
      <c r="F97" s="11">
        <f>IF(VLOOKUP(A97,'[1]LISTA ETIQUETAS'!O:W,5,0)="",(VLOOKUP(A97,'[1]LISTA ETIQUETAS'!O:W,7,0)),(VLOOKUP(A97,'[1]LISTA ETIQUETAS'!O:W,5,0)))</f>
        <v>1.02</v>
      </c>
      <c r="G97" s="11">
        <f>IFERROR((VLOOKUP(A97,'[1]LISTA ETIQUETAS'!O:X,8,0)),"")</f>
        <v>0.8</v>
      </c>
      <c r="H97" s="11">
        <f>IFERROR((VLOOKUP(A97,'[1]LISTA ETIQUETAS'!O:X,9,0)),"")</f>
        <v>0</v>
      </c>
      <c r="I97" s="12">
        <f>IFERROR((VLOOKUP(A97,'[1]LISTA ETIQUETAS'!O:Y,11,0)),"")</f>
        <v>58146.820000000007</v>
      </c>
      <c r="J97" s="6">
        <v>0</v>
      </c>
      <c r="K97" s="12">
        <f t="shared" si="3"/>
        <v>58146.820000000007</v>
      </c>
      <c r="L97" s="7" t="str">
        <f>IF(VLOOKUP(A97,'[1]LISTA ETIQUETAS'!O:AB,14,0)="","",(VLOOKUP(A97,'[1]LISTA ETIQUETAS'!O:AB,14,0)))</f>
        <v>EQ</v>
      </c>
      <c r="M97" s="8" t="s">
        <v>96</v>
      </c>
      <c r="N97" s="9" t="str">
        <f t="shared" si="4"/>
        <v>328727 | 328726 | 328725 | 328716</v>
      </c>
      <c r="O97" s="2">
        <f>_xlfn.XLOOKUP($A97,'[1]LISTA ETIQUETAS'!$O:$O,'[1]LISTA ETIQUETAS'!C:C,"",0)</f>
        <v>0</v>
      </c>
      <c r="P97" s="2">
        <f>_xlfn.XLOOKUP($A97,'[1]LISTA ETIQUETAS'!$O:$O,'[1]LISTA ETIQUETAS'!D:D,"",0)</f>
        <v>0</v>
      </c>
      <c r="Q97" s="2">
        <f>_xlfn.XLOOKUP($A97,'[1]LISTA ETIQUETAS'!$O:$O,'[1]LISTA ETIQUETAS'!E:E,"",0)</f>
        <v>0</v>
      </c>
      <c r="R97" s="2">
        <f>_xlfn.XLOOKUP($A97,'[1]LISTA ETIQUETAS'!$O:$O,'[1]LISTA ETIQUETAS'!F:F,"",0)</f>
        <v>0</v>
      </c>
      <c r="S97" s="2">
        <f>_xlfn.XLOOKUP($A97,'[1]LISTA ETIQUETAS'!$O:$O,'[1]LISTA ETIQUETAS'!H:H,"",0)</f>
        <v>1</v>
      </c>
      <c r="T97" s="9">
        <f t="shared" si="5"/>
        <v>1</v>
      </c>
      <c r="U97" s="10" t="s">
        <v>628</v>
      </c>
    </row>
    <row r="98" spans="1:21" x14ac:dyDescent="0.25">
      <c r="A98" s="5">
        <v>328716</v>
      </c>
      <c r="B98" t="str">
        <f>IFERROR((VLOOKUP(A98,'[1]LISTA ETIQUETAS'!O:X,3,0)),"PRODUTO SEM ESTOQUE")</f>
        <v>EST ACESSORIO MESA DIXON (METAL/COURO PINHAO)</v>
      </c>
      <c r="C98" s="10" t="s">
        <v>13</v>
      </c>
      <c r="D98" s="10" t="s">
        <v>28</v>
      </c>
      <c r="E98" s="11">
        <f>IF(VLOOKUP(A98,'[1]LISTA ETIQUETAS'!O:W,4,0)="",(VLOOKUP(A98,'[1]LISTA ETIQUETAS'!O:W,6,0)),(VLOOKUP(A98,'[1]LISTA ETIQUETAS'!O:W,4,0)))</f>
        <v>0</v>
      </c>
      <c r="F98" s="11">
        <f>IF(VLOOKUP(A98,'[1]LISTA ETIQUETAS'!O:W,5,0)="",(VLOOKUP(A98,'[1]LISTA ETIQUETAS'!O:W,7,0)),(VLOOKUP(A98,'[1]LISTA ETIQUETAS'!O:W,5,0)))</f>
        <v>0</v>
      </c>
      <c r="G98" s="11">
        <f>IFERROR((VLOOKUP(A98,'[1]LISTA ETIQUETAS'!O:X,8,0)),"")</f>
        <v>0</v>
      </c>
      <c r="H98" s="11">
        <f>IFERROR((VLOOKUP(A98,'[1]LISTA ETIQUETAS'!O:X,9,0)),"")</f>
        <v>0</v>
      </c>
      <c r="I98" s="12">
        <f>IFERROR((VLOOKUP(A98,'[1]LISTA ETIQUETAS'!O:Y,11,0)),"")</f>
        <v>58146.820000000007</v>
      </c>
      <c r="J98" s="6">
        <v>0</v>
      </c>
      <c r="K98" s="12">
        <f t="shared" si="3"/>
        <v>58146.820000000007</v>
      </c>
      <c r="L98" s="7" t="str">
        <f>IF(VLOOKUP(A98,'[1]LISTA ETIQUETAS'!O:AB,14,0)="","",(VLOOKUP(A98,'[1]LISTA ETIQUETAS'!O:AB,14,0)))</f>
        <v>EQ</v>
      </c>
      <c r="M98" s="8" t="s">
        <v>96</v>
      </c>
      <c r="N98" s="9" t="str">
        <f t="shared" si="4"/>
        <v>328727 | 328726 | 328725 | 328716</v>
      </c>
      <c r="O98" s="2">
        <f>_xlfn.XLOOKUP($A98,'[1]LISTA ETIQUETAS'!$O:$O,'[1]LISTA ETIQUETAS'!C:C,"",0)</f>
        <v>0</v>
      </c>
      <c r="P98" s="2">
        <f>_xlfn.XLOOKUP($A98,'[1]LISTA ETIQUETAS'!$O:$O,'[1]LISTA ETIQUETAS'!D:D,"",0)</f>
        <v>0</v>
      </c>
      <c r="Q98" s="2">
        <f>_xlfn.XLOOKUP($A98,'[1]LISTA ETIQUETAS'!$O:$O,'[1]LISTA ETIQUETAS'!E:E,"",0)</f>
        <v>0</v>
      </c>
      <c r="R98" s="2">
        <f>_xlfn.XLOOKUP($A98,'[1]LISTA ETIQUETAS'!$O:$O,'[1]LISTA ETIQUETAS'!F:F,"",0)</f>
        <v>0</v>
      </c>
      <c r="S98" s="2">
        <f>_xlfn.XLOOKUP($A98,'[1]LISTA ETIQUETAS'!$O:$O,'[1]LISTA ETIQUETAS'!H:H,"",0)</f>
        <v>1</v>
      </c>
      <c r="T98" s="9">
        <f t="shared" si="5"/>
        <v>1</v>
      </c>
      <c r="U98" s="10" t="s">
        <v>628</v>
      </c>
    </row>
    <row r="99" spans="1:21" x14ac:dyDescent="0.25">
      <c r="A99" s="5">
        <v>339718</v>
      </c>
      <c r="B99" t="str">
        <f>IFERROR((VLOOKUP(A99,'[1]LISTA ETIQUETAS'!O:X,3,0)),"PRODUTO SEM ESTOQUE")</f>
        <v>EST MODULO BRACO ESQUERDO ICARUS (1AS 1,15M) (BC20) FX B2108</v>
      </c>
      <c r="C99" s="10" t="s">
        <v>13</v>
      </c>
      <c r="D99" s="10" t="s">
        <v>97</v>
      </c>
      <c r="E99" s="11">
        <f>IF(VLOOKUP(A99,'[1]LISTA ETIQUETAS'!O:W,4,0)="",(VLOOKUP(A99,'[1]LISTA ETIQUETAS'!O:W,6,0)),(VLOOKUP(A99,'[1]LISTA ETIQUETAS'!O:W,4,0)))</f>
        <v>1.35</v>
      </c>
      <c r="F99" s="11">
        <f>IF(VLOOKUP(A99,'[1]LISTA ETIQUETAS'!O:W,5,0)="",(VLOOKUP(A99,'[1]LISTA ETIQUETAS'!O:W,7,0)),(VLOOKUP(A99,'[1]LISTA ETIQUETAS'!O:W,5,0)))</f>
        <v>1.05</v>
      </c>
      <c r="G99" s="11">
        <f>IFERROR((VLOOKUP(A99,'[1]LISTA ETIQUETAS'!O:X,8,0)),"")</f>
        <v>0.92</v>
      </c>
      <c r="H99" s="11">
        <f>IFERROR((VLOOKUP(A99,'[1]LISTA ETIQUETAS'!O:X,9,0)),"")</f>
        <v>0</v>
      </c>
      <c r="I99" s="12">
        <f>IFERROR((VLOOKUP(A99,'[1]LISTA ETIQUETAS'!O:Y,11,0)),"")</f>
        <v>28459.56</v>
      </c>
      <c r="J99" s="6">
        <v>0</v>
      </c>
      <c r="K99" s="12">
        <f t="shared" si="3"/>
        <v>28459.56</v>
      </c>
      <c r="L99" s="7" t="str">
        <f>IF(VLOOKUP(A99,'[1]LISTA ETIQUETAS'!O:AB,14,0)="","",(VLOOKUP(A99,'[1]LISTA ETIQUETAS'!O:AB,14,0)))</f>
        <v>EG</v>
      </c>
      <c r="M99" s="8" t="s">
        <v>98</v>
      </c>
      <c r="N99" s="9" t="str">
        <f t="shared" si="4"/>
        <v>339718 | 339717</v>
      </c>
      <c r="O99" s="2">
        <f>_xlfn.XLOOKUP($A99,'[1]LISTA ETIQUETAS'!$O:$O,'[1]LISTA ETIQUETAS'!C:C,"",0)</f>
        <v>0</v>
      </c>
      <c r="P99" s="2">
        <f>_xlfn.XLOOKUP($A99,'[1]LISTA ETIQUETAS'!$O:$O,'[1]LISTA ETIQUETAS'!D:D,"",0)</f>
        <v>0</v>
      </c>
      <c r="Q99" s="2">
        <f>_xlfn.XLOOKUP($A99,'[1]LISTA ETIQUETAS'!$O:$O,'[1]LISTA ETIQUETAS'!E:E,"",0)</f>
        <v>0</v>
      </c>
      <c r="R99" s="2">
        <f>_xlfn.XLOOKUP($A99,'[1]LISTA ETIQUETAS'!$O:$O,'[1]LISTA ETIQUETAS'!F:F,"",0)</f>
        <v>0</v>
      </c>
      <c r="S99" s="2">
        <f>_xlfn.XLOOKUP($A99,'[1]LISTA ETIQUETAS'!$O:$O,'[1]LISTA ETIQUETAS'!H:H,"",0)</f>
        <v>1</v>
      </c>
      <c r="T99" s="9">
        <f t="shared" si="5"/>
        <v>1</v>
      </c>
      <c r="U99" s="10" t="s">
        <v>628</v>
      </c>
    </row>
    <row r="100" spans="1:21" x14ac:dyDescent="0.25">
      <c r="A100" s="5">
        <v>339717</v>
      </c>
      <c r="B100" t="str">
        <f>IFERROR((VLOOKUP(A100,'[1]LISTA ETIQUETAS'!O:X,3,0)),"PRODUTO SEM ESTOQUE")</f>
        <v>EST MODULO BRACO DIREITO ICARUS (1AS 1,15M) (BC20) FX B2108</v>
      </c>
      <c r="C100" s="10" t="s">
        <v>13</v>
      </c>
      <c r="D100" s="10" t="s">
        <v>97</v>
      </c>
      <c r="E100" s="11">
        <f>IF(VLOOKUP(A100,'[1]LISTA ETIQUETAS'!O:W,4,0)="",(VLOOKUP(A100,'[1]LISTA ETIQUETAS'!O:W,6,0)),(VLOOKUP(A100,'[1]LISTA ETIQUETAS'!O:W,4,0)))</f>
        <v>1.35</v>
      </c>
      <c r="F100" s="11">
        <f>IF(VLOOKUP(A100,'[1]LISTA ETIQUETAS'!O:W,5,0)="",(VLOOKUP(A100,'[1]LISTA ETIQUETAS'!O:W,7,0)),(VLOOKUP(A100,'[1]LISTA ETIQUETAS'!O:W,5,0)))</f>
        <v>1.05</v>
      </c>
      <c r="G100" s="11">
        <f>IFERROR((VLOOKUP(A100,'[1]LISTA ETIQUETAS'!O:X,8,0)),"")</f>
        <v>0.92</v>
      </c>
      <c r="H100" s="11">
        <f>IFERROR((VLOOKUP(A100,'[1]LISTA ETIQUETAS'!O:X,9,0)),"")</f>
        <v>0</v>
      </c>
      <c r="I100" s="12">
        <f>IFERROR((VLOOKUP(A100,'[1]LISTA ETIQUETAS'!O:Y,11,0)),"")</f>
        <v>28459.56</v>
      </c>
      <c r="J100" s="6">
        <v>0</v>
      </c>
      <c r="K100" s="12">
        <f t="shared" si="3"/>
        <v>28459.56</v>
      </c>
      <c r="L100" s="7" t="str">
        <f>IF(VLOOKUP(A100,'[1]LISTA ETIQUETAS'!O:AB,14,0)="","",(VLOOKUP(A100,'[1]LISTA ETIQUETAS'!O:AB,14,0)))</f>
        <v>EG</v>
      </c>
      <c r="M100" s="8" t="s">
        <v>98</v>
      </c>
      <c r="N100" s="9" t="str">
        <f t="shared" si="4"/>
        <v>339718 | 339717</v>
      </c>
      <c r="O100" s="2">
        <f>_xlfn.XLOOKUP($A100,'[1]LISTA ETIQUETAS'!$O:$O,'[1]LISTA ETIQUETAS'!C:C,"",0)</f>
        <v>0</v>
      </c>
      <c r="P100" s="2">
        <f>_xlfn.XLOOKUP($A100,'[1]LISTA ETIQUETAS'!$O:$O,'[1]LISTA ETIQUETAS'!D:D,"",0)</f>
        <v>0</v>
      </c>
      <c r="Q100" s="2">
        <f>_xlfn.XLOOKUP($A100,'[1]LISTA ETIQUETAS'!$O:$O,'[1]LISTA ETIQUETAS'!E:E,"",0)</f>
        <v>0</v>
      </c>
      <c r="R100" s="2">
        <f>_xlfn.XLOOKUP($A100,'[1]LISTA ETIQUETAS'!$O:$O,'[1]LISTA ETIQUETAS'!F:F,"",0)</f>
        <v>0</v>
      </c>
      <c r="S100" s="2">
        <f>_xlfn.XLOOKUP($A100,'[1]LISTA ETIQUETAS'!$O:$O,'[1]LISTA ETIQUETAS'!H:H,"",0)</f>
        <v>1</v>
      </c>
      <c r="T100" s="9">
        <f t="shared" si="5"/>
        <v>1</v>
      </c>
      <c r="U100" s="10" t="s">
        <v>628</v>
      </c>
    </row>
    <row r="101" spans="1:21" x14ac:dyDescent="0.25">
      <c r="A101" s="5">
        <v>302831</v>
      </c>
      <c r="B101" t="str">
        <f>IFERROR((VLOOKUP(A101,'[1]LISTA ETIQUETAS'!O:X,3,0)),"PRODUTO SEM ESTOQUE")</f>
        <v>EST MODULO CHAISE BRACO DIREITO LUME FX6360/PES NOGUEIRA</v>
      </c>
      <c r="C101" s="10" t="s">
        <v>13</v>
      </c>
      <c r="D101" s="10" t="s">
        <v>81</v>
      </c>
      <c r="E101" s="11">
        <f>IF(VLOOKUP(A101,'[1]LISTA ETIQUETAS'!O:W,4,0)="",(VLOOKUP(A101,'[1]LISTA ETIQUETAS'!O:W,6,0)),(VLOOKUP(A101,'[1]LISTA ETIQUETAS'!O:W,4,0)))</f>
        <v>1.06</v>
      </c>
      <c r="F101" s="11">
        <f>IF(VLOOKUP(A101,'[1]LISTA ETIQUETAS'!O:W,5,0)="",(VLOOKUP(A101,'[1]LISTA ETIQUETAS'!O:W,7,0)),(VLOOKUP(A101,'[1]LISTA ETIQUETAS'!O:W,5,0)))</f>
        <v>1.6</v>
      </c>
      <c r="G101" s="11">
        <f>IFERROR((VLOOKUP(A101,'[1]LISTA ETIQUETAS'!O:X,8,0)),"")</f>
        <v>0.67</v>
      </c>
      <c r="H101" s="11">
        <f>IFERROR((VLOOKUP(A101,'[1]LISTA ETIQUETAS'!O:X,9,0)),"")</f>
        <v>0</v>
      </c>
      <c r="I101" s="12">
        <f>IFERROR((VLOOKUP(A101,'[1]LISTA ETIQUETAS'!O:Y,11,0)),"")</f>
        <v>41302.639999999999</v>
      </c>
      <c r="J101" s="6">
        <v>0</v>
      </c>
      <c r="K101" s="12">
        <f t="shared" si="3"/>
        <v>41302.639999999999</v>
      </c>
      <c r="L101" s="7" t="str">
        <f>IF(VLOOKUP(A101,'[1]LISTA ETIQUETAS'!O:AB,14,0)="","",(VLOOKUP(A101,'[1]LISTA ETIQUETAS'!O:AB,14,0)))</f>
        <v>EC</v>
      </c>
      <c r="M101" s="8" t="s">
        <v>99</v>
      </c>
      <c r="N101" s="9" t="str">
        <f t="shared" si="4"/>
        <v>302831 | 302830</v>
      </c>
      <c r="O101" s="2">
        <f>_xlfn.XLOOKUP($A101,'[1]LISTA ETIQUETAS'!$O:$O,'[1]LISTA ETIQUETAS'!C:C,"",0)</f>
        <v>0</v>
      </c>
      <c r="P101" s="2">
        <f>_xlfn.XLOOKUP($A101,'[1]LISTA ETIQUETAS'!$O:$O,'[1]LISTA ETIQUETAS'!D:D,"",0)</f>
        <v>0</v>
      </c>
      <c r="Q101" s="2">
        <f>_xlfn.XLOOKUP($A101,'[1]LISTA ETIQUETAS'!$O:$O,'[1]LISTA ETIQUETAS'!E:E,"",0)</f>
        <v>0</v>
      </c>
      <c r="R101" s="2">
        <f>_xlfn.XLOOKUP($A101,'[1]LISTA ETIQUETAS'!$O:$O,'[1]LISTA ETIQUETAS'!F:F,"",0)</f>
        <v>0</v>
      </c>
      <c r="S101" s="2">
        <f>_xlfn.XLOOKUP($A101,'[1]LISTA ETIQUETAS'!$O:$O,'[1]LISTA ETIQUETAS'!H:H,"",0)</f>
        <v>1</v>
      </c>
      <c r="T101" s="9">
        <f t="shared" si="5"/>
        <v>1</v>
      </c>
      <c r="U101" s="10" t="s">
        <v>628</v>
      </c>
    </row>
    <row r="102" spans="1:21" x14ac:dyDescent="0.25">
      <c r="A102" s="5">
        <v>302830</v>
      </c>
      <c r="B102" t="str">
        <f>IFERROR((VLOOKUP(A102,'[1]LISTA ETIQUETAS'!O:X,3,0)),"PRODUTO SEM ESTOQUE")</f>
        <v>EST MODULO BRACO ESQUERDO LUME (2AS) FX6360/PES NOGUEIRA</v>
      </c>
      <c r="C102" s="10" t="s">
        <v>13</v>
      </c>
      <c r="D102" s="10" t="s">
        <v>81</v>
      </c>
      <c r="E102" s="11">
        <f>IF(VLOOKUP(A102,'[1]LISTA ETIQUETAS'!O:W,4,0)="",(VLOOKUP(A102,'[1]LISTA ETIQUETAS'!O:W,6,0)),(VLOOKUP(A102,'[1]LISTA ETIQUETAS'!O:W,4,0)))</f>
        <v>2.2599999999999998</v>
      </c>
      <c r="F102" s="11">
        <f>IF(VLOOKUP(A102,'[1]LISTA ETIQUETAS'!O:W,5,0)="",(VLOOKUP(A102,'[1]LISTA ETIQUETAS'!O:W,7,0)),(VLOOKUP(A102,'[1]LISTA ETIQUETAS'!O:W,5,0)))</f>
        <v>0.93</v>
      </c>
      <c r="G102" s="11">
        <f>IFERROR((VLOOKUP(A102,'[1]LISTA ETIQUETAS'!O:X,8,0)),"")</f>
        <v>0.67</v>
      </c>
      <c r="H102" s="11">
        <f>IFERROR((VLOOKUP(A102,'[1]LISTA ETIQUETAS'!O:X,9,0)),"")</f>
        <v>0</v>
      </c>
      <c r="I102" s="12">
        <f>IFERROR((VLOOKUP(A102,'[1]LISTA ETIQUETAS'!O:Y,11,0)),"")</f>
        <v>41302.639999999999</v>
      </c>
      <c r="J102" s="6">
        <v>0</v>
      </c>
      <c r="K102" s="12">
        <f t="shared" si="3"/>
        <v>41302.639999999999</v>
      </c>
      <c r="L102" s="7" t="str">
        <f>IF(VLOOKUP(A102,'[1]LISTA ETIQUETAS'!O:AB,14,0)="","",(VLOOKUP(A102,'[1]LISTA ETIQUETAS'!O:AB,14,0)))</f>
        <v>EC</v>
      </c>
      <c r="M102" s="8" t="s">
        <v>99</v>
      </c>
      <c r="N102" s="9" t="str">
        <f t="shared" si="4"/>
        <v>302831 | 302830</v>
      </c>
      <c r="O102" s="2">
        <f>_xlfn.XLOOKUP($A102,'[1]LISTA ETIQUETAS'!$O:$O,'[1]LISTA ETIQUETAS'!C:C,"",0)</f>
        <v>0</v>
      </c>
      <c r="P102" s="2">
        <f>_xlfn.XLOOKUP($A102,'[1]LISTA ETIQUETAS'!$O:$O,'[1]LISTA ETIQUETAS'!D:D,"",0)</f>
        <v>0</v>
      </c>
      <c r="Q102" s="2">
        <f>_xlfn.XLOOKUP($A102,'[1]LISTA ETIQUETAS'!$O:$O,'[1]LISTA ETIQUETAS'!E:E,"",0)</f>
        <v>0</v>
      </c>
      <c r="R102" s="2">
        <f>_xlfn.XLOOKUP($A102,'[1]LISTA ETIQUETAS'!$O:$O,'[1]LISTA ETIQUETAS'!F:F,"",0)</f>
        <v>0</v>
      </c>
      <c r="S102" s="2">
        <f>_xlfn.XLOOKUP($A102,'[1]LISTA ETIQUETAS'!$O:$O,'[1]LISTA ETIQUETAS'!H:H,"",0)</f>
        <v>1</v>
      </c>
      <c r="T102" s="9">
        <f t="shared" si="5"/>
        <v>1</v>
      </c>
      <c r="U102" s="10" t="s">
        <v>628</v>
      </c>
    </row>
    <row r="103" spans="1:21" x14ac:dyDescent="0.25">
      <c r="A103" s="5">
        <v>334159</v>
      </c>
      <c r="B103" t="str">
        <f>IFERROR((VLOOKUP(A103,'[1]LISTA ETIQUETAS'!O:X,3,0)),"PRODUTO SEM ESTOQUE")</f>
        <v>EST BASE JANTAR HOLG (JEQUITIBA TING DARK WALNUT)</v>
      </c>
      <c r="C103" s="10" t="s">
        <v>52</v>
      </c>
      <c r="D103" s="10" t="s">
        <v>64</v>
      </c>
      <c r="E103" s="11">
        <f>IF(VLOOKUP(A103,'[1]LISTA ETIQUETAS'!O:W,4,0)="",(VLOOKUP(A103,'[1]LISTA ETIQUETAS'!O:W,6,0)),(VLOOKUP(A103,'[1]LISTA ETIQUETAS'!O:W,4,0)))</f>
        <v>1.5</v>
      </c>
      <c r="F103" s="11">
        <f>IF(VLOOKUP(A103,'[1]LISTA ETIQUETAS'!O:W,5,0)="",(VLOOKUP(A103,'[1]LISTA ETIQUETAS'!O:W,7,0)),(VLOOKUP(A103,'[1]LISTA ETIQUETAS'!O:W,5,0)))</f>
        <v>1.5</v>
      </c>
      <c r="G103" s="11">
        <f>IFERROR((VLOOKUP(A103,'[1]LISTA ETIQUETAS'!O:X,8,0)),"")</f>
        <v>0.76</v>
      </c>
      <c r="H103" s="11">
        <f>IFERROR((VLOOKUP(A103,'[1]LISTA ETIQUETAS'!O:X,9,0)),"")</f>
        <v>0</v>
      </c>
      <c r="I103" s="12">
        <f>IFERROR((VLOOKUP(A103,'[1]LISTA ETIQUETAS'!O:Y,11,0)),"")</f>
        <v>70594.675000000003</v>
      </c>
      <c r="J103" s="6">
        <v>0</v>
      </c>
      <c r="K103" s="12">
        <f t="shared" si="3"/>
        <v>70594.675000000003</v>
      </c>
      <c r="L103" s="7" t="str">
        <f>IF(VLOOKUP(A103,'[1]LISTA ETIQUETAS'!O:AB,14,0)="","",(VLOOKUP(A103,'[1]LISTA ETIQUETAS'!O:AB,14,0)))</f>
        <v>DX</v>
      </c>
      <c r="M103" s="8" t="s">
        <v>100</v>
      </c>
      <c r="N103" s="9" t="str">
        <f t="shared" si="4"/>
        <v>334172 | 334159</v>
      </c>
      <c r="O103" s="2">
        <f>_xlfn.XLOOKUP($A103,'[1]LISTA ETIQUETAS'!$O:$O,'[1]LISTA ETIQUETAS'!C:C,"",0)</f>
        <v>0</v>
      </c>
      <c r="P103" s="2">
        <f>_xlfn.XLOOKUP($A103,'[1]LISTA ETIQUETAS'!$O:$O,'[1]LISTA ETIQUETAS'!D:D,"",0)</f>
        <v>0</v>
      </c>
      <c r="Q103" s="2">
        <f>_xlfn.XLOOKUP($A103,'[1]LISTA ETIQUETAS'!$O:$O,'[1]LISTA ETIQUETAS'!E:E,"",0)</f>
        <v>0</v>
      </c>
      <c r="R103" s="2">
        <f>_xlfn.XLOOKUP($A103,'[1]LISTA ETIQUETAS'!$O:$O,'[1]LISTA ETIQUETAS'!F:F,"",0)</f>
        <v>0</v>
      </c>
      <c r="S103" s="2">
        <f>_xlfn.XLOOKUP($A103,'[1]LISTA ETIQUETAS'!$O:$O,'[1]LISTA ETIQUETAS'!H:H,"",0)</f>
        <v>1</v>
      </c>
      <c r="T103" s="9">
        <f t="shared" si="5"/>
        <v>1</v>
      </c>
      <c r="U103" s="10" t="s">
        <v>628</v>
      </c>
    </row>
    <row r="104" spans="1:21" x14ac:dyDescent="0.25">
      <c r="A104" s="5">
        <v>334172</v>
      </c>
      <c r="B104" t="str">
        <f>IFERROR((VLOOKUP(A104,'[1]LISTA ETIQUETAS'!O:X,3,0)),"PRODUTO SEM ESTOQUE")</f>
        <v>EST TAMPO MARMORE (F9025) (RETO/CHANF) (G3-VITORIA R LEVIG)</v>
      </c>
      <c r="C104" s="10" t="s">
        <v>66</v>
      </c>
      <c r="D104" s="10" t="s">
        <v>101</v>
      </c>
      <c r="E104" s="11">
        <f>IF(VLOOKUP(A104,'[1]LISTA ETIQUETAS'!O:W,4,0)="",(VLOOKUP(A104,'[1]LISTA ETIQUETAS'!O:W,6,0)),(VLOOKUP(A104,'[1]LISTA ETIQUETAS'!O:W,4,0)))</f>
        <v>1.5</v>
      </c>
      <c r="F104" s="11">
        <f>IF(VLOOKUP(A104,'[1]LISTA ETIQUETAS'!O:W,5,0)="",(VLOOKUP(A104,'[1]LISTA ETIQUETAS'!O:W,7,0)),(VLOOKUP(A104,'[1]LISTA ETIQUETAS'!O:W,5,0)))</f>
        <v>1.5</v>
      </c>
      <c r="G104" s="11">
        <f>IFERROR((VLOOKUP(A104,'[1]LISTA ETIQUETAS'!O:X,8,0)),"")</f>
        <v>0.02</v>
      </c>
      <c r="H104" s="11">
        <f>IFERROR((VLOOKUP(A104,'[1]LISTA ETIQUETAS'!O:X,9,0)),"")</f>
        <v>0</v>
      </c>
      <c r="I104" s="12">
        <f>IFERROR((VLOOKUP(A104,'[1]LISTA ETIQUETAS'!O:Y,11,0)),"")</f>
        <v>70594.675000000003</v>
      </c>
      <c r="J104" s="6">
        <v>0</v>
      </c>
      <c r="K104" s="12">
        <f t="shared" si="3"/>
        <v>70594.675000000003</v>
      </c>
      <c r="L104" s="7" t="str">
        <f>IF(VLOOKUP(A104,'[1]LISTA ETIQUETAS'!O:AB,14,0)="","",(VLOOKUP(A104,'[1]LISTA ETIQUETAS'!O:AB,14,0)))</f>
        <v>DX</v>
      </c>
      <c r="M104" s="8" t="s">
        <v>100</v>
      </c>
      <c r="N104" s="9" t="str">
        <f t="shared" si="4"/>
        <v>334172 | 334159</v>
      </c>
      <c r="O104" s="2">
        <f>_xlfn.XLOOKUP($A104,'[1]LISTA ETIQUETAS'!$O:$O,'[1]LISTA ETIQUETAS'!C:C,"",0)</f>
        <v>0</v>
      </c>
      <c r="P104" s="2">
        <f>_xlfn.XLOOKUP($A104,'[1]LISTA ETIQUETAS'!$O:$O,'[1]LISTA ETIQUETAS'!D:D,"",0)</f>
        <v>0</v>
      </c>
      <c r="Q104" s="2">
        <f>_xlfn.XLOOKUP($A104,'[1]LISTA ETIQUETAS'!$O:$O,'[1]LISTA ETIQUETAS'!E:E,"",0)</f>
        <v>0</v>
      </c>
      <c r="R104" s="2">
        <f>_xlfn.XLOOKUP($A104,'[1]LISTA ETIQUETAS'!$O:$O,'[1]LISTA ETIQUETAS'!F:F,"",0)</f>
        <v>0</v>
      </c>
      <c r="S104" s="2">
        <f>_xlfn.XLOOKUP($A104,'[1]LISTA ETIQUETAS'!$O:$O,'[1]LISTA ETIQUETAS'!H:H,"",0)</f>
        <v>1</v>
      </c>
      <c r="T104" s="9">
        <f t="shared" si="5"/>
        <v>1</v>
      </c>
      <c r="U104" s="10" t="s">
        <v>628</v>
      </c>
    </row>
    <row r="105" spans="1:21" x14ac:dyDescent="0.25">
      <c r="A105" s="5">
        <v>334249</v>
      </c>
      <c r="B105" t="str">
        <f>IFERROR((VLOOKUP(A105,'[1]LISTA ETIQUETAS'!O:X,3,0)),"PRODUTO SEM ESTOQUE")</f>
        <v>EST MODULO S/BRACO C/ENCOSTO PARATY (FX 40030) (COFFEE MATT)</v>
      </c>
      <c r="C105" s="10" t="s">
        <v>13</v>
      </c>
      <c r="D105" s="10" t="s">
        <v>40</v>
      </c>
      <c r="E105" s="11">
        <f>IF(VLOOKUP(A105,'[1]LISTA ETIQUETAS'!O:W,4,0)="",(VLOOKUP(A105,'[1]LISTA ETIQUETAS'!O:W,6,0)),(VLOOKUP(A105,'[1]LISTA ETIQUETAS'!O:W,4,0)))</f>
        <v>0.9</v>
      </c>
      <c r="F105" s="11">
        <f>IF(VLOOKUP(A105,'[1]LISTA ETIQUETAS'!O:W,5,0)="",(VLOOKUP(A105,'[1]LISTA ETIQUETAS'!O:W,7,0)),(VLOOKUP(A105,'[1]LISTA ETIQUETAS'!O:W,5,0)))</f>
        <v>1</v>
      </c>
      <c r="G105" s="11">
        <f>IFERROR((VLOOKUP(A105,'[1]LISTA ETIQUETAS'!O:X,8,0)),"")</f>
        <v>0.77</v>
      </c>
      <c r="H105" s="11">
        <f>IFERROR((VLOOKUP(A105,'[1]LISTA ETIQUETAS'!O:X,9,0)),"")</f>
        <v>0</v>
      </c>
      <c r="I105" s="12">
        <f>IFERROR((VLOOKUP(A105,'[1]LISTA ETIQUETAS'!O:Y,11,0)),"")</f>
        <v>45780.5</v>
      </c>
      <c r="J105" s="6">
        <v>0</v>
      </c>
      <c r="K105" s="12">
        <f t="shared" si="3"/>
        <v>45780.5</v>
      </c>
      <c r="L105" s="7" t="str">
        <f>IF(VLOOKUP(A105,'[1]LISTA ETIQUETAS'!O:AB,14,0)="","",(VLOOKUP(A105,'[1]LISTA ETIQUETAS'!O:AB,14,0)))</f>
        <v>DV</v>
      </c>
      <c r="M105" s="8" t="s">
        <v>102</v>
      </c>
      <c r="N105" s="9" t="str">
        <f t="shared" si="4"/>
        <v>334249 | 334248 | 334247</v>
      </c>
      <c r="O105" s="2">
        <f>_xlfn.XLOOKUP($A105,'[1]LISTA ETIQUETAS'!$O:$O,'[1]LISTA ETIQUETAS'!C:C,"",0)</f>
        <v>0</v>
      </c>
      <c r="P105" s="2">
        <f>_xlfn.XLOOKUP($A105,'[1]LISTA ETIQUETAS'!$O:$O,'[1]LISTA ETIQUETAS'!D:D,"",0)</f>
        <v>0</v>
      </c>
      <c r="Q105" s="2">
        <f>_xlfn.XLOOKUP($A105,'[1]LISTA ETIQUETAS'!$O:$O,'[1]LISTA ETIQUETAS'!E:E,"",0)</f>
        <v>0</v>
      </c>
      <c r="R105" s="2">
        <f>_xlfn.XLOOKUP($A105,'[1]LISTA ETIQUETAS'!$O:$O,'[1]LISTA ETIQUETAS'!F:F,"",0)</f>
        <v>0</v>
      </c>
      <c r="S105" s="2">
        <f>_xlfn.XLOOKUP($A105,'[1]LISTA ETIQUETAS'!$O:$O,'[1]LISTA ETIQUETAS'!H:H,"",0)</f>
        <v>2</v>
      </c>
      <c r="T105" s="9">
        <f t="shared" si="5"/>
        <v>2</v>
      </c>
      <c r="U105" s="10" t="s">
        <v>628</v>
      </c>
    </row>
    <row r="106" spans="1:21" x14ac:dyDescent="0.25">
      <c r="A106" s="5">
        <v>334248</v>
      </c>
      <c r="B106" t="str">
        <f>IFERROR((VLOOKUP(A106,'[1]LISTA ETIQUETAS'!O:X,3,0)),"PRODUTO SEM ESTOQUE")</f>
        <v>EST MODULO S/BRACO C/ENCOSTO PARATY (FX 40030) (COFFEE MATT)</v>
      </c>
      <c r="C106" s="10" t="s">
        <v>13</v>
      </c>
      <c r="D106" s="10" t="s">
        <v>40</v>
      </c>
      <c r="E106" s="11">
        <f>IF(VLOOKUP(A106,'[1]LISTA ETIQUETAS'!O:W,4,0)="",(VLOOKUP(A106,'[1]LISTA ETIQUETAS'!O:W,6,0)),(VLOOKUP(A106,'[1]LISTA ETIQUETAS'!O:W,4,0)))</f>
        <v>1.8</v>
      </c>
      <c r="F106" s="11">
        <f>IF(VLOOKUP(A106,'[1]LISTA ETIQUETAS'!O:W,5,0)="",(VLOOKUP(A106,'[1]LISTA ETIQUETAS'!O:W,7,0)),(VLOOKUP(A106,'[1]LISTA ETIQUETAS'!O:W,5,0)))</f>
        <v>1</v>
      </c>
      <c r="G106" s="11">
        <f>IFERROR((VLOOKUP(A106,'[1]LISTA ETIQUETAS'!O:X,8,0)),"")</f>
        <v>0.77</v>
      </c>
      <c r="H106" s="11">
        <f>IFERROR((VLOOKUP(A106,'[1]LISTA ETIQUETAS'!O:X,9,0)),"")</f>
        <v>0</v>
      </c>
      <c r="I106" s="12">
        <f>IFERROR((VLOOKUP(A106,'[1]LISTA ETIQUETAS'!O:Y,11,0)),"")</f>
        <v>45780.5</v>
      </c>
      <c r="J106" s="6">
        <v>0</v>
      </c>
      <c r="K106" s="12">
        <f t="shared" si="3"/>
        <v>45780.5</v>
      </c>
      <c r="L106" s="7" t="str">
        <f>IF(VLOOKUP(A106,'[1]LISTA ETIQUETAS'!O:AB,14,0)="","",(VLOOKUP(A106,'[1]LISTA ETIQUETAS'!O:AB,14,0)))</f>
        <v>DV</v>
      </c>
      <c r="M106" s="8" t="s">
        <v>102</v>
      </c>
      <c r="N106" s="9" t="str">
        <f t="shared" si="4"/>
        <v>334249 | 334248 | 334247</v>
      </c>
      <c r="O106" s="2">
        <f>_xlfn.XLOOKUP($A106,'[1]LISTA ETIQUETAS'!$O:$O,'[1]LISTA ETIQUETAS'!C:C,"",0)</f>
        <v>0</v>
      </c>
      <c r="P106" s="2">
        <f>_xlfn.XLOOKUP($A106,'[1]LISTA ETIQUETAS'!$O:$O,'[1]LISTA ETIQUETAS'!D:D,"",0)</f>
        <v>0</v>
      </c>
      <c r="Q106" s="2">
        <f>_xlfn.XLOOKUP($A106,'[1]LISTA ETIQUETAS'!$O:$O,'[1]LISTA ETIQUETAS'!E:E,"",0)</f>
        <v>0</v>
      </c>
      <c r="R106" s="2">
        <f>_xlfn.XLOOKUP($A106,'[1]LISTA ETIQUETAS'!$O:$O,'[1]LISTA ETIQUETAS'!F:F,"",0)</f>
        <v>0</v>
      </c>
      <c r="S106" s="2">
        <f>_xlfn.XLOOKUP($A106,'[1]LISTA ETIQUETAS'!$O:$O,'[1]LISTA ETIQUETAS'!H:H,"",0)</f>
        <v>2</v>
      </c>
      <c r="T106" s="9">
        <f t="shared" si="5"/>
        <v>2</v>
      </c>
      <c r="U106" s="10" t="s">
        <v>628</v>
      </c>
    </row>
    <row r="107" spans="1:21" x14ac:dyDescent="0.25">
      <c r="A107" s="5">
        <v>334247</v>
      </c>
      <c r="B107" t="str">
        <f>IFERROR((VLOOKUP(A107,'[1]LISTA ETIQUETAS'!O:X,3,0)),"PRODUTO SEM ESTOQUE")</f>
        <v>EST MODULO CHAISE S/BRACO PARATY (FX 40030) (COFFEE MATT)</v>
      </c>
      <c r="C107" s="10" t="s">
        <v>13</v>
      </c>
      <c r="D107" s="10" t="s">
        <v>40</v>
      </c>
      <c r="E107" s="11">
        <f>IF(VLOOKUP(A107,'[1]LISTA ETIQUETAS'!O:W,4,0)="",(VLOOKUP(A107,'[1]LISTA ETIQUETAS'!O:W,6,0)),(VLOOKUP(A107,'[1]LISTA ETIQUETAS'!O:W,4,0)))</f>
        <v>0.9</v>
      </c>
      <c r="F107" s="11">
        <f>IF(VLOOKUP(A107,'[1]LISTA ETIQUETAS'!O:W,5,0)="",(VLOOKUP(A107,'[1]LISTA ETIQUETAS'!O:W,7,0)),(VLOOKUP(A107,'[1]LISTA ETIQUETAS'!O:W,5,0)))</f>
        <v>1.77</v>
      </c>
      <c r="G107" s="11">
        <f>IFERROR((VLOOKUP(A107,'[1]LISTA ETIQUETAS'!O:X,8,0)),"")</f>
        <v>0.77</v>
      </c>
      <c r="H107" s="11">
        <f>IFERROR((VLOOKUP(A107,'[1]LISTA ETIQUETAS'!O:X,9,0)),"")</f>
        <v>0</v>
      </c>
      <c r="I107" s="12">
        <f>IFERROR((VLOOKUP(A107,'[1]LISTA ETIQUETAS'!O:Y,11,0)),"")</f>
        <v>45780.5</v>
      </c>
      <c r="J107" s="6">
        <v>0</v>
      </c>
      <c r="K107" s="12">
        <f t="shared" si="3"/>
        <v>45780.5</v>
      </c>
      <c r="L107" s="7" t="str">
        <f>IF(VLOOKUP(A107,'[1]LISTA ETIQUETAS'!O:AB,14,0)="","",(VLOOKUP(A107,'[1]LISTA ETIQUETAS'!O:AB,14,0)))</f>
        <v>DV</v>
      </c>
      <c r="M107" s="8" t="s">
        <v>102</v>
      </c>
      <c r="N107" s="9" t="str">
        <f t="shared" si="4"/>
        <v>334249 | 334248 | 334247</v>
      </c>
      <c r="O107" s="2">
        <f>_xlfn.XLOOKUP($A107,'[1]LISTA ETIQUETAS'!$O:$O,'[1]LISTA ETIQUETAS'!C:C,"",0)</f>
        <v>0</v>
      </c>
      <c r="P107" s="2">
        <f>_xlfn.XLOOKUP($A107,'[1]LISTA ETIQUETAS'!$O:$O,'[1]LISTA ETIQUETAS'!D:D,"",0)</f>
        <v>0</v>
      </c>
      <c r="Q107" s="2">
        <f>_xlfn.XLOOKUP($A107,'[1]LISTA ETIQUETAS'!$O:$O,'[1]LISTA ETIQUETAS'!E:E,"",0)</f>
        <v>0</v>
      </c>
      <c r="R107" s="2">
        <f>_xlfn.XLOOKUP($A107,'[1]LISTA ETIQUETAS'!$O:$O,'[1]LISTA ETIQUETAS'!F:F,"",0)</f>
        <v>0</v>
      </c>
      <c r="S107" s="2">
        <f>_xlfn.XLOOKUP($A107,'[1]LISTA ETIQUETAS'!$O:$O,'[1]LISTA ETIQUETAS'!H:H,"",0)</f>
        <v>2</v>
      </c>
      <c r="T107" s="9">
        <f t="shared" si="5"/>
        <v>2</v>
      </c>
      <c r="U107" s="10" t="s">
        <v>628</v>
      </c>
    </row>
    <row r="108" spans="1:21" x14ac:dyDescent="0.25">
      <c r="A108" s="5">
        <v>334206</v>
      </c>
      <c r="B108" t="str">
        <f>IFERROR((VLOOKUP(A108,'[1]LISTA ETIQUETAS'!O:X,3,0)),"PRODUTO SEM ESTOQUE")</f>
        <v>EST MODULO BRACO DIREITO C/PUFF AURORA FX10009/MTZ PRATA</v>
      </c>
      <c r="C108" s="10" t="s">
        <v>13</v>
      </c>
      <c r="D108" s="10" t="s">
        <v>93</v>
      </c>
      <c r="E108" s="11">
        <f>IF(VLOOKUP(A108,'[1]LISTA ETIQUETAS'!O:W,4,0)="",(VLOOKUP(A108,'[1]LISTA ETIQUETAS'!O:W,6,0)),(VLOOKUP(A108,'[1]LISTA ETIQUETAS'!O:W,4,0)))</f>
        <v>1.97</v>
      </c>
      <c r="F108" s="11">
        <f>IF(VLOOKUP(A108,'[1]LISTA ETIQUETAS'!O:W,5,0)="",(VLOOKUP(A108,'[1]LISTA ETIQUETAS'!O:W,7,0)),(VLOOKUP(A108,'[1]LISTA ETIQUETAS'!O:W,5,0)))</f>
        <v>0.87</v>
      </c>
      <c r="G108" s="11">
        <f>IFERROR((VLOOKUP(A108,'[1]LISTA ETIQUETAS'!O:X,8,0)),"")</f>
        <v>0.7</v>
      </c>
      <c r="H108" s="11">
        <f>IFERROR((VLOOKUP(A108,'[1]LISTA ETIQUETAS'!O:X,9,0)),"")</f>
        <v>0</v>
      </c>
      <c r="I108" s="12">
        <f>IFERROR((VLOOKUP(A108,'[1]LISTA ETIQUETAS'!O:Y,11,0)),"")</f>
        <v>64635.600000000006</v>
      </c>
      <c r="J108" s="6">
        <v>0</v>
      </c>
      <c r="K108" s="12">
        <f t="shared" si="3"/>
        <v>64635.600000000006</v>
      </c>
      <c r="L108" s="7" t="str">
        <f>IF(VLOOKUP(A108,'[1]LISTA ETIQUETAS'!O:AB,14,0)="","",(VLOOKUP(A108,'[1]LISTA ETIQUETAS'!O:AB,14,0)))</f>
        <v>DU</v>
      </c>
      <c r="M108" s="8" t="s">
        <v>103</v>
      </c>
      <c r="N108" s="9" t="str">
        <f t="shared" si="4"/>
        <v>334206 | 334205</v>
      </c>
      <c r="O108" s="2">
        <f>_xlfn.XLOOKUP($A108,'[1]LISTA ETIQUETAS'!$O:$O,'[1]LISTA ETIQUETAS'!C:C,"",0)</f>
        <v>0</v>
      </c>
      <c r="P108" s="2">
        <f>_xlfn.XLOOKUP($A108,'[1]LISTA ETIQUETAS'!$O:$O,'[1]LISTA ETIQUETAS'!D:D,"",0)</f>
        <v>0</v>
      </c>
      <c r="Q108" s="2">
        <f>_xlfn.XLOOKUP($A108,'[1]LISTA ETIQUETAS'!$O:$O,'[1]LISTA ETIQUETAS'!E:E,"",0)</f>
        <v>0</v>
      </c>
      <c r="R108" s="2">
        <f>_xlfn.XLOOKUP($A108,'[1]LISTA ETIQUETAS'!$O:$O,'[1]LISTA ETIQUETAS'!F:F,"",0)</f>
        <v>0</v>
      </c>
      <c r="S108" s="2">
        <f>_xlfn.XLOOKUP($A108,'[1]LISTA ETIQUETAS'!$O:$O,'[1]LISTA ETIQUETAS'!H:H,"",0)</f>
        <v>1</v>
      </c>
      <c r="T108" s="9">
        <f t="shared" si="5"/>
        <v>1</v>
      </c>
      <c r="U108" s="10" t="s">
        <v>628</v>
      </c>
    </row>
    <row r="109" spans="1:21" x14ac:dyDescent="0.25">
      <c r="A109" s="5">
        <v>334205</v>
      </c>
      <c r="B109" t="str">
        <f>IFERROR((VLOOKUP(A109,'[1]LISTA ETIQUETAS'!O:X,3,0)),"PRODUTO SEM ESTOQUE")</f>
        <v>EST MODULO BRACO ESQUERDO AURORA FX10009/MTZ PRATA</v>
      </c>
      <c r="C109" s="10" t="s">
        <v>13</v>
      </c>
      <c r="D109" s="10" t="s">
        <v>93</v>
      </c>
      <c r="E109" s="11">
        <f>IF(VLOOKUP(A109,'[1]LISTA ETIQUETAS'!O:W,4,0)="",(VLOOKUP(A109,'[1]LISTA ETIQUETAS'!O:W,6,0)),(VLOOKUP(A109,'[1]LISTA ETIQUETAS'!O:W,4,0)))</f>
        <v>1.92</v>
      </c>
      <c r="F109" s="11">
        <f>IF(VLOOKUP(A109,'[1]LISTA ETIQUETAS'!O:W,5,0)="",(VLOOKUP(A109,'[1]LISTA ETIQUETAS'!O:W,7,0)),(VLOOKUP(A109,'[1]LISTA ETIQUETAS'!O:W,5,0)))</f>
        <v>0.87</v>
      </c>
      <c r="G109" s="11">
        <f>IFERROR((VLOOKUP(A109,'[1]LISTA ETIQUETAS'!O:X,8,0)),"")</f>
        <v>0.7</v>
      </c>
      <c r="H109" s="11">
        <f>IFERROR((VLOOKUP(A109,'[1]LISTA ETIQUETAS'!O:X,9,0)),"")</f>
        <v>0</v>
      </c>
      <c r="I109" s="12">
        <f>IFERROR((VLOOKUP(A109,'[1]LISTA ETIQUETAS'!O:Y,11,0)),"")</f>
        <v>64635.600000000006</v>
      </c>
      <c r="J109" s="6">
        <v>0</v>
      </c>
      <c r="K109" s="12">
        <f t="shared" si="3"/>
        <v>64635.600000000006</v>
      </c>
      <c r="L109" s="7" t="str">
        <f>IF(VLOOKUP(A109,'[1]LISTA ETIQUETAS'!O:AB,14,0)="","",(VLOOKUP(A109,'[1]LISTA ETIQUETAS'!O:AB,14,0)))</f>
        <v>DU</v>
      </c>
      <c r="M109" s="8" t="s">
        <v>103</v>
      </c>
      <c r="N109" s="9" t="str">
        <f t="shared" si="4"/>
        <v>334206 | 334205</v>
      </c>
      <c r="O109" s="2">
        <f>_xlfn.XLOOKUP($A109,'[1]LISTA ETIQUETAS'!$O:$O,'[1]LISTA ETIQUETAS'!C:C,"",0)</f>
        <v>0</v>
      </c>
      <c r="P109" s="2">
        <f>_xlfn.XLOOKUP($A109,'[1]LISTA ETIQUETAS'!$O:$O,'[1]LISTA ETIQUETAS'!D:D,"",0)</f>
        <v>0</v>
      </c>
      <c r="Q109" s="2">
        <f>_xlfn.XLOOKUP($A109,'[1]LISTA ETIQUETAS'!$O:$O,'[1]LISTA ETIQUETAS'!E:E,"",0)</f>
        <v>0</v>
      </c>
      <c r="R109" s="2">
        <f>_xlfn.XLOOKUP($A109,'[1]LISTA ETIQUETAS'!$O:$O,'[1]LISTA ETIQUETAS'!F:F,"",0)</f>
        <v>0</v>
      </c>
      <c r="S109" s="2">
        <f>_xlfn.XLOOKUP($A109,'[1]LISTA ETIQUETAS'!$O:$O,'[1]LISTA ETIQUETAS'!H:H,"",0)</f>
        <v>1</v>
      </c>
      <c r="T109" s="9">
        <f t="shared" si="5"/>
        <v>1</v>
      </c>
      <c r="U109" s="10" t="s">
        <v>628</v>
      </c>
    </row>
    <row r="110" spans="1:21" x14ac:dyDescent="0.25">
      <c r="A110" s="5">
        <v>334346</v>
      </c>
      <c r="B110" t="str">
        <f>IFERROR((VLOOKUP(A110,'[1]LISTA ETIQUETAS'!O:X,3,0)),"PRODUTO SEM ESTOQUE")</f>
        <v>EST MODULO BRACO ESQ ATLAS (BASE LAMIN EBANIZ) FX8168</v>
      </c>
      <c r="C110" s="10" t="s">
        <v>13</v>
      </c>
      <c r="D110" s="10" t="s">
        <v>104</v>
      </c>
      <c r="E110" s="11">
        <f>IF(VLOOKUP(A110,'[1]LISTA ETIQUETAS'!O:W,4,0)="",(VLOOKUP(A110,'[1]LISTA ETIQUETAS'!O:W,6,0)),(VLOOKUP(A110,'[1]LISTA ETIQUETAS'!O:W,4,0)))</f>
        <v>1.35</v>
      </c>
      <c r="F110" s="11">
        <f>IF(VLOOKUP(A110,'[1]LISTA ETIQUETAS'!O:W,5,0)="",(VLOOKUP(A110,'[1]LISTA ETIQUETAS'!O:W,7,0)),(VLOOKUP(A110,'[1]LISTA ETIQUETAS'!O:W,5,0)))</f>
        <v>1.1200000000000001</v>
      </c>
      <c r="G110" s="11">
        <f>IFERROR((VLOOKUP(A110,'[1]LISTA ETIQUETAS'!O:X,8,0)),"")</f>
        <v>0.73</v>
      </c>
      <c r="H110" s="11">
        <f>IFERROR((VLOOKUP(A110,'[1]LISTA ETIQUETAS'!O:X,9,0)),"")</f>
        <v>0</v>
      </c>
      <c r="I110" s="12">
        <f>IFERROR((VLOOKUP(A110,'[1]LISTA ETIQUETAS'!O:Y,11,0)),"")</f>
        <v>41418.14</v>
      </c>
      <c r="J110" s="6">
        <v>0</v>
      </c>
      <c r="K110" s="12">
        <f t="shared" si="3"/>
        <v>41418.14</v>
      </c>
      <c r="L110" s="7" t="str">
        <f>IF(VLOOKUP(A110,'[1]LISTA ETIQUETAS'!O:AB,14,0)="","",(VLOOKUP(A110,'[1]LISTA ETIQUETAS'!O:AB,14,0)))</f>
        <v>DS</v>
      </c>
      <c r="M110" s="8" t="s">
        <v>105</v>
      </c>
      <c r="N110" s="9" t="str">
        <f t="shared" si="4"/>
        <v>334346 | 334345</v>
      </c>
      <c r="O110" s="2">
        <f>_xlfn.XLOOKUP($A110,'[1]LISTA ETIQUETAS'!$O:$O,'[1]LISTA ETIQUETAS'!C:C,"",0)</f>
        <v>0</v>
      </c>
      <c r="P110" s="2">
        <f>_xlfn.XLOOKUP($A110,'[1]LISTA ETIQUETAS'!$O:$O,'[1]LISTA ETIQUETAS'!D:D,"",0)</f>
        <v>0</v>
      </c>
      <c r="Q110" s="2">
        <f>_xlfn.XLOOKUP($A110,'[1]LISTA ETIQUETAS'!$O:$O,'[1]LISTA ETIQUETAS'!E:E,"",0)</f>
        <v>0</v>
      </c>
      <c r="R110" s="2">
        <f>_xlfn.XLOOKUP($A110,'[1]LISTA ETIQUETAS'!$O:$O,'[1]LISTA ETIQUETAS'!F:F,"",0)</f>
        <v>0</v>
      </c>
      <c r="S110" s="2">
        <f>_xlfn.XLOOKUP($A110,'[1]LISTA ETIQUETAS'!$O:$O,'[1]LISTA ETIQUETAS'!H:H,"",0)</f>
        <v>1</v>
      </c>
      <c r="T110" s="9">
        <f t="shared" si="5"/>
        <v>1</v>
      </c>
      <c r="U110" s="10" t="s">
        <v>628</v>
      </c>
    </row>
    <row r="111" spans="1:21" x14ac:dyDescent="0.25">
      <c r="A111" s="5">
        <v>334345</v>
      </c>
      <c r="B111" t="str">
        <f>IFERROR((VLOOKUP(A111,'[1]LISTA ETIQUETAS'!O:X,3,0)),"PRODUTO SEM ESTOQUE")</f>
        <v>EST MODULO BRACO DIR ATLAS (BASE LAMIN EBANIZ) FX8168</v>
      </c>
      <c r="C111" s="10" t="s">
        <v>13</v>
      </c>
      <c r="D111" s="10" t="s">
        <v>104</v>
      </c>
      <c r="E111" s="11">
        <f>IF(VLOOKUP(A111,'[1]LISTA ETIQUETAS'!O:W,4,0)="",(VLOOKUP(A111,'[1]LISTA ETIQUETAS'!O:W,6,0)),(VLOOKUP(A111,'[1]LISTA ETIQUETAS'!O:W,4,0)))</f>
        <v>1.35</v>
      </c>
      <c r="F111" s="11">
        <f>IF(VLOOKUP(A111,'[1]LISTA ETIQUETAS'!O:W,5,0)="",(VLOOKUP(A111,'[1]LISTA ETIQUETAS'!O:W,7,0)),(VLOOKUP(A111,'[1]LISTA ETIQUETAS'!O:W,5,0)))</f>
        <v>1.1200000000000001</v>
      </c>
      <c r="G111" s="11">
        <f>IFERROR((VLOOKUP(A111,'[1]LISTA ETIQUETAS'!O:X,8,0)),"")</f>
        <v>0.73</v>
      </c>
      <c r="H111" s="11">
        <f>IFERROR((VLOOKUP(A111,'[1]LISTA ETIQUETAS'!O:X,9,0)),"")</f>
        <v>0</v>
      </c>
      <c r="I111" s="12">
        <f>IFERROR((VLOOKUP(A111,'[1]LISTA ETIQUETAS'!O:Y,11,0)),"")</f>
        <v>41418.14</v>
      </c>
      <c r="J111" s="6">
        <v>0</v>
      </c>
      <c r="K111" s="12">
        <f t="shared" si="3"/>
        <v>41418.14</v>
      </c>
      <c r="L111" s="7" t="str">
        <f>IF(VLOOKUP(A111,'[1]LISTA ETIQUETAS'!O:AB,14,0)="","",(VLOOKUP(A111,'[1]LISTA ETIQUETAS'!O:AB,14,0)))</f>
        <v>DS</v>
      </c>
      <c r="M111" s="8" t="s">
        <v>105</v>
      </c>
      <c r="N111" s="9" t="str">
        <f t="shared" si="4"/>
        <v>334346 | 334345</v>
      </c>
      <c r="O111" s="2">
        <f>_xlfn.XLOOKUP($A111,'[1]LISTA ETIQUETAS'!$O:$O,'[1]LISTA ETIQUETAS'!C:C,"",0)</f>
        <v>0</v>
      </c>
      <c r="P111" s="2">
        <f>_xlfn.XLOOKUP($A111,'[1]LISTA ETIQUETAS'!$O:$O,'[1]LISTA ETIQUETAS'!D:D,"",0)</f>
        <v>0</v>
      </c>
      <c r="Q111" s="2">
        <f>_xlfn.XLOOKUP($A111,'[1]LISTA ETIQUETAS'!$O:$O,'[1]LISTA ETIQUETAS'!E:E,"",0)</f>
        <v>0</v>
      </c>
      <c r="R111" s="2">
        <f>_xlfn.XLOOKUP($A111,'[1]LISTA ETIQUETAS'!$O:$O,'[1]LISTA ETIQUETAS'!F:F,"",0)</f>
        <v>0</v>
      </c>
      <c r="S111" s="2">
        <f>_xlfn.XLOOKUP($A111,'[1]LISTA ETIQUETAS'!$O:$O,'[1]LISTA ETIQUETAS'!H:H,"",0)</f>
        <v>1</v>
      </c>
      <c r="T111" s="9">
        <f t="shared" si="5"/>
        <v>1</v>
      </c>
      <c r="U111" s="10" t="s">
        <v>628</v>
      </c>
    </row>
    <row r="112" spans="1:21" x14ac:dyDescent="0.25">
      <c r="A112" s="5">
        <v>334183</v>
      </c>
      <c r="B112" t="str">
        <f>IFERROR((VLOOKUP(A112,'[1]LISTA ETIQUETAS'!O:X,3,0)),"PRODUTO SEM ESTOQUE")</f>
        <v>EST MODULO BRACO ESQ ARAGON (1AS) (BC10) (MTZ CAPPUC) D4140</v>
      </c>
      <c r="C112" s="10" t="s">
        <v>13</v>
      </c>
      <c r="D112" s="10" t="s">
        <v>106</v>
      </c>
      <c r="E112" s="11">
        <f>IF(VLOOKUP(A112,'[1]LISTA ETIQUETAS'!O:W,4,0)="",(VLOOKUP(A112,'[1]LISTA ETIQUETAS'!O:W,6,0)),(VLOOKUP(A112,'[1]LISTA ETIQUETAS'!O:W,4,0)))</f>
        <v>1.1000000000000001</v>
      </c>
      <c r="F112" s="11">
        <f>IF(VLOOKUP(A112,'[1]LISTA ETIQUETAS'!O:W,5,0)="",(VLOOKUP(A112,'[1]LISTA ETIQUETAS'!O:W,7,0)),(VLOOKUP(A112,'[1]LISTA ETIQUETAS'!O:W,5,0)))</f>
        <v>1</v>
      </c>
      <c r="G112" s="11">
        <f>IFERROR((VLOOKUP(A112,'[1]LISTA ETIQUETAS'!O:X,8,0)),"")</f>
        <v>0.92</v>
      </c>
      <c r="H112" s="11">
        <f>IFERROR((VLOOKUP(A112,'[1]LISTA ETIQUETAS'!O:X,9,0)),"")</f>
        <v>0</v>
      </c>
      <c r="I112" s="12">
        <f>IFERROR((VLOOKUP(A112,'[1]LISTA ETIQUETAS'!O:Y,11,0)),"")</f>
        <v>69574.19</v>
      </c>
      <c r="J112" s="6">
        <v>0</v>
      </c>
      <c r="K112" s="12">
        <f t="shared" si="3"/>
        <v>69574.19</v>
      </c>
      <c r="L112" s="7" t="str">
        <f>IF(VLOOKUP(A112,'[1]LISTA ETIQUETAS'!O:AB,14,0)="","",(VLOOKUP(A112,'[1]LISTA ETIQUETAS'!O:AB,14,0)))</f>
        <v>DP</v>
      </c>
      <c r="M112" s="8" t="s">
        <v>107</v>
      </c>
      <c r="N112" s="9" t="str">
        <f t="shared" si="4"/>
        <v>334183 | 334182 | 334184</v>
      </c>
      <c r="O112" s="2">
        <f>_xlfn.XLOOKUP($A112,'[1]LISTA ETIQUETAS'!$O:$O,'[1]LISTA ETIQUETAS'!C:C,"",0)</f>
        <v>0</v>
      </c>
      <c r="P112" s="2">
        <f>_xlfn.XLOOKUP($A112,'[1]LISTA ETIQUETAS'!$O:$O,'[1]LISTA ETIQUETAS'!D:D,"",0)</f>
        <v>0</v>
      </c>
      <c r="Q112" s="2">
        <f>_xlfn.XLOOKUP($A112,'[1]LISTA ETIQUETAS'!$O:$O,'[1]LISTA ETIQUETAS'!E:E,"",0)</f>
        <v>0</v>
      </c>
      <c r="R112" s="2">
        <f>_xlfn.XLOOKUP($A112,'[1]LISTA ETIQUETAS'!$O:$O,'[1]LISTA ETIQUETAS'!F:F,"",0)</f>
        <v>0</v>
      </c>
      <c r="S112" s="2">
        <f>_xlfn.XLOOKUP($A112,'[1]LISTA ETIQUETAS'!$O:$O,'[1]LISTA ETIQUETAS'!H:H,"",0)</f>
        <v>1</v>
      </c>
      <c r="T112" s="9">
        <f t="shared" si="5"/>
        <v>1</v>
      </c>
      <c r="U112" s="10" t="s">
        <v>628</v>
      </c>
    </row>
    <row r="113" spans="1:21" x14ac:dyDescent="0.25">
      <c r="A113" s="5">
        <v>334182</v>
      </c>
      <c r="B113" t="str">
        <f>IFERROR((VLOOKUP(A113,'[1]LISTA ETIQUETAS'!O:X,3,0)),"PRODUTO SEM ESTOQUE")</f>
        <v>EST MODULO BRACO DIR ARAGON (1AS) (BC10) (MTZ CAPPUC) D4140</v>
      </c>
      <c r="C113" s="10" t="s">
        <v>13</v>
      </c>
      <c r="D113" s="10" t="s">
        <v>106</v>
      </c>
      <c r="E113" s="11">
        <f>IF(VLOOKUP(A113,'[1]LISTA ETIQUETAS'!O:W,4,0)="",(VLOOKUP(A113,'[1]LISTA ETIQUETAS'!O:W,6,0)),(VLOOKUP(A113,'[1]LISTA ETIQUETAS'!O:W,4,0)))</f>
        <v>1.1000000000000001</v>
      </c>
      <c r="F113" s="11">
        <f>IF(VLOOKUP(A113,'[1]LISTA ETIQUETAS'!O:W,5,0)="",(VLOOKUP(A113,'[1]LISTA ETIQUETAS'!O:W,7,0)),(VLOOKUP(A113,'[1]LISTA ETIQUETAS'!O:W,5,0)))</f>
        <v>1</v>
      </c>
      <c r="G113" s="11">
        <f>IFERROR((VLOOKUP(A113,'[1]LISTA ETIQUETAS'!O:X,8,0)),"")</f>
        <v>0.92</v>
      </c>
      <c r="H113" s="11">
        <f>IFERROR((VLOOKUP(A113,'[1]LISTA ETIQUETAS'!O:X,9,0)),"")</f>
        <v>0</v>
      </c>
      <c r="I113" s="12">
        <f>IFERROR((VLOOKUP(A113,'[1]LISTA ETIQUETAS'!O:Y,11,0)),"")</f>
        <v>69574.19</v>
      </c>
      <c r="J113" s="6">
        <v>0</v>
      </c>
      <c r="K113" s="12">
        <f t="shared" si="3"/>
        <v>69574.19</v>
      </c>
      <c r="L113" s="7" t="str">
        <f>IF(VLOOKUP(A113,'[1]LISTA ETIQUETAS'!O:AB,14,0)="","",(VLOOKUP(A113,'[1]LISTA ETIQUETAS'!O:AB,14,0)))</f>
        <v>DP</v>
      </c>
      <c r="M113" s="8" t="s">
        <v>107</v>
      </c>
      <c r="N113" s="9" t="str">
        <f t="shared" si="4"/>
        <v>334183 | 334182 | 334184</v>
      </c>
      <c r="O113" s="2">
        <f>_xlfn.XLOOKUP($A113,'[1]LISTA ETIQUETAS'!$O:$O,'[1]LISTA ETIQUETAS'!C:C,"",0)</f>
        <v>0</v>
      </c>
      <c r="P113" s="2">
        <f>_xlfn.XLOOKUP($A113,'[1]LISTA ETIQUETAS'!$O:$O,'[1]LISTA ETIQUETAS'!D:D,"",0)</f>
        <v>0</v>
      </c>
      <c r="Q113" s="2">
        <f>_xlfn.XLOOKUP($A113,'[1]LISTA ETIQUETAS'!$O:$O,'[1]LISTA ETIQUETAS'!E:E,"",0)</f>
        <v>0</v>
      </c>
      <c r="R113" s="2">
        <f>_xlfn.XLOOKUP($A113,'[1]LISTA ETIQUETAS'!$O:$O,'[1]LISTA ETIQUETAS'!F:F,"",0)</f>
        <v>0</v>
      </c>
      <c r="S113" s="2">
        <f>_xlfn.XLOOKUP($A113,'[1]LISTA ETIQUETAS'!$O:$O,'[1]LISTA ETIQUETAS'!H:H,"",0)</f>
        <v>1</v>
      </c>
      <c r="T113" s="9">
        <f t="shared" si="5"/>
        <v>1</v>
      </c>
      <c r="U113" s="10" t="s">
        <v>628</v>
      </c>
    </row>
    <row r="114" spans="1:21" x14ac:dyDescent="0.25">
      <c r="A114" s="5">
        <v>334184</v>
      </c>
      <c r="B114" t="str">
        <f>IFERROR((VLOOKUP(A114,'[1]LISTA ETIQUETAS'!O:X,3,0)),"PRODUTO SEM ESTOQUE")</f>
        <v>EST MODULO S/BRACO CURVO ARAGON (MTZ CAPUCC) D4140</v>
      </c>
      <c r="C114" s="10" t="s">
        <v>13</v>
      </c>
      <c r="D114" s="10" t="s">
        <v>106</v>
      </c>
      <c r="E114" s="11">
        <f>IF(VLOOKUP(A114,'[1]LISTA ETIQUETAS'!O:W,4,0)="",(VLOOKUP(A114,'[1]LISTA ETIQUETAS'!O:W,6,0)),(VLOOKUP(A114,'[1]LISTA ETIQUETAS'!O:W,4,0)))</f>
        <v>2.1</v>
      </c>
      <c r="F114" s="11">
        <f>IF(VLOOKUP(A114,'[1]LISTA ETIQUETAS'!O:W,5,0)="",(VLOOKUP(A114,'[1]LISTA ETIQUETAS'!O:W,7,0)),(VLOOKUP(A114,'[1]LISTA ETIQUETAS'!O:W,5,0)))</f>
        <v>1.4</v>
      </c>
      <c r="G114" s="11">
        <f>IFERROR((VLOOKUP(A114,'[1]LISTA ETIQUETAS'!O:X,8,0)),"")</f>
        <v>0.92</v>
      </c>
      <c r="H114" s="11">
        <f>IFERROR((VLOOKUP(A114,'[1]LISTA ETIQUETAS'!O:X,9,0)),"")</f>
        <v>0</v>
      </c>
      <c r="I114" s="12">
        <f>IFERROR((VLOOKUP(A114,'[1]LISTA ETIQUETAS'!O:Y,11,0)),"")</f>
        <v>69574.19</v>
      </c>
      <c r="J114" s="6">
        <v>0</v>
      </c>
      <c r="K114" s="12">
        <f t="shared" si="3"/>
        <v>69574.19</v>
      </c>
      <c r="L114" s="7" t="str">
        <f>IF(VLOOKUP(A114,'[1]LISTA ETIQUETAS'!O:AB,14,0)="","",(VLOOKUP(A114,'[1]LISTA ETIQUETAS'!O:AB,14,0)))</f>
        <v>DP</v>
      </c>
      <c r="M114" s="8" t="s">
        <v>107</v>
      </c>
      <c r="N114" s="9" t="str">
        <f t="shared" si="4"/>
        <v>334183 | 334182 | 334184</v>
      </c>
      <c r="O114" s="2">
        <f>_xlfn.XLOOKUP($A114,'[1]LISTA ETIQUETAS'!$O:$O,'[1]LISTA ETIQUETAS'!C:C,"",0)</f>
        <v>0</v>
      </c>
      <c r="P114" s="2">
        <f>_xlfn.XLOOKUP($A114,'[1]LISTA ETIQUETAS'!$O:$O,'[1]LISTA ETIQUETAS'!D:D,"",0)</f>
        <v>0</v>
      </c>
      <c r="Q114" s="2">
        <f>_xlfn.XLOOKUP($A114,'[1]LISTA ETIQUETAS'!$O:$O,'[1]LISTA ETIQUETAS'!E:E,"",0)</f>
        <v>0</v>
      </c>
      <c r="R114" s="2">
        <f>_xlfn.XLOOKUP($A114,'[1]LISTA ETIQUETAS'!$O:$O,'[1]LISTA ETIQUETAS'!F:F,"",0)</f>
        <v>0</v>
      </c>
      <c r="S114" s="2">
        <f>_xlfn.XLOOKUP($A114,'[1]LISTA ETIQUETAS'!$O:$O,'[1]LISTA ETIQUETAS'!H:H,"",0)</f>
        <v>1</v>
      </c>
      <c r="T114" s="9">
        <f t="shared" si="5"/>
        <v>1</v>
      </c>
      <c r="U114" s="10" t="s">
        <v>628</v>
      </c>
    </row>
    <row r="115" spans="1:21" x14ac:dyDescent="0.25">
      <c r="A115" s="5">
        <v>270800</v>
      </c>
      <c r="B115" t="str">
        <f>IFERROR((VLOOKUP(A115,'[1]LISTA ETIQUETAS'!O:X,3,0)),"PRODUTO SEM ESTOQUE")</f>
        <v>EST MODULO CHAISE ENC VIRADO NEW CHATEAU (MTX PT) E5123</v>
      </c>
      <c r="C115" s="10" t="s">
        <v>13</v>
      </c>
      <c r="D115" s="10" t="s">
        <v>62</v>
      </c>
      <c r="E115" s="11">
        <f>IF(VLOOKUP(A115,'[1]LISTA ETIQUETAS'!O:W,4,0)="",(VLOOKUP(A115,'[1]LISTA ETIQUETAS'!O:W,6,0)),(VLOOKUP(A115,'[1]LISTA ETIQUETAS'!O:W,4,0)))</f>
        <v>1.26</v>
      </c>
      <c r="F115" s="11">
        <f>IF(VLOOKUP(A115,'[1]LISTA ETIQUETAS'!O:W,5,0)="",(VLOOKUP(A115,'[1]LISTA ETIQUETAS'!O:W,7,0)),(VLOOKUP(A115,'[1]LISTA ETIQUETAS'!O:W,5,0)))</f>
        <v>2.4500000000000002</v>
      </c>
      <c r="G115" s="11">
        <f>IFERROR((VLOOKUP(A115,'[1]LISTA ETIQUETAS'!O:X,8,0)),"")</f>
        <v>0.8</v>
      </c>
      <c r="H115" s="11">
        <f>IFERROR((VLOOKUP(A115,'[1]LISTA ETIQUETAS'!O:X,9,0)),"")</f>
        <v>0</v>
      </c>
      <c r="I115" s="12">
        <f>IFERROR((VLOOKUP(A115,'[1]LISTA ETIQUETAS'!O:Y,11,0)),"")</f>
        <v>56919.16</v>
      </c>
      <c r="J115" s="6">
        <v>0</v>
      </c>
      <c r="K115" s="12">
        <f t="shared" si="3"/>
        <v>56919.16</v>
      </c>
      <c r="L115" s="7" t="str">
        <f>IF(VLOOKUP(A115,'[1]LISTA ETIQUETAS'!O:AB,14,0)="","",(VLOOKUP(A115,'[1]LISTA ETIQUETAS'!O:AB,14,0)))</f>
        <v>DC</v>
      </c>
      <c r="M115" s="8" t="s">
        <v>108</v>
      </c>
      <c r="N115" s="9" t="str">
        <f t="shared" si="4"/>
        <v>270800 | 270794</v>
      </c>
      <c r="O115" s="2">
        <f>_xlfn.XLOOKUP($A115,'[1]LISTA ETIQUETAS'!$O:$O,'[1]LISTA ETIQUETAS'!C:C,"",0)</f>
        <v>0</v>
      </c>
      <c r="P115" s="2">
        <f>_xlfn.XLOOKUP($A115,'[1]LISTA ETIQUETAS'!$O:$O,'[1]LISTA ETIQUETAS'!D:D,"",0)</f>
        <v>0</v>
      </c>
      <c r="Q115" s="2">
        <f>_xlfn.XLOOKUP($A115,'[1]LISTA ETIQUETAS'!$O:$O,'[1]LISTA ETIQUETAS'!E:E,"",0)</f>
        <v>0</v>
      </c>
      <c r="R115" s="2">
        <f>_xlfn.XLOOKUP($A115,'[1]LISTA ETIQUETAS'!$O:$O,'[1]LISTA ETIQUETAS'!F:F,"",0)</f>
        <v>0</v>
      </c>
      <c r="S115" s="2">
        <f>_xlfn.XLOOKUP($A115,'[1]LISTA ETIQUETAS'!$O:$O,'[1]LISTA ETIQUETAS'!H:H,"",0)</f>
        <v>1</v>
      </c>
      <c r="T115" s="9">
        <f t="shared" si="5"/>
        <v>1</v>
      </c>
      <c r="U115" s="10" t="s">
        <v>628</v>
      </c>
    </row>
    <row r="116" spans="1:21" x14ac:dyDescent="0.25">
      <c r="A116" s="5">
        <v>270794</v>
      </c>
      <c r="B116" t="str">
        <f>IFERROR((VLOOKUP(A116,'[1]LISTA ETIQUETAS'!O:X,3,0)),"PRODUTO SEM ESTOQUE")</f>
        <v>EST MODULO BRACO ESQ NEW CHATEAU (2AS) (MTX PT) E5123</v>
      </c>
      <c r="C116" s="10" t="s">
        <v>13</v>
      </c>
      <c r="D116" s="10" t="s">
        <v>62</v>
      </c>
      <c r="E116" s="11">
        <f>IF(VLOOKUP(A116,'[1]LISTA ETIQUETAS'!O:W,4,0)="",(VLOOKUP(A116,'[1]LISTA ETIQUETAS'!O:W,6,0)),(VLOOKUP(A116,'[1]LISTA ETIQUETAS'!O:W,4,0)))</f>
        <v>2.31</v>
      </c>
      <c r="F116" s="11">
        <f>IF(VLOOKUP(A116,'[1]LISTA ETIQUETAS'!O:W,5,0)="",(VLOOKUP(A116,'[1]LISTA ETIQUETAS'!O:W,7,0)),(VLOOKUP(A116,'[1]LISTA ETIQUETAS'!O:W,5,0)))</f>
        <v>0.96</v>
      </c>
      <c r="G116" s="11">
        <f>IFERROR((VLOOKUP(A116,'[1]LISTA ETIQUETAS'!O:X,8,0)),"")</f>
        <v>0.8</v>
      </c>
      <c r="H116" s="11">
        <f>IFERROR((VLOOKUP(A116,'[1]LISTA ETIQUETAS'!O:X,9,0)),"")</f>
        <v>0</v>
      </c>
      <c r="I116" s="12">
        <f>IFERROR((VLOOKUP(A116,'[1]LISTA ETIQUETAS'!O:Y,11,0)),"")</f>
        <v>56919.16</v>
      </c>
      <c r="J116" s="6">
        <v>0</v>
      </c>
      <c r="K116" s="12">
        <f t="shared" si="3"/>
        <v>56919.16</v>
      </c>
      <c r="L116" s="7" t="str">
        <f>IF(VLOOKUP(A116,'[1]LISTA ETIQUETAS'!O:AB,14,0)="","",(VLOOKUP(A116,'[1]LISTA ETIQUETAS'!O:AB,14,0)))</f>
        <v>DC</v>
      </c>
      <c r="M116" s="8" t="s">
        <v>108</v>
      </c>
      <c r="N116" s="9" t="str">
        <f t="shared" si="4"/>
        <v>270800 | 270794</v>
      </c>
      <c r="O116" s="2">
        <f>_xlfn.XLOOKUP($A116,'[1]LISTA ETIQUETAS'!$O:$O,'[1]LISTA ETIQUETAS'!C:C,"",0)</f>
        <v>0</v>
      </c>
      <c r="P116" s="2">
        <f>_xlfn.XLOOKUP($A116,'[1]LISTA ETIQUETAS'!$O:$O,'[1]LISTA ETIQUETAS'!D:D,"",0)</f>
        <v>0</v>
      </c>
      <c r="Q116" s="2">
        <f>_xlfn.XLOOKUP($A116,'[1]LISTA ETIQUETAS'!$O:$O,'[1]LISTA ETIQUETAS'!E:E,"",0)</f>
        <v>0</v>
      </c>
      <c r="R116" s="2">
        <f>_xlfn.XLOOKUP($A116,'[1]LISTA ETIQUETAS'!$O:$O,'[1]LISTA ETIQUETAS'!F:F,"",0)</f>
        <v>0</v>
      </c>
      <c r="S116" s="2">
        <f>_xlfn.XLOOKUP($A116,'[1]LISTA ETIQUETAS'!$O:$O,'[1]LISTA ETIQUETAS'!H:H,"",0)</f>
        <v>1</v>
      </c>
      <c r="T116" s="9">
        <f t="shared" si="5"/>
        <v>1</v>
      </c>
      <c r="U116" s="10" t="s">
        <v>628</v>
      </c>
    </row>
    <row r="117" spans="1:21" x14ac:dyDescent="0.25">
      <c r="A117" s="5">
        <v>238164</v>
      </c>
      <c r="B117" t="str">
        <f>IFERROR((VLOOKUP(A117,'[1]LISTA ETIQUETAS'!O:X,3,0)),"PRODUTO SEM ESTOQUE")</f>
        <v>EST BASE JANTAR GRAZ (MAD B LOURO ESPECIAL) (INOX ENV)</v>
      </c>
      <c r="C117" s="10" t="s">
        <v>52</v>
      </c>
      <c r="D117" s="10" t="s">
        <v>109</v>
      </c>
      <c r="E117" s="11">
        <f>IF(VLOOKUP(A117,'[1]LISTA ETIQUETAS'!O:W,4,0)="",(VLOOKUP(A117,'[1]LISTA ETIQUETAS'!O:W,6,0)),(VLOOKUP(A117,'[1]LISTA ETIQUETAS'!O:W,4,0)))</f>
        <v>2.5499999999999998</v>
      </c>
      <c r="F117" s="11">
        <f>IF(VLOOKUP(A117,'[1]LISTA ETIQUETAS'!O:W,5,0)="",(VLOOKUP(A117,'[1]LISTA ETIQUETAS'!O:W,7,0)),(VLOOKUP(A117,'[1]LISTA ETIQUETAS'!O:W,5,0)))</f>
        <v>1</v>
      </c>
      <c r="G117" s="11">
        <f>IFERROR((VLOOKUP(A117,'[1]LISTA ETIQUETAS'!O:X,8,0)),"")</f>
        <v>0.74</v>
      </c>
      <c r="H117" s="11">
        <f>IFERROR((VLOOKUP(A117,'[1]LISTA ETIQUETAS'!O:X,9,0)),"")</f>
        <v>0</v>
      </c>
      <c r="I117" s="12">
        <f>IFERROR((VLOOKUP(A117,'[1]LISTA ETIQUETAS'!O:Y,11,0)),"")</f>
        <v>62590.906399999993</v>
      </c>
      <c r="J117" s="6">
        <v>0</v>
      </c>
      <c r="K117" s="12">
        <f t="shared" si="3"/>
        <v>62590.906399999993</v>
      </c>
      <c r="L117" s="7" t="str">
        <f>IF(VLOOKUP(A117,'[1]LISTA ETIQUETAS'!O:AB,14,0)="","",(VLOOKUP(A117,'[1]LISTA ETIQUETAS'!O:AB,14,0)))</f>
        <v>DA</v>
      </c>
      <c r="M117" s="8">
        <v>238164</v>
      </c>
      <c r="N117" s="9">
        <f t="shared" si="4"/>
        <v>238164</v>
      </c>
      <c r="O117" s="2">
        <f>_xlfn.XLOOKUP($A117,'[1]LISTA ETIQUETAS'!$O:$O,'[1]LISTA ETIQUETAS'!C:C,"",0)</f>
        <v>1</v>
      </c>
      <c r="P117" s="2">
        <f>_xlfn.XLOOKUP($A117,'[1]LISTA ETIQUETAS'!$O:$O,'[1]LISTA ETIQUETAS'!D:D,"",0)</f>
        <v>0</v>
      </c>
      <c r="Q117" s="2">
        <f>_xlfn.XLOOKUP($A117,'[1]LISTA ETIQUETAS'!$O:$O,'[1]LISTA ETIQUETAS'!E:E,"",0)</f>
        <v>0</v>
      </c>
      <c r="R117" s="2">
        <f>_xlfn.XLOOKUP($A117,'[1]LISTA ETIQUETAS'!$O:$O,'[1]LISTA ETIQUETAS'!F:F,"",0)</f>
        <v>0</v>
      </c>
      <c r="S117" s="2">
        <f>_xlfn.XLOOKUP($A117,'[1]LISTA ETIQUETAS'!$O:$O,'[1]LISTA ETIQUETAS'!H:H,"",0)</f>
        <v>2</v>
      </c>
      <c r="T117" s="9">
        <f t="shared" si="5"/>
        <v>3</v>
      </c>
      <c r="U117" s="10" t="s">
        <v>628</v>
      </c>
    </row>
    <row r="118" spans="1:21" x14ac:dyDescent="0.25">
      <c r="A118" s="5">
        <v>322235</v>
      </c>
      <c r="B118" t="str">
        <f>IFERROR((VLOOKUP(A118,'[1]LISTA ETIQUETAS'!O:X,3,0)),"PRODUTO SEM ESTOQUE")</f>
        <v>EST ACESSORIO MESA DIXON (METAL/COURO CAMEL)</v>
      </c>
      <c r="C118" s="10" t="s">
        <v>13</v>
      </c>
      <c r="D118" s="10" t="s">
        <v>28</v>
      </c>
      <c r="E118" s="11">
        <f>IF(VLOOKUP(A118,'[1]LISTA ETIQUETAS'!O:W,4,0)="",(VLOOKUP(A118,'[1]LISTA ETIQUETAS'!O:W,6,0)),(VLOOKUP(A118,'[1]LISTA ETIQUETAS'!O:W,4,0)))</f>
        <v>0</v>
      </c>
      <c r="F118" s="11">
        <f>IF(VLOOKUP(A118,'[1]LISTA ETIQUETAS'!O:W,5,0)="",(VLOOKUP(A118,'[1]LISTA ETIQUETAS'!O:W,7,0)),(VLOOKUP(A118,'[1]LISTA ETIQUETAS'!O:W,5,0)))</f>
        <v>0</v>
      </c>
      <c r="G118" s="11">
        <f>IFERROR((VLOOKUP(A118,'[1]LISTA ETIQUETAS'!O:X,8,0)),"")</f>
        <v>0</v>
      </c>
      <c r="H118" s="11">
        <f>IFERROR((VLOOKUP(A118,'[1]LISTA ETIQUETAS'!O:X,9,0)),"")</f>
        <v>0</v>
      </c>
      <c r="I118" s="12">
        <f>IFERROR((VLOOKUP(A118,'[1]LISTA ETIQUETAS'!O:Y,11,0)),"")</f>
        <v>58146.820000000007</v>
      </c>
      <c r="J118" s="6">
        <v>0</v>
      </c>
      <c r="K118" s="12">
        <f t="shared" si="3"/>
        <v>58146.820000000007</v>
      </c>
      <c r="L118" s="7" t="str">
        <f>IF(VLOOKUP(A118,'[1]LISTA ETIQUETAS'!O:AB,14,0)="","",(VLOOKUP(A118,'[1]LISTA ETIQUETAS'!O:AB,14,0)))</f>
        <v>CY</v>
      </c>
      <c r="M118" s="8" t="s">
        <v>110</v>
      </c>
      <c r="N118" s="9" t="str">
        <f t="shared" si="4"/>
        <v>322235 | 206601 | 206600 | 206602</v>
      </c>
      <c r="O118" s="2">
        <f>_xlfn.XLOOKUP($A118,'[1]LISTA ETIQUETAS'!$O:$O,'[1]LISTA ETIQUETAS'!C:C,"",0)</f>
        <v>0</v>
      </c>
      <c r="P118" s="2">
        <f>_xlfn.XLOOKUP($A118,'[1]LISTA ETIQUETAS'!$O:$O,'[1]LISTA ETIQUETAS'!D:D,"",0)</f>
        <v>0</v>
      </c>
      <c r="Q118" s="2">
        <f>_xlfn.XLOOKUP($A118,'[1]LISTA ETIQUETAS'!$O:$O,'[1]LISTA ETIQUETAS'!E:E,"",0)</f>
        <v>0</v>
      </c>
      <c r="R118" s="2">
        <f>_xlfn.XLOOKUP($A118,'[1]LISTA ETIQUETAS'!$O:$O,'[1]LISTA ETIQUETAS'!F:F,"",0)</f>
        <v>0</v>
      </c>
      <c r="S118" s="2">
        <f>_xlfn.XLOOKUP($A118,'[1]LISTA ETIQUETAS'!$O:$O,'[1]LISTA ETIQUETAS'!H:H,"",0)</f>
        <v>1</v>
      </c>
      <c r="T118" s="9">
        <f t="shared" si="5"/>
        <v>1</v>
      </c>
      <c r="U118" s="10" t="s">
        <v>628</v>
      </c>
    </row>
    <row r="119" spans="1:21" x14ac:dyDescent="0.25">
      <c r="A119" s="5">
        <v>206601</v>
      </c>
      <c r="B119" t="str">
        <f>IFERROR((VLOOKUP(A119,'[1]LISTA ETIQUETAS'!O:X,3,0)),"PRODUTO SEM ESTOQUE")</f>
        <v>EST MODULO S/BRACO C/AVANCO DIREITO DIXON FX C3001/PES PRETO</v>
      </c>
      <c r="C119" s="10" t="s">
        <v>13</v>
      </c>
      <c r="D119" s="10" t="s">
        <v>30</v>
      </c>
      <c r="E119" s="11">
        <f>IF(VLOOKUP(A119,'[1]LISTA ETIQUETAS'!O:W,4,0)="",(VLOOKUP(A119,'[1]LISTA ETIQUETAS'!O:W,6,0)),(VLOOKUP(A119,'[1]LISTA ETIQUETAS'!O:W,4,0)))</f>
        <v>1.65</v>
      </c>
      <c r="F119" s="11">
        <f>IF(VLOOKUP(A119,'[1]LISTA ETIQUETAS'!O:W,5,0)="",(VLOOKUP(A119,'[1]LISTA ETIQUETAS'!O:W,7,0)),(VLOOKUP(A119,'[1]LISTA ETIQUETAS'!O:W,5,0)))</f>
        <v>1.02</v>
      </c>
      <c r="G119" s="11">
        <f>IFERROR((VLOOKUP(A119,'[1]LISTA ETIQUETAS'!O:X,8,0)),"")</f>
        <v>0.8</v>
      </c>
      <c r="H119" s="11">
        <f>IFERROR((VLOOKUP(A119,'[1]LISTA ETIQUETAS'!O:X,9,0)),"")</f>
        <v>0</v>
      </c>
      <c r="I119" s="12">
        <f>IFERROR((VLOOKUP(A119,'[1]LISTA ETIQUETAS'!O:Y,11,0)),"")</f>
        <v>58146.820000000007</v>
      </c>
      <c r="J119" s="6">
        <v>0</v>
      </c>
      <c r="K119" s="12">
        <f t="shared" si="3"/>
        <v>58146.820000000007</v>
      </c>
      <c r="L119" s="7" t="str">
        <f>IF(VLOOKUP(A119,'[1]LISTA ETIQUETAS'!O:AB,14,0)="","",(VLOOKUP(A119,'[1]LISTA ETIQUETAS'!O:AB,14,0)))</f>
        <v>CY</v>
      </c>
      <c r="M119" s="8" t="s">
        <v>110</v>
      </c>
      <c r="N119" s="9" t="str">
        <f t="shared" si="4"/>
        <v>322235 | 206601 | 206600 | 206602</v>
      </c>
      <c r="O119" s="2">
        <f>_xlfn.XLOOKUP($A119,'[1]LISTA ETIQUETAS'!$O:$O,'[1]LISTA ETIQUETAS'!C:C,"",0)</f>
        <v>0</v>
      </c>
      <c r="P119" s="2">
        <f>_xlfn.XLOOKUP($A119,'[1]LISTA ETIQUETAS'!$O:$O,'[1]LISTA ETIQUETAS'!D:D,"",0)</f>
        <v>0</v>
      </c>
      <c r="Q119" s="2">
        <f>_xlfn.XLOOKUP($A119,'[1]LISTA ETIQUETAS'!$O:$O,'[1]LISTA ETIQUETAS'!E:E,"",0)</f>
        <v>0</v>
      </c>
      <c r="R119" s="2">
        <f>_xlfn.XLOOKUP($A119,'[1]LISTA ETIQUETAS'!$O:$O,'[1]LISTA ETIQUETAS'!F:F,"",0)</f>
        <v>0</v>
      </c>
      <c r="S119" s="2">
        <f>_xlfn.XLOOKUP($A119,'[1]LISTA ETIQUETAS'!$O:$O,'[1]LISTA ETIQUETAS'!H:H,"",0)</f>
        <v>1</v>
      </c>
      <c r="T119" s="9">
        <f t="shared" si="5"/>
        <v>1</v>
      </c>
      <c r="U119" s="10" t="s">
        <v>628</v>
      </c>
    </row>
    <row r="120" spans="1:21" x14ac:dyDescent="0.25">
      <c r="A120" s="5">
        <v>206600</v>
      </c>
      <c r="B120" t="str">
        <f>IFERROR((VLOOKUP(A120,'[1]LISTA ETIQUETAS'!O:X,3,0)),"PRODUTO SEM ESTOQUE")</f>
        <v>EST MODULO BRACO ESQUERDO DIXON FX C3001/PES PRETO</v>
      </c>
      <c r="C120" s="10" t="s">
        <v>13</v>
      </c>
      <c r="D120" s="10" t="s">
        <v>30</v>
      </c>
      <c r="E120" s="11">
        <f>IF(VLOOKUP(A120,'[1]LISTA ETIQUETAS'!O:W,4,0)="",(VLOOKUP(A120,'[1]LISTA ETIQUETAS'!O:W,6,0)),(VLOOKUP(A120,'[1]LISTA ETIQUETAS'!O:W,4,0)))</f>
        <v>2.75</v>
      </c>
      <c r="F120" s="11">
        <f>IF(VLOOKUP(A120,'[1]LISTA ETIQUETAS'!O:W,5,0)="",(VLOOKUP(A120,'[1]LISTA ETIQUETAS'!O:W,7,0)),(VLOOKUP(A120,'[1]LISTA ETIQUETAS'!O:W,5,0)))</f>
        <v>1.02</v>
      </c>
      <c r="G120" s="11">
        <f>IFERROR((VLOOKUP(A120,'[1]LISTA ETIQUETAS'!O:X,8,0)),"")</f>
        <v>0.8</v>
      </c>
      <c r="H120" s="11">
        <f>IFERROR((VLOOKUP(A120,'[1]LISTA ETIQUETAS'!O:X,9,0)),"")</f>
        <v>0</v>
      </c>
      <c r="I120" s="12">
        <f>IFERROR((VLOOKUP(A120,'[1]LISTA ETIQUETAS'!O:Y,11,0)),"")</f>
        <v>58146.820000000007</v>
      </c>
      <c r="J120" s="6">
        <v>0</v>
      </c>
      <c r="K120" s="12">
        <f t="shared" si="3"/>
        <v>58146.820000000007</v>
      </c>
      <c r="L120" s="7" t="str">
        <f>IF(VLOOKUP(A120,'[1]LISTA ETIQUETAS'!O:AB,14,0)="","",(VLOOKUP(A120,'[1]LISTA ETIQUETAS'!O:AB,14,0)))</f>
        <v>CY</v>
      </c>
      <c r="M120" s="8" t="s">
        <v>110</v>
      </c>
      <c r="N120" s="9" t="str">
        <f t="shared" si="4"/>
        <v>322235 | 206601 | 206600 | 206602</v>
      </c>
      <c r="O120" s="2">
        <f>_xlfn.XLOOKUP($A120,'[1]LISTA ETIQUETAS'!$O:$O,'[1]LISTA ETIQUETAS'!C:C,"",0)</f>
        <v>0</v>
      </c>
      <c r="P120" s="2">
        <f>_xlfn.XLOOKUP($A120,'[1]LISTA ETIQUETAS'!$O:$O,'[1]LISTA ETIQUETAS'!D:D,"",0)</f>
        <v>0</v>
      </c>
      <c r="Q120" s="2">
        <f>_xlfn.XLOOKUP($A120,'[1]LISTA ETIQUETAS'!$O:$O,'[1]LISTA ETIQUETAS'!E:E,"",0)</f>
        <v>0</v>
      </c>
      <c r="R120" s="2">
        <f>_xlfn.XLOOKUP($A120,'[1]LISTA ETIQUETAS'!$O:$O,'[1]LISTA ETIQUETAS'!F:F,"",0)</f>
        <v>0</v>
      </c>
      <c r="S120" s="2">
        <f>_xlfn.XLOOKUP($A120,'[1]LISTA ETIQUETAS'!$O:$O,'[1]LISTA ETIQUETAS'!H:H,"",0)</f>
        <v>1</v>
      </c>
      <c r="T120" s="9">
        <f t="shared" si="5"/>
        <v>1</v>
      </c>
      <c r="U120" s="10" t="s">
        <v>628</v>
      </c>
    </row>
    <row r="121" spans="1:21" x14ac:dyDescent="0.25">
      <c r="A121" s="5">
        <v>206602</v>
      </c>
      <c r="B121" t="str">
        <f>IFERROR((VLOOKUP(A121,'[1]LISTA ETIQUETAS'!O:X,3,0)),"PRODUTO SEM ESTOQUE")</f>
        <v>EST MODULO PUFF DIXON FX C3001/PES PRETO</v>
      </c>
      <c r="C121" s="10" t="s">
        <v>13</v>
      </c>
      <c r="D121" s="10" t="s">
        <v>30</v>
      </c>
      <c r="E121" s="11">
        <f>IF(VLOOKUP(A121,'[1]LISTA ETIQUETAS'!O:W,4,0)="",(VLOOKUP(A121,'[1]LISTA ETIQUETAS'!O:W,6,0)),(VLOOKUP(A121,'[1]LISTA ETIQUETAS'!O:W,4,0)))</f>
        <v>1.01</v>
      </c>
      <c r="F121" s="11">
        <f>IF(VLOOKUP(A121,'[1]LISTA ETIQUETAS'!O:W,5,0)="",(VLOOKUP(A121,'[1]LISTA ETIQUETAS'!O:W,7,0)),(VLOOKUP(A121,'[1]LISTA ETIQUETAS'!O:W,5,0)))</f>
        <v>1.01</v>
      </c>
      <c r="G121" s="11">
        <f>IFERROR((VLOOKUP(A121,'[1]LISTA ETIQUETAS'!O:X,8,0)),"")</f>
        <v>0.44</v>
      </c>
      <c r="H121" s="11">
        <f>IFERROR((VLOOKUP(A121,'[1]LISTA ETIQUETAS'!O:X,9,0)),"")</f>
        <v>0</v>
      </c>
      <c r="I121" s="12">
        <f>IFERROR((VLOOKUP(A121,'[1]LISTA ETIQUETAS'!O:Y,11,0)),"")</f>
        <v>58146.820000000007</v>
      </c>
      <c r="J121" s="6">
        <v>0</v>
      </c>
      <c r="K121" s="12">
        <f t="shared" si="3"/>
        <v>58146.820000000007</v>
      </c>
      <c r="L121" s="7" t="str">
        <f>IF(VLOOKUP(A121,'[1]LISTA ETIQUETAS'!O:AB,14,0)="","",(VLOOKUP(A121,'[1]LISTA ETIQUETAS'!O:AB,14,0)))</f>
        <v>CY</v>
      </c>
      <c r="M121" s="8" t="s">
        <v>110</v>
      </c>
      <c r="N121" s="9" t="str">
        <f t="shared" si="4"/>
        <v>322235 | 206601 | 206600 | 206602</v>
      </c>
      <c r="O121" s="2">
        <f>_xlfn.XLOOKUP($A121,'[1]LISTA ETIQUETAS'!$O:$O,'[1]LISTA ETIQUETAS'!C:C,"",0)</f>
        <v>0</v>
      </c>
      <c r="P121" s="2">
        <f>_xlfn.XLOOKUP($A121,'[1]LISTA ETIQUETAS'!$O:$O,'[1]LISTA ETIQUETAS'!D:D,"",0)</f>
        <v>0</v>
      </c>
      <c r="Q121" s="2">
        <f>_xlfn.XLOOKUP($A121,'[1]LISTA ETIQUETAS'!$O:$O,'[1]LISTA ETIQUETAS'!E:E,"",0)</f>
        <v>0</v>
      </c>
      <c r="R121" s="2">
        <f>_xlfn.XLOOKUP($A121,'[1]LISTA ETIQUETAS'!$O:$O,'[1]LISTA ETIQUETAS'!F:F,"",0)</f>
        <v>0</v>
      </c>
      <c r="S121" s="2">
        <f>_xlfn.XLOOKUP($A121,'[1]LISTA ETIQUETAS'!$O:$O,'[1]LISTA ETIQUETAS'!H:H,"",0)</f>
        <v>1</v>
      </c>
      <c r="T121" s="9">
        <f t="shared" si="5"/>
        <v>1</v>
      </c>
      <c r="U121" s="10" t="s">
        <v>628</v>
      </c>
    </row>
    <row r="122" spans="1:21" x14ac:dyDescent="0.25">
      <c r="A122" s="5">
        <v>206603</v>
      </c>
      <c r="B122" t="str">
        <f>IFERROR((VLOOKUP(A122,'[1]LISTA ETIQUETAS'!O:X,3,0)),"PRODUTO SEM ESTOQUE")</f>
        <v>EST ACESSORIO MESA DIXON (METAL/COURO CAMEL)</v>
      </c>
      <c r="C122" s="10" t="s">
        <v>13</v>
      </c>
      <c r="D122" s="10" t="s">
        <v>28</v>
      </c>
      <c r="E122" s="11">
        <f>IF(VLOOKUP(A122,'[1]LISTA ETIQUETAS'!O:W,4,0)="",(VLOOKUP(A122,'[1]LISTA ETIQUETAS'!O:W,6,0)),(VLOOKUP(A122,'[1]LISTA ETIQUETAS'!O:W,4,0)))</f>
        <v>0</v>
      </c>
      <c r="F122" s="11">
        <f>IF(VLOOKUP(A122,'[1]LISTA ETIQUETAS'!O:W,5,0)="",(VLOOKUP(A122,'[1]LISTA ETIQUETAS'!O:W,7,0)),(VLOOKUP(A122,'[1]LISTA ETIQUETAS'!O:W,5,0)))</f>
        <v>0</v>
      </c>
      <c r="G122" s="11">
        <f>IFERROR((VLOOKUP(A122,'[1]LISTA ETIQUETAS'!O:X,8,0)),"")</f>
        <v>0</v>
      </c>
      <c r="H122" s="11">
        <f>IFERROR((VLOOKUP(A122,'[1]LISTA ETIQUETAS'!O:X,9,0)),"")</f>
        <v>0</v>
      </c>
      <c r="I122" s="12">
        <f>IFERROR((VLOOKUP(A122,'[1]LISTA ETIQUETAS'!O:Y,11,0)),"")</f>
        <v>58146.82</v>
      </c>
      <c r="J122" s="6">
        <v>0</v>
      </c>
      <c r="K122" s="12">
        <f t="shared" si="3"/>
        <v>58146.82</v>
      </c>
      <c r="L122" s="7" t="str">
        <f>IF(VLOOKUP(A122,'[1]LISTA ETIQUETAS'!O:AB,14,0)="","",(VLOOKUP(A122,'[1]LISTA ETIQUETAS'!O:AB,14,0)))</f>
        <v>CS</v>
      </c>
      <c r="M122" s="8" t="s">
        <v>111</v>
      </c>
      <c r="N122" s="9" t="str">
        <f t="shared" si="4"/>
        <v>206603 | 273693 | 273692 | 273691</v>
      </c>
      <c r="O122" s="2">
        <f>_xlfn.XLOOKUP($A122,'[1]LISTA ETIQUETAS'!$O:$O,'[1]LISTA ETIQUETAS'!C:C,"",0)</f>
        <v>0</v>
      </c>
      <c r="P122" s="2">
        <f>_xlfn.XLOOKUP($A122,'[1]LISTA ETIQUETAS'!$O:$O,'[1]LISTA ETIQUETAS'!D:D,"",0)</f>
        <v>0</v>
      </c>
      <c r="Q122" s="2">
        <f>_xlfn.XLOOKUP($A122,'[1]LISTA ETIQUETAS'!$O:$O,'[1]LISTA ETIQUETAS'!E:E,"",0)</f>
        <v>0</v>
      </c>
      <c r="R122" s="2">
        <f>_xlfn.XLOOKUP($A122,'[1]LISTA ETIQUETAS'!$O:$O,'[1]LISTA ETIQUETAS'!F:F,"",0)</f>
        <v>0</v>
      </c>
      <c r="S122" s="2">
        <f>_xlfn.XLOOKUP($A122,'[1]LISTA ETIQUETAS'!$O:$O,'[1]LISTA ETIQUETAS'!H:H,"",0)</f>
        <v>1</v>
      </c>
      <c r="T122" s="9">
        <f t="shared" si="5"/>
        <v>1</v>
      </c>
      <c r="U122" s="10" t="s">
        <v>628</v>
      </c>
    </row>
    <row r="123" spans="1:21" x14ac:dyDescent="0.25">
      <c r="A123" s="5">
        <v>273693</v>
      </c>
      <c r="B123" t="str">
        <f>IFERROR((VLOOKUP(A123,'[1]LISTA ETIQUETAS'!O:X,3,0)),"PRODUTO SEM ESTOQUE")</f>
        <v>EST MODULO PUFF DIXON FX C3016/PES PRETO</v>
      </c>
      <c r="C123" s="10" t="s">
        <v>13</v>
      </c>
      <c r="D123" s="10" t="s">
        <v>30</v>
      </c>
      <c r="E123" s="11">
        <f>IF(VLOOKUP(A123,'[1]LISTA ETIQUETAS'!O:W,4,0)="",(VLOOKUP(A123,'[1]LISTA ETIQUETAS'!O:W,6,0)),(VLOOKUP(A123,'[1]LISTA ETIQUETAS'!O:W,4,0)))</f>
        <v>1.01</v>
      </c>
      <c r="F123" s="11">
        <f>IF(VLOOKUP(A123,'[1]LISTA ETIQUETAS'!O:W,5,0)="",(VLOOKUP(A123,'[1]LISTA ETIQUETAS'!O:W,7,0)),(VLOOKUP(A123,'[1]LISTA ETIQUETAS'!O:W,5,0)))</f>
        <v>1.01</v>
      </c>
      <c r="G123" s="11">
        <f>IFERROR((VLOOKUP(A123,'[1]LISTA ETIQUETAS'!O:X,8,0)),"")</f>
        <v>0.44</v>
      </c>
      <c r="H123" s="11">
        <f>IFERROR((VLOOKUP(A123,'[1]LISTA ETIQUETAS'!O:X,9,0)),"")</f>
        <v>0</v>
      </c>
      <c r="I123" s="12">
        <f>IFERROR((VLOOKUP(A123,'[1]LISTA ETIQUETAS'!O:Y,11,0)),"")</f>
        <v>58146.82</v>
      </c>
      <c r="J123" s="6">
        <v>0</v>
      </c>
      <c r="K123" s="12">
        <f t="shared" si="3"/>
        <v>58146.82</v>
      </c>
      <c r="L123" s="7" t="str">
        <f>IF(VLOOKUP(A123,'[1]LISTA ETIQUETAS'!O:AB,14,0)="","",(VLOOKUP(A123,'[1]LISTA ETIQUETAS'!O:AB,14,0)))</f>
        <v>CS</v>
      </c>
      <c r="M123" s="8" t="s">
        <v>111</v>
      </c>
      <c r="N123" s="9" t="str">
        <f t="shared" si="4"/>
        <v>206603 | 273693 | 273692 | 273691</v>
      </c>
      <c r="O123" s="2">
        <f>_xlfn.XLOOKUP($A123,'[1]LISTA ETIQUETAS'!$O:$O,'[1]LISTA ETIQUETAS'!C:C,"",0)</f>
        <v>0</v>
      </c>
      <c r="P123" s="2">
        <f>_xlfn.XLOOKUP($A123,'[1]LISTA ETIQUETAS'!$O:$O,'[1]LISTA ETIQUETAS'!D:D,"",0)</f>
        <v>0</v>
      </c>
      <c r="Q123" s="2">
        <f>_xlfn.XLOOKUP($A123,'[1]LISTA ETIQUETAS'!$O:$O,'[1]LISTA ETIQUETAS'!E:E,"",0)</f>
        <v>0</v>
      </c>
      <c r="R123" s="2">
        <f>_xlfn.XLOOKUP($A123,'[1]LISTA ETIQUETAS'!$O:$O,'[1]LISTA ETIQUETAS'!F:F,"",0)</f>
        <v>0</v>
      </c>
      <c r="S123" s="2">
        <f>_xlfn.XLOOKUP($A123,'[1]LISTA ETIQUETAS'!$O:$O,'[1]LISTA ETIQUETAS'!H:H,"",0)</f>
        <v>1</v>
      </c>
      <c r="T123" s="9">
        <f t="shared" si="5"/>
        <v>1</v>
      </c>
      <c r="U123" s="10" t="s">
        <v>628</v>
      </c>
    </row>
    <row r="124" spans="1:21" x14ac:dyDescent="0.25">
      <c r="A124" s="5">
        <v>273692</v>
      </c>
      <c r="B124" t="str">
        <f>IFERROR((VLOOKUP(A124,'[1]LISTA ETIQUETAS'!O:X,3,0)),"PRODUTO SEM ESTOQUE")</f>
        <v>EST MODULO S/BRACO C/AVANCO DIREITO DIXON FX C3016/PES PRETO</v>
      </c>
      <c r="C124" s="10" t="s">
        <v>13</v>
      </c>
      <c r="D124" s="10" t="s">
        <v>30</v>
      </c>
      <c r="E124" s="11">
        <f>IF(VLOOKUP(A124,'[1]LISTA ETIQUETAS'!O:W,4,0)="",(VLOOKUP(A124,'[1]LISTA ETIQUETAS'!O:W,6,0)),(VLOOKUP(A124,'[1]LISTA ETIQUETAS'!O:W,4,0)))</f>
        <v>1.65</v>
      </c>
      <c r="F124" s="11">
        <f>IF(VLOOKUP(A124,'[1]LISTA ETIQUETAS'!O:W,5,0)="",(VLOOKUP(A124,'[1]LISTA ETIQUETAS'!O:W,7,0)),(VLOOKUP(A124,'[1]LISTA ETIQUETAS'!O:W,5,0)))</f>
        <v>1.02</v>
      </c>
      <c r="G124" s="11">
        <f>IFERROR((VLOOKUP(A124,'[1]LISTA ETIQUETAS'!O:X,8,0)),"")</f>
        <v>0.8</v>
      </c>
      <c r="H124" s="11">
        <f>IFERROR((VLOOKUP(A124,'[1]LISTA ETIQUETAS'!O:X,9,0)),"")</f>
        <v>0</v>
      </c>
      <c r="I124" s="12">
        <f>IFERROR((VLOOKUP(A124,'[1]LISTA ETIQUETAS'!O:Y,11,0)),"")</f>
        <v>58146.82</v>
      </c>
      <c r="J124" s="6">
        <v>0</v>
      </c>
      <c r="K124" s="12">
        <f t="shared" si="3"/>
        <v>58146.82</v>
      </c>
      <c r="L124" s="7" t="str">
        <f>IF(VLOOKUP(A124,'[1]LISTA ETIQUETAS'!O:AB,14,0)="","",(VLOOKUP(A124,'[1]LISTA ETIQUETAS'!O:AB,14,0)))</f>
        <v>CS</v>
      </c>
      <c r="M124" s="8" t="s">
        <v>111</v>
      </c>
      <c r="N124" s="9" t="str">
        <f t="shared" si="4"/>
        <v>206603 | 273693 | 273692 | 273691</v>
      </c>
      <c r="O124" s="2">
        <f>_xlfn.XLOOKUP($A124,'[1]LISTA ETIQUETAS'!$O:$O,'[1]LISTA ETIQUETAS'!C:C,"",0)</f>
        <v>0</v>
      </c>
      <c r="P124" s="2">
        <f>_xlfn.XLOOKUP($A124,'[1]LISTA ETIQUETAS'!$O:$O,'[1]LISTA ETIQUETAS'!D:D,"",0)</f>
        <v>0</v>
      </c>
      <c r="Q124" s="2">
        <f>_xlfn.XLOOKUP($A124,'[1]LISTA ETIQUETAS'!$O:$O,'[1]LISTA ETIQUETAS'!E:E,"",0)</f>
        <v>0</v>
      </c>
      <c r="R124" s="2">
        <f>_xlfn.XLOOKUP($A124,'[1]LISTA ETIQUETAS'!$O:$O,'[1]LISTA ETIQUETAS'!F:F,"",0)</f>
        <v>0</v>
      </c>
      <c r="S124" s="2">
        <f>_xlfn.XLOOKUP($A124,'[1]LISTA ETIQUETAS'!$O:$O,'[1]LISTA ETIQUETAS'!H:H,"",0)</f>
        <v>1</v>
      </c>
      <c r="T124" s="9">
        <f t="shared" si="5"/>
        <v>1</v>
      </c>
      <c r="U124" s="10" t="s">
        <v>628</v>
      </c>
    </row>
    <row r="125" spans="1:21" x14ac:dyDescent="0.25">
      <c r="A125" s="5">
        <v>273691</v>
      </c>
      <c r="B125" t="str">
        <f>IFERROR((VLOOKUP(A125,'[1]LISTA ETIQUETAS'!O:X,3,0)),"PRODUTO SEM ESTOQUE")</f>
        <v>EST MODULO BRACO ESQUERDO DIXON FX C3016/PES PRETO</v>
      </c>
      <c r="C125" s="10" t="s">
        <v>13</v>
      </c>
      <c r="D125" s="10" t="s">
        <v>30</v>
      </c>
      <c r="E125" s="11">
        <f>IF(VLOOKUP(A125,'[1]LISTA ETIQUETAS'!O:W,4,0)="",(VLOOKUP(A125,'[1]LISTA ETIQUETAS'!O:W,6,0)),(VLOOKUP(A125,'[1]LISTA ETIQUETAS'!O:W,4,0)))</f>
        <v>2.75</v>
      </c>
      <c r="F125" s="11">
        <f>IF(VLOOKUP(A125,'[1]LISTA ETIQUETAS'!O:W,5,0)="",(VLOOKUP(A125,'[1]LISTA ETIQUETAS'!O:W,7,0)),(VLOOKUP(A125,'[1]LISTA ETIQUETAS'!O:W,5,0)))</f>
        <v>1.02</v>
      </c>
      <c r="G125" s="11">
        <f>IFERROR((VLOOKUP(A125,'[1]LISTA ETIQUETAS'!O:X,8,0)),"")</f>
        <v>0.8</v>
      </c>
      <c r="H125" s="11">
        <f>IFERROR((VLOOKUP(A125,'[1]LISTA ETIQUETAS'!O:X,9,0)),"")</f>
        <v>0</v>
      </c>
      <c r="I125" s="12">
        <f>IFERROR((VLOOKUP(A125,'[1]LISTA ETIQUETAS'!O:Y,11,0)),"")</f>
        <v>58146.82</v>
      </c>
      <c r="J125" s="6">
        <v>0</v>
      </c>
      <c r="K125" s="12">
        <f t="shared" si="3"/>
        <v>58146.82</v>
      </c>
      <c r="L125" s="7" t="str">
        <f>IF(VLOOKUP(A125,'[1]LISTA ETIQUETAS'!O:AB,14,0)="","",(VLOOKUP(A125,'[1]LISTA ETIQUETAS'!O:AB,14,0)))</f>
        <v>CS</v>
      </c>
      <c r="M125" s="8" t="s">
        <v>111</v>
      </c>
      <c r="N125" s="9" t="str">
        <f t="shared" si="4"/>
        <v>206603 | 273693 | 273692 | 273691</v>
      </c>
      <c r="O125" s="2">
        <f>_xlfn.XLOOKUP($A125,'[1]LISTA ETIQUETAS'!$O:$O,'[1]LISTA ETIQUETAS'!C:C,"",0)</f>
        <v>0</v>
      </c>
      <c r="P125" s="2">
        <f>_xlfn.XLOOKUP($A125,'[1]LISTA ETIQUETAS'!$O:$O,'[1]LISTA ETIQUETAS'!D:D,"",0)</f>
        <v>0</v>
      </c>
      <c r="Q125" s="2">
        <f>_xlfn.XLOOKUP($A125,'[1]LISTA ETIQUETAS'!$O:$O,'[1]LISTA ETIQUETAS'!E:E,"",0)</f>
        <v>0</v>
      </c>
      <c r="R125" s="2">
        <f>_xlfn.XLOOKUP($A125,'[1]LISTA ETIQUETAS'!$O:$O,'[1]LISTA ETIQUETAS'!F:F,"",0)</f>
        <v>0</v>
      </c>
      <c r="S125" s="2">
        <f>_xlfn.XLOOKUP($A125,'[1]LISTA ETIQUETAS'!$O:$O,'[1]LISTA ETIQUETAS'!H:H,"",0)</f>
        <v>1</v>
      </c>
      <c r="T125" s="9">
        <f t="shared" si="5"/>
        <v>1</v>
      </c>
      <c r="U125" s="10" t="s">
        <v>628</v>
      </c>
    </row>
    <row r="126" spans="1:21" x14ac:dyDescent="0.25">
      <c r="A126" s="5">
        <v>151718</v>
      </c>
      <c r="B126" t="str">
        <f>IFERROR((VLOOKUP(A126,'[1]LISTA ETIQUETAS'!O:X,3,0)),"PRODUTO SEM ESTOQUE")</f>
        <v>EST APARADOR MAZAS PES/TP LACA H155 BRILHO</v>
      </c>
      <c r="C126" s="10" t="s">
        <v>33</v>
      </c>
      <c r="D126" s="10" t="s">
        <v>112</v>
      </c>
      <c r="E126" s="11">
        <f>IF(VLOOKUP(A126,'[1]LISTA ETIQUETAS'!O:W,4,0)="",(VLOOKUP(A126,'[1]LISTA ETIQUETAS'!O:W,6,0)),(VLOOKUP(A126,'[1]LISTA ETIQUETAS'!O:W,4,0)))</f>
        <v>2</v>
      </c>
      <c r="F126" s="11">
        <f>IF(VLOOKUP(A126,'[1]LISTA ETIQUETAS'!O:W,5,0)="",(VLOOKUP(A126,'[1]LISTA ETIQUETAS'!O:W,7,0)),(VLOOKUP(A126,'[1]LISTA ETIQUETAS'!O:W,5,0)))</f>
        <v>0.5</v>
      </c>
      <c r="G126" s="11">
        <f>IFERROR((VLOOKUP(A126,'[1]LISTA ETIQUETAS'!O:X,8,0)),"")</f>
        <v>0.76</v>
      </c>
      <c r="H126" s="11">
        <f>IFERROR((VLOOKUP(A126,'[1]LISTA ETIQUETAS'!O:X,9,0)),"")</f>
        <v>0</v>
      </c>
      <c r="I126" s="12">
        <f>IFERROR((VLOOKUP(A126,'[1]LISTA ETIQUETAS'!O:Y,11,0)),"")</f>
        <v>21114.501</v>
      </c>
      <c r="J126" s="6">
        <v>0</v>
      </c>
      <c r="K126" s="12">
        <f t="shared" si="3"/>
        <v>21114.501</v>
      </c>
      <c r="L126" s="7" t="str">
        <f>IF(VLOOKUP(A126,'[1]LISTA ETIQUETAS'!O:AB,14,0)="","",(VLOOKUP(A126,'[1]LISTA ETIQUETAS'!O:AB,14,0)))</f>
        <v>CJ</v>
      </c>
      <c r="M126" s="8" t="s">
        <v>113</v>
      </c>
      <c r="N126" s="9" t="str">
        <f t="shared" si="4"/>
        <v>78082 | 151718</v>
      </c>
      <c r="O126" s="2">
        <f>_xlfn.XLOOKUP($A126,'[1]LISTA ETIQUETAS'!$O:$O,'[1]LISTA ETIQUETAS'!C:C,"",0)</f>
        <v>0</v>
      </c>
      <c r="P126" s="2">
        <f>_xlfn.XLOOKUP($A126,'[1]LISTA ETIQUETAS'!$O:$O,'[1]LISTA ETIQUETAS'!D:D,"",0)</f>
        <v>0</v>
      </c>
      <c r="Q126" s="2">
        <f>_xlfn.XLOOKUP($A126,'[1]LISTA ETIQUETAS'!$O:$O,'[1]LISTA ETIQUETAS'!E:E,"",0)</f>
        <v>0</v>
      </c>
      <c r="R126" s="2">
        <f>_xlfn.XLOOKUP($A126,'[1]LISTA ETIQUETAS'!$O:$O,'[1]LISTA ETIQUETAS'!F:F,"",0)</f>
        <v>0</v>
      </c>
      <c r="S126" s="2">
        <f>_xlfn.XLOOKUP($A126,'[1]LISTA ETIQUETAS'!$O:$O,'[1]LISTA ETIQUETAS'!H:H,"",0)</f>
        <v>2</v>
      </c>
      <c r="T126" s="9">
        <f t="shared" si="5"/>
        <v>2</v>
      </c>
      <c r="U126" s="10" t="s">
        <v>628</v>
      </c>
    </row>
    <row r="127" spans="1:21" x14ac:dyDescent="0.25">
      <c r="A127" s="5">
        <v>78082</v>
      </c>
      <c r="B127" t="str">
        <f>IFERROR((VLOOKUP(A127,'[1]LISTA ETIQUETAS'!O:X,3,0)),"PRODUTO SEM ESTOQUE")</f>
        <v>EST TAMPO CRISTAL LAPIDADO (15MM) INCOLOR CANTO RETO</v>
      </c>
      <c r="C127" s="10" t="s">
        <v>114</v>
      </c>
      <c r="D127" s="10" t="s">
        <v>115</v>
      </c>
      <c r="E127" s="11">
        <f>IF(VLOOKUP(A127,'[1]LISTA ETIQUETAS'!O:W,4,0)="",(VLOOKUP(A127,'[1]LISTA ETIQUETAS'!O:W,6,0)),(VLOOKUP(A127,'[1]LISTA ETIQUETAS'!O:W,4,0)))</f>
        <v>2</v>
      </c>
      <c r="F127" s="11">
        <f>IF(VLOOKUP(A127,'[1]LISTA ETIQUETAS'!O:W,5,0)="",(VLOOKUP(A127,'[1]LISTA ETIQUETAS'!O:W,7,0)),(VLOOKUP(A127,'[1]LISTA ETIQUETAS'!O:W,5,0)))</f>
        <v>0.55000000000000004</v>
      </c>
      <c r="G127" s="11">
        <f>IFERROR((VLOOKUP(A127,'[1]LISTA ETIQUETAS'!O:X,8,0)),"")</f>
        <v>0.01</v>
      </c>
      <c r="H127" s="11">
        <f>IFERROR((VLOOKUP(A127,'[1]LISTA ETIQUETAS'!O:X,9,0)),"")</f>
        <v>0</v>
      </c>
      <c r="I127" s="12">
        <f>IFERROR((VLOOKUP(A127,'[1]LISTA ETIQUETAS'!O:Y,11,0)),"")</f>
        <v>21114.501</v>
      </c>
      <c r="J127" s="6">
        <v>0</v>
      </c>
      <c r="K127" s="12">
        <f t="shared" si="3"/>
        <v>21114.501</v>
      </c>
      <c r="L127" s="7" t="str">
        <f>IF(VLOOKUP(A127,'[1]LISTA ETIQUETAS'!O:AB,14,0)="","",(VLOOKUP(A127,'[1]LISTA ETIQUETAS'!O:AB,14,0)))</f>
        <v>CJ</v>
      </c>
      <c r="M127" s="8" t="s">
        <v>113</v>
      </c>
      <c r="N127" s="9" t="str">
        <f t="shared" si="4"/>
        <v>78082 | 151718</v>
      </c>
      <c r="O127" s="2">
        <f>_xlfn.XLOOKUP($A127,'[1]LISTA ETIQUETAS'!$O:$O,'[1]LISTA ETIQUETAS'!C:C,"",0)</f>
        <v>0</v>
      </c>
      <c r="P127" s="2">
        <f>_xlfn.XLOOKUP($A127,'[1]LISTA ETIQUETAS'!$O:$O,'[1]LISTA ETIQUETAS'!D:D,"",0)</f>
        <v>0</v>
      </c>
      <c r="Q127" s="2">
        <f>_xlfn.XLOOKUP($A127,'[1]LISTA ETIQUETAS'!$O:$O,'[1]LISTA ETIQUETAS'!E:E,"",0)</f>
        <v>0</v>
      </c>
      <c r="R127" s="2">
        <f>_xlfn.XLOOKUP($A127,'[1]LISTA ETIQUETAS'!$O:$O,'[1]LISTA ETIQUETAS'!F:F,"",0)</f>
        <v>0</v>
      </c>
      <c r="S127" s="2">
        <f>_xlfn.XLOOKUP($A127,'[1]LISTA ETIQUETAS'!$O:$O,'[1]LISTA ETIQUETAS'!H:H,"",0)</f>
        <v>1</v>
      </c>
      <c r="T127" s="9">
        <f t="shared" si="5"/>
        <v>1</v>
      </c>
      <c r="U127" s="10" t="s">
        <v>628</v>
      </c>
    </row>
    <row r="128" spans="1:21" x14ac:dyDescent="0.25">
      <c r="A128" s="5">
        <v>274729</v>
      </c>
      <c r="B128" t="str">
        <f>IFERROR((VLOOKUP(A128,'[1]LISTA ETIQUETAS'!O:X,3,0)),"PRODUTO SEM ESTOQUE")</f>
        <v>EST MODULO CURVO ARAGON (MTX PRETO) E5123</v>
      </c>
      <c r="C128" s="10" t="s">
        <v>13</v>
      </c>
      <c r="D128" s="10" t="s">
        <v>106</v>
      </c>
      <c r="E128" s="11">
        <f>IF(VLOOKUP(A128,'[1]LISTA ETIQUETAS'!O:W,4,0)="",(VLOOKUP(A128,'[1]LISTA ETIQUETAS'!O:W,6,0)),(VLOOKUP(A128,'[1]LISTA ETIQUETAS'!O:W,4,0)))</f>
        <v>2.1</v>
      </c>
      <c r="F128" s="11">
        <f>IF(VLOOKUP(A128,'[1]LISTA ETIQUETAS'!O:W,5,0)="",(VLOOKUP(A128,'[1]LISTA ETIQUETAS'!O:W,7,0)),(VLOOKUP(A128,'[1]LISTA ETIQUETAS'!O:W,5,0)))</f>
        <v>1.4</v>
      </c>
      <c r="G128" s="11">
        <f>IFERROR((VLOOKUP(A128,'[1]LISTA ETIQUETAS'!O:X,8,0)),"")</f>
        <v>0.92</v>
      </c>
      <c r="H128" s="11">
        <f>IFERROR((VLOOKUP(A128,'[1]LISTA ETIQUETAS'!O:X,9,0)),"")</f>
        <v>0</v>
      </c>
      <c r="I128" s="12">
        <f>IFERROR((VLOOKUP(A128,'[1]LISTA ETIQUETAS'!O:Y,11,0)),"")</f>
        <v>72252.28</v>
      </c>
      <c r="J128" s="6">
        <v>0</v>
      </c>
      <c r="K128" s="12">
        <f t="shared" si="3"/>
        <v>72252.28</v>
      </c>
      <c r="L128" s="7" t="str">
        <f>IF(VLOOKUP(A128,'[1]LISTA ETIQUETAS'!O:AB,14,0)="","",(VLOOKUP(A128,'[1]LISTA ETIQUETAS'!O:AB,14,0)))</f>
        <v>CG</v>
      </c>
      <c r="M128" s="8" t="s">
        <v>116</v>
      </c>
      <c r="N128" s="9" t="str">
        <f t="shared" si="4"/>
        <v>274729 | 274727 | 274732</v>
      </c>
      <c r="O128" s="2">
        <f>_xlfn.XLOOKUP($A128,'[1]LISTA ETIQUETAS'!$O:$O,'[1]LISTA ETIQUETAS'!C:C,"",0)</f>
        <v>1</v>
      </c>
      <c r="P128" s="2">
        <f>_xlfn.XLOOKUP($A128,'[1]LISTA ETIQUETAS'!$O:$O,'[1]LISTA ETIQUETAS'!D:D,"",0)</f>
        <v>0</v>
      </c>
      <c r="Q128" s="2">
        <f>_xlfn.XLOOKUP($A128,'[1]LISTA ETIQUETAS'!$O:$O,'[1]LISTA ETIQUETAS'!E:E,"",0)</f>
        <v>0</v>
      </c>
      <c r="R128" s="2">
        <f>_xlfn.XLOOKUP($A128,'[1]LISTA ETIQUETAS'!$O:$O,'[1]LISTA ETIQUETAS'!F:F,"",0)</f>
        <v>0</v>
      </c>
      <c r="S128" s="2">
        <f>_xlfn.XLOOKUP($A128,'[1]LISTA ETIQUETAS'!$O:$O,'[1]LISTA ETIQUETAS'!H:H,"",0)</f>
        <v>1</v>
      </c>
      <c r="T128" s="9">
        <f t="shared" si="5"/>
        <v>2</v>
      </c>
      <c r="U128" s="10" t="s">
        <v>628</v>
      </c>
    </row>
    <row r="129" spans="1:20" x14ac:dyDescent="0.25">
      <c r="A129" s="5">
        <v>274727</v>
      </c>
      <c r="B129" t="str">
        <f>IFERROR((VLOOKUP(A129,'[1]LISTA ETIQUETAS'!O:X,3,0)),"PRODUTO SEM ESTOQUE")</f>
        <v>EST MODULO BRACO ESQ ARAGON (1AS) (BC10) (MTX PRETO) E5123</v>
      </c>
      <c r="C129" s="10" t="s">
        <v>13</v>
      </c>
      <c r="D129" s="10" t="s">
        <v>106</v>
      </c>
      <c r="E129" s="11">
        <f>IF(VLOOKUP(A129,'[1]LISTA ETIQUETAS'!O:W,4,0)="",(VLOOKUP(A129,'[1]LISTA ETIQUETAS'!O:W,6,0)),(VLOOKUP(A129,'[1]LISTA ETIQUETAS'!O:W,4,0)))</f>
        <v>1.1000000000000001</v>
      </c>
      <c r="F129" s="11">
        <f>IF(VLOOKUP(A129,'[1]LISTA ETIQUETAS'!O:W,5,0)="",(VLOOKUP(A129,'[1]LISTA ETIQUETAS'!O:W,7,0)),(VLOOKUP(A129,'[1]LISTA ETIQUETAS'!O:W,5,0)))</f>
        <v>1</v>
      </c>
      <c r="G129" s="11">
        <f>IFERROR((VLOOKUP(A129,'[1]LISTA ETIQUETAS'!O:X,8,0)),"")</f>
        <v>0.92</v>
      </c>
      <c r="H129" s="11">
        <f>IFERROR((VLOOKUP(A129,'[1]LISTA ETIQUETAS'!O:X,9,0)),"")</f>
        <v>0</v>
      </c>
      <c r="I129" s="12">
        <f>IFERROR((VLOOKUP(A129,'[1]LISTA ETIQUETAS'!O:Y,11,0)),"")</f>
        <v>72252.28</v>
      </c>
      <c r="J129" s="6">
        <v>0</v>
      </c>
      <c r="K129" s="12">
        <f t="shared" si="3"/>
        <v>72252.28</v>
      </c>
      <c r="L129" s="7" t="str">
        <f>IF(VLOOKUP(A129,'[1]LISTA ETIQUETAS'!O:AB,14,0)="","",(VLOOKUP(A129,'[1]LISTA ETIQUETAS'!O:AB,14,0)))</f>
        <v>CG</v>
      </c>
      <c r="M129" s="8" t="s">
        <v>116</v>
      </c>
      <c r="N129" s="9" t="str">
        <f t="shared" si="4"/>
        <v>274729 | 274727 | 274732</v>
      </c>
      <c r="O129" s="2">
        <f>_xlfn.XLOOKUP($A129,'[1]LISTA ETIQUETAS'!$O:$O,'[1]LISTA ETIQUETAS'!C:C,"",0)</f>
        <v>1</v>
      </c>
      <c r="P129" s="2">
        <f>_xlfn.XLOOKUP($A129,'[1]LISTA ETIQUETAS'!$O:$O,'[1]LISTA ETIQUETAS'!D:D,"",0)</f>
        <v>0</v>
      </c>
      <c r="Q129" s="2">
        <f>_xlfn.XLOOKUP($A129,'[1]LISTA ETIQUETAS'!$O:$O,'[1]LISTA ETIQUETAS'!E:E,"",0)</f>
        <v>0</v>
      </c>
      <c r="R129" s="2">
        <f>_xlfn.XLOOKUP($A129,'[1]LISTA ETIQUETAS'!$O:$O,'[1]LISTA ETIQUETAS'!F:F,"",0)</f>
        <v>0</v>
      </c>
      <c r="S129" s="2">
        <f>_xlfn.XLOOKUP($A129,'[1]LISTA ETIQUETAS'!$O:$O,'[1]LISTA ETIQUETAS'!H:H,"",0)</f>
        <v>1</v>
      </c>
      <c r="T129" s="9">
        <f t="shared" si="5"/>
        <v>2</v>
      </c>
    </row>
    <row r="130" spans="1:20" x14ac:dyDescent="0.25">
      <c r="A130" s="5">
        <v>274732</v>
      </c>
      <c r="B130" t="str">
        <f>IFERROR((VLOOKUP(A130,'[1]LISTA ETIQUETAS'!O:X,3,0)),"PRODUTO SEM ESTOQUE")</f>
        <v>EST MODULO CHAISE BRACO DIR ARAGON (BC30) (MTX PRETO) E5123</v>
      </c>
      <c r="C130" s="10" t="s">
        <v>13</v>
      </c>
      <c r="D130" s="10" t="s">
        <v>106</v>
      </c>
      <c r="E130" s="11">
        <f>IF(VLOOKUP(A130,'[1]LISTA ETIQUETAS'!O:W,4,0)="",(VLOOKUP(A130,'[1]LISTA ETIQUETAS'!O:W,6,0)),(VLOOKUP(A130,'[1]LISTA ETIQUETAS'!O:W,4,0)))</f>
        <v>1.2</v>
      </c>
      <c r="F130" s="11">
        <f>IF(VLOOKUP(A130,'[1]LISTA ETIQUETAS'!O:W,5,0)="",(VLOOKUP(A130,'[1]LISTA ETIQUETAS'!O:W,7,0)),(VLOOKUP(A130,'[1]LISTA ETIQUETAS'!O:W,5,0)))</f>
        <v>1.6</v>
      </c>
      <c r="G130" s="11">
        <f>IFERROR((VLOOKUP(A130,'[1]LISTA ETIQUETAS'!O:X,8,0)),"")</f>
        <v>0.92</v>
      </c>
      <c r="H130" s="11">
        <f>IFERROR((VLOOKUP(A130,'[1]LISTA ETIQUETAS'!O:X,9,0)),"")</f>
        <v>0</v>
      </c>
      <c r="I130" s="12">
        <f>IFERROR((VLOOKUP(A130,'[1]LISTA ETIQUETAS'!O:Y,11,0)),"")</f>
        <v>72252.28</v>
      </c>
      <c r="J130" s="6">
        <v>0</v>
      </c>
      <c r="K130" s="12">
        <f t="shared" si="3"/>
        <v>72252.28</v>
      </c>
      <c r="L130" s="7" t="str">
        <f>IF(VLOOKUP(A130,'[1]LISTA ETIQUETAS'!O:AB,14,0)="","",(VLOOKUP(A130,'[1]LISTA ETIQUETAS'!O:AB,14,0)))</f>
        <v>CG</v>
      </c>
      <c r="M130" s="8" t="s">
        <v>116</v>
      </c>
      <c r="N130" s="9" t="str">
        <f t="shared" si="4"/>
        <v>274729 | 274727 | 274732</v>
      </c>
      <c r="O130" s="2">
        <f>_xlfn.XLOOKUP($A130,'[1]LISTA ETIQUETAS'!$O:$O,'[1]LISTA ETIQUETAS'!C:C,"",0)</f>
        <v>1</v>
      </c>
      <c r="P130" s="2">
        <f>_xlfn.XLOOKUP($A130,'[1]LISTA ETIQUETAS'!$O:$O,'[1]LISTA ETIQUETAS'!D:D,"",0)</f>
        <v>0</v>
      </c>
      <c r="Q130" s="2">
        <f>_xlfn.XLOOKUP($A130,'[1]LISTA ETIQUETAS'!$O:$O,'[1]LISTA ETIQUETAS'!E:E,"",0)</f>
        <v>0</v>
      </c>
      <c r="R130" s="2">
        <f>_xlfn.XLOOKUP($A130,'[1]LISTA ETIQUETAS'!$O:$O,'[1]LISTA ETIQUETAS'!F:F,"",0)</f>
        <v>0</v>
      </c>
      <c r="S130" s="2">
        <f>_xlfn.XLOOKUP($A130,'[1]LISTA ETIQUETAS'!$O:$O,'[1]LISTA ETIQUETAS'!H:H,"",0)</f>
        <v>1</v>
      </c>
      <c r="T130" s="9">
        <f t="shared" si="5"/>
        <v>2</v>
      </c>
    </row>
    <row r="131" spans="1:20" x14ac:dyDescent="0.25">
      <c r="A131" s="5">
        <v>251464</v>
      </c>
      <c r="B131" t="str">
        <f>IFERROR((VLOOKUP(A131,'[1]LISTA ETIQUETAS'!O:X,3,0)),"PRODUTO SEM ESTOQUE")</f>
        <v>EST MODULO ENCOSTO RETO LENCOIS M (DET MR5) (FX7623)</v>
      </c>
      <c r="C131" s="10" t="s">
        <v>13</v>
      </c>
      <c r="D131" s="10" t="s">
        <v>117</v>
      </c>
      <c r="E131" s="11">
        <f>IF(VLOOKUP(A131,'[1]LISTA ETIQUETAS'!O:W,4,0)="",(VLOOKUP(A131,'[1]LISTA ETIQUETAS'!O:W,6,0)),(VLOOKUP(A131,'[1]LISTA ETIQUETAS'!O:W,4,0)))</f>
        <v>0.7</v>
      </c>
      <c r="F131" s="11">
        <f>IF(VLOOKUP(A131,'[1]LISTA ETIQUETAS'!O:W,5,0)="",(VLOOKUP(A131,'[1]LISTA ETIQUETAS'!O:W,7,0)),(VLOOKUP(A131,'[1]LISTA ETIQUETAS'!O:W,5,0)))</f>
        <v>0.26</v>
      </c>
      <c r="G131" s="11">
        <f>IFERROR((VLOOKUP(A131,'[1]LISTA ETIQUETAS'!O:X,8,0)),"")</f>
        <v>0.26</v>
      </c>
      <c r="H131" s="11">
        <f>IFERROR((VLOOKUP(A131,'[1]LISTA ETIQUETAS'!O:X,9,0)),"")</f>
        <v>0</v>
      </c>
      <c r="I131" s="12">
        <f>IFERROR((VLOOKUP(A131,'[1]LISTA ETIQUETAS'!O:Y,11,0)),"")</f>
        <v>29964.71</v>
      </c>
      <c r="J131" s="6">
        <v>0</v>
      </c>
      <c r="K131" s="12">
        <f t="shared" ref="K131:K194" si="6">IFERROR(I131-I131*J131,"")</f>
        <v>29964.71</v>
      </c>
      <c r="L131" s="7" t="str">
        <f>IF(VLOOKUP(A131,'[1]LISTA ETIQUETAS'!O:AB,14,0)="","",(VLOOKUP(A131,'[1]LISTA ETIQUETAS'!O:AB,14,0)))</f>
        <v>CB</v>
      </c>
      <c r="M131" s="8" t="s">
        <v>118</v>
      </c>
      <c r="N131" s="9" t="str">
        <f t="shared" si="4"/>
        <v>251464 | 251463 | 244137</v>
      </c>
      <c r="O131" s="2">
        <f>_xlfn.XLOOKUP($A131,'[1]LISTA ETIQUETAS'!$O:$O,'[1]LISTA ETIQUETAS'!C:C,"",0)</f>
        <v>0</v>
      </c>
      <c r="P131" s="2">
        <f>_xlfn.XLOOKUP($A131,'[1]LISTA ETIQUETAS'!$O:$O,'[1]LISTA ETIQUETAS'!D:D,"",0)</f>
        <v>0</v>
      </c>
      <c r="Q131" s="2">
        <f>_xlfn.XLOOKUP($A131,'[1]LISTA ETIQUETAS'!$O:$O,'[1]LISTA ETIQUETAS'!E:E,"",0)</f>
        <v>0</v>
      </c>
      <c r="R131" s="2">
        <f>_xlfn.XLOOKUP($A131,'[1]LISTA ETIQUETAS'!$O:$O,'[1]LISTA ETIQUETAS'!F:F,"",0)</f>
        <v>0</v>
      </c>
      <c r="S131" s="2">
        <f>_xlfn.XLOOKUP($A131,'[1]LISTA ETIQUETAS'!$O:$O,'[1]LISTA ETIQUETAS'!H:H,"",0)</f>
        <v>5</v>
      </c>
      <c r="T131" s="9">
        <f t="shared" si="5"/>
        <v>5</v>
      </c>
    </row>
    <row r="132" spans="1:20" x14ac:dyDescent="0.25">
      <c r="A132" s="5">
        <v>251463</v>
      </c>
      <c r="B132" t="str">
        <f>IFERROR((VLOOKUP(A132,'[1]LISTA ETIQUETAS'!O:X,3,0)),"PRODUTO SEM ESTOQUE")</f>
        <v>EST MODULO ENCOSTO RETO LENCOIS M (DET MR5) (FX7623)</v>
      </c>
      <c r="C132" s="10" t="s">
        <v>13</v>
      </c>
      <c r="D132" s="10" t="s">
        <v>117</v>
      </c>
      <c r="E132" s="11">
        <f>IF(VLOOKUP(A132,'[1]LISTA ETIQUETAS'!O:W,4,0)="",(VLOOKUP(A132,'[1]LISTA ETIQUETAS'!O:W,6,0)),(VLOOKUP(A132,'[1]LISTA ETIQUETAS'!O:W,4,0)))</f>
        <v>1.2</v>
      </c>
      <c r="F132" s="11">
        <f>IF(VLOOKUP(A132,'[1]LISTA ETIQUETAS'!O:W,5,0)="",(VLOOKUP(A132,'[1]LISTA ETIQUETAS'!O:W,7,0)),(VLOOKUP(A132,'[1]LISTA ETIQUETAS'!O:W,5,0)))</f>
        <v>0.26</v>
      </c>
      <c r="G132" s="11">
        <f>IFERROR((VLOOKUP(A132,'[1]LISTA ETIQUETAS'!O:X,8,0)),"")</f>
        <v>0.26</v>
      </c>
      <c r="H132" s="11">
        <f>IFERROR((VLOOKUP(A132,'[1]LISTA ETIQUETAS'!O:X,9,0)),"")</f>
        <v>0</v>
      </c>
      <c r="I132" s="12">
        <f>IFERROR((VLOOKUP(A132,'[1]LISTA ETIQUETAS'!O:Y,11,0)),"")</f>
        <v>29964.71</v>
      </c>
      <c r="J132" s="6">
        <v>0</v>
      </c>
      <c r="K132" s="12">
        <f t="shared" si="6"/>
        <v>29964.71</v>
      </c>
      <c r="L132" s="7" t="str">
        <f>IF(VLOOKUP(A132,'[1]LISTA ETIQUETAS'!O:AB,14,0)="","",(VLOOKUP(A132,'[1]LISTA ETIQUETAS'!O:AB,14,0)))</f>
        <v>CB</v>
      </c>
      <c r="M132" s="8" t="s">
        <v>118</v>
      </c>
      <c r="N132" s="9" t="str">
        <f t="shared" ref="N132:N195" si="7">IF(M132="",A132,M132)</f>
        <v>251464 | 251463 | 244137</v>
      </c>
      <c r="O132" s="2">
        <f>_xlfn.XLOOKUP($A132,'[1]LISTA ETIQUETAS'!$O:$O,'[1]LISTA ETIQUETAS'!C:C,"",0)</f>
        <v>0</v>
      </c>
      <c r="P132" s="2">
        <f>_xlfn.XLOOKUP($A132,'[1]LISTA ETIQUETAS'!$O:$O,'[1]LISTA ETIQUETAS'!D:D,"",0)</f>
        <v>0</v>
      </c>
      <c r="Q132" s="2">
        <f>_xlfn.XLOOKUP($A132,'[1]LISTA ETIQUETAS'!$O:$O,'[1]LISTA ETIQUETAS'!E:E,"",0)</f>
        <v>0</v>
      </c>
      <c r="R132" s="2">
        <f>_xlfn.XLOOKUP($A132,'[1]LISTA ETIQUETAS'!$O:$O,'[1]LISTA ETIQUETAS'!F:F,"",0)</f>
        <v>0</v>
      </c>
      <c r="S132" s="2">
        <f>_xlfn.XLOOKUP($A132,'[1]LISTA ETIQUETAS'!$O:$O,'[1]LISTA ETIQUETAS'!H:H,"",0)</f>
        <v>1</v>
      </c>
      <c r="T132" s="9">
        <f t="shared" ref="T132:T195" si="8">SUM(O132:S132)</f>
        <v>1</v>
      </c>
    </row>
    <row r="133" spans="1:20" x14ac:dyDescent="0.25">
      <c r="A133" s="5">
        <v>244137</v>
      </c>
      <c r="B133" t="str">
        <f>IFERROR((VLOOKUP(A133,'[1]LISTA ETIQUETAS'!O:X,3,0)),"PRODUTO SEM ESTOQUE")</f>
        <v>EST MODULO PUFF CANTO 90 LENCOIS M (RVST MR5) (FX7623)</v>
      </c>
      <c r="C133" s="10" t="s">
        <v>13</v>
      </c>
      <c r="D133" s="10" t="s">
        <v>117</v>
      </c>
      <c r="E133" s="11">
        <f>IF(VLOOKUP(A133,'[1]LISTA ETIQUETAS'!O:W,4,0)="",(VLOOKUP(A133,'[1]LISTA ETIQUETAS'!O:W,6,0)),(VLOOKUP(A133,'[1]LISTA ETIQUETAS'!O:W,4,0)))</f>
        <v>1</v>
      </c>
      <c r="F133" s="11">
        <f>IF(VLOOKUP(A133,'[1]LISTA ETIQUETAS'!O:W,5,0)="",(VLOOKUP(A133,'[1]LISTA ETIQUETAS'!O:W,7,0)),(VLOOKUP(A133,'[1]LISTA ETIQUETAS'!O:W,5,0)))</f>
        <v>1</v>
      </c>
      <c r="G133" s="11">
        <f>IFERROR((VLOOKUP(A133,'[1]LISTA ETIQUETAS'!O:X,8,0)),"")</f>
        <v>0.38</v>
      </c>
      <c r="H133" s="11">
        <f>IFERROR((VLOOKUP(A133,'[1]LISTA ETIQUETAS'!O:X,9,0)),"")</f>
        <v>0</v>
      </c>
      <c r="I133" s="12">
        <f>IFERROR((VLOOKUP(A133,'[1]LISTA ETIQUETAS'!O:Y,11,0)),"")</f>
        <v>29964.71</v>
      </c>
      <c r="J133" s="6">
        <v>0</v>
      </c>
      <c r="K133" s="12">
        <f t="shared" si="6"/>
        <v>29964.71</v>
      </c>
      <c r="L133" s="7" t="str">
        <f>IF(VLOOKUP(A133,'[1]LISTA ETIQUETAS'!O:AB,14,0)="","",(VLOOKUP(A133,'[1]LISTA ETIQUETAS'!O:AB,14,0)))</f>
        <v>CB</v>
      </c>
      <c r="M133" s="8" t="s">
        <v>118</v>
      </c>
      <c r="N133" s="9" t="str">
        <f t="shared" si="7"/>
        <v>251464 | 251463 | 244137</v>
      </c>
      <c r="O133" s="2">
        <f>_xlfn.XLOOKUP($A133,'[1]LISTA ETIQUETAS'!$O:$O,'[1]LISTA ETIQUETAS'!C:C,"",0)</f>
        <v>0</v>
      </c>
      <c r="P133" s="2">
        <f>_xlfn.XLOOKUP($A133,'[1]LISTA ETIQUETAS'!$O:$O,'[1]LISTA ETIQUETAS'!D:D,"",0)</f>
        <v>0</v>
      </c>
      <c r="Q133" s="2">
        <f>_xlfn.XLOOKUP($A133,'[1]LISTA ETIQUETAS'!$O:$O,'[1]LISTA ETIQUETAS'!E:E,"",0)</f>
        <v>0</v>
      </c>
      <c r="R133" s="2">
        <f>_xlfn.XLOOKUP($A133,'[1]LISTA ETIQUETAS'!$O:$O,'[1]LISTA ETIQUETAS'!F:F,"",0)</f>
        <v>0</v>
      </c>
      <c r="S133" s="2">
        <f>_xlfn.XLOOKUP($A133,'[1]LISTA ETIQUETAS'!$O:$O,'[1]LISTA ETIQUETAS'!H:H,"",0)</f>
        <v>1</v>
      </c>
      <c r="T133" s="9">
        <f t="shared" si="8"/>
        <v>1</v>
      </c>
    </row>
    <row r="134" spans="1:20" x14ac:dyDescent="0.25">
      <c r="A134" s="5">
        <v>307836</v>
      </c>
      <c r="B134" t="str">
        <f>IFERROR((VLOOKUP(A134,'[1]LISTA ETIQUETAS'!O:X,3,0)),"PRODUTO SEM ESTOQUE")</f>
        <v>EST BASE JANTAR PREMIUM (BASE PINTURA PRETO FOSCO)</v>
      </c>
      <c r="C134" s="10" t="s">
        <v>52</v>
      </c>
      <c r="D134" s="10" t="s">
        <v>119</v>
      </c>
      <c r="E134" s="11">
        <f>IF(VLOOKUP(A134,'[1]LISTA ETIQUETAS'!O:W,4,0)="",(VLOOKUP(A134,'[1]LISTA ETIQUETAS'!O:W,6,0)),(VLOOKUP(A134,'[1]LISTA ETIQUETAS'!O:W,4,0)))</f>
        <v>2.9</v>
      </c>
      <c r="F134" s="11">
        <f>IF(VLOOKUP(A134,'[1]LISTA ETIQUETAS'!O:W,5,0)="",(VLOOKUP(A134,'[1]LISTA ETIQUETAS'!O:W,7,0)),(VLOOKUP(A134,'[1]LISTA ETIQUETAS'!O:W,5,0)))</f>
        <v>1.1000000000000001</v>
      </c>
      <c r="G134" s="11">
        <f>IFERROR((VLOOKUP(A134,'[1]LISTA ETIQUETAS'!O:X,8,0)),"")</f>
        <v>0.76</v>
      </c>
      <c r="H134" s="11">
        <f>IFERROR((VLOOKUP(A134,'[1]LISTA ETIQUETAS'!O:X,9,0)),"")</f>
        <v>0</v>
      </c>
      <c r="I134" s="12">
        <f>IFERROR((VLOOKUP(A134,'[1]LISTA ETIQUETAS'!O:Y,11,0)),"")</f>
        <v>97654.11599999998</v>
      </c>
      <c r="J134" s="6">
        <v>0</v>
      </c>
      <c r="K134" s="12">
        <f t="shared" si="6"/>
        <v>97654.11599999998</v>
      </c>
      <c r="L134" s="7" t="str">
        <f>IF(VLOOKUP(A134,'[1]LISTA ETIQUETAS'!O:AB,14,0)="","",(VLOOKUP(A134,'[1]LISTA ETIQUETAS'!O:AB,14,0)))</f>
        <v>C</v>
      </c>
      <c r="M134" s="8" t="s">
        <v>120</v>
      </c>
      <c r="N134" s="9" t="str">
        <f t="shared" si="7"/>
        <v>307837 | 307836</v>
      </c>
      <c r="O134" s="2">
        <f>_xlfn.XLOOKUP($A134,'[1]LISTA ETIQUETAS'!$O:$O,'[1]LISTA ETIQUETAS'!C:C,"",0)</f>
        <v>0</v>
      </c>
      <c r="P134" s="2">
        <f>_xlfn.XLOOKUP($A134,'[1]LISTA ETIQUETAS'!$O:$O,'[1]LISTA ETIQUETAS'!D:D,"",0)</f>
        <v>0</v>
      </c>
      <c r="Q134" s="2">
        <f>_xlfn.XLOOKUP($A134,'[1]LISTA ETIQUETAS'!$O:$O,'[1]LISTA ETIQUETAS'!E:E,"",0)</f>
        <v>0</v>
      </c>
      <c r="R134" s="2">
        <f>_xlfn.XLOOKUP($A134,'[1]LISTA ETIQUETAS'!$O:$O,'[1]LISTA ETIQUETAS'!F:F,"",0)</f>
        <v>0</v>
      </c>
      <c r="S134" s="2">
        <f>_xlfn.XLOOKUP($A134,'[1]LISTA ETIQUETAS'!$O:$O,'[1]LISTA ETIQUETAS'!H:H,"",0)</f>
        <v>1</v>
      </c>
      <c r="T134" s="9">
        <f t="shared" si="8"/>
        <v>1</v>
      </c>
    </row>
    <row r="135" spans="1:20" x14ac:dyDescent="0.25">
      <c r="A135" s="5">
        <v>307837</v>
      </c>
      <c r="B135" t="str">
        <f>IFERROR((VLOOKUP(A135,'[1]LISTA ETIQUETAS'!O:X,3,0)),"PRODUTO SEM ESTOQUE")</f>
        <v>EST TAMPO MARMORE (F9025) (RETO/CHANF) (G3 VITORIA R LEVIG)</v>
      </c>
      <c r="C135" s="10" t="s">
        <v>66</v>
      </c>
      <c r="D135" s="10" t="s">
        <v>67</v>
      </c>
      <c r="E135" s="11">
        <f>IF(VLOOKUP(A135,'[1]LISTA ETIQUETAS'!O:W,4,0)="",(VLOOKUP(A135,'[1]LISTA ETIQUETAS'!O:W,6,0)),(VLOOKUP(A135,'[1]LISTA ETIQUETAS'!O:W,4,0)))</f>
        <v>3</v>
      </c>
      <c r="F135" s="11">
        <f>IF(VLOOKUP(A135,'[1]LISTA ETIQUETAS'!O:W,5,0)="",(VLOOKUP(A135,'[1]LISTA ETIQUETAS'!O:W,7,0)),(VLOOKUP(A135,'[1]LISTA ETIQUETAS'!O:W,5,0)))</f>
        <v>1.2</v>
      </c>
      <c r="G135" s="11">
        <f>IFERROR((VLOOKUP(A135,'[1]LISTA ETIQUETAS'!O:X,8,0)),"")</f>
        <v>0.02</v>
      </c>
      <c r="H135" s="11">
        <f>IFERROR((VLOOKUP(A135,'[1]LISTA ETIQUETAS'!O:X,9,0)),"")</f>
        <v>0</v>
      </c>
      <c r="I135" s="12">
        <f>IFERROR((VLOOKUP(A135,'[1]LISTA ETIQUETAS'!O:Y,11,0)),"")</f>
        <v>97654.11599999998</v>
      </c>
      <c r="J135" s="6">
        <v>0</v>
      </c>
      <c r="K135" s="12">
        <f t="shared" si="6"/>
        <v>97654.11599999998</v>
      </c>
      <c r="L135" s="7" t="str">
        <f>IF(VLOOKUP(A135,'[1]LISTA ETIQUETAS'!O:AB,14,0)="","",(VLOOKUP(A135,'[1]LISTA ETIQUETAS'!O:AB,14,0)))</f>
        <v>C</v>
      </c>
      <c r="M135" s="8" t="s">
        <v>120</v>
      </c>
      <c r="N135" s="9" t="str">
        <f t="shared" si="7"/>
        <v>307837 | 307836</v>
      </c>
      <c r="O135" s="2">
        <f>_xlfn.XLOOKUP($A135,'[1]LISTA ETIQUETAS'!$O:$O,'[1]LISTA ETIQUETAS'!C:C,"",0)</f>
        <v>0</v>
      </c>
      <c r="P135" s="2">
        <f>_xlfn.XLOOKUP($A135,'[1]LISTA ETIQUETAS'!$O:$O,'[1]LISTA ETIQUETAS'!D:D,"",0)</f>
        <v>0</v>
      </c>
      <c r="Q135" s="2">
        <f>_xlfn.XLOOKUP($A135,'[1]LISTA ETIQUETAS'!$O:$O,'[1]LISTA ETIQUETAS'!E:E,"",0)</f>
        <v>0</v>
      </c>
      <c r="R135" s="2">
        <f>_xlfn.XLOOKUP($A135,'[1]LISTA ETIQUETAS'!$O:$O,'[1]LISTA ETIQUETAS'!F:F,"",0)</f>
        <v>0</v>
      </c>
      <c r="S135" s="2">
        <f>_xlfn.XLOOKUP($A135,'[1]LISTA ETIQUETAS'!$O:$O,'[1]LISTA ETIQUETAS'!H:H,"",0)</f>
        <v>1</v>
      </c>
      <c r="T135" s="9">
        <f t="shared" si="8"/>
        <v>1</v>
      </c>
    </row>
    <row r="136" spans="1:20" x14ac:dyDescent="0.25">
      <c r="A136" s="5">
        <v>402424</v>
      </c>
      <c r="B136" t="str">
        <f>IFERROR((VLOOKUP(A136,'[1]LISTA ETIQUETAS'!O:X,3,0)),"PRODUTO SEM ESTOQUE")</f>
        <v>EST MODULO B/DIR HIMALAYA (CLA) (NOG) FX 50070</v>
      </c>
      <c r="C136" s="10" t="s">
        <v>13</v>
      </c>
      <c r="D136" s="10" t="s">
        <v>47</v>
      </c>
      <c r="E136" s="11">
        <f>IF(VLOOKUP(A136,'[1]LISTA ETIQUETAS'!O:W,4,0)="",(VLOOKUP(A136,'[1]LISTA ETIQUETAS'!O:W,6,0)),(VLOOKUP(A136,'[1]LISTA ETIQUETAS'!O:W,4,0)))</f>
        <v>3.5</v>
      </c>
      <c r="F136" s="11">
        <f>IF(VLOOKUP(A136,'[1]LISTA ETIQUETAS'!O:W,5,0)="",(VLOOKUP(A136,'[1]LISTA ETIQUETAS'!O:W,7,0)),(VLOOKUP(A136,'[1]LISTA ETIQUETAS'!O:W,5,0)))</f>
        <v>1.05</v>
      </c>
      <c r="G136" s="11">
        <f>IFERROR((VLOOKUP(A136,'[1]LISTA ETIQUETAS'!O:X,8,0)),"")</f>
        <v>0.74</v>
      </c>
      <c r="H136" s="11">
        <f>IFERROR((VLOOKUP(A136,'[1]LISTA ETIQUETAS'!O:X,9,0)),"")</f>
        <v>0</v>
      </c>
      <c r="I136" s="12">
        <f>IFERROR((VLOOKUP(A136,'[1]LISTA ETIQUETAS'!O:Y,11,0)),"")</f>
        <v>47216.7</v>
      </c>
      <c r="J136" s="6">
        <v>0</v>
      </c>
      <c r="K136" s="12">
        <f t="shared" si="6"/>
        <v>47216.7</v>
      </c>
      <c r="L136" s="7" t="str">
        <f>IF(VLOOKUP(A136,'[1]LISTA ETIQUETAS'!O:AB,14,0)="","",(VLOOKUP(A136,'[1]LISTA ETIQUETAS'!O:AB,14,0)))</f>
        <v>AP</v>
      </c>
      <c r="M136" s="8" t="s">
        <v>121</v>
      </c>
      <c r="N136" s="9" t="str">
        <f t="shared" si="7"/>
        <v>402424 | 402423</v>
      </c>
      <c r="O136" s="2">
        <f>_xlfn.XLOOKUP($A136,'[1]LISTA ETIQUETAS'!$O:$O,'[1]LISTA ETIQUETAS'!C:C,"",0)</f>
        <v>0</v>
      </c>
      <c r="P136" s="2">
        <f>_xlfn.XLOOKUP($A136,'[1]LISTA ETIQUETAS'!$O:$O,'[1]LISTA ETIQUETAS'!D:D,"",0)</f>
        <v>0</v>
      </c>
      <c r="Q136" s="2">
        <f>_xlfn.XLOOKUP($A136,'[1]LISTA ETIQUETAS'!$O:$O,'[1]LISTA ETIQUETAS'!E:E,"",0)</f>
        <v>0</v>
      </c>
      <c r="R136" s="2">
        <f>_xlfn.XLOOKUP($A136,'[1]LISTA ETIQUETAS'!$O:$O,'[1]LISTA ETIQUETAS'!F:F,"",0)</f>
        <v>0</v>
      </c>
      <c r="S136" s="2">
        <f>_xlfn.XLOOKUP($A136,'[1]LISTA ETIQUETAS'!$O:$O,'[1]LISTA ETIQUETAS'!H:H,"",0)</f>
        <v>1</v>
      </c>
      <c r="T136" s="9">
        <f t="shared" si="8"/>
        <v>1</v>
      </c>
    </row>
    <row r="137" spans="1:20" x14ac:dyDescent="0.25">
      <c r="A137" s="5">
        <v>402423</v>
      </c>
      <c r="B137" t="str">
        <f>IFERROR((VLOOKUP(A137,'[1]LISTA ETIQUETAS'!O:X,3,0)),"PRODUTO SEM ESTOQUE")</f>
        <v>EST MODULO B/ESQ HIMALAYA (CLA) (NOG) FX 50070</v>
      </c>
      <c r="C137" s="10" t="s">
        <v>13</v>
      </c>
      <c r="D137" s="10" t="s">
        <v>47</v>
      </c>
      <c r="E137" s="11">
        <f>IF(VLOOKUP(A137,'[1]LISTA ETIQUETAS'!O:W,4,0)="",(VLOOKUP(A137,'[1]LISTA ETIQUETAS'!O:W,6,0)),(VLOOKUP(A137,'[1]LISTA ETIQUETAS'!O:W,4,0)))</f>
        <v>3.5</v>
      </c>
      <c r="F137" s="11">
        <f>IF(VLOOKUP(A137,'[1]LISTA ETIQUETAS'!O:W,5,0)="",(VLOOKUP(A137,'[1]LISTA ETIQUETAS'!O:W,7,0)),(VLOOKUP(A137,'[1]LISTA ETIQUETAS'!O:W,5,0)))</f>
        <v>1.05</v>
      </c>
      <c r="G137" s="11">
        <f>IFERROR((VLOOKUP(A137,'[1]LISTA ETIQUETAS'!O:X,8,0)),"")</f>
        <v>0.74</v>
      </c>
      <c r="H137" s="11">
        <f>IFERROR((VLOOKUP(A137,'[1]LISTA ETIQUETAS'!O:X,9,0)),"")</f>
        <v>0</v>
      </c>
      <c r="I137" s="12">
        <f>IFERROR((VLOOKUP(A137,'[1]LISTA ETIQUETAS'!O:Y,11,0)),"")</f>
        <v>47216.7</v>
      </c>
      <c r="J137" s="6">
        <v>0</v>
      </c>
      <c r="K137" s="12">
        <f t="shared" si="6"/>
        <v>47216.7</v>
      </c>
      <c r="L137" s="7" t="str">
        <f>IF(VLOOKUP(A137,'[1]LISTA ETIQUETAS'!O:AB,14,0)="","",(VLOOKUP(A137,'[1]LISTA ETIQUETAS'!O:AB,14,0)))</f>
        <v>AP</v>
      </c>
      <c r="M137" s="8" t="s">
        <v>121</v>
      </c>
      <c r="N137" s="9" t="str">
        <f t="shared" si="7"/>
        <v>402424 | 402423</v>
      </c>
      <c r="O137" s="2">
        <f>_xlfn.XLOOKUP($A137,'[1]LISTA ETIQUETAS'!$O:$O,'[1]LISTA ETIQUETAS'!C:C,"",0)</f>
        <v>0</v>
      </c>
      <c r="P137" s="2">
        <f>_xlfn.XLOOKUP($A137,'[1]LISTA ETIQUETAS'!$O:$O,'[1]LISTA ETIQUETAS'!D:D,"",0)</f>
        <v>0</v>
      </c>
      <c r="Q137" s="2">
        <f>_xlfn.XLOOKUP($A137,'[1]LISTA ETIQUETAS'!$O:$O,'[1]LISTA ETIQUETAS'!E:E,"",0)</f>
        <v>0</v>
      </c>
      <c r="R137" s="2">
        <f>_xlfn.XLOOKUP($A137,'[1]LISTA ETIQUETAS'!$O:$O,'[1]LISTA ETIQUETAS'!F:F,"",0)</f>
        <v>0</v>
      </c>
      <c r="S137" s="2">
        <f>_xlfn.XLOOKUP($A137,'[1]LISTA ETIQUETAS'!$O:$O,'[1]LISTA ETIQUETAS'!H:H,"",0)</f>
        <v>1</v>
      </c>
      <c r="T137" s="9">
        <f t="shared" si="8"/>
        <v>1</v>
      </c>
    </row>
    <row r="138" spans="1:20" x14ac:dyDescent="0.25">
      <c r="A138" s="5">
        <v>270720</v>
      </c>
      <c r="B138" t="str">
        <f>IFERROR((VLOOKUP(A138,'[1]LISTA ETIQUETAS'!O:X,3,0)),"PRODUTO SEM ESTOQUE")</f>
        <v>EST MODULO ILHA RECAMIER BELO HORIZONTE FX D4193</v>
      </c>
      <c r="C138" s="10" t="s">
        <v>13</v>
      </c>
      <c r="D138" s="10" t="s">
        <v>122</v>
      </c>
      <c r="E138" s="11">
        <f>IF(VLOOKUP(A138,'[1]LISTA ETIQUETAS'!O:W,4,0)="",(VLOOKUP(A138,'[1]LISTA ETIQUETAS'!O:W,6,0)),(VLOOKUP(A138,'[1]LISTA ETIQUETAS'!O:W,4,0)))</f>
        <v>4</v>
      </c>
      <c r="F138" s="11">
        <f>IF(VLOOKUP(A138,'[1]LISTA ETIQUETAS'!O:W,5,0)="",(VLOOKUP(A138,'[1]LISTA ETIQUETAS'!O:W,7,0)),(VLOOKUP(A138,'[1]LISTA ETIQUETAS'!O:W,5,0)))</f>
        <v>2.4</v>
      </c>
      <c r="G138" s="11">
        <f>IFERROR((VLOOKUP(A138,'[1]LISTA ETIQUETAS'!O:X,8,0)),"")</f>
        <v>0.9</v>
      </c>
      <c r="H138" s="11">
        <f>IFERROR((VLOOKUP(A138,'[1]LISTA ETIQUETAS'!O:X,9,0)),"")</f>
        <v>0</v>
      </c>
      <c r="I138" s="12">
        <f>IFERROR((VLOOKUP(A138,'[1]LISTA ETIQUETAS'!O:Y,11,0)),"")</f>
        <v>91827.63</v>
      </c>
      <c r="J138" s="6">
        <v>0</v>
      </c>
      <c r="K138" s="12">
        <f t="shared" si="6"/>
        <v>91827.63</v>
      </c>
      <c r="L138" s="7" t="str">
        <f>IF(VLOOKUP(A138,'[1]LISTA ETIQUETAS'!O:AB,14,0)="","",(VLOOKUP(A138,'[1]LISTA ETIQUETAS'!O:AB,14,0)))</f>
        <v>AI</v>
      </c>
      <c r="M138" s="8" t="s">
        <v>123</v>
      </c>
      <c r="N138" s="9" t="str">
        <f t="shared" si="7"/>
        <v>270720 | 270719 | 270718</v>
      </c>
      <c r="O138" s="2">
        <f>_xlfn.XLOOKUP($A138,'[1]LISTA ETIQUETAS'!$O:$O,'[1]LISTA ETIQUETAS'!C:C,"",0)</f>
        <v>0</v>
      </c>
      <c r="P138" s="2">
        <f>_xlfn.XLOOKUP($A138,'[1]LISTA ETIQUETAS'!$O:$O,'[1]LISTA ETIQUETAS'!D:D,"",0)</f>
        <v>0</v>
      </c>
      <c r="Q138" s="2">
        <f>_xlfn.XLOOKUP($A138,'[1]LISTA ETIQUETAS'!$O:$O,'[1]LISTA ETIQUETAS'!E:E,"",0)</f>
        <v>0</v>
      </c>
      <c r="R138" s="2">
        <f>_xlfn.XLOOKUP($A138,'[1]LISTA ETIQUETAS'!$O:$O,'[1]LISTA ETIQUETAS'!F:F,"",0)</f>
        <v>0</v>
      </c>
      <c r="S138" s="2">
        <f>_xlfn.XLOOKUP($A138,'[1]LISTA ETIQUETAS'!$O:$O,'[1]LISTA ETIQUETAS'!H:H,"",0)</f>
        <v>1</v>
      </c>
      <c r="T138" s="9">
        <f t="shared" si="8"/>
        <v>1</v>
      </c>
    </row>
    <row r="139" spans="1:20" x14ac:dyDescent="0.25">
      <c r="A139" s="5">
        <v>270719</v>
      </c>
      <c r="B139" t="str">
        <f>IFERROR((VLOOKUP(A139,'[1]LISTA ETIQUETAS'!O:X,3,0)),"PRODUTO SEM ESTOQUE")</f>
        <v>EST MODULO ILHA S/BRACO BELO HORIZONTE FX D4193</v>
      </c>
      <c r="C139" s="10" t="s">
        <v>13</v>
      </c>
      <c r="D139" s="10" t="s">
        <v>122</v>
      </c>
      <c r="E139" s="11">
        <f>IF(VLOOKUP(A139,'[1]LISTA ETIQUETAS'!O:W,4,0)="",(VLOOKUP(A139,'[1]LISTA ETIQUETAS'!O:W,6,0)),(VLOOKUP(A139,'[1]LISTA ETIQUETAS'!O:W,4,0)))</f>
        <v>4</v>
      </c>
      <c r="F139" s="11">
        <f>IF(VLOOKUP(A139,'[1]LISTA ETIQUETAS'!O:W,5,0)="",(VLOOKUP(A139,'[1]LISTA ETIQUETAS'!O:W,7,0)),(VLOOKUP(A139,'[1]LISTA ETIQUETAS'!O:W,5,0)))</f>
        <v>2.4</v>
      </c>
      <c r="G139" s="11">
        <f>IFERROR((VLOOKUP(A139,'[1]LISTA ETIQUETAS'!O:X,8,0)),"")</f>
        <v>0.9</v>
      </c>
      <c r="H139" s="11">
        <f>IFERROR((VLOOKUP(A139,'[1]LISTA ETIQUETAS'!O:X,9,0)),"")</f>
        <v>0</v>
      </c>
      <c r="I139" s="12">
        <f>IFERROR((VLOOKUP(A139,'[1]LISTA ETIQUETAS'!O:Y,11,0)),"")</f>
        <v>91827.63</v>
      </c>
      <c r="J139" s="6">
        <v>0</v>
      </c>
      <c r="K139" s="12">
        <f t="shared" si="6"/>
        <v>91827.63</v>
      </c>
      <c r="L139" s="7" t="str">
        <f>IF(VLOOKUP(A139,'[1]LISTA ETIQUETAS'!O:AB,14,0)="","",(VLOOKUP(A139,'[1]LISTA ETIQUETAS'!O:AB,14,0)))</f>
        <v>AI</v>
      </c>
      <c r="M139" s="8" t="s">
        <v>123</v>
      </c>
      <c r="N139" s="9" t="str">
        <f t="shared" si="7"/>
        <v>270720 | 270719 | 270718</v>
      </c>
      <c r="O139" s="2">
        <f>_xlfn.XLOOKUP($A139,'[1]LISTA ETIQUETAS'!$O:$O,'[1]LISTA ETIQUETAS'!C:C,"",0)</f>
        <v>0</v>
      </c>
      <c r="P139" s="2">
        <f>_xlfn.XLOOKUP($A139,'[1]LISTA ETIQUETAS'!$O:$O,'[1]LISTA ETIQUETAS'!D:D,"",0)</f>
        <v>0</v>
      </c>
      <c r="Q139" s="2">
        <f>_xlfn.XLOOKUP($A139,'[1]LISTA ETIQUETAS'!$O:$O,'[1]LISTA ETIQUETAS'!E:E,"",0)</f>
        <v>0</v>
      </c>
      <c r="R139" s="2">
        <f>_xlfn.XLOOKUP($A139,'[1]LISTA ETIQUETAS'!$O:$O,'[1]LISTA ETIQUETAS'!F:F,"",0)</f>
        <v>0</v>
      </c>
      <c r="S139" s="2">
        <f>_xlfn.XLOOKUP($A139,'[1]LISTA ETIQUETAS'!$O:$O,'[1]LISTA ETIQUETAS'!H:H,"",0)</f>
        <v>1</v>
      </c>
      <c r="T139" s="9">
        <f t="shared" si="8"/>
        <v>1</v>
      </c>
    </row>
    <row r="140" spans="1:20" x14ac:dyDescent="0.25">
      <c r="A140" s="5">
        <v>270718</v>
      </c>
      <c r="B140" t="str">
        <f>IFERROR((VLOOKUP(A140,'[1]LISTA ETIQUETAS'!O:X,3,0)),"PRODUTO SEM ESTOQUE")</f>
        <v>EST MODULO ILHA BRACO C/CHAISE BRAC DIR BELO HORIZONTE D4193</v>
      </c>
      <c r="C140" s="10" t="s">
        <v>13</v>
      </c>
      <c r="D140" s="10" t="s">
        <v>122</v>
      </c>
      <c r="E140" s="11">
        <f>IF(VLOOKUP(A140,'[1]LISTA ETIQUETAS'!O:W,4,0)="",(VLOOKUP(A140,'[1]LISTA ETIQUETAS'!O:W,6,0)),(VLOOKUP(A140,'[1]LISTA ETIQUETAS'!O:W,4,0)))</f>
        <v>4</v>
      </c>
      <c r="F140" s="11">
        <f>IF(VLOOKUP(A140,'[1]LISTA ETIQUETAS'!O:W,5,0)="",(VLOOKUP(A140,'[1]LISTA ETIQUETAS'!O:W,7,0)),(VLOOKUP(A140,'[1]LISTA ETIQUETAS'!O:W,5,0)))</f>
        <v>2.4</v>
      </c>
      <c r="G140" s="11">
        <f>IFERROR((VLOOKUP(A140,'[1]LISTA ETIQUETAS'!O:X,8,0)),"")</f>
        <v>0.9</v>
      </c>
      <c r="H140" s="11">
        <f>IFERROR((VLOOKUP(A140,'[1]LISTA ETIQUETAS'!O:X,9,0)),"")</f>
        <v>0</v>
      </c>
      <c r="I140" s="12">
        <f>IFERROR((VLOOKUP(A140,'[1]LISTA ETIQUETAS'!O:Y,11,0)),"")</f>
        <v>91827.63</v>
      </c>
      <c r="J140" s="6">
        <v>0</v>
      </c>
      <c r="K140" s="12">
        <f t="shared" si="6"/>
        <v>91827.63</v>
      </c>
      <c r="L140" s="7" t="str">
        <f>IF(VLOOKUP(A140,'[1]LISTA ETIQUETAS'!O:AB,14,0)="","",(VLOOKUP(A140,'[1]LISTA ETIQUETAS'!O:AB,14,0)))</f>
        <v>AI</v>
      </c>
      <c r="M140" s="8" t="s">
        <v>123</v>
      </c>
      <c r="N140" s="9" t="str">
        <f t="shared" si="7"/>
        <v>270720 | 270719 | 270718</v>
      </c>
      <c r="O140" s="2">
        <f>_xlfn.XLOOKUP($A140,'[1]LISTA ETIQUETAS'!$O:$O,'[1]LISTA ETIQUETAS'!C:C,"",0)</f>
        <v>0</v>
      </c>
      <c r="P140" s="2">
        <f>_xlfn.XLOOKUP($A140,'[1]LISTA ETIQUETAS'!$O:$O,'[1]LISTA ETIQUETAS'!D:D,"",0)</f>
        <v>0</v>
      </c>
      <c r="Q140" s="2">
        <f>_xlfn.XLOOKUP($A140,'[1]LISTA ETIQUETAS'!$O:$O,'[1]LISTA ETIQUETAS'!E:E,"",0)</f>
        <v>0</v>
      </c>
      <c r="R140" s="2">
        <f>_xlfn.XLOOKUP($A140,'[1]LISTA ETIQUETAS'!$O:$O,'[1]LISTA ETIQUETAS'!F:F,"",0)</f>
        <v>0</v>
      </c>
      <c r="S140" s="2">
        <f>_xlfn.XLOOKUP($A140,'[1]LISTA ETIQUETAS'!$O:$O,'[1]LISTA ETIQUETAS'!H:H,"",0)</f>
        <v>1</v>
      </c>
      <c r="T140" s="9">
        <f t="shared" si="8"/>
        <v>1</v>
      </c>
    </row>
    <row r="141" spans="1:20" x14ac:dyDescent="0.25">
      <c r="A141" s="5">
        <v>233163</v>
      </c>
      <c r="B141" t="str">
        <f>IFERROR((VLOOKUP(A141,'[1]LISTA ETIQUETAS'!O:X,3,0)),"PRODUTO SEM ESTOQUE")</f>
        <v>EST MODULO S/BRACO C/APARADOR NEW PADOVA FX B2177/MARM NERO</v>
      </c>
      <c r="C141" s="10" t="s">
        <v>13</v>
      </c>
      <c r="D141" s="10" t="s">
        <v>124</v>
      </c>
      <c r="E141" s="11">
        <f>IF(VLOOKUP(A141,'[1]LISTA ETIQUETAS'!O:W,4,0)="",(VLOOKUP(A141,'[1]LISTA ETIQUETAS'!O:W,6,0)),(VLOOKUP(A141,'[1]LISTA ETIQUETAS'!O:W,4,0)))</f>
        <v>3</v>
      </c>
      <c r="F141" s="11">
        <f>IF(VLOOKUP(A141,'[1]LISTA ETIQUETAS'!O:W,5,0)="",(VLOOKUP(A141,'[1]LISTA ETIQUETAS'!O:W,7,0)),(VLOOKUP(A141,'[1]LISTA ETIQUETAS'!O:W,5,0)))</f>
        <v>1.02</v>
      </c>
      <c r="G141" s="11">
        <f>IFERROR((VLOOKUP(A141,'[1]LISTA ETIQUETAS'!O:X,8,0)),"")</f>
        <v>0.82</v>
      </c>
      <c r="H141" s="11">
        <f>IFERROR((VLOOKUP(A141,'[1]LISTA ETIQUETAS'!O:X,9,0)),"")</f>
        <v>0</v>
      </c>
      <c r="I141" s="12">
        <f>IFERROR((VLOOKUP(A141,'[1]LISTA ETIQUETAS'!O:Y,11,0)),"")</f>
        <v>38272.639999999999</v>
      </c>
      <c r="J141" s="6">
        <v>0</v>
      </c>
      <c r="K141" s="12">
        <f t="shared" si="6"/>
        <v>38272.639999999999</v>
      </c>
      <c r="L141" s="7" t="str">
        <f>IF(VLOOKUP(A141,'[1]LISTA ETIQUETAS'!O:AB,14,0)="","",(VLOOKUP(A141,'[1]LISTA ETIQUETAS'!O:AB,14,0)))</f>
        <v>AG</v>
      </c>
      <c r="M141" s="8" t="s">
        <v>125</v>
      </c>
      <c r="N141" s="9" t="str">
        <f t="shared" si="7"/>
        <v>233163 | 233162</v>
      </c>
      <c r="O141" s="2">
        <f>_xlfn.XLOOKUP($A141,'[1]LISTA ETIQUETAS'!$O:$O,'[1]LISTA ETIQUETAS'!C:C,"",0)</f>
        <v>0</v>
      </c>
      <c r="P141" s="2">
        <f>_xlfn.XLOOKUP($A141,'[1]LISTA ETIQUETAS'!$O:$O,'[1]LISTA ETIQUETAS'!D:D,"",0)</f>
        <v>0</v>
      </c>
      <c r="Q141" s="2">
        <f>_xlfn.XLOOKUP($A141,'[1]LISTA ETIQUETAS'!$O:$O,'[1]LISTA ETIQUETAS'!E:E,"",0)</f>
        <v>0</v>
      </c>
      <c r="R141" s="2">
        <f>_xlfn.XLOOKUP($A141,'[1]LISTA ETIQUETAS'!$O:$O,'[1]LISTA ETIQUETAS'!F:F,"",0)</f>
        <v>0</v>
      </c>
      <c r="S141" s="2">
        <f>_xlfn.XLOOKUP($A141,'[1]LISTA ETIQUETAS'!$O:$O,'[1]LISTA ETIQUETAS'!H:H,"",0)</f>
        <v>1</v>
      </c>
      <c r="T141" s="9">
        <f t="shared" si="8"/>
        <v>1</v>
      </c>
    </row>
    <row r="142" spans="1:20" x14ac:dyDescent="0.25">
      <c r="A142" s="5">
        <v>233162</v>
      </c>
      <c r="B142" t="str">
        <f>IFERROR((VLOOKUP(A142,'[1]LISTA ETIQUETAS'!O:X,3,0)),"PRODUTO SEM ESTOQUE")</f>
        <v>EST MODULO BRACO ESQUERDO NEW PADOVA FX B2177</v>
      </c>
      <c r="C142" s="10" t="s">
        <v>13</v>
      </c>
      <c r="D142" s="10" t="s">
        <v>124</v>
      </c>
      <c r="E142" s="11">
        <f>IF(VLOOKUP(A142,'[1]LISTA ETIQUETAS'!O:W,4,0)="",(VLOOKUP(A142,'[1]LISTA ETIQUETAS'!O:W,6,0)),(VLOOKUP(A142,'[1]LISTA ETIQUETAS'!O:W,4,0)))</f>
        <v>3</v>
      </c>
      <c r="F142" s="11">
        <f>IF(VLOOKUP(A142,'[1]LISTA ETIQUETAS'!O:W,5,0)="",(VLOOKUP(A142,'[1]LISTA ETIQUETAS'!O:W,7,0)),(VLOOKUP(A142,'[1]LISTA ETIQUETAS'!O:W,5,0)))</f>
        <v>1.02</v>
      </c>
      <c r="G142" s="11">
        <f>IFERROR((VLOOKUP(A142,'[1]LISTA ETIQUETAS'!O:X,8,0)),"")</f>
        <v>0.82</v>
      </c>
      <c r="H142" s="11">
        <f>IFERROR((VLOOKUP(A142,'[1]LISTA ETIQUETAS'!O:X,9,0)),"")</f>
        <v>0</v>
      </c>
      <c r="I142" s="12">
        <f>IFERROR((VLOOKUP(A142,'[1]LISTA ETIQUETAS'!O:Y,11,0)),"")</f>
        <v>38272.639999999999</v>
      </c>
      <c r="J142" s="6">
        <v>0</v>
      </c>
      <c r="K142" s="12">
        <f t="shared" si="6"/>
        <v>38272.639999999999</v>
      </c>
      <c r="L142" s="7" t="str">
        <f>IF(VLOOKUP(A142,'[1]LISTA ETIQUETAS'!O:AB,14,0)="","",(VLOOKUP(A142,'[1]LISTA ETIQUETAS'!O:AB,14,0)))</f>
        <v>AG</v>
      </c>
      <c r="M142" s="8" t="s">
        <v>125</v>
      </c>
      <c r="N142" s="9" t="str">
        <f t="shared" si="7"/>
        <v>233163 | 233162</v>
      </c>
      <c r="O142" s="2">
        <f>_xlfn.XLOOKUP($A142,'[1]LISTA ETIQUETAS'!$O:$O,'[1]LISTA ETIQUETAS'!C:C,"",0)</f>
        <v>0</v>
      </c>
      <c r="P142" s="2">
        <f>_xlfn.XLOOKUP($A142,'[1]LISTA ETIQUETAS'!$O:$O,'[1]LISTA ETIQUETAS'!D:D,"",0)</f>
        <v>0</v>
      </c>
      <c r="Q142" s="2">
        <f>_xlfn.XLOOKUP($A142,'[1]LISTA ETIQUETAS'!$O:$O,'[1]LISTA ETIQUETAS'!E:E,"",0)</f>
        <v>0</v>
      </c>
      <c r="R142" s="2">
        <f>_xlfn.XLOOKUP($A142,'[1]LISTA ETIQUETAS'!$O:$O,'[1]LISTA ETIQUETAS'!F:F,"",0)</f>
        <v>0</v>
      </c>
      <c r="S142" s="2">
        <f>_xlfn.XLOOKUP($A142,'[1]LISTA ETIQUETAS'!$O:$O,'[1]LISTA ETIQUETAS'!H:H,"",0)</f>
        <v>1</v>
      </c>
      <c r="T142" s="9">
        <f t="shared" si="8"/>
        <v>1</v>
      </c>
    </row>
    <row r="143" spans="1:20" x14ac:dyDescent="0.25">
      <c r="A143" s="5">
        <v>178912</v>
      </c>
      <c r="B143" t="str">
        <f>IFERROR((VLOOKUP(A143,'[1]LISTA ETIQUETAS'!O:X,3,0)),"PRODUTO SEM ESTOQUE")</f>
        <v>EST MODULO BRACO DIR CLICK (B25) TC B2034 C/KIT MOTOR TOUCH</v>
      </c>
      <c r="C143" s="10" t="s">
        <v>13</v>
      </c>
      <c r="D143" s="10" t="s">
        <v>126</v>
      </c>
      <c r="E143" s="11">
        <f>IF(VLOOKUP(A143,'[1]LISTA ETIQUETAS'!O:W,4,0)="",(VLOOKUP(A143,'[1]LISTA ETIQUETAS'!O:W,6,0)),(VLOOKUP(A143,'[1]LISTA ETIQUETAS'!O:W,4,0)))</f>
        <v>2.9</v>
      </c>
      <c r="F143" s="11">
        <f>IF(VLOOKUP(A143,'[1]LISTA ETIQUETAS'!O:W,5,0)="",(VLOOKUP(A143,'[1]LISTA ETIQUETAS'!O:W,7,0)),(VLOOKUP(A143,'[1]LISTA ETIQUETAS'!O:W,5,0)))</f>
        <v>1.3</v>
      </c>
      <c r="G143" s="11">
        <f>IFERROR((VLOOKUP(A143,'[1]LISTA ETIQUETAS'!O:X,8,0)),"")</f>
        <v>0.66</v>
      </c>
      <c r="H143" s="11">
        <f>IFERROR((VLOOKUP(A143,'[1]LISTA ETIQUETAS'!O:X,9,0)),"")</f>
        <v>0</v>
      </c>
      <c r="I143" s="12">
        <f>IFERROR((VLOOKUP(A143,'[1]LISTA ETIQUETAS'!O:Y,11,0)),"")</f>
        <v>32166.400000000001</v>
      </c>
      <c r="J143" s="6">
        <v>0</v>
      </c>
      <c r="K143" s="12">
        <f t="shared" si="6"/>
        <v>32166.400000000001</v>
      </c>
      <c r="L143" s="7" t="str">
        <f>IF(VLOOKUP(A143,'[1]LISTA ETIQUETAS'!O:AB,14,0)="","",(VLOOKUP(A143,'[1]LISTA ETIQUETAS'!O:AB,14,0)))</f>
        <v>AE</v>
      </c>
      <c r="M143" s="8" t="s">
        <v>127</v>
      </c>
      <c r="N143" s="9" t="str">
        <f t="shared" si="7"/>
        <v>178912 | 178910</v>
      </c>
      <c r="O143" s="2">
        <f>_xlfn.XLOOKUP($A143,'[1]LISTA ETIQUETAS'!$O:$O,'[1]LISTA ETIQUETAS'!C:C,"",0)</f>
        <v>0</v>
      </c>
      <c r="P143" s="2">
        <f>_xlfn.XLOOKUP($A143,'[1]LISTA ETIQUETAS'!$O:$O,'[1]LISTA ETIQUETAS'!D:D,"",0)</f>
        <v>0</v>
      </c>
      <c r="Q143" s="2">
        <f>_xlfn.XLOOKUP($A143,'[1]LISTA ETIQUETAS'!$O:$O,'[1]LISTA ETIQUETAS'!E:E,"",0)</f>
        <v>0</v>
      </c>
      <c r="R143" s="2">
        <f>_xlfn.XLOOKUP($A143,'[1]LISTA ETIQUETAS'!$O:$O,'[1]LISTA ETIQUETAS'!F:F,"",0)</f>
        <v>0</v>
      </c>
      <c r="S143" s="2">
        <f>_xlfn.XLOOKUP($A143,'[1]LISTA ETIQUETAS'!$O:$O,'[1]LISTA ETIQUETAS'!H:H,"",0)</f>
        <v>1</v>
      </c>
      <c r="T143" s="9">
        <f t="shared" si="8"/>
        <v>1</v>
      </c>
    </row>
    <row r="144" spans="1:20" x14ac:dyDescent="0.25">
      <c r="A144" s="5">
        <v>178910</v>
      </c>
      <c r="B144" t="str">
        <f>IFERROR((VLOOKUP(A144,'[1]LISTA ETIQUETAS'!O:X,3,0)),"PRODUTO SEM ESTOQUE")</f>
        <v>EST MODULO BRACO ESQ CLICK (B25) TC B2034 C/KIT MOTOR TOUCH</v>
      </c>
      <c r="C144" s="10" t="s">
        <v>13</v>
      </c>
      <c r="D144" s="10" t="s">
        <v>126</v>
      </c>
      <c r="E144" s="11">
        <f>IF(VLOOKUP(A144,'[1]LISTA ETIQUETAS'!O:W,4,0)="",(VLOOKUP(A144,'[1]LISTA ETIQUETAS'!O:W,6,0)),(VLOOKUP(A144,'[1]LISTA ETIQUETAS'!O:W,4,0)))</f>
        <v>2.9</v>
      </c>
      <c r="F144" s="11">
        <f>IF(VLOOKUP(A144,'[1]LISTA ETIQUETAS'!O:W,5,0)="",(VLOOKUP(A144,'[1]LISTA ETIQUETAS'!O:W,7,0)),(VLOOKUP(A144,'[1]LISTA ETIQUETAS'!O:W,5,0)))</f>
        <v>1.3</v>
      </c>
      <c r="G144" s="11">
        <f>IFERROR((VLOOKUP(A144,'[1]LISTA ETIQUETAS'!O:X,8,0)),"")</f>
        <v>0.66</v>
      </c>
      <c r="H144" s="11">
        <f>IFERROR((VLOOKUP(A144,'[1]LISTA ETIQUETAS'!O:X,9,0)),"")</f>
        <v>0</v>
      </c>
      <c r="I144" s="12">
        <f>IFERROR((VLOOKUP(A144,'[1]LISTA ETIQUETAS'!O:Y,11,0)),"")</f>
        <v>32166.400000000001</v>
      </c>
      <c r="J144" s="6">
        <v>0</v>
      </c>
      <c r="K144" s="12">
        <f t="shared" si="6"/>
        <v>32166.400000000001</v>
      </c>
      <c r="L144" s="7" t="str">
        <f>IF(VLOOKUP(A144,'[1]LISTA ETIQUETAS'!O:AB,14,0)="","",(VLOOKUP(A144,'[1]LISTA ETIQUETAS'!O:AB,14,0)))</f>
        <v>AE</v>
      </c>
      <c r="M144" s="8" t="s">
        <v>127</v>
      </c>
      <c r="N144" s="9" t="str">
        <f t="shared" si="7"/>
        <v>178912 | 178910</v>
      </c>
      <c r="O144" s="2">
        <f>_xlfn.XLOOKUP($A144,'[1]LISTA ETIQUETAS'!$O:$O,'[1]LISTA ETIQUETAS'!C:C,"",0)</f>
        <v>0</v>
      </c>
      <c r="P144" s="2">
        <f>_xlfn.XLOOKUP($A144,'[1]LISTA ETIQUETAS'!$O:$O,'[1]LISTA ETIQUETAS'!D:D,"",0)</f>
        <v>0</v>
      </c>
      <c r="Q144" s="2">
        <f>_xlfn.XLOOKUP($A144,'[1]LISTA ETIQUETAS'!$O:$O,'[1]LISTA ETIQUETAS'!E:E,"",0)</f>
        <v>0</v>
      </c>
      <c r="R144" s="2">
        <f>_xlfn.XLOOKUP($A144,'[1]LISTA ETIQUETAS'!$O:$O,'[1]LISTA ETIQUETAS'!F:F,"",0)</f>
        <v>0</v>
      </c>
      <c r="S144" s="2">
        <f>_xlfn.XLOOKUP($A144,'[1]LISTA ETIQUETAS'!$O:$O,'[1]LISTA ETIQUETAS'!H:H,"",0)</f>
        <v>1</v>
      </c>
      <c r="T144" s="9">
        <f t="shared" si="8"/>
        <v>1</v>
      </c>
    </row>
    <row r="145" spans="1:20" x14ac:dyDescent="0.25">
      <c r="A145" s="5">
        <v>277833</v>
      </c>
      <c r="B145" t="str">
        <f>IFERROR((VLOOKUP(A145,'[1]LISTA ETIQUETAS'!O:X,3,0)),"PRODUTO SEM ESTOQUE")</f>
        <v>EST MODULO BRACO DIREITO C/PUFF AURORA FX6587/MTZ PRATA</v>
      </c>
      <c r="C145" s="10" t="s">
        <v>13</v>
      </c>
      <c r="D145" s="10" t="s">
        <v>93</v>
      </c>
      <c r="E145" s="11">
        <f>IF(VLOOKUP(A145,'[1]LISTA ETIQUETAS'!O:W,4,0)="",(VLOOKUP(A145,'[1]LISTA ETIQUETAS'!O:W,6,0)),(VLOOKUP(A145,'[1]LISTA ETIQUETAS'!O:W,4,0)))</f>
        <v>3.79</v>
      </c>
      <c r="F145" s="11">
        <f>IF(VLOOKUP(A145,'[1]LISTA ETIQUETAS'!O:W,5,0)="",(VLOOKUP(A145,'[1]LISTA ETIQUETAS'!O:W,7,0)),(VLOOKUP(A145,'[1]LISTA ETIQUETAS'!O:W,5,0)))</f>
        <v>0.87</v>
      </c>
      <c r="G145" s="11">
        <f>IFERROR((VLOOKUP(A145,'[1]LISTA ETIQUETAS'!O:X,8,0)),"")</f>
        <v>0.7</v>
      </c>
      <c r="H145" s="11">
        <f>IFERROR((VLOOKUP(A145,'[1]LISTA ETIQUETAS'!O:X,9,0)),"")</f>
        <v>0</v>
      </c>
      <c r="I145" s="12">
        <f>IFERROR((VLOOKUP(A145,'[1]LISTA ETIQUETAS'!O:Y,11,0)),"")</f>
        <v>49695.479999999996</v>
      </c>
      <c r="J145" s="6">
        <v>0</v>
      </c>
      <c r="K145" s="12">
        <f t="shared" si="6"/>
        <v>49695.479999999996</v>
      </c>
      <c r="L145" s="7" t="str">
        <f>IF(VLOOKUP(A145,'[1]LISTA ETIQUETAS'!O:AB,14,0)="","",(VLOOKUP(A145,'[1]LISTA ETIQUETAS'!O:AB,14,0)))</f>
        <v>AD</v>
      </c>
      <c r="M145" s="8" t="s">
        <v>128</v>
      </c>
      <c r="N145" s="9" t="str">
        <f t="shared" si="7"/>
        <v>277833 | 277830</v>
      </c>
      <c r="O145" s="2">
        <f>_xlfn.XLOOKUP($A145,'[1]LISTA ETIQUETAS'!$O:$O,'[1]LISTA ETIQUETAS'!C:C,"",0)</f>
        <v>0</v>
      </c>
      <c r="P145" s="2">
        <f>_xlfn.XLOOKUP($A145,'[1]LISTA ETIQUETAS'!$O:$O,'[1]LISTA ETIQUETAS'!D:D,"",0)</f>
        <v>0</v>
      </c>
      <c r="Q145" s="2">
        <f>_xlfn.XLOOKUP($A145,'[1]LISTA ETIQUETAS'!$O:$O,'[1]LISTA ETIQUETAS'!E:E,"",0)</f>
        <v>0</v>
      </c>
      <c r="R145" s="2">
        <f>_xlfn.XLOOKUP($A145,'[1]LISTA ETIQUETAS'!$O:$O,'[1]LISTA ETIQUETAS'!F:F,"",0)</f>
        <v>0</v>
      </c>
      <c r="S145" s="2">
        <f>_xlfn.XLOOKUP($A145,'[1]LISTA ETIQUETAS'!$O:$O,'[1]LISTA ETIQUETAS'!H:H,"",0)</f>
        <v>1</v>
      </c>
      <c r="T145" s="9">
        <f t="shared" si="8"/>
        <v>1</v>
      </c>
    </row>
    <row r="146" spans="1:20" x14ac:dyDescent="0.25">
      <c r="A146" s="5">
        <v>277830</v>
      </c>
      <c r="B146" t="str">
        <f>IFERROR((VLOOKUP(A146,'[1]LISTA ETIQUETAS'!O:X,3,0)),"PRODUTO SEM ESTOQUE")</f>
        <v>EST MODULO BRACO ESQUERDO AURORA FX6587/MTZ PRATA</v>
      </c>
      <c r="C146" s="10" t="s">
        <v>13</v>
      </c>
      <c r="D146" s="10" t="s">
        <v>93</v>
      </c>
      <c r="E146" s="11">
        <f>IF(VLOOKUP(A146,'[1]LISTA ETIQUETAS'!O:W,4,0)="",(VLOOKUP(A146,'[1]LISTA ETIQUETAS'!O:W,6,0)),(VLOOKUP(A146,'[1]LISTA ETIQUETAS'!O:W,4,0)))</f>
        <v>3.79</v>
      </c>
      <c r="F146" s="11">
        <f>IF(VLOOKUP(A146,'[1]LISTA ETIQUETAS'!O:W,5,0)="",(VLOOKUP(A146,'[1]LISTA ETIQUETAS'!O:W,7,0)),(VLOOKUP(A146,'[1]LISTA ETIQUETAS'!O:W,5,0)))</f>
        <v>0.87</v>
      </c>
      <c r="G146" s="11">
        <f>IFERROR((VLOOKUP(A146,'[1]LISTA ETIQUETAS'!O:X,8,0)),"")</f>
        <v>0.7</v>
      </c>
      <c r="H146" s="11">
        <f>IFERROR((VLOOKUP(A146,'[1]LISTA ETIQUETAS'!O:X,9,0)),"")</f>
        <v>0</v>
      </c>
      <c r="I146" s="12">
        <f>IFERROR((VLOOKUP(A146,'[1]LISTA ETIQUETAS'!O:Y,11,0)),"")</f>
        <v>49695.479999999996</v>
      </c>
      <c r="J146" s="6">
        <v>0</v>
      </c>
      <c r="K146" s="12">
        <f t="shared" si="6"/>
        <v>49695.479999999996</v>
      </c>
      <c r="L146" s="7" t="str">
        <f>IF(VLOOKUP(A146,'[1]LISTA ETIQUETAS'!O:AB,14,0)="","",(VLOOKUP(A146,'[1]LISTA ETIQUETAS'!O:AB,14,0)))</f>
        <v>AD</v>
      </c>
      <c r="M146" s="8" t="s">
        <v>128</v>
      </c>
      <c r="N146" s="9" t="str">
        <f t="shared" si="7"/>
        <v>277833 | 277830</v>
      </c>
      <c r="O146" s="2">
        <f>_xlfn.XLOOKUP($A146,'[1]LISTA ETIQUETAS'!$O:$O,'[1]LISTA ETIQUETAS'!C:C,"",0)</f>
        <v>0</v>
      </c>
      <c r="P146" s="2">
        <f>_xlfn.XLOOKUP($A146,'[1]LISTA ETIQUETAS'!$O:$O,'[1]LISTA ETIQUETAS'!D:D,"",0)</f>
        <v>0</v>
      </c>
      <c r="Q146" s="2">
        <f>_xlfn.XLOOKUP($A146,'[1]LISTA ETIQUETAS'!$O:$O,'[1]LISTA ETIQUETAS'!E:E,"",0)</f>
        <v>0</v>
      </c>
      <c r="R146" s="2">
        <f>_xlfn.XLOOKUP($A146,'[1]LISTA ETIQUETAS'!$O:$O,'[1]LISTA ETIQUETAS'!F:F,"",0)</f>
        <v>0</v>
      </c>
      <c r="S146" s="2">
        <f>_xlfn.XLOOKUP($A146,'[1]LISTA ETIQUETAS'!$O:$O,'[1]LISTA ETIQUETAS'!H:H,"",0)</f>
        <v>1</v>
      </c>
      <c r="T146" s="9">
        <f t="shared" si="8"/>
        <v>1</v>
      </c>
    </row>
    <row r="147" spans="1:20" x14ac:dyDescent="0.25">
      <c r="A147" s="5">
        <v>381908</v>
      </c>
      <c r="B147" t="str">
        <f>IFERROR((VLOOKUP(A147,'[1]LISTA ETIQUETAS'!O:X,3,0)),"PRODUTO SEM ESTOQUE")</f>
        <v>EST MODULO ANGULAR DIR S/B HIMALAYA (CON) COURO FIRENZE 12</v>
      </c>
      <c r="C147" s="10" t="s">
        <v>13</v>
      </c>
      <c r="D147" s="10" t="s">
        <v>47</v>
      </c>
      <c r="E147" s="11">
        <f>IF(VLOOKUP(A147,'[1]LISTA ETIQUETAS'!O:W,4,0)="",(VLOOKUP(A147,'[1]LISTA ETIQUETAS'!O:W,6,0)),(VLOOKUP(A147,'[1]LISTA ETIQUETAS'!O:W,4,0)))</f>
        <v>5.05</v>
      </c>
      <c r="F147" s="11">
        <f>IF(VLOOKUP(A147,'[1]LISTA ETIQUETAS'!O:W,5,0)="",(VLOOKUP(A147,'[1]LISTA ETIQUETAS'!O:W,7,0)),(VLOOKUP(A147,'[1]LISTA ETIQUETAS'!O:W,5,0)))</f>
        <v>1.05</v>
      </c>
      <c r="G147" s="11">
        <f>IFERROR((VLOOKUP(A147,'[1]LISTA ETIQUETAS'!O:X,8,0)),"")</f>
        <v>0.74</v>
      </c>
      <c r="H147" s="11">
        <f>IFERROR((VLOOKUP(A147,'[1]LISTA ETIQUETAS'!O:X,9,0)),"")</f>
        <v>0</v>
      </c>
      <c r="I147" s="12">
        <f>IFERROR((VLOOKUP(A147,'[1]LISTA ETIQUETAS'!O:Y,11,0)),"")</f>
        <v>94963.58</v>
      </c>
      <c r="J147" s="6">
        <v>0</v>
      </c>
      <c r="K147" s="12">
        <f t="shared" si="6"/>
        <v>94963.58</v>
      </c>
      <c r="L147" s="7" t="str">
        <f>IF(VLOOKUP(A147,'[1]LISTA ETIQUETAS'!O:AB,14,0)="","",(VLOOKUP(A147,'[1]LISTA ETIQUETAS'!O:AB,14,0)))</f>
        <v>AC</v>
      </c>
      <c r="M147" s="8" t="s">
        <v>129</v>
      </c>
      <c r="N147" s="9" t="str">
        <f t="shared" si="7"/>
        <v>381908 | 381907 | 381905</v>
      </c>
      <c r="O147" s="2">
        <f>_xlfn.XLOOKUP($A147,'[1]LISTA ETIQUETAS'!$O:$O,'[1]LISTA ETIQUETAS'!C:C,"",0)</f>
        <v>0</v>
      </c>
      <c r="P147" s="2">
        <f>_xlfn.XLOOKUP($A147,'[1]LISTA ETIQUETAS'!$O:$O,'[1]LISTA ETIQUETAS'!D:D,"",0)</f>
        <v>0</v>
      </c>
      <c r="Q147" s="2">
        <f>_xlfn.XLOOKUP($A147,'[1]LISTA ETIQUETAS'!$O:$O,'[1]LISTA ETIQUETAS'!E:E,"",0)</f>
        <v>0</v>
      </c>
      <c r="R147" s="2">
        <f>_xlfn.XLOOKUP($A147,'[1]LISTA ETIQUETAS'!$O:$O,'[1]LISTA ETIQUETAS'!F:F,"",0)</f>
        <v>0</v>
      </c>
      <c r="S147" s="2">
        <f>_xlfn.XLOOKUP($A147,'[1]LISTA ETIQUETAS'!$O:$O,'[1]LISTA ETIQUETAS'!H:H,"",0)</f>
        <v>1</v>
      </c>
      <c r="T147" s="9">
        <f t="shared" si="8"/>
        <v>1</v>
      </c>
    </row>
    <row r="148" spans="1:20" x14ac:dyDescent="0.25">
      <c r="A148" s="5">
        <v>381907</v>
      </c>
      <c r="B148" t="str">
        <f>IFERROR((VLOOKUP(A148,'[1]LISTA ETIQUETAS'!O:X,3,0)),"PRODUTO SEM ESTOQUE")</f>
        <v>EST MODULO ANGULAR ESQ S/B HIMALAYA (CON) COURO FIRENZE12</v>
      </c>
      <c r="C148" s="10" t="s">
        <v>13</v>
      </c>
      <c r="D148" s="10" t="s">
        <v>47</v>
      </c>
      <c r="E148" s="11">
        <f>IF(VLOOKUP(A148,'[1]LISTA ETIQUETAS'!O:W,4,0)="",(VLOOKUP(A148,'[1]LISTA ETIQUETAS'!O:W,6,0)),(VLOOKUP(A148,'[1]LISTA ETIQUETAS'!O:W,4,0)))</f>
        <v>5.05</v>
      </c>
      <c r="F148" s="11">
        <f>IF(VLOOKUP(A148,'[1]LISTA ETIQUETAS'!O:W,5,0)="",(VLOOKUP(A148,'[1]LISTA ETIQUETAS'!O:W,7,0)),(VLOOKUP(A148,'[1]LISTA ETIQUETAS'!O:W,5,0)))</f>
        <v>1.05</v>
      </c>
      <c r="G148" s="11">
        <f>IFERROR((VLOOKUP(A148,'[1]LISTA ETIQUETAS'!O:X,8,0)),"")</f>
        <v>0.74</v>
      </c>
      <c r="H148" s="11">
        <f>IFERROR((VLOOKUP(A148,'[1]LISTA ETIQUETAS'!O:X,9,0)),"")</f>
        <v>0</v>
      </c>
      <c r="I148" s="12">
        <f>IFERROR((VLOOKUP(A148,'[1]LISTA ETIQUETAS'!O:Y,11,0)),"")</f>
        <v>94963.58</v>
      </c>
      <c r="J148" s="6">
        <v>0</v>
      </c>
      <c r="K148" s="12">
        <f t="shared" si="6"/>
        <v>94963.58</v>
      </c>
      <c r="L148" s="7" t="str">
        <f>IF(VLOOKUP(A148,'[1]LISTA ETIQUETAS'!O:AB,14,0)="","",(VLOOKUP(A148,'[1]LISTA ETIQUETAS'!O:AB,14,0)))</f>
        <v>AC</v>
      </c>
      <c r="M148" s="8" t="s">
        <v>129</v>
      </c>
      <c r="N148" s="9" t="str">
        <f t="shared" si="7"/>
        <v>381908 | 381907 | 381905</v>
      </c>
      <c r="O148" s="2">
        <f>_xlfn.XLOOKUP($A148,'[1]LISTA ETIQUETAS'!$O:$O,'[1]LISTA ETIQUETAS'!C:C,"",0)</f>
        <v>0</v>
      </c>
      <c r="P148" s="2">
        <f>_xlfn.XLOOKUP($A148,'[1]LISTA ETIQUETAS'!$O:$O,'[1]LISTA ETIQUETAS'!D:D,"",0)</f>
        <v>0</v>
      </c>
      <c r="Q148" s="2">
        <f>_xlfn.XLOOKUP($A148,'[1]LISTA ETIQUETAS'!$O:$O,'[1]LISTA ETIQUETAS'!E:E,"",0)</f>
        <v>0</v>
      </c>
      <c r="R148" s="2">
        <f>_xlfn.XLOOKUP($A148,'[1]LISTA ETIQUETAS'!$O:$O,'[1]LISTA ETIQUETAS'!F:F,"",0)</f>
        <v>0</v>
      </c>
      <c r="S148" s="2">
        <f>_xlfn.XLOOKUP($A148,'[1]LISTA ETIQUETAS'!$O:$O,'[1]LISTA ETIQUETAS'!H:H,"",0)</f>
        <v>1</v>
      </c>
      <c r="T148" s="9">
        <f t="shared" si="8"/>
        <v>1</v>
      </c>
    </row>
    <row r="149" spans="1:20" x14ac:dyDescent="0.25">
      <c r="A149" s="5">
        <v>381905</v>
      </c>
      <c r="B149" t="str">
        <f>IFERROR((VLOOKUP(A149,'[1]LISTA ETIQUETAS'!O:X,3,0)),"PRODUTO SEM ESTOQUE")</f>
        <v>EST MODULO PUFF HIMALAYA (CON) COURO FIRENZE 12</v>
      </c>
      <c r="C149" s="10" t="s">
        <v>13</v>
      </c>
      <c r="D149" s="10" t="s">
        <v>47</v>
      </c>
      <c r="E149" s="11">
        <f>IF(VLOOKUP(A149,'[1]LISTA ETIQUETAS'!O:W,4,0)="",(VLOOKUP(A149,'[1]LISTA ETIQUETAS'!O:W,6,0)),(VLOOKUP(A149,'[1]LISTA ETIQUETAS'!O:W,4,0)))</f>
        <v>5.05</v>
      </c>
      <c r="F149" s="11">
        <f>IF(VLOOKUP(A149,'[1]LISTA ETIQUETAS'!O:W,5,0)="",(VLOOKUP(A149,'[1]LISTA ETIQUETAS'!O:W,7,0)),(VLOOKUP(A149,'[1]LISTA ETIQUETAS'!O:W,5,0)))</f>
        <v>1.05</v>
      </c>
      <c r="G149" s="11">
        <f>IFERROR((VLOOKUP(A149,'[1]LISTA ETIQUETAS'!O:X,8,0)),"")</f>
        <v>0.42</v>
      </c>
      <c r="H149" s="11">
        <f>IFERROR((VLOOKUP(A149,'[1]LISTA ETIQUETAS'!O:X,9,0)),"")</f>
        <v>0</v>
      </c>
      <c r="I149" s="12">
        <f>IFERROR((VLOOKUP(A149,'[1]LISTA ETIQUETAS'!O:Y,11,0)),"")</f>
        <v>94963.58</v>
      </c>
      <c r="J149" s="6">
        <v>0</v>
      </c>
      <c r="K149" s="12">
        <f t="shared" si="6"/>
        <v>94963.58</v>
      </c>
      <c r="L149" s="7" t="str">
        <f>IF(VLOOKUP(A149,'[1]LISTA ETIQUETAS'!O:AB,14,0)="","",(VLOOKUP(A149,'[1]LISTA ETIQUETAS'!O:AB,14,0)))</f>
        <v>AC</v>
      </c>
      <c r="M149" s="8" t="s">
        <v>129</v>
      </c>
      <c r="N149" s="9" t="str">
        <f t="shared" si="7"/>
        <v>381908 | 381907 | 381905</v>
      </c>
      <c r="O149" s="2">
        <f>_xlfn.XLOOKUP($A149,'[1]LISTA ETIQUETAS'!$O:$O,'[1]LISTA ETIQUETAS'!C:C,"",0)</f>
        <v>0</v>
      </c>
      <c r="P149" s="2">
        <f>_xlfn.XLOOKUP($A149,'[1]LISTA ETIQUETAS'!$O:$O,'[1]LISTA ETIQUETAS'!D:D,"",0)</f>
        <v>0</v>
      </c>
      <c r="Q149" s="2">
        <f>_xlfn.XLOOKUP($A149,'[1]LISTA ETIQUETAS'!$O:$O,'[1]LISTA ETIQUETAS'!E:E,"",0)</f>
        <v>0</v>
      </c>
      <c r="R149" s="2">
        <f>_xlfn.XLOOKUP($A149,'[1]LISTA ETIQUETAS'!$O:$O,'[1]LISTA ETIQUETAS'!F:F,"",0)</f>
        <v>0</v>
      </c>
      <c r="S149" s="2">
        <f>_xlfn.XLOOKUP($A149,'[1]LISTA ETIQUETAS'!$O:$O,'[1]LISTA ETIQUETAS'!H:H,"",0)</f>
        <v>1</v>
      </c>
      <c r="T149" s="9">
        <f t="shared" si="8"/>
        <v>1</v>
      </c>
    </row>
    <row r="150" spans="1:20" x14ac:dyDescent="0.25">
      <c r="A150" s="5">
        <v>406188</v>
      </c>
      <c r="B150" t="str">
        <f>IFERROR((VLOOKUP(A150,'[1]LISTA ETIQUETAS'!O:X,3,0)),"PRODUTO SEM ESTOQUE")</f>
        <v>EST ALMOFADA CLAMI (VIVO) TC TRAMADO AZUL/LISO AZUL</v>
      </c>
      <c r="C150" s="10" t="s">
        <v>130</v>
      </c>
      <c r="D150" s="10" t="s">
        <v>131</v>
      </c>
      <c r="E150" s="11">
        <f>IF(VLOOKUP(A150,'[1]LISTA ETIQUETAS'!O:W,4,0)="",(VLOOKUP(A150,'[1]LISTA ETIQUETAS'!O:W,6,0)),(VLOOKUP(A150,'[1]LISTA ETIQUETAS'!O:W,4,0)))</f>
        <v>0.5</v>
      </c>
      <c r="F150" s="11">
        <f>IF(VLOOKUP(A150,'[1]LISTA ETIQUETAS'!O:W,5,0)="",(VLOOKUP(A150,'[1]LISTA ETIQUETAS'!O:W,7,0)),(VLOOKUP(A150,'[1]LISTA ETIQUETAS'!O:W,5,0)))</f>
        <v>0.5</v>
      </c>
      <c r="G150" s="11">
        <f>IFERROR((VLOOKUP(A150,'[1]LISTA ETIQUETAS'!O:X,8,0)),"")</f>
        <v>0</v>
      </c>
      <c r="H150" s="11">
        <f>IFERROR((VLOOKUP(A150,'[1]LISTA ETIQUETAS'!O:X,9,0)),"")</f>
        <v>0</v>
      </c>
      <c r="I150" s="12">
        <f>IFERROR((VLOOKUP(A150,'[1]LISTA ETIQUETAS'!O:Y,11,0)),"")</f>
        <v>443.52</v>
      </c>
      <c r="J150" s="6">
        <v>0</v>
      </c>
      <c r="K150" s="12">
        <f t="shared" si="6"/>
        <v>443.52</v>
      </c>
      <c r="L150" s="7" t="str">
        <f>IF(VLOOKUP(A150,'[1]LISTA ETIQUETAS'!O:AB,14,0)="","",(VLOOKUP(A150,'[1]LISTA ETIQUETAS'!O:AB,14,0)))</f>
        <v/>
      </c>
      <c r="M150" s="8"/>
      <c r="N150" s="9">
        <f t="shared" si="7"/>
        <v>406188</v>
      </c>
      <c r="O150" s="2">
        <f>_xlfn.XLOOKUP($A150,'[1]LISTA ETIQUETAS'!$O:$O,'[1]LISTA ETIQUETAS'!C:C,"",0)</f>
        <v>3</v>
      </c>
      <c r="P150" s="2">
        <f>_xlfn.XLOOKUP($A150,'[1]LISTA ETIQUETAS'!$O:$O,'[1]LISTA ETIQUETAS'!D:D,"",0)</f>
        <v>0</v>
      </c>
      <c r="Q150" s="2">
        <f>_xlfn.XLOOKUP($A150,'[1]LISTA ETIQUETAS'!$O:$O,'[1]LISTA ETIQUETAS'!E:E,"",0)</f>
        <v>0</v>
      </c>
      <c r="R150" s="2">
        <f>_xlfn.XLOOKUP($A150,'[1]LISTA ETIQUETAS'!$O:$O,'[1]LISTA ETIQUETAS'!F:F,"",0)</f>
        <v>0</v>
      </c>
      <c r="S150" s="2">
        <f>_xlfn.XLOOKUP($A150,'[1]LISTA ETIQUETAS'!$O:$O,'[1]LISTA ETIQUETAS'!H:H,"",0)</f>
        <v>3</v>
      </c>
      <c r="T150" s="9">
        <f t="shared" si="8"/>
        <v>6</v>
      </c>
    </row>
    <row r="151" spans="1:20" x14ac:dyDescent="0.25">
      <c r="A151" s="5">
        <v>379867</v>
      </c>
      <c r="B151" t="str">
        <f>IFERROR((VLOOKUP(A151,'[1]LISTA ETIQUETAS'!O:X,3,0)),"PRODUTO SEM ESTOQUE")</f>
        <v>EST BANDEJA MONDRIAN (DARK BRONZE) MAMMUT</v>
      </c>
      <c r="C151" s="10" t="s">
        <v>130</v>
      </c>
      <c r="D151" s="10" t="s">
        <v>132</v>
      </c>
      <c r="E151" s="11">
        <f>IF(VLOOKUP(A151,'[1]LISTA ETIQUETAS'!O:W,4,0)="",(VLOOKUP(A151,'[1]LISTA ETIQUETAS'!O:W,6,0)),(VLOOKUP(A151,'[1]LISTA ETIQUETAS'!O:W,4,0)))</f>
        <v>0.56000000000000005</v>
      </c>
      <c r="F151" s="11">
        <f>IF(VLOOKUP(A151,'[1]LISTA ETIQUETAS'!O:W,5,0)="",(VLOOKUP(A151,'[1]LISTA ETIQUETAS'!O:W,7,0)),(VLOOKUP(A151,'[1]LISTA ETIQUETAS'!O:W,5,0)))</f>
        <v>0.41</v>
      </c>
      <c r="G151" s="11">
        <f>IFERROR((VLOOKUP(A151,'[1]LISTA ETIQUETAS'!O:X,8,0)),"")</f>
        <v>0.04</v>
      </c>
      <c r="H151" s="11">
        <f>IFERROR((VLOOKUP(A151,'[1]LISTA ETIQUETAS'!O:X,9,0)),"")</f>
        <v>0</v>
      </c>
      <c r="I151" s="12">
        <f>IFERROR((VLOOKUP(A151,'[1]LISTA ETIQUETAS'!O:Y,11,0)),"")</f>
        <v>4954.84</v>
      </c>
      <c r="J151" s="6">
        <v>0</v>
      </c>
      <c r="K151" s="12">
        <f t="shared" si="6"/>
        <v>4954.84</v>
      </c>
      <c r="L151" s="7" t="str">
        <f>IF(VLOOKUP(A151,'[1]LISTA ETIQUETAS'!O:AB,14,0)="","",(VLOOKUP(A151,'[1]LISTA ETIQUETAS'!O:AB,14,0)))</f>
        <v/>
      </c>
      <c r="M151" s="8"/>
      <c r="N151" s="9">
        <f t="shared" si="7"/>
        <v>379867</v>
      </c>
      <c r="O151" s="2">
        <f>_xlfn.XLOOKUP($A151,'[1]LISTA ETIQUETAS'!$O:$O,'[1]LISTA ETIQUETAS'!C:C,"",0)</f>
        <v>2</v>
      </c>
      <c r="P151" s="2">
        <f>_xlfn.XLOOKUP($A151,'[1]LISTA ETIQUETAS'!$O:$O,'[1]LISTA ETIQUETAS'!D:D,"",0)</f>
        <v>1</v>
      </c>
      <c r="Q151" s="2">
        <f>_xlfn.XLOOKUP($A151,'[1]LISTA ETIQUETAS'!$O:$O,'[1]LISTA ETIQUETAS'!E:E,"",0)</f>
        <v>0</v>
      </c>
      <c r="R151" s="2">
        <f>_xlfn.XLOOKUP($A151,'[1]LISTA ETIQUETAS'!$O:$O,'[1]LISTA ETIQUETAS'!F:F,"",0)</f>
        <v>5</v>
      </c>
      <c r="S151" s="2">
        <f>_xlfn.XLOOKUP($A151,'[1]LISTA ETIQUETAS'!$O:$O,'[1]LISTA ETIQUETAS'!H:H,"",0)</f>
        <v>1</v>
      </c>
      <c r="T151" s="9">
        <f t="shared" si="8"/>
        <v>9</v>
      </c>
    </row>
    <row r="152" spans="1:20" x14ac:dyDescent="0.25">
      <c r="A152" s="5">
        <v>351076</v>
      </c>
      <c r="B152" t="str">
        <f>IFERROR((VLOOKUP(A152,'[1]LISTA ETIQUETAS'!O:X,3,0)),"PRODUTO SEM ESTOQUE")</f>
        <v>EST BANDEJA MATISSE (NOGUEIRA) (INOX COOPER)</v>
      </c>
      <c r="C152" s="10" t="s">
        <v>130</v>
      </c>
      <c r="D152" s="10" t="s">
        <v>133</v>
      </c>
      <c r="E152" s="11">
        <f>IF(VLOOKUP(A152,'[1]LISTA ETIQUETAS'!O:W,4,0)="",(VLOOKUP(A152,'[1]LISTA ETIQUETAS'!O:W,6,0)),(VLOOKUP(A152,'[1]LISTA ETIQUETAS'!O:W,4,0)))</f>
        <v>0.3</v>
      </c>
      <c r="F152" s="11">
        <f>IF(VLOOKUP(A152,'[1]LISTA ETIQUETAS'!O:W,5,0)="",(VLOOKUP(A152,'[1]LISTA ETIQUETAS'!O:W,7,0)),(VLOOKUP(A152,'[1]LISTA ETIQUETAS'!O:W,5,0)))</f>
        <v>0.3</v>
      </c>
      <c r="G152" s="11">
        <f>IFERROR((VLOOKUP(A152,'[1]LISTA ETIQUETAS'!O:X,8,0)),"")</f>
        <v>0.06</v>
      </c>
      <c r="H152" s="11">
        <f>IFERROR((VLOOKUP(A152,'[1]LISTA ETIQUETAS'!O:X,9,0)),"")</f>
        <v>0</v>
      </c>
      <c r="I152" s="12">
        <f>IFERROR((VLOOKUP(A152,'[1]LISTA ETIQUETAS'!O:Y,11,0)),"")</f>
        <v>1733.54</v>
      </c>
      <c r="J152" s="6">
        <v>0</v>
      </c>
      <c r="K152" s="12">
        <f t="shared" si="6"/>
        <v>1733.54</v>
      </c>
      <c r="L152" s="7" t="str">
        <f>IF(VLOOKUP(A152,'[1]LISTA ETIQUETAS'!O:AB,14,0)="","",(VLOOKUP(A152,'[1]LISTA ETIQUETAS'!O:AB,14,0)))</f>
        <v/>
      </c>
      <c r="M152" s="8"/>
      <c r="N152" s="9">
        <f t="shared" si="7"/>
        <v>351076</v>
      </c>
      <c r="O152" s="2">
        <f>_xlfn.XLOOKUP($A152,'[1]LISTA ETIQUETAS'!$O:$O,'[1]LISTA ETIQUETAS'!C:C,"",0)</f>
        <v>0</v>
      </c>
      <c r="P152" s="2">
        <f>_xlfn.XLOOKUP($A152,'[1]LISTA ETIQUETAS'!$O:$O,'[1]LISTA ETIQUETAS'!D:D,"",0)</f>
        <v>0</v>
      </c>
      <c r="Q152" s="2">
        <f>_xlfn.XLOOKUP($A152,'[1]LISTA ETIQUETAS'!$O:$O,'[1]LISTA ETIQUETAS'!E:E,"",0)</f>
        <v>0</v>
      </c>
      <c r="R152" s="2">
        <f>_xlfn.XLOOKUP($A152,'[1]LISTA ETIQUETAS'!$O:$O,'[1]LISTA ETIQUETAS'!F:F,"",0)</f>
        <v>0</v>
      </c>
      <c r="S152" s="2">
        <f>_xlfn.XLOOKUP($A152,'[1]LISTA ETIQUETAS'!$O:$O,'[1]LISTA ETIQUETAS'!H:H,"",0)</f>
        <v>1</v>
      </c>
      <c r="T152" s="9">
        <f t="shared" si="8"/>
        <v>1</v>
      </c>
    </row>
    <row r="153" spans="1:20" x14ac:dyDescent="0.25">
      <c r="A153" s="5">
        <v>351069</v>
      </c>
      <c r="B153" t="str">
        <f>IFERROR((VLOOKUP(A153,'[1]LISTA ETIQUETAS'!O:X,3,0)),"PRODUTO SEM ESTOQUE")</f>
        <v>EST BANDEJA MATISSE (DUETTO RUST) (PINT CHAMPAGNE)</v>
      </c>
      <c r="C153" s="10" t="s">
        <v>130</v>
      </c>
      <c r="D153" s="10" t="s">
        <v>133</v>
      </c>
      <c r="E153" s="11">
        <f>IF(VLOOKUP(A153,'[1]LISTA ETIQUETAS'!O:W,4,0)="",(VLOOKUP(A153,'[1]LISTA ETIQUETAS'!O:W,6,0)),(VLOOKUP(A153,'[1]LISTA ETIQUETAS'!O:W,4,0)))</f>
        <v>0.6</v>
      </c>
      <c r="F153" s="11">
        <f>IF(VLOOKUP(A153,'[1]LISTA ETIQUETAS'!O:W,5,0)="",(VLOOKUP(A153,'[1]LISTA ETIQUETAS'!O:W,7,0)),(VLOOKUP(A153,'[1]LISTA ETIQUETAS'!O:W,5,0)))</f>
        <v>0.3</v>
      </c>
      <c r="G153" s="11">
        <f>IFERROR((VLOOKUP(A153,'[1]LISTA ETIQUETAS'!O:X,8,0)),"")</f>
        <v>0.06</v>
      </c>
      <c r="H153" s="11">
        <f>IFERROR((VLOOKUP(A153,'[1]LISTA ETIQUETAS'!O:X,9,0)),"")</f>
        <v>0</v>
      </c>
      <c r="I153" s="12">
        <f>IFERROR((VLOOKUP(A153,'[1]LISTA ETIQUETAS'!O:Y,11,0)),"")</f>
        <v>3779.87</v>
      </c>
      <c r="J153" s="6">
        <v>0</v>
      </c>
      <c r="K153" s="12">
        <f t="shared" si="6"/>
        <v>3779.87</v>
      </c>
      <c r="L153" s="7" t="str">
        <f>IF(VLOOKUP(A153,'[1]LISTA ETIQUETAS'!O:AB,14,0)="","",(VLOOKUP(A153,'[1]LISTA ETIQUETAS'!O:AB,14,0)))</f>
        <v/>
      </c>
      <c r="M153" s="8"/>
      <c r="N153" s="9">
        <f t="shared" si="7"/>
        <v>351069</v>
      </c>
      <c r="O153" s="2">
        <f>_xlfn.XLOOKUP($A153,'[1]LISTA ETIQUETAS'!$O:$O,'[1]LISTA ETIQUETAS'!C:C,"",0)</f>
        <v>0</v>
      </c>
      <c r="P153" s="2">
        <f>_xlfn.XLOOKUP($A153,'[1]LISTA ETIQUETAS'!$O:$O,'[1]LISTA ETIQUETAS'!D:D,"",0)</f>
        <v>0</v>
      </c>
      <c r="Q153" s="2">
        <f>_xlfn.XLOOKUP($A153,'[1]LISTA ETIQUETAS'!$O:$O,'[1]LISTA ETIQUETAS'!E:E,"",0)</f>
        <v>0</v>
      </c>
      <c r="R153" s="2">
        <f>_xlfn.XLOOKUP($A153,'[1]LISTA ETIQUETAS'!$O:$O,'[1]LISTA ETIQUETAS'!F:F,"",0)</f>
        <v>0</v>
      </c>
      <c r="S153" s="2">
        <f>_xlfn.XLOOKUP($A153,'[1]LISTA ETIQUETAS'!$O:$O,'[1]LISTA ETIQUETAS'!H:H,"",0)</f>
        <v>1</v>
      </c>
      <c r="T153" s="9">
        <f t="shared" si="8"/>
        <v>1</v>
      </c>
    </row>
    <row r="154" spans="1:20" x14ac:dyDescent="0.25">
      <c r="A154" s="5">
        <v>351065</v>
      </c>
      <c r="B154" t="str">
        <f>IFERROR((VLOOKUP(A154,'[1]LISTA ETIQUETAS'!O:X,3,0)),"PRODUTO SEM ESTOQUE")</f>
        <v>EST BANDEJA MATISSE (CIRCULAR) (NOGUEIRA) (INOX COOPER)</v>
      </c>
      <c r="C154" s="10" t="s">
        <v>130</v>
      </c>
      <c r="D154" s="10" t="s">
        <v>133</v>
      </c>
      <c r="E154" s="11">
        <f>IF(VLOOKUP(A154,'[1]LISTA ETIQUETAS'!O:W,4,0)="",(VLOOKUP(A154,'[1]LISTA ETIQUETAS'!O:W,6,0)),(VLOOKUP(A154,'[1]LISTA ETIQUETAS'!O:W,4,0)))</f>
        <v>0.3</v>
      </c>
      <c r="F154" s="11">
        <f>IF(VLOOKUP(A154,'[1]LISTA ETIQUETAS'!O:W,5,0)="",(VLOOKUP(A154,'[1]LISTA ETIQUETAS'!O:W,7,0)),(VLOOKUP(A154,'[1]LISTA ETIQUETAS'!O:W,5,0)))</f>
        <v>0</v>
      </c>
      <c r="G154" s="11">
        <f>IFERROR((VLOOKUP(A154,'[1]LISTA ETIQUETAS'!O:X,8,0)),"")</f>
        <v>0.06</v>
      </c>
      <c r="H154" s="11">
        <f>IFERROR((VLOOKUP(A154,'[1]LISTA ETIQUETAS'!O:X,9,0)),"")</f>
        <v>0.3</v>
      </c>
      <c r="I154" s="12">
        <f>IFERROR((VLOOKUP(A154,'[1]LISTA ETIQUETAS'!O:Y,11,0)),"")</f>
        <v>1733.54</v>
      </c>
      <c r="J154" s="6">
        <v>0</v>
      </c>
      <c r="K154" s="12">
        <f t="shared" si="6"/>
        <v>1733.54</v>
      </c>
      <c r="L154" s="7" t="str">
        <f>IF(VLOOKUP(A154,'[1]LISTA ETIQUETAS'!O:AB,14,0)="","",(VLOOKUP(A154,'[1]LISTA ETIQUETAS'!O:AB,14,0)))</f>
        <v/>
      </c>
      <c r="M154" s="8"/>
      <c r="N154" s="9">
        <f t="shared" si="7"/>
        <v>351065</v>
      </c>
      <c r="O154" s="2">
        <f>_xlfn.XLOOKUP($A154,'[1]LISTA ETIQUETAS'!$O:$O,'[1]LISTA ETIQUETAS'!C:C,"",0)</f>
        <v>0</v>
      </c>
      <c r="P154" s="2">
        <f>_xlfn.XLOOKUP($A154,'[1]LISTA ETIQUETAS'!$O:$O,'[1]LISTA ETIQUETAS'!D:D,"",0)</f>
        <v>0</v>
      </c>
      <c r="Q154" s="2">
        <f>_xlfn.XLOOKUP($A154,'[1]LISTA ETIQUETAS'!$O:$O,'[1]LISTA ETIQUETAS'!E:E,"",0)</f>
        <v>0</v>
      </c>
      <c r="R154" s="2">
        <f>_xlfn.XLOOKUP($A154,'[1]LISTA ETIQUETAS'!$O:$O,'[1]LISTA ETIQUETAS'!F:F,"",0)</f>
        <v>0</v>
      </c>
      <c r="S154" s="2">
        <f>_xlfn.XLOOKUP($A154,'[1]LISTA ETIQUETAS'!$O:$O,'[1]LISTA ETIQUETAS'!H:H,"",0)</f>
        <v>1</v>
      </c>
      <c r="T154" s="9">
        <f t="shared" si="8"/>
        <v>1</v>
      </c>
    </row>
    <row r="155" spans="1:20" x14ac:dyDescent="0.25">
      <c r="A155" s="5">
        <v>351060</v>
      </c>
      <c r="B155" t="str">
        <f>IFERROR((VLOOKUP(A155,'[1]LISTA ETIQUETAS'!O:X,3,0)),"PRODUTO SEM ESTOQUE")</f>
        <v>EST BANDEJA MATISSE (CIRCULAR) (CARRARA G PINT CINZA CHUMBO)</v>
      </c>
      <c r="C155" s="10" t="s">
        <v>130</v>
      </c>
      <c r="D155" s="10" t="s">
        <v>133</v>
      </c>
      <c r="E155" s="11">
        <f>IF(VLOOKUP(A155,'[1]LISTA ETIQUETAS'!O:W,4,0)="",(VLOOKUP(A155,'[1]LISTA ETIQUETAS'!O:W,6,0)),(VLOOKUP(A155,'[1]LISTA ETIQUETAS'!O:W,4,0)))</f>
        <v>0.4</v>
      </c>
      <c r="F155" s="11">
        <f>IF(VLOOKUP(A155,'[1]LISTA ETIQUETAS'!O:W,5,0)="",(VLOOKUP(A155,'[1]LISTA ETIQUETAS'!O:W,7,0)),(VLOOKUP(A155,'[1]LISTA ETIQUETAS'!O:W,5,0)))</f>
        <v>0</v>
      </c>
      <c r="G155" s="11">
        <f>IFERROR((VLOOKUP(A155,'[1]LISTA ETIQUETAS'!O:X,8,0)),"")</f>
        <v>0.06</v>
      </c>
      <c r="H155" s="11">
        <f>IFERROR((VLOOKUP(A155,'[1]LISTA ETIQUETAS'!O:X,9,0)),"")</f>
        <v>0.4</v>
      </c>
      <c r="I155" s="12">
        <f>IFERROR((VLOOKUP(A155,'[1]LISTA ETIQUETAS'!O:Y,11,0)),"")</f>
        <v>3518.32</v>
      </c>
      <c r="J155" s="6">
        <v>0</v>
      </c>
      <c r="K155" s="12">
        <f t="shared" si="6"/>
        <v>3518.32</v>
      </c>
      <c r="L155" s="7" t="str">
        <f>IF(VLOOKUP(A155,'[1]LISTA ETIQUETAS'!O:AB,14,0)="","",(VLOOKUP(A155,'[1]LISTA ETIQUETAS'!O:AB,14,0)))</f>
        <v/>
      </c>
      <c r="M155" s="8"/>
      <c r="N155" s="9">
        <f t="shared" si="7"/>
        <v>351060</v>
      </c>
      <c r="O155" s="2">
        <f>_xlfn.XLOOKUP($A155,'[1]LISTA ETIQUETAS'!$O:$O,'[1]LISTA ETIQUETAS'!C:C,"",0)</f>
        <v>0</v>
      </c>
      <c r="P155" s="2">
        <f>_xlfn.XLOOKUP($A155,'[1]LISTA ETIQUETAS'!$O:$O,'[1]LISTA ETIQUETAS'!D:D,"",0)</f>
        <v>0</v>
      </c>
      <c r="Q155" s="2">
        <f>_xlfn.XLOOKUP($A155,'[1]LISTA ETIQUETAS'!$O:$O,'[1]LISTA ETIQUETAS'!E:E,"",0)</f>
        <v>0</v>
      </c>
      <c r="R155" s="2">
        <f>_xlfn.XLOOKUP($A155,'[1]LISTA ETIQUETAS'!$O:$O,'[1]LISTA ETIQUETAS'!F:F,"",0)</f>
        <v>0</v>
      </c>
      <c r="S155" s="2">
        <f>_xlfn.XLOOKUP($A155,'[1]LISTA ETIQUETAS'!$O:$O,'[1]LISTA ETIQUETAS'!H:H,"",0)</f>
        <v>1</v>
      </c>
      <c r="T155" s="9">
        <f t="shared" si="8"/>
        <v>1</v>
      </c>
    </row>
    <row r="156" spans="1:20" x14ac:dyDescent="0.25">
      <c r="A156" s="5">
        <v>351059</v>
      </c>
      <c r="B156" t="str">
        <f>IFERROR((VLOOKUP(A156,'[1]LISTA ETIQUETAS'!O:X,3,0)),"PRODUTO SEM ESTOQUE")</f>
        <v>EST BANDEJA MATISSE (CIRCULAR) (CARRARA G PINT CINZA CHUMBO)</v>
      </c>
      <c r="C156" s="10" t="s">
        <v>130</v>
      </c>
      <c r="D156" s="10" t="s">
        <v>133</v>
      </c>
      <c r="E156" s="11">
        <f>IF(VLOOKUP(A156,'[1]LISTA ETIQUETAS'!O:W,4,0)="",(VLOOKUP(A156,'[1]LISTA ETIQUETAS'!O:W,6,0)),(VLOOKUP(A156,'[1]LISTA ETIQUETAS'!O:W,4,0)))</f>
        <v>0.3</v>
      </c>
      <c r="F156" s="11">
        <f>IF(VLOOKUP(A156,'[1]LISTA ETIQUETAS'!O:W,5,0)="",(VLOOKUP(A156,'[1]LISTA ETIQUETAS'!O:W,7,0)),(VLOOKUP(A156,'[1]LISTA ETIQUETAS'!O:W,5,0)))</f>
        <v>0</v>
      </c>
      <c r="G156" s="11">
        <f>IFERROR((VLOOKUP(A156,'[1]LISTA ETIQUETAS'!O:X,8,0)),"")</f>
        <v>0.06</v>
      </c>
      <c r="H156" s="11">
        <f>IFERROR((VLOOKUP(A156,'[1]LISTA ETIQUETAS'!O:X,9,0)),"")</f>
        <v>0.3</v>
      </c>
      <c r="I156" s="12">
        <f>IFERROR((VLOOKUP(A156,'[1]LISTA ETIQUETAS'!O:Y,11,0)),"")</f>
        <v>2307.96</v>
      </c>
      <c r="J156" s="6">
        <v>0</v>
      </c>
      <c r="K156" s="12">
        <f t="shared" si="6"/>
        <v>2307.96</v>
      </c>
      <c r="L156" s="7" t="str">
        <f>IF(VLOOKUP(A156,'[1]LISTA ETIQUETAS'!O:AB,14,0)="","",(VLOOKUP(A156,'[1]LISTA ETIQUETAS'!O:AB,14,0)))</f>
        <v/>
      </c>
      <c r="M156" s="8"/>
      <c r="N156" s="9">
        <f t="shared" si="7"/>
        <v>351059</v>
      </c>
      <c r="O156" s="2">
        <f>_xlfn.XLOOKUP($A156,'[1]LISTA ETIQUETAS'!$O:$O,'[1]LISTA ETIQUETAS'!C:C,"",0)</f>
        <v>0</v>
      </c>
      <c r="P156" s="2">
        <f>_xlfn.XLOOKUP($A156,'[1]LISTA ETIQUETAS'!$O:$O,'[1]LISTA ETIQUETAS'!D:D,"",0)</f>
        <v>0</v>
      </c>
      <c r="Q156" s="2">
        <f>_xlfn.XLOOKUP($A156,'[1]LISTA ETIQUETAS'!$O:$O,'[1]LISTA ETIQUETAS'!E:E,"",0)</f>
        <v>0</v>
      </c>
      <c r="R156" s="2">
        <f>_xlfn.XLOOKUP($A156,'[1]LISTA ETIQUETAS'!$O:$O,'[1]LISTA ETIQUETAS'!F:F,"",0)</f>
        <v>0</v>
      </c>
      <c r="S156" s="2">
        <f>_xlfn.XLOOKUP($A156,'[1]LISTA ETIQUETAS'!$O:$O,'[1]LISTA ETIQUETAS'!H:H,"",0)</f>
        <v>1</v>
      </c>
      <c r="T156" s="9">
        <f t="shared" si="8"/>
        <v>1</v>
      </c>
    </row>
    <row r="157" spans="1:20" x14ac:dyDescent="0.25">
      <c r="A157" s="5">
        <v>309892</v>
      </c>
      <c r="B157" t="str">
        <f>IFERROR((VLOOKUP(A157,'[1]LISTA ETIQUETAS'!O:X,3,0)),"PRODUTO SEM ESTOQUE")</f>
        <v>EST BANDEJA RITMO Ø55 (MARMORE 2 ROSA PARANA)</v>
      </c>
      <c r="C157" s="10" t="s">
        <v>130</v>
      </c>
      <c r="D157" s="10" t="s">
        <v>134</v>
      </c>
      <c r="E157" s="11">
        <f>IF(VLOOKUP(A157,'[1]LISTA ETIQUETAS'!O:W,4,0)="",(VLOOKUP(A157,'[1]LISTA ETIQUETAS'!O:W,6,0)),(VLOOKUP(A157,'[1]LISTA ETIQUETAS'!O:W,4,0)))</f>
        <v>0.55000000000000004</v>
      </c>
      <c r="F157" s="11">
        <f>IF(VLOOKUP(A157,'[1]LISTA ETIQUETAS'!O:W,5,0)="",(VLOOKUP(A157,'[1]LISTA ETIQUETAS'!O:W,7,0)),(VLOOKUP(A157,'[1]LISTA ETIQUETAS'!O:W,5,0)))</f>
        <v>0</v>
      </c>
      <c r="G157" s="11">
        <f>IFERROR((VLOOKUP(A157,'[1]LISTA ETIQUETAS'!O:X,8,0)),"")</f>
        <v>0.02</v>
      </c>
      <c r="H157" s="11">
        <f>IFERROR((VLOOKUP(A157,'[1]LISTA ETIQUETAS'!O:X,9,0)),"")</f>
        <v>0.55000000000000004</v>
      </c>
      <c r="I157" s="12" t="str">
        <f>IFERROR((VLOOKUP(A157,'[1]LISTA ETIQUETAS'!O:Y,11,0)),"")</f>
        <v/>
      </c>
      <c r="J157" s="6">
        <v>0</v>
      </c>
      <c r="K157" s="12" t="str">
        <f t="shared" si="6"/>
        <v/>
      </c>
      <c r="L157" s="7" t="str">
        <f>IF(VLOOKUP(A157,'[1]LISTA ETIQUETAS'!O:AB,14,0)="","",(VLOOKUP(A157,'[1]LISTA ETIQUETAS'!O:AB,14,0)))</f>
        <v/>
      </c>
      <c r="M157" s="8"/>
      <c r="N157" s="9">
        <f t="shared" si="7"/>
        <v>309892</v>
      </c>
      <c r="O157" s="2">
        <f>_xlfn.XLOOKUP($A157,'[1]LISTA ETIQUETAS'!$O:$O,'[1]LISTA ETIQUETAS'!C:C,"",0)</f>
        <v>0</v>
      </c>
      <c r="P157" s="2">
        <f>_xlfn.XLOOKUP($A157,'[1]LISTA ETIQUETAS'!$O:$O,'[1]LISTA ETIQUETAS'!D:D,"",0)</f>
        <v>0</v>
      </c>
      <c r="Q157" s="2">
        <f>_xlfn.XLOOKUP($A157,'[1]LISTA ETIQUETAS'!$O:$O,'[1]LISTA ETIQUETAS'!E:E,"",0)</f>
        <v>0</v>
      </c>
      <c r="R157" s="2">
        <f>_xlfn.XLOOKUP($A157,'[1]LISTA ETIQUETAS'!$O:$O,'[1]LISTA ETIQUETAS'!F:F,"",0)</f>
        <v>0</v>
      </c>
      <c r="S157" s="2">
        <f>_xlfn.XLOOKUP($A157,'[1]LISTA ETIQUETAS'!$O:$O,'[1]LISTA ETIQUETAS'!H:H,"",0)</f>
        <v>1</v>
      </c>
      <c r="T157" s="9">
        <f t="shared" si="8"/>
        <v>1</v>
      </c>
    </row>
    <row r="158" spans="1:20" x14ac:dyDescent="0.25">
      <c r="A158" s="5">
        <v>308179</v>
      </c>
      <c r="B158" t="str">
        <f>IFERROR((VLOOKUP(A158,'[1]LISTA ETIQUETAS'!O:X,3,0)),"PRODUTO SEM ESTOQUE")</f>
        <v>EST ACESSORIO BANDEJA OCA MARMORE JADORE</v>
      </c>
      <c r="C158" s="10" t="s">
        <v>130</v>
      </c>
      <c r="D158" s="10" t="s">
        <v>135</v>
      </c>
      <c r="E158" s="11">
        <f>IF(VLOOKUP(A158,'[1]LISTA ETIQUETAS'!O:W,4,0)="",(VLOOKUP(A158,'[1]LISTA ETIQUETAS'!O:W,6,0)),(VLOOKUP(A158,'[1]LISTA ETIQUETAS'!O:W,4,0)))</f>
        <v>0.3</v>
      </c>
      <c r="F158" s="11">
        <f>IF(VLOOKUP(A158,'[1]LISTA ETIQUETAS'!O:W,5,0)="",(VLOOKUP(A158,'[1]LISTA ETIQUETAS'!O:W,7,0)),(VLOOKUP(A158,'[1]LISTA ETIQUETAS'!O:W,5,0)))</f>
        <v>0</v>
      </c>
      <c r="G158" s="11">
        <f>IFERROR((VLOOKUP(A158,'[1]LISTA ETIQUETAS'!O:X,8,0)),"")</f>
        <v>0.02</v>
      </c>
      <c r="H158" s="11">
        <f>IFERROR((VLOOKUP(A158,'[1]LISTA ETIQUETAS'!O:X,9,0)),"")</f>
        <v>0.32</v>
      </c>
      <c r="I158" s="12">
        <f>IFERROR((VLOOKUP(A158,'[1]LISTA ETIQUETAS'!O:Y,11,0)),"")</f>
        <v>4243.68</v>
      </c>
      <c r="J158" s="6">
        <v>0</v>
      </c>
      <c r="K158" s="12">
        <f t="shared" si="6"/>
        <v>4243.68</v>
      </c>
      <c r="L158" s="7" t="str">
        <f>IF(VLOOKUP(A158,'[1]LISTA ETIQUETAS'!O:AB,14,0)="","",(VLOOKUP(A158,'[1]LISTA ETIQUETAS'!O:AB,14,0)))</f>
        <v/>
      </c>
      <c r="M158" s="8"/>
      <c r="N158" s="9">
        <f t="shared" si="7"/>
        <v>308179</v>
      </c>
      <c r="O158" s="2">
        <f>_xlfn.XLOOKUP($A158,'[1]LISTA ETIQUETAS'!$O:$O,'[1]LISTA ETIQUETAS'!C:C,"",0)</f>
        <v>0</v>
      </c>
      <c r="P158" s="2">
        <f>_xlfn.XLOOKUP($A158,'[1]LISTA ETIQUETAS'!$O:$O,'[1]LISTA ETIQUETAS'!D:D,"",0)</f>
        <v>0</v>
      </c>
      <c r="Q158" s="2">
        <f>_xlfn.XLOOKUP($A158,'[1]LISTA ETIQUETAS'!$O:$O,'[1]LISTA ETIQUETAS'!E:E,"",0)</f>
        <v>0</v>
      </c>
      <c r="R158" s="2">
        <f>_xlfn.XLOOKUP($A158,'[1]LISTA ETIQUETAS'!$O:$O,'[1]LISTA ETIQUETAS'!F:F,"",0)</f>
        <v>0</v>
      </c>
      <c r="S158" s="2">
        <f>_xlfn.XLOOKUP($A158,'[1]LISTA ETIQUETAS'!$O:$O,'[1]LISTA ETIQUETAS'!H:H,"",0)</f>
        <v>2</v>
      </c>
      <c r="T158" s="9">
        <f t="shared" si="8"/>
        <v>2</v>
      </c>
    </row>
    <row r="159" spans="1:20" x14ac:dyDescent="0.25">
      <c r="A159" s="5">
        <v>361311</v>
      </c>
      <c r="B159" t="str">
        <f>IFERROR((VLOOKUP(A159,'[1]LISTA ETIQUETAS'!O:X,3,0)),"PRODUTO SEM ESTOQUE")</f>
        <v>EST ACESSORIO VYS (MARMORE ROSA PARANA)</v>
      </c>
      <c r="C159" s="10" t="s">
        <v>130</v>
      </c>
      <c r="D159" s="10" t="s">
        <v>136</v>
      </c>
      <c r="E159" s="11">
        <f>IF(VLOOKUP(A159,'[1]LISTA ETIQUETAS'!O:W,4,0)="",(VLOOKUP(A159,'[1]LISTA ETIQUETAS'!O:W,6,0)),(VLOOKUP(A159,'[1]LISTA ETIQUETAS'!O:W,4,0)))</f>
        <v>0</v>
      </c>
      <c r="F159" s="11">
        <f>IF(VLOOKUP(A159,'[1]LISTA ETIQUETAS'!O:W,5,0)="",(VLOOKUP(A159,'[1]LISTA ETIQUETAS'!O:W,7,0)),(VLOOKUP(A159,'[1]LISTA ETIQUETAS'!O:W,5,0)))</f>
        <v>0</v>
      </c>
      <c r="G159" s="11">
        <f>IFERROR((VLOOKUP(A159,'[1]LISTA ETIQUETAS'!O:X,8,0)),"")</f>
        <v>0</v>
      </c>
      <c r="H159" s="11">
        <f>IFERROR((VLOOKUP(A159,'[1]LISTA ETIQUETAS'!O:X,9,0)),"")</f>
        <v>0</v>
      </c>
      <c r="I159" s="12">
        <f>IFERROR((VLOOKUP(A159,'[1]LISTA ETIQUETAS'!O:Y,11,0)),"")</f>
        <v>3537.18</v>
      </c>
      <c r="J159" s="6">
        <v>0</v>
      </c>
      <c r="K159" s="12">
        <f t="shared" si="6"/>
        <v>3537.18</v>
      </c>
      <c r="L159" s="7" t="str">
        <f>IF(VLOOKUP(A159,'[1]LISTA ETIQUETAS'!O:AB,14,0)="","",(VLOOKUP(A159,'[1]LISTA ETIQUETAS'!O:AB,14,0)))</f>
        <v/>
      </c>
      <c r="M159" s="8"/>
      <c r="N159" s="9">
        <f t="shared" si="7"/>
        <v>361311</v>
      </c>
      <c r="O159" s="2">
        <f>_xlfn.XLOOKUP($A159,'[1]LISTA ETIQUETAS'!$O:$O,'[1]LISTA ETIQUETAS'!C:C,"",0)</f>
        <v>1</v>
      </c>
      <c r="P159" s="2">
        <f>_xlfn.XLOOKUP($A159,'[1]LISTA ETIQUETAS'!$O:$O,'[1]LISTA ETIQUETAS'!D:D,"",0)</f>
        <v>0</v>
      </c>
      <c r="Q159" s="2">
        <f>_xlfn.XLOOKUP($A159,'[1]LISTA ETIQUETAS'!$O:$O,'[1]LISTA ETIQUETAS'!E:E,"",0)</f>
        <v>0</v>
      </c>
      <c r="R159" s="2">
        <f>_xlfn.XLOOKUP($A159,'[1]LISTA ETIQUETAS'!$O:$O,'[1]LISTA ETIQUETAS'!F:F,"",0)</f>
        <v>1</v>
      </c>
      <c r="S159" s="2">
        <f>_xlfn.XLOOKUP($A159,'[1]LISTA ETIQUETAS'!$O:$O,'[1]LISTA ETIQUETAS'!H:H,"",0)</f>
        <v>1</v>
      </c>
      <c r="T159" s="9">
        <f t="shared" si="8"/>
        <v>3</v>
      </c>
    </row>
    <row r="160" spans="1:20" x14ac:dyDescent="0.25">
      <c r="A160" s="5">
        <v>351057</v>
      </c>
      <c r="B160" t="str">
        <f>IFERROR((VLOOKUP(A160,'[1]LISTA ETIQUETAS'!O:X,3,0)),"PRODUTO SEM ESTOQUE")</f>
        <v>EST BANDEJA MATISSE (CIRCULAR) (GRIS ARMANI INOX COOPER)</v>
      </c>
      <c r="C160" s="10" t="s">
        <v>130</v>
      </c>
      <c r="D160" s="10" t="s">
        <v>133</v>
      </c>
      <c r="E160" s="11">
        <f>IF(VLOOKUP(A160,'[1]LISTA ETIQUETAS'!O:W,4,0)="",(VLOOKUP(A160,'[1]LISTA ETIQUETAS'!O:W,6,0)),(VLOOKUP(A160,'[1]LISTA ETIQUETAS'!O:W,4,0)))</f>
        <v>0.4</v>
      </c>
      <c r="F160" s="11">
        <f>IF(VLOOKUP(A160,'[1]LISTA ETIQUETAS'!O:W,5,0)="",(VLOOKUP(A160,'[1]LISTA ETIQUETAS'!O:W,7,0)),(VLOOKUP(A160,'[1]LISTA ETIQUETAS'!O:W,5,0)))</f>
        <v>0</v>
      </c>
      <c r="G160" s="11">
        <f>IFERROR((VLOOKUP(A160,'[1]LISTA ETIQUETAS'!O:X,8,0)),"")</f>
        <v>0.06</v>
      </c>
      <c r="H160" s="11">
        <f>IFERROR((VLOOKUP(A160,'[1]LISTA ETIQUETAS'!O:X,9,0)),"")</f>
        <v>0.4</v>
      </c>
      <c r="I160" s="12">
        <f>IFERROR((VLOOKUP(A160,'[1]LISTA ETIQUETAS'!O:Y,11,0)),"")</f>
        <v>4349.1400000000003</v>
      </c>
      <c r="J160" s="6">
        <v>0</v>
      </c>
      <c r="K160" s="12">
        <f t="shared" si="6"/>
        <v>4349.1400000000003</v>
      </c>
      <c r="L160" s="7" t="str">
        <f>IF(VLOOKUP(A160,'[1]LISTA ETIQUETAS'!O:AB,14,0)="","",(VLOOKUP(A160,'[1]LISTA ETIQUETAS'!O:AB,14,0)))</f>
        <v/>
      </c>
      <c r="M160" s="8"/>
      <c r="N160" s="9">
        <f t="shared" si="7"/>
        <v>351057</v>
      </c>
      <c r="O160" s="2">
        <f>_xlfn.XLOOKUP($A160,'[1]LISTA ETIQUETAS'!$O:$O,'[1]LISTA ETIQUETAS'!C:C,"",0)</f>
        <v>0</v>
      </c>
      <c r="P160" s="2">
        <f>_xlfn.XLOOKUP($A160,'[1]LISTA ETIQUETAS'!$O:$O,'[1]LISTA ETIQUETAS'!D:D,"",0)</f>
        <v>0</v>
      </c>
      <c r="Q160" s="2">
        <f>_xlfn.XLOOKUP($A160,'[1]LISTA ETIQUETAS'!$O:$O,'[1]LISTA ETIQUETAS'!E:E,"",0)</f>
        <v>0</v>
      </c>
      <c r="R160" s="2">
        <f>_xlfn.XLOOKUP($A160,'[1]LISTA ETIQUETAS'!$O:$O,'[1]LISTA ETIQUETAS'!F:F,"",0)</f>
        <v>0</v>
      </c>
      <c r="S160" s="2">
        <f>_xlfn.XLOOKUP($A160,'[1]LISTA ETIQUETAS'!$O:$O,'[1]LISTA ETIQUETAS'!H:H,"",0)</f>
        <v>1</v>
      </c>
      <c r="T160" s="9">
        <f t="shared" si="8"/>
        <v>1</v>
      </c>
    </row>
    <row r="161" spans="1:20" x14ac:dyDescent="0.25">
      <c r="A161" s="5">
        <v>251920</v>
      </c>
      <c r="B161" t="str">
        <f>IFERROR((VLOOKUP(A161,'[1]LISTA ETIQUETAS'!O:X,3,0)),"PRODUTO SEM ESTOQUE")</f>
        <v>EST CENTRO DE MESA RET COL VERSO 80X20X6,5 CRU IL745CR0</v>
      </c>
      <c r="C161" s="10" t="s">
        <v>130</v>
      </c>
      <c r="D161" s="10" t="s">
        <v>137</v>
      </c>
      <c r="E161" s="11">
        <f>IF(VLOOKUP(A161,'[1]LISTA ETIQUETAS'!O:W,4,0)="",(VLOOKUP(A161,'[1]LISTA ETIQUETAS'!O:W,6,0)),(VLOOKUP(A161,'[1]LISTA ETIQUETAS'!O:W,4,0)))</f>
        <v>0</v>
      </c>
      <c r="F161" s="11">
        <f>IF(VLOOKUP(A161,'[1]LISTA ETIQUETAS'!O:W,5,0)="",(VLOOKUP(A161,'[1]LISTA ETIQUETAS'!O:W,7,0)),(VLOOKUP(A161,'[1]LISTA ETIQUETAS'!O:W,5,0)))</f>
        <v>0</v>
      </c>
      <c r="G161" s="11">
        <f>IFERROR((VLOOKUP(A161,'[1]LISTA ETIQUETAS'!O:X,8,0)),"")</f>
        <v>0</v>
      </c>
      <c r="H161" s="11">
        <f>IFERROR((VLOOKUP(A161,'[1]LISTA ETIQUETAS'!O:X,9,0)),"")</f>
        <v>0</v>
      </c>
      <c r="I161" s="12">
        <f>IFERROR((VLOOKUP(A161,'[1]LISTA ETIQUETAS'!O:Y,11,0)),"")</f>
        <v>0</v>
      </c>
      <c r="J161" s="6">
        <v>0</v>
      </c>
      <c r="K161" s="12">
        <f t="shared" si="6"/>
        <v>0</v>
      </c>
      <c r="L161" s="7" t="str">
        <f>IF(VLOOKUP(A161,'[1]LISTA ETIQUETAS'!O:AB,14,0)="","",(VLOOKUP(A161,'[1]LISTA ETIQUETAS'!O:AB,14,0)))</f>
        <v/>
      </c>
      <c r="M161" s="8"/>
      <c r="N161" s="9">
        <f t="shared" si="7"/>
        <v>251920</v>
      </c>
      <c r="O161" s="2">
        <f>_xlfn.XLOOKUP($A161,'[1]LISTA ETIQUETAS'!$O:$O,'[1]LISTA ETIQUETAS'!C:C,"",0)</f>
        <v>0</v>
      </c>
      <c r="P161" s="2">
        <f>_xlfn.XLOOKUP($A161,'[1]LISTA ETIQUETAS'!$O:$O,'[1]LISTA ETIQUETAS'!D:D,"",0)</f>
        <v>1</v>
      </c>
      <c r="Q161" s="2">
        <f>_xlfn.XLOOKUP($A161,'[1]LISTA ETIQUETAS'!$O:$O,'[1]LISTA ETIQUETAS'!E:E,"",0)</f>
        <v>0</v>
      </c>
      <c r="R161" s="2">
        <f>_xlfn.XLOOKUP($A161,'[1]LISTA ETIQUETAS'!$O:$O,'[1]LISTA ETIQUETAS'!F:F,"",0)</f>
        <v>0</v>
      </c>
      <c r="S161" s="2">
        <f>_xlfn.XLOOKUP($A161,'[1]LISTA ETIQUETAS'!$O:$O,'[1]LISTA ETIQUETAS'!H:H,"",0)</f>
        <v>1</v>
      </c>
      <c r="T161" s="9">
        <f t="shared" si="8"/>
        <v>2</v>
      </c>
    </row>
    <row r="162" spans="1:20" x14ac:dyDescent="0.25">
      <c r="A162" s="5">
        <v>251925</v>
      </c>
      <c r="B162" t="str">
        <f>IFERROR((VLOOKUP(A162,'[1]LISTA ETIQUETAS'!O:X,3,0)),"PRODUTO SEM ESTOQUE")</f>
        <v>EST CENTRO DE MESA BENTA (MADEIRA IL751MD1)</v>
      </c>
      <c r="C162" s="10" t="s">
        <v>130</v>
      </c>
      <c r="D162" s="10" t="s">
        <v>137</v>
      </c>
      <c r="E162" s="11">
        <f>IF(VLOOKUP(A162,'[1]LISTA ETIQUETAS'!O:W,4,0)="",(VLOOKUP(A162,'[1]LISTA ETIQUETAS'!O:W,6,0)),(VLOOKUP(A162,'[1]LISTA ETIQUETAS'!O:W,4,0)))</f>
        <v>0.45</v>
      </c>
      <c r="F162" s="11">
        <f>IF(VLOOKUP(A162,'[1]LISTA ETIQUETAS'!O:W,5,0)="",(VLOOKUP(A162,'[1]LISTA ETIQUETAS'!O:W,7,0)),(VLOOKUP(A162,'[1]LISTA ETIQUETAS'!O:W,5,0)))</f>
        <v>0</v>
      </c>
      <c r="G162" s="11">
        <f>IFERROR((VLOOKUP(A162,'[1]LISTA ETIQUETAS'!O:X,8,0)),"")</f>
        <v>0.12</v>
      </c>
      <c r="H162" s="11">
        <f>IFERROR((VLOOKUP(A162,'[1]LISTA ETIQUETAS'!O:X,9,0)),"")</f>
        <v>0.45</v>
      </c>
      <c r="I162" s="12" t="str">
        <f>IFERROR((VLOOKUP(A162,'[1]LISTA ETIQUETAS'!O:Y,11,0)),"")</f>
        <v/>
      </c>
      <c r="J162" s="6">
        <v>0</v>
      </c>
      <c r="K162" s="12" t="str">
        <f t="shared" si="6"/>
        <v/>
      </c>
      <c r="L162" s="7" t="str">
        <f>IF(VLOOKUP(A162,'[1]LISTA ETIQUETAS'!O:AB,14,0)="","",(VLOOKUP(A162,'[1]LISTA ETIQUETAS'!O:AB,14,0)))</f>
        <v/>
      </c>
      <c r="M162" s="8"/>
      <c r="N162" s="9">
        <f t="shared" si="7"/>
        <v>251925</v>
      </c>
      <c r="O162" s="2">
        <f>_xlfn.XLOOKUP($A162,'[1]LISTA ETIQUETAS'!$O:$O,'[1]LISTA ETIQUETAS'!C:C,"",0)</f>
        <v>0</v>
      </c>
      <c r="P162" s="2">
        <f>_xlfn.XLOOKUP($A162,'[1]LISTA ETIQUETAS'!$O:$O,'[1]LISTA ETIQUETAS'!D:D,"",0)</f>
        <v>1</v>
      </c>
      <c r="Q162" s="2">
        <f>_xlfn.XLOOKUP($A162,'[1]LISTA ETIQUETAS'!$O:$O,'[1]LISTA ETIQUETAS'!E:E,"",0)</f>
        <v>0</v>
      </c>
      <c r="R162" s="2">
        <f>_xlfn.XLOOKUP($A162,'[1]LISTA ETIQUETAS'!$O:$O,'[1]LISTA ETIQUETAS'!F:F,"",0)</f>
        <v>0</v>
      </c>
      <c r="S162" s="2">
        <f>_xlfn.XLOOKUP($A162,'[1]LISTA ETIQUETAS'!$O:$O,'[1]LISTA ETIQUETAS'!H:H,"",0)</f>
        <v>1</v>
      </c>
      <c r="T162" s="9">
        <f t="shared" si="8"/>
        <v>2</v>
      </c>
    </row>
    <row r="163" spans="1:20" x14ac:dyDescent="0.25">
      <c r="A163" s="5">
        <v>250135</v>
      </c>
      <c r="B163" t="str">
        <f>IFERROR((VLOOKUP(A163,'[1]LISTA ETIQUETAS'!O:X,3,0)),"PRODUTO SEM ESTOQUE")</f>
        <v>EST MANTA PESEIRA MIA PONTO V (TERRACOTA COD 6096)</v>
      </c>
      <c r="C163" s="10" t="s">
        <v>130</v>
      </c>
      <c r="D163" s="10" t="s">
        <v>137</v>
      </c>
      <c r="E163" s="11">
        <f>IF(VLOOKUP(A163,'[1]LISTA ETIQUETAS'!O:W,4,0)="",(VLOOKUP(A163,'[1]LISTA ETIQUETAS'!O:W,6,0)),(VLOOKUP(A163,'[1]LISTA ETIQUETAS'!O:W,4,0)))</f>
        <v>1.8</v>
      </c>
      <c r="F163" s="11">
        <f>IF(VLOOKUP(A163,'[1]LISTA ETIQUETAS'!O:W,5,0)="",(VLOOKUP(A163,'[1]LISTA ETIQUETAS'!O:W,7,0)),(VLOOKUP(A163,'[1]LISTA ETIQUETAS'!O:W,5,0)))</f>
        <v>0.7</v>
      </c>
      <c r="G163" s="11">
        <f>IFERROR((VLOOKUP(A163,'[1]LISTA ETIQUETAS'!O:X,8,0)),"")</f>
        <v>0</v>
      </c>
      <c r="H163" s="11">
        <f>IFERROR((VLOOKUP(A163,'[1]LISTA ETIQUETAS'!O:X,9,0)),"")</f>
        <v>0</v>
      </c>
      <c r="I163" s="12">
        <f>IFERROR((VLOOKUP(A163,'[1]LISTA ETIQUETAS'!O:Y,11,0)),"")</f>
        <v>3865.88</v>
      </c>
      <c r="J163" s="6">
        <v>0</v>
      </c>
      <c r="K163" s="12">
        <f t="shared" si="6"/>
        <v>3865.88</v>
      </c>
      <c r="L163" s="7" t="str">
        <f>IF(VLOOKUP(A163,'[1]LISTA ETIQUETAS'!O:AB,14,0)="","",(VLOOKUP(A163,'[1]LISTA ETIQUETAS'!O:AB,14,0)))</f>
        <v/>
      </c>
      <c r="M163" s="8"/>
      <c r="N163" s="9">
        <f t="shared" si="7"/>
        <v>250135</v>
      </c>
      <c r="O163" s="2">
        <f>_xlfn.XLOOKUP($A163,'[1]LISTA ETIQUETAS'!$O:$O,'[1]LISTA ETIQUETAS'!C:C,"",0)</f>
        <v>0</v>
      </c>
      <c r="P163" s="2">
        <f>_xlfn.XLOOKUP($A163,'[1]LISTA ETIQUETAS'!$O:$O,'[1]LISTA ETIQUETAS'!D:D,"",0)</f>
        <v>0</v>
      </c>
      <c r="Q163" s="2">
        <f>_xlfn.XLOOKUP($A163,'[1]LISTA ETIQUETAS'!$O:$O,'[1]LISTA ETIQUETAS'!E:E,"",0)</f>
        <v>0</v>
      </c>
      <c r="R163" s="2">
        <f>_xlfn.XLOOKUP($A163,'[1]LISTA ETIQUETAS'!$O:$O,'[1]LISTA ETIQUETAS'!F:F,"",0)</f>
        <v>0</v>
      </c>
      <c r="S163" s="2">
        <f>_xlfn.XLOOKUP($A163,'[1]LISTA ETIQUETAS'!$O:$O,'[1]LISTA ETIQUETAS'!H:H,"",0)</f>
        <v>1</v>
      </c>
      <c r="T163" s="9">
        <f t="shared" si="8"/>
        <v>1</v>
      </c>
    </row>
    <row r="164" spans="1:20" x14ac:dyDescent="0.25">
      <c r="A164" s="5">
        <v>271507</v>
      </c>
      <c r="B164" t="str">
        <f>IFERROR((VLOOKUP(A164,'[1]LISTA ETIQUETAS'!O:X,3,0)),"PRODUTO SEM ESTOQUE")</f>
        <v>EST MANTA TURK (ALGODAO) (AZUL)</v>
      </c>
      <c r="C164" s="10" t="s">
        <v>130</v>
      </c>
      <c r="D164" s="10" t="s">
        <v>137</v>
      </c>
      <c r="E164" s="11">
        <f>IF(VLOOKUP(A164,'[1]LISTA ETIQUETAS'!O:W,4,0)="",(VLOOKUP(A164,'[1]LISTA ETIQUETAS'!O:W,6,0)),(VLOOKUP(A164,'[1]LISTA ETIQUETAS'!O:W,4,0)))</f>
        <v>2.14</v>
      </c>
      <c r="F164" s="11">
        <f>IF(VLOOKUP(A164,'[1]LISTA ETIQUETAS'!O:W,5,0)="",(VLOOKUP(A164,'[1]LISTA ETIQUETAS'!O:W,7,0)),(VLOOKUP(A164,'[1]LISTA ETIQUETAS'!O:W,5,0)))</f>
        <v>1.3</v>
      </c>
      <c r="G164" s="11">
        <f>IFERROR((VLOOKUP(A164,'[1]LISTA ETIQUETAS'!O:X,8,0)),"")</f>
        <v>0.01</v>
      </c>
      <c r="H164" s="11">
        <f>IFERROR((VLOOKUP(A164,'[1]LISTA ETIQUETAS'!O:X,9,0)),"")</f>
        <v>0</v>
      </c>
      <c r="I164" s="12">
        <f>IFERROR((VLOOKUP(A164,'[1]LISTA ETIQUETAS'!O:Y,11,0)),"")</f>
        <v>0</v>
      </c>
      <c r="J164" s="6">
        <v>0</v>
      </c>
      <c r="K164" s="12">
        <f t="shared" si="6"/>
        <v>0</v>
      </c>
      <c r="L164" s="7" t="str">
        <f>IF(VLOOKUP(A164,'[1]LISTA ETIQUETAS'!O:AB,14,0)="","",(VLOOKUP(A164,'[1]LISTA ETIQUETAS'!O:AB,14,0)))</f>
        <v/>
      </c>
      <c r="M164" s="8"/>
      <c r="N164" s="9">
        <f t="shared" si="7"/>
        <v>271507</v>
      </c>
      <c r="O164" s="2">
        <f>_xlfn.XLOOKUP($A164,'[1]LISTA ETIQUETAS'!$O:$O,'[1]LISTA ETIQUETAS'!C:C,"",0)</f>
        <v>0</v>
      </c>
      <c r="P164" s="2">
        <f>_xlfn.XLOOKUP($A164,'[1]LISTA ETIQUETAS'!$O:$O,'[1]LISTA ETIQUETAS'!D:D,"",0)</f>
        <v>1</v>
      </c>
      <c r="Q164" s="2">
        <f>_xlfn.XLOOKUP($A164,'[1]LISTA ETIQUETAS'!$O:$O,'[1]LISTA ETIQUETAS'!E:E,"",0)</f>
        <v>0</v>
      </c>
      <c r="R164" s="2">
        <f>_xlfn.XLOOKUP($A164,'[1]LISTA ETIQUETAS'!$O:$O,'[1]LISTA ETIQUETAS'!F:F,"",0)</f>
        <v>0</v>
      </c>
      <c r="S164" s="2">
        <f>_xlfn.XLOOKUP($A164,'[1]LISTA ETIQUETAS'!$O:$O,'[1]LISTA ETIQUETAS'!H:H,"",0)</f>
        <v>1</v>
      </c>
      <c r="T164" s="9">
        <f t="shared" si="8"/>
        <v>2</v>
      </c>
    </row>
    <row r="165" spans="1:20" x14ac:dyDescent="0.25">
      <c r="A165" s="5">
        <v>250136</v>
      </c>
      <c r="B165" t="str">
        <f>IFERROR((VLOOKUP(A165,'[1]LISTA ETIQUETAS'!O:X,3,0)),"PRODUTO SEM ESTOQUE")</f>
        <v>EST PESEIRA MIA PONTO V (LEQUE) (ROSE)</v>
      </c>
      <c r="C165" s="10" t="s">
        <v>130</v>
      </c>
      <c r="D165" s="10" t="s">
        <v>137</v>
      </c>
      <c r="E165" s="11">
        <f>IF(VLOOKUP(A165,'[1]LISTA ETIQUETAS'!O:W,4,0)="",(VLOOKUP(A165,'[1]LISTA ETIQUETAS'!O:W,6,0)),(VLOOKUP(A165,'[1]LISTA ETIQUETAS'!O:W,4,0)))</f>
        <v>1.8</v>
      </c>
      <c r="F165" s="11">
        <f>IF(VLOOKUP(A165,'[1]LISTA ETIQUETAS'!O:W,5,0)="",(VLOOKUP(A165,'[1]LISTA ETIQUETAS'!O:W,7,0)),(VLOOKUP(A165,'[1]LISTA ETIQUETAS'!O:W,5,0)))</f>
        <v>0.7</v>
      </c>
      <c r="G165" s="11">
        <f>IFERROR((VLOOKUP(A165,'[1]LISTA ETIQUETAS'!O:X,8,0)),"")</f>
        <v>0</v>
      </c>
      <c r="H165" s="11">
        <f>IFERROR((VLOOKUP(A165,'[1]LISTA ETIQUETAS'!O:X,9,0)),"")</f>
        <v>0</v>
      </c>
      <c r="I165" s="12" t="str">
        <f>IFERROR((VLOOKUP(A165,'[1]LISTA ETIQUETAS'!O:Y,11,0)),"")</f>
        <v/>
      </c>
      <c r="J165" s="6">
        <v>0</v>
      </c>
      <c r="K165" s="12" t="str">
        <f t="shared" si="6"/>
        <v/>
      </c>
      <c r="L165" s="7" t="str">
        <f>IF(VLOOKUP(A165,'[1]LISTA ETIQUETAS'!O:AB,14,0)="","",(VLOOKUP(A165,'[1]LISTA ETIQUETAS'!O:AB,14,0)))</f>
        <v/>
      </c>
      <c r="M165" s="8"/>
      <c r="N165" s="9">
        <f t="shared" si="7"/>
        <v>250136</v>
      </c>
      <c r="O165" s="2">
        <f>_xlfn.XLOOKUP($A165,'[1]LISTA ETIQUETAS'!$O:$O,'[1]LISTA ETIQUETAS'!C:C,"",0)</f>
        <v>0</v>
      </c>
      <c r="P165" s="2">
        <f>_xlfn.XLOOKUP($A165,'[1]LISTA ETIQUETAS'!$O:$O,'[1]LISTA ETIQUETAS'!D:D,"",0)</f>
        <v>1</v>
      </c>
      <c r="Q165" s="2">
        <f>_xlfn.XLOOKUP($A165,'[1]LISTA ETIQUETAS'!$O:$O,'[1]LISTA ETIQUETAS'!E:E,"",0)</f>
        <v>0</v>
      </c>
      <c r="R165" s="2">
        <f>_xlfn.XLOOKUP($A165,'[1]LISTA ETIQUETAS'!$O:$O,'[1]LISTA ETIQUETAS'!F:F,"",0)</f>
        <v>0</v>
      </c>
      <c r="S165" s="2">
        <f>_xlfn.XLOOKUP($A165,'[1]LISTA ETIQUETAS'!$O:$O,'[1]LISTA ETIQUETAS'!H:H,"",0)</f>
        <v>2</v>
      </c>
      <c r="T165" s="9">
        <f t="shared" si="8"/>
        <v>3</v>
      </c>
    </row>
    <row r="166" spans="1:20" x14ac:dyDescent="0.25">
      <c r="A166" s="5">
        <v>152276</v>
      </c>
      <c r="B166" t="str">
        <f>IFERROR((VLOOKUP(A166,'[1]LISTA ETIQUETAS'!O:X,3,0)),"PRODUTO SEM ESTOQUE")</f>
        <v>EST REVISTEIRO TECA (COURO MARRROM) (LACA FSC BRANCA)</v>
      </c>
      <c r="C166" s="10" t="s">
        <v>130</v>
      </c>
      <c r="D166" s="10" t="s">
        <v>138</v>
      </c>
      <c r="E166" s="11">
        <f>IF(VLOOKUP(A166,'[1]LISTA ETIQUETAS'!O:W,4,0)="",(VLOOKUP(A166,'[1]LISTA ETIQUETAS'!O:W,6,0)),(VLOOKUP(A166,'[1]LISTA ETIQUETAS'!O:W,4,0)))</f>
        <v>0.55000000000000004</v>
      </c>
      <c r="F166" s="11">
        <f>IF(VLOOKUP(A166,'[1]LISTA ETIQUETAS'!O:W,5,0)="",(VLOOKUP(A166,'[1]LISTA ETIQUETAS'!O:W,7,0)),(VLOOKUP(A166,'[1]LISTA ETIQUETAS'!O:W,5,0)))</f>
        <v>0.3</v>
      </c>
      <c r="G166" s="11">
        <f>IFERROR((VLOOKUP(A166,'[1]LISTA ETIQUETAS'!O:X,8,0)),"")</f>
        <v>0.23</v>
      </c>
      <c r="H166" s="11">
        <f>IFERROR((VLOOKUP(A166,'[1]LISTA ETIQUETAS'!O:X,9,0)),"")</f>
        <v>0</v>
      </c>
      <c r="I166" s="12" t="str">
        <f>IFERROR((VLOOKUP(A166,'[1]LISTA ETIQUETAS'!O:Y,11,0)),"")</f>
        <v/>
      </c>
      <c r="J166" s="6">
        <v>0</v>
      </c>
      <c r="K166" s="12" t="str">
        <f t="shared" si="6"/>
        <v/>
      </c>
      <c r="L166" s="7" t="str">
        <f>IF(VLOOKUP(A166,'[1]LISTA ETIQUETAS'!O:AB,14,0)="","",(VLOOKUP(A166,'[1]LISTA ETIQUETAS'!O:AB,14,0)))</f>
        <v/>
      </c>
      <c r="M166" s="8"/>
      <c r="N166" s="9">
        <f t="shared" si="7"/>
        <v>152276</v>
      </c>
      <c r="O166" s="2">
        <f>_xlfn.XLOOKUP($A166,'[1]LISTA ETIQUETAS'!$O:$O,'[1]LISTA ETIQUETAS'!C:C,"",0)</f>
        <v>0</v>
      </c>
      <c r="P166" s="2">
        <f>_xlfn.XLOOKUP($A166,'[1]LISTA ETIQUETAS'!$O:$O,'[1]LISTA ETIQUETAS'!D:D,"",0)</f>
        <v>0</v>
      </c>
      <c r="Q166" s="2">
        <f>_xlfn.XLOOKUP($A166,'[1]LISTA ETIQUETAS'!$O:$O,'[1]LISTA ETIQUETAS'!E:E,"",0)</f>
        <v>0</v>
      </c>
      <c r="R166" s="2">
        <f>_xlfn.XLOOKUP($A166,'[1]LISTA ETIQUETAS'!$O:$O,'[1]LISTA ETIQUETAS'!F:F,"",0)</f>
        <v>0</v>
      </c>
      <c r="S166" s="2">
        <f>_xlfn.XLOOKUP($A166,'[1]LISTA ETIQUETAS'!$O:$O,'[1]LISTA ETIQUETAS'!H:H,"",0)</f>
        <v>1</v>
      </c>
      <c r="T166" s="9">
        <f t="shared" si="8"/>
        <v>1</v>
      </c>
    </row>
    <row r="167" spans="1:20" x14ac:dyDescent="0.25">
      <c r="A167" s="5">
        <v>151004</v>
      </c>
      <c r="B167" t="str">
        <f>IFERROR((VLOOKUP(A167,'[1]LISTA ETIQUETAS'!O:X,3,0)),"PRODUTO SEM ESTOQUE")</f>
        <v>EST REVISTEIRO THORK (LATAO) (PRETO FOSCO)</v>
      </c>
      <c r="C167" s="10" t="s">
        <v>130</v>
      </c>
      <c r="D167" s="10" t="s">
        <v>139</v>
      </c>
      <c r="E167" s="11">
        <f>IF(VLOOKUP(A167,'[1]LISTA ETIQUETAS'!O:W,4,0)="",(VLOOKUP(A167,'[1]LISTA ETIQUETAS'!O:W,6,0)),(VLOOKUP(A167,'[1]LISTA ETIQUETAS'!O:W,4,0)))</f>
        <v>0.37</v>
      </c>
      <c r="F167" s="11">
        <f>IF(VLOOKUP(A167,'[1]LISTA ETIQUETAS'!O:W,5,0)="",(VLOOKUP(A167,'[1]LISTA ETIQUETAS'!O:W,7,0)),(VLOOKUP(A167,'[1]LISTA ETIQUETAS'!O:W,5,0)))</f>
        <v>0.35</v>
      </c>
      <c r="G167" s="11">
        <f>IFERROR((VLOOKUP(A167,'[1]LISTA ETIQUETAS'!O:X,8,0)),"")</f>
        <v>0.65</v>
      </c>
      <c r="H167" s="11">
        <f>IFERROR((VLOOKUP(A167,'[1]LISTA ETIQUETAS'!O:X,9,0)),"")</f>
        <v>0</v>
      </c>
      <c r="I167" s="12" t="str">
        <f>IFERROR((VLOOKUP(A167,'[1]LISTA ETIQUETAS'!O:Y,11,0)),"")</f>
        <v/>
      </c>
      <c r="J167" s="6">
        <v>0</v>
      </c>
      <c r="K167" s="12" t="str">
        <f t="shared" si="6"/>
        <v/>
      </c>
      <c r="L167" s="7" t="str">
        <f>IF(VLOOKUP(A167,'[1]LISTA ETIQUETAS'!O:AB,14,0)="","",(VLOOKUP(A167,'[1]LISTA ETIQUETAS'!O:AB,14,0)))</f>
        <v/>
      </c>
      <c r="M167" s="8"/>
      <c r="N167" s="9">
        <f t="shared" si="7"/>
        <v>151004</v>
      </c>
      <c r="O167" s="2">
        <f>_xlfn.XLOOKUP($A167,'[1]LISTA ETIQUETAS'!$O:$O,'[1]LISTA ETIQUETAS'!C:C,"",0)</f>
        <v>0</v>
      </c>
      <c r="P167" s="2">
        <f>_xlfn.XLOOKUP($A167,'[1]LISTA ETIQUETAS'!$O:$O,'[1]LISTA ETIQUETAS'!D:D,"",0)</f>
        <v>0</v>
      </c>
      <c r="Q167" s="2">
        <f>_xlfn.XLOOKUP($A167,'[1]LISTA ETIQUETAS'!$O:$O,'[1]LISTA ETIQUETAS'!E:E,"",0)</f>
        <v>0</v>
      </c>
      <c r="R167" s="2">
        <f>_xlfn.XLOOKUP($A167,'[1]LISTA ETIQUETAS'!$O:$O,'[1]LISTA ETIQUETAS'!F:F,"",0)</f>
        <v>0</v>
      </c>
      <c r="S167" s="2">
        <f>_xlfn.XLOOKUP($A167,'[1]LISTA ETIQUETAS'!$O:$O,'[1]LISTA ETIQUETAS'!H:H,"",0)</f>
        <v>2</v>
      </c>
      <c r="T167" s="9">
        <f t="shared" si="8"/>
        <v>2</v>
      </c>
    </row>
    <row r="168" spans="1:20" x14ac:dyDescent="0.25">
      <c r="A168" s="5">
        <v>63146</v>
      </c>
      <c r="B168" t="str">
        <f>IFERROR((VLOOKUP(A168,'[1]LISTA ETIQUETAS'!O:X,3,0)),"PRODUTO SEM ESTOQUE")</f>
        <v>EST BIOMBO ESPECIAL (RATTAN COR 3)</v>
      </c>
      <c r="C168" s="10" t="s">
        <v>130</v>
      </c>
      <c r="D168" s="10" t="s">
        <v>140</v>
      </c>
      <c r="E168" s="11">
        <f>IF(VLOOKUP(A168,'[1]LISTA ETIQUETAS'!O:W,4,0)="",(VLOOKUP(A168,'[1]LISTA ETIQUETAS'!O:W,6,0)),(VLOOKUP(A168,'[1]LISTA ETIQUETAS'!O:W,4,0)))</f>
        <v>0.5</v>
      </c>
      <c r="F168" s="11">
        <f>IF(VLOOKUP(A168,'[1]LISTA ETIQUETAS'!O:W,5,0)="",(VLOOKUP(A168,'[1]LISTA ETIQUETAS'!O:W,7,0)),(VLOOKUP(A168,'[1]LISTA ETIQUETAS'!O:W,5,0)))</f>
        <v>0.05</v>
      </c>
      <c r="G168" s="11">
        <f>IFERROR((VLOOKUP(A168,'[1]LISTA ETIQUETAS'!O:X,8,0)),"")</f>
        <v>1.3</v>
      </c>
      <c r="H168" s="11">
        <f>IFERROR((VLOOKUP(A168,'[1]LISTA ETIQUETAS'!O:X,9,0)),"")</f>
        <v>0</v>
      </c>
      <c r="I168" s="12">
        <f>IFERROR((VLOOKUP(A168,'[1]LISTA ETIQUETAS'!O:Y,11,0)),"")</f>
        <v>0</v>
      </c>
      <c r="J168" s="6">
        <v>0</v>
      </c>
      <c r="K168" s="12">
        <f t="shared" si="6"/>
        <v>0</v>
      </c>
      <c r="L168" s="7" t="str">
        <f>IF(VLOOKUP(A168,'[1]LISTA ETIQUETAS'!O:AB,14,0)="","",(VLOOKUP(A168,'[1]LISTA ETIQUETAS'!O:AB,14,0)))</f>
        <v/>
      </c>
      <c r="M168" s="8"/>
      <c r="N168" s="9">
        <f t="shared" si="7"/>
        <v>63146</v>
      </c>
      <c r="O168" s="2">
        <f>_xlfn.XLOOKUP($A168,'[1]LISTA ETIQUETAS'!$O:$O,'[1]LISTA ETIQUETAS'!C:C,"",0)</f>
        <v>0</v>
      </c>
      <c r="P168" s="2">
        <f>_xlfn.XLOOKUP($A168,'[1]LISTA ETIQUETAS'!$O:$O,'[1]LISTA ETIQUETAS'!D:D,"",0)</f>
        <v>0</v>
      </c>
      <c r="Q168" s="2">
        <f>_xlfn.XLOOKUP($A168,'[1]LISTA ETIQUETAS'!$O:$O,'[1]LISTA ETIQUETAS'!E:E,"",0)</f>
        <v>0</v>
      </c>
      <c r="R168" s="2">
        <f>_xlfn.XLOOKUP($A168,'[1]LISTA ETIQUETAS'!$O:$O,'[1]LISTA ETIQUETAS'!F:F,"",0)</f>
        <v>0</v>
      </c>
      <c r="S168" s="2">
        <f>_xlfn.XLOOKUP($A168,'[1]LISTA ETIQUETAS'!$O:$O,'[1]LISTA ETIQUETAS'!H:H,"",0)</f>
        <v>8</v>
      </c>
      <c r="T168" s="9">
        <f t="shared" si="8"/>
        <v>8</v>
      </c>
    </row>
    <row r="169" spans="1:20" x14ac:dyDescent="0.25">
      <c r="A169" s="5">
        <v>191295</v>
      </c>
      <c r="B169" t="str">
        <f>IFERROR((VLOOKUP(A169,'[1]LISTA ETIQUETAS'!O:X,3,0)),"PRODUTO SEM ESTOQUE")</f>
        <v>EST BANDEJA ALD (LATAO)</v>
      </c>
      <c r="C169" s="10" t="s">
        <v>130</v>
      </c>
      <c r="D169" s="10" t="s">
        <v>141</v>
      </c>
      <c r="E169" s="11">
        <f>IF(VLOOKUP(A169,'[1]LISTA ETIQUETAS'!O:W,4,0)="",(VLOOKUP(A169,'[1]LISTA ETIQUETAS'!O:W,6,0)),(VLOOKUP(A169,'[1]LISTA ETIQUETAS'!O:W,4,0)))</f>
        <v>0.33</v>
      </c>
      <c r="F169" s="11">
        <f>IF(VLOOKUP(A169,'[1]LISTA ETIQUETAS'!O:W,5,0)="",(VLOOKUP(A169,'[1]LISTA ETIQUETAS'!O:W,7,0)),(VLOOKUP(A169,'[1]LISTA ETIQUETAS'!O:W,5,0)))</f>
        <v>0.33</v>
      </c>
      <c r="G169" s="11">
        <f>IFERROR((VLOOKUP(A169,'[1]LISTA ETIQUETAS'!O:X,8,0)),"")</f>
        <v>0.33</v>
      </c>
      <c r="H169" s="11">
        <f>IFERROR((VLOOKUP(A169,'[1]LISTA ETIQUETAS'!O:X,9,0)),"")</f>
        <v>0</v>
      </c>
      <c r="I169" s="12" t="str">
        <f>IFERROR((VLOOKUP(A169,'[1]LISTA ETIQUETAS'!O:Y,11,0)),"")</f>
        <v/>
      </c>
      <c r="J169" s="6">
        <v>0</v>
      </c>
      <c r="K169" s="12" t="str">
        <f t="shared" si="6"/>
        <v/>
      </c>
      <c r="L169" s="7" t="str">
        <f>IF(VLOOKUP(A169,'[1]LISTA ETIQUETAS'!O:AB,14,0)="","",(VLOOKUP(A169,'[1]LISTA ETIQUETAS'!O:AB,14,0)))</f>
        <v/>
      </c>
      <c r="M169" s="8"/>
      <c r="N169" s="9">
        <f t="shared" si="7"/>
        <v>191295</v>
      </c>
      <c r="O169" s="2">
        <f>_xlfn.XLOOKUP($A169,'[1]LISTA ETIQUETAS'!$O:$O,'[1]LISTA ETIQUETAS'!C:C,"",0)</f>
        <v>1</v>
      </c>
      <c r="P169" s="2">
        <f>_xlfn.XLOOKUP($A169,'[1]LISTA ETIQUETAS'!$O:$O,'[1]LISTA ETIQUETAS'!D:D,"",0)</f>
        <v>1</v>
      </c>
      <c r="Q169" s="2">
        <f>_xlfn.XLOOKUP($A169,'[1]LISTA ETIQUETAS'!$O:$O,'[1]LISTA ETIQUETAS'!E:E,"",0)</f>
        <v>0</v>
      </c>
      <c r="R169" s="2">
        <f>_xlfn.XLOOKUP($A169,'[1]LISTA ETIQUETAS'!$O:$O,'[1]LISTA ETIQUETAS'!F:F,"",0)</f>
        <v>0</v>
      </c>
      <c r="S169" s="2">
        <f>_xlfn.XLOOKUP($A169,'[1]LISTA ETIQUETAS'!$O:$O,'[1]LISTA ETIQUETAS'!H:H,"",0)</f>
        <v>2</v>
      </c>
      <c r="T169" s="9">
        <f t="shared" si="8"/>
        <v>4</v>
      </c>
    </row>
    <row r="170" spans="1:20" x14ac:dyDescent="0.25">
      <c r="A170" s="5">
        <v>191296</v>
      </c>
      <c r="B170" t="str">
        <f>IFERROR((VLOOKUP(A170,'[1]LISTA ETIQUETAS'!O:X,3,0)),"PRODUTO SEM ESTOQUE")</f>
        <v>EST PORTA LAPIS (LATAO)</v>
      </c>
      <c r="C170" s="10" t="s">
        <v>130</v>
      </c>
      <c r="D170" s="10" t="s">
        <v>142</v>
      </c>
      <c r="E170" s="11">
        <f>IF(VLOOKUP(A170,'[1]LISTA ETIQUETAS'!O:W,4,0)="",(VLOOKUP(A170,'[1]LISTA ETIQUETAS'!O:W,6,0)),(VLOOKUP(A170,'[1]LISTA ETIQUETAS'!O:W,4,0)))</f>
        <v>0</v>
      </c>
      <c r="F170" s="11">
        <f>IF(VLOOKUP(A170,'[1]LISTA ETIQUETAS'!O:W,5,0)="",(VLOOKUP(A170,'[1]LISTA ETIQUETAS'!O:W,7,0)),(VLOOKUP(A170,'[1]LISTA ETIQUETAS'!O:W,5,0)))</f>
        <v>0</v>
      </c>
      <c r="G170" s="11">
        <f>IFERROR((VLOOKUP(A170,'[1]LISTA ETIQUETAS'!O:X,8,0)),"")</f>
        <v>0</v>
      </c>
      <c r="H170" s="11">
        <f>IFERROR((VLOOKUP(A170,'[1]LISTA ETIQUETAS'!O:X,9,0)),"")</f>
        <v>0</v>
      </c>
      <c r="I170" s="12" t="str">
        <f>IFERROR((VLOOKUP(A170,'[1]LISTA ETIQUETAS'!O:Y,11,0)),"")</f>
        <v/>
      </c>
      <c r="J170" s="6">
        <v>0</v>
      </c>
      <c r="K170" s="12" t="str">
        <f t="shared" si="6"/>
        <v/>
      </c>
      <c r="L170" s="7" t="str">
        <f>IF(VLOOKUP(A170,'[1]LISTA ETIQUETAS'!O:AB,14,0)="","",(VLOOKUP(A170,'[1]LISTA ETIQUETAS'!O:AB,14,0)))</f>
        <v/>
      </c>
      <c r="M170" s="8"/>
      <c r="N170" s="9">
        <f t="shared" si="7"/>
        <v>191296</v>
      </c>
      <c r="O170" s="2">
        <f>_xlfn.XLOOKUP($A170,'[1]LISTA ETIQUETAS'!$O:$O,'[1]LISTA ETIQUETAS'!C:C,"",0)</f>
        <v>1</v>
      </c>
      <c r="P170" s="2">
        <f>_xlfn.XLOOKUP($A170,'[1]LISTA ETIQUETAS'!$O:$O,'[1]LISTA ETIQUETAS'!D:D,"",0)</f>
        <v>2</v>
      </c>
      <c r="Q170" s="2">
        <f>_xlfn.XLOOKUP($A170,'[1]LISTA ETIQUETAS'!$O:$O,'[1]LISTA ETIQUETAS'!E:E,"",0)</f>
        <v>0</v>
      </c>
      <c r="R170" s="2">
        <f>_xlfn.XLOOKUP($A170,'[1]LISTA ETIQUETAS'!$O:$O,'[1]LISTA ETIQUETAS'!F:F,"",0)</f>
        <v>0</v>
      </c>
      <c r="S170" s="2">
        <f>_xlfn.XLOOKUP($A170,'[1]LISTA ETIQUETAS'!$O:$O,'[1]LISTA ETIQUETAS'!H:H,"",0)</f>
        <v>5</v>
      </c>
      <c r="T170" s="9">
        <f t="shared" si="8"/>
        <v>8</v>
      </c>
    </row>
    <row r="171" spans="1:20" x14ac:dyDescent="0.25">
      <c r="A171" s="5">
        <v>203600</v>
      </c>
      <c r="B171" t="str">
        <f>IFERROR((VLOOKUP(A171,'[1]LISTA ETIQUETAS'!O:X,3,0)),"PRODUTO SEM ESTOQUE")</f>
        <v>EST QUADRO ROUND BAMBU RED LISO D74X7,2CM (RDL70-BB)</v>
      </c>
      <c r="C171" s="10" t="s">
        <v>130</v>
      </c>
      <c r="D171" s="10" t="s">
        <v>143</v>
      </c>
      <c r="E171" s="11">
        <f>IF(VLOOKUP(A171,'[1]LISTA ETIQUETAS'!O:W,4,0)="",(VLOOKUP(A171,'[1]LISTA ETIQUETAS'!O:W,6,0)),(VLOOKUP(A171,'[1]LISTA ETIQUETAS'!O:W,4,0)))</f>
        <v>0</v>
      </c>
      <c r="F171" s="11">
        <f>IF(VLOOKUP(A171,'[1]LISTA ETIQUETAS'!O:W,5,0)="",(VLOOKUP(A171,'[1]LISTA ETIQUETAS'!O:W,7,0)),(VLOOKUP(A171,'[1]LISTA ETIQUETAS'!O:W,5,0)))</f>
        <v>0</v>
      </c>
      <c r="G171" s="11">
        <f>IFERROR((VLOOKUP(A171,'[1]LISTA ETIQUETAS'!O:X,8,0)),"")</f>
        <v>0</v>
      </c>
      <c r="H171" s="11">
        <f>IFERROR((VLOOKUP(A171,'[1]LISTA ETIQUETAS'!O:X,9,0)),"")</f>
        <v>0</v>
      </c>
      <c r="I171" s="12" t="str">
        <f>IFERROR((VLOOKUP(A171,'[1]LISTA ETIQUETAS'!O:Y,11,0)),"")</f>
        <v/>
      </c>
      <c r="J171" s="6">
        <v>0</v>
      </c>
      <c r="K171" s="12" t="str">
        <f t="shared" si="6"/>
        <v/>
      </c>
      <c r="L171" s="7" t="str">
        <f>IF(VLOOKUP(A171,'[1]LISTA ETIQUETAS'!O:AB,14,0)="","",(VLOOKUP(A171,'[1]LISTA ETIQUETAS'!O:AB,14,0)))</f>
        <v/>
      </c>
      <c r="M171" s="8"/>
      <c r="N171" s="9">
        <f t="shared" si="7"/>
        <v>203600</v>
      </c>
      <c r="O171" s="2">
        <f>_xlfn.XLOOKUP($A171,'[1]LISTA ETIQUETAS'!$O:$O,'[1]LISTA ETIQUETAS'!C:C,"",0)</f>
        <v>0</v>
      </c>
      <c r="P171" s="2">
        <f>_xlfn.XLOOKUP($A171,'[1]LISTA ETIQUETAS'!$O:$O,'[1]LISTA ETIQUETAS'!D:D,"",0)</f>
        <v>0</v>
      </c>
      <c r="Q171" s="2">
        <f>_xlfn.XLOOKUP($A171,'[1]LISTA ETIQUETAS'!$O:$O,'[1]LISTA ETIQUETAS'!E:E,"",0)</f>
        <v>0</v>
      </c>
      <c r="R171" s="2">
        <f>_xlfn.XLOOKUP($A171,'[1]LISTA ETIQUETAS'!$O:$O,'[1]LISTA ETIQUETAS'!F:F,"",0)</f>
        <v>0</v>
      </c>
      <c r="S171" s="2">
        <f>_xlfn.XLOOKUP($A171,'[1]LISTA ETIQUETAS'!$O:$O,'[1]LISTA ETIQUETAS'!H:H,"",0)</f>
        <v>2</v>
      </c>
      <c r="T171" s="9">
        <f t="shared" si="8"/>
        <v>2</v>
      </c>
    </row>
    <row r="172" spans="1:20" x14ac:dyDescent="0.25">
      <c r="A172" s="5">
        <v>203601</v>
      </c>
      <c r="B172" t="str">
        <f>IFERROR((VLOOKUP(A172,'[1]LISTA ETIQUETAS'!O:X,3,0)),"PRODUTO SEM ESTOQUE")</f>
        <v>EST QUADRO ROUND BAMBU RED LISO D64X7,2CM (RDL60-BB)</v>
      </c>
      <c r="C172" s="10" t="s">
        <v>130</v>
      </c>
      <c r="D172" s="10" t="s">
        <v>143</v>
      </c>
      <c r="E172" s="11">
        <f>IF(VLOOKUP(A172,'[1]LISTA ETIQUETAS'!O:W,4,0)="",(VLOOKUP(A172,'[1]LISTA ETIQUETAS'!O:W,6,0)),(VLOOKUP(A172,'[1]LISTA ETIQUETAS'!O:W,4,0)))</f>
        <v>0</v>
      </c>
      <c r="F172" s="11">
        <f>IF(VLOOKUP(A172,'[1]LISTA ETIQUETAS'!O:W,5,0)="",(VLOOKUP(A172,'[1]LISTA ETIQUETAS'!O:W,7,0)),(VLOOKUP(A172,'[1]LISTA ETIQUETAS'!O:W,5,0)))</f>
        <v>0</v>
      </c>
      <c r="G172" s="11">
        <f>IFERROR((VLOOKUP(A172,'[1]LISTA ETIQUETAS'!O:X,8,0)),"")</f>
        <v>0</v>
      </c>
      <c r="H172" s="11">
        <f>IFERROR((VLOOKUP(A172,'[1]LISTA ETIQUETAS'!O:X,9,0)),"")</f>
        <v>0</v>
      </c>
      <c r="I172" s="12" t="str">
        <f>IFERROR((VLOOKUP(A172,'[1]LISTA ETIQUETAS'!O:Y,11,0)),"")</f>
        <v/>
      </c>
      <c r="J172" s="6">
        <v>0</v>
      </c>
      <c r="K172" s="12" t="str">
        <f t="shared" si="6"/>
        <v/>
      </c>
      <c r="L172" s="7" t="str">
        <f>IF(VLOOKUP(A172,'[1]LISTA ETIQUETAS'!O:AB,14,0)="","",(VLOOKUP(A172,'[1]LISTA ETIQUETAS'!O:AB,14,0)))</f>
        <v/>
      </c>
      <c r="M172" s="8"/>
      <c r="N172" s="9">
        <f t="shared" si="7"/>
        <v>203601</v>
      </c>
      <c r="O172" s="2">
        <f>_xlfn.XLOOKUP($A172,'[1]LISTA ETIQUETAS'!$O:$O,'[1]LISTA ETIQUETAS'!C:C,"",0)</f>
        <v>0</v>
      </c>
      <c r="P172" s="2">
        <f>_xlfn.XLOOKUP($A172,'[1]LISTA ETIQUETAS'!$O:$O,'[1]LISTA ETIQUETAS'!D:D,"",0)</f>
        <v>0</v>
      </c>
      <c r="Q172" s="2">
        <f>_xlfn.XLOOKUP($A172,'[1]LISTA ETIQUETAS'!$O:$O,'[1]LISTA ETIQUETAS'!E:E,"",0)</f>
        <v>0</v>
      </c>
      <c r="R172" s="2">
        <f>_xlfn.XLOOKUP($A172,'[1]LISTA ETIQUETAS'!$O:$O,'[1]LISTA ETIQUETAS'!F:F,"",0)</f>
        <v>0</v>
      </c>
      <c r="S172" s="2">
        <f>_xlfn.XLOOKUP($A172,'[1]LISTA ETIQUETAS'!$O:$O,'[1]LISTA ETIQUETAS'!H:H,"",0)</f>
        <v>1</v>
      </c>
      <c r="T172" s="9">
        <f t="shared" si="8"/>
        <v>1</v>
      </c>
    </row>
    <row r="173" spans="1:20" x14ac:dyDescent="0.25">
      <c r="A173" s="5">
        <v>217201</v>
      </c>
      <c r="B173" t="str">
        <f>IFERROR((VLOOKUP(A173,'[1]LISTA ETIQUETAS'!O:X,3,0)),"PRODUTO SEM ESTOQUE")</f>
        <v>EST MANCEBO DIX (FREIJO NATURAL PU) (INOX ENVELHECIDO)</v>
      </c>
      <c r="C173" s="10" t="s">
        <v>130</v>
      </c>
      <c r="D173" s="10" t="s">
        <v>144</v>
      </c>
      <c r="E173" s="11">
        <f>IF(VLOOKUP(A173,'[1]LISTA ETIQUETAS'!O:W,4,0)="",(VLOOKUP(A173,'[1]LISTA ETIQUETAS'!O:W,6,0)),(VLOOKUP(A173,'[1]LISTA ETIQUETAS'!O:W,4,0)))</f>
        <v>0.59</v>
      </c>
      <c r="F173" s="11">
        <f>IF(VLOOKUP(A173,'[1]LISTA ETIQUETAS'!O:W,5,0)="",(VLOOKUP(A173,'[1]LISTA ETIQUETAS'!O:W,7,0)),(VLOOKUP(A173,'[1]LISTA ETIQUETAS'!O:W,5,0)))</f>
        <v>0.47</v>
      </c>
      <c r="G173" s="11">
        <f>IFERROR((VLOOKUP(A173,'[1]LISTA ETIQUETAS'!O:X,8,0)),"")</f>
        <v>1.43</v>
      </c>
      <c r="H173" s="11">
        <f>IFERROR((VLOOKUP(A173,'[1]LISTA ETIQUETAS'!O:X,9,0)),"")</f>
        <v>0</v>
      </c>
      <c r="I173" s="12">
        <f>IFERROR((VLOOKUP(A173,'[1]LISTA ETIQUETAS'!O:Y,11,0)),"")</f>
        <v>0</v>
      </c>
      <c r="J173" s="6">
        <v>0</v>
      </c>
      <c r="K173" s="12">
        <f t="shared" si="6"/>
        <v>0</v>
      </c>
      <c r="L173" s="7" t="str">
        <f>IF(VLOOKUP(A173,'[1]LISTA ETIQUETAS'!O:AB,14,0)="","",(VLOOKUP(A173,'[1]LISTA ETIQUETAS'!O:AB,14,0)))</f>
        <v/>
      </c>
      <c r="M173" s="8"/>
      <c r="N173" s="9">
        <f t="shared" si="7"/>
        <v>217201</v>
      </c>
      <c r="O173" s="2">
        <f>_xlfn.XLOOKUP($A173,'[1]LISTA ETIQUETAS'!$O:$O,'[1]LISTA ETIQUETAS'!C:C,"",0)</f>
        <v>0</v>
      </c>
      <c r="P173" s="2">
        <f>_xlfn.XLOOKUP($A173,'[1]LISTA ETIQUETAS'!$O:$O,'[1]LISTA ETIQUETAS'!D:D,"",0)</f>
        <v>0</v>
      </c>
      <c r="Q173" s="2">
        <f>_xlfn.XLOOKUP($A173,'[1]LISTA ETIQUETAS'!$O:$O,'[1]LISTA ETIQUETAS'!E:E,"",0)</f>
        <v>0</v>
      </c>
      <c r="R173" s="2">
        <f>_xlfn.XLOOKUP($A173,'[1]LISTA ETIQUETAS'!$O:$O,'[1]LISTA ETIQUETAS'!F:F,"",0)</f>
        <v>0</v>
      </c>
      <c r="S173" s="2">
        <f>_xlfn.XLOOKUP($A173,'[1]LISTA ETIQUETAS'!$O:$O,'[1]LISTA ETIQUETAS'!H:H,"",0)</f>
        <v>1</v>
      </c>
      <c r="T173" s="9">
        <f t="shared" si="8"/>
        <v>1</v>
      </c>
    </row>
    <row r="174" spans="1:20" x14ac:dyDescent="0.25">
      <c r="A174" s="5">
        <v>344146</v>
      </c>
      <c r="B174" t="str">
        <f>IFERROR((VLOOKUP(A174,'[1]LISTA ETIQUETAS'!O:X,3,0)),"PRODUTO SEM ESTOQUE")</f>
        <v>EST REVISTEIRO TECA (COURO FROST) (LATAO BRILHO)</v>
      </c>
      <c r="C174" s="10" t="s">
        <v>130</v>
      </c>
      <c r="D174" s="10" t="s">
        <v>138</v>
      </c>
      <c r="E174" s="11">
        <f>IF(VLOOKUP(A174,'[1]LISTA ETIQUETAS'!O:W,4,0)="",(VLOOKUP(A174,'[1]LISTA ETIQUETAS'!O:W,6,0)),(VLOOKUP(A174,'[1]LISTA ETIQUETAS'!O:W,4,0)))</f>
        <v>0.55000000000000004</v>
      </c>
      <c r="F174" s="11">
        <f>IF(VLOOKUP(A174,'[1]LISTA ETIQUETAS'!O:W,5,0)="",(VLOOKUP(A174,'[1]LISTA ETIQUETAS'!O:W,7,0)),(VLOOKUP(A174,'[1]LISTA ETIQUETAS'!O:W,5,0)))</f>
        <v>0.3</v>
      </c>
      <c r="G174" s="11">
        <f>IFERROR((VLOOKUP(A174,'[1]LISTA ETIQUETAS'!O:X,8,0)),"")</f>
        <v>0.23</v>
      </c>
      <c r="H174" s="11">
        <f>IFERROR((VLOOKUP(A174,'[1]LISTA ETIQUETAS'!O:X,9,0)),"")</f>
        <v>0</v>
      </c>
      <c r="I174" s="12">
        <f>IFERROR((VLOOKUP(A174,'[1]LISTA ETIQUETAS'!O:Y,11,0)),"")</f>
        <v>8960</v>
      </c>
      <c r="J174" s="6">
        <v>0</v>
      </c>
      <c r="K174" s="12">
        <f t="shared" si="6"/>
        <v>8960</v>
      </c>
      <c r="L174" s="7" t="str">
        <f>IF(VLOOKUP(A174,'[1]LISTA ETIQUETAS'!O:AB,14,0)="","",(VLOOKUP(A174,'[1]LISTA ETIQUETAS'!O:AB,14,0)))</f>
        <v/>
      </c>
      <c r="M174" s="8"/>
      <c r="N174" s="9">
        <f t="shared" si="7"/>
        <v>344146</v>
      </c>
      <c r="O174" s="2">
        <f>_xlfn.XLOOKUP($A174,'[1]LISTA ETIQUETAS'!$O:$O,'[1]LISTA ETIQUETAS'!C:C,"",0)</f>
        <v>0</v>
      </c>
      <c r="P174" s="2">
        <f>_xlfn.XLOOKUP($A174,'[1]LISTA ETIQUETAS'!$O:$O,'[1]LISTA ETIQUETAS'!D:D,"",0)</f>
        <v>0</v>
      </c>
      <c r="Q174" s="2">
        <f>_xlfn.XLOOKUP($A174,'[1]LISTA ETIQUETAS'!$O:$O,'[1]LISTA ETIQUETAS'!E:E,"",0)</f>
        <v>0</v>
      </c>
      <c r="R174" s="2">
        <f>_xlfn.XLOOKUP($A174,'[1]LISTA ETIQUETAS'!$O:$O,'[1]LISTA ETIQUETAS'!F:F,"",0)</f>
        <v>0</v>
      </c>
      <c r="S174" s="2">
        <f>_xlfn.XLOOKUP($A174,'[1]LISTA ETIQUETAS'!$O:$O,'[1]LISTA ETIQUETAS'!H:H,"",0)</f>
        <v>1</v>
      </c>
      <c r="T174" s="9">
        <f t="shared" si="8"/>
        <v>1</v>
      </c>
    </row>
    <row r="175" spans="1:20" x14ac:dyDescent="0.25">
      <c r="A175" s="5">
        <v>271418</v>
      </c>
      <c r="B175" t="str">
        <f>IFERROR((VLOOKUP(A175,'[1]LISTA ETIQUETAS'!O:X,3,0)),"PRODUTO SEM ESTOQUE")</f>
        <v>EST QUADRO GRAMPH VERTICAL G2 (1394) MOLDURA BRONZE</v>
      </c>
      <c r="C175" s="10" t="s">
        <v>130</v>
      </c>
      <c r="D175" s="10" t="s">
        <v>143</v>
      </c>
      <c r="E175" s="11">
        <f>IF(VLOOKUP(A175,'[1]LISTA ETIQUETAS'!O:W,4,0)="",(VLOOKUP(A175,'[1]LISTA ETIQUETAS'!O:W,6,0)),(VLOOKUP(A175,'[1]LISTA ETIQUETAS'!O:W,4,0)))</f>
        <v>0.6</v>
      </c>
      <c r="F175" s="11">
        <f>IF(VLOOKUP(A175,'[1]LISTA ETIQUETAS'!O:W,5,0)="",(VLOOKUP(A175,'[1]LISTA ETIQUETAS'!O:W,7,0)),(VLOOKUP(A175,'[1]LISTA ETIQUETAS'!O:W,5,0)))</f>
        <v>0.9</v>
      </c>
      <c r="G175" s="11">
        <f>IFERROR((VLOOKUP(A175,'[1]LISTA ETIQUETAS'!O:X,8,0)),"")</f>
        <v>0</v>
      </c>
      <c r="H175" s="11">
        <f>IFERROR((VLOOKUP(A175,'[1]LISTA ETIQUETAS'!O:X,9,0)),"")</f>
        <v>0</v>
      </c>
      <c r="I175" s="12">
        <f>IFERROR((VLOOKUP(A175,'[1]LISTA ETIQUETAS'!O:Y,11,0)),"")</f>
        <v>1952.16</v>
      </c>
      <c r="J175" s="6">
        <v>0</v>
      </c>
      <c r="K175" s="12">
        <f t="shared" si="6"/>
        <v>1952.16</v>
      </c>
      <c r="L175" s="7" t="str">
        <f>IF(VLOOKUP(A175,'[1]LISTA ETIQUETAS'!O:AB,14,0)="","",(VLOOKUP(A175,'[1]LISTA ETIQUETAS'!O:AB,14,0)))</f>
        <v/>
      </c>
      <c r="M175" s="8"/>
      <c r="N175" s="9">
        <f t="shared" si="7"/>
        <v>271418</v>
      </c>
      <c r="O175" s="2">
        <f>_xlfn.XLOOKUP($A175,'[1]LISTA ETIQUETAS'!$O:$O,'[1]LISTA ETIQUETAS'!C:C,"",0)</f>
        <v>0</v>
      </c>
      <c r="P175" s="2">
        <f>_xlfn.XLOOKUP($A175,'[1]LISTA ETIQUETAS'!$O:$O,'[1]LISTA ETIQUETAS'!D:D,"",0)</f>
        <v>0</v>
      </c>
      <c r="Q175" s="2">
        <f>_xlfn.XLOOKUP($A175,'[1]LISTA ETIQUETAS'!$O:$O,'[1]LISTA ETIQUETAS'!E:E,"",0)</f>
        <v>0</v>
      </c>
      <c r="R175" s="2">
        <f>_xlfn.XLOOKUP($A175,'[1]LISTA ETIQUETAS'!$O:$O,'[1]LISTA ETIQUETAS'!F:F,"",0)</f>
        <v>0</v>
      </c>
      <c r="S175" s="2">
        <f>_xlfn.XLOOKUP($A175,'[1]LISTA ETIQUETAS'!$O:$O,'[1]LISTA ETIQUETAS'!H:H,"",0)</f>
        <v>1</v>
      </c>
      <c r="T175" s="9">
        <f t="shared" si="8"/>
        <v>1</v>
      </c>
    </row>
    <row r="176" spans="1:20" x14ac:dyDescent="0.25">
      <c r="A176" s="5">
        <v>312428</v>
      </c>
      <c r="B176" t="str">
        <f>IFERROR((VLOOKUP(A176,'[1]LISTA ETIQUETAS'!O:X,3,0)),"PRODUTO SEM ESTOQUE")</f>
        <v>EST QUADRO GALEE SAREE (COD961)</v>
      </c>
      <c r="C176" s="10" t="s">
        <v>130</v>
      </c>
      <c r="D176" s="10" t="s">
        <v>143</v>
      </c>
      <c r="E176" s="11">
        <f>IF(VLOOKUP(A176,'[1]LISTA ETIQUETAS'!O:W,4,0)="",(VLOOKUP(A176,'[1]LISTA ETIQUETAS'!O:W,6,0)),(VLOOKUP(A176,'[1]LISTA ETIQUETAS'!O:W,4,0)))</f>
        <v>1.7</v>
      </c>
      <c r="F176" s="11">
        <f>IF(VLOOKUP(A176,'[1]LISTA ETIQUETAS'!O:W,5,0)="",(VLOOKUP(A176,'[1]LISTA ETIQUETAS'!O:W,7,0)),(VLOOKUP(A176,'[1]LISTA ETIQUETAS'!O:W,5,0)))</f>
        <v>1</v>
      </c>
      <c r="G176" s="11">
        <f>IFERROR((VLOOKUP(A176,'[1]LISTA ETIQUETAS'!O:X,8,0)),"")</f>
        <v>0</v>
      </c>
      <c r="H176" s="11">
        <f>IFERROR((VLOOKUP(A176,'[1]LISTA ETIQUETAS'!O:X,9,0)),"")</f>
        <v>0</v>
      </c>
      <c r="I176" s="12">
        <f>IFERROR((VLOOKUP(A176,'[1]LISTA ETIQUETAS'!O:Y,11,0)),"")</f>
        <v>5597.76</v>
      </c>
      <c r="J176" s="6">
        <v>0</v>
      </c>
      <c r="K176" s="12">
        <f t="shared" si="6"/>
        <v>5597.76</v>
      </c>
      <c r="L176" s="7" t="str">
        <f>IF(VLOOKUP(A176,'[1]LISTA ETIQUETAS'!O:AB,14,0)="","",(VLOOKUP(A176,'[1]LISTA ETIQUETAS'!O:AB,14,0)))</f>
        <v/>
      </c>
      <c r="M176" s="8"/>
      <c r="N176" s="9">
        <f t="shared" si="7"/>
        <v>312428</v>
      </c>
      <c r="O176" s="2">
        <f>_xlfn.XLOOKUP($A176,'[1]LISTA ETIQUETAS'!$O:$O,'[1]LISTA ETIQUETAS'!C:C,"",0)</f>
        <v>0</v>
      </c>
      <c r="P176" s="2">
        <f>_xlfn.XLOOKUP($A176,'[1]LISTA ETIQUETAS'!$O:$O,'[1]LISTA ETIQUETAS'!D:D,"",0)</f>
        <v>0</v>
      </c>
      <c r="Q176" s="2">
        <f>_xlfn.XLOOKUP($A176,'[1]LISTA ETIQUETAS'!$O:$O,'[1]LISTA ETIQUETAS'!E:E,"",0)</f>
        <v>0</v>
      </c>
      <c r="R176" s="2">
        <f>_xlfn.XLOOKUP($A176,'[1]LISTA ETIQUETAS'!$O:$O,'[1]LISTA ETIQUETAS'!F:F,"",0)</f>
        <v>0</v>
      </c>
      <c r="S176" s="2">
        <f>_xlfn.XLOOKUP($A176,'[1]LISTA ETIQUETAS'!$O:$O,'[1]LISTA ETIQUETAS'!H:H,"",0)</f>
        <v>2</v>
      </c>
      <c r="T176" s="9">
        <f t="shared" si="8"/>
        <v>2</v>
      </c>
    </row>
    <row r="177" spans="1:20" x14ac:dyDescent="0.25">
      <c r="A177" s="5">
        <v>312427</v>
      </c>
      <c r="B177" t="str">
        <f>IFERROR((VLOOKUP(A177,'[1]LISTA ETIQUETAS'!O:X,3,0)),"PRODUTO SEM ESTOQUE")</f>
        <v>EST QUADRO GALEE BAEM (COD960)</v>
      </c>
      <c r="C177" s="10" t="s">
        <v>130</v>
      </c>
      <c r="D177" s="10" t="s">
        <v>143</v>
      </c>
      <c r="E177" s="11">
        <f>IF(VLOOKUP(A177,'[1]LISTA ETIQUETAS'!O:W,4,0)="",(VLOOKUP(A177,'[1]LISTA ETIQUETAS'!O:W,6,0)),(VLOOKUP(A177,'[1]LISTA ETIQUETAS'!O:W,4,0)))</f>
        <v>1.7</v>
      </c>
      <c r="F177" s="11">
        <f>IF(VLOOKUP(A177,'[1]LISTA ETIQUETAS'!O:W,5,0)="",(VLOOKUP(A177,'[1]LISTA ETIQUETAS'!O:W,7,0)),(VLOOKUP(A177,'[1]LISTA ETIQUETAS'!O:W,5,0)))</f>
        <v>1</v>
      </c>
      <c r="G177" s="11">
        <f>IFERROR((VLOOKUP(A177,'[1]LISTA ETIQUETAS'!O:X,8,0)),"")</f>
        <v>0</v>
      </c>
      <c r="H177" s="11">
        <f>IFERROR((VLOOKUP(A177,'[1]LISTA ETIQUETAS'!O:X,9,0)),"")</f>
        <v>0</v>
      </c>
      <c r="I177" s="12">
        <f>IFERROR((VLOOKUP(A177,'[1]LISTA ETIQUETAS'!O:Y,11,0)),"")</f>
        <v>5597.76</v>
      </c>
      <c r="J177" s="6">
        <v>0</v>
      </c>
      <c r="K177" s="12">
        <f t="shared" si="6"/>
        <v>5597.76</v>
      </c>
      <c r="L177" s="7" t="str">
        <f>IF(VLOOKUP(A177,'[1]LISTA ETIQUETAS'!O:AB,14,0)="","",(VLOOKUP(A177,'[1]LISTA ETIQUETAS'!O:AB,14,0)))</f>
        <v/>
      </c>
      <c r="M177" s="8"/>
      <c r="N177" s="9">
        <f t="shared" si="7"/>
        <v>312427</v>
      </c>
      <c r="O177" s="2">
        <f>_xlfn.XLOOKUP($A177,'[1]LISTA ETIQUETAS'!$O:$O,'[1]LISTA ETIQUETAS'!C:C,"",0)</f>
        <v>0</v>
      </c>
      <c r="P177" s="2">
        <f>_xlfn.XLOOKUP($A177,'[1]LISTA ETIQUETAS'!$O:$O,'[1]LISTA ETIQUETAS'!D:D,"",0)</f>
        <v>0</v>
      </c>
      <c r="Q177" s="2">
        <f>_xlfn.XLOOKUP($A177,'[1]LISTA ETIQUETAS'!$O:$O,'[1]LISTA ETIQUETAS'!E:E,"",0)</f>
        <v>0</v>
      </c>
      <c r="R177" s="2">
        <f>_xlfn.XLOOKUP($A177,'[1]LISTA ETIQUETAS'!$O:$O,'[1]LISTA ETIQUETAS'!F:F,"",0)</f>
        <v>0</v>
      </c>
      <c r="S177" s="2">
        <f>_xlfn.XLOOKUP($A177,'[1]LISTA ETIQUETAS'!$O:$O,'[1]LISTA ETIQUETAS'!H:H,"",0)</f>
        <v>3</v>
      </c>
      <c r="T177" s="9">
        <f t="shared" si="8"/>
        <v>3</v>
      </c>
    </row>
    <row r="178" spans="1:20" x14ac:dyDescent="0.25">
      <c r="A178" s="5">
        <v>312421</v>
      </c>
      <c r="B178" t="str">
        <f>IFERROR((VLOOKUP(A178,'[1]LISTA ETIQUETAS'!O:X,3,0)),"PRODUTO SEM ESTOQUE")</f>
        <v>EST QUADRO CARBONE DIAGONAL</v>
      </c>
      <c r="C178" s="10" t="s">
        <v>130</v>
      </c>
      <c r="D178" s="10" t="s">
        <v>143</v>
      </c>
      <c r="E178" s="11">
        <f>IF(VLOOKUP(A178,'[1]LISTA ETIQUETAS'!O:W,4,0)="",(VLOOKUP(A178,'[1]LISTA ETIQUETAS'!O:W,6,0)),(VLOOKUP(A178,'[1]LISTA ETIQUETAS'!O:W,4,0)))</f>
        <v>1</v>
      </c>
      <c r="F178" s="11">
        <f>IF(VLOOKUP(A178,'[1]LISTA ETIQUETAS'!O:W,5,0)="",(VLOOKUP(A178,'[1]LISTA ETIQUETAS'!O:W,7,0)),(VLOOKUP(A178,'[1]LISTA ETIQUETAS'!O:W,5,0)))</f>
        <v>0.7</v>
      </c>
      <c r="G178" s="11">
        <f>IFERROR((VLOOKUP(A178,'[1]LISTA ETIQUETAS'!O:X,8,0)),"")</f>
        <v>0</v>
      </c>
      <c r="H178" s="11">
        <f>IFERROR((VLOOKUP(A178,'[1]LISTA ETIQUETAS'!O:X,9,0)),"")</f>
        <v>0</v>
      </c>
      <c r="I178" s="12">
        <f>IFERROR((VLOOKUP(A178,'[1]LISTA ETIQUETAS'!O:Y,11,0)),"")</f>
        <v>3245.76</v>
      </c>
      <c r="J178" s="6">
        <v>0</v>
      </c>
      <c r="K178" s="12">
        <f t="shared" si="6"/>
        <v>3245.76</v>
      </c>
      <c r="L178" s="7" t="str">
        <f>IF(VLOOKUP(A178,'[1]LISTA ETIQUETAS'!O:AB,14,0)="","",(VLOOKUP(A178,'[1]LISTA ETIQUETAS'!O:AB,14,0)))</f>
        <v/>
      </c>
      <c r="M178" s="8"/>
      <c r="N178" s="9">
        <f t="shared" si="7"/>
        <v>312421</v>
      </c>
      <c r="O178" s="2">
        <f>_xlfn.XLOOKUP($A178,'[1]LISTA ETIQUETAS'!$O:$O,'[1]LISTA ETIQUETAS'!C:C,"",0)</f>
        <v>0</v>
      </c>
      <c r="P178" s="2">
        <f>_xlfn.XLOOKUP($A178,'[1]LISTA ETIQUETAS'!$O:$O,'[1]LISTA ETIQUETAS'!D:D,"",0)</f>
        <v>0</v>
      </c>
      <c r="Q178" s="2">
        <f>_xlfn.XLOOKUP($A178,'[1]LISTA ETIQUETAS'!$O:$O,'[1]LISTA ETIQUETAS'!E:E,"",0)</f>
        <v>1</v>
      </c>
      <c r="R178" s="2">
        <f>_xlfn.XLOOKUP($A178,'[1]LISTA ETIQUETAS'!$O:$O,'[1]LISTA ETIQUETAS'!F:F,"",0)</f>
        <v>0</v>
      </c>
      <c r="S178" s="2">
        <f>_xlfn.XLOOKUP($A178,'[1]LISTA ETIQUETAS'!$O:$O,'[1]LISTA ETIQUETAS'!H:H,"",0)</f>
        <v>1</v>
      </c>
      <c r="T178" s="9">
        <f t="shared" si="8"/>
        <v>2</v>
      </c>
    </row>
    <row r="179" spans="1:20" x14ac:dyDescent="0.25">
      <c r="A179" s="5">
        <v>312433</v>
      </c>
      <c r="B179" t="str">
        <f>IFERROR((VLOOKUP(A179,'[1]LISTA ETIQUETAS'!O:X,3,0)),"PRODUTO SEM ESTOQUE")</f>
        <v>EST QUADRO SAVANA TARTARUGA (LADO DIREITO)</v>
      </c>
      <c r="C179" s="10" t="s">
        <v>130</v>
      </c>
      <c r="D179" s="10" t="s">
        <v>143</v>
      </c>
      <c r="E179" s="11">
        <f>IF(VLOOKUP(A179,'[1]LISTA ETIQUETAS'!O:W,4,0)="",(VLOOKUP(A179,'[1]LISTA ETIQUETAS'!O:W,6,0)),(VLOOKUP(A179,'[1]LISTA ETIQUETAS'!O:W,4,0)))</f>
        <v>1</v>
      </c>
      <c r="F179" s="11">
        <f>IF(VLOOKUP(A179,'[1]LISTA ETIQUETAS'!O:W,5,0)="",(VLOOKUP(A179,'[1]LISTA ETIQUETAS'!O:W,7,0)),(VLOOKUP(A179,'[1]LISTA ETIQUETAS'!O:W,5,0)))</f>
        <v>0.7</v>
      </c>
      <c r="G179" s="11">
        <f>IFERROR((VLOOKUP(A179,'[1]LISTA ETIQUETAS'!O:X,8,0)),"")</f>
        <v>0</v>
      </c>
      <c r="H179" s="11">
        <f>IFERROR((VLOOKUP(A179,'[1]LISTA ETIQUETAS'!O:X,9,0)),"")</f>
        <v>0</v>
      </c>
      <c r="I179" s="12">
        <f>IFERROR((VLOOKUP(A179,'[1]LISTA ETIQUETAS'!O:Y,11,0)),"")</f>
        <v>2676.58</v>
      </c>
      <c r="J179" s="6">
        <v>0</v>
      </c>
      <c r="K179" s="12">
        <f t="shared" si="6"/>
        <v>2676.58</v>
      </c>
      <c r="L179" s="7" t="str">
        <f>IF(VLOOKUP(A179,'[1]LISTA ETIQUETAS'!O:AB,14,0)="","",(VLOOKUP(A179,'[1]LISTA ETIQUETAS'!O:AB,14,0)))</f>
        <v/>
      </c>
      <c r="M179" s="8"/>
      <c r="N179" s="9">
        <f t="shared" si="7"/>
        <v>312433</v>
      </c>
      <c r="O179" s="2">
        <f>_xlfn.XLOOKUP($A179,'[1]LISTA ETIQUETAS'!$O:$O,'[1]LISTA ETIQUETAS'!C:C,"",0)</f>
        <v>1</v>
      </c>
      <c r="P179" s="2">
        <f>_xlfn.XLOOKUP($A179,'[1]LISTA ETIQUETAS'!$O:$O,'[1]LISTA ETIQUETAS'!D:D,"",0)</f>
        <v>0</v>
      </c>
      <c r="Q179" s="2">
        <f>_xlfn.XLOOKUP($A179,'[1]LISTA ETIQUETAS'!$O:$O,'[1]LISTA ETIQUETAS'!E:E,"",0)</f>
        <v>0</v>
      </c>
      <c r="R179" s="2">
        <f>_xlfn.XLOOKUP($A179,'[1]LISTA ETIQUETAS'!$O:$O,'[1]LISTA ETIQUETAS'!F:F,"",0)</f>
        <v>0</v>
      </c>
      <c r="S179" s="2">
        <f>_xlfn.XLOOKUP($A179,'[1]LISTA ETIQUETAS'!$O:$O,'[1]LISTA ETIQUETAS'!H:H,"",0)</f>
        <v>1</v>
      </c>
      <c r="T179" s="9">
        <f t="shared" si="8"/>
        <v>2</v>
      </c>
    </row>
    <row r="180" spans="1:20" x14ac:dyDescent="0.25">
      <c r="A180" s="5">
        <v>351424</v>
      </c>
      <c r="B180" t="str">
        <f>IFERROR((VLOOKUP(A180,'[1]LISTA ETIQUETAS'!O:X,3,0)),"PRODUTO SEM ESTOQUE")</f>
        <v>EST ACESSORIO VASO CERAMICA CLAY II</v>
      </c>
      <c r="C180" s="10" t="s">
        <v>130</v>
      </c>
      <c r="D180" s="10" t="s">
        <v>137</v>
      </c>
      <c r="E180" s="11">
        <f>IF(VLOOKUP(A180,'[1]LISTA ETIQUETAS'!O:W,4,0)="",(VLOOKUP(A180,'[1]LISTA ETIQUETAS'!O:W,6,0)),(VLOOKUP(A180,'[1]LISTA ETIQUETAS'!O:W,4,0)))</f>
        <v>0</v>
      </c>
      <c r="F180" s="11">
        <f>IF(VLOOKUP(A180,'[1]LISTA ETIQUETAS'!O:W,5,0)="",(VLOOKUP(A180,'[1]LISTA ETIQUETAS'!O:W,7,0)),(VLOOKUP(A180,'[1]LISTA ETIQUETAS'!O:W,5,0)))</f>
        <v>0</v>
      </c>
      <c r="G180" s="11">
        <f>IFERROR((VLOOKUP(A180,'[1]LISTA ETIQUETAS'!O:X,8,0)),"")</f>
        <v>0</v>
      </c>
      <c r="H180" s="11">
        <f>IFERROR((VLOOKUP(A180,'[1]LISTA ETIQUETAS'!O:X,9,0)),"")</f>
        <v>0</v>
      </c>
      <c r="I180" s="12" t="str">
        <f>IFERROR((VLOOKUP(A180,'[1]LISTA ETIQUETAS'!O:Y,11,0)),"")</f>
        <v/>
      </c>
      <c r="J180" s="6">
        <v>0</v>
      </c>
      <c r="K180" s="12" t="str">
        <f t="shared" si="6"/>
        <v/>
      </c>
      <c r="L180" s="7" t="str">
        <f>IF(VLOOKUP(A180,'[1]LISTA ETIQUETAS'!O:AB,14,0)="","",(VLOOKUP(A180,'[1]LISTA ETIQUETAS'!O:AB,14,0)))</f>
        <v/>
      </c>
      <c r="M180" s="8"/>
      <c r="N180" s="9">
        <f t="shared" si="7"/>
        <v>351424</v>
      </c>
      <c r="O180" s="2">
        <f>_xlfn.XLOOKUP($A180,'[1]LISTA ETIQUETAS'!$O:$O,'[1]LISTA ETIQUETAS'!C:C,"",0)</f>
        <v>0</v>
      </c>
      <c r="P180" s="2">
        <f>_xlfn.XLOOKUP($A180,'[1]LISTA ETIQUETAS'!$O:$O,'[1]LISTA ETIQUETAS'!D:D,"",0)</f>
        <v>0</v>
      </c>
      <c r="Q180" s="2">
        <f>_xlfn.XLOOKUP($A180,'[1]LISTA ETIQUETAS'!$O:$O,'[1]LISTA ETIQUETAS'!E:E,"",0)</f>
        <v>0</v>
      </c>
      <c r="R180" s="2">
        <f>_xlfn.XLOOKUP($A180,'[1]LISTA ETIQUETAS'!$O:$O,'[1]LISTA ETIQUETAS'!F:F,"",0)</f>
        <v>0</v>
      </c>
      <c r="S180" s="2">
        <f>_xlfn.XLOOKUP($A180,'[1]LISTA ETIQUETAS'!$O:$O,'[1]LISTA ETIQUETAS'!H:H,"",0)</f>
        <v>2</v>
      </c>
      <c r="T180" s="9">
        <f t="shared" si="8"/>
        <v>2</v>
      </c>
    </row>
    <row r="181" spans="1:20" x14ac:dyDescent="0.25">
      <c r="A181" s="5">
        <v>351423</v>
      </c>
      <c r="B181" t="str">
        <f>IFERROR((VLOOKUP(A181,'[1]LISTA ETIQUETAS'!O:X,3,0)),"PRODUTO SEM ESTOQUE")</f>
        <v>EST ACESSORIO VASO VIDRO GOYA</v>
      </c>
      <c r="C181" s="10" t="s">
        <v>130</v>
      </c>
      <c r="D181" s="10" t="s">
        <v>137</v>
      </c>
      <c r="E181" s="11">
        <f>IF(VLOOKUP(A181,'[1]LISTA ETIQUETAS'!O:W,4,0)="",(VLOOKUP(A181,'[1]LISTA ETIQUETAS'!O:W,6,0)),(VLOOKUP(A181,'[1]LISTA ETIQUETAS'!O:W,4,0)))</f>
        <v>0</v>
      </c>
      <c r="F181" s="11">
        <f>IF(VLOOKUP(A181,'[1]LISTA ETIQUETAS'!O:W,5,0)="",(VLOOKUP(A181,'[1]LISTA ETIQUETAS'!O:W,7,0)),(VLOOKUP(A181,'[1]LISTA ETIQUETAS'!O:W,5,0)))</f>
        <v>0</v>
      </c>
      <c r="G181" s="11">
        <f>IFERROR((VLOOKUP(A181,'[1]LISTA ETIQUETAS'!O:X,8,0)),"")</f>
        <v>0</v>
      </c>
      <c r="H181" s="11">
        <f>IFERROR((VLOOKUP(A181,'[1]LISTA ETIQUETAS'!O:X,9,0)),"")</f>
        <v>0</v>
      </c>
      <c r="I181" s="12" t="str">
        <f>IFERROR((VLOOKUP(A181,'[1]LISTA ETIQUETAS'!O:Y,11,0)),"")</f>
        <v/>
      </c>
      <c r="J181" s="6">
        <v>0</v>
      </c>
      <c r="K181" s="12" t="str">
        <f t="shared" si="6"/>
        <v/>
      </c>
      <c r="L181" s="7" t="str">
        <f>IF(VLOOKUP(A181,'[1]LISTA ETIQUETAS'!O:AB,14,0)="","",(VLOOKUP(A181,'[1]LISTA ETIQUETAS'!O:AB,14,0)))</f>
        <v/>
      </c>
      <c r="M181" s="8"/>
      <c r="N181" s="9">
        <f t="shared" si="7"/>
        <v>351423</v>
      </c>
      <c r="O181" s="2">
        <f>_xlfn.XLOOKUP($A181,'[1]LISTA ETIQUETAS'!$O:$O,'[1]LISTA ETIQUETAS'!C:C,"",0)</f>
        <v>0</v>
      </c>
      <c r="P181" s="2">
        <f>_xlfn.XLOOKUP($A181,'[1]LISTA ETIQUETAS'!$O:$O,'[1]LISTA ETIQUETAS'!D:D,"",0)</f>
        <v>0</v>
      </c>
      <c r="Q181" s="2">
        <f>_xlfn.XLOOKUP($A181,'[1]LISTA ETIQUETAS'!$O:$O,'[1]LISTA ETIQUETAS'!E:E,"",0)</f>
        <v>0</v>
      </c>
      <c r="R181" s="2">
        <f>_xlfn.XLOOKUP($A181,'[1]LISTA ETIQUETAS'!$O:$O,'[1]LISTA ETIQUETAS'!F:F,"",0)</f>
        <v>0</v>
      </c>
      <c r="S181" s="2">
        <f>_xlfn.XLOOKUP($A181,'[1]LISTA ETIQUETAS'!$O:$O,'[1]LISTA ETIQUETAS'!H:H,"",0)</f>
        <v>2</v>
      </c>
      <c r="T181" s="9">
        <f t="shared" si="8"/>
        <v>2</v>
      </c>
    </row>
    <row r="182" spans="1:20" x14ac:dyDescent="0.25">
      <c r="A182" s="5">
        <v>406798</v>
      </c>
      <c r="B182" t="str">
        <f>IFERROR((VLOOKUP(A182,'[1]LISTA ETIQUETAS'!O:X,3,0)),"PRODUTO SEM ESTOQUE")</f>
        <v>EST ALMOFADA DECORATIVA (F 670) (FX B2080)</v>
      </c>
      <c r="C182" s="10" t="s">
        <v>145</v>
      </c>
      <c r="D182" s="10" t="s">
        <v>146</v>
      </c>
      <c r="E182" s="11">
        <f>IF(VLOOKUP(A182,'[1]LISTA ETIQUETAS'!O:W,4,0)="",(VLOOKUP(A182,'[1]LISTA ETIQUETAS'!O:W,6,0)),(VLOOKUP(A182,'[1]LISTA ETIQUETAS'!O:W,4,0)))</f>
        <v>0.5</v>
      </c>
      <c r="F182" s="11">
        <f>IF(VLOOKUP(A182,'[1]LISTA ETIQUETAS'!O:W,5,0)="",(VLOOKUP(A182,'[1]LISTA ETIQUETAS'!O:W,7,0)),(VLOOKUP(A182,'[1]LISTA ETIQUETAS'!O:W,5,0)))</f>
        <v>0.5</v>
      </c>
      <c r="G182" s="11">
        <f>IFERROR((VLOOKUP(A182,'[1]LISTA ETIQUETAS'!O:X,8,0)),"")</f>
        <v>0</v>
      </c>
      <c r="H182" s="11">
        <f>IFERROR((VLOOKUP(A182,'[1]LISTA ETIQUETAS'!O:X,9,0)),"")</f>
        <v>0</v>
      </c>
      <c r="I182" s="12">
        <f>IFERROR((VLOOKUP(A182,'[1]LISTA ETIQUETAS'!O:Y,11,0)),"")</f>
        <v>738.84</v>
      </c>
      <c r="J182" s="6">
        <v>0</v>
      </c>
      <c r="K182" s="12">
        <f t="shared" si="6"/>
        <v>738.84</v>
      </c>
      <c r="L182" s="7" t="str">
        <f>IF(VLOOKUP(A182,'[1]LISTA ETIQUETAS'!O:AB,14,0)="","",(VLOOKUP(A182,'[1]LISTA ETIQUETAS'!O:AB,14,0)))</f>
        <v/>
      </c>
      <c r="M182" s="8"/>
      <c r="N182" s="9">
        <f t="shared" si="7"/>
        <v>406798</v>
      </c>
      <c r="O182" s="2">
        <f>_xlfn.XLOOKUP($A182,'[1]LISTA ETIQUETAS'!$O:$O,'[1]LISTA ETIQUETAS'!C:C,"",0)</f>
        <v>0</v>
      </c>
      <c r="P182" s="2">
        <f>_xlfn.XLOOKUP($A182,'[1]LISTA ETIQUETAS'!$O:$O,'[1]LISTA ETIQUETAS'!D:D,"",0)</f>
        <v>0</v>
      </c>
      <c r="Q182" s="2">
        <f>_xlfn.XLOOKUP($A182,'[1]LISTA ETIQUETAS'!$O:$O,'[1]LISTA ETIQUETAS'!E:E,"",0)</f>
        <v>0</v>
      </c>
      <c r="R182" s="2">
        <f>_xlfn.XLOOKUP($A182,'[1]LISTA ETIQUETAS'!$O:$O,'[1]LISTA ETIQUETAS'!F:F,"",0)</f>
        <v>0</v>
      </c>
      <c r="S182" s="2">
        <f>_xlfn.XLOOKUP($A182,'[1]LISTA ETIQUETAS'!$O:$O,'[1]LISTA ETIQUETAS'!H:H,"",0)</f>
        <v>2</v>
      </c>
      <c r="T182" s="9">
        <f t="shared" si="8"/>
        <v>2</v>
      </c>
    </row>
    <row r="183" spans="1:20" x14ac:dyDescent="0.25">
      <c r="A183" s="5">
        <v>406797</v>
      </c>
      <c r="B183" t="str">
        <f>IFERROR((VLOOKUP(A183,'[1]LISTA ETIQUETAS'!O:X,3,0)),"PRODUTO SEM ESTOQUE")</f>
        <v>EST ALMOFADA DECORATIVA (F 670) (FX B2080)</v>
      </c>
      <c r="C183" s="10" t="s">
        <v>145</v>
      </c>
      <c r="D183" s="10" t="s">
        <v>146</v>
      </c>
      <c r="E183" s="11">
        <f>IF(VLOOKUP(A183,'[1]LISTA ETIQUETAS'!O:W,4,0)="",(VLOOKUP(A183,'[1]LISTA ETIQUETAS'!O:W,6,0)),(VLOOKUP(A183,'[1]LISTA ETIQUETAS'!O:W,4,0)))</f>
        <v>0.4</v>
      </c>
      <c r="F183" s="11">
        <f>IF(VLOOKUP(A183,'[1]LISTA ETIQUETAS'!O:W,5,0)="",(VLOOKUP(A183,'[1]LISTA ETIQUETAS'!O:W,7,0)),(VLOOKUP(A183,'[1]LISTA ETIQUETAS'!O:W,5,0)))</f>
        <v>0.4</v>
      </c>
      <c r="G183" s="11">
        <f>IFERROR((VLOOKUP(A183,'[1]LISTA ETIQUETAS'!O:X,8,0)),"")</f>
        <v>0</v>
      </c>
      <c r="H183" s="11">
        <f>IFERROR((VLOOKUP(A183,'[1]LISTA ETIQUETAS'!O:X,9,0)),"")</f>
        <v>0</v>
      </c>
      <c r="I183" s="12">
        <f>IFERROR((VLOOKUP(A183,'[1]LISTA ETIQUETAS'!O:Y,11,0)),"")</f>
        <v>669.58</v>
      </c>
      <c r="J183" s="6">
        <v>0</v>
      </c>
      <c r="K183" s="12">
        <f t="shared" si="6"/>
        <v>669.58</v>
      </c>
      <c r="L183" s="7" t="str">
        <f>IF(VLOOKUP(A183,'[1]LISTA ETIQUETAS'!O:AB,14,0)="","",(VLOOKUP(A183,'[1]LISTA ETIQUETAS'!O:AB,14,0)))</f>
        <v/>
      </c>
      <c r="M183" s="8"/>
      <c r="N183" s="9">
        <f t="shared" si="7"/>
        <v>406797</v>
      </c>
      <c r="O183" s="2">
        <f>_xlfn.XLOOKUP($A183,'[1]LISTA ETIQUETAS'!$O:$O,'[1]LISTA ETIQUETAS'!C:C,"",0)</f>
        <v>0</v>
      </c>
      <c r="P183" s="2">
        <f>_xlfn.XLOOKUP($A183,'[1]LISTA ETIQUETAS'!$O:$O,'[1]LISTA ETIQUETAS'!D:D,"",0)</f>
        <v>0</v>
      </c>
      <c r="Q183" s="2">
        <f>_xlfn.XLOOKUP($A183,'[1]LISTA ETIQUETAS'!$O:$O,'[1]LISTA ETIQUETAS'!E:E,"",0)</f>
        <v>0</v>
      </c>
      <c r="R183" s="2">
        <f>_xlfn.XLOOKUP($A183,'[1]LISTA ETIQUETAS'!$O:$O,'[1]LISTA ETIQUETAS'!F:F,"",0)</f>
        <v>0</v>
      </c>
      <c r="S183" s="2">
        <f>_xlfn.XLOOKUP($A183,'[1]LISTA ETIQUETAS'!$O:$O,'[1]LISTA ETIQUETAS'!H:H,"",0)</f>
        <v>2</v>
      </c>
      <c r="T183" s="9">
        <f t="shared" si="8"/>
        <v>2</v>
      </c>
    </row>
    <row r="184" spans="1:20" x14ac:dyDescent="0.25">
      <c r="A184" s="5">
        <v>389958</v>
      </c>
      <c r="B184" t="str">
        <f>IFERROR((VLOOKUP(A184,'[1]LISTA ETIQUETAS'!O:X,3,0)),"PRODUTO SEM ESTOQUE")</f>
        <v>EST ALMOFADA DECORATIVA LENCOIS M OUTDOOR TC KEEPSAKE TAUPE</v>
      </c>
      <c r="C184" s="10" t="s">
        <v>145</v>
      </c>
      <c r="D184" s="10" t="s">
        <v>147</v>
      </c>
      <c r="E184" s="11">
        <f>IF(VLOOKUP(A184,'[1]LISTA ETIQUETAS'!O:W,4,0)="",(VLOOKUP(A184,'[1]LISTA ETIQUETAS'!O:W,6,0)),(VLOOKUP(A184,'[1]LISTA ETIQUETAS'!O:W,4,0)))</f>
        <v>0.6</v>
      </c>
      <c r="F184" s="11">
        <f>IF(VLOOKUP(A184,'[1]LISTA ETIQUETAS'!O:W,5,0)="",(VLOOKUP(A184,'[1]LISTA ETIQUETAS'!O:W,7,0)),(VLOOKUP(A184,'[1]LISTA ETIQUETAS'!O:W,5,0)))</f>
        <v>0.6</v>
      </c>
      <c r="G184" s="11">
        <f>IFERROR((VLOOKUP(A184,'[1]LISTA ETIQUETAS'!O:X,8,0)),"")</f>
        <v>0</v>
      </c>
      <c r="H184" s="11">
        <f>IFERROR((VLOOKUP(A184,'[1]LISTA ETIQUETAS'!O:X,9,0)),"")</f>
        <v>0</v>
      </c>
      <c r="I184" s="12">
        <f>IFERROR((VLOOKUP(A184,'[1]LISTA ETIQUETAS'!O:Y,11,0)),"")</f>
        <v>1751.3990200000003</v>
      </c>
      <c r="J184" s="6">
        <v>0</v>
      </c>
      <c r="K184" s="12">
        <f t="shared" si="6"/>
        <v>1751.3990200000003</v>
      </c>
      <c r="L184" s="7" t="str">
        <f>IF(VLOOKUP(A184,'[1]LISTA ETIQUETAS'!O:AB,14,0)="","",(VLOOKUP(A184,'[1]LISTA ETIQUETAS'!O:AB,14,0)))</f>
        <v/>
      </c>
      <c r="M184" s="8"/>
      <c r="N184" s="9">
        <f t="shared" si="7"/>
        <v>389958</v>
      </c>
      <c r="O184" s="2">
        <f>_xlfn.XLOOKUP($A184,'[1]LISTA ETIQUETAS'!$O:$O,'[1]LISTA ETIQUETAS'!C:C,"",0)</f>
        <v>1</v>
      </c>
      <c r="P184" s="2">
        <f>_xlfn.XLOOKUP($A184,'[1]LISTA ETIQUETAS'!$O:$O,'[1]LISTA ETIQUETAS'!D:D,"",0)</f>
        <v>0</v>
      </c>
      <c r="Q184" s="2">
        <f>_xlfn.XLOOKUP($A184,'[1]LISTA ETIQUETAS'!$O:$O,'[1]LISTA ETIQUETAS'!E:E,"",0)</f>
        <v>0</v>
      </c>
      <c r="R184" s="2">
        <f>_xlfn.XLOOKUP($A184,'[1]LISTA ETIQUETAS'!$O:$O,'[1]LISTA ETIQUETAS'!F:F,"",0)</f>
        <v>2</v>
      </c>
      <c r="S184" s="2">
        <f>_xlfn.XLOOKUP($A184,'[1]LISTA ETIQUETAS'!$O:$O,'[1]LISTA ETIQUETAS'!H:H,"",0)</f>
        <v>1</v>
      </c>
      <c r="T184" s="9">
        <f t="shared" si="8"/>
        <v>4</v>
      </c>
    </row>
    <row r="185" spans="1:20" x14ac:dyDescent="0.25">
      <c r="A185" s="5">
        <v>363833</v>
      </c>
      <c r="B185" t="str">
        <f>IFERROR((VLOOKUP(A185,'[1]LISTA ETIQUETAS'!O:X,3,0)),"PRODUTO SEM ESTOQUE")</f>
        <v>EST ALMOFADA DECORATIVA (F 39) TC TARENTO 12</v>
      </c>
      <c r="C185" s="10" t="s">
        <v>145</v>
      </c>
      <c r="D185" s="10" t="s">
        <v>131</v>
      </c>
      <c r="E185" s="11">
        <f>IF(VLOOKUP(A185,'[1]LISTA ETIQUETAS'!O:W,4,0)="",(VLOOKUP(A185,'[1]LISTA ETIQUETAS'!O:W,6,0)),(VLOOKUP(A185,'[1]LISTA ETIQUETAS'!O:W,4,0)))</f>
        <v>0.6</v>
      </c>
      <c r="F185" s="11">
        <f>IF(VLOOKUP(A185,'[1]LISTA ETIQUETAS'!O:W,5,0)="",(VLOOKUP(A185,'[1]LISTA ETIQUETAS'!O:W,7,0)),(VLOOKUP(A185,'[1]LISTA ETIQUETAS'!O:W,5,0)))</f>
        <v>0.6</v>
      </c>
      <c r="G185" s="11">
        <f>IFERROR((VLOOKUP(A185,'[1]LISTA ETIQUETAS'!O:X,8,0)),"")</f>
        <v>0</v>
      </c>
      <c r="H185" s="11">
        <f>IFERROR((VLOOKUP(A185,'[1]LISTA ETIQUETAS'!O:X,9,0)),"")</f>
        <v>0</v>
      </c>
      <c r="I185" s="12">
        <f>IFERROR((VLOOKUP(A185,'[1]LISTA ETIQUETAS'!O:Y,11,0)),"")</f>
        <v>1229.98</v>
      </c>
      <c r="J185" s="6">
        <v>0</v>
      </c>
      <c r="K185" s="12">
        <f t="shared" si="6"/>
        <v>1229.98</v>
      </c>
      <c r="L185" s="7" t="str">
        <f>IF(VLOOKUP(A185,'[1]LISTA ETIQUETAS'!O:AB,14,0)="","",(VLOOKUP(A185,'[1]LISTA ETIQUETAS'!O:AB,14,0)))</f>
        <v/>
      </c>
      <c r="M185" s="8"/>
      <c r="N185" s="9">
        <f t="shared" si="7"/>
        <v>363833</v>
      </c>
      <c r="O185" s="2">
        <f>_xlfn.XLOOKUP($A185,'[1]LISTA ETIQUETAS'!$O:$O,'[1]LISTA ETIQUETAS'!C:C,"",0)</f>
        <v>3</v>
      </c>
      <c r="P185" s="2">
        <f>_xlfn.XLOOKUP($A185,'[1]LISTA ETIQUETAS'!$O:$O,'[1]LISTA ETIQUETAS'!D:D,"",0)</f>
        <v>0</v>
      </c>
      <c r="Q185" s="2">
        <f>_xlfn.XLOOKUP($A185,'[1]LISTA ETIQUETAS'!$O:$O,'[1]LISTA ETIQUETAS'!E:E,"",0)</f>
        <v>0</v>
      </c>
      <c r="R185" s="2">
        <f>_xlfn.XLOOKUP($A185,'[1]LISTA ETIQUETAS'!$O:$O,'[1]LISTA ETIQUETAS'!F:F,"",0)</f>
        <v>0</v>
      </c>
      <c r="S185" s="2">
        <f>_xlfn.XLOOKUP($A185,'[1]LISTA ETIQUETAS'!$O:$O,'[1]LISTA ETIQUETAS'!H:H,"",0)</f>
        <v>5</v>
      </c>
      <c r="T185" s="9">
        <f t="shared" si="8"/>
        <v>8</v>
      </c>
    </row>
    <row r="186" spans="1:20" x14ac:dyDescent="0.25">
      <c r="A186" s="5">
        <v>277906</v>
      </c>
      <c r="B186" t="str">
        <f>IFERROR((VLOOKUP(A186,'[1]LISTA ETIQUETAS'!O:X,3,0)),"PRODUTO SEM ESTOQUE")</f>
        <v>EST ALMOFADA DECORATIVA (PENA) TC CAMBRAIA MARTINA</v>
      </c>
      <c r="C186" s="10" t="s">
        <v>145</v>
      </c>
      <c r="D186" s="10" t="s">
        <v>131</v>
      </c>
      <c r="E186" s="11">
        <f>IF(VLOOKUP(A186,'[1]LISTA ETIQUETAS'!O:W,4,0)="",(VLOOKUP(A186,'[1]LISTA ETIQUETAS'!O:W,6,0)),(VLOOKUP(A186,'[1]LISTA ETIQUETAS'!O:W,4,0)))</f>
        <v>0.66</v>
      </c>
      <c r="F186" s="11">
        <f>IF(VLOOKUP(A186,'[1]LISTA ETIQUETAS'!O:W,5,0)="",(VLOOKUP(A186,'[1]LISTA ETIQUETAS'!O:W,7,0)),(VLOOKUP(A186,'[1]LISTA ETIQUETAS'!O:W,5,0)))</f>
        <v>0.4</v>
      </c>
      <c r="G186" s="11">
        <f>IFERROR((VLOOKUP(A186,'[1]LISTA ETIQUETAS'!O:X,8,0)),"")</f>
        <v>0.1</v>
      </c>
      <c r="H186" s="11">
        <f>IFERROR((VLOOKUP(A186,'[1]LISTA ETIQUETAS'!O:X,9,0)),"")</f>
        <v>0</v>
      </c>
      <c r="I186" s="12" t="str">
        <f>IFERROR((VLOOKUP(A186,'[1]LISTA ETIQUETAS'!O:Y,11,0)),"")</f>
        <v/>
      </c>
      <c r="J186" s="6">
        <v>0</v>
      </c>
      <c r="K186" s="12" t="str">
        <f t="shared" si="6"/>
        <v/>
      </c>
      <c r="L186" s="7" t="str">
        <f>IF(VLOOKUP(A186,'[1]LISTA ETIQUETAS'!O:AB,14,0)="","",(VLOOKUP(A186,'[1]LISTA ETIQUETAS'!O:AB,14,0)))</f>
        <v/>
      </c>
      <c r="M186" s="8"/>
      <c r="N186" s="9">
        <f t="shared" si="7"/>
        <v>277906</v>
      </c>
      <c r="O186" s="2">
        <f>_xlfn.XLOOKUP($A186,'[1]LISTA ETIQUETAS'!$O:$O,'[1]LISTA ETIQUETAS'!C:C,"",0)</f>
        <v>0</v>
      </c>
      <c r="P186" s="2">
        <f>_xlfn.XLOOKUP($A186,'[1]LISTA ETIQUETAS'!$O:$O,'[1]LISTA ETIQUETAS'!D:D,"",0)</f>
        <v>0</v>
      </c>
      <c r="Q186" s="2">
        <f>_xlfn.XLOOKUP($A186,'[1]LISTA ETIQUETAS'!$O:$O,'[1]LISTA ETIQUETAS'!E:E,"",0)</f>
        <v>0</v>
      </c>
      <c r="R186" s="2">
        <f>_xlfn.XLOOKUP($A186,'[1]LISTA ETIQUETAS'!$O:$O,'[1]LISTA ETIQUETAS'!F:F,"",0)</f>
        <v>0</v>
      </c>
      <c r="S186" s="2">
        <f>_xlfn.XLOOKUP($A186,'[1]LISTA ETIQUETAS'!$O:$O,'[1]LISTA ETIQUETAS'!H:H,"",0)</f>
        <v>3</v>
      </c>
      <c r="T186" s="9">
        <f t="shared" si="8"/>
        <v>3</v>
      </c>
    </row>
    <row r="187" spans="1:20" x14ac:dyDescent="0.25">
      <c r="A187" s="5">
        <v>351715</v>
      </c>
      <c r="B187" t="str">
        <f>IFERROR((VLOOKUP(A187,'[1]LISTA ETIQUETAS'!O:X,3,0)),"PRODUTO SEM ESTOQUE")</f>
        <v>EST ALMOFADA CLAMI 1 (PLUMA SINT) (MOHAVE CINZA/MARROM)</v>
      </c>
      <c r="C187" s="10" t="s">
        <v>145</v>
      </c>
      <c r="D187" s="10" t="s">
        <v>131</v>
      </c>
      <c r="E187" s="11">
        <f>IF(VLOOKUP(A187,'[1]LISTA ETIQUETAS'!O:W,4,0)="",(VLOOKUP(A187,'[1]LISTA ETIQUETAS'!O:W,6,0)),(VLOOKUP(A187,'[1]LISTA ETIQUETAS'!O:W,4,0)))</f>
        <v>0.7</v>
      </c>
      <c r="F187" s="11">
        <f>IF(VLOOKUP(A187,'[1]LISTA ETIQUETAS'!O:W,5,0)="",(VLOOKUP(A187,'[1]LISTA ETIQUETAS'!O:W,7,0)),(VLOOKUP(A187,'[1]LISTA ETIQUETAS'!O:W,5,0)))</f>
        <v>0.3</v>
      </c>
      <c r="G187" s="11">
        <f>IFERROR((VLOOKUP(A187,'[1]LISTA ETIQUETAS'!O:X,8,0)),"")</f>
        <v>0.15</v>
      </c>
      <c r="H187" s="11">
        <f>IFERROR((VLOOKUP(A187,'[1]LISTA ETIQUETAS'!O:X,9,0)),"")</f>
        <v>0</v>
      </c>
      <c r="I187" s="12">
        <f>IFERROR((VLOOKUP(A187,'[1]LISTA ETIQUETAS'!O:Y,11,0)),"")</f>
        <v>770.52</v>
      </c>
      <c r="J187" s="6">
        <v>0</v>
      </c>
      <c r="K187" s="12">
        <f t="shared" si="6"/>
        <v>770.52</v>
      </c>
      <c r="L187" s="7" t="str">
        <f>IF(VLOOKUP(A187,'[1]LISTA ETIQUETAS'!O:AB,14,0)="","",(VLOOKUP(A187,'[1]LISTA ETIQUETAS'!O:AB,14,0)))</f>
        <v/>
      </c>
      <c r="M187" s="8"/>
      <c r="N187" s="9">
        <f t="shared" si="7"/>
        <v>351715</v>
      </c>
      <c r="O187" s="2">
        <f>_xlfn.XLOOKUP($A187,'[1]LISTA ETIQUETAS'!$O:$O,'[1]LISTA ETIQUETAS'!C:C,"",0)</f>
        <v>0</v>
      </c>
      <c r="P187" s="2">
        <f>_xlfn.XLOOKUP($A187,'[1]LISTA ETIQUETAS'!$O:$O,'[1]LISTA ETIQUETAS'!D:D,"",0)</f>
        <v>0</v>
      </c>
      <c r="Q187" s="2">
        <f>_xlfn.XLOOKUP($A187,'[1]LISTA ETIQUETAS'!$O:$O,'[1]LISTA ETIQUETAS'!E:E,"",0)</f>
        <v>0</v>
      </c>
      <c r="R187" s="2">
        <f>_xlfn.XLOOKUP($A187,'[1]LISTA ETIQUETAS'!$O:$O,'[1]LISTA ETIQUETAS'!F:F,"",0)</f>
        <v>0</v>
      </c>
      <c r="S187" s="2">
        <f>_xlfn.XLOOKUP($A187,'[1]LISTA ETIQUETAS'!$O:$O,'[1]LISTA ETIQUETAS'!H:H,"",0)</f>
        <v>1</v>
      </c>
      <c r="T187" s="9">
        <f t="shared" si="8"/>
        <v>1</v>
      </c>
    </row>
    <row r="188" spans="1:20" x14ac:dyDescent="0.25">
      <c r="A188" s="5">
        <v>351713</v>
      </c>
      <c r="B188" t="str">
        <f>IFERROR((VLOOKUP(A188,'[1]LISTA ETIQUETAS'!O:X,3,0)),"PRODUTO SEM ESTOQUE")</f>
        <v>EST ALMOFADA CLAMI 1 (PLUMA SINT) (1341-1 CINZA/CRU)</v>
      </c>
      <c r="C188" s="10" t="s">
        <v>145</v>
      </c>
      <c r="D188" s="10" t="s">
        <v>131</v>
      </c>
      <c r="E188" s="11">
        <f>IF(VLOOKUP(A188,'[1]LISTA ETIQUETAS'!O:W,4,0)="",(VLOOKUP(A188,'[1]LISTA ETIQUETAS'!O:W,6,0)),(VLOOKUP(A188,'[1]LISTA ETIQUETAS'!O:W,4,0)))</f>
        <v>0.6</v>
      </c>
      <c r="F188" s="11">
        <f>IF(VLOOKUP(A188,'[1]LISTA ETIQUETAS'!O:W,5,0)="",(VLOOKUP(A188,'[1]LISTA ETIQUETAS'!O:W,7,0)),(VLOOKUP(A188,'[1]LISTA ETIQUETAS'!O:W,5,0)))</f>
        <v>0.25</v>
      </c>
      <c r="G188" s="11">
        <f>IFERROR((VLOOKUP(A188,'[1]LISTA ETIQUETAS'!O:X,8,0)),"")</f>
        <v>0.15</v>
      </c>
      <c r="H188" s="11">
        <f>IFERROR((VLOOKUP(A188,'[1]LISTA ETIQUETAS'!O:X,9,0)),"")</f>
        <v>0</v>
      </c>
      <c r="I188" s="12">
        <f>IFERROR((VLOOKUP(A188,'[1]LISTA ETIQUETAS'!O:Y,11,0)),"")</f>
        <v>550.37</v>
      </c>
      <c r="J188" s="6">
        <v>0</v>
      </c>
      <c r="K188" s="12">
        <f t="shared" si="6"/>
        <v>550.37</v>
      </c>
      <c r="L188" s="7" t="str">
        <f>IF(VLOOKUP(A188,'[1]LISTA ETIQUETAS'!O:AB,14,0)="","",(VLOOKUP(A188,'[1]LISTA ETIQUETAS'!O:AB,14,0)))</f>
        <v/>
      </c>
      <c r="M188" s="8"/>
      <c r="N188" s="9">
        <f t="shared" si="7"/>
        <v>351713</v>
      </c>
      <c r="O188" s="2">
        <f>_xlfn.XLOOKUP($A188,'[1]LISTA ETIQUETAS'!$O:$O,'[1]LISTA ETIQUETAS'!C:C,"",0)</f>
        <v>0</v>
      </c>
      <c r="P188" s="2">
        <f>_xlfn.XLOOKUP($A188,'[1]LISTA ETIQUETAS'!$O:$O,'[1]LISTA ETIQUETAS'!D:D,"",0)</f>
        <v>0</v>
      </c>
      <c r="Q188" s="2">
        <f>_xlfn.XLOOKUP($A188,'[1]LISTA ETIQUETAS'!$O:$O,'[1]LISTA ETIQUETAS'!E:E,"",0)</f>
        <v>0</v>
      </c>
      <c r="R188" s="2">
        <f>_xlfn.XLOOKUP($A188,'[1]LISTA ETIQUETAS'!$O:$O,'[1]LISTA ETIQUETAS'!F:F,"",0)</f>
        <v>0</v>
      </c>
      <c r="S188" s="2">
        <f>_xlfn.XLOOKUP($A188,'[1]LISTA ETIQUETAS'!$O:$O,'[1]LISTA ETIQUETAS'!H:H,"",0)</f>
        <v>1</v>
      </c>
      <c r="T188" s="9">
        <f t="shared" si="8"/>
        <v>1</v>
      </c>
    </row>
    <row r="189" spans="1:20" x14ac:dyDescent="0.25">
      <c r="A189" s="5">
        <v>351712</v>
      </c>
      <c r="B189" t="str">
        <f>IFERROR((VLOOKUP(A189,'[1]LISTA ETIQUETAS'!O:X,3,0)),"PRODUTO SEM ESTOQUE")</f>
        <v>EST ALMOFADA CLAMI 1 (PLUMA SINT) (1341-1 CINZA/CRU)</v>
      </c>
      <c r="C189" s="10" t="s">
        <v>145</v>
      </c>
      <c r="D189" s="10" t="s">
        <v>131</v>
      </c>
      <c r="E189" s="11">
        <f>IF(VLOOKUP(A189,'[1]LISTA ETIQUETAS'!O:W,4,0)="",(VLOOKUP(A189,'[1]LISTA ETIQUETAS'!O:W,6,0)),(VLOOKUP(A189,'[1]LISTA ETIQUETAS'!O:W,4,0)))</f>
        <v>0.7</v>
      </c>
      <c r="F189" s="11">
        <f>IF(VLOOKUP(A189,'[1]LISTA ETIQUETAS'!O:W,5,0)="",(VLOOKUP(A189,'[1]LISTA ETIQUETAS'!O:W,7,0)),(VLOOKUP(A189,'[1]LISTA ETIQUETAS'!O:W,5,0)))</f>
        <v>0.3</v>
      </c>
      <c r="G189" s="11">
        <f>IFERROR((VLOOKUP(A189,'[1]LISTA ETIQUETAS'!O:X,8,0)),"")</f>
        <v>0.15</v>
      </c>
      <c r="H189" s="11">
        <f>IFERROR((VLOOKUP(A189,'[1]LISTA ETIQUETAS'!O:X,9,0)),"")</f>
        <v>0</v>
      </c>
      <c r="I189" s="12">
        <f>IFERROR((VLOOKUP(A189,'[1]LISTA ETIQUETAS'!O:Y,11,0)),"")</f>
        <v>770.52</v>
      </c>
      <c r="J189" s="6">
        <v>0</v>
      </c>
      <c r="K189" s="12">
        <f t="shared" si="6"/>
        <v>770.52</v>
      </c>
      <c r="L189" s="7" t="str">
        <f>IF(VLOOKUP(A189,'[1]LISTA ETIQUETAS'!O:AB,14,0)="","",(VLOOKUP(A189,'[1]LISTA ETIQUETAS'!O:AB,14,0)))</f>
        <v/>
      </c>
      <c r="M189" s="8"/>
      <c r="N189" s="9">
        <f t="shared" si="7"/>
        <v>351712</v>
      </c>
      <c r="O189" s="2">
        <f>_xlfn.XLOOKUP($A189,'[1]LISTA ETIQUETAS'!$O:$O,'[1]LISTA ETIQUETAS'!C:C,"",0)</f>
        <v>0</v>
      </c>
      <c r="P189" s="2">
        <f>_xlfn.XLOOKUP($A189,'[1]LISTA ETIQUETAS'!$O:$O,'[1]LISTA ETIQUETAS'!D:D,"",0)</f>
        <v>0</v>
      </c>
      <c r="Q189" s="2">
        <f>_xlfn.XLOOKUP($A189,'[1]LISTA ETIQUETAS'!$O:$O,'[1]LISTA ETIQUETAS'!E:E,"",0)</f>
        <v>0</v>
      </c>
      <c r="R189" s="2">
        <f>_xlfn.XLOOKUP($A189,'[1]LISTA ETIQUETAS'!$O:$O,'[1]LISTA ETIQUETAS'!F:F,"",0)</f>
        <v>0</v>
      </c>
      <c r="S189" s="2">
        <f>_xlfn.XLOOKUP($A189,'[1]LISTA ETIQUETAS'!$O:$O,'[1]LISTA ETIQUETAS'!H:H,"",0)</f>
        <v>1</v>
      </c>
      <c r="T189" s="9">
        <f t="shared" si="8"/>
        <v>1</v>
      </c>
    </row>
    <row r="190" spans="1:20" x14ac:dyDescent="0.25">
      <c r="A190" s="5">
        <v>351709</v>
      </c>
      <c r="B190" t="str">
        <f>IFERROR((VLOOKUP(A190,'[1]LISTA ETIQUETAS'!O:X,3,0)),"PRODUTO SEM ESTOQUE")</f>
        <v>EST ALMOFADA CLAMI 1 (PLUMA SINT) (PALLA CINZA/MARINHO)</v>
      </c>
      <c r="C190" s="10" t="s">
        <v>145</v>
      </c>
      <c r="D190" s="10" t="s">
        <v>131</v>
      </c>
      <c r="E190" s="11">
        <f>IF(VLOOKUP(A190,'[1]LISTA ETIQUETAS'!O:W,4,0)="",(VLOOKUP(A190,'[1]LISTA ETIQUETAS'!O:W,6,0)),(VLOOKUP(A190,'[1]LISTA ETIQUETAS'!O:W,4,0)))</f>
        <v>0.6</v>
      </c>
      <c r="F190" s="11">
        <f>IF(VLOOKUP(A190,'[1]LISTA ETIQUETAS'!O:W,5,0)="",(VLOOKUP(A190,'[1]LISTA ETIQUETAS'!O:W,7,0)),(VLOOKUP(A190,'[1]LISTA ETIQUETAS'!O:W,5,0)))</f>
        <v>0.25</v>
      </c>
      <c r="G190" s="11">
        <f>IFERROR((VLOOKUP(A190,'[1]LISTA ETIQUETAS'!O:X,8,0)),"")</f>
        <v>0.15</v>
      </c>
      <c r="H190" s="11">
        <f>IFERROR((VLOOKUP(A190,'[1]LISTA ETIQUETAS'!O:X,9,0)),"")</f>
        <v>0</v>
      </c>
      <c r="I190" s="12">
        <f>IFERROR((VLOOKUP(A190,'[1]LISTA ETIQUETAS'!O:Y,11,0)),"")</f>
        <v>550.37</v>
      </c>
      <c r="J190" s="6">
        <v>0</v>
      </c>
      <c r="K190" s="12">
        <f t="shared" si="6"/>
        <v>550.37</v>
      </c>
      <c r="L190" s="7" t="str">
        <f>IF(VLOOKUP(A190,'[1]LISTA ETIQUETAS'!O:AB,14,0)="","",(VLOOKUP(A190,'[1]LISTA ETIQUETAS'!O:AB,14,0)))</f>
        <v/>
      </c>
      <c r="M190" s="8"/>
      <c r="N190" s="9">
        <f t="shared" si="7"/>
        <v>351709</v>
      </c>
      <c r="O190" s="2">
        <f>_xlfn.XLOOKUP($A190,'[1]LISTA ETIQUETAS'!$O:$O,'[1]LISTA ETIQUETAS'!C:C,"",0)</f>
        <v>0</v>
      </c>
      <c r="P190" s="2">
        <f>_xlfn.XLOOKUP($A190,'[1]LISTA ETIQUETAS'!$O:$O,'[1]LISTA ETIQUETAS'!D:D,"",0)</f>
        <v>0</v>
      </c>
      <c r="Q190" s="2">
        <f>_xlfn.XLOOKUP($A190,'[1]LISTA ETIQUETAS'!$O:$O,'[1]LISTA ETIQUETAS'!E:E,"",0)</f>
        <v>0</v>
      </c>
      <c r="R190" s="2">
        <f>_xlfn.XLOOKUP($A190,'[1]LISTA ETIQUETAS'!$O:$O,'[1]LISTA ETIQUETAS'!F:F,"",0)</f>
        <v>0</v>
      </c>
      <c r="S190" s="2">
        <f>_xlfn.XLOOKUP($A190,'[1]LISTA ETIQUETAS'!$O:$O,'[1]LISTA ETIQUETAS'!H:H,"",0)</f>
        <v>1</v>
      </c>
      <c r="T190" s="9">
        <f t="shared" si="8"/>
        <v>1</v>
      </c>
    </row>
    <row r="191" spans="1:20" x14ac:dyDescent="0.25">
      <c r="A191" s="5">
        <v>351708</v>
      </c>
      <c r="B191" t="str">
        <f>IFERROR((VLOOKUP(A191,'[1]LISTA ETIQUETAS'!O:X,3,0)),"PRODUTO SEM ESTOQUE")</f>
        <v>EST ALMOFADA CLAMI 1 (PLUMA SINT) (PALLA CINZA/MARINHO)</v>
      </c>
      <c r="C191" s="10" t="s">
        <v>145</v>
      </c>
      <c r="D191" s="10" t="s">
        <v>131</v>
      </c>
      <c r="E191" s="11">
        <f>IF(VLOOKUP(A191,'[1]LISTA ETIQUETAS'!O:W,4,0)="",(VLOOKUP(A191,'[1]LISTA ETIQUETAS'!O:W,6,0)),(VLOOKUP(A191,'[1]LISTA ETIQUETAS'!O:W,4,0)))</f>
        <v>0.7</v>
      </c>
      <c r="F191" s="11">
        <f>IF(VLOOKUP(A191,'[1]LISTA ETIQUETAS'!O:W,5,0)="",(VLOOKUP(A191,'[1]LISTA ETIQUETAS'!O:W,7,0)),(VLOOKUP(A191,'[1]LISTA ETIQUETAS'!O:W,5,0)))</f>
        <v>0.3</v>
      </c>
      <c r="G191" s="11">
        <f>IFERROR((VLOOKUP(A191,'[1]LISTA ETIQUETAS'!O:X,8,0)),"")</f>
        <v>0.15</v>
      </c>
      <c r="H191" s="11">
        <f>IFERROR((VLOOKUP(A191,'[1]LISTA ETIQUETAS'!O:X,9,0)),"")</f>
        <v>0</v>
      </c>
      <c r="I191" s="12">
        <f>IFERROR((VLOOKUP(A191,'[1]LISTA ETIQUETAS'!O:Y,11,0)),"")</f>
        <v>770.52</v>
      </c>
      <c r="J191" s="6">
        <v>0</v>
      </c>
      <c r="K191" s="12">
        <f t="shared" si="6"/>
        <v>770.52</v>
      </c>
      <c r="L191" s="7" t="str">
        <f>IF(VLOOKUP(A191,'[1]LISTA ETIQUETAS'!O:AB,14,0)="","",(VLOOKUP(A191,'[1]LISTA ETIQUETAS'!O:AB,14,0)))</f>
        <v/>
      </c>
      <c r="M191" s="8"/>
      <c r="N191" s="9">
        <f t="shared" si="7"/>
        <v>351708</v>
      </c>
      <c r="O191" s="2">
        <f>_xlfn.XLOOKUP($A191,'[1]LISTA ETIQUETAS'!$O:$O,'[1]LISTA ETIQUETAS'!C:C,"",0)</f>
        <v>0</v>
      </c>
      <c r="P191" s="2">
        <f>_xlfn.XLOOKUP($A191,'[1]LISTA ETIQUETAS'!$O:$O,'[1]LISTA ETIQUETAS'!D:D,"",0)</f>
        <v>0</v>
      </c>
      <c r="Q191" s="2">
        <f>_xlfn.XLOOKUP($A191,'[1]LISTA ETIQUETAS'!$O:$O,'[1]LISTA ETIQUETAS'!E:E,"",0)</f>
        <v>0</v>
      </c>
      <c r="R191" s="2">
        <f>_xlfn.XLOOKUP($A191,'[1]LISTA ETIQUETAS'!$O:$O,'[1]LISTA ETIQUETAS'!F:F,"",0)</f>
        <v>0</v>
      </c>
      <c r="S191" s="2">
        <f>_xlfn.XLOOKUP($A191,'[1]LISTA ETIQUETAS'!$O:$O,'[1]LISTA ETIQUETAS'!H:H,"",0)</f>
        <v>1</v>
      </c>
      <c r="T191" s="9">
        <f t="shared" si="8"/>
        <v>1</v>
      </c>
    </row>
    <row r="192" spans="1:20" x14ac:dyDescent="0.25">
      <c r="A192" s="5">
        <v>351705</v>
      </c>
      <c r="B192" t="str">
        <f>IFERROR((VLOOKUP(A192,'[1]LISTA ETIQUETAS'!O:X,3,0)),"PRODUTO SEM ESTOQUE")</f>
        <v>EST ALMOFADA CLAMI 1 (PLUMA SINT) (BISTROL MARROM/CRU)</v>
      </c>
      <c r="C192" s="10" t="s">
        <v>145</v>
      </c>
      <c r="D192" s="10" t="s">
        <v>131</v>
      </c>
      <c r="E192" s="11">
        <f>IF(VLOOKUP(A192,'[1]LISTA ETIQUETAS'!O:W,4,0)="",(VLOOKUP(A192,'[1]LISTA ETIQUETAS'!O:W,6,0)),(VLOOKUP(A192,'[1]LISTA ETIQUETAS'!O:W,4,0)))</f>
        <v>0.6</v>
      </c>
      <c r="F192" s="11">
        <f>IF(VLOOKUP(A192,'[1]LISTA ETIQUETAS'!O:W,5,0)="",(VLOOKUP(A192,'[1]LISTA ETIQUETAS'!O:W,7,0)),(VLOOKUP(A192,'[1]LISTA ETIQUETAS'!O:W,5,0)))</f>
        <v>0.25</v>
      </c>
      <c r="G192" s="11">
        <f>IFERROR((VLOOKUP(A192,'[1]LISTA ETIQUETAS'!O:X,8,0)),"")</f>
        <v>0.15</v>
      </c>
      <c r="H192" s="11">
        <f>IFERROR((VLOOKUP(A192,'[1]LISTA ETIQUETAS'!O:X,9,0)),"")</f>
        <v>0</v>
      </c>
      <c r="I192" s="12">
        <f>IFERROR((VLOOKUP(A192,'[1]LISTA ETIQUETAS'!O:Y,11,0)),"")</f>
        <v>550.37</v>
      </c>
      <c r="J192" s="6">
        <v>0</v>
      </c>
      <c r="K192" s="12">
        <f t="shared" si="6"/>
        <v>550.37</v>
      </c>
      <c r="L192" s="7" t="str">
        <f>IF(VLOOKUP(A192,'[1]LISTA ETIQUETAS'!O:AB,14,0)="","",(VLOOKUP(A192,'[1]LISTA ETIQUETAS'!O:AB,14,0)))</f>
        <v/>
      </c>
      <c r="M192" s="8"/>
      <c r="N192" s="9">
        <f t="shared" si="7"/>
        <v>351705</v>
      </c>
      <c r="O192" s="2">
        <f>_xlfn.XLOOKUP($A192,'[1]LISTA ETIQUETAS'!$O:$O,'[1]LISTA ETIQUETAS'!C:C,"",0)</f>
        <v>0</v>
      </c>
      <c r="P192" s="2">
        <f>_xlfn.XLOOKUP($A192,'[1]LISTA ETIQUETAS'!$O:$O,'[1]LISTA ETIQUETAS'!D:D,"",0)</f>
        <v>0</v>
      </c>
      <c r="Q192" s="2">
        <f>_xlfn.XLOOKUP($A192,'[1]LISTA ETIQUETAS'!$O:$O,'[1]LISTA ETIQUETAS'!E:E,"",0)</f>
        <v>0</v>
      </c>
      <c r="R192" s="2">
        <f>_xlfn.XLOOKUP($A192,'[1]LISTA ETIQUETAS'!$O:$O,'[1]LISTA ETIQUETAS'!F:F,"",0)</f>
        <v>0</v>
      </c>
      <c r="S192" s="2">
        <f>_xlfn.XLOOKUP($A192,'[1]LISTA ETIQUETAS'!$O:$O,'[1]LISTA ETIQUETAS'!H:H,"",0)</f>
        <v>1</v>
      </c>
      <c r="T192" s="9">
        <f t="shared" si="8"/>
        <v>1</v>
      </c>
    </row>
    <row r="193" spans="1:20" x14ac:dyDescent="0.25">
      <c r="A193" s="5">
        <v>351704</v>
      </c>
      <c r="B193" t="str">
        <f>IFERROR((VLOOKUP(A193,'[1]LISTA ETIQUETAS'!O:X,3,0)),"PRODUTO SEM ESTOQUE")</f>
        <v>EST ALMOFADA CLAMI 1 (PLUMA SINT) (BISTROL MARROM/CRU)</v>
      </c>
      <c r="C193" s="10" t="s">
        <v>145</v>
      </c>
      <c r="D193" s="10" t="s">
        <v>131</v>
      </c>
      <c r="E193" s="11">
        <f>IF(VLOOKUP(A193,'[1]LISTA ETIQUETAS'!O:W,4,0)="",(VLOOKUP(A193,'[1]LISTA ETIQUETAS'!O:W,6,0)),(VLOOKUP(A193,'[1]LISTA ETIQUETAS'!O:W,4,0)))</f>
        <v>0.7</v>
      </c>
      <c r="F193" s="11">
        <f>IF(VLOOKUP(A193,'[1]LISTA ETIQUETAS'!O:W,5,0)="",(VLOOKUP(A193,'[1]LISTA ETIQUETAS'!O:W,7,0)),(VLOOKUP(A193,'[1]LISTA ETIQUETAS'!O:W,5,0)))</f>
        <v>0.3</v>
      </c>
      <c r="G193" s="11">
        <f>IFERROR((VLOOKUP(A193,'[1]LISTA ETIQUETAS'!O:X,8,0)),"")</f>
        <v>0.15</v>
      </c>
      <c r="H193" s="11">
        <f>IFERROR((VLOOKUP(A193,'[1]LISTA ETIQUETAS'!O:X,9,0)),"")</f>
        <v>0</v>
      </c>
      <c r="I193" s="12">
        <f>IFERROR((VLOOKUP(A193,'[1]LISTA ETIQUETAS'!O:Y,11,0)),"")</f>
        <v>770.52</v>
      </c>
      <c r="J193" s="6">
        <v>0</v>
      </c>
      <c r="K193" s="12">
        <f t="shared" si="6"/>
        <v>770.52</v>
      </c>
      <c r="L193" s="7" t="str">
        <f>IF(VLOOKUP(A193,'[1]LISTA ETIQUETAS'!O:AB,14,0)="","",(VLOOKUP(A193,'[1]LISTA ETIQUETAS'!O:AB,14,0)))</f>
        <v/>
      </c>
      <c r="M193" s="8"/>
      <c r="N193" s="9">
        <f t="shared" si="7"/>
        <v>351704</v>
      </c>
      <c r="O193" s="2">
        <f>_xlfn.XLOOKUP($A193,'[1]LISTA ETIQUETAS'!$O:$O,'[1]LISTA ETIQUETAS'!C:C,"",0)</f>
        <v>0</v>
      </c>
      <c r="P193" s="2">
        <f>_xlfn.XLOOKUP($A193,'[1]LISTA ETIQUETAS'!$O:$O,'[1]LISTA ETIQUETAS'!D:D,"",0)</f>
        <v>0</v>
      </c>
      <c r="Q193" s="2">
        <f>_xlfn.XLOOKUP($A193,'[1]LISTA ETIQUETAS'!$O:$O,'[1]LISTA ETIQUETAS'!E:E,"",0)</f>
        <v>0</v>
      </c>
      <c r="R193" s="2">
        <f>_xlfn.XLOOKUP($A193,'[1]LISTA ETIQUETAS'!$O:$O,'[1]LISTA ETIQUETAS'!F:F,"",0)</f>
        <v>0</v>
      </c>
      <c r="S193" s="2">
        <f>_xlfn.XLOOKUP($A193,'[1]LISTA ETIQUETAS'!$O:$O,'[1]LISTA ETIQUETAS'!H:H,"",0)</f>
        <v>1</v>
      </c>
      <c r="T193" s="9">
        <f t="shared" si="8"/>
        <v>1</v>
      </c>
    </row>
    <row r="194" spans="1:20" x14ac:dyDescent="0.25">
      <c r="A194" s="5">
        <v>351703</v>
      </c>
      <c r="B194" t="str">
        <f>IFERROR((VLOOKUP(A194,'[1]LISTA ETIQUETAS'!O:X,3,0)),"PRODUTO SEM ESTOQUE")</f>
        <v>EST ALMOFADA CLAMI 2 (PLUMA SINT) (BISTROL NUVEM/CRU)</v>
      </c>
      <c r="C194" s="10" t="s">
        <v>145</v>
      </c>
      <c r="D194" s="10" t="s">
        <v>131</v>
      </c>
      <c r="E194" s="11">
        <f>IF(VLOOKUP(A194,'[1]LISTA ETIQUETAS'!O:W,4,0)="",(VLOOKUP(A194,'[1]LISTA ETIQUETAS'!O:W,6,0)),(VLOOKUP(A194,'[1]LISTA ETIQUETAS'!O:W,4,0)))</f>
        <v>0.4</v>
      </c>
      <c r="F194" s="11">
        <f>IF(VLOOKUP(A194,'[1]LISTA ETIQUETAS'!O:W,5,0)="",(VLOOKUP(A194,'[1]LISTA ETIQUETAS'!O:W,7,0)),(VLOOKUP(A194,'[1]LISTA ETIQUETAS'!O:W,5,0)))</f>
        <v>0.3</v>
      </c>
      <c r="G194" s="11">
        <f>IFERROR((VLOOKUP(A194,'[1]LISTA ETIQUETAS'!O:X,8,0)),"")</f>
        <v>0.15</v>
      </c>
      <c r="H194" s="11">
        <f>IFERROR((VLOOKUP(A194,'[1]LISTA ETIQUETAS'!O:X,9,0)),"")</f>
        <v>0</v>
      </c>
      <c r="I194" s="12">
        <f>IFERROR((VLOOKUP(A194,'[1]LISTA ETIQUETAS'!O:Y,11,0)),"")</f>
        <v>440.29</v>
      </c>
      <c r="J194" s="6">
        <v>0</v>
      </c>
      <c r="K194" s="12">
        <f t="shared" si="6"/>
        <v>440.29</v>
      </c>
      <c r="L194" s="7" t="str">
        <f>IF(VLOOKUP(A194,'[1]LISTA ETIQUETAS'!O:AB,14,0)="","",(VLOOKUP(A194,'[1]LISTA ETIQUETAS'!O:AB,14,0)))</f>
        <v/>
      </c>
      <c r="M194" s="8"/>
      <c r="N194" s="9">
        <f t="shared" si="7"/>
        <v>351703</v>
      </c>
      <c r="O194" s="2">
        <f>_xlfn.XLOOKUP($A194,'[1]LISTA ETIQUETAS'!$O:$O,'[1]LISTA ETIQUETAS'!C:C,"",0)</f>
        <v>0</v>
      </c>
      <c r="P194" s="2">
        <f>_xlfn.XLOOKUP($A194,'[1]LISTA ETIQUETAS'!$O:$O,'[1]LISTA ETIQUETAS'!D:D,"",0)</f>
        <v>0</v>
      </c>
      <c r="Q194" s="2">
        <f>_xlfn.XLOOKUP($A194,'[1]LISTA ETIQUETAS'!$O:$O,'[1]LISTA ETIQUETAS'!E:E,"",0)</f>
        <v>0</v>
      </c>
      <c r="R194" s="2">
        <f>_xlfn.XLOOKUP($A194,'[1]LISTA ETIQUETAS'!$O:$O,'[1]LISTA ETIQUETAS'!F:F,"",0)</f>
        <v>1</v>
      </c>
      <c r="S194" s="2">
        <f>_xlfn.XLOOKUP($A194,'[1]LISTA ETIQUETAS'!$O:$O,'[1]LISTA ETIQUETAS'!H:H,"",0)</f>
        <v>1</v>
      </c>
      <c r="T194" s="9">
        <f t="shared" si="8"/>
        <v>2</v>
      </c>
    </row>
    <row r="195" spans="1:20" x14ac:dyDescent="0.25">
      <c r="A195" s="5">
        <v>351702</v>
      </c>
      <c r="B195" t="str">
        <f>IFERROR((VLOOKUP(A195,'[1]LISTA ETIQUETAS'!O:X,3,0)),"PRODUTO SEM ESTOQUE")</f>
        <v>EST ALMOFADA CLAMI 2 (PLUMA SINT) (BISTROL NUVEM/CRU)</v>
      </c>
      <c r="C195" s="10" t="s">
        <v>145</v>
      </c>
      <c r="D195" s="10" t="s">
        <v>131</v>
      </c>
      <c r="E195" s="11">
        <f>IF(VLOOKUP(A195,'[1]LISTA ETIQUETAS'!O:W,4,0)="",(VLOOKUP(A195,'[1]LISTA ETIQUETAS'!O:W,6,0)),(VLOOKUP(A195,'[1]LISTA ETIQUETAS'!O:W,4,0)))</f>
        <v>0.5</v>
      </c>
      <c r="F195" s="11">
        <f>IF(VLOOKUP(A195,'[1]LISTA ETIQUETAS'!O:W,5,0)="",(VLOOKUP(A195,'[1]LISTA ETIQUETAS'!O:W,7,0)),(VLOOKUP(A195,'[1]LISTA ETIQUETAS'!O:W,5,0)))</f>
        <v>0.35</v>
      </c>
      <c r="G195" s="11">
        <f>IFERROR((VLOOKUP(A195,'[1]LISTA ETIQUETAS'!O:X,8,0)),"")</f>
        <v>0.15</v>
      </c>
      <c r="H195" s="11">
        <f>IFERROR((VLOOKUP(A195,'[1]LISTA ETIQUETAS'!O:X,9,0)),"")</f>
        <v>0</v>
      </c>
      <c r="I195" s="12">
        <f>IFERROR((VLOOKUP(A195,'[1]LISTA ETIQUETAS'!O:Y,11,0)),"")</f>
        <v>642.12</v>
      </c>
      <c r="J195" s="6">
        <v>0</v>
      </c>
      <c r="K195" s="12">
        <f t="shared" ref="K195:K258" si="9">IFERROR(I195-I195*J195,"")</f>
        <v>642.12</v>
      </c>
      <c r="L195" s="7" t="str">
        <f>IF(VLOOKUP(A195,'[1]LISTA ETIQUETAS'!O:AB,14,0)="","",(VLOOKUP(A195,'[1]LISTA ETIQUETAS'!O:AB,14,0)))</f>
        <v/>
      </c>
      <c r="M195" s="8"/>
      <c r="N195" s="9">
        <f t="shared" si="7"/>
        <v>351702</v>
      </c>
      <c r="O195" s="2">
        <f>_xlfn.XLOOKUP($A195,'[1]LISTA ETIQUETAS'!$O:$O,'[1]LISTA ETIQUETAS'!C:C,"",0)</f>
        <v>0</v>
      </c>
      <c r="P195" s="2">
        <f>_xlfn.XLOOKUP($A195,'[1]LISTA ETIQUETAS'!$O:$O,'[1]LISTA ETIQUETAS'!D:D,"",0)</f>
        <v>0</v>
      </c>
      <c r="Q195" s="2">
        <f>_xlfn.XLOOKUP($A195,'[1]LISTA ETIQUETAS'!$O:$O,'[1]LISTA ETIQUETAS'!E:E,"",0)</f>
        <v>0</v>
      </c>
      <c r="R195" s="2">
        <f>_xlfn.XLOOKUP($A195,'[1]LISTA ETIQUETAS'!$O:$O,'[1]LISTA ETIQUETAS'!F:F,"",0)</f>
        <v>1</v>
      </c>
      <c r="S195" s="2">
        <f>_xlfn.XLOOKUP($A195,'[1]LISTA ETIQUETAS'!$O:$O,'[1]LISTA ETIQUETAS'!H:H,"",0)</f>
        <v>1</v>
      </c>
      <c r="T195" s="9">
        <f t="shared" si="8"/>
        <v>2</v>
      </c>
    </row>
    <row r="196" spans="1:20" x14ac:dyDescent="0.25">
      <c r="A196" s="5">
        <v>351701</v>
      </c>
      <c r="B196" t="str">
        <f>IFERROR((VLOOKUP(A196,'[1]LISTA ETIQUETAS'!O:X,3,0)),"PRODUTO SEM ESTOQUE")</f>
        <v>EST ALMOFADA CLAMI 2 (PLUMA SINT) (BISTROL NUVEM/CRU)</v>
      </c>
      <c r="C196" s="10" t="s">
        <v>145</v>
      </c>
      <c r="D196" s="10" t="s">
        <v>131</v>
      </c>
      <c r="E196" s="11">
        <f>IF(VLOOKUP(A196,'[1]LISTA ETIQUETAS'!O:W,4,0)="",(VLOOKUP(A196,'[1]LISTA ETIQUETAS'!O:W,6,0)),(VLOOKUP(A196,'[1]LISTA ETIQUETAS'!O:W,4,0)))</f>
        <v>0.6</v>
      </c>
      <c r="F196" s="11">
        <f>IF(VLOOKUP(A196,'[1]LISTA ETIQUETAS'!O:W,5,0)="",(VLOOKUP(A196,'[1]LISTA ETIQUETAS'!O:W,7,0)),(VLOOKUP(A196,'[1]LISTA ETIQUETAS'!O:W,5,0)))</f>
        <v>0.25</v>
      </c>
      <c r="G196" s="11">
        <f>IFERROR((VLOOKUP(A196,'[1]LISTA ETIQUETAS'!O:X,8,0)),"")</f>
        <v>0.15</v>
      </c>
      <c r="H196" s="11">
        <f>IFERROR((VLOOKUP(A196,'[1]LISTA ETIQUETAS'!O:X,9,0)),"")</f>
        <v>0</v>
      </c>
      <c r="I196" s="12">
        <f>IFERROR((VLOOKUP(A196,'[1]LISTA ETIQUETAS'!O:Y,11,0)),"")</f>
        <v>550.37</v>
      </c>
      <c r="J196" s="6">
        <v>0</v>
      </c>
      <c r="K196" s="12">
        <f t="shared" si="9"/>
        <v>550.37</v>
      </c>
      <c r="L196" s="7" t="str">
        <f>IF(VLOOKUP(A196,'[1]LISTA ETIQUETAS'!O:AB,14,0)="","",(VLOOKUP(A196,'[1]LISTA ETIQUETAS'!O:AB,14,0)))</f>
        <v/>
      </c>
      <c r="M196" s="8"/>
      <c r="N196" s="9">
        <f t="shared" ref="N196:N259" si="10">IF(M196="",A196,M196)</f>
        <v>351701</v>
      </c>
      <c r="O196" s="2">
        <f>_xlfn.XLOOKUP($A196,'[1]LISTA ETIQUETAS'!$O:$O,'[1]LISTA ETIQUETAS'!C:C,"",0)</f>
        <v>0</v>
      </c>
      <c r="P196" s="2">
        <f>_xlfn.XLOOKUP($A196,'[1]LISTA ETIQUETAS'!$O:$O,'[1]LISTA ETIQUETAS'!D:D,"",0)</f>
        <v>0</v>
      </c>
      <c r="Q196" s="2">
        <f>_xlfn.XLOOKUP($A196,'[1]LISTA ETIQUETAS'!$O:$O,'[1]LISTA ETIQUETAS'!E:E,"",0)</f>
        <v>0</v>
      </c>
      <c r="R196" s="2">
        <f>_xlfn.XLOOKUP($A196,'[1]LISTA ETIQUETAS'!$O:$O,'[1]LISTA ETIQUETAS'!F:F,"",0)</f>
        <v>1</v>
      </c>
      <c r="S196" s="2">
        <f>_xlfn.XLOOKUP($A196,'[1]LISTA ETIQUETAS'!$O:$O,'[1]LISTA ETIQUETAS'!H:H,"",0)</f>
        <v>1</v>
      </c>
      <c r="T196" s="9">
        <f t="shared" ref="T196:T259" si="11">SUM(O196:S196)</f>
        <v>2</v>
      </c>
    </row>
    <row r="197" spans="1:20" x14ac:dyDescent="0.25">
      <c r="A197" s="5">
        <v>351699</v>
      </c>
      <c r="B197" t="str">
        <f>IFERROR((VLOOKUP(A197,'[1]LISTA ETIQUETAS'!O:X,3,0)),"PRODUTO SEM ESTOQUE")</f>
        <v>EST ALMOFADA CLAMI 2 (PLUMA SINT) (BISTROL NUVEM/CINZA)</v>
      </c>
      <c r="C197" s="10" t="s">
        <v>145</v>
      </c>
      <c r="D197" s="10" t="s">
        <v>131</v>
      </c>
      <c r="E197" s="11">
        <f>IF(VLOOKUP(A197,'[1]LISTA ETIQUETAS'!O:W,4,0)="",(VLOOKUP(A197,'[1]LISTA ETIQUETAS'!O:W,6,0)),(VLOOKUP(A197,'[1]LISTA ETIQUETAS'!O:W,4,0)))</f>
        <v>0.4</v>
      </c>
      <c r="F197" s="11">
        <f>IF(VLOOKUP(A197,'[1]LISTA ETIQUETAS'!O:W,5,0)="",(VLOOKUP(A197,'[1]LISTA ETIQUETAS'!O:W,7,0)),(VLOOKUP(A197,'[1]LISTA ETIQUETAS'!O:W,5,0)))</f>
        <v>0.3</v>
      </c>
      <c r="G197" s="11">
        <f>IFERROR((VLOOKUP(A197,'[1]LISTA ETIQUETAS'!O:X,8,0)),"")</f>
        <v>0.15</v>
      </c>
      <c r="H197" s="11">
        <f>IFERROR((VLOOKUP(A197,'[1]LISTA ETIQUETAS'!O:X,9,0)),"")</f>
        <v>0</v>
      </c>
      <c r="I197" s="12">
        <f>IFERROR((VLOOKUP(A197,'[1]LISTA ETIQUETAS'!O:Y,11,0)),"")</f>
        <v>440.29</v>
      </c>
      <c r="J197" s="6">
        <v>0</v>
      </c>
      <c r="K197" s="12">
        <f t="shared" si="9"/>
        <v>440.29</v>
      </c>
      <c r="L197" s="7" t="str">
        <f>IF(VLOOKUP(A197,'[1]LISTA ETIQUETAS'!O:AB,14,0)="","",(VLOOKUP(A197,'[1]LISTA ETIQUETAS'!O:AB,14,0)))</f>
        <v/>
      </c>
      <c r="M197" s="8"/>
      <c r="N197" s="9">
        <f t="shared" si="10"/>
        <v>351699</v>
      </c>
      <c r="O197" s="2">
        <f>_xlfn.XLOOKUP($A197,'[1]LISTA ETIQUETAS'!$O:$O,'[1]LISTA ETIQUETAS'!C:C,"",0)</f>
        <v>0</v>
      </c>
      <c r="P197" s="2">
        <f>_xlfn.XLOOKUP($A197,'[1]LISTA ETIQUETAS'!$O:$O,'[1]LISTA ETIQUETAS'!D:D,"",0)</f>
        <v>0</v>
      </c>
      <c r="Q197" s="2">
        <f>_xlfn.XLOOKUP($A197,'[1]LISTA ETIQUETAS'!$O:$O,'[1]LISTA ETIQUETAS'!E:E,"",0)</f>
        <v>0</v>
      </c>
      <c r="R197" s="2">
        <f>_xlfn.XLOOKUP($A197,'[1]LISTA ETIQUETAS'!$O:$O,'[1]LISTA ETIQUETAS'!F:F,"",0)</f>
        <v>1</v>
      </c>
      <c r="S197" s="2">
        <f>_xlfn.XLOOKUP($A197,'[1]LISTA ETIQUETAS'!$O:$O,'[1]LISTA ETIQUETAS'!H:H,"",0)</f>
        <v>1</v>
      </c>
      <c r="T197" s="9">
        <f t="shared" si="11"/>
        <v>2</v>
      </c>
    </row>
    <row r="198" spans="1:20" x14ac:dyDescent="0.25">
      <c r="A198" s="5">
        <v>351698</v>
      </c>
      <c r="B198" t="str">
        <f>IFERROR((VLOOKUP(A198,'[1]LISTA ETIQUETAS'!O:X,3,0)),"PRODUTO SEM ESTOQUE")</f>
        <v>EST ALMOFADA CLAMI 2 (PLUMA SINT) (BISTROL NUVEM/CINZA)</v>
      </c>
      <c r="C198" s="10" t="s">
        <v>145</v>
      </c>
      <c r="D198" s="10" t="s">
        <v>131</v>
      </c>
      <c r="E198" s="11">
        <f>IF(VLOOKUP(A198,'[1]LISTA ETIQUETAS'!O:W,4,0)="",(VLOOKUP(A198,'[1]LISTA ETIQUETAS'!O:W,6,0)),(VLOOKUP(A198,'[1]LISTA ETIQUETAS'!O:W,4,0)))</f>
        <v>0.5</v>
      </c>
      <c r="F198" s="11">
        <f>IF(VLOOKUP(A198,'[1]LISTA ETIQUETAS'!O:W,5,0)="",(VLOOKUP(A198,'[1]LISTA ETIQUETAS'!O:W,7,0)),(VLOOKUP(A198,'[1]LISTA ETIQUETAS'!O:W,5,0)))</f>
        <v>0.35</v>
      </c>
      <c r="G198" s="11">
        <f>IFERROR((VLOOKUP(A198,'[1]LISTA ETIQUETAS'!O:X,8,0)),"")</f>
        <v>0.15</v>
      </c>
      <c r="H198" s="11">
        <f>IFERROR((VLOOKUP(A198,'[1]LISTA ETIQUETAS'!O:X,9,0)),"")</f>
        <v>0</v>
      </c>
      <c r="I198" s="12">
        <f>IFERROR((VLOOKUP(A198,'[1]LISTA ETIQUETAS'!O:Y,11,0)),"")</f>
        <v>642.12</v>
      </c>
      <c r="J198" s="6">
        <v>0</v>
      </c>
      <c r="K198" s="12">
        <f t="shared" si="9"/>
        <v>642.12</v>
      </c>
      <c r="L198" s="7" t="str">
        <f>IF(VLOOKUP(A198,'[1]LISTA ETIQUETAS'!O:AB,14,0)="","",(VLOOKUP(A198,'[1]LISTA ETIQUETAS'!O:AB,14,0)))</f>
        <v/>
      </c>
      <c r="M198" s="8"/>
      <c r="N198" s="9">
        <f t="shared" si="10"/>
        <v>351698</v>
      </c>
      <c r="O198" s="2">
        <f>_xlfn.XLOOKUP($A198,'[1]LISTA ETIQUETAS'!$O:$O,'[1]LISTA ETIQUETAS'!C:C,"",0)</f>
        <v>0</v>
      </c>
      <c r="P198" s="2">
        <f>_xlfn.XLOOKUP($A198,'[1]LISTA ETIQUETAS'!$O:$O,'[1]LISTA ETIQUETAS'!D:D,"",0)</f>
        <v>0</v>
      </c>
      <c r="Q198" s="2">
        <f>_xlfn.XLOOKUP($A198,'[1]LISTA ETIQUETAS'!$O:$O,'[1]LISTA ETIQUETAS'!E:E,"",0)</f>
        <v>0</v>
      </c>
      <c r="R198" s="2">
        <f>_xlfn.XLOOKUP($A198,'[1]LISTA ETIQUETAS'!$O:$O,'[1]LISTA ETIQUETAS'!F:F,"",0)</f>
        <v>0</v>
      </c>
      <c r="S198" s="2">
        <f>_xlfn.XLOOKUP($A198,'[1]LISTA ETIQUETAS'!$O:$O,'[1]LISTA ETIQUETAS'!H:H,"",0)</f>
        <v>2</v>
      </c>
      <c r="T198" s="9">
        <f t="shared" si="11"/>
        <v>2</v>
      </c>
    </row>
    <row r="199" spans="1:20" x14ac:dyDescent="0.25">
      <c r="A199" s="5">
        <v>351697</v>
      </c>
      <c r="B199" t="str">
        <f>IFERROR((VLOOKUP(A199,'[1]LISTA ETIQUETAS'!O:X,3,0)),"PRODUTO SEM ESTOQUE")</f>
        <v>EST ALMOFADA CLAMI 2 (PLUMA SINT) (BISTROL NUVEM/CINZA)</v>
      </c>
      <c r="C199" s="10" t="s">
        <v>145</v>
      </c>
      <c r="D199" s="10" t="s">
        <v>131</v>
      </c>
      <c r="E199" s="11">
        <f>IF(VLOOKUP(A199,'[1]LISTA ETIQUETAS'!O:W,4,0)="",(VLOOKUP(A199,'[1]LISTA ETIQUETAS'!O:W,6,0)),(VLOOKUP(A199,'[1]LISTA ETIQUETAS'!O:W,4,0)))</f>
        <v>0.6</v>
      </c>
      <c r="F199" s="11">
        <f>IF(VLOOKUP(A199,'[1]LISTA ETIQUETAS'!O:W,5,0)="",(VLOOKUP(A199,'[1]LISTA ETIQUETAS'!O:W,7,0)),(VLOOKUP(A199,'[1]LISTA ETIQUETAS'!O:W,5,0)))</f>
        <v>0.25</v>
      </c>
      <c r="G199" s="11">
        <f>IFERROR((VLOOKUP(A199,'[1]LISTA ETIQUETAS'!O:X,8,0)),"")</f>
        <v>0.15</v>
      </c>
      <c r="H199" s="11">
        <f>IFERROR((VLOOKUP(A199,'[1]LISTA ETIQUETAS'!O:X,9,0)),"")</f>
        <v>0</v>
      </c>
      <c r="I199" s="12">
        <f>IFERROR((VLOOKUP(A199,'[1]LISTA ETIQUETAS'!O:Y,11,0)),"")</f>
        <v>550.37</v>
      </c>
      <c r="J199" s="6">
        <v>0</v>
      </c>
      <c r="K199" s="12">
        <f t="shared" si="9"/>
        <v>550.37</v>
      </c>
      <c r="L199" s="7" t="str">
        <f>IF(VLOOKUP(A199,'[1]LISTA ETIQUETAS'!O:AB,14,0)="","",(VLOOKUP(A199,'[1]LISTA ETIQUETAS'!O:AB,14,0)))</f>
        <v/>
      </c>
      <c r="M199" s="8"/>
      <c r="N199" s="9">
        <f t="shared" si="10"/>
        <v>351697</v>
      </c>
      <c r="O199" s="2">
        <f>_xlfn.XLOOKUP($A199,'[1]LISTA ETIQUETAS'!$O:$O,'[1]LISTA ETIQUETAS'!C:C,"",0)</f>
        <v>0</v>
      </c>
      <c r="P199" s="2">
        <f>_xlfn.XLOOKUP($A199,'[1]LISTA ETIQUETAS'!$O:$O,'[1]LISTA ETIQUETAS'!D:D,"",0)</f>
        <v>0</v>
      </c>
      <c r="Q199" s="2">
        <f>_xlfn.XLOOKUP($A199,'[1]LISTA ETIQUETAS'!$O:$O,'[1]LISTA ETIQUETAS'!E:E,"",0)</f>
        <v>0</v>
      </c>
      <c r="R199" s="2">
        <f>_xlfn.XLOOKUP($A199,'[1]LISTA ETIQUETAS'!$O:$O,'[1]LISTA ETIQUETAS'!F:F,"",0)</f>
        <v>0</v>
      </c>
      <c r="S199" s="2">
        <f>_xlfn.XLOOKUP($A199,'[1]LISTA ETIQUETAS'!$O:$O,'[1]LISTA ETIQUETAS'!H:H,"",0)</f>
        <v>2</v>
      </c>
      <c r="T199" s="9">
        <f t="shared" si="11"/>
        <v>2</v>
      </c>
    </row>
    <row r="200" spans="1:20" x14ac:dyDescent="0.25">
      <c r="A200" s="5">
        <v>351695</v>
      </c>
      <c r="B200" t="str">
        <f>IFERROR((VLOOKUP(A200,'[1]LISTA ETIQUETAS'!O:X,3,0)),"PRODUTO SEM ESTOQUE")</f>
        <v>EST ALMOFADA CLAMI 1 (PLUMA SINT) (BISTROL NUVEM/CRU)</v>
      </c>
      <c r="C200" s="10" t="s">
        <v>145</v>
      </c>
      <c r="D200" s="10" t="s">
        <v>131</v>
      </c>
      <c r="E200" s="11">
        <f>IF(VLOOKUP(A200,'[1]LISTA ETIQUETAS'!O:W,4,0)="",(VLOOKUP(A200,'[1]LISTA ETIQUETAS'!O:W,6,0)),(VLOOKUP(A200,'[1]LISTA ETIQUETAS'!O:W,4,0)))</f>
        <v>0.4</v>
      </c>
      <c r="F200" s="11">
        <f>IF(VLOOKUP(A200,'[1]LISTA ETIQUETAS'!O:W,5,0)="",(VLOOKUP(A200,'[1]LISTA ETIQUETAS'!O:W,7,0)),(VLOOKUP(A200,'[1]LISTA ETIQUETAS'!O:W,5,0)))</f>
        <v>0.3</v>
      </c>
      <c r="G200" s="11">
        <f>IFERROR((VLOOKUP(A200,'[1]LISTA ETIQUETAS'!O:X,8,0)),"")</f>
        <v>0.15</v>
      </c>
      <c r="H200" s="11">
        <f>IFERROR((VLOOKUP(A200,'[1]LISTA ETIQUETAS'!O:X,9,0)),"")</f>
        <v>0</v>
      </c>
      <c r="I200" s="12">
        <f>IFERROR((VLOOKUP(A200,'[1]LISTA ETIQUETAS'!O:Y,11,0)),"")</f>
        <v>440.29</v>
      </c>
      <c r="J200" s="6">
        <v>0</v>
      </c>
      <c r="K200" s="12">
        <f t="shared" si="9"/>
        <v>440.29</v>
      </c>
      <c r="L200" s="7" t="str">
        <f>IF(VLOOKUP(A200,'[1]LISTA ETIQUETAS'!O:AB,14,0)="","",(VLOOKUP(A200,'[1]LISTA ETIQUETAS'!O:AB,14,0)))</f>
        <v/>
      </c>
      <c r="M200" s="8"/>
      <c r="N200" s="9">
        <f t="shared" si="10"/>
        <v>351695</v>
      </c>
      <c r="O200" s="2">
        <f>_xlfn.XLOOKUP($A200,'[1]LISTA ETIQUETAS'!$O:$O,'[1]LISTA ETIQUETAS'!C:C,"",0)</f>
        <v>0</v>
      </c>
      <c r="P200" s="2">
        <f>_xlfn.XLOOKUP($A200,'[1]LISTA ETIQUETAS'!$O:$O,'[1]LISTA ETIQUETAS'!D:D,"",0)</f>
        <v>0</v>
      </c>
      <c r="Q200" s="2">
        <f>_xlfn.XLOOKUP($A200,'[1]LISTA ETIQUETAS'!$O:$O,'[1]LISTA ETIQUETAS'!E:E,"",0)</f>
        <v>0</v>
      </c>
      <c r="R200" s="2">
        <f>_xlfn.XLOOKUP($A200,'[1]LISTA ETIQUETAS'!$O:$O,'[1]LISTA ETIQUETAS'!F:F,"",0)</f>
        <v>0</v>
      </c>
      <c r="S200" s="2">
        <f>_xlfn.XLOOKUP($A200,'[1]LISTA ETIQUETAS'!$O:$O,'[1]LISTA ETIQUETAS'!H:H,"",0)</f>
        <v>2</v>
      </c>
      <c r="T200" s="9">
        <f t="shared" si="11"/>
        <v>2</v>
      </c>
    </row>
    <row r="201" spans="1:20" x14ac:dyDescent="0.25">
      <c r="A201" s="5">
        <v>351694</v>
      </c>
      <c r="B201" t="str">
        <f>IFERROR((VLOOKUP(A201,'[1]LISTA ETIQUETAS'!O:X,3,0)),"PRODUTO SEM ESTOQUE")</f>
        <v>EST ALMOFADA CLAMI 1 (PLUMA SINT) (BISTROL NUVEM/CRU)</v>
      </c>
      <c r="C201" s="10" t="s">
        <v>145</v>
      </c>
      <c r="D201" s="10" t="s">
        <v>131</v>
      </c>
      <c r="E201" s="11">
        <f>IF(VLOOKUP(A201,'[1]LISTA ETIQUETAS'!O:W,4,0)="",(VLOOKUP(A201,'[1]LISTA ETIQUETAS'!O:W,6,0)),(VLOOKUP(A201,'[1]LISTA ETIQUETAS'!O:W,4,0)))</f>
        <v>0.5</v>
      </c>
      <c r="F201" s="11">
        <f>IF(VLOOKUP(A201,'[1]LISTA ETIQUETAS'!O:W,5,0)="",(VLOOKUP(A201,'[1]LISTA ETIQUETAS'!O:W,7,0)),(VLOOKUP(A201,'[1]LISTA ETIQUETAS'!O:W,5,0)))</f>
        <v>0.35</v>
      </c>
      <c r="G201" s="11">
        <f>IFERROR((VLOOKUP(A201,'[1]LISTA ETIQUETAS'!O:X,8,0)),"")</f>
        <v>0.15</v>
      </c>
      <c r="H201" s="11">
        <f>IFERROR((VLOOKUP(A201,'[1]LISTA ETIQUETAS'!O:X,9,0)),"")</f>
        <v>0</v>
      </c>
      <c r="I201" s="12">
        <f>IFERROR((VLOOKUP(A201,'[1]LISTA ETIQUETAS'!O:Y,11,0)),"")</f>
        <v>642.12</v>
      </c>
      <c r="J201" s="6">
        <v>0</v>
      </c>
      <c r="K201" s="12">
        <f t="shared" si="9"/>
        <v>642.12</v>
      </c>
      <c r="L201" s="7" t="str">
        <f>IF(VLOOKUP(A201,'[1]LISTA ETIQUETAS'!O:AB,14,0)="","",(VLOOKUP(A201,'[1]LISTA ETIQUETAS'!O:AB,14,0)))</f>
        <v/>
      </c>
      <c r="M201" s="8"/>
      <c r="N201" s="9">
        <f t="shared" si="10"/>
        <v>351694</v>
      </c>
      <c r="O201" s="2">
        <f>_xlfn.XLOOKUP($A201,'[1]LISTA ETIQUETAS'!$O:$O,'[1]LISTA ETIQUETAS'!C:C,"",0)</f>
        <v>0</v>
      </c>
      <c r="P201" s="2">
        <f>_xlfn.XLOOKUP($A201,'[1]LISTA ETIQUETAS'!$O:$O,'[1]LISTA ETIQUETAS'!D:D,"",0)</f>
        <v>0</v>
      </c>
      <c r="Q201" s="2">
        <f>_xlfn.XLOOKUP($A201,'[1]LISTA ETIQUETAS'!$O:$O,'[1]LISTA ETIQUETAS'!E:E,"",0)</f>
        <v>0</v>
      </c>
      <c r="R201" s="2">
        <f>_xlfn.XLOOKUP($A201,'[1]LISTA ETIQUETAS'!$O:$O,'[1]LISTA ETIQUETAS'!F:F,"",0)</f>
        <v>1</v>
      </c>
      <c r="S201" s="2">
        <f>_xlfn.XLOOKUP($A201,'[1]LISTA ETIQUETAS'!$O:$O,'[1]LISTA ETIQUETAS'!H:H,"",0)</f>
        <v>1</v>
      </c>
      <c r="T201" s="9">
        <f t="shared" si="11"/>
        <v>2</v>
      </c>
    </row>
    <row r="202" spans="1:20" x14ac:dyDescent="0.25">
      <c r="A202" s="5">
        <v>351693</v>
      </c>
      <c r="B202" t="str">
        <f>IFERROR((VLOOKUP(A202,'[1]LISTA ETIQUETAS'!O:X,3,0)),"PRODUTO SEM ESTOQUE")</f>
        <v>EST ALMOFADA CLAMI 1 (PLUMA SINT) (BISTROL NUVEM/CRU)</v>
      </c>
      <c r="C202" s="10" t="s">
        <v>145</v>
      </c>
      <c r="D202" s="10" t="s">
        <v>131</v>
      </c>
      <c r="E202" s="11">
        <f>IF(VLOOKUP(A202,'[1]LISTA ETIQUETAS'!O:W,4,0)="",(VLOOKUP(A202,'[1]LISTA ETIQUETAS'!O:W,6,0)),(VLOOKUP(A202,'[1]LISTA ETIQUETAS'!O:W,4,0)))</f>
        <v>0.6</v>
      </c>
      <c r="F202" s="11">
        <f>IF(VLOOKUP(A202,'[1]LISTA ETIQUETAS'!O:W,5,0)="",(VLOOKUP(A202,'[1]LISTA ETIQUETAS'!O:W,7,0)),(VLOOKUP(A202,'[1]LISTA ETIQUETAS'!O:W,5,0)))</f>
        <v>0.25</v>
      </c>
      <c r="G202" s="11">
        <f>IFERROR((VLOOKUP(A202,'[1]LISTA ETIQUETAS'!O:X,8,0)),"")</f>
        <v>0.15</v>
      </c>
      <c r="H202" s="11">
        <f>IFERROR((VLOOKUP(A202,'[1]LISTA ETIQUETAS'!O:X,9,0)),"")</f>
        <v>0</v>
      </c>
      <c r="I202" s="12">
        <f>IFERROR((VLOOKUP(A202,'[1]LISTA ETIQUETAS'!O:Y,11,0)),"")</f>
        <v>550.37</v>
      </c>
      <c r="J202" s="6">
        <v>0</v>
      </c>
      <c r="K202" s="12">
        <f t="shared" si="9"/>
        <v>550.37</v>
      </c>
      <c r="L202" s="7" t="str">
        <f>IF(VLOOKUP(A202,'[1]LISTA ETIQUETAS'!O:AB,14,0)="","",(VLOOKUP(A202,'[1]LISTA ETIQUETAS'!O:AB,14,0)))</f>
        <v/>
      </c>
      <c r="M202" s="8"/>
      <c r="N202" s="9">
        <f t="shared" si="10"/>
        <v>351693</v>
      </c>
      <c r="O202" s="2">
        <f>_xlfn.XLOOKUP($A202,'[1]LISTA ETIQUETAS'!$O:$O,'[1]LISTA ETIQUETAS'!C:C,"",0)</f>
        <v>0</v>
      </c>
      <c r="P202" s="2">
        <f>_xlfn.XLOOKUP($A202,'[1]LISTA ETIQUETAS'!$O:$O,'[1]LISTA ETIQUETAS'!D:D,"",0)</f>
        <v>0</v>
      </c>
      <c r="Q202" s="2">
        <f>_xlfn.XLOOKUP($A202,'[1]LISTA ETIQUETAS'!$O:$O,'[1]LISTA ETIQUETAS'!E:E,"",0)</f>
        <v>0</v>
      </c>
      <c r="R202" s="2">
        <f>_xlfn.XLOOKUP($A202,'[1]LISTA ETIQUETAS'!$O:$O,'[1]LISTA ETIQUETAS'!F:F,"",0)</f>
        <v>0</v>
      </c>
      <c r="S202" s="2">
        <f>_xlfn.XLOOKUP($A202,'[1]LISTA ETIQUETAS'!$O:$O,'[1]LISTA ETIQUETAS'!H:H,"",0)</f>
        <v>2</v>
      </c>
      <c r="T202" s="9">
        <f t="shared" si="11"/>
        <v>2</v>
      </c>
    </row>
    <row r="203" spans="1:20" x14ac:dyDescent="0.25">
      <c r="A203" s="5">
        <v>351692</v>
      </c>
      <c r="B203" t="str">
        <f>IFERROR((VLOOKUP(A203,'[1]LISTA ETIQUETAS'!O:X,3,0)),"PRODUTO SEM ESTOQUE")</f>
        <v>EST ALMOFADA CLAMI 1 (PLUMA SINT) (BISTROL NUVEM/CRU)</v>
      </c>
      <c r="C203" s="10" t="s">
        <v>145</v>
      </c>
      <c r="D203" s="10" t="s">
        <v>131</v>
      </c>
      <c r="E203" s="11">
        <f>IF(VLOOKUP(A203,'[1]LISTA ETIQUETAS'!O:W,4,0)="",(VLOOKUP(A203,'[1]LISTA ETIQUETAS'!O:W,6,0)),(VLOOKUP(A203,'[1]LISTA ETIQUETAS'!O:W,4,0)))</f>
        <v>0.7</v>
      </c>
      <c r="F203" s="11">
        <f>IF(VLOOKUP(A203,'[1]LISTA ETIQUETAS'!O:W,5,0)="",(VLOOKUP(A203,'[1]LISTA ETIQUETAS'!O:W,7,0)),(VLOOKUP(A203,'[1]LISTA ETIQUETAS'!O:W,5,0)))</f>
        <v>0.3</v>
      </c>
      <c r="G203" s="11">
        <f>IFERROR((VLOOKUP(A203,'[1]LISTA ETIQUETAS'!O:X,8,0)),"")</f>
        <v>0.15</v>
      </c>
      <c r="H203" s="11">
        <f>IFERROR((VLOOKUP(A203,'[1]LISTA ETIQUETAS'!O:X,9,0)),"")</f>
        <v>0</v>
      </c>
      <c r="I203" s="12">
        <f>IFERROR((VLOOKUP(A203,'[1]LISTA ETIQUETAS'!O:Y,11,0)),"")</f>
        <v>770.52</v>
      </c>
      <c r="J203" s="6">
        <v>0</v>
      </c>
      <c r="K203" s="12">
        <f t="shared" si="9"/>
        <v>770.52</v>
      </c>
      <c r="L203" s="7" t="str">
        <f>IF(VLOOKUP(A203,'[1]LISTA ETIQUETAS'!O:AB,14,0)="","",(VLOOKUP(A203,'[1]LISTA ETIQUETAS'!O:AB,14,0)))</f>
        <v/>
      </c>
      <c r="M203" s="8"/>
      <c r="N203" s="9">
        <f t="shared" si="10"/>
        <v>351692</v>
      </c>
      <c r="O203" s="2">
        <f>_xlfn.XLOOKUP($A203,'[1]LISTA ETIQUETAS'!$O:$O,'[1]LISTA ETIQUETAS'!C:C,"",0)</f>
        <v>0</v>
      </c>
      <c r="P203" s="2">
        <f>_xlfn.XLOOKUP($A203,'[1]LISTA ETIQUETAS'!$O:$O,'[1]LISTA ETIQUETAS'!D:D,"",0)</f>
        <v>0</v>
      </c>
      <c r="Q203" s="2">
        <f>_xlfn.XLOOKUP($A203,'[1]LISTA ETIQUETAS'!$O:$O,'[1]LISTA ETIQUETAS'!E:E,"",0)</f>
        <v>0</v>
      </c>
      <c r="R203" s="2">
        <f>_xlfn.XLOOKUP($A203,'[1]LISTA ETIQUETAS'!$O:$O,'[1]LISTA ETIQUETAS'!F:F,"",0)</f>
        <v>0</v>
      </c>
      <c r="S203" s="2">
        <f>_xlfn.XLOOKUP($A203,'[1]LISTA ETIQUETAS'!$O:$O,'[1]LISTA ETIQUETAS'!H:H,"",0)</f>
        <v>1</v>
      </c>
      <c r="T203" s="9">
        <f t="shared" si="11"/>
        <v>1</v>
      </c>
    </row>
    <row r="204" spans="1:20" x14ac:dyDescent="0.25">
      <c r="A204" s="5">
        <v>351691</v>
      </c>
      <c r="B204" t="str">
        <f>IFERROR((VLOOKUP(A204,'[1]LISTA ETIQUETAS'!O:X,3,0)),"PRODUTO SEM ESTOQUE")</f>
        <v>EST ALMOFADA CLAMI 1 (PLUMA SINT) (BISTROL NUVEM/CINZA)</v>
      </c>
      <c r="C204" s="10" t="s">
        <v>145</v>
      </c>
      <c r="D204" s="10" t="s">
        <v>131</v>
      </c>
      <c r="E204" s="11">
        <f>IF(VLOOKUP(A204,'[1]LISTA ETIQUETAS'!O:W,4,0)="",(VLOOKUP(A204,'[1]LISTA ETIQUETAS'!O:W,6,0)),(VLOOKUP(A204,'[1]LISTA ETIQUETAS'!O:W,4,0)))</f>
        <v>0.4</v>
      </c>
      <c r="F204" s="11">
        <f>IF(VLOOKUP(A204,'[1]LISTA ETIQUETAS'!O:W,5,0)="",(VLOOKUP(A204,'[1]LISTA ETIQUETAS'!O:W,7,0)),(VLOOKUP(A204,'[1]LISTA ETIQUETAS'!O:W,5,0)))</f>
        <v>0.3</v>
      </c>
      <c r="G204" s="11">
        <f>IFERROR((VLOOKUP(A204,'[1]LISTA ETIQUETAS'!O:X,8,0)),"")</f>
        <v>0.15</v>
      </c>
      <c r="H204" s="11">
        <f>IFERROR((VLOOKUP(A204,'[1]LISTA ETIQUETAS'!O:X,9,0)),"")</f>
        <v>0</v>
      </c>
      <c r="I204" s="12">
        <f>IFERROR((VLOOKUP(A204,'[1]LISTA ETIQUETAS'!O:Y,11,0)),"")</f>
        <v>440.29</v>
      </c>
      <c r="J204" s="6">
        <v>0</v>
      </c>
      <c r="K204" s="12">
        <f t="shared" si="9"/>
        <v>440.29</v>
      </c>
      <c r="L204" s="7" t="str">
        <f>IF(VLOOKUP(A204,'[1]LISTA ETIQUETAS'!O:AB,14,0)="","",(VLOOKUP(A204,'[1]LISTA ETIQUETAS'!O:AB,14,0)))</f>
        <v/>
      </c>
      <c r="M204" s="8"/>
      <c r="N204" s="9">
        <f t="shared" si="10"/>
        <v>351691</v>
      </c>
      <c r="O204" s="2">
        <f>_xlfn.XLOOKUP($A204,'[1]LISTA ETIQUETAS'!$O:$O,'[1]LISTA ETIQUETAS'!C:C,"",0)</f>
        <v>0</v>
      </c>
      <c r="P204" s="2">
        <f>_xlfn.XLOOKUP($A204,'[1]LISTA ETIQUETAS'!$O:$O,'[1]LISTA ETIQUETAS'!D:D,"",0)</f>
        <v>0</v>
      </c>
      <c r="Q204" s="2">
        <f>_xlfn.XLOOKUP($A204,'[1]LISTA ETIQUETAS'!$O:$O,'[1]LISTA ETIQUETAS'!E:E,"",0)</f>
        <v>0</v>
      </c>
      <c r="R204" s="2">
        <f>_xlfn.XLOOKUP($A204,'[1]LISTA ETIQUETAS'!$O:$O,'[1]LISTA ETIQUETAS'!F:F,"",0)</f>
        <v>0</v>
      </c>
      <c r="S204" s="2">
        <f>_xlfn.XLOOKUP($A204,'[1]LISTA ETIQUETAS'!$O:$O,'[1]LISTA ETIQUETAS'!H:H,"",0)</f>
        <v>2</v>
      </c>
      <c r="T204" s="9">
        <f t="shared" si="11"/>
        <v>2</v>
      </c>
    </row>
    <row r="205" spans="1:20" x14ac:dyDescent="0.25">
      <c r="A205" s="5">
        <v>351690</v>
      </c>
      <c r="B205" t="str">
        <f>IFERROR((VLOOKUP(A205,'[1]LISTA ETIQUETAS'!O:X,3,0)),"PRODUTO SEM ESTOQUE")</f>
        <v>EST ALMOFADA CLAMI 1 (PLUMA SINT) (BISTROL NUVEM/CINZA)</v>
      </c>
      <c r="C205" s="10" t="s">
        <v>145</v>
      </c>
      <c r="D205" s="10" t="s">
        <v>131</v>
      </c>
      <c r="E205" s="11">
        <f>IF(VLOOKUP(A205,'[1]LISTA ETIQUETAS'!O:W,4,0)="",(VLOOKUP(A205,'[1]LISTA ETIQUETAS'!O:W,6,0)),(VLOOKUP(A205,'[1]LISTA ETIQUETAS'!O:W,4,0)))</f>
        <v>0.5</v>
      </c>
      <c r="F205" s="11">
        <f>IF(VLOOKUP(A205,'[1]LISTA ETIQUETAS'!O:W,5,0)="",(VLOOKUP(A205,'[1]LISTA ETIQUETAS'!O:W,7,0)),(VLOOKUP(A205,'[1]LISTA ETIQUETAS'!O:W,5,0)))</f>
        <v>0.35</v>
      </c>
      <c r="G205" s="11">
        <f>IFERROR((VLOOKUP(A205,'[1]LISTA ETIQUETAS'!O:X,8,0)),"")</f>
        <v>0.15</v>
      </c>
      <c r="H205" s="11">
        <f>IFERROR((VLOOKUP(A205,'[1]LISTA ETIQUETAS'!O:X,9,0)),"")</f>
        <v>0</v>
      </c>
      <c r="I205" s="12">
        <f>IFERROR((VLOOKUP(A205,'[1]LISTA ETIQUETAS'!O:Y,11,0)),"")</f>
        <v>642.12</v>
      </c>
      <c r="J205" s="6">
        <v>0</v>
      </c>
      <c r="K205" s="12">
        <f t="shared" si="9"/>
        <v>642.12</v>
      </c>
      <c r="L205" s="7" t="str">
        <f>IF(VLOOKUP(A205,'[1]LISTA ETIQUETAS'!O:AB,14,0)="","",(VLOOKUP(A205,'[1]LISTA ETIQUETAS'!O:AB,14,0)))</f>
        <v/>
      </c>
      <c r="M205" s="8"/>
      <c r="N205" s="9">
        <f t="shared" si="10"/>
        <v>351690</v>
      </c>
      <c r="O205" s="2">
        <f>_xlfn.XLOOKUP($A205,'[1]LISTA ETIQUETAS'!$O:$O,'[1]LISTA ETIQUETAS'!C:C,"",0)</f>
        <v>0</v>
      </c>
      <c r="P205" s="2">
        <f>_xlfn.XLOOKUP($A205,'[1]LISTA ETIQUETAS'!$O:$O,'[1]LISTA ETIQUETAS'!D:D,"",0)</f>
        <v>0</v>
      </c>
      <c r="Q205" s="2">
        <f>_xlfn.XLOOKUP($A205,'[1]LISTA ETIQUETAS'!$O:$O,'[1]LISTA ETIQUETAS'!E:E,"",0)</f>
        <v>0</v>
      </c>
      <c r="R205" s="2">
        <f>_xlfn.XLOOKUP($A205,'[1]LISTA ETIQUETAS'!$O:$O,'[1]LISTA ETIQUETAS'!F:F,"",0)</f>
        <v>1</v>
      </c>
      <c r="S205" s="2">
        <f>_xlfn.XLOOKUP($A205,'[1]LISTA ETIQUETAS'!$O:$O,'[1]LISTA ETIQUETAS'!H:H,"",0)</f>
        <v>1</v>
      </c>
      <c r="T205" s="9">
        <f t="shared" si="11"/>
        <v>2</v>
      </c>
    </row>
    <row r="206" spans="1:20" x14ac:dyDescent="0.25">
      <c r="A206" s="5">
        <v>351689</v>
      </c>
      <c r="B206" t="str">
        <f>IFERROR((VLOOKUP(A206,'[1]LISTA ETIQUETAS'!O:X,3,0)),"PRODUTO SEM ESTOQUE")</f>
        <v>EST ALMOFADA CLAMI 1 (PLUMA SINT) (BISTROL NUVEM/CINZA)</v>
      </c>
      <c r="C206" s="10" t="s">
        <v>145</v>
      </c>
      <c r="D206" s="10" t="s">
        <v>131</v>
      </c>
      <c r="E206" s="11">
        <f>IF(VLOOKUP(A206,'[1]LISTA ETIQUETAS'!O:W,4,0)="",(VLOOKUP(A206,'[1]LISTA ETIQUETAS'!O:W,6,0)),(VLOOKUP(A206,'[1]LISTA ETIQUETAS'!O:W,4,0)))</f>
        <v>0.6</v>
      </c>
      <c r="F206" s="11">
        <f>IF(VLOOKUP(A206,'[1]LISTA ETIQUETAS'!O:W,5,0)="",(VLOOKUP(A206,'[1]LISTA ETIQUETAS'!O:W,7,0)),(VLOOKUP(A206,'[1]LISTA ETIQUETAS'!O:W,5,0)))</f>
        <v>0.25</v>
      </c>
      <c r="G206" s="11">
        <f>IFERROR((VLOOKUP(A206,'[1]LISTA ETIQUETAS'!O:X,8,0)),"")</f>
        <v>0.15</v>
      </c>
      <c r="H206" s="11">
        <f>IFERROR((VLOOKUP(A206,'[1]LISTA ETIQUETAS'!O:X,9,0)),"")</f>
        <v>0</v>
      </c>
      <c r="I206" s="12">
        <f>IFERROR((VLOOKUP(A206,'[1]LISTA ETIQUETAS'!O:Y,11,0)),"")</f>
        <v>550.37</v>
      </c>
      <c r="J206" s="6">
        <v>0</v>
      </c>
      <c r="K206" s="12">
        <f t="shared" si="9"/>
        <v>550.37</v>
      </c>
      <c r="L206" s="7" t="str">
        <f>IF(VLOOKUP(A206,'[1]LISTA ETIQUETAS'!O:AB,14,0)="","",(VLOOKUP(A206,'[1]LISTA ETIQUETAS'!O:AB,14,0)))</f>
        <v/>
      </c>
      <c r="M206" s="8"/>
      <c r="N206" s="9">
        <f t="shared" si="10"/>
        <v>351689</v>
      </c>
      <c r="O206" s="2">
        <f>_xlfn.XLOOKUP($A206,'[1]LISTA ETIQUETAS'!$O:$O,'[1]LISTA ETIQUETAS'!C:C,"",0)</f>
        <v>0</v>
      </c>
      <c r="P206" s="2">
        <f>_xlfn.XLOOKUP($A206,'[1]LISTA ETIQUETAS'!$O:$O,'[1]LISTA ETIQUETAS'!D:D,"",0)</f>
        <v>0</v>
      </c>
      <c r="Q206" s="2">
        <f>_xlfn.XLOOKUP($A206,'[1]LISTA ETIQUETAS'!$O:$O,'[1]LISTA ETIQUETAS'!E:E,"",0)</f>
        <v>0</v>
      </c>
      <c r="R206" s="2">
        <f>_xlfn.XLOOKUP($A206,'[1]LISTA ETIQUETAS'!$O:$O,'[1]LISTA ETIQUETAS'!F:F,"",0)</f>
        <v>0</v>
      </c>
      <c r="S206" s="2">
        <f>_xlfn.XLOOKUP($A206,'[1]LISTA ETIQUETAS'!$O:$O,'[1]LISTA ETIQUETAS'!H:H,"",0)</f>
        <v>2</v>
      </c>
      <c r="T206" s="9">
        <f t="shared" si="11"/>
        <v>2</v>
      </c>
    </row>
    <row r="207" spans="1:20" x14ac:dyDescent="0.25">
      <c r="A207" s="5">
        <v>351687</v>
      </c>
      <c r="B207" t="str">
        <f>IFERROR((VLOOKUP(A207,'[1]LISTA ETIQUETAS'!O:X,3,0)),"PRODUTO SEM ESTOQUE")</f>
        <v>EST ALMOFADA CLAMI 1 (PLUMA SINT) (BISTROL CRU/CINZA)</v>
      </c>
      <c r="C207" s="10" t="s">
        <v>145</v>
      </c>
      <c r="D207" s="10" t="s">
        <v>131</v>
      </c>
      <c r="E207" s="11">
        <f>IF(VLOOKUP(A207,'[1]LISTA ETIQUETAS'!O:W,4,0)="",(VLOOKUP(A207,'[1]LISTA ETIQUETAS'!O:W,6,0)),(VLOOKUP(A207,'[1]LISTA ETIQUETAS'!O:W,4,0)))</f>
        <v>0.4</v>
      </c>
      <c r="F207" s="11">
        <f>IF(VLOOKUP(A207,'[1]LISTA ETIQUETAS'!O:W,5,0)="",(VLOOKUP(A207,'[1]LISTA ETIQUETAS'!O:W,7,0)),(VLOOKUP(A207,'[1]LISTA ETIQUETAS'!O:W,5,0)))</f>
        <v>0.3</v>
      </c>
      <c r="G207" s="11">
        <f>IFERROR((VLOOKUP(A207,'[1]LISTA ETIQUETAS'!O:X,8,0)),"")</f>
        <v>0.15</v>
      </c>
      <c r="H207" s="11">
        <f>IFERROR((VLOOKUP(A207,'[1]LISTA ETIQUETAS'!O:X,9,0)),"")</f>
        <v>0</v>
      </c>
      <c r="I207" s="12">
        <f>IFERROR((VLOOKUP(A207,'[1]LISTA ETIQUETAS'!O:Y,11,0)),"")</f>
        <v>440.29</v>
      </c>
      <c r="J207" s="6">
        <v>0</v>
      </c>
      <c r="K207" s="12">
        <f t="shared" si="9"/>
        <v>440.29</v>
      </c>
      <c r="L207" s="7" t="str">
        <f>IF(VLOOKUP(A207,'[1]LISTA ETIQUETAS'!O:AB,14,0)="","",(VLOOKUP(A207,'[1]LISTA ETIQUETAS'!O:AB,14,0)))</f>
        <v/>
      </c>
      <c r="M207" s="8"/>
      <c r="N207" s="9">
        <f t="shared" si="10"/>
        <v>351687</v>
      </c>
      <c r="O207" s="2">
        <f>_xlfn.XLOOKUP($A207,'[1]LISTA ETIQUETAS'!$O:$O,'[1]LISTA ETIQUETAS'!C:C,"",0)</f>
        <v>0</v>
      </c>
      <c r="P207" s="2">
        <f>_xlfn.XLOOKUP($A207,'[1]LISTA ETIQUETAS'!$O:$O,'[1]LISTA ETIQUETAS'!D:D,"",0)</f>
        <v>0</v>
      </c>
      <c r="Q207" s="2">
        <f>_xlfn.XLOOKUP($A207,'[1]LISTA ETIQUETAS'!$O:$O,'[1]LISTA ETIQUETAS'!E:E,"",0)</f>
        <v>0</v>
      </c>
      <c r="R207" s="2">
        <f>_xlfn.XLOOKUP($A207,'[1]LISTA ETIQUETAS'!$O:$O,'[1]LISTA ETIQUETAS'!F:F,"",0)</f>
        <v>0</v>
      </c>
      <c r="S207" s="2">
        <f>_xlfn.XLOOKUP($A207,'[1]LISTA ETIQUETAS'!$O:$O,'[1]LISTA ETIQUETAS'!H:H,"",0)</f>
        <v>1</v>
      </c>
      <c r="T207" s="9">
        <f t="shared" si="11"/>
        <v>1</v>
      </c>
    </row>
    <row r="208" spans="1:20" x14ac:dyDescent="0.25">
      <c r="A208" s="5">
        <v>351685</v>
      </c>
      <c r="B208" t="str">
        <f>IFERROR((VLOOKUP(A208,'[1]LISTA ETIQUETAS'!O:X,3,0)),"PRODUTO SEM ESTOQUE")</f>
        <v>EST ALMOFADA CLAMI 1 (PLUMA SINT) (BISTROL CRU/CINZA)</v>
      </c>
      <c r="C208" s="10" t="s">
        <v>145</v>
      </c>
      <c r="D208" s="10" t="s">
        <v>131</v>
      </c>
      <c r="E208" s="11">
        <f>IF(VLOOKUP(A208,'[1]LISTA ETIQUETAS'!O:W,4,0)="",(VLOOKUP(A208,'[1]LISTA ETIQUETAS'!O:W,6,0)),(VLOOKUP(A208,'[1]LISTA ETIQUETAS'!O:W,4,0)))</f>
        <v>0.5</v>
      </c>
      <c r="F208" s="11">
        <f>IF(VLOOKUP(A208,'[1]LISTA ETIQUETAS'!O:W,5,0)="",(VLOOKUP(A208,'[1]LISTA ETIQUETAS'!O:W,7,0)),(VLOOKUP(A208,'[1]LISTA ETIQUETAS'!O:W,5,0)))</f>
        <v>0.35</v>
      </c>
      <c r="G208" s="11">
        <f>IFERROR((VLOOKUP(A208,'[1]LISTA ETIQUETAS'!O:X,8,0)),"")</f>
        <v>0.15</v>
      </c>
      <c r="H208" s="11">
        <f>IFERROR((VLOOKUP(A208,'[1]LISTA ETIQUETAS'!O:X,9,0)),"")</f>
        <v>0</v>
      </c>
      <c r="I208" s="12">
        <f>IFERROR((VLOOKUP(A208,'[1]LISTA ETIQUETAS'!O:Y,11,0)),"")</f>
        <v>642.12</v>
      </c>
      <c r="J208" s="6">
        <v>0</v>
      </c>
      <c r="K208" s="12">
        <f t="shared" si="9"/>
        <v>642.12</v>
      </c>
      <c r="L208" s="7" t="str">
        <f>IF(VLOOKUP(A208,'[1]LISTA ETIQUETAS'!O:AB,14,0)="","",(VLOOKUP(A208,'[1]LISTA ETIQUETAS'!O:AB,14,0)))</f>
        <v/>
      </c>
      <c r="M208" s="8"/>
      <c r="N208" s="9">
        <f t="shared" si="10"/>
        <v>351685</v>
      </c>
      <c r="O208" s="2">
        <f>_xlfn.XLOOKUP($A208,'[1]LISTA ETIQUETAS'!$O:$O,'[1]LISTA ETIQUETAS'!C:C,"",0)</f>
        <v>0</v>
      </c>
      <c r="P208" s="2">
        <f>_xlfn.XLOOKUP($A208,'[1]LISTA ETIQUETAS'!$O:$O,'[1]LISTA ETIQUETAS'!D:D,"",0)</f>
        <v>0</v>
      </c>
      <c r="Q208" s="2">
        <f>_xlfn.XLOOKUP($A208,'[1]LISTA ETIQUETAS'!$O:$O,'[1]LISTA ETIQUETAS'!E:E,"",0)</f>
        <v>0</v>
      </c>
      <c r="R208" s="2">
        <f>_xlfn.XLOOKUP($A208,'[1]LISTA ETIQUETAS'!$O:$O,'[1]LISTA ETIQUETAS'!F:F,"",0)</f>
        <v>0</v>
      </c>
      <c r="S208" s="2">
        <f>_xlfn.XLOOKUP($A208,'[1]LISTA ETIQUETAS'!$O:$O,'[1]LISTA ETIQUETAS'!H:H,"",0)</f>
        <v>1</v>
      </c>
      <c r="T208" s="9">
        <f t="shared" si="11"/>
        <v>1</v>
      </c>
    </row>
    <row r="209" spans="1:20" x14ac:dyDescent="0.25">
      <c r="A209" s="5">
        <v>351684</v>
      </c>
      <c r="B209" t="str">
        <f>IFERROR((VLOOKUP(A209,'[1]LISTA ETIQUETAS'!O:X,3,0)),"PRODUTO SEM ESTOQUE")</f>
        <v>EST ALMOFADA CLAMI 1 (PLUMA SINT) (BISTROL CRU/CINZA)</v>
      </c>
      <c r="C209" s="10" t="s">
        <v>145</v>
      </c>
      <c r="D209" s="10" t="s">
        <v>131</v>
      </c>
      <c r="E209" s="11">
        <f>IF(VLOOKUP(A209,'[1]LISTA ETIQUETAS'!O:W,4,0)="",(VLOOKUP(A209,'[1]LISTA ETIQUETAS'!O:W,6,0)),(VLOOKUP(A209,'[1]LISTA ETIQUETAS'!O:W,4,0)))</f>
        <v>0.6</v>
      </c>
      <c r="F209" s="11">
        <f>IF(VLOOKUP(A209,'[1]LISTA ETIQUETAS'!O:W,5,0)="",(VLOOKUP(A209,'[1]LISTA ETIQUETAS'!O:W,7,0)),(VLOOKUP(A209,'[1]LISTA ETIQUETAS'!O:W,5,0)))</f>
        <v>0.25</v>
      </c>
      <c r="G209" s="11">
        <f>IFERROR((VLOOKUP(A209,'[1]LISTA ETIQUETAS'!O:X,8,0)),"")</f>
        <v>0.15</v>
      </c>
      <c r="H209" s="11">
        <f>IFERROR((VLOOKUP(A209,'[1]LISTA ETIQUETAS'!O:X,9,0)),"")</f>
        <v>0</v>
      </c>
      <c r="I209" s="12">
        <f>IFERROR((VLOOKUP(A209,'[1]LISTA ETIQUETAS'!O:Y,11,0)),"")</f>
        <v>550.37</v>
      </c>
      <c r="J209" s="6">
        <v>0</v>
      </c>
      <c r="K209" s="12">
        <f t="shared" si="9"/>
        <v>550.37</v>
      </c>
      <c r="L209" s="7" t="str">
        <f>IF(VLOOKUP(A209,'[1]LISTA ETIQUETAS'!O:AB,14,0)="","",(VLOOKUP(A209,'[1]LISTA ETIQUETAS'!O:AB,14,0)))</f>
        <v/>
      </c>
      <c r="M209" s="8"/>
      <c r="N209" s="9">
        <f t="shared" si="10"/>
        <v>351684</v>
      </c>
      <c r="O209" s="2">
        <f>_xlfn.XLOOKUP($A209,'[1]LISTA ETIQUETAS'!$O:$O,'[1]LISTA ETIQUETAS'!C:C,"",0)</f>
        <v>0</v>
      </c>
      <c r="P209" s="2">
        <f>_xlfn.XLOOKUP($A209,'[1]LISTA ETIQUETAS'!$O:$O,'[1]LISTA ETIQUETAS'!D:D,"",0)</f>
        <v>0</v>
      </c>
      <c r="Q209" s="2">
        <f>_xlfn.XLOOKUP($A209,'[1]LISTA ETIQUETAS'!$O:$O,'[1]LISTA ETIQUETAS'!E:E,"",0)</f>
        <v>0</v>
      </c>
      <c r="R209" s="2">
        <f>_xlfn.XLOOKUP($A209,'[1]LISTA ETIQUETAS'!$O:$O,'[1]LISTA ETIQUETAS'!F:F,"",0)</f>
        <v>0</v>
      </c>
      <c r="S209" s="2">
        <f>_xlfn.XLOOKUP($A209,'[1]LISTA ETIQUETAS'!$O:$O,'[1]LISTA ETIQUETAS'!H:H,"",0)</f>
        <v>1</v>
      </c>
      <c r="T209" s="9">
        <f t="shared" si="11"/>
        <v>1</v>
      </c>
    </row>
    <row r="210" spans="1:20" x14ac:dyDescent="0.25">
      <c r="A210" s="5">
        <v>351683</v>
      </c>
      <c r="B210" t="str">
        <f>IFERROR((VLOOKUP(A210,'[1]LISTA ETIQUETAS'!O:X,3,0)),"PRODUTO SEM ESTOQUE")</f>
        <v>EST ALMOFADA CLAMI 1 (PLUMA SINT) (BISTROL CRU/CINZA)</v>
      </c>
      <c r="C210" s="10" t="s">
        <v>145</v>
      </c>
      <c r="D210" s="10" t="s">
        <v>131</v>
      </c>
      <c r="E210" s="11">
        <f>IF(VLOOKUP(A210,'[1]LISTA ETIQUETAS'!O:W,4,0)="",(VLOOKUP(A210,'[1]LISTA ETIQUETAS'!O:W,6,0)),(VLOOKUP(A210,'[1]LISTA ETIQUETAS'!O:W,4,0)))</f>
        <v>0.7</v>
      </c>
      <c r="F210" s="11">
        <f>IF(VLOOKUP(A210,'[1]LISTA ETIQUETAS'!O:W,5,0)="",(VLOOKUP(A210,'[1]LISTA ETIQUETAS'!O:W,7,0)),(VLOOKUP(A210,'[1]LISTA ETIQUETAS'!O:W,5,0)))</f>
        <v>0.3</v>
      </c>
      <c r="G210" s="11">
        <f>IFERROR((VLOOKUP(A210,'[1]LISTA ETIQUETAS'!O:X,8,0)),"")</f>
        <v>0.15</v>
      </c>
      <c r="H210" s="11">
        <f>IFERROR((VLOOKUP(A210,'[1]LISTA ETIQUETAS'!O:X,9,0)),"")</f>
        <v>0</v>
      </c>
      <c r="I210" s="12">
        <f>IFERROR((VLOOKUP(A210,'[1]LISTA ETIQUETAS'!O:Y,11,0)),"")</f>
        <v>770.52</v>
      </c>
      <c r="J210" s="6">
        <v>0</v>
      </c>
      <c r="K210" s="12">
        <f t="shared" si="9"/>
        <v>770.52</v>
      </c>
      <c r="L210" s="7" t="str">
        <f>IF(VLOOKUP(A210,'[1]LISTA ETIQUETAS'!O:AB,14,0)="","",(VLOOKUP(A210,'[1]LISTA ETIQUETAS'!O:AB,14,0)))</f>
        <v/>
      </c>
      <c r="M210" s="8"/>
      <c r="N210" s="9">
        <f t="shared" si="10"/>
        <v>351683</v>
      </c>
      <c r="O210" s="2">
        <f>_xlfn.XLOOKUP($A210,'[1]LISTA ETIQUETAS'!$O:$O,'[1]LISTA ETIQUETAS'!C:C,"",0)</f>
        <v>0</v>
      </c>
      <c r="P210" s="2">
        <f>_xlfn.XLOOKUP($A210,'[1]LISTA ETIQUETAS'!$O:$O,'[1]LISTA ETIQUETAS'!D:D,"",0)</f>
        <v>0</v>
      </c>
      <c r="Q210" s="2">
        <f>_xlfn.XLOOKUP($A210,'[1]LISTA ETIQUETAS'!$O:$O,'[1]LISTA ETIQUETAS'!E:E,"",0)</f>
        <v>0</v>
      </c>
      <c r="R210" s="2">
        <f>_xlfn.XLOOKUP($A210,'[1]LISTA ETIQUETAS'!$O:$O,'[1]LISTA ETIQUETAS'!F:F,"",0)</f>
        <v>0</v>
      </c>
      <c r="S210" s="2">
        <f>_xlfn.XLOOKUP($A210,'[1]LISTA ETIQUETAS'!$O:$O,'[1]LISTA ETIQUETAS'!H:H,"",0)</f>
        <v>1</v>
      </c>
      <c r="T210" s="9">
        <f t="shared" si="11"/>
        <v>1</v>
      </c>
    </row>
    <row r="211" spans="1:20" x14ac:dyDescent="0.25">
      <c r="A211" s="5">
        <v>351725</v>
      </c>
      <c r="B211" t="str">
        <f>IFERROR((VLOOKUP(A211,'[1]LISTA ETIQUETAS'!O:X,3,0)),"PRODUTO SEM ESTOQUE")</f>
        <v>EST ALMOFADA CLAMI 2 (PLUMA SINT) (MAQUINETADO CRU/PRETO)</v>
      </c>
      <c r="C211" s="10" t="s">
        <v>145</v>
      </c>
      <c r="D211" s="10" t="s">
        <v>131</v>
      </c>
      <c r="E211" s="11">
        <f>IF(VLOOKUP(A211,'[1]LISTA ETIQUETAS'!O:W,4,0)="",(VLOOKUP(A211,'[1]LISTA ETIQUETAS'!O:W,6,0)),(VLOOKUP(A211,'[1]LISTA ETIQUETAS'!O:W,4,0)))</f>
        <v>0.5</v>
      </c>
      <c r="F211" s="11">
        <f>IF(VLOOKUP(A211,'[1]LISTA ETIQUETAS'!O:W,5,0)="",(VLOOKUP(A211,'[1]LISTA ETIQUETAS'!O:W,7,0)),(VLOOKUP(A211,'[1]LISTA ETIQUETAS'!O:W,5,0)))</f>
        <v>0.35</v>
      </c>
      <c r="G211" s="11">
        <f>IFERROR((VLOOKUP(A211,'[1]LISTA ETIQUETAS'!O:X,8,0)),"")</f>
        <v>0.15</v>
      </c>
      <c r="H211" s="11">
        <f>IFERROR((VLOOKUP(A211,'[1]LISTA ETIQUETAS'!O:X,9,0)),"")</f>
        <v>0</v>
      </c>
      <c r="I211" s="12">
        <f>IFERROR((VLOOKUP(A211,'[1]LISTA ETIQUETAS'!O:Y,11,0)),"")</f>
        <v>642.12</v>
      </c>
      <c r="J211" s="6">
        <v>0</v>
      </c>
      <c r="K211" s="12">
        <f t="shared" si="9"/>
        <v>642.12</v>
      </c>
      <c r="L211" s="7" t="str">
        <f>IF(VLOOKUP(A211,'[1]LISTA ETIQUETAS'!O:AB,14,0)="","",(VLOOKUP(A211,'[1]LISTA ETIQUETAS'!O:AB,14,0)))</f>
        <v/>
      </c>
      <c r="M211" s="8"/>
      <c r="N211" s="9">
        <f t="shared" si="10"/>
        <v>351725</v>
      </c>
      <c r="O211" s="2">
        <f>_xlfn.XLOOKUP($A211,'[1]LISTA ETIQUETAS'!$O:$O,'[1]LISTA ETIQUETAS'!C:C,"",0)</f>
        <v>0</v>
      </c>
      <c r="P211" s="2">
        <f>_xlfn.XLOOKUP($A211,'[1]LISTA ETIQUETAS'!$O:$O,'[1]LISTA ETIQUETAS'!D:D,"",0)</f>
        <v>0</v>
      </c>
      <c r="Q211" s="2">
        <f>_xlfn.XLOOKUP($A211,'[1]LISTA ETIQUETAS'!$O:$O,'[1]LISTA ETIQUETAS'!E:E,"",0)</f>
        <v>0</v>
      </c>
      <c r="R211" s="2">
        <f>_xlfn.XLOOKUP($A211,'[1]LISTA ETIQUETAS'!$O:$O,'[1]LISTA ETIQUETAS'!F:F,"",0)</f>
        <v>1</v>
      </c>
      <c r="S211" s="2">
        <f>_xlfn.XLOOKUP($A211,'[1]LISTA ETIQUETAS'!$O:$O,'[1]LISTA ETIQUETAS'!H:H,"",0)</f>
        <v>1</v>
      </c>
      <c r="T211" s="9">
        <f t="shared" si="11"/>
        <v>2</v>
      </c>
    </row>
    <row r="212" spans="1:20" x14ac:dyDescent="0.25">
      <c r="A212" s="5">
        <v>351724</v>
      </c>
      <c r="B212" t="str">
        <f>IFERROR((VLOOKUP(A212,'[1]LISTA ETIQUETAS'!O:X,3,0)),"PRODUTO SEM ESTOQUE")</f>
        <v>EST ALMOFADA CLAMI 2 (PLUMA SINT) (MAQUINETADO CRU/PRETO)</v>
      </c>
      <c r="C212" s="10" t="s">
        <v>145</v>
      </c>
      <c r="D212" s="10" t="s">
        <v>131</v>
      </c>
      <c r="E212" s="11">
        <f>IF(VLOOKUP(A212,'[1]LISTA ETIQUETAS'!O:W,4,0)="",(VLOOKUP(A212,'[1]LISTA ETIQUETAS'!O:W,6,0)),(VLOOKUP(A212,'[1]LISTA ETIQUETAS'!O:W,4,0)))</f>
        <v>0.6</v>
      </c>
      <c r="F212" s="11">
        <f>IF(VLOOKUP(A212,'[1]LISTA ETIQUETAS'!O:W,5,0)="",(VLOOKUP(A212,'[1]LISTA ETIQUETAS'!O:W,7,0)),(VLOOKUP(A212,'[1]LISTA ETIQUETAS'!O:W,5,0)))</f>
        <v>0.25</v>
      </c>
      <c r="G212" s="11">
        <f>IFERROR((VLOOKUP(A212,'[1]LISTA ETIQUETAS'!O:X,8,0)),"")</f>
        <v>0.15</v>
      </c>
      <c r="H212" s="11">
        <f>IFERROR((VLOOKUP(A212,'[1]LISTA ETIQUETAS'!O:X,9,0)),"")</f>
        <v>0</v>
      </c>
      <c r="I212" s="12">
        <f>IFERROR((VLOOKUP(A212,'[1]LISTA ETIQUETAS'!O:Y,11,0)),"")</f>
        <v>550.37</v>
      </c>
      <c r="J212" s="6">
        <v>0</v>
      </c>
      <c r="K212" s="12">
        <f t="shared" si="9"/>
        <v>550.37</v>
      </c>
      <c r="L212" s="7" t="str">
        <f>IF(VLOOKUP(A212,'[1]LISTA ETIQUETAS'!O:AB,14,0)="","",(VLOOKUP(A212,'[1]LISTA ETIQUETAS'!O:AB,14,0)))</f>
        <v/>
      </c>
      <c r="M212" s="8"/>
      <c r="N212" s="9">
        <f t="shared" si="10"/>
        <v>351724</v>
      </c>
      <c r="O212" s="2">
        <f>_xlfn.XLOOKUP($A212,'[1]LISTA ETIQUETAS'!$O:$O,'[1]LISTA ETIQUETAS'!C:C,"",0)</f>
        <v>0</v>
      </c>
      <c r="P212" s="2">
        <f>_xlfn.XLOOKUP($A212,'[1]LISTA ETIQUETAS'!$O:$O,'[1]LISTA ETIQUETAS'!D:D,"",0)</f>
        <v>0</v>
      </c>
      <c r="Q212" s="2">
        <f>_xlfn.XLOOKUP($A212,'[1]LISTA ETIQUETAS'!$O:$O,'[1]LISTA ETIQUETAS'!E:E,"",0)</f>
        <v>0</v>
      </c>
      <c r="R212" s="2">
        <f>_xlfn.XLOOKUP($A212,'[1]LISTA ETIQUETAS'!$O:$O,'[1]LISTA ETIQUETAS'!F:F,"",0)</f>
        <v>0</v>
      </c>
      <c r="S212" s="2">
        <f>_xlfn.XLOOKUP($A212,'[1]LISTA ETIQUETAS'!$O:$O,'[1]LISTA ETIQUETAS'!H:H,"",0)</f>
        <v>2</v>
      </c>
      <c r="T212" s="9">
        <f t="shared" si="11"/>
        <v>2</v>
      </c>
    </row>
    <row r="213" spans="1:20" x14ac:dyDescent="0.25">
      <c r="A213" s="5">
        <v>351722</v>
      </c>
      <c r="B213" t="str">
        <f>IFERROR((VLOOKUP(A213,'[1]LISTA ETIQUETAS'!O:X,3,0)),"PRODUTO SEM ESTOQUE")</f>
        <v>EST ALMOFADA CLAMI 1 (PLUMA SINT) (MAQUINETADO CRU/PRETO)</v>
      </c>
      <c r="C213" s="10" t="s">
        <v>145</v>
      </c>
      <c r="D213" s="10" t="s">
        <v>131</v>
      </c>
      <c r="E213" s="11">
        <f>IF(VLOOKUP(A213,'[1]LISTA ETIQUETAS'!O:W,4,0)="",(VLOOKUP(A213,'[1]LISTA ETIQUETAS'!O:W,6,0)),(VLOOKUP(A213,'[1]LISTA ETIQUETAS'!O:W,4,0)))</f>
        <v>0.4</v>
      </c>
      <c r="F213" s="11">
        <f>IF(VLOOKUP(A213,'[1]LISTA ETIQUETAS'!O:W,5,0)="",(VLOOKUP(A213,'[1]LISTA ETIQUETAS'!O:W,7,0)),(VLOOKUP(A213,'[1]LISTA ETIQUETAS'!O:W,5,0)))</f>
        <v>0.3</v>
      </c>
      <c r="G213" s="11">
        <f>IFERROR((VLOOKUP(A213,'[1]LISTA ETIQUETAS'!O:X,8,0)),"")</f>
        <v>0.15</v>
      </c>
      <c r="H213" s="11">
        <f>IFERROR((VLOOKUP(A213,'[1]LISTA ETIQUETAS'!O:X,9,0)),"")</f>
        <v>0</v>
      </c>
      <c r="I213" s="12">
        <f>IFERROR((VLOOKUP(A213,'[1]LISTA ETIQUETAS'!O:Y,11,0)),"")</f>
        <v>440.29</v>
      </c>
      <c r="J213" s="6">
        <v>0</v>
      </c>
      <c r="K213" s="12">
        <f t="shared" si="9"/>
        <v>440.29</v>
      </c>
      <c r="L213" s="7" t="str">
        <f>IF(VLOOKUP(A213,'[1]LISTA ETIQUETAS'!O:AB,14,0)="","",(VLOOKUP(A213,'[1]LISTA ETIQUETAS'!O:AB,14,0)))</f>
        <v/>
      </c>
      <c r="M213" s="8"/>
      <c r="N213" s="9">
        <f t="shared" si="10"/>
        <v>351722</v>
      </c>
      <c r="O213" s="2">
        <f>_xlfn.XLOOKUP($A213,'[1]LISTA ETIQUETAS'!$O:$O,'[1]LISTA ETIQUETAS'!C:C,"",0)</f>
        <v>0</v>
      </c>
      <c r="P213" s="2">
        <f>_xlfn.XLOOKUP($A213,'[1]LISTA ETIQUETAS'!$O:$O,'[1]LISTA ETIQUETAS'!D:D,"",0)</f>
        <v>0</v>
      </c>
      <c r="Q213" s="2">
        <f>_xlfn.XLOOKUP($A213,'[1]LISTA ETIQUETAS'!$O:$O,'[1]LISTA ETIQUETAS'!E:E,"",0)</f>
        <v>0</v>
      </c>
      <c r="R213" s="2">
        <f>_xlfn.XLOOKUP($A213,'[1]LISTA ETIQUETAS'!$O:$O,'[1]LISTA ETIQUETAS'!F:F,"",0)</f>
        <v>0</v>
      </c>
      <c r="S213" s="2">
        <f>_xlfn.XLOOKUP($A213,'[1]LISTA ETIQUETAS'!$O:$O,'[1]LISTA ETIQUETAS'!H:H,"",0)</f>
        <v>2</v>
      </c>
      <c r="T213" s="9">
        <f t="shared" si="11"/>
        <v>2</v>
      </c>
    </row>
    <row r="214" spans="1:20" x14ac:dyDescent="0.25">
      <c r="A214" s="5">
        <v>351720</v>
      </c>
      <c r="B214" t="str">
        <f>IFERROR((VLOOKUP(A214,'[1]LISTA ETIQUETAS'!O:X,3,0)),"PRODUTO SEM ESTOQUE")</f>
        <v>EST ALMOFADA CLAMI 1 (PLUMA SINT) (MAQUINETADO CRU/PRETO)</v>
      </c>
      <c r="C214" s="10" t="s">
        <v>145</v>
      </c>
      <c r="D214" s="10" t="s">
        <v>131</v>
      </c>
      <c r="E214" s="11">
        <f>IF(VLOOKUP(A214,'[1]LISTA ETIQUETAS'!O:W,4,0)="",(VLOOKUP(A214,'[1]LISTA ETIQUETAS'!O:W,6,0)),(VLOOKUP(A214,'[1]LISTA ETIQUETAS'!O:W,4,0)))</f>
        <v>0.6</v>
      </c>
      <c r="F214" s="11">
        <f>IF(VLOOKUP(A214,'[1]LISTA ETIQUETAS'!O:W,5,0)="",(VLOOKUP(A214,'[1]LISTA ETIQUETAS'!O:W,7,0)),(VLOOKUP(A214,'[1]LISTA ETIQUETAS'!O:W,5,0)))</f>
        <v>0.25</v>
      </c>
      <c r="G214" s="11">
        <f>IFERROR((VLOOKUP(A214,'[1]LISTA ETIQUETAS'!O:X,8,0)),"")</f>
        <v>0.15</v>
      </c>
      <c r="H214" s="11">
        <f>IFERROR((VLOOKUP(A214,'[1]LISTA ETIQUETAS'!O:X,9,0)),"")</f>
        <v>0</v>
      </c>
      <c r="I214" s="12">
        <f>IFERROR((VLOOKUP(A214,'[1]LISTA ETIQUETAS'!O:Y,11,0)),"")</f>
        <v>550.37</v>
      </c>
      <c r="J214" s="6">
        <v>0</v>
      </c>
      <c r="K214" s="12">
        <f t="shared" si="9"/>
        <v>550.37</v>
      </c>
      <c r="L214" s="7" t="str">
        <f>IF(VLOOKUP(A214,'[1]LISTA ETIQUETAS'!O:AB,14,0)="","",(VLOOKUP(A214,'[1]LISTA ETIQUETAS'!O:AB,14,0)))</f>
        <v/>
      </c>
      <c r="M214" s="8"/>
      <c r="N214" s="9">
        <f t="shared" si="10"/>
        <v>351720</v>
      </c>
      <c r="O214" s="2">
        <f>_xlfn.XLOOKUP($A214,'[1]LISTA ETIQUETAS'!$O:$O,'[1]LISTA ETIQUETAS'!C:C,"",0)</f>
        <v>0</v>
      </c>
      <c r="P214" s="2">
        <f>_xlfn.XLOOKUP($A214,'[1]LISTA ETIQUETAS'!$O:$O,'[1]LISTA ETIQUETAS'!D:D,"",0)</f>
        <v>0</v>
      </c>
      <c r="Q214" s="2">
        <f>_xlfn.XLOOKUP($A214,'[1]LISTA ETIQUETAS'!$O:$O,'[1]LISTA ETIQUETAS'!E:E,"",0)</f>
        <v>0</v>
      </c>
      <c r="R214" s="2">
        <f>_xlfn.XLOOKUP($A214,'[1]LISTA ETIQUETAS'!$O:$O,'[1]LISTA ETIQUETAS'!F:F,"",0)</f>
        <v>1</v>
      </c>
      <c r="S214" s="2">
        <f>_xlfn.XLOOKUP($A214,'[1]LISTA ETIQUETAS'!$O:$O,'[1]LISTA ETIQUETAS'!H:H,"",0)</f>
        <v>1</v>
      </c>
      <c r="T214" s="9">
        <f t="shared" si="11"/>
        <v>2</v>
      </c>
    </row>
    <row r="215" spans="1:20" x14ac:dyDescent="0.25">
      <c r="A215" s="5">
        <v>351718</v>
      </c>
      <c r="B215" t="str">
        <f>IFERROR((VLOOKUP(A215,'[1]LISTA ETIQUETAS'!O:X,3,0)),"PRODUTO SEM ESTOQUE")</f>
        <v>EST ALMOFADA CLAMI 1 (PLUMA SINT) (MOHAVE CINZA/CINZA)</v>
      </c>
      <c r="C215" s="10" t="s">
        <v>145</v>
      </c>
      <c r="D215" s="10" t="s">
        <v>131</v>
      </c>
      <c r="E215" s="11">
        <f>IF(VLOOKUP(A215,'[1]LISTA ETIQUETAS'!O:W,4,0)="",(VLOOKUP(A215,'[1]LISTA ETIQUETAS'!O:W,6,0)),(VLOOKUP(A215,'[1]LISTA ETIQUETAS'!O:W,4,0)))</f>
        <v>0.6</v>
      </c>
      <c r="F215" s="11">
        <f>IF(VLOOKUP(A215,'[1]LISTA ETIQUETAS'!O:W,5,0)="",(VLOOKUP(A215,'[1]LISTA ETIQUETAS'!O:W,7,0)),(VLOOKUP(A215,'[1]LISTA ETIQUETAS'!O:W,5,0)))</f>
        <v>0.25</v>
      </c>
      <c r="G215" s="11">
        <f>IFERROR((VLOOKUP(A215,'[1]LISTA ETIQUETAS'!O:X,8,0)),"")</f>
        <v>0.15</v>
      </c>
      <c r="H215" s="11">
        <f>IFERROR((VLOOKUP(A215,'[1]LISTA ETIQUETAS'!O:X,9,0)),"")</f>
        <v>0</v>
      </c>
      <c r="I215" s="12">
        <f>IFERROR((VLOOKUP(A215,'[1]LISTA ETIQUETAS'!O:Y,11,0)),"")</f>
        <v>550.37</v>
      </c>
      <c r="J215" s="6">
        <v>0</v>
      </c>
      <c r="K215" s="12">
        <f t="shared" si="9"/>
        <v>550.37</v>
      </c>
      <c r="L215" s="7" t="str">
        <f>IF(VLOOKUP(A215,'[1]LISTA ETIQUETAS'!O:AB,14,0)="","",(VLOOKUP(A215,'[1]LISTA ETIQUETAS'!O:AB,14,0)))</f>
        <v/>
      </c>
      <c r="M215" s="8"/>
      <c r="N215" s="9">
        <f t="shared" si="10"/>
        <v>351718</v>
      </c>
      <c r="O215" s="2">
        <f>_xlfn.XLOOKUP($A215,'[1]LISTA ETIQUETAS'!$O:$O,'[1]LISTA ETIQUETAS'!C:C,"",0)</f>
        <v>0</v>
      </c>
      <c r="P215" s="2">
        <f>_xlfn.XLOOKUP($A215,'[1]LISTA ETIQUETAS'!$O:$O,'[1]LISTA ETIQUETAS'!D:D,"",0)</f>
        <v>0</v>
      </c>
      <c r="Q215" s="2">
        <f>_xlfn.XLOOKUP($A215,'[1]LISTA ETIQUETAS'!$O:$O,'[1]LISTA ETIQUETAS'!E:E,"",0)</f>
        <v>0</v>
      </c>
      <c r="R215" s="2">
        <f>_xlfn.XLOOKUP($A215,'[1]LISTA ETIQUETAS'!$O:$O,'[1]LISTA ETIQUETAS'!F:F,"",0)</f>
        <v>0</v>
      </c>
      <c r="S215" s="2">
        <f>_xlfn.XLOOKUP($A215,'[1]LISTA ETIQUETAS'!$O:$O,'[1]LISTA ETIQUETAS'!H:H,"",0)</f>
        <v>1</v>
      </c>
      <c r="T215" s="9">
        <f t="shared" si="11"/>
        <v>1</v>
      </c>
    </row>
    <row r="216" spans="1:20" x14ac:dyDescent="0.25">
      <c r="A216" s="5">
        <v>351717</v>
      </c>
      <c r="B216" t="str">
        <f>IFERROR((VLOOKUP(A216,'[1]LISTA ETIQUETAS'!O:X,3,0)),"PRODUTO SEM ESTOQUE")</f>
        <v>EST ALMOFADA CLAMI 1 (PLUMA SINT) (MOHAVE CINZA/CINZA)</v>
      </c>
      <c r="C216" s="10" t="s">
        <v>145</v>
      </c>
      <c r="D216" s="10" t="s">
        <v>131</v>
      </c>
      <c r="E216" s="11">
        <f>IF(VLOOKUP(A216,'[1]LISTA ETIQUETAS'!O:W,4,0)="",(VLOOKUP(A216,'[1]LISTA ETIQUETAS'!O:W,6,0)),(VLOOKUP(A216,'[1]LISTA ETIQUETAS'!O:W,4,0)))</f>
        <v>0.7</v>
      </c>
      <c r="F216" s="11">
        <f>IF(VLOOKUP(A216,'[1]LISTA ETIQUETAS'!O:W,5,0)="",(VLOOKUP(A216,'[1]LISTA ETIQUETAS'!O:W,7,0)),(VLOOKUP(A216,'[1]LISTA ETIQUETAS'!O:W,5,0)))</f>
        <v>0.3</v>
      </c>
      <c r="G216" s="11">
        <f>IFERROR((VLOOKUP(A216,'[1]LISTA ETIQUETAS'!O:X,8,0)),"")</f>
        <v>0.15</v>
      </c>
      <c r="H216" s="11">
        <f>IFERROR((VLOOKUP(A216,'[1]LISTA ETIQUETAS'!O:X,9,0)),"")</f>
        <v>0</v>
      </c>
      <c r="I216" s="12">
        <f>IFERROR((VLOOKUP(A216,'[1]LISTA ETIQUETAS'!O:Y,11,0)),"")</f>
        <v>770.52</v>
      </c>
      <c r="J216" s="6">
        <v>0</v>
      </c>
      <c r="K216" s="12">
        <f t="shared" si="9"/>
        <v>770.52</v>
      </c>
      <c r="L216" s="7" t="str">
        <f>IF(VLOOKUP(A216,'[1]LISTA ETIQUETAS'!O:AB,14,0)="","",(VLOOKUP(A216,'[1]LISTA ETIQUETAS'!O:AB,14,0)))</f>
        <v/>
      </c>
      <c r="M216" s="8"/>
      <c r="N216" s="9">
        <f t="shared" si="10"/>
        <v>351717</v>
      </c>
      <c r="O216" s="2">
        <f>_xlfn.XLOOKUP($A216,'[1]LISTA ETIQUETAS'!$O:$O,'[1]LISTA ETIQUETAS'!C:C,"",0)</f>
        <v>0</v>
      </c>
      <c r="P216" s="2">
        <f>_xlfn.XLOOKUP($A216,'[1]LISTA ETIQUETAS'!$O:$O,'[1]LISTA ETIQUETAS'!D:D,"",0)</f>
        <v>0</v>
      </c>
      <c r="Q216" s="2">
        <f>_xlfn.XLOOKUP($A216,'[1]LISTA ETIQUETAS'!$O:$O,'[1]LISTA ETIQUETAS'!E:E,"",0)</f>
        <v>0</v>
      </c>
      <c r="R216" s="2">
        <f>_xlfn.XLOOKUP($A216,'[1]LISTA ETIQUETAS'!$O:$O,'[1]LISTA ETIQUETAS'!F:F,"",0)</f>
        <v>0</v>
      </c>
      <c r="S216" s="2">
        <f>_xlfn.XLOOKUP($A216,'[1]LISTA ETIQUETAS'!$O:$O,'[1]LISTA ETIQUETAS'!H:H,"",0)</f>
        <v>1</v>
      </c>
      <c r="T216" s="9">
        <f t="shared" si="11"/>
        <v>1</v>
      </c>
    </row>
    <row r="217" spans="1:20" x14ac:dyDescent="0.25">
      <c r="A217" s="5">
        <v>351716</v>
      </c>
      <c r="B217" t="str">
        <f>IFERROR((VLOOKUP(A217,'[1]LISTA ETIQUETAS'!O:X,3,0)),"PRODUTO SEM ESTOQUE")</f>
        <v>EST ALMOFADA CLAMI 1 (PLUMA SINT) (MOHAVE CINZA/MARROM)</v>
      </c>
      <c r="C217" s="10" t="s">
        <v>145</v>
      </c>
      <c r="D217" s="10" t="s">
        <v>131</v>
      </c>
      <c r="E217" s="11">
        <f>IF(VLOOKUP(A217,'[1]LISTA ETIQUETAS'!O:W,4,0)="",(VLOOKUP(A217,'[1]LISTA ETIQUETAS'!O:W,6,0)),(VLOOKUP(A217,'[1]LISTA ETIQUETAS'!O:W,4,0)))</f>
        <v>0.6</v>
      </c>
      <c r="F217" s="11">
        <f>IF(VLOOKUP(A217,'[1]LISTA ETIQUETAS'!O:W,5,0)="",(VLOOKUP(A217,'[1]LISTA ETIQUETAS'!O:W,7,0)),(VLOOKUP(A217,'[1]LISTA ETIQUETAS'!O:W,5,0)))</f>
        <v>0.25</v>
      </c>
      <c r="G217" s="11">
        <f>IFERROR((VLOOKUP(A217,'[1]LISTA ETIQUETAS'!O:X,8,0)),"")</f>
        <v>0.15</v>
      </c>
      <c r="H217" s="11">
        <f>IFERROR((VLOOKUP(A217,'[1]LISTA ETIQUETAS'!O:X,9,0)),"")</f>
        <v>0</v>
      </c>
      <c r="I217" s="12">
        <f>IFERROR((VLOOKUP(A217,'[1]LISTA ETIQUETAS'!O:Y,11,0)),"")</f>
        <v>550.37</v>
      </c>
      <c r="J217" s="6">
        <v>0</v>
      </c>
      <c r="K217" s="12">
        <f t="shared" si="9"/>
        <v>550.37</v>
      </c>
      <c r="L217" s="7" t="str">
        <f>IF(VLOOKUP(A217,'[1]LISTA ETIQUETAS'!O:AB,14,0)="","",(VLOOKUP(A217,'[1]LISTA ETIQUETAS'!O:AB,14,0)))</f>
        <v/>
      </c>
      <c r="M217" s="8"/>
      <c r="N217" s="9">
        <f t="shared" si="10"/>
        <v>351716</v>
      </c>
      <c r="O217" s="2">
        <f>_xlfn.XLOOKUP($A217,'[1]LISTA ETIQUETAS'!$O:$O,'[1]LISTA ETIQUETAS'!C:C,"",0)</f>
        <v>0</v>
      </c>
      <c r="P217" s="2">
        <f>_xlfn.XLOOKUP($A217,'[1]LISTA ETIQUETAS'!$O:$O,'[1]LISTA ETIQUETAS'!D:D,"",0)</f>
        <v>0</v>
      </c>
      <c r="Q217" s="2">
        <f>_xlfn.XLOOKUP($A217,'[1]LISTA ETIQUETAS'!$O:$O,'[1]LISTA ETIQUETAS'!E:E,"",0)</f>
        <v>0</v>
      </c>
      <c r="R217" s="2">
        <f>_xlfn.XLOOKUP($A217,'[1]LISTA ETIQUETAS'!$O:$O,'[1]LISTA ETIQUETAS'!F:F,"",0)</f>
        <v>0</v>
      </c>
      <c r="S217" s="2">
        <f>_xlfn.XLOOKUP($A217,'[1]LISTA ETIQUETAS'!$O:$O,'[1]LISTA ETIQUETAS'!H:H,"",0)</f>
        <v>1</v>
      </c>
      <c r="T217" s="9">
        <f t="shared" si="11"/>
        <v>1</v>
      </c>
    </row>
    <row r="218" spans="1:20" x14ac:dyDescent="0.25">
      <c r="A218" s="5">
        <v>406191</v>
      </c>
      <c r="B218" t="str">
        <f>IFERROR((VLOOKUP(A218,'[1]LISTA ETIQUETAS'!O:X,3,0)),"PRODUTO SEM ESTOQUE")</f>
        <v>EST ALMOFADA CLAMI (SIMPLES) TC AVELUDADO VERDE</v>
      </c>
      <c r="C218" s="10" t="s">
        <v>145</v>
      </c>
      <c r="D218" s="10" t="s">
        <v>131</v>
      </c>
      <c r="E218" s="11">
        <f>IF(VLOOKUP(A218,'[1]LISTA ETIQUETAS'!O:W,4,0)="",(VLOOKUP(A218,'[1]LISTA ETIQUETAS'!O:W,6,0)),(VLOOKUP(A218,'[1]LISTA ETIQUETAS'!O:W,4,0)))</f>
        <v>0.5</v>
      </c>
      <c r="F218" s="11">
        <f>IF(VLOOKUP(A218,'[1]LISTA ETIQUETAS'!O:W,5,0)="",(VLOOKUP(A218,'[1]LISTA ETIQUETAS'!O:W,7,0)),(VLOOKUP(A218,'[1]LISTA ETIQUETAS'!O:W,5,0)))</f>
        <v>0.5</v>
      </c>
      <c r="G218" s="11">
        <f>IFERROR((VLOOKUP(A218,'[1]LISTA ETIQUETAS'!O:X,8,0)),"")</f>
        <v>0</v>
      </c>
      <c r="H218" s="11">
        <f>IFERROR((VLOOKUP(A218,'[1]LISTA ETIQUETAS'!O:X,9,0)),"")</f>
        <v>0</v>
      </c>
      <c r="I218" s="12">
        <f>IFERROR((VLOOKUP(A218,'[1]LISTA ETIQUETAS'!O:Y,11,0)),"")</f>
        <v>443.52</v>
      </c>
      <c r="J218" s="6">
        <v>0</v>
      </c>
      <c r="K218" s="12">
        <f t="shared" si="9"/>
        <v>443.52</v>
      </c>
      <c r="L218" s="7" t="str">
        <f>IF(VLOOKUP(A218,'[1]LISTA ETIQUETAS'!O:AB,14,0)="","",(VLOOKUP(A218,'[1]LISTA ETIQUETAS'!O:AB,14,0)))</f>
        <v/>
      </c>
      <c r="M218" s="8"/>
      <c r="N218" s="9">
        <f t="shared" si="10"/>
        <v>406191</v>
      </c>
      <c r="O218" s="2">
        <f>_xlfn.XLOOKUP($A218,'[1]LISTA ETIQUETAS'!$O:$O,'[1]LISTA ETIQUETAS'!C:C,"",0)</f>
        <v>0</v>
      </c>
      <c r="P218" s="2">
        <f>_xlfn.XLOOKUP($A218,'[1]LISTA ETIQUETAS'!$O:$O,'[1]LISTA ETIQUETAS'!D:D,"",0)</f>
        <v>6</v>
      </c>
      <c r="Q218" s="2">
        <f>_xlfn.XLOOKUP($A218,'[1]LISTA ETIQUETAS'!$O:$O,'[1]LISTA ETIQUETAS'!E:E,"",0)</f>
        <v>0</v>
      </c>
      <c r="R218" s="2">
        <f>_xlfn.XLOOKUP($A218,'[1]LISTA ETIQUETAS'!$O:$O,'[1]LISTA ETIQUETAS'!F:F,"",0)</f>
        <v>0</v>
      </c>
      <c r="S218" s="2">
        <f>_xlfn.XLOOKUP($A218,'[1]LISTA ETIQUETAS'!$O:$O,'[1]LISTA ETIQUETAS'!H:H,"",0)</f>
        <v>2</v>
      </c>
      <c r="T218" s="9">
        <f t="shared" si="11"/>
        <v>8</v>
      </c>
    </row>
    <row r="219" spans="1:20" x14ac:dyDescent="0.25">
      <c r="A219" s="5">
        <v>265893</v>
      </c>
      <c r="B219" t="str">
        <f>IFERROR((VLOOKUP(A219,'[1]LISTA ETIQUETAS'!O:X,3,0)),"PRODUTO SEM ESTOQUE")</f>
        <v>EST ALMOFADA FITA ASPEN COR TELHA</v>
      </c>
      <c r="C219" s="10" t="s">
        <v>145</v>
      </c>
      <c r="D219" s="10" t="s">
        <v>131</v>
      </c>
      <c r="E219" s="11">
        <f>IF(VLOOKUP(A219,'[1]LISTA ETIQUETAS'!O:W,4,0)="",(VLOOKUP(A219,'[1]LISTA ETIQUETAS'!O:W,6,0)),(VLOOKUP(A219,'[1]LISTA ETIQUETAS'!O:W,4,0)))</f>
        <v>0.5</v>
      </c>
      <c r="F219" s="11">
        <f>IF(VLOOKUP(A219,'[1]LISTA ETIQUETAS'!O:W,5,0)="",(VLOOKUP(A219,'[1]LISTA ETIQUETAS'!O:W,7,0)),(VLOOKUP(A219,'[1]LISTA ETIQUETAS'!O:W,5,0)))</f>
        <v>0.5</v>
      </c>
      <c r="G219" s="11">
        <f>IFERROR((VLOOKUP(A219,'[1]LISTA ETIQUETAS'!O:X,8,0)),"")</f>
        <v>0</v>
      </c>
      <c r="H219" s="11">
        <f>IFERROR((VLOOKUP(A219,'[1]LISTA ETIQUETAS'!O:X,9,0)),"")</f>
        <v>0</v>
      </c>
      <c r="I219" s="12" t="str">
        <f>IFERROR((VLOOKUP(A219,'[1]LISTA ETIQUETAS'!O:Y,11,0)),"")</f>
        <v/>
      </c>
      <c r="J219" s="6">
        <v>0</v>
      </c>
      <c r="K219" s="12" t="str">
        <f t="shared" si="9"/>
        <v/>
      </c>
      <c r="L219" s="7" t="str">
        <f>IF(VLOOKUP(A219,'[1]LISTA ETIQUETAS'!O:AB,14,0)="","",(VLOOKUP(A219,'[1]LISTA ETIQUETAS'!O:AB,14,0)))</f>
        <v/>
      </c>
      <c r="M219" s="8"/>
      <c r="N219" s="9">
        <f t="shared" si="10"/>
        <v>265893</v>
      </c>
      <c r="O219" s="2">
        <f>_xlfn.XLOOKUP($A219,'[1]LISTA ETIQUETAS'!$O:$O,'[1]LISTA ETIQUETAS'!C:C,"",0)</f>
        <v>0</v>
      </c>
      <c r="P219" s="2">
        <f>_xlfn.XLOOKUP($A219,'[1]LISTA ETIQUETAS'!$O:$O,'[1]LISTA ETIQUETAS'!D:D,"",0)</f>
        <v>0</v>
      </c>
      <c r="Q219" s="2">
        <f>_xlfn.XLOOKUP($A219,'[1]LISTA ETIQUETAS'!$O:$O,'[1]LISTA ETIQUETAS'!E:E,"",0)</f>
        <v>0</v>
      </c>
      <c r="R219" s="2">
        <f>_xlfn.XLOOKUP($A219,'[1]LISTA ETIQUETAS'!$O:$O,'[1]LISTA ETIQUETAS'!F:F,"",0)</f>
        <v>0</v>
      </c>
      <c r="S219" s="2">
        <f>_xlfn.XLOOKUP($A219,'[1]LISTA ETIQUETAS'!$O:$O,'[1]LISTA ETIQUETAS'!H:H,"",0)</f>
        <v>4</v>
      </c>
      <c r="T219" s="9">
        <f t="shared" si="11"/>
        <v>4</v>
      </c>
    </row>
    <row r="220" spans="1:20" x14ac:dyDescent="0.25">
      <c r="A220" s="5">
        <v>331872</v>
      </c>
      <c r="B220" t="str">
        <f>IFERROR((VLOOKUP(A220,'[1]LISTA ETIQUETAS'!O:X,3,0)),"PRODUTO SEM ESTOQUE")</f>
        <v>EST ALMOFADA FEDD CONHAQUE 050X050</v>
      </c>
      <c r="C220" s="10" t="s">
        <v>145</v>
      </c>
      <c r="D220" s="10" t="s">
        <v>131</v>
      </c>
      <c r="E220" s="11">
        <f>IF(VLOOKUP(A220,'[1]LISTA ETIQUETAS'!O:W,4,0)="",(VLOOKUP(A220,'[1]LISTA ETIQUETAS'!O:W,6,0)),(VLOOKUP(A220,'[1]LISTA ETIQUETAS'!O:W,4,0)))</f>
        <v>0.5</v>
      </c>
      <c r="F220" s="11">
        <f>IF(VLOOKUP(A220,'[1]LISTA ETIQUETAS'!O:W,5,0)="",(VLOOKUP(A220,'[1]LISTA ETIQUETAS'!O:W,7,0)),(VLOOKUP(A220,'[1]LISTA ETIQUETAS'!O:W,5,0)))</f>
        <v>0.5</v>
      </c>
      <c r="G220" s="11">
        <f>IFERROR((VLOOKUP(A220,'[1]LISTA ETIQUETAS'!O:X,8,0)),"")</f>
        <v>0</v>
      </c>
      <c r="H220" s="11">
        <f>IFERROR((VLOOKUP(A220,'[1]LISTA ETIQUETAS'!O:X,9,0)),"")</f>
        <v>0</v>
      </c>
      <c r="I220" s="12" t="str">
        <f>IFERROR((VLOOKUP(A220,'[1]LISTA ETIQUETAS'!O:Y,11,0)),"")</f>
        <v/>
      </c>
      <c r="J220" s="6">
        <v>0</v>
      </c>
      <c r="K220" s="12" t="str">
        <f t="shared" si="9"/>
        <v/>
      </c>
      <c r="L220" s="7" t="str">
        <f>IF(VLOOKUP(A220,'[1]LISTA ETIQUETAS'!O:AB,14,0)="","",(VLOOKUP(A220,'[1]LISTA ETIQUETAS'!O:AB,14,0)))</f>
        <v/>
      </c>
      <c r="M220" s="8"/>
      <c r="N220" s="9">
        <f t="shared" si="10"/>
        <v>331872</v>
      </c>
      <c r="O220" s="2">
        <f>_xlfn.XLOOKUP($A220,'[1]LISTA ETIQUETAS'!$O:$O,'[1]LISTA ETIQUETAS'!C:C,"",0)</f>
        <v>4</v>
      </c>
      <c r="P220" s="2">
        <f>_xlfn.XLOOKUP($A220,'[1]LISTA ETIQUETAS'!$O:$O,'[1]LISTA ETIQUETAS'!D:D,"",0)</f>
        <v>0</v>
      </c>
      <c r="Q220" s="2">
        <f>_xlfn.XLOOKUP($A220,'[1]LISTA ETIQUETAS'!$O:$O,'[1]LISTA ETIQUETAS'!E:E,"",0)</f>
        <v>0</v>
      </c>
      <c r="R220" s="2">
        <f>_xlfn.XLOOKUP($A220,'[1]LISTA ETIQUETAS'!$O:$O,'[1]LISTA ETIQUETAS'!F:F,"",0)</f>
        <v>0</v>
      </c>
      <c r="S220" s="2">
        <f>_xlfn.XLOOKUP($A220,'[1]LISTA ETIQUETAS'!$O:$O,'[1]LISTA ETIQUETAS'!H:H,"",0)</f>
        <v>1</v>
      </c>
      <c r="T220" s="9">
        <f t="shared" si="11"/>
        <v>5</v>
      </c>
    </row>
    <row r="221" spans="1:20" x14ac:dyDescent="0.25">
      <c r="A221" s="5">
        <v>299531</v>
      </c>
      <c r="B221" t="str">
        <f>IFERROR((VLOOKUP(A221,'[1]LISTA ETIQUETAS'!O:X,3,0)),"PRODUTO SEM ESTOQUE")</f>
        <v>EST APARADOR REGIA (LAMINA 3 LOURO PRETO)</v>
      </c>
      <c r="C221" s="10" t="s">
        <v>33</v>
      </c>
      <c r="D221" s="10" t="s">
        <v>148</v>
      </c>
      <c r="E221" s="11">
        <f>IF(VLOOKUP(A221,'[1]LISTA ETIQUETAS'!O:W,4,0)="",(VLOOKUP(A221,'[1]LISTA ETIQUETAS'!O:W,6,0)),(VLOOKUP(A221,'[1]LISTA ETIQUETAS'!O:W,4,0)))</f>
        <v>2.2000000000000002</v>
      </c>
      <c r="F221" s="11">
        <f>IF(VLOOKUP(A221,'[1]LISTA ETIQUETAS'!O:W,5,0)="",(VLOOKUP(A221,'[1]LISTA ETIQUETAS'!O:W,7,0)),(VLOOKUP(A221,'[1]LISTA ETIQUETAS'!O:W,5,0)))</f>
        <v>0.7</v>
      </c>
      <c r="G221" s="11">
        <f>IFERROR((VLOOKUP(A221,'[1]LISTA ETIQUETAS'!O:X,8,0)),"")</f>
        <v>0.82</v>
      </c>
      <c r="H221" s="11">
        <f>IFERROR((VLOOKUP(A221,'[1]LISTA ETIQUETAS'!O:X,9,0)),"")</f>
        <v>0</v>
      </c>
      <c r="I221" s="12">
        <f>IFERROR((VLOOKUP(A221,'[1]LISTA ETIQUETAS'!O:Y,11,0)),"")</f>
        <v>37230.19</v>
      </c>
      <c r="J221" s="6">
        <v>0</v>
      </c>
      <c r="K221" s="12">
        <f t="shared" si="9"/>
        <v>37230.19</v>
      </c>
      <c r="L221" s="7" t="str">
        <f>IF(VLOOKUP(A221,'[1]LISTA ETIQUETAS'!O:AB,14,0)="","",(VLOOKUP(A221,'[1]LISTA ETIQUETAS'!O:AB,14,0)))</f>
        <v/>
      </c>
      <c r="M221" s="8"/>
      <c r="N221" s="9">
        <f t="shared" si="10"/>
        <v>299531</v>
      </c>
      <c r="O221" s="2">
        <f>_xlfn.XLOOKUP($A221,'[1]LISTA ETIQUETAS'!$O:$O,'[1]LISTA ETIQUETAS'!C:C,"",0)</f>
        <v>0</v>
      </c>
      <c r="P221" s="2">
        <f>_xlfn.XLOOKUP($A221,'[1]LISTA ETIQUETAS'!$O:$O,'[1]LISTA ETIQUETAS'!D:D,"",0)</f>
        <v>0</v>
      </c>
      <c r="Q221" s="2">
        <f>_xlfn.XLOOKUP($A221,'[1]LISTA ETIQUETAS'!$O:$O,'[1]LISTA ETIQUETAS'!E:E,"",0)</f>
        <v>0</v>
      </c>
      <c r="R221" s="2">
        <f>_xlfn.XLOOKUP($A221,'[1]LISTA ETIQUETAS'!$O:$O,'[1]LISTA ETIQUETAS'!F:F,"",0)</f>
        <v>0</v>
      </c>
      <c r="S221" s="2">
        <f>_xlfn.XLOOKUP($A221,'[1]LISTA ETIQUETAS'!$O:$O,'[1]LISTA ETIQUETAS'!H:H,"",0)</f>
        <v>1</v>
      </c>
      <c r="T221" s="9">
        <f t="shared" si="11"/>
        <v>1</v>
      </c>
    </row>
    <row r="222" spans="1:20" x14ac:dyDescent="0.25">
      <c r="A222" s="5">
        <v>253860</v>
      </c>
      <c r="B222" t="str">
        <f>IFERROR((VLOOKUP(A222,'[1]LISTA ETIQUETAS'!O:X,3,0)),"PRODUTO SEM ESTOQUE")</f>
        <v>EST APARADOR UNI (LAMINA 1 SUCUPIRA PAG) BASE PRETA FOSCA</v>
      </c>
      <c r="C222" s="10" t="s">
        <v>33</v>
      </c>
      <c r="D222" s="10" t="s">
        <v>149</v>
      </c>
      <c r="E222" s="11">
        <f>IF(VLOOKUP(A222,'[1]LISTA ETIQUETAS'!O:W,4,0)="",(VLOOKUP(A222,'[1]LISTA ETIQUETAS'!O:W,6,0)),(VLOOKUP(A222,'[1]LISTA ETIQUETAS'!O:W,4,0)))</f>
        <v>1.83</v>
      </c>
      <c r="F222" s="11">
        <f>IF(VLOOKUP(A222,'[1]LISTA ETIQUETAS'!O:W,5,0)="",(VLOOKUP(A222,'[1]LISTA ETIQUETAS'!O:W,7,0)),(VLOOKUP(A222,'[1]LISTA ETIQUETAS'!O:W,5,0)))</f>
        <v>0.5</v>
      </c>
      <c r="G222" s="11">
        <f>IFERROR((VLOOKUP(A222,'[1]LISTA ETIQUETAS'!O:X,8,0)),"")</f>
        <v>0.82</v>
      </c>
      <c r="H222" s="11">
        <f>IFERROR((VLOOKUP(A222,'[1]LISTA ETIQUETAS'!O:X,9,0)),"")</f>
        <v>0</v>
      </c>
      <c r="I222" s="12">
        <f>IFERROR((VLOOKUP(A222,'[1]LISTA ETIQUETAS'!O:Y,11,0)),"")</f>
        <v>54996.57</v>
      </c>
      <c r="J222" s="6">
        <v>0</v>
      </c>
      <c r="K222" s="12">
        <f t="shared" si="9"/>
        <v>54996.57</v>
      </c>
      <c r="L222" s="7" t="str">
        <f>IF(VLOOKUP(A222,'[1]LISTA ETIQUETAS'!O:AB,14,0)="","",(VLOOKUP(A222,'[1]LISTA ETIQUETAS'!O:AB,14,0)))</f>
        <v/>
      </c>
      <c r="M222" s="8"/>
      <c r="N222" s="9">
        <f t="shared" si="10"/>
        <v>253860</v>
      </c>
      <c r="O222" s="2">
        <f>_xlfn.XLOOKUP($A222,'[1]LISTA ETIQUETAS'!$O:$O,'[1]LISTA ETIQUETAS'!C:C,"",0)</f>
        <v>0</v>
      </c>
      <c r="P222" s="2">
        <f>_xlfn.XLOOKUP($A222,'[1]LISTA ETIQUETAS'!$O:$O,'[1]LISTA ETIQUETAS'!D:D,"",0)</f>
        <v>0</v>
      </c>
      <c r="Q222" s="2">
        <f>_xlfn.XLOOKUP($A222,'[1]LISTA ETIQUETAS'!$O:$O,'[1]LISTA ETIQUETAS'!E:E,"",0)</f>
        <v>0</v>
      </c>
      <c r="R222" s="2">
        <f>_xlfn.XLOOKUP($A222,'[1]LISTA ETIQUETAS'!$O:$O,'[1]LISTA ETIQUETAS'!F:F,"",0)</f>
        <v>0</v>
      </c>
      <c r="S222" s="2">
        <f>_xlfn.XLOOKUP($A222,'[1]LISTA ETIQUETAS'!$O:$O,'[1]LISTA ETIQUETAS'!H:H,"",0)</f>
        <v>1</v>
      </c>
      <c r="T222" s="9">
        <f t="shared" si="11"/>
        <v>1</v>
      </c>
    </row>
    <row r="223" spans="1:20" x14ac:dyDescent="0.25">
      <c r="A223" s="5">
        <v>329025</v>
      </c>
      <c r="B223" t="str">
        <f>IFERROR((VLOOKUP(A223,'[1]LISTA ETIQUETAS'!O:X,3,0)),"PRODUTO SEM ESTOQUE")</f>
        <v>EST APARADOR ZINA (LAMINA 3 LOURO PARDO) (LACA FOSCA PRETA)</v>
      </c>
      <c r="C223" s="10" t="s">
        <v>33</v>
      </c>
      <c r="D223" s="10" t="s">
        <v>150</v>
      </c>
      <c r="E223" s="11">
        <f>IF(VLOOKUP(A223,'[1]LISTA ETIQUETAS'!O:W,4,0)="",(VLOOKUP(A223,'[1]LISTA ETIQUETAS'!O:W,6,0)),(VLOOKUP(A223,'[1]LISTA ETIQUETAS'!O:W,4,0)))</f>
        <v>1.9</v>
      </c>
      <c r="F223" s="11">
        <f>IF(VLOOKUP(A223,'[1]LISTA ETIQUETAS'!O:W,5,0)="",(VLOOKUP(A223,'[1]LISTA ETIQUETAS'!O:W,7,0)),(VLOOKUP(A223,'[1]LISTA ETIQUETAS'!O:W,5,0)))</f>
        <v>0.5</v>
      </c>
      <c r="G223" s="11">
        <f>IFERROR((VLOOKUP(A223,'[1]LISTA ETIQUETAS'!O:X,8,0)),"")</f>
        <v>0.8</v>
      </c>
      <c r="H223" s="11">
        <f>IFERROR((VLOOKUP(A223,'[1]LISTA ETIQUETAS'!O:X,9,0)),"")</f>
        <v>0</v>
      </c>
      <c r="I223" s="12">
        <f>IFERROR((VLOOKUP(A223,'[1]LISTA ETIQUETAS'!O:Y,11,0)),"")</f>
        <v>26879.42</v>
      </c>
      <c r="J223" s="6">
        <v>0</v>
      </c>
      <c r="K223" s="12">
        <f t="shared" si="9"/>
        <v>26879.42</v>
      </c>
      <c r="L223" s="7" t="str">
        <f>IF(VLOOKUP(A223,'[1]LISTA ETIQUETAS'!O:AB,14,0)="","",(VLOOKUP(A223,'[1]LISTA ETIQUETAS'!O:AB,14,0)))</f>
        <v/>
      </c>
      <c r="M223" s="8"/>
      <c r="N223" s="9">
        <f t="shared" si="10"/>
        <v>329025</v>
      </c>
      <c r="O223" s="2">
        <f>_xlfn.XLOOKUP($A223,'[1]LISTA ETIQUETAS'!$O:$O,'[1]LISTA ETIQUETAS'!C:C,"",0)</f>
        <v>0</v>
      </c>
      <c r="P223" s="2">
        <f>_xlfn.XLOOKUP($A223,'[1]LISTA ETIQUETAS'!$O:$O,'[1]LISTA ETIQUETAS'!D:D,"",0)</f>
        <v>0</v>
      </c>
      <c r="Q223" s="2">
        <f>_xlfn.XLOOKUP($A223,'[1]LISTA ETIQUETAS'!$O:$O,'[1]LISTA ETIQUETAS'!E:E,"",0)</f>
        <v>0</v>
      </c>
      <c r="R223" s="2">
        <f>_xlfn.XLOOKUP($A223,'[1]LISTA ETIQUETAS'!$O:$O,'[1]LISTA ETIQUETAS'!F:F,"",0)</f>
        <v>0</v>
      </c>
      <c r="S223" s="2">
        <f>_xlfn.XLOOKUP($A223,'[1]LISTA ETIQUETAS'!$O:$O,'[1]LISTA ETIQUETAS'!H:H,"",0)</f>
        <v>1</v>
      </c>
      <c r="T223" s="9">
        <f t="shared" si="11"/>
        <v>1</v>
      </c>
    </row>
    <row r="224" spans="1:20" x14ac:dyDescent="0.25">
      <c r="A224" s="5">
        <v>336616</v>
      </c>
      <c r="B224" t="str">
        <f>IFERROR((VLOOKUP(A224,'[1]LISTA ETIQUETAS'!O:X,3,0)),"PRODUTO SEM ESTOQUE")</f>
        <v>EST APARADOR MAR ADENTRO (PINTURA CS125)</v>
      </c>
      <c r="C224" s="10" t="s">
        <v>33</v>
      </c>
      <c r="D224" s="10" t="s">
        <v>151</v>
      </c>
      <c r="E224" s="11">
        <f>IF(VLOOKUP(A224,'[1]LISTA ETIQUETAS'!O:W,4,0)="",(VLOOKUP(A224,'[1]LISTA ETIQUETAS'!O:W,6,0)),(VLOOKUP(A224,'[1]LISTA ETIQUETAS'!O:W,4,0)))</f>
        <v>2.0699999999999998</v>
      </c>
      <c r="F224" s="11">
        <f>IF(VLOOKUP(A224,'[1]LISTA ETIQUETAS'!O:W,5,0)="",(VLOOKUP(A224,'[1]LISTA ETIQUETAS'!O:W,7,0)),(VLOOKUP(A224,'[1]LISTA ETIQUETAS'!O:W,5,0)))</f>
        <v>0.47</v>
      </c>
      <c r="G224" s="11">
        <f>IFERROR((VLOOKUP(A224,'[1]LISTA ETIQUETAS'!O:X,8,0)),"")</f>
        <v>0.84</v>
      </c>
      <c r="H224" s="11">
        <f>IFERROR((VLOOKUP(A224,'[1]LISTA ETIQUETAS'!O:X,9,0)),"")</f>
        <v>0</v>
      </c>
      <c r="I224" s="12">
        <f>IFERROR((VLOOKUP(A224,'[1]LISTA ETIQUETAS'!O:Y,11,0)),"")</f>
        <v>29795.05</v>
      </c>
      <c r="J224" s="6">
        <v>0</v>
      </c>
      <c r="K224" s="12">
        <f t="shared" si="9"/>
        <v>29795.05</v>
      </c>
      <c r="L224" s="7" t="str">
        <f>IF(VLOOKUP(A224,'[1]LISTA ETIQUETAS'!O:AB,14,0)="","",(VLOOKUP(A224,'[1]LISTA ETIQUETAS'!O:AB,14,0)))</f>
        <v/>
      </c>
      <c r="M224" s="8"/>
      <c r="N224" s="9">
        <f t="shared" si="10"/>
        <v>336616</v>
      </c>
      <c r="O224" s="2">
        <f>_xlfn.XLOOKUP($A224,'[1]LISTA ETIQUETAS'!$O:$O,'[1]LISTA ETIQUETAS'!C:C,"",0)</f>
        <v>0</v>
      </c>
      <c r="P224" s="2">
        <f>_xlfn.XLOOKUP($A224,'[1]LISTA ETIQUETAS'!$O:$O,'[1]LISTA ETIQUETAS'!D:D,"",0)</f>
        <v>0</v>
      </c>
      <c r="Q224" s="2">
        <f>_xlfn.XLOOKUP($A224,'[1]LISTA ETIQUETAS'!$O:$O,'[1]LISTA ETIQUETAS'!E:E,"",0)</f>
        <v>0</v>
      </c>
      <c r="R224" s="2">
        <f>_xlfn.XLOOKUP($A224,'[1]LISTA ETIQUETAS'!$O:$O,'[1]LISTA ETIQUETAS'!F:F,"",0)</f>
        <v>0</v>
      </c>
      <c r="S224" s="2">
        <f>_xlfn.XLOOKUP($A224,'[1]LISTA ETIQUETAS'!$O:$O,'[1]LISTA ETIQUETAS'!H:H,"",0)</f>
        <v>1</v>
      </c>
      <c r="T224" s="9">
        <f t="shared" si="11"/>
        <v>1</v>
      </c>
    </row>
    <row r="225" spans="1:20" x14ac:dyDescent="0.25">
      <c r="A225" s="5">
        <v>210507</v>
      </c>
      <c r="B225" t="str">
        <f>IFERROR((VLOOKUP(A225,'[1]LISTA ETIQUETAS'!O:X,3,0)),"PRODUTO SEM ESTOQUE")</f>
        <v>EST APARADOR PHOENIX (LACA POLIESTER BRILHO F100)</v>
      </c>
      <c r="C225" s="10" t="s">
        <v>33</v>
      </c>
      <c r="D225" s="10" t="s">
        <v>152</v>
      </c>
      <c r="E225" s="11">
        <f>IF(VLOOKUP(A225,'[1]LISTA ETIQUETAS'!O:W,4,0)="",(VLOOKUP(A225,'[1]LISTA ETIQUETAS'!O:W,6,0)),(VLOOKUP(A225,'[1]LISTA ETIQUETAS'!O:W,4,0)))</f>
        <v>2</v>
      </c>
      <c r="F225" s="11">
        <f>IF(VLOOKUP(A225,'[1]LISTA ETIQUETAS'!O:W,5,0)="",(VLOOKUP(A225,'[1]LISTA ETIQUETAS'!O:W,7,0)),(VLOOKUP(A225,'[1]LISTA ETIQUETAS'!O:W,5,0)))</f>
        <v>0.4</v>
      </c>
      <c r="G225" s="11">
        <f>IFERROR((VLOOKUP(A225,'[1]LISTA ETIQUETAS'!O:X,8,0)),"")</f>
        <v>0.77</v>
      </c>
      <c r="H225" s="11">
        <f>IFERROR((VLOOKUP(A225,'[1]LISTA ETIQUETAS'!O:X,9,0)),"")</f>
        <v>0</v>
      </c>
      <c r="I225" s="12">
        <f>IFERROR((VLOOKUP(A225,'[1]LISTA ETIQUETAS'!O:Y,11,0)),"")</f>
        <v>15997.5</v>
      </c>
      <c r="J225" s="6">
        <v>0</v>
      </c>
      <c r="K225" s="12">
        <f t="shared" si="9"/>
        <v>15997.5</v>
      </c>
      <c r="L225" s="7" t="str">
        <f>IF(VLOOKUP(A225,'[1]LISTA ETIQUETAS'!O:AB,14,0)="","",(VLOOKUP(A225,'[1]LISTA ETIQUETAS'!O:AB,14,0)))</f>
        <v/>
      </c>
      <c r="M225" s="8"/>
      <c r="N225" s="9">
        <f t="shared" si="10"/>
        <v>210507</v>
      </c>
      <c r="O225" s="2">
        <f>_xlfn.XLOOKUP($A225,'[1]LISTA ETIQUETAS'!$O:$O,'[1]LISTA ETIQUETAS'!C:C,"",0)</f>
        <v>0</v>
      </c>
      <c r="P225" s="2">
        <f>_xlfn.XLOOKUP($A225,'[1]LISTA ETIQUETAS'!$O:$O,'[1]LISTA ETIQUETAS'!D:D,"",0)</f>
        <v>0</v>
      </c>
      <c r="Q225" s="2">
        <f>_xlfn.XLOOKUP($A225,'[1]LISTA ETIQUETAS'!$O:$O,'[1]LISTA ETIQUETAS'!E:E,"",0)</f>
        <v>0</v>
      </c>
      <c r="R225" s="2">
        <f>_xlfn.XLOOKUP($A225,'[1]LISTA ETIQUETAS'!$O:$O,'[1]LISTA ETIQUETAS'!F:F,"",0)</f>
        <v>0</v>
      </c>
      <c r="S225" s="2">
        <f>_xlfn.XLOOKUP($A225,'[1]LISTA ETIQUETAS'!$O:$O,'[1]LISTA ETIQUETAS'!H:H,"",0)</f>
        <v>1</v>
      </c>
      <c r="T225" s="9">
        <f t="shared" si="11"/>
        <v>1</v>
      </c>
    </row>
    <row r="226" spans="1:20" x14ac:dyDescent="0.25">
      <c r="A226" s="5">
        <v>152614</v>
      </c>
      <c r="B226" t="str">
        <f>IFERROR((VLOOKUP(A226,'[1]LISTA ETIQUETAS'!O:X,3,0)),"PRODUTO SEM ESTOQUE")</f>
        <v>EST APARADOR PHOENIX (LACA POLIESTER BRILHO BRANCA)</v>
      </c>
      <c r="C226" s="10" t="s">
        <v>33</v>
      </c>
      <c r="D226" s="10" t="s">
        <v>152</v>
      </c>
      <c r="E226" s="11">
        <f>IF(VLOOKUP(A226,'[1]LISTA ETIQUETAS'!O:W,4,0)="",(VLOOKUP(A226,'[1]LISTA ETIQUETAS'!O:W,6,0)),(VLOOKUP(A226,'[1]LISTA ETIQUETAS'!O:W,4,0)))</f>
        <v>1.8</v>
      </c>
      <c r="F226" s="11">
        <f>IF(VLOOKUP(A226,'[1]LISTA ETIQUETAS'!O:W,5,0)="",(VLOOKUP(A226,'[1]LISTA ETIQUETAS'!O:W,7,0)),(VLOOKUP(A226,'[1]LISTA ETIQUETAS'!O:W,5,0)))</f>
        <v>0.55000000000000004</v>
      </c>
      <c r="G226" s="11">
        <f>IFERROR((VLOOKUP(A226,'[1]LISTA ETIQUETAS'!O:X,8,0)),"")</f>
        <v>0.6</v>
      </c>
      <c r="H226" s="11">
        <f>IFERROR((VLOOKUP(A226,'[1]LISTA ETIQUETAS'!O:X,9,0)),"")</f>
        <v>0</v>
      </c>
      <c r="I226" s="12">
        <f>IFERROR((VLOOKUP(A226,'[1]LISTA ETIQUETAS'!O:Y,11,0)),"")</f>
        <v>15023.81</v>
      </c>
      <c r="J226" s="6">
        <v>0</v>
      </c>
      <c r="K226" s="12">
        <f t="shared" si="9"/>
        <v>15023.81</v>
      </c>
      <c r="L226" s="7" t="str">
        <f>IF(VLOOKUP(A226,'[1]LISTA ETIQUETAS'!O:AB,14,0)="","",(VLOOKUP(A226,'[1]LISTA ETIQUETAS'!O:AB,14,0)))</f>
        <v/>
      </c>
      <c r="M226" s="8"/>
      <c r="N226" s="9">
        <f t="shared" si="10"/>
        <v>152614</v>
      </c>
      <c r="O226" s="2">
        <f>_xlfn.XLOOKUP($A226,'[1]LISTA ETIQUETAS'!$O:$O,'[1]LISTA ETIQUETAS'!C:C,"",0)</f>
        <v>0</v>
      </c>
      <c r="P226" s="2">
        <f>_xlfn.XLOOKUP($A226,'[1]LISTA ETIQUETAS'!$O:$O,'[1]LISTA ETIQUETAS'!D:D,"",0)</f>
        <v>0</v>
      </c>
      <c r="Q226" s="2">
        <f>_xlfn.XLOOKUP($A226,'[1]LISTA ETIQUETAS'!$O:$O,'[1]LISTA ETIQUETAS'!E:E,"",0)</f>
        <v>0</v>
      </c>
      <c r="R226" s="2">
        <f>_xlfn.XLOOKUP($A226,'[1]LISTA ETIQUETAS'!$O:$O,'[1]LISTA ETIQUETAS'!F:F,"",0)</f>
        <v>0</v>
      </c>
      <c r="S226" s="2">
        <f>_xlfn.XLOOKUP($A226,'[1]LISTA ETIQUETAS'!$O:$O,'[1]LISTA ETIQUETAS'!H:H,"",0)</f>
        <v>1</v>
      </c>
      <c r="T226" s="9">
        <f t="shared" si="11"/>
        <v>1</v>
      </c>
    </row>
    <row r="227" spans="1:20" x14ac:dyDescent="0.25">
      <c r="A227" s="5">
        <v>336641</v>
      </c>
      <c r="B227" t="str">
        <f>IFERROR((VLOOKUP(A227,'[1]LISTA ETIQUETAS'!O:X,3,0)),"PRODUTO SEM ESTOQUE")</f>
        <v>EST APARADOR VELL 01 (FREIJO NT) (TP FREIJO NT) (CHAMPAGNE)</v>
      </c>
      <c r="C227" s="10" t="s">
        <v>33</v>
      </c>
      <c r="D227" s="10" t="s">
        <v>153</v>
      </c>
      <c r="E227" s="11">
        <f>IF(VLOOKUP(A227,'[1]LISTA ETIQUETAS'!O:W,4,0)="",(VLOOKUP(A227,'[1]LISTA ETIQUETAS'!O:W,6,0)),(VLOOKUP(A227,'[1]LISTA ETIQUETAS'!O:W,4,0)))</f>
        <v>2.2000000000000002</v>
      </c>
      <c r="F227" s="11">
        <f>IF(VLOOKUP(A227,'[1]LISTA ETIQUETAS'!O:W,5,0)="",(VLOOKUP(A227,'[1]LISTA ETIQUETAS'!O:W,7,0)),(VLOOKUP(A227,'[1]LISTA ETIQUETAS'!O:W,5,0)))</f>
        <v>0.5</v>
      </c>
      <c r="G227" s="11">
        <f>IFERROR((VLOOKUP(A227,'[1]LISTA ETIQUETAS'!O:X,8,0)),"")</f>
        <v>0.75</v>
      </c>
      <c r="H227" s="11">
        <f>IFERROR((VLOOKUP(A227,'[1]LISTA ETIQUETAS'!O:X,9,0)),"")</f>
        <v>0</v>
      </c>
      <c r="I227" s="12">
        <f>IFERROR((VLOOKUP(A227,'[1]LISTA ETIQUETAS'!O:Y,11,0)),"")</f>
        <v>34630.71</v>
      </c>
      <c r="J227" s="6">
        <v>0</v>
      </c>
      <c r="K227" s="12">
        <f t="shared" si="9"/>
        <v>34630.71</v>
      </c>
      <c r="L227" s="7" t="str">
        <f>IF(VLOOKUP(A227,'[1]LISTA ETIQUETAS'!O:AB,14,0)="","",(VLOOKUP(A227,'[1]LISTA ETIQUETAS'!O:AB,14,0)))</f>
        <v/>
      </c>
      <c r="M227" s="8"/>
      <c r="N227" s="9">
        <f t="shared" si="10"/>
        <v>336641</v>
      </c>
      <c r="O227" s="2">
        <f>_xlfn.XLOOKUP($A227,'[1]LISTA ETIQUETAS'!$O:$O,'[1]LISTA ETIQUETAS'!C:C,"",0)</f>
        <v>0</v>
      </c>
      <c r="P227" s="2">
        <f>_xlfn.XLOOKUP($A227,'[1]LISTA ETIQUETAS'!$O:$O,'[1]LISTA ETIQUETAS'!D:D,"",0)</f>
        <v>0</v>
      </c>
      <c r="Q227" s="2">
        <f>_xlfn.XLOOKUP($A227,'[1]LISTA ETIQUETAS'!$O:$O,'[1]LISTA ETIQUETAS'!E:E,"",0)</f>
        <v>0</v>
      </c>
      <c r="R227" s="2">
        <f>_xlfn.XLOOKUP($A227,'[1]LISTA ETIQUETAS'!$O:$O,'[1]LISTA ETIQUETAS'!F:F,"",0)</f>
        <v>0</v>
      </c>
      <c r="S227" s="2">
        <f>_xlfn.XLOOKUP($A227,'[1]LISTA ETIQUETAS'!$O:$O,'[1]LISTA ETIQUETAS'!H:H,"",0)</f>
        <v>1</v>
      </c>
      <c r="T227" s="9">
        <f t="shared" si="11"/>
        <v>1</v>
      </c>
    </row>
    <row r="228" spans="1:20" x14ac:dyDescent="0.25">
      <c r="A228" s="5">
        <v>336715</v>
      </c>
      <c r="B228" t="str">
        <f>IFERROR((VLOOKUP(A228,'[1]LISTA ETIQUETAS'!O:X,3,0)),"PRODUTO SEM ESTOQUE")</f>
        <v>EST APARADOR VELL 02 (JEQ FENDI) (TP JEQ FENDI) (PRETO TXT)</v>
      </c>
      <c r="C228" s="10" t="s">
        <v>33</v>
      </c>
      <c r="D228" s="10" t="s">
        <v>153</v>
      </c>
      <c r="E228" s="11">
        <f>IF(VLOOKUP(A228,'[1]LISTA ETIQUETAS'!O:W,4,0)="",(VLOOKUP(A228,'[1]LISTA ETIQUETAS'!O:W,6,0)),(VLOOKUP(A228,'[1]LISTA ETIQUETAS'!O:W,4,0)))</f>
        <v>2.2000000000000002</v>
      </c>
      <c r="F228" s="11">
        <f>IF(VLOOKUP(A228,'[1]LISTA ETIQUETAS'!O:W,5,0)="",(VLOOKUP(A228,'[1]LISTA ETIQUETAS'!O:W,7,0)),(VLOOKUP(A228,'[1]LISTA ETIQUETAS'!O:W,5,0)))</f>
        <v>0.5</v>
      </c>
      <c r="G228" s="11">
        <f>IFERROR((VLOOKUP(A228,'[1]LISTA ETIQUETAS'!O:X,8,0)),"")</f>
        <v>0.75</v>
      </c>
      <c r="H228" s="11">
        <f>IFERROR((VLOOKUP(A228,'[1]LISTA ETIQUETAS'!O:X,9,0)),"")</f>
        <v>0</v>
      </c>
      <c r="I228" s="12">
        <f>IFERROR((VLOOKUP(A228,'[1]LISTA ETIQUETAS'!O:Y,11,0)),"")</f>
        <v>29653.97</v>
      </c>
      <c r="J228" s="6">
        <v>0</v>
      </c>
      <c r="K228" s="12">
        <f t="shared" si="9"/>
        <v>29653.97</v>
      </c>
      <c r="L228" s="7" t="str">
        <f>IF(VLOOKUP(A228,'[1]LISTA ETIQUETAS'!O:AB,14,0)="","",(VLOOKUP(A228,'[1]LISTA ETIQUETAS'!O:AB,14,0)))</f>
        <v/>
      </c>
      <c r="M228" s="8"/>
      <c r="N228" s="9">
        <f t="shared" si="10"/>
        <v>336715</v>
      </c>
      <c r="O228" s="2">
        <f>_xlfn.XLOOKUP($A228,'[1]LISTA ETIQUETAS'!$O:$O,'[1]LISTA ETIQUETAS'!C:C,"",0)</f>
        <v>0</v>
      </c>
      <c r="P228" s="2">
        <f>_xlfn.XLOOKUP($A228,'[1]LISTA ETIQUETAS'!$O:$O,'[1]LISTA ETIQUETAS'!D:D,"",0)</f>
        <v>0</v>
      </c>
      <c r="Q228" s="2">
        <f>_xlfn.XLOOKUP($A228,'[1]LISTA ETIQUETAS'!$O:$O,'[1]LISTA ETIQUETAS'!E:E,"",0)</f>
        <v>0</v>
      </c>
      <c r="R228" s="2">
        <f>_xlfn.XLOOKUP($A228,'[1]LISTA ETIQUETAS'!$O:$O,'[1]LISTA ETIQUETAS'!F:F,"",0)</f>
        <v>0</v>
      </c>
      <c r="S228" s="2">
        <f>_xlfn.XLOOKUP($A228,'[1]LISTA ETIQUETAS'!$O:$O,'[1]LISTA ETIQUETAS'!H:H,"",0)</f>
        <v>1</v>
      </c>
      <c r="T228" s="9">
        <f t="shared" si="11"/>
        <v>1</v>
      </c>
    </row>
    <row r="229" spans="1:20" x14ac:dyDescent="0.25">
      <c r="A229" s="5">
        <v>127041</v>
      </c>
      <c r="B229" t="str">
        <f>IFERROR((VLOOKUP(A229,'[1]LISTA ETIQUETAS'!O:X,3,0)),"PRODUTO SEM ESTOQUE")</f>
        <v>EST APARADOR ELLE MOD 04 (4 GAV) LC BRILHO Y-145 VERDE</v>
      </c>
      <c r="C229" s="10" t="s">
        <v>33</v>
      </c>
      <c r="D229" s="10" t="s">
        <v>154</v>
      </c>
      <c r="E229" s="11">
        <f>IF(VLOOKUP(A229,'[1]LISTA ETIQUETAS'!O:W,4,0)="",(VLOOKUP(A229,'[1]LISTA ETIQUETAS'!O:W,6,0)),(VLOOKUP(A229,'[1]LISTA ETIQUETAS'!O:W,4,0)))</f>
        <v>3</v>
      </c>
      <c r="F229" s="11">
        <f>IF(VLOOKUP(A229,'[1]LISTA ETIQUETAS'!O:W,5,0)="",(VLOOKUP(A229,'[1]LISTA ETIQUETAS'!O:W,7,0)),(VLOOKUP(A229,'[1]LISTA ETIQUETAS'!O:W,5,0)))</f>
        <v>0.35</v>
      </c>
      <c r="G229" s="11">
        <f>IFERROR((VLOOKUP(A229,'[1]LISTA ETIQUETAS'!O:X,8,0)),"")</f>
        <v>0.32</v>
      </c>
      <c r="H229" s="11">
        <f>IFERROR((VLOOKUP(A229,'[1]LISTA ETIQUETAS'!O:X,9,0)),"")</f>
        <v>0</v>
      </c>
      <c r="I229" s="12" t="str">
        <f>IFERROR((VLOOKUP(A229,'[1]LISTA ETIQUETAS'!O:Y,11,0)),"")</f>
        <v/>
      </c>
      <c r="J229" s="6">
        <v>0</v>
      </c>
      <c r="K229" s="12" t="str">
        <f t="shared" si="9"/>
        <v/>
      </c>
      <c r="L229" s="7" t="str">
        <f>IF(VLOOKUP(A229,'[1]LISTA ETIQUETAS'!O:AB,14,0)="","",(VLOOKUP(A229,'[1]LISTA ETIQUETAS'!O:AB,14,0)))</f>
        <v/>
      </c>
      <c r="M229" s="8"/>
      <c r="N229" s="9">
        <f t="shared" si="10"/>
        <v>127041</v>
      </c>
      <c r="O229" s="2">
        <f>_xlfn.XLOOKUP($A229,'[1]LISTA ETIQUETAS'!$O:$O,'[1]LISTA ETIQUETAS'!C:C,"",0)</f>
        <v>0</v>
      </c>
      <c r="P229" s="2">
        <f>_xlfn.XLOOKUP($A229,'[1]LISTA ETIQUETAS'!$O:$O,'[1]LISTA ETIQUETAS'!D:D,"",0)</f>
        <v>0</v>
      </c>
      <c r="Q229" s="2">
        <f>_xlfn.XLOOKUP($A229,'[1]LISTA ETIQUETAS'!$O:$O,'[1]LISTA ETIQUETAS'!E:E,"",0)</f>
        <v>0</v>
      </c>
      <c r="R229" s="2">
        <f>_xlfn.XLOOKUP($A229,'[1]LISTA ETIQUETAS'!$O:$O,'[1]LISTA ETIQUETAS'!F:F,"",0)</f>
        <v>0</v>
      </c>
      <c r="S229" s="2">
        <f>_xlfn.XLOOKUP($A229,'[1]LISTA ETIQUETAS'!$O:$O,'[1]LISTA ETIQUETAS'!H:H,"",0)</f>
        <v>1</v>
      </c>
      <c r="T229" s="9">
        <f t="shared" si="11"/>
        <v>1</v>
      </c>
    </row>
    <row r="230" spans="1:20" x14ac:dyDescent="0.25">
      <c r="A230" s="5">
        <v>151386</v>
      </c>
      <c r="B230" t="str">
        <f>IFERROR((VLOOKUP(A230,'[1]LISTA ETIQUETAS'!O:X,3,0)),"PRODUTO SEM ESTOQUE")</f>
        <v>EST APARADOR BRISTOL (FIBRA 10MM ESTONADO TABACO)</v>
      </c>
      <c r="C230" s="10" t="s">
        <v>33</v>
      </c>
      <c r="D230" s="10" t="s">
        <v>155</v>
      </c>
      <c r="E230" s="11">
        <f>IF(VLOOKUP(A230,'[1]LISTA ETIQUETAS'!O:W,4,0)="",(VLOOKUP(A230,'[1]LISTA ETIQUETAS'!O:W,6,0)),(VLOOKUP(A230,'[1]LISTA ETIQUETAS'!O:W,4,0)))</f>
        <v>1.8</v>
      </c>
      <c r="F230" s="11">
        <f>IF(VLOOKUP(A230,'[1]LISTA ETIQUETAS'!O:W,5,0)="",(VLOOKUP(A230,'[1]LISTA ETIQUETAS'!O:W,7,0)),(VLOOKUP(A230,'[1]LISTA ETIQUETAS'!O:W,5,0)))</f>
        <v>0.6</v>
      </c>
      <c r="G230" s="11">
        <f>IFERROR((VLOOKUP(A230,'[1]LISTA ETIQUETAS'!O:X,8,0)),"")</f>
        <v>0.9</v>
      </c>
      <c r="H230" s="11">
        <f>IFERROR((VLOOKUP(A230,'[1]LISTA ETIQUETAS'!O:X,9,0)),"")</f>
        <v>0</v>
      </c>
      <c r="I230" s="12">
        <f>IFERROR((VLOOKUP(A230,'[1]LISTA ETIQUETAS'!O:Y,11,0)),"")</f>
        <v>0</v>
      </c>
      <c r="J230" s="6">
        <v>0</v>
      </c>
      <c r="K230" s="12">
        <f t="shared" si="9"/>
        <v>0</v>
      </c>
      <c r="L230" s="7" t="str">
        <f>IF(VLOOKUP(A230,'[1]LISTA ETIQUETAS'!O:AB,14,0)="","",(VLOOKUP(A230,'[1]LISTA ETIQUETAS'!O:AB,14,0)))</f>
        <v/>
      </c>
      <c r="M230" s="8"/>
      <c r="N230" s="9">
        <f t="shared" si="10"/>
        <v>151386</v>
      </c>
      <c r="O230" s="2">
        <f>_xlfn.XLOOKUP($A230,'[1]LISTA ETIQUETAS'!$O:$O,'[1]LISTA ETIQUETAS'!C:C,"",0)</f>
        <v>0</v>
      </c>
      <c r="P230" s="2">
        <f>_xlfn.XLOOKUP($A230,'[1]LISTA ETIQUETAS'!$O:$O,'[1]LISTA ETIQUETAS'!D:D,"",0)</f>
        <v>0</v>
      </c>
      <c r="Q230" s="2">
        <f>_xlfn.XLOOKUP($A230,'[1]LISTA ETIQUETAS'!$O:$O,'[1]LISTA ETIQUETAS'!E:E,"",0)</f>
        <v>0</v>
      </c>
      <c r="R230" s="2">
        <f>_xlfn.XLOOKUP($A230,'[1]LISTA ETIQUETAS'!$O:$O,'[1]LISTA ETIQUETAS'!F:F,"",0)</f>
        <v>0</v>
      </c>
      <c r="S230" s="2">
        <f>_xlfn.XLOOKUP($A230,'[1]LISTA ETIQUETAS'!$O:$O,'[1]LISTA ETIQUETAS'!H:H,"",0)</f>
        <v>2</v>
      </c>
      <c r="T230" s="9">
        <f t="shared" si="11"/>
        <v>2</v>
      </c>
    </row>
    <row r="231" spans="1:20" x14ac:dyDescent="0.25">
      <c r="A231" s="5">
        <v>151597</v>
      </c>
      <c r="B231" t="str">
        <f>IFERROR((VLOOKUP(A231,'[1]LISTA ETIQUETAS'!O:X,3,0)),"PRODUTO SEM ESTOQUE")</f>
        <v>EST APARADOR BALI (TABOA TRANCADA NATURAL)</v>
      </c>
      <c r="C231" s="10" t="s">
        <v>33</v>
      </c>
      <c r="D231" s="10" t="s">
        <v>156</v>
      </c>
      <c r="E231" s="11">
        <f>IF(VLOOKUP(A231,'[1]LISTA ETIQUETAS'!O:W,4,0)="",(VLOOKUP(A231,'[1]LISTA ETIQUETAS'!O:W,6,0)),(VLOOKUP(A231,'[1]LISTA ETIQUETAS'!O:W,4,0)))</f>
        <v>1.8</v>
      </c>
      <c r="F231" s="11">
        <f>IF(VLOOKUP(A231,'[1]LISTA ETIQUETAS'!O:W,5,0)="",(VLOOKUP(A231,'[1]LISTA ETIQUETAS'!O:W,7,0)),(VLOOKUP(A231,'[1]LISTA ETIQUETAS'!O:W,5,0)))</f>
        <v>0.45</v>
      </c>
      <c r="G231" s="11">
        <f>IFERROR((VLOOKUP(A231,'[1]LISTA ETIQUETAS'!O:X,8,0)),"")</f>
        <v>0.8</v>
      </c>
      <c r="H231" s="11">
        <f>IFERROR((VLOOKUP(A231,'[1]LISTA ETIQUETAS'!O:X,9,0)),"")</f>
        <v>0</v>
      </c>
      <c r="I231" s="12">
        <f>IFERROR((VLOOKUP(A231,'[1]LISTA ETIQUETAS'!O:Y,11,0)),"")</f>
        <v>0</v>
      </c>
      <c r="J231" s="6">
        <v>0</v>
      </c>
      <c r="K231" s="12">
        <f t="shared" si="9"/>
        <v>0</v>
      </c>
      <c r="L231" s="7" t="str">
        <f>IF(VLOOKUP(A231,'[1]LISTA ETIQUETAS'!O:AB,14,0)="","",(VLOOKUP(A231,'[1]LISTA ETIQUETAS'!O:AB,14,0)))</f>
        <v/>
      </c>
      <c r="M231" s="8"/>
      <c r="N231" s="9">
        <f t="shared" si="10"/>
        <v>151597</v>
      </c>
      <c r="O231" s="2">
        <f>_xlfn.XLOOKUP($A231,'[1]LISTA ETIQUETAS'!$O:$O,'[1]LISTA ETIQUETAS'!C:C,"",0)</f>
        <v>0</v>
      </c>
      <c r="P231" s="2">
        <f>_xlfn.XLOOKUP($A231,'[1]LISTA ETIQUETAS'!$O:$O,'[1]LISTA ETIQUETAS'!D:D,"",0)</f>
        <v>0</v>
      </c>
      <c r="Q231" s="2">
        <f>_xlfn.XLOOKUP($A231,'[1]LISTA ETIQUETAS'!$O:$O,'[1]LISTA ETIQUETAS'!E:E,"",0)</f>
        <v>0</v>
      </c>
      <c r="R231" s="2">
        <f>_xlfn.XLOOKUP($A231,'[1]LISTA ETIQUETAS'!$O:$O,'[1]LISTA ETIQUETAS'!F:F,"",0)</f>
        <v>0</v>
      </c>
      <c r="S231" s="2">
        <f>_xlfn.XLOOKUP($A231,'[1]LISTA ETIQUETAS'!$O:$O,'[1]LISTA ETIQUETAS'!H:H,"",0)</f>
        <v>1</v>
      </c>
      <c r="T231" s="9">
        <f t="shared" si="11"/>
        <v>1</v>
      </c>
    </row>
    <row r="232" spans="1:20" x14ac:dyDescent="0.25">
      <c r="A232" s="5">
        <v>151719</v>
      </c>
      <c r="B232" t="str">
        <f>IFERROR((VLOOKUP(A232,'[1]LISTA ETIQUETAS'!O:X,3,0)),"PRODUTO SEM ESTOQUE")</f>
        <v>EST APARADOR VILALBA (LACA BRILHO GRAFITE METALIZADA)</v>
      </c>
      <c r="C232" s="10" t="s">
        <v>33</v>
      </c>
      <c r="D232" s="10" t="s">
        <v>157</v>
      </c>
      <c r="E232" s="11">
        <f>IF(VLOOKUP(A232,'[1]LISTA ETIQUETAS'!O:W,4,0)="",(VLOOKUP(A232,'[1]LISTA ETIQUETAS'!O:W,6,0)),(VLOOKUP(A232,'[1]LISTA ETIQUETAS'!O:W,4,0)))</f>
        <v>2</v>
      </c>
      <c r="F232" s="11">
        <f>IF(VLOOKUP(A232,'[1]LISTA ETIQUETAS'!O:W,5,0)="",(VLOOKUP(A232,'[1]LISTA ETIQUETAS'!O:W,7,0)),(VLOOKUP(A232,'[1]LISTA ETIQUETAS'!O:W,5,0)))</f>
        <v>0.55000000000000004</v>
      </c>
      <c r="G232" s="11">
        <f>IFERROR((VLOOKUP(A232,'[1]LISTA ETIQUETAS'!O:X,8,0)),"")</f>
        <v>0.76</v>
      </c>
      <c r="H232" s="11">
        <f>IFERROR((VLOOKUP(A232,'[1]LISTA ETIQUETAS'!O:X,9,0)),"")</f>
        <v>0</v>
      </c>
      <c r="I232" s="12">
        <f>IFERROR((VLOOKUP(A232,'[1]LISTA ETIQUETAS'!O:Y,11,0)),"")</f>
        <v>0</v>
      </c>
      <c r="J232" s="6">
        <v>0</v>
      </c>
      <c r="K232" s="12">
        <f t="shared" si="9"/>
        <v>0</v>
      </c>
      <c r="L232" s="7" t="str">
        <f>IF(VLOOKUP(A232,'[1]LISTA ETIQUETAS'!O:AB,14,0)="","",(VLOOKUP(A232,'[1]LISTA ETIQUETAS'!O:AB,14,0)))</f>
        <v/>
      </c>
      <c r="M232" s="8"/>
      <c r="N232" s="9">
        <f t="shared" si="10"/>
        <v>151719</v>
      </c>
      <c r="O232" s="2">
        <f>_xlfn.XLOOKUP($A232,'[1]LISTA ETIQUETAS'!$O:$O,'[1]LISTA ETIQUETAS'!C:C,"",0)</f>
        <v>0</v>
      </c>
      <c r="P232" s="2">
        <f>_xlfn.XLOOKUP($A232,'[1]LISTA ETIQUETAS'!$O:$O,'[1]LISTA ETIQUETAS'!D:D,"",0)</f>
        <v>0</v>
      </c>
      <c r="Q232" s="2">
        <f>_xlfn.XLOOKUP($A232,'[1]LISTA ETIQUETAS'!$O:$O,'[1]LISTA ETIQUETAS'!E:E,"",0)</f>
        <v>0</v>
      </c>
      <c r="R232" s="2">
        <f>_xlfn.XLOOKUP($A232,'[1]LISTA ETIQUETAS'!$O:$O,'[1]LISTA ETIQUETAS'!F:F,"",0)</f>
        <v>0</v>
      </c>
      <c r="S232" s="2">
        <f>_xlfn.XLOOKUP($A232,'[1]LISTA ETIQUETAS'!$O:$O,'[1]LISTA ETIQUETAS'!H:H,"",0)</f>
        <v>1</v>
      </c>
      <c r="T232" s="9">
        <f t="shared" si="11"/>
        <v>1</v>
      </c>
    </row>
    <row r="233" spans="1:20" x14ac:dyDescent="0.25">
      <c r="A233" s="5">
        <v>151450</v>
      </c>
      <c r="B233" t="str">
        <f>IFERROR((VLOOKUP(A233,'[1]LISTA ETIQUETAS'!O:X,3,0)),"PRODUTO SEM ESTOQUE")</f>
        <v>EST APARADOR CARAJAS (BAMBU COR 10)</v>
      </c>
      <c r="C233" s="10" t="s">
        <v>33</v>
      </c>
      <c r="D233" s="10" t="s">
        <v>158</v>
      </c>
      <c r="E233" s="11">
        <f>IF(VLOOKUP(A233,'[1]LISTA ETIQUETAS'!O:W,4,0)="",(VLOOKUP(A233,'[1]LISTA ETIQUETAS'!O:W,6,0)),(VLOOKUP(A233,'[1]LISTA ETIQUETAS'!O:W,4,0)))</f>
        <v>2</v>
      </c>
      <c r="F233" s="11">
        <f>IF(VLOOKUP(A233,'[1]LISTA ETIQUETAS'!O:W,5,0)="",(VLOOKUP(A233,'[1]LISTA ETIQUETAS'!O:W,7,0)),(VLOOKUP(A233,'[1]LISTA ETIQUETAS'!O:W,5,0)))</f>
        <v>0.6</v>
      </c>
      <c r="G233" s="11">
        <f>IFERROR((VLOOKUP(A233,'[1]LISTA ETIQUETAS'!O:X,8,0)),"")</f>
        <v>0.8</v>
      </c>
      <c r="H233" s="11">
        <f>IFERROR((VLOOKUP(A233,'[1]LISTA ETIQUETAS'!O:X,9,0)),"")</f>
        <v>0</v>
      </c>
      <c r="I233" s="12">
        <f>IFERROR((VLOOKUP(A233,'[1]LISTA ETIQUETAS'!O:Y,11,0)),"")</f>
        <v>20721.12</v>
      </c>
      <c r="J233" s="6">
        <v>0</v>
      </c>
      <c r="K233" s="12">
        <f t="shared" si="9"/>
        <v>20721.12</v>
      </c>
      <c r="L233" s="7" t="str">
        <f>IF(VLOOKUP(A233,'[1]LISTA ETIQUETAS'!O:AB,14,0)="","",(VLOOKUP(A233,'[1]LISTA ETIQUETAS'!O:AB,14,0)))</f>
        <v/>
      </c>
      <c r="M233" s="8"/>
      <c r="N233" s="9">
        <f t="shared" si="10"/>
        <v>151450</v>
      </c>
      <c r="O233" s="2">
        <f>_xlfn.XLOOKUP($A233,'[1]LISTA ETIQUETAS'!$O:$O,'[1]LISTA ETIQUETAS'!C:C,"",0)</f>
        <v>0</v>
      </c>
      <c r="P233" s="2">
        <f>_xlfn.XLOOKUP($A233,'[1]LISTA ETIQUETAS'!$O:$O,'[1]LISTA ETIQUETAS'!D:D,"",0)</f>
        <v>0</v>
      </c>
      <c r="Q233" s="2">
        <f>_xlfn.XLOOKUP($A233,'[1]LISTA ETIQUETAS'!$O:$O,'[1]LISTA ETIQUETAS'!E:E,"",0)</f>
        <v>0</v>
      </c>
      <c r="R233" s="2">
        <f>_xlfn.XLOOKUP($A233,'[1]LISTA ETIQUETAS'!$O:$O,'[1]LISTA ETIQUETAS'!F:F,"",0)</f>
        <v>0</v>
      </c>
      <c r="S233" s="2">
        <f>_xlfn.XLOOKUP($A233,'[1]LISTA ETIQUETAS'!$O:$O,'[1]LISTA ETIQUETAS'!H:H,"",0)</f>
        <v>1</v>
      </c>
      <c r="T233" s="9">
        <f t="shared" si="11"/>
        <v>1</v>
      </c>
    </row>
    <row r="234" spans="1:20" x14ac:dyDescent="0.25">
      <c r="A234" s="5">
        <v>151366</v>
      </c>
      <c r="B234" t="str">
        <f>IFERROR((VLOOKUP(A234,'[1]LISTA ETIQUETAS'!O:X,3,0)),"PRODUTO SEM ESTOQUE")</f>
        <v>EST APARADOR NEST ROVERE CATERAL BRONZE</v>
      </c>
      <c r="C234" s="10" t="s">
        <v>33</v>
      </c>
      <c r="D234" s="10" t="s">
        <v>159</v>
      </c>
      <c r="E234" s="11">
        <f>IF(VLOOKUP(A234,'[1]LISTA ETIQUETAS'!O:W,4,0)="",(VLOOKUP(A234,'[1]LISTA ETIQUETAS'!O:W,6,0)),(VLOOKUP(A234,'[1]LISTA ETIQUETAS'!O:W,4,0)))</f>
        <v>2</v>
      </c>
      <c r="F234" s="11">
        <f>IF(VLOOKUP(A234,'[1]LISTA ETIQUETAS'!O:W,5,0)="",(VLOOKUP(A234,'[1]LISTA ETIQUETAS'!O:W,7,0)),(VLOOKUP(A234,'[1]LISTA ETIQUETAS'!O:W,5,0)))</f>
        <v>0.5</v>
      </c>
      <c r="G234" s="11">
        <f>IFERROR((VLOOKUP(A234,'[1]LISTA ETIQUETAS'!O:X,8,0)),"")</f>
        <v>0.76</v>
      </c>
      <c r="H234" s="11">
        <f>IFERROR((VLOOKUP(A234,'[1]LISTA ETIQUETAS'!O:X,9,0)),"")</f>
        <v>0</v>
      </c>
      <c r="I234" s="12">
        <f>IFERROR((VLOOKUP(A234,'[1]LISTA ETIQUETAS'!O:Y,11,0)),"")</f>
        <v>13022.91</v>
      </c>
      <c r="J234" s="6">
        <v>0</v>
      </c>
      <c r="K234" s="12">
        <f t="shared" si="9"/>
        <v>13022.91</v>
      </c>
      <c r="L234" s="7" t="str">
        <f>IF(VLOOKUP(A234,'[1]LISTA ETIQUETAS'!O:AB,14,0)="","",(VLOOKUP(A234,'[1]LISTA ETIQUETAS'!O:AB,14,0)))</f>
        <v/>
      </c>
      <c r="M234" s="8"/>
      <c r="N234" s="9">
        <f t="shared" si="10"/>
        <v>151366</v>
      </c>
      <c r="O234" s="2">
        <f>_xlfn.XLOOKUP($A234,'[1]LISTA ETIQUETAS'!$O:$O,'[1]LISTA ETIQUETAS'!C:C,"",0)</f>
        <v>0</v>
      </c>
      <c r="P234" s="2">
        <f>_xlfn.XLOOKUP($A234,'[1]LISTA ETIQUETAS'!$O:$O,'[1]LISTA ETIQUETAS'!D:D,"",0)</f>
        <v>0</v>
      </c>
      <c r="Q234" s="2">
        <f>_xlfn.XLOOKUP($A234,'[1]LISTA ETIQUETAS'!$O:$O,'[1]LISTA ETIQUETAS'!E:E,"",0)</f>
        <v>0</v>
      </c>
      <c r="R234" s="2">
        <f>_xlfn.XLOOKUP($A234,'[1]LISTA ETIQUETAS'!$O:$O,'[1]LISTA ETIQUETAS'!F:F,"",0)</f>
        <v>0</v>
      </c>
      <c r="S234" s="2">
        <f>_xlfn.XLOOKUP($A234,'[1]LISTA ETIQUETAS'!$O:$O,'[1]LISTA ETIQUETAS'!H:H,"",0)</f>
        <v>1</v>
      </c>
      <c r="T234" s="9">
        <f t="shared" si="11"/>
        <v>1</v>
      </c>
    </row>
    <row r="235" spans="1:20" x14ac:dyDescent="0.25">
      <c r="A235" s="5">
        <v>163804</v>
      </c>
      <c r="B235" t="str">
        <f>IFERROR((VLOOKUP(A235,'[1]LISTA ETIQUETAS'!O:X,3,0)),"PRODUTO SEM ESTOQUE")</f>
        <v>EST APARADOR RIOS (MEL FOSCO)</v>
      </c>
      <c r="C235" s="10" t="s">
        <v>33</v>
      </c>
      <c r="D235" s="10" t="s">
        <v>160</v>
      </c>
      <c r="E235" s="11">
        <f>IF(VLOOKUP(A235,'[1]LISTA ETIQUETAS'!O:W,4,0)="",(VLOOKUP(A235,'[1]LISTA ETIQUETAS'!O:W,6,0)),(VLOOKUP(A235,'[1]LISTA ETIQUETAS'!O:W,4,0)))</f>
        <v>2.2999999999999998</v>
      </c>
      <c r="F235" s="11">
        <f>IF(VLOOKUP(A235,'[1]LISTA ETIQUETAS'!O:W,5,0)="",(VLOOKUP(A235,'[1]LISTA ETIQUETAS'!O:W,7,0)),(VLOOKUP(A235,'[1]LISTA ETIQUETAS'!O:W,5,0)))</f>
        <v>0.4</v>
      </c>
      <c r="G235" s="11">
        <f>IFERROR((VLOOKUP(A235,'[1]LISTA ETIQUETAS'!O:X,8,0)),"")</f>
        <v>0.76</v>
      </c>
      <c r="H235" s="11">
        <f>IFERROR((VLOOKUP(A235,'[1]LISTA ETIQUETAS'!O:X,9,0)),"")</f>
        <v>0</v>
      </c>
      <c r="I235" s="12">
        <f>IFERROR((VLOOKUP(A235,'[1]LISTA ETIQUETAS'!O:Y,11,0)),"")</f>
        <v>0</v>
      </c>
      <c r="J235" s="6">
        <v>0</v>
      </c>
      <c r="K235" s="12">
        <f t="shared" si="9"/>
        <v>0</v>
      </c>
      <c r="L235" s="7" t="str">
        <f>IF(VLOOKUP(A235,'[1]LISTA ETIQUETAS'!O:AB,14,0)="","",(VLOOKUP(A235,'[1]LISTA ETIQUETAS'!O:AB,14,0)))</f>
        <v/>
      </c>
      <c r="M235" s="8"/>
      <c r="N235" s="9">
        <f t="shared" si="10"/>
        <v>163804</v>
      </c>
      <c r="O235" s="2">
        <f>_xlfn.XLOOKUP($A235,'[1]LISTA ETIQUETAS'!$O:$O,'[1]LISTA ETIQUETAS'!C:C,"",0)</f>
        <v>0</v>
      </c>
      <c r="P235" s="2">
        <f>_xlfn.XLOOKUP($A235,'[1]LISTA ETIQUETAS'!$O:$O,'[1]LISTA ETIQUETAS'!D:D,"",0)</f>
        <v>0</v>
      </c>
      <c r="Q235" s="2">
        <f>_xlfn.XLOOKUP($A235,'[1]LISTA ETIQUETAS'!$O:$O,'[1]LISTA ETIQUETAS'!E:E,"",0)</f>
        <v>0</v>
      </c>
      <c r="R235" s="2">
        <f>_xlfn.XLOOKUP($A235,'[1]LISTA ETIQUETAS'!$O:$O,'[1]LISTA ETIQUETAS'!F:F,"",0)</f>
        <v>0</v>
      </c>
      <c r="S235" s="2">
        <f>_xlfn.XLOOKUP($A235,'[1]LISTA ETIQUETAS'!$O:$O,'[1]LISTA ETIQUETAS'!H:H,"",0)</f>
        <v>1</v>
      </c>
      <c r="T235" s="9">
        <f t="shared" si="11"/>
        <v>1</v>
      </c>
    </row>
    <row r="236" spans="1:20" x14ac:dyDescent="0.25">
      <c r="A236" s="5">
        <v>182711</v>
      </c>
      <c r="B236" t="str">
        <f>IFERROR((VLOOKUP(A236,'[1]LISTA ETIQUETAS'!O:X,3,0)),"PRODUTO SEM ESTOQUE")</f>
        <v>EST APARADOR AMALFI (TAMPO LC BRANCA BRIL) (BS LC FSC PRETA)</v>
      </c>
      <c r="C236" s="10" t="s">
        <v>33</v>
      </c>
      <c r="D236" s="10" t="s">
        <v>161</v>
      </c>
      <c r="E236" s="11">
        <f>IF(VLOOKUP(A236,'[1]LISTA ETIQUETAS'!O:W,4,0)="",(VLOOKUP(A236,'[1]LISTA ETIQUETAS'!O:W,6,0)),(VLOOKUP(A236,'[1]LISTA ETIQUETAS'!O:W,4,0)))</f>
        <v>2.4</v>
      </c>
      <c r="F236" s="11">
        <f>IF(VLOOKUP(A236,'[1]LISTA ETIQUETAS'!O:W,5,0)="",(VLOOKUP(A236,'[1]LISTA ETIQUETAS'!O:W,7,0)),(VLOOKUP(A236,'[1]LISTA ETIQUETAS'!O:W,5,0)))</f>
        <v>0.43</v>
      </c>
      <c r="G236" s="11">
        <f>IFERROR((VLOOKUP(A236,'[1]LISTA ETIQUETAS'!O:X,8,0)),"")</f>
        <v>0.75</v>
      </c>
      <c r="H236" s="11">
        <f>IFERROR((VLOOKUP(A236,'[1]LISTA ETIQUETAS'!O:X,9,0)),"")</f>
        <v>0</v>
      </c>
      <c r="I236" s="12">
        <f>IFERROR((VLOOKUP(A236,'[1]LISTA ETIQUETAS'!O:Y,11,0)),"")</f>
        <v>19173.5</v>
      </c>
      <c r="J236" s="6">
        <v>0</v>
      </c>
      <c r="K236" s="12">
        <f t="shared" si="9"/>
        <v>19173.5</v>
      </c>
      <c r="L236" s="7" t="str">
        <f>IF(VLOOKUP(A236,'[1]LISTA ETIQUETAS'!O:AB,14,0)="","",(VLOOKUP(A236,'[1]LISTA ETIQUETAS'!O:AB,14,0)))</f>
        <v/>
      </c>
      <c r="M236" s="8"/>
      <c r="N236" s="9">
        <f t="shared" si="10"/>
        <v>182711</v>
      </c>
      <c r="O236" s="2">
        <f>_xlfn.XLOOKUP($A236,'[1]LISTA ETIQUETAS'!$O:$O,'[1]LISTA ETIQUETAS'!C:C,"",0)</f>
        <v>0</v>
      </c>
      <c r="P236" s="2">
        <f>_xlfn.XLOOKUP($A236,'[1]LISTA ETIQUETAS'!$O:$O,'[1]LISTA ETIQUETAS'!D:D,"",0)</f>
        <v>0</v>
      </c>
      <c r="Q236" s="2">
        <f>_xlfn.XLOOKUP($A236,'[1]LISTA ETIQUETAS'!$O:$O,'[1]LISTA ETIQUETAS'!E:E,"",0)</f>
        <v>0</v>
      </c>
      <c r="R236" s="2">
        <f>_xlfn.XLOOKUP($A236,'[1]LISTA ETIQUETAS'!$O:$O,'[1]LISTA ETIQUETAS'!F:F,"",0)</f>
        <v>0</v>
      </c>
      <c r="S236" s="2">
        <f>_xlfn.XLOOKUP($A236,'[1]LISTA ETIQUETAS'!$O:$O,'[1]LISTA ETIQUETAS'!H:H,"",0)</f>
        <v>1</v>
      </c>
      <c r="T236" s="9">
        <f t="shared" si="11"/>
        <v>1</v>
      </c>
    </row>
    <row r="237" spans="1:20" x14ac:dyDescent="0.25">
      <c r="A237" s="5">
        <v>180739</v>
      </c>
      <c r="B237" t="str">
        <f>IFERROR((VLOOKUP(A237,'[1]LISTA ETIQUETAS'!O:X,3,0)),"PRODUTO SEM ESTOQUE")</f>
        <v>EST APARADOR REDENTOR (NOGUEIRA) (LACA BRILHO FENDI)</v>
      </c>
      <c r="C237" s="10" t="s">
        <v>33</v>
      </c>
      <c r="D237" s="10" t="s">
        <v>162</v>
      </c>
      <c r="E237" s="11">
        <f>IF(VLOOKUP(A237,'[1]LISTA ETIQUETAS'!O:W,4,0)="",(VLOOKUP(A237,'[1]LISTA ETIQUETAS'!O:W,6,0)),(VLOOKUP(A237,'[1]LISTA ETIQUETAS'!O:W,4,0)))</f>
        <v>2.2000000000000002</v>
      </c>
      <c r="F237" s="11">
        <f>IF(VLOOKUP(A237,'[1]LISTA ETIQUETAS'!O:W,5,0)="",(VLOOKUP(A237,'[1]LISTA ETIQUETAS'!O:W,7,0)),(VLOOKUP(A237,'[1]LISTA ETIQUETAS'!O:W,5,0)))</f>
        <v>0.5</v>
      </c>
      <c r="G237" s="11">
        <f>IFERROR((VLOOKUP(A237,'[1]LISTA ETIQUETAS'!O:X,8,0)),"")</f>
        <v>0.8</v>
      </c>
      <c r="H237" s="11">
        <f>IFERROR((VLOOKUP(A237,'[1]LISTA ETIQUETAS'!O:X,9,0)),"")</f>
        <v>0</v>
      </c>
      <c r="I237" s="12">
        <f>IFERROR((VLOOKUP(A237,'[1]LISTA ETIQUETAS'!O:Y,11,0)),"")</f>
        <v>15680</v>
      </c>
      <c r="J237" s="6">
        <v>0</v>
      </c>
      <c r="K237" s="12">
        <f t="shared" si="9"/>
        <v>15680</v>
      </c>
      <c r="L237" s="7" t="str">
        <f>IF(VLOOKUP(A237,'[1]LISTA ETIQUETAS'!O:AB,14,0)="","",(VLOOKUP(A237,'[1]LISTA ETIQUETAS'!O:AB,14,0)))</f>
        <v/>
      </c>
      <c r="M237" s="8"/>
      <c r="N237" s="9">
        <f t="shared" si="10"/>
        <v>180739</v>
      </c>
      <c r="O237" s="2">
        <f>_xlfn.XLOOKUP($A237,'[1]LISTA ETIQUETAS'!$O:$O,'[1]LISTA ETIQUETAS'!C:C,"",0)</f>
        <v>0</v>
      </c>
      <c r="P237" s="2">
        <f>_xlfn.XLOOKUP($A237,'[1]LISTA ETIQUETAS'!$O:$O,'[1]LISTA ETIQUETAS'!D:D,"",0)</f>
        <v>0</v>
      </c>
      <c r="Q237" s="2">
        <f>_xlfn.XLOOKUP($A237,'[1]LISTA ETIQUETAS'!$O:$O,'[1]LISTA ETIQUETAS'!E:E,"",0)</f>
        <v>0</v>
      </c>
      <c r="R237" s="2">
        <f>_xlfn.XLOOKUP($A237,'[1]LISTA ETIQUETAS'!$O:$O,'[1]LISTA ETIQUETAS'!F:F,"",0)</f>
        <v>0</v>
      </c>
      <c r="S237" s="2">
        <f>_xlfn.XLOOKUP($A237,'[1]LISTA ETIQUETAS'!$O:$O,'[1]LISTA ETIQUETAS'!H:H,"",0)</f>
        <v>1</v>
      </c>
      <c r="T237" s="9">
        <f t="shared" si="11"/>
        <v>1</v>
      </c>
    </row>
    <row r="238" spans="1:20" x14ac:dyDescent="0.25">
      <c r="A238" s="5">
        <v>203827</v>
      </c>
      <c r="B238" t="str">
        <f>IFERROR((VLOOKUP(A238,'[1]LISTA ETIQUETAS'!O:X,3,0)),"PRODUTO SEM ESTOQUE")</f>
        <v>EST APARADOR NEST (LACA BRILHO METALIZADA CHAMPAGNE)</v>
      </c>
      <c r="C238" s="10" t="s">
        <v>33</v>
      </c>
      <c r="D238" s="10" t="s">
        <v>159</v>
      </c>
      <c r="E238" s="11">
        <f>IF(VLOOKUP(A238,'[1]LISTA ETIQUETAS'!O:W,4,0)="",(VLOOKUP(A238,'[1]LISTA ETIQUETAS'!O:W,6,0)),(VLOOKUP(A238,'[1]LISTA ETIQUETAS'!O:W,4,0)))</f>
        <v>1.5</v>
      </c>
      <c r="F238" s="11">
        <f>IF(VLOOKUP(A238,'[1]LISTA ETIQUETAS'!O:W,5,0)="",(VLOOKUP(A238,'[1]LISTA ETIQUETAS'!O:W,7,0)),(VLOOKUP(A238,'[1]LISTA ETIQUETAS'!O:W,5,0)))</f>
        <v>0.4</v>
      </c>
      <c r="G238" s="11">
        <f>IFERROR((VLOOKUP(A238,'[1]LISTA ETIQUETAS'!O:X,8,0)),"")</f>
        <v>0.76</v>
      </c>
      <c r="H238" s="11">
        <f>IFERROR((VLOOKUP(A238,'[1]LISTA ETIQUETAS'!O:X,9,0)),"")</f>
        <v>0</v>
      </c>
      <c r="I238" s="12">
        <f>IFERROR((VLOOKUP(A238,'[1]LISTA ETIQUETAS'!O:Y,11,0)),"")</f>
        <v>0</v>
      </c>
      <c r="J238" s="6">
        <v>0</v>
      </c>
      <c r="K238" s="12">
        <f t="shared" si="9"/>
        <v>0</v>
      </c>
      <c r="L238" s="7" t="str">
        <f>IF(VLOOKUP(A238,'[1]LISTA ETIQUETAS'!O:AB,14,0)="","",(VLOOKUP(A238,'[1]LISTA ETIQUETAS'!O:AB,14,0)))</f>
        <v/>
      </c>
      <c r="M238" s="8"/>
      <c r="N238" s="9">
        <f t="shared" si="10"/>
        <v>203827</v>
      </c>
      <c r="O238" s="2">
        <f>_xlfn.XLOOKUP($A238,'[1]LISTA ETIQUETAS'!$O:$O,'[1]LISTA ETIQUETAS'!C:C,"",0)</f>
        <v>0</v>
      </c>
      <c r="P238" s="2">
        <f>_xlfn.XLOOKUP($A238,'[1]LISTA ETIQUETAS'!$O:$O,'[1]LISTA ETIQUETAS'!D:D,"",0)</f>
        <v>0</v>
      </c>
      <c r="Q238" s="2">
        <f>_xlfn.XLOOKUP($A238,'[1]LISTA ETIQUETAS'!$O:$O,'[1]LISTA ETIQUETAS'!E:E,"",0)</f>
        <v>0</v>
      </c>
      <c r="R238" s="2">
        <f>_xlfn.XLOOKUP($A238,'[1]LISTA ETIQUETAS'!$O:$O,'[1]LISTA ETIQUETAS'!F:F,"",0)</f>
        <v>0</v>
      </c>
      <c r="S238" s="2">
        <f>_xlfn.XLOOKUP($A238,'[1]LISTA ETIQUETAS'!$O:$O,'[1]LISTA ETIQUETAS'!H:H,"",0)</f>
        <v>1</v>
      </c>
      <c r="T238" s="9">
        <f t="shared" si="11"/>
        <v>1</v>
      </c>
    </row>
    <row r="239" spans="1:20" x14ac:dyDescent="0.25">
      <c r="A239" s="5">
        <v>210381</v>
      </c>
      <c r="B239" t="str">
        <f>IFERROR((VLOOKUP(A239,'[1]LISTA ETIQUETAS'!O:X,3,0)),"PRODUTO SEM ESTOQUE")</f>
        <v>EST APARADOR BARCENA (FREIJO) (BASE LACA FOSCA H155)</v>
      </c>
      <c r="C239" s="10" t="s">
        <v>33</v>
      </c>
      <c r="D239" s="10" t="s">
        <v>163</v>
      </c>
      <c r="E239" s="11">
        <f>IF(VLOOKUP(A239,'[1]LISTA ETIQUETAS'!O:W,4,0)="",(VLOOKUP(A239,'[1]LISTA ETIQUETAS'!O:W,6,0)),(VLOOKUP(A239,'[1]LISTA ETIQUETAS'!O:W,4,0)))</f>
        <v>1.8</v>
      </c>
      <c r="F239" s="11">
        <f>IF(VLOOKUP(A239,'[1]LISTA ETIQUETAS'!O:W,5,0)="",(VLOOKUP(A239,'[1]LISTA ETIQUETAS'!O:W,7,0)),(VLOOKUP(A239,'[1]LISTA ETIQUETAS'!O:W,5,0)))</f>
        <v>0.45</v>
      </c>
      <c r="G239" s="11">
        <f>IFERROR((VLOOKUP(A239,'[1]LISTA ETIQUETAS'!O:X,8,0)),"")</f>
        <v>0.76</v>
      </c>
      <c r="H239" s="11">
        <f>IFERROR((VLOOKUP(A239,'[1]LISTA ETIQUETAS'!O:X,9,0)),"")</f>
        <v>0</v>
      </c>
      <c r="I239" s="12">
        <f>IFERROR((VLOOKUP(A239,'[1]LISTA ETIQUETAS'!O:Y,11,0)),"")</f>
        <v>21389.45</v>
      </c>
      <c r="J239" s="6">
        <v>0</v>
      </c>
      <c r="K239" s="12">
        <f t="shared" si="9"/>
        <v>21389.45</v>
      </c>
      <c r="L239" s="7" t="str">
        <f>IF(VLOOKUP(A239,'[1]LISTA ETIQUETAS'!O:AB,14,0)="","",(VLOOKUP(A239,'[1]LISTA ETIQUETAS'!O:AB,14,0)))</f>
        <v/>
      </c>
      <c r="M239" s="8"/>
      <c r="N239" s="9">
        <f t="shared" si="10"/>
        <v>210381</v>
      </c>
      <c r="O239" s="2">
        <f>_xlfn.XLOOKUP($A239,'[1]LISTA ETIQUETAS'!$O:$O,'[1]LISTA ETIQUETAS'!C:C,"",0)</f>
        <v>0</v>
      </c>
      <c r="P239" s="2">
        <f>_xlfn.XLOOKUP($A239,'[1]LISTA ETIQUETAS'!$O:$O,'[1]LISTA ETIQUETAS'!D:D,"",0)</f>
        <v>0</v>
      </c>
      <c r="Q239" s="2">
        <f>_xlfn.XLOOKUP($A239,'[1]LISTA ETIQUETAS'!$O:$O,'[1]LISTA ETIQUETAS'!E:E,"",0)</f>
        <v>0</v>
      </c>
      <c r="R239" s="2">
        <f>_xlfn.XLOOKUP($A239,'[1]LISTA ETIQUETAS'!$O:$O,'[1]LISTA ETIQUETAS'!F:F,"",0)</f>
        <v>0</v>
      </c>
      <c r="S239" s="2">
        <f>_xlfn.XLOOKUP($A239,'[1]LISTA ETIQUETAS'!$O:$O,'[1]LISTA ETIQUETAS'!H:H,"",0)</f>
        <v>2</v>
      </c>
      <c r="T239" s="9">
        <f t="shared" si="11"/>
        <v>2</v>
      </c>
    </row>
    <row r="240" spans="1:20" x14ac:dyDescent="0.25">
      <c r="A240" s="5">
        <v>210409</v>
      </c>
      <c r="B240" t="str">
        <f>IFERROR((VLOOKUP(A240,'[1]LISTA ETIQUETAS'!O:X,3,0)),"PRODUTO SEM ESTOQUE")</f>
        <v>EST APARADOR LISA (LACA BRILHO CONCRETO)</v>
      </c>
      <c r="C240" s="10" t="s">
        <v>33</v>
      </c>
      <c r="D240" s="10" t="s">
        <v>164</v>
      </c>
      <c r="E240" s="11">
        <f>IF(VLOOKUP(A240,'[1]LISTA ETIQUETAS'!O:W,4,0)="",(VLOOKUP(A240,'[1]LISTA ETIQUETAS'!O:W,6,0)),(VLOOKUP(A240,'[1]LISTA ETIQUETAS'!O:W,4,0)))</f>
        <v>2.2999999999999998</v>
      </c>
      <c r="F240" s="11">
        <f>IF(VLOOKUP(A240,'[1]LISTA ETIQUETAS'!O:W,5,0)="",(VLOOKUP(A240,'[1]LISTA ETIQUETAS'!O:W,7,0)),(VLOOKUP(A240,'[1]LISTA ETIQUETAS'!O:W,5,0)))</f>
        <v>0.4</v>
      </c>
      <c r="G240" s="11">
        <f>IFERROR((VLOOKUP(A240,'[1]LISTA ETIQUETAS'!O:X,8,0)),"")</f>
        <v>0.76</v>
      </c>
      <c r="H240" s="11">
        <f>IFERROR((VLOOKUP(A240,'[1]LISTA ETIQUETAS'!O:X,9,0)),"")</f>
        <v>0</v>
      </c>
      <c r="I240" s="12">
        <f>IFERROR((VLOOKUP(A240,'[1]LISTA ETIQUETAS'!O:Y,11,0)),"")</f>
        <v>7526.4</v>
      </c>
      <c r="J240" s="6">
        <v>0</v>
      </c>
      <c r="K240" s="12">
        <f t="shared" si="9"/>
        <v>7526.4</v>
      </c>
      <c r="L240" s="7" t="str">
        <f>IF(VLOOKUP(A240,'[1]LISTA ETIQUETAS'!O:AB,14,0)="","",(VLOOKUP(A240,'[1]LISTA ETIQUETAS'!O:AB,14,0)))</f>
        <v/>
      </c>
      <c r="M240" s="8"/>
      <c r="N240" s="9">
        <f t="shared" si="10"/>
        <v>210409</v>
      </c>
      <c r="O240" s="2">
        <f>_xlfn.XLOOKUP($A240,'[1]LISTA ETIQUETAS'!$O:$O,'[1]LISTA ETIQUETAS'!C:C,"",0)</f>
        <v>0</v>
      </c>
      <c r="P240" s="2">
        <f>_xlfn.XLOOKUP($A240,'[1]LISTA ETIQUETAS'!$O:$O,'[1]LISTA ETIQUETAS'!D:D,"",0)</f>
        <v>0</v>
      </c>
      <c r="Q240" s="2">
        <f>_xlfn.XLOOKUP($A240,'[1]LISTA ETIQUETAS'!$O:$O,'[1]LISTA ETIQUETAS'!E:E,"",0)</f>
        <v>0</v>
      </c>
      <c r="R240" s="2">
        <f>_xlfn.XLOOKUP($A240,'[1]LISTA ETIQUETAS'!$O:$O,'[1]LISTA ETIQUETAS'!F:F,"",0)</f>
        <v>0</v>
      </c>
      <c r="S240" s="2">
        <f>_xlfn.XLOOKUP($A240,'[1]LISTA ETIQUETAS'!$O:$O,'[1]LISTA ETIQUETAS'!H:H,"",0)</f>
        <v>1</v>
      </c>
      <c r="T240" s="9">
        <f t="shared" si="11"/>
        <v>1</v>
      </c>
    </row>
    <row r="241" spans="1:20" x14ac:dyDescent="0.25">
      <c r="A241" s="5">
        <v>210376</v>
      </c>
      <c r="B241" t="str">
        <f>IFERROR((VLOOKUP(A241,'[1]LISTA ETIQUETAS'!O:X,3,0)),"PRODUTO SEM ESTOQUE")</f>
        <v>EST APARADOR DONNA (LACA BRILHO BRANCA) (TAMPO ULTRACLEAR)</v>
      </c>
      <c r="C241" s="10" t="s">
        <v>33</v>
      </c>
      <c r="D241" s="10" t="s">
        <v>165</v>
      </c>
      <c r="E241" s="11">
        <f>IF(VLOOKUP(A241,'[1]LISTA ETIQUETAS'!O:W,4,0)="",(VLOOKUP(A241,'[1]LISTA ETIQUETAS'!O:W,6,0)),(VLOOKUP(A241,'[1]LISTA ETIQUETAS'!O:W,4,0)))</f>
        <v>1.8</v>
      </c>
      <c r="F241" s="11">
        <f>IF(VLOOKUP(A241,'[1]LISTA ETIQUETAS'!O:W,5,0)="",(VLOOKUP(A241,'[1]LISTA ETIQUETAS'!O:W,7,0)),(VLOOKUP(A241,'[1]LISTA ETIQUETAS'!O:W,5,0)))</f>
        <v>0.4</v>
      </c>
      <c r="G241" s="11">
        <f>IFERROR((VLOOKUP(A241,'[1]LISTA ETIQUETAS'!O:X,8,0)),"")</f>
        <v>0.75</v>
      </c>
      <c r="H241" s="11">
        <f>IFERROR((VLOOKUP(A241,'[1]LISTA ETIQUETAS'!O:X,9,0)),"")</f>
        <v>0</v>
      </c>
      <c r="I241" s="12">
        <f>IFERROR((VLOOKUP(A241,'[1]LISTA ETIQUETAS'!O:Y,11,0)),"")</f>
        <v>0</v>
      </c>
      <c r="J241" s="6">
        <v>0</v>
      </c>
      <c r="K241" s="12">
        <f t="shared" si="9"/>
        <v>0</v>
      </c>
      <c r="L241" s="7" t="str">
        <f>IF(VLOOKUP(A241,'[1]LISTA ETIQUETAS'!O:AB,14,0)="","",(VLOOKUP(A241,'[1]LISTA ETIQUETAS'!O:AB,14,0)))</f>
        <v/>
      </c>
      <c r="M241" s="8"/>
      <c r="N241" s="9">
        <f t="shared" si="10"/>
        <v>210376</v>
      </c>
      <c r="O241" s="2">
        <f>_xlfn.XLOOKUP($A241,'[1]LISTA ETIQUETAS'!$O:$O,'[1]LISTA ETIQUETAS'!C:C,"",0)</f>
        <v>0</v>
      </c>
      <c r="P241" s="2">
        <f>_xlfn.XLOOKUP($A241,'[1]LISTA ETIQUETAS'!$O:$O,'[1]LISTA ETIQUETAS'!D:D,"",0)</f>
        <v>0</v>
      </c>
      <c r="Q241" s="2">
        <f>_xlfn.XLOOKUP($A241,'[1]LISTA ETIQUETAS'!$O:$O,'[1]LISTA ETIQUETAS'!E:E,"",0)</f>
        <v>0</v>
      </c>
      <c r="R241" s="2">
        <f>_xlfn.XLOOKUP($A241,'[1]LISTA ETIQUETAS'!$O:$O,'[1]LISTA ETIQUETAS'!F:F,"",0)</f>
        <v>0</v>
      </c>
      <c r="S241" s="2">
        <f>_xlfn.XLOOKUP($A241,'[1]LISTA ETIQUETAS'!$O:$O,'[1]LISTA ETIQUETAS'!H:H,"",0)</f>
        <v>1</v>
      </c>
      <c r="T241" s="9">
        <f t="shared" si="11"/>
        <v>1</v>
      </c>
    </row>
    <row r="242" spans="1:20" x14ac:dyDescent="0.25">
      <c r="A242" s="5">
        <v>224044</v>
      </c>
      <c r="B242" t="str">
        <f>IFERROR((VLOOKUP(A242,'[1]LISTA ETIQUETAS'!O:X,3,0)),"PRODUTO SEM ESTOQUE")</f>
        <v>EST APARADOR TRINTA ELIPTICO (MARMOR NERO) (PRETO TXT)</v>
      </c>
      <c r="C242" s="10" t="s">
        <v>33</v>
      </c>
      <c r="D242" s="10" t="s">
        <v>166</v>
      </c>
      <c r="E242" s="11">
        <f>IF(VLOOKUP(A242,'[1]LISTA ETIQUETAS'!O:W,4,0)="",(VLOOKUP(A242,'[1]LISTA ETIQUETAS'!O:W,6,0)),(VLOOKUP(A242,'[1]LISTA ETIQUETAS'!O:W,4,0)))</f>
        <v>1.6</v>
      </c>
      <c r="F242" s="11">
        <f>IF(VLOOKUP(A242,'[1]LISTA ETIQUETAS'!O:W,5,0)="",(VLOOKUP(A242,'[1]LISTA ETIQUETAS'!O:W,7,0)),(VLOOKUP(A242,'[1]LISTA ETIQUETAS'!O:W,5,0)))</f>
        <v>0.7</v>
      </c>
      <c r="G242" s="11">
        <f>IFERROR((VLOOKUP(A242,'[1]LISTA ETIQUETAS'!O:X,8,0)),"")</f>
        <v>0.8</v>
      </c>
      <c r="H242" s="11">
        <f>IFERROR((VLOOKUP(A242,'[1]LISTA ETIQUETAS'!O:X,9,0)),"")</f>
        <v>0</v>
      </c>
      <c r="I242" s="12" t="str">
        <f>IFERROR((VLOOKUP(A242,'[1]LISTA ETIQUETAS'!O:Y,11,0)),"")</f>
        <v/>
      </c>
      <c r="J242" s="6">
        <v>0</v>
      </c>
      <c r="K242" s="12" t="str">
        <f t="shared" si="9"/>
        <v/>
      </c>
      <c r="L242" s="7" t="str">
        <f>IF(VLOOKUP(A242,'[1]LISTA ETIQUETAS'!O:AB,14,0)="","",(VLOOKUP(A242,'[1]LISTA ETIQUETAS'!O:AB,14,0)))</f>
        <v/>
      </c>
      <c r="M242" s="8"/>
      <c r="N242" s="9">
        <f t="shared" si="10"/>
        <v>224044</v>
      </c>
      <c r="O242" s="2">
        <f>_xlfn.XLOOKUP($A242,'[1]LISTA ETIQUETAS'!$O:$O,'[1]LISTA ETIQUETAS'!C:C,"",0)</f>
        <v>0</v>
      </c>
      <c r="P242" s="2">
        <f>_xlfn.XLOOKUP($A242,'[1]LISTA ETIQUETAS'!$O:$O,'[1]LISTA ETIQUETAS'!D:D,"",0)</f>
        <v>0</v>
      </c>
      <c r="Q242" s="2">
        <f>_xlfn.XLOOKUP($A242,'[1]LISTA ETIQUETAS'!$O:$O,'[1]LISTA ETIQUETAS'!E:E,"",0)</f>
        <v>0</v>
      </c>
      <c r="R242" s="2">
        <f>_xlfn.XLOOKUP($A242,'[1]LISTA ETIQUETAS'!$O:$O,'[1]LISTA ETIQUETAS'!F:F,"",0)</f>
        <v>0</v>
      </c>
      <c r="S242" s="2">
        <f>_xlfn.XLOOKUP($A242,'[1]LISTA ETIQUETAS'!$O:$O,'[1]LISTA ETIQUETAS'!H:H,"",0)</f>
        <v>1</v>
      </c>
      <c r="T242" s="9">
        <f t="shared" si="11"/>
        <v>1</v>
      </c>
    </row>
    <row r="243" spans="1:20" x14ac:dyDescent="0.25">
      <c r="A243" s="5">
        <v>223338</v>
      </c>
      <c r="B243" t="str">
        <f>IFERROR((VLOOKUP(A243,'[1]LISTA ETIQUETAS'!O:X,3,0)),"PRODUTO SEM ESTOQUE")</f>
        <v>EST APARADOR TAY II (C/GAV) (LACA POLIESTER BRILHO F100)</v>
      </c>
      <c r="C243" s="10" t="s">
        <v>33</v>
      </c>
      <c r="D243" s="10" t="s">
        <v>167</v>
      </c>
      <c r="E243" s="11">
        <f>IF(VLOOKUP(A243,'[1]LISTA ETIQUETAS'!O:W,4,0)="",(VLOOKUP(A243,'[1]LISTA ETIQUETAS'!O:W,6,0)),(VLOOKUP(A243,'[1]LISTA ETIQUETAS'!O:W,4,0)))</f>
        <v>2</v>
      </c>
      <c r="F243" s="11">
        <f>IF(VLOOKUP(A243,'[1]LISTA ETIQUETAS'!O:W,5,0)="",(VLOOKUP(A243,'[1]LISTA ETIQUETAS'!O:W,7,0)),(VLOOKUP(A243,'[1]LISTA ETIQUETAS'!O:W,5,0)))</f>
        <v>0.45</v>
      </c>
      <c r="G243" s="11">
        <f>IFERROR((VLOOKUP(A243,'[1]LISTA ETIQUETAS'!O:X,8,0)),"")</f>
        <v>0.76</v>
      </c>
      <c r="H243" s="11">
        <f>IFERROR((VLOOKUP(A243,'[1]LISTA ETIQUETAS'!O:X,9,0)),"")</f>
        <v>0</v>
      </c>
      <c r="I243" s="12">
        <f>IFERROR((VLOOKUP(A243,'[1]LISTA ETIQUETAS'!O:Y,11,0)),"")</f>
        <v>20925.990000000002</v>
      </c>
      <c r="J243" s="6">
        <v>0</v>
      </c>
      <c r="K243" s="12">
        <f t="shared" si="9"/>
        <v>20925.990000000002</v>
      </c>
      <c r="L243" s="7" t="str">
        <f>IF(VLOOKUP(A243,'[1]LISTA ETIQUETAS'!O:AB,14,0)="","",(VLOOKUP(A243,'[1]LISTA ETIQUETAS'!O:AB,14,0)))</f>
        <v/>
      </c>
      <c r="M243" s="8"/>
      <c r="N243" s="9">
        <f t="shared" si="10"/>
        <v>223338</v>
      </c>
      <c r="O243" s="2">
        <f>_xlfn.XLOOKUP($A243,'[1]LISTA ETIQUETAS'!$O:$O,'[1]LISTA ETIQUETAS'!C:C,"",0)</f>
        <v>0</v>
      </c>
      <c r="P243" s="2">
        <f>_xlfn.XLOOKUP($A243,'[1]LISTA ETIQUETAS'!$O:$O,'[1]LISTA ETIQUETAS'!D:D,"",0)</f>
        <v>0</v>
      </c>
      <c r="Q243" s="2">
        <f>_xlfn.XLOOKUP($A243,'[1]LISTA ETIQUETAS'!$O:$O,'[1]LISTA ETIQUETAS'!E:E,"",0)</f>
        <v>0</v>
      </c>
      <c r="R243" s="2">
        <f>_xlfn.XLOOKUP($A243,'[1]LISTA ETIQUETAS'!$O:$O,'[1]LISTA ETIQUETAS'!F:F,"",0)</f>
        <v>0</v>
      </c>
      <c r="S243" s="2">
        <f>_xlfn.XLOOKUP($A243,'[1]LISTA ETIQUETAS'!$O:$O,'[1]LISTA ETIQUETAS'!H:H,"",0)</f>
        <v>1</v>
      </c>
      <c r="T243" s="9">
        <f t="shared" si="11"/>
        <v>1</v>
      </c>
    </row>
    <row r="244" spans="1:20" x14ac:dyDescent="0.25">
      <c r="A244" s="5">
        <v>63439</v>
      </c>
      <c r="B244" t="str">
        <f>IFERROR((VLOOKUP(A244,'[1]LISTA ETIQUETAS'!O:X,3,0)),"PRODUTO SEM ESTOQUE")</f>
        <v>EST APARADOR JOVE (CARVALHO NATURAL)</v>
      </c>
      <c r="C244" s="10" t="s">
        <v>33</v>
      </c>
      <c r="D244" s="10" t="s">
        <v>168</v>
      </c>
      <c r="E244" s="11">
        <f>IF(VLOOKUP(A244,'[1]LISTA ETIQUETAS'!O:W,4,0)="",(VLOOKUP(A244,'[1]LISTA ETIQUETAS'!O:W,6,0)),(VLOOKUP(A244,'[1]LISTA ETIQUETAS'!O:W,4,0)))</f>
        <v>1.8</v>
      </c>
      <c r="F244" s="11">
        <f>IF(VLOOKUP(A244,'[1]LISTA ETIQUETAS'!O:W,5,0)="",(VLOOKUP(A244,'[1]LISTA ETIQUETAS'!O:W,7,0)),(VLOOKUP(A244,'[1]LISTA ETIQUETAS'!O:W,5,0)))</f>
        <v>0.45</v>
      </c>
      <c r="G244" s="11">
        <f>IFERROR((VLOOKUP(A244,'[1]LISTA ETIQUETAS'!O:X,8,0)),"")</f>
        <v>0.8</v>
      </c>
      <c r="H244" s="11">
        <f>IFERROR((VLOOKUP(A244,'[1]LISTA ETIQUETAS'!O:X,9,0)),"")</f>
        <v>0</v>
      </c>
      <c r="I244" s="12">
        <f>IFERROR((VLOOKUP(A244,'[1]LISTA ETIQUETAS'!O:Y,11,0)),"")</f>
        <v>0</v>
      </c>
      <c r="J244" s="6">
        <v>0</v>
      </c>
      <c r="K244" s="12">
        <f t="shared" si="9"/>
        <v>0</v>
      </c>
      <c r="L244" s="7" t="str">
        <f>IF(VLOOKUP(A244,'[1]LISTA ETIQUETAS'!O:AB,14,0)="","",(VLOOKUP(A244,'[1]LISTA ETIQUETAS'!O:AB,14,0)))</f>
        <v/>
      </c>
      <c r="M244" s="8"/>
      <c r="N244" s="9">
        <f t="shared" si="10"/>
        <v>63439</v>
      </c>
      <c r="O244" s="2">
        <f>_xlfn.XLOOKUP($A244,'[1]LISTA ETIQUETAS'!$O:$O,'[1]LISTA ETIQUETAS'!C:C,"",0)</f>
        <v>0</v>
      </c>
      <c r="P244" s="2">
        <f>_xlfn.XLOOKUP($A244,'[1]LISTA ETIQUETAS'!$O:$O,'[1]LISTA ETIQUETAS'!D:D,"",0)</f>
        <v>0</v>
      </c>
      <c r="Q244" s="2">
        <f>_xlfn.XLOOKUP($A244,'[1]LISTA ETIQUETAS'!$O:$O,'[1]LISTA ETIQUETAS'!E:E,"",0)</f>
        <v>0</v>
      </c>
      <c r="R244" s="2">
        <f>_xlfn.XLOOKUP($A244,'[1]LISTA ETIQUETAS'!$O:$O,'[1]LISTA ETIQUETAS'!F:F,"",0)</f>
        <v>0</v>
      </c>
      <c r="S244" s="2">
        <f>_xlfn.XLOOKUP($A244,'[1]LISTA ETIQUETAS'!$O:$O,'[1]LISTA ETIQUETAS'!H:H,"",0)</f>
        <v>1</v>
      </c>
      <c r="T244" s="9">
        <f t="shared" si="11"/>
        <v>1</v>
      </c>
    </row>
    <row r="245" spans="1:20" x14ac:dyDescent="0.25">
      <c r="A245" s="5">
        <v>255780</v>
      </c>
      <c r="B245" t="str">
        <f>IFERROR((VLOOKUP(A245,'[1]LISTA ETIQUETAS'!O:X,3,0)),"PRODUTO SEM ESTOQUE")</f>
        <v>EST APARADOR COOLER (TP LAM MATT BLACK) (PRETO FSC)</v>
      </c>
      <c r="C245" s="10" t="s">
        <v>33</v>
      </c>
      <c r="D245" s="10" t="s">
        <v>169</v>
      </c>
      <c r="E245" s="11">
        <f>IF(VLOOKUP(A245,'[1]LISTA ETIQUETAS'!O:W,4,0)="",(VLOOKUP(A245,'[1]LISTA ETIQUETAS'!O:W,6,0)),(VLOOKUP(A245,'[1]LISTA ETIQUETAS'!O:W,4,0)))</f>
        <v>2.2000000000000002</v>
      </c>
      <c r="F245" s="11">
        <f>IF(VLOOKUP(A245,'[1]LISTA ETIQUETAS'!O:W,5,0)="",(VLOOKUP(A245,'[1]LISTA ETIQUETAS'!O:W,7,0)),(VLOOKUP(A245,'[1]LISTA ETIQUETAS'!O:W,5,0)))</f>
        <v>0.45</v>
      </c>
      <c r="G245" s="11">
        <f>IFERROR((VLOOKUP(A245,'[1]LISTA ETIQUETAS'!O:X,8,0)),"")</f>
        <v>0.75</v>
      </c>
      <c r="H245" s="11">
        <f>IFERROR((VLOOKUP(A245,'[1]LISTA ETIQUETAS'!O:X,9,0)),"")</f>
        <v>0</v>
      </c>
      <c r="I245" s="12">
        <f>IFERROR((VLOOKUP(A245,'[1]LISTA ETIQUETAS'!O:Y,11,0)),"")</f>
        <v>16329.51</v>
      </c>
      <c r="J245" s="6">
        <v>0</v>
      </c>
      <c r="K245" s="12">
        <f t="shared" si="9"/>
        <v>16329.51</v>
      </c>
      <c r="L245" s="7" t="str">
        <f>IF(VLOOKUP(A245,'[1]LISTA ETIQUETAS'!O:AB,14,0)="","",(VLOOKUP(A245,'[1]LISTA ETIQUETAS'!O:AB,14,0)))</f>
        <v/>
      </c>
      <c r="M245" s="8"/>
      <c r="N245" s="9">
        <f t="shared" si="10"/>
        <v>255780</v>
      </c>
      <c r="O245" s="2">
        <f>_xlfn.XLOOKUP($A245,'[1]LISTA ETIQUETAS'!$O:$O,'[1]LISTA ETIQUETAS'!C:C,"",0)</f>
        <v>0</v>
      </c>
      <c r="P245" s="2">
        <f>_xlfn.XLOOKUP($A245,'[1]LISTA ETIQUETAS'!$O:$O,'[1]LISTA ETIQUETAS'!D:D,"",0)</f>
        <v>0</v>
      </c>
      <c r="Q245" s="2">
        <f>_xlfn.XLOOKUP($A245,'[1]LISTA ETIQUETAS'!$O:$O,'[1]LISTA ETIQUETAS'!E:E,"",0)</f>
        <v>0</v>
      </c>
      <c r="R245" s="2">
        <f>_xlfn.XLOOKUP($A245,'[1]LISTA ETIQUETAS'!$O:$O,'[1]LISTA ETIQUETAS'!F:F,"",0)</f>
        <v>0</v>
      </c>
      <c r="S245" s="2">
        <f>_xlfn.XLOOKUP($A245,'[1]LISTA ETIQUETAS'!$O:$O,'[1]LISTA ETIQUETAS'!H:H,"",0)</f>
        <v>1</v>
      </c>
      <c r="T245" s="9">
        <f t="shared" si="11"/>
        <v>1</v>
      </c>
    </row>
    <row r="246" spans="1:20" x14ac:dyDescent="0.25">
      <c r="A246" s="5">
        <v>231134</v>
      </c>
      <c r="B246" t="str">
        <f>IFERROR((VLOOKUP(A246,'[1]LISTA ETIQUETAS'!O:X,3,0)),"PRODUTO SEM ESTOQUE")</f>
        <v>EST APARADOR RENE (TP G4 GOF RATO 242/EST PINT ARGILA 240)</v>
      </c>
      <c r="C246" s="10" t="s">
        <v>33</v>
      </c>
      <c r="D246" s="10" t="s">
        <v>170</v>
      </c>
      <c r="E246" s="11">
        <f>IF(VLOOKUP(A246,'[1]LISTA ETIQUETAS'!O:W,4,0)="",(VLOOKUP(A246,'[1]LISTA ETIQUETAS'!O:W,6,0)),(VLOOKUP(A246,'[1]LISTA ETIQUETAS'!O:W,4,0)))</f>
        <v>2.2000000000000002</v>
      </c>
      <c r="F246" s="11">
        <f>IF(VLOOKUP(A246,'[1]LISTA ETIQUETAS'!O:W,5,0)="",(VLOOKUP(A246,'[1]LISTA ETIQUETAS'!O:W,7,0)),(VLOOKUP(A246,'[1]LISTA ETIQUETAS'!O:W,5,0)))</f>
        <v>0.4</v>
      </c>
      <c r="G246" s="11">
        <f>IFERROR((VLOOKUP(A246,'[1]LISTA ETIQUETAS'!O:X,8,0)),"")</f>
        <v>0.75</v>
      </c>
      <c r="H246" s="11">
        <f>IFERROR((VLOOKUP(A246,'[1]LISTA ETIQUETAS'!O:X,9,0)),"")</f>
        <v>0</v>
      </c>
      <c r="I246" s="12">
        <f>IFERROR((VLOOKUP(A246,'[1]LISTA ETIQUETAS'!O:Y,11,0)),"")</f>
        <v>14950.88</v>
      </c>
      <c r="J246" s="6">
        <v>0</v>
      </c>
      <c r="K246" s="12">
        <f t="shared" si="9"/>
        <v>14950.88</v>
      </c>
      <c r="L246" s="7" t="str">
        <f>IF(VLOOKUP(A246,'[1]LISTA ETIQUETAS'!O:AB,14,0)="","",(VLOOKUP(A246,'[1]LISTA ETIQUETAS'!O:AB,14,0)))</f>
        <v/>
      </c>
      <c r="M246" s="8"/>
      <c r="N246" s="9">
        <f t="shared" si="10"/>
        <v>231134</v>
      </c>
      <c r="O246" s="2">
        <f>_xlfn.XLOOKUP($A246,'[1]LISTA ETIQUETAS'!$O:$O,'[1]LISTA ETIQUETAS'!C:C,"",0)</f>
        <v>0</v>
      </c>
      <c r="P246" s="2">
        <f>_xlfn.XLOOKUP($A246,'[1]LISTA ETIQUETAS'!$O:$O,'[1]LISTA ETIQUETAS'!D:D,"",0)</f>
        <v>0</v>
      </c>
      <c r="Q246" s="2">
        <f>_xlfn.XLOOKUP($A246,'[1]LISTA ETIQUETAS'!$O:$O,'[1]LISTA ETIQUETAS'!E:E,"",0)</f>
        <v>0</v>
      </c>
      <c r="R246" s="2">
        <f>_xlfn.XLOOKUP($A246,'[1]LISTA ETIQUETAS'!$O:$O,'[1]LISTA ETIQUETAS'!F:F,"",0)</f>
        <v>0</v>
      </c>
      <c r="S246" s="2">
        <f>_xlfn.XLOOKUP($A246,'[1]LISTA ETIQUETAS'!$O:$O,'[1]LISTA ETIQUETAS'!H:H,"",0)</f>
        <v>1</v>
      </c>
      <c r="T246" s="9">
        <f t="shared" si="11"/>
        <v>1</v>
      </c>
    </row>
    <row r="247" spans="1:20" x14ac:dyDescent="0.25">
      <c r="A247" s="5">
        <v>269183</v>
      </c>
      <c r="B247" t="str">
        <f>IFERROR((VLOOKUP(A247,'[1]LISTA ETIQUETAS'!O:X,3,0)),"PRODUTO SEM ESTOQUE")</f>
        <v>EST APARADOR RENE (TP G2 FREIJO BRANCO/EST PINT MARROM 235)</v>
      </c>
      <c r="C247" s="10" t="s">
        <v>33</v>
      </c>
      <c r="D247" s="10" t="s">
        <v>170</v>
      </c>
      <c r="E247" s="11">
        <f>IF(VLOOKUP(A247,'[1]LISTA ETIQUETAS'!O:W,4,0)="",(VLOOKUP(A247,'[1]LISTA ETIQUETAS'!O:W,6,0)),(VLOOKUP(A247,'[1]LISTA ETIQUETAS'!O:W,4,0)))</f>
        <v>2.2000000000000002</v>
      </c>
      <c r="F247" s="11">
        <f>IF(VLOOKUP(A247,'[1]LISTA ETIQUETAS'!O:W,5,0)="",(VLOOKUP(A247,'[1]LISTA ETIQUETAS'!O:W,7,0)),(VLOOKUP(A247,'[1]LISTA ETIQUETAS'!O:W,5,0)))</f>
        <v>0.4</v>
      </c>
      <c r="G247" s="11">
        <f>IFERROR((VLOOKUP(A247,'[1]LISTA ETIQUETAS'!O:X,8,0)),"")</f>
        <v>0.75</v>
      </c>
      <c r="H247" s="11">
        <f>IFERROR((VLOOKUP(A247,'[1]LISTA ETIQUETAS'!O:X,9,0)),"")</f>
        <v>0</v>
      </c>
      <c r="I247" s="12">
        <f>IFERROR((VLOOKUP(A247,'[1]LISTA ETIQUETAS'!O:Y,11,0)),"")</f>
        <v>15464.74</v>
      </c>
      <c r="J247" s="6">
        <v>0</v>
      </c>
      <c r="K247" s="12">
        <f t="shared" si="9"/>
        <v>15464.74</v>
      </c>
      <c r="L247" s="7" t="str">
        <f>IF(VLOOKUP(A247,'[1]LISTA ETIQUETAS'!O:AB,14,0)="","",(VLOOKUP(A247,'[1]LISTA ETIQUETAS'!O:AB,14,0)))</f>
        <v/>
      </c>
      <c r="M247" s="8"/>
      <c r="N247" s="9">
        <f t="shared" si="10"/>
        <v>269183</v>
      </c>
      <c r="O247" s="2">
        <f>_xlfn.XLOOKUP($A247,'[1]LISTA ETIQUETAS'!$O:$O,'[1]LISTA ETIQUETAS'!C:C,"",0)</f>
        <v>0</v>
      </c>
      <c r="P247" s="2">
        <f>_xlfn.XLOOKUP($A247,'[1]LISTA ETIQUETAS'!$O:$O,'[1]LISTA ETIQUETAS'!D:D,"",0)</f>
        <v>0</v>
      </c>
      <c r="Q247" s="2">
        <f>_xlfn.XLOOKUP($A247,'[1]LISTA ETIQUETAS'!$O:$O,'[1]LISTA ETIQUETAS'!E:E,"",0)</f>
        <v>0</v>
      </c>
      <c r="R247" s="2">
        <f>_xlfn.XLOOKUP($A247,'[1]LISTA ETIQUETAS'!$O:$O,'[1]LISTA ETIQUETAS'!F:F,"",0)</f>
        <v>0</v>
      </c>
      <c r="S247" s="2">
        <f>_xlfn.XLOOKUP($A247,'[1]LISTA ETIQUETAS'!$O:$O,'[1]LISTA ETIQUETAS'!H:H,"",0)</f>
        <v>1</v>
      </c>
      <c r="T247" s="9">
        <f t="shared" si="11"/>
        <v>1</v>
      </c>
    </row>
    <row r="248" spans="1:20" x14ac:dyDescent="0.25">
      <c r="A248" s="5">
        <v>334167</v>
      </c>
      <c r="B248" t="str">
        <f>IFERROR((VLOOKUP(A248,'[1]LISTA ETIQUETAS'!O:X,3,0)),"PRODUTO SEM ESTOQUE")</f>
        <v>EST APARADOR RENE (TP G4 GOF 235 MARROM/EST PINT PRETA)</v>
      </c>
      <c r="C248" s="10" t="s">
        <v>33</v>
      </c>
      <c r="D248" s="10" t="s">
        <v>170</v>
      </c>
      <c r="E248" s="11">
        <f>IF(VLOOKUP(A248,'[1]LISTA ETIQUETAS'!O:W,4,0)="",(VLOOKUP(A248,'[1]LISTA ETIQUETAS'!O:W,6,0)),(VLOOKUP(A248,'[1]LISTA ETIQUETAS'!O:W,4,0)))</f>
        <v>1.8</v>
      </c>
      <c r="F248" s="11">
        <f>IF(VLOOKUP(A248,'[1]LISTA ETIQUETAS'!O:W,5,0)="",(VLOOKUP(A248,'[1]LISTA ETIQUETAS'!O:W,7,0)),(VLOOKUP(A248,'[1]LISTA ETIQUETAS'!O:W,5,0)))</f>
        <v>0.4</v>
      </c>
      <c r="G248" s="11">
        <f>IFERROR((VLOOKUP(A248,'[1]LISTA ETIQUETAS'!O:X,8,0)),"")</f>
        <v>0.75</v>
      </c>
      <c r="H248" s="11">
        <f>IFERROR((VLOOKUP(A248,'[1]LISTA ETIQUETAS'!O:X,9,0)),"")</f>
        <v>0</v>
      </c>
      <c r="I248" s="12">
        <f>IFERROR((VLOOKUP(A248,'[1]LISTA ETIQUETAS'!O:Y,11,0)),"")</f>
        <v>13869.32</v>
      </c>
      <c r="J248" s="6">
        <v>0</v>
      </c>
      <c r="K248" s="12">
        <f t="shared" si="9"/>
        <v>13869.32</v>
      </c>
      <c r="L248" s="7" t="str">
        <f>IF(VLOOKUP(A248,'[1]LISTA ETIQUETAS'!O:AB,14,0)="","",(VLOOKUP(A248,'[1]LISTA ETIQUETAS'!O:AB,14,0)))</f>
        <v/>
      </c>
      <c r="M248" s="8"/>
      <c r="N248" s="9">
        <f t="shared" si="10"/>
        <v>334167</v>
      </c>
      <c r="O248" s="2">
        <f>_xlfn.XLOOKUP($A248,'[1]LISTA ETIQUETAS'!$O:$O,'[1]LISTA ETIQUETAS'!C:C,"",0)</f>
        <v>0</v>
      </c>
      <c r="P248" s="2">
        <f>_xlfn.XLOOKUP($A248,'[1]LISTA ETIQUETAS'!$O:$O,'[1]LISTA ETIQUETAS'!D:D,"",0)</f>
        <v>0</v>
      </c>
      <c r="Q248" s="2">
        <f>_xlfn.XLOOKUP($A248,'[1]LISTA ETIQUETAS'!$O:$O,'[1]LISTA ETIQUETAS'!E:E,"",0)</f>
        <v>0</v>
      </c>
      <c r="R248" s="2">
        <f>_xlfn.XLOOKUP($A248,'[1]LISTA ETIQUETAS'!$O:$O,'[1]LISTA ETIQUETAS'!F:F,"",0)</f>
        <v>0</v>
      </c>
      <c r="S248" s="2">
        <f>_xlfn.XLOOKUP($A248,'[1]LISTA ETIQUETAS'!$O:$O,'[1]LISTA ETIQUETAS'!H:H,"",0)</f>
        <v>1</v>
      </c>
      <c r="T248" s="9">
        <f t="shared" si="11"/>
        <v>1</v>
      </c>
    </row>
    <row r="249" spans="1:20" x14ac:dyDescent="0.25">
      <c r="A249" s="5">
        <v>334176</v>
      </c>
      <c r="B249" t="str">
        <f>IFERROR((VLOOKUP(A249,'[1]LISTA ETIQUETAS'!O:X,3,0)),"PRODUTO SEM ESTOQUE")</f>
        <v>EST APARADOR X (FREIJO EBANIZADO) DET LC PRETA FSC</v>
      </c>
      <c r="C249" s="10" t="s">
        <v>33</v>
      </c>
      <c r="D249" s="10" t="s">
        <v>171</v>
      </c>
      <c r="E249" s="11">
        <f>IF(VLOOKUP(A249,'[1]LISTA ETIQUETAS'!O:W,4,0)="",(VLOOKUP(A249,'[1]LISTA ETIQUETAS'!O:W,6,0)),(VLOOKUP(A249,'[1]LISTA ETIQUETAS'!O:W,4,0)))</f>
        <v>2.6</v>
      </c>
      <c r="F249" s="11">
        <f>IF(VLOOKUP(A249,'[1]LISTA ETIQUETAS'!O:W,5,0)="",(VLOOKUP(A249,'[1]LISTA ETIQUETAS'!O:W,7,0)),(VLOOKUP(A249,'[1]LISTA ETIQUETAS'!O:W,5,0)))</f>
        <v>0.48</v>
      </c>
      <c r="G249" s="11">
        <f>IFERROR((VLOOKUP(A249,'[1]LISTA ETIQUETAS'!O:X,8,0)),"")</f>
        <v>0.75</v>
      </c>
      <c r="H249" s="11">
        <f>IFERROR((VLOOKUP(A249,'[1]LISTA ETIQUETAS'!O:X,9,0)),"")</f>
        <v>0</v>
      </c>
      <c r="I249" s="12">
        <f>IFERROR((VLOOKUP(A249,'[1]LISTA ETIQUETAS'!O:Y,11,0)),"")</f>
        <v>30533.4</v>
      </c>
      <c r="J249" s="6">
        <v>0</v>
      </c>
      <c r="K249" s="12">
        <f t="shared" si="9"/>
        <v>30533.4</v>
      </c>
      <c r="L249" s="7" t="str">
        <f>IF(VLOOKUP(A249,'[1]LISTA ETIQUETAS'!O:AB,14,0)="","",(VLOOKUP(A249,'[1]LISTA ETIQUETAS'!O:AB,14,0)))</f>
        <v/>
      </c>
      <c r="M249" s="8"/>
      <c r="N249" s="9">
        <f t="shared" si="10"/>
        <v>334176</v>
      </c>
      <c r="O249" s="2">
        <f>_xlfn.XLOOKUP($A249,'[1]LISTA ETIQUETAS'!$O:$O,'[1]LISTA ETIQUETAS'!C:C,"",0)</f>
        <v>0</v>
      </c>
      <c r="P249" s="2">
        <f>_xlfn.XLOOKUP($A249,'[1]LISTA ETIQUETAS'!$O:$O,'[1]LISTA ETIQUETAS'!D:D,"",0)</f>
        <v>0</v>
      </c>
      <c r="Q249" s="2">
        <f>_xlfn.XLOOKUP($A249,'[1]LISTA ETIQUETAS'!$O:$O,'[1]LISTA ETIQUETAS'!E:E,"",0)</f>
        <v>0</v>
      </c>
      <c r="R249" s="2">
        <f>_xlfn.XLOOKUP($A249,'[1]LISTA ETIQUETAS'!$O:$O,'[1]LISTA ETIQUETAS'!F:F,"",0)</f>
        <v>0</v>
      </c>
      <c r="S249" s="2">
        <f>_xlfn.XLOOKUP($A249,'[1]LISTA ETIQUETAS'!$O:$O,'[1]LISTA ETIQUETAS'!H:H,"",0)</f>
        <v>1</v>
      </c>
      <c r="T249" s="9">
        <f t="shared" si="11"/>
        <v>1</v>
      </c>
    </row>
    <row r="250" spans="1:20" x14ac:dyDescent="0.25">
      <c r="A250" s="5">
        <v>404591</v>
      </c>
      <c r="B250" t="str">
        <f>IFERROR((VLOOKUP(A250,'[1]LISTA ETIQUETAS'!O:X,3,0)),"PRODUTO SEM ESTOQUE")</f>
        <v>EST POLTRONA BELLAGIO (ALU C29 | CORD V01)</v>
      </c>
      <c r="C250" s="10" t="s">
        <v>172</v>
      </c>
      <c r="D250" s="10" t="s">
        <v>173</v>
      </c>
      <c r="E250" s="11">
        <f>IF(VLOOKUP(A250,'[1]LISTA ETIQUETAS'!O:W,4,0)="",(VLOOKUP(A250,'[1]LISTA ETIQUETAS'!O:W,6,0)),(VLOOKUP(A250,'[1]LISTA ETIQUETAS'!O:W,4,0)))</f>
        <v>0.8</v>
      </c>
      <c r="F250" s="11">
        <f>IF(VLOOKUP(A250,'[1]LISTA ETIQUETAS'!O:W,5,0)="",(VLOOKUP(A250,'[1]LISTA ETIQUETAS'!O:W,7,0)),(VLOOKUP(A250,'[1]LISTA ETIQUETAS'!O:W,5,0)))</f>
        <v>0.85</v>
      </c>
      <c r="G250" s="11">
        <f>IFERROR((VLOOKUP(A250,'[1]LISTA ETIQUETAS'!O:X,8,0)),"")</f>
        <v>0.72</v>
      </c>
      <c r="H250" s="11">
        <f>IFERROR((VLOOKUP(A250,'[1]LISTA ETIQUETAS'!O:X,9,0)),"")</f>
        <v>0</v>
      </c>
      <c r="I250" s="12">
        <f>IFERROR((VLOOKUP(A250,'[1]LISTA ETIQUETAS'!O:Y,11,0)),"")</f>
        <v>10458.69</v>
      </c>
      <c r="J250" s="6">
        <v>0</v>
      </c>
      <c r="K250" s="12">
        <f t="shared" si="9"/>
        <v>10458.69</v>
      </c>
      <c r="L250" s="7" t="str">
        <f>IF(VLOOKUP(A250,'[1]LISTA ETIQUETAS'!O:AB,14,0)="","",(VLOOKUP(A250,'[1]LISTA ETIQUETAS'!O:AB,14,0)))</f>
        <v/>
      </c>
      <c r="M250" s="8"/>
      <c r="N250" s="9">
        <f t="shared" si="10"/>
        <v>404591</v>
      </c>
      <c r="O250" s="2">
        <f>_xlfn.XLOOKUP($A250,'[1]LISTA ETIQUETAS'!$O:$O,'[1]LISTA ETIQUETAS'!C:C,"",0)</f>
        <v>0</v>
      </c>
      <c r="P250" s="2">
        <f>_xlfn.XLOOKUP($A250,'[1]LISTA ETIQUETAS'!$O:$O,'[1]LISTA ETIQUETAS'!D:D,"",0)</f>
        <v>0</v>
      </c>
      <c r="Q250" s="2">
        <f>_xlfn.XLOOKUP($A250,'[1]LISTA ETIQUETAS'!$O:$O,'[1]LISTA ETIQUETAS'!E:E,"",0)</f>
        <v>1</v>
      </c>
      <c r="R250" s="2">
        <f>_xlfn.XLOOKUP($A250,'[1]LISTA ETIQUETAS'!$O:$O,'[1]LISTA ETIQUETAS'!F:F,"",0)</f>
        <v>0</v>
      </c>
      <c r="S250" s="2">
        <f>_xlfn.XLOOKUP($A250,'[1]LISTA ETIQUETAS'!$O:$O,'[1]LISTA ETIQUETAS'!H:H,"",0)</f>
        <v>1</v>
      </c>
      <c r="T250" s="9">
        <f t="shared" si="11"/>
        <v>2</v>
      </c>
    </row>
    <row r="251" spans="1:20" x14ac:dyDescent="0.25">
      <c r="A251" s="5">
        <v>404587</v>
      </c>
      <c r="B251" t="str">
        <f>IFERROR((VLOOKUP(A251,'[1]LISTA ETIQUETAS'!O:X,3,0)),"PRODUTO SEM ESTOQUE")</f>
        <v>EST CHAISE BELLAGIO (ALU C24 | CORD V01)</v>
      </c>
      <c r="C251" s="10" t="s">
        <v>172</v>
      </c>
      <c r="D251" s="10" t="s">
        <v>174</v>
      </c>
      <c r="E251" s="11">
        <f>IF(VLOOKUP(A251,'[1]LISTA ETIQUETAS'!O:W,4,0)="",(VLOOKUP(A251,'[1]LISTA ETIQUETAS'!O:W,6,0)),(VLOOKUP(A251,'[1]LISTA ETIQUETAS'!O:W,4,0)))</f>
        <v>1.7</v>
      </c>
      <c r="F251" s="11">
        <f>IF(VLOOKUP(A251,'[1]LISTA ETIQUETAS'!O:W,5,0)="",(VLOOKUP(A251,'[1]LISTA ETIQUETAS'!O:W,7,0)),(VLOOKUP(A251,'[1]LISTA ETIQUETAS'!O:W,5,0)))</f>
        <v>0.7</v>
      </c>
      <c r="G251" s="11">
        <f>IFERROR((VLOOKUP(A251,'[1]LISTA ETIQUETAS'!O:X,8,0)),"")</f>
        <v>0.66</v>
      </c>
      <c r="H251" s="11">
        <f>IFERROR((VLOOKUP(A251,'[1]LISTA ETIQUETAS'!O:X,9,0)),"")</f>
        <v>0</v>
      </c>
      <c r="I251" s="12">
        <f>IFERROR((VLOOKUP(A251,'[1]LISTA ETIQUETAS'!O:Y,11,0)),"")</f>
        <v>14625.32</v>
      </c>
      <c r="J251" s="6">
        <v>0</v>
      </c>
      <c r="K251" s="12">
        <f t="shared" si="9"/>
        <v>14625.32</v>
      </c>
      <c r="L251" s="7" t="str">
        <f>IF(VLOOKUP(A251,'[1]LISTA ETIQUETAS'!O:AB,14,0)="","",(VLOOKUP(A251,'[1]LISTA ETIQUETAS'!O:AB,14,0)))</f>
        <v/>
      </c>
      <c r="M251" s="8"/>
      <c r="N251" s="9">
        <f t="shared" si="10"/>
        <v>404587</v>
      </c>
      <c r="O251" s="2">
        <f>_xlfn.XLOOKUP($A251,'[1]LISTA ETIQUETAS'!$O:$O,'[1]LISTA ETIQUETAS'!C:C,"",0)</f>
        <v>1</v>
      </c>
      <c r="P251" s="2">
        <f>_xlfn.XLOOKUP($A251,'[1]LISTA ETIQUETAS'!$O:$O,'[1]LISTA ETIQUETAS'!D:D,"",0)</f>
        <v>0</v>
      </c>
      <c r="Q251" s="2">
        <f>_xlfn.XLOOKUP($A251,'[1]LISTA ETIQUETAS'!$O:$O,'[1]LISTA ETIQUETAS'!E:E,"",0)</f>
        <v>1</v>
      </c>
      <c r="R251" s="2">
        <f>_xlfn.XLOOKUP($A251,'[1]LISTA ETIQUETAS'!$O:$O,'[1]LISTA ETIQUETAS'!F:F,"",0)</f>
        <v>0</v>
      </c>
      <c r="S251" s="2">
        <f>_xlfn.XLOOKUP($A251,'[1]LISTA ETIQUETAS'!$O:$O,'[1]LISTA ETIQUETAS'!H:H,"",0)</f>
        <v>1</v>
      </c>
      <c r="T251" s="9">
        <f t="shared" si="11"/>
        <v>3</v>
      </c>
    </row>
    <row r="252" spans="1:20" x14ac:dyDescent="0.25">
      <c r="A252" s="5">
        <v>404594</v>
      </c>
      <c r="B252" t="str">
        <f>IFERROR((VLOOKUP(A252,'[1]LISTA ETIQUETAS'!O:X,3,0)),"PRODUTO SEM ESTOQUE")</f>
        <v>EST COMPONENTE ALMOFADA POLTRONA BELLAGIO TC KEEPSAKE TAUPE</v>
      </c>
      <c r="C252" s="10" t="s">
        <v>172</v>
      </c>
      <c r="D252" s="10" t="s">
        <v>175</v>
      </c>
      <c r="E252" s="11">
        <f>IF(VLOOKUP(A252,'[1]LISTA ETIQUETAS'!O:W,4,0)="",(VLOOKUP(A252,'[1]LISTA ETIQUETAS'!O:W,6,0)),(VLOOKUP(A252,'[1]LISTA ETIQUETAS'!O:W,4,0)))</f>
        <v>0.8</v>
      </c>
      <c r="F252" s="11">
        <f>IF(VLOOKUP(A252,'[1]LISTA ETIQUETAS'!O:W,5,0)="",(VLOOKUP(A252,'[1]LISTA ETIQUETAS'!O:W,7,0)),(VLOOKUP(A252,'[1]LISTA ETIQUETAS'!O:W,5,0)))</f>
        <v>0.85</v>
      </c>
      <c r="G252" s="11">
        <f>IFERROR((VLOOKUP(A252,'[1]LISTA ETIQUETAS'!O:X,8,0)),"")</f>
        <v>0.05</v>
      </c>
      <c r="H252" s="11">
        <f>IFERROR((VLOOKUP(A252,'[1]LISTA ETIQUETAS'!O:X,9,0)),"")</f>
        <v>0</v>
      </c>
      <c r="I252" s="12">
        <f>IFERROR((VLOOKUP(A252,'[1]LISTA ETIQUETAS'!O:Y,11,0)),"")</f>
        <v>6064.2404999999999</v>
      </c>
      <c r="J252" s="6">
        <v>0</v>
      </c>
      <c r="K252" s="12">
        <f t="shared" si="9"/>
        <v>6064.2404999999999</v>
      </c>
      <c r="L252" s="7" t="str">
        <f>IF(VLOOKUP(A252,'[1]LISTA ETIQUETAS'!O:AB,14,0)="","",(VLOOKUP(A252,'[1]LISTA ETIQUETAS'!O:AB,14,0)))</f>
        <v/>
      </c>
      <c r="M252" s="8"/>
      <c r="N252" s="9">
        <f t="shared" si="10"/>
        <v>404594</v>
      </c>
      <c r="O252" s="2">
        <f>_xlfn.XLOOKUP($A252,'[1]LISTA ETIQUETAS'!$O:$O,'[1]LISTA ETIQUETAS'!C:C,"",0)</f>
        <v>0</v>
      </c>
      <c r="P252" s="2">
        <f>_xlfn.XLOOKUP($A252,'[1]LISTA ETIQUETAS'!$O:$O,'[1]LISTA ETIQUETAS'!D:D,"",0)</f>
        <v>0</v>
      </c>
      <c r="Q252" s="2">
        <f>_xlfn.XLOOKUP($A252,'[1]LISTA ETIQUETAS'!$O:$O,'[1]LISTA ETIQUETAS'!E:E,"",0)</f>
        <v>1</v>
      </c>
      <c r="R252" s="2">
        <f>_xlfn.XLOOKUP($A252,'[1]LISTA ETIQUETAS'!$O:$O,'[1]LISTA ETIQUETAS'!F:F,"",0)</f>
        <v>2</v>
      </c>
      <c r="S252" s="2">
        <f>_xlfn.XLOOKUP($A252,'[1]LISTA ETIQUETAS'!$O:$O,'[1]LISTA ETIQUETAS'!H:H,"",0)</f>
        <v>1</v>
      </c>
      <c r="T252" s="9">
        <f t="shared" si="11"/>
        <v>4</v>
      </c>
    </row>
    <row r="253" spans="1:20" x14ac:dyDescent="0.25">
      <c r="A253" s="5">
        <v>404589</v>
      </c>
      <c r="B253" t="str">
        <f>IFERROR((VLOOKUP(A253,'[1]LISTA ETIQUETAS'!O:X,3,0)),"PRODUTO SEM ESTOQUE")</f>
        <v>EST COMPONENTE ALMOFADA CHAISE BELLAGIO TC KEEPSAKE SILVER</v>
      </c>
      <c r="C253" s="10" t="s">
        <v>172</v>
      </c>
      <c r="D253" s="10" t="s">
        <v>175</v>
      </c>
      <c r="E253" s="11">
        <f>IF(VLOOKUP(A253,'[1]LISTA ETIQUETAS'!O:W,4,0)="",(VLOOKUP(A253,'[1]LISTA ETIQUETAS'!O:W,6,0)),(VLOOKUP(A253,'[1]LISTA ETIQUETAS'!O:W,4,0)))</f>
        <v>1.7</v>
      </c>
      <c r="F253" s="11">
        <f>IF(VLOOKUP(A253,'[1]LISTA ETIQUETAS'!O:W,5,0)="",(VLOOKUP(A253,'[1]LISTA ETIQUETAS'!O:W,7,0)),(VLOOKUP(A253,'[1]LISTA ETIQUETAS'!O:W,5,0)))</f>
        <v>0.7</v>
      </c>
      <c r="G253" s="11">
        <f>IFERROR((VLOOKUP(A253,'[1]LISTA ETIQUETAS'!O:X,8,0)),"")</f>
        <v>0.05</v>
      </c>
      <c r="H253" s="11">
        <f>IFERROR((VLOOKUP(A253,'[1]LISTA ETIQUETAS'!O:X,9,0)),"")</f>
        <v>0</v>
      </c>
      <c r="I253" s="12">
        <f>IFERROR((VLOOKUP(A253,'[1]LISTA ETIQUETAS'!O:Y,11,0)),"")</f>
        <v>8865.7227999999996</v>
      </c>
      <c r="J253" s="6">
        <v>0</v>
      </c>
      <c r="K253" s="12">
        <f t="shared" si="9"/>
        <v>8865.7227999999996</v>
      </c>
      <c r="L253" s="7" t="str">
        <f>IF(VLOOKUP(A253,'[1]LISTA ETIQUETAS'!O:AB,14,0)="","",(VLOOKUP(A253,'[1]LISTA ETIQUETAS'!O:AB,14,0)))</f>
        <v/>
      </c>
      <c r="M253" s="8"/>
      <c r="N253" s="9">
        <f t="shared" si="10"/>
        <v>404589</v>
      </c>
      <c r="O253" s="2">
        <f>_xlfn.XLOOKUP($A253,'[1]LISTA ETIQUETAS'!$O:$O,'[1]LISTA ETIQUETAS'!C:C,"",0)</f>
        <v>1</v>
      </c>
      <c r="P253" s="2">
        <f>_xlfn.XLOOKUP($A253,'[1]LISTA ETIQUETAS'!$O:$O,'[1]LISTA ETIQUETAS'!D:D,"",0)</f>
        <v>0</v>
      </c>
      <c r="Q253" s="2">
        <f>_xlfn.XLOOKUP($A253,'[1]LISTA ETIQUETAS'!$O:$O,'[1]LISTA ETIQUETAS'!E:E,"",0)</f>
        <v>1</v>
      </c>
      <c r="R253" s="2">
        <f>_xlfn.XLOOKUP($A253,'[1]LISTA ETIQUETAS'!$O:$O,'[1]LISTA ETIQUETAS'!F:F,"",0)</f>
        <v>0</v>
      </c>
      <c r="S253" s="2">
        <f>_xlfn.XLOOKUP($A253,'[1]LISTA ETIQUETAS'!$O:$O,'[1]LISTA ETIQUETAS'!H:H,"",0)</f>
        <v>1</v>
      </c>
      <c r="T253" s="9">
        <f t="shared" si="11"/>
        <v>3</v>
      </c>
    </row>
    <row r="254" spans="1:20" x14ac:dyDescent="0.25">
      <c r="A254" s="5">
        <v>64211</v>
      </c>
      <c r="B254" t="str">
        <f>IFERROR((VLOOKUP(A254,'[1]LISTA ETIQUETAS'!O:X,3,0)),"PRODUTO SEM ESTOQUE")</f>
        <v>EST MESA CENTRO ANGRA (FIBRA SINTETICA)</v>
      </c>
      <c r="C254" s="10" t="s">
        <v>172</v>
      </c>
      <c r="D254" s="10" t="s">
        <v>176</v>
      </c>
      <c r="E254" s="11">
        <f>IF(VLOOKUP(A254,'[1]LISTA ETIQUETAS'!O:W,4,0)="",(VLOOKUP(A254,'[1]LISTA ETIQUETAS'!O:W,6,0)),(VLOOKUP(A254,'[1]LISTA ETIQUETAS'!O:W,4,0)))</f>
        <v>1</v>
      </c>
      <c r="F254" s="11">
        <f>IF(VLOOKUP(A254,'[1]LISTA ETIQUETAS'!O:W,5,0)="",(VLOOKUP(A254,'[1]LISTA ETIQUETAS'!O:W,7,0)),(VLOOKUP(A254,'[1]LISTA ETIQUETAS'!O:W,5,0)))</f>
        <v>1</v>
      </c>
      <c r="G254" s="11">
        <f>IFERROR((VLOOKUP(A254,'[1]LISTA ETIQUETAS'!O:X,8,0)),"")</f>
        <v>0.45</v>
      </c>
      <c r="H254" s="11">
        <f>IFERROR((VLOOKUP(A254,'[1]LISTA ETIQUETAS'!O:X,9,0)),"")</f>
        <v>0</v>
      </c>
      <c r="I254" s="12">
        <f>IFERROR((VLOOKUP(A254,'[1]LISTA ETIQUETAS'!O:Y,11,0)),"")</f>
        <v>0</v>
      </c>
      <c r="J254" s="6">
        <v>0</v>
      </c>
      <c r="K254" s="12">
        <f t="shared" si="9"/>
        <v>0</v>
      </c>
      <c r="L254" s="7" t="str">
        <f>IF(VLOOKUP(A254,'[1]LISTA ETIQUETAS'!O:AB,14,0)="","",(VLOOKUP(A254,'[1]LISTA ETIQUETAS'!O:AB,14,0)))</f>
        <v/>
      </c>
      <c r="M254" s="8"/>
      <c r="N254" s="9">
        <f t="shared" si="10"/>
        <v>64211</v>
      </c>
      <c r="O254" s="2">
        <f>_xlfn.XLOOKUP($A254,'[1]LISTA ETIQUETAS'!$O:$O,'[1]LISTA ETIQUETAS'!C:C,"",0)</f>
        <v>0</v>
      </c>
      <c r="P254" s="2">
        <f>_xlfn.XLOOKUP($A254,'[1]LISTA ETIQUETAS'!$O:$O,'[1]LISTA ETIQUETAS'!D:D,"",0)</f>
        <v>0</v>
      </c>
      <c r="Q254" s="2">
        <f>_xlfn.XLOOKUP($A254,'[1]LISTA ETIQUETAS'!$O:$O,'[1]LISTA ETIQUETAS'!E:E,"",0)</f>
        <v>0</v>
      </c>
      <c r="R254" s="2">
        <f>_xlfn.XLOOKUP($A254,'[1]LISTA ETIQUETAS'!$O:$O,'[1]LISTA ETIQUETAS'!F:F,"",0)</f>
        <v>0</v>
      </c>
      <c r="S254" s="2">
        <f>_xlfn.XLOOKUP($A254,'[1]LISTA ETIQUETAS'!$O:$O,'[1]LISTA ETIQUETAS'!H:H,"",0)</f>
        <v>1</v>
      </c>
      <c r="T254" s="9">
        <f t="shared" si="11"/>
        <v>1</v>
      </c>
    </row>
    <row r="255" spans="1:20" x14ac:dyDescent="0.25">
      <c r="A255" s="5">
        <v>151385</v>
      </c>
      <c r="B255" t="str">
        <f>IFERROR((VLOOKUP(A255,'[1]LISTA ETIQUETAS'!O:X,3,0)),"PRODUTO SEM ESTOQUE")</f>
        <v>EST BANCO CARTIER (FITA 10MM TABACO) TC SOL</v>
      </c>
      <c r="C255" s="10" t="s">
        <v>172</v>
      </c>
      <c r="D255" s="10" t="s">
        <v>177</v>
      </c>
      <c r="E255" s="11">
        <f>IF(VLOOKUP(A255,'[1]LISTA ETIQUETAS'!O:W,4,0)="",(VLOOKUP(A255,'[1]LISTA ETIQUETAS'!O:W,6,0)),(VLOOKUP(A255,'[1]LISTA ETIQUETAS'!O:W,4,0)))</f>
        <v>1.3</v>
      </c>
      <c r="F255" s="11">
        <f>IF(VLOOKUP(A255,'[1]LISTA ETIQUETAS'!O:W,5,0)="",(VLOOKUP(A255,'[1]LISTA ETIQUETAS'!O:W,7,0)),(VLOOKUP(A255,'[1]LISTA ETIQUETAS'!O:W,5,0)))</f>
        <v>0.4</v>
      </c>
      <c r="G255" s="11">
        <f>IFERROR((VLOOKUP(A255,'[1]LISTA ETIQUETAS'!O:X,8,0)),"")</f>
        <v>0.45</v>
      </c>
      <c r="H255" s="11">
        <f>IFERROR((VLOOKUP(A255,'[1]LISTA ETIQUETAS'!O:X,9,0)),"")</f>
        <v>0</v>
      </c>
      <c r="I255" s="12">
        <f>IFERROR((VLOOKUP(A255,'[1]LISTA ETIQUETAS'!O:Y,11,0)),"")</f>
        <v>0</v>
      </c>
      <c r="J255" s="6">
        <v>0</v>
      </c>
      <c r="K255" s="12">
        <f t="shared" si="9"/>
        <v>0</v>
      </c>
      <c r="L255" s="7" t="str">
        <f>IF(VLOOKUP(A255,'[1]LISTA ETIQUETAS'!O:AB,14,0)="","",(VLOOKUP(A255,'[1]LISTA ETIQUETAS'!O:AB,14,0)))</f>
        <v/>
      </c>
      <c r="M255" s="8"/>
      <c r="N255" s="9">
        <f t="shared" si="10"/>
        <v>151385</v>
      </c>
      <c r="O255" s="2">
        <f>_xlfn.XLOOKUP($A255,'[1]LISTA ETIQUETAS'!$O:$O,'[1]LISTA ETIQUETAS'!C:C,"",0)</f>
        <v>0</v>
      </c>
      <c r="P255" s="2">
        <f>_xlfn.XLOOKUP($A255,'[1]LISTA ETIQUETAS'!$O:$O,'[1]LISTA ETIQUETAS'!D:D,"",0)</f>
        <v>0</v>
      </c>
      <c r="Q255" s="2">
        <f>_xlfn.XLOOKUP($A255,'[1]LISTA ETIQUETAS'!$O:$O,'[1]LISTA ETIQUETAS'!E:E,"",0)</f>
        <v>0</v>
      </c>
      <c r="R255" s="2">
        <f>_xlfn.XLOOKUP($A255,'[1]LISTA ETIQUETAS'!$O:$O,'[1]LISTA ETIQUETAS'!F:F,"",0)</f>
        <v>0</v>
      </c>
      <c r="S255" s="2">
        <f>_xlfn.XLOOKUP($A255,'[1]LISTA ETIQUETAS'!$O:$O,'[1]LISTA ETIQUETAS'!H:H,"",0)</f>
        <v>2</v>
      </c>
      <c r="T255" s="9">
        <f t="shared" si="11"/>
        <v>2</v>
      </c>
    </row>
    <row r="256" spans="1:20" x14ac:dyDescent="0.25">
      <c r="A256" s="5">
        <v>182609</v>
      </c>
      <c r="B256" t="str">
        <f>IFERROR((VLOOKUP(A256,'[1]LISTA ETIQUETAS'!O:X,3,0)),"PRODUTO SEM ESTOQUE")</f>
        <v>EST MESA CENTRO ALECRIM (FIBRA ESTONADO TABACO)</v>
      </c>
      <c r="C256" s="10" t="s">
        <v>172</v>
      </c>
      <c r="D256" s="10" t="s">
        <v>178</v>
      </c>
      <c r="E256" s="11">
        <f>IF(VLOOKUP(A256,'[1]LISTA ETIQUETAS'!O:W,4,0)="",(VLOOKUP(A256,'[1]LISTA ETIQUETAS'!O:W,6,0)),(VLOOKUP(A256,'[1]LISTA ETIQUETAS'!O:W,4,0)))</f>
        <v>0.8</v>
      </c>
      <c r="F256" s="11">
        <f>IF(VLOOKUP(A256,'[1]LISTA ETIQUETAS'!O:W,5,0)="",(VLOOKUP(A256,'[1]LISTA ETIQUETAS'!O:W,7,0)),(VLOOKUP(A256,'[1]LISTA ETIQUETAS'!O:W,5,0)))</f>
        <v>0.8</v>
      </c>
      <c r="G256" s="11">
        <f>IFERROR((VLOOKUP(A256,'[1]LISTA ETIQUETAS'!O:X,8,0)),"")</f>
        <v>0.3</v>
      </c>
      <c r="H256" s="11">
        <f>IFERROR((VLOOKUP(A256,'[1]LISTA ETIQUETAS'!O:X,9,0)),"")</f>
        <v>0</v>
      </c>
      <c r="I256" s="12">
        <f>IFERROR((VLOOKUP(A256,'[1]LISTA ETIQUETAS'!O:Y,11,0)),"")</f>
        <v>0</v>
      </c>
      <c r="J256" s="6">
        <v>0</v>
      </c>
      <c r="K256" s="12">
        <f t="shared" si="9"/>
        <v>0</v>
      </c>
      <c r="L256" s="7" t="str">
        <f>IF(VLOOKUP(A256,'[1]LISTA ETIQUETAS'!O:AB,14,0)="","",(VLOOKUP(A256,'[1]LISTA ETIQUETAS'!O:AB,14,0)))</f>
        <v/>
      </c>
      <c r="M256" s="8"/>
      <c r="N256" s="9">
        <f t="shared" si="10"/>
        <v>182609</v>
      </c>
      <c r="O256" s="2">
        <f>_xlfn.XLOOKUP($A256,'[1]LISTA ETIQUETAS'!$O:$O,'[1]LISTA ETIQUETAS'!C:C,"",0)</f>
        <v>0</v>
      </c>
      <c r="P256" s="2">
        <f>_xlfn.XLOOKUP($A256,'[1]LISTA ETIQUETAS'!$O:$O,'[1]LISTA ETIQUETAS'!D:D,"",0)</f>
        <v>0</v>
      </c>
      <c r="Q256" s="2">
        <f>_xlfn.XLOOKUP($A256,'[1]LISTA ETIQUETAS'!$O:$O,'[1]LISTA ETIQUETAS'!E:E,"",0)</f>
        <v>0</v>
      </c>
      <c r="R256" s="2">
        <f>_xlfn.XLOOKUP($A256,'[1]LISTA ETIQUETAS'!$O:$O,'[1]LISTA ETIQUETAS'!F:F,"",0)</f>
        <v>0</v>
      </c>
      <c r="S256" s="2">
        <f>_xlfn.XLOOKUP($A256,'[1]LISTA ETIQUETAS'!$O:$O,'[1]LISTA ETIQUETAS'!H:H,"",0)</f>
        <v>1</v>
      </c>
      <c r="T256" s="9">
        <f t="shared" si="11"/>
        <v>1</v>
      </c>
    </row>
    <row r="257" spans="1:20" x14ac:dyDescent="0.25">
      <c r="A257" s="5">
        <v>182608</v>
      </c>
      <c r="B257" t="str">
        <f>IFERROR((VLOOKUP(A257,'[1]LISTA ETIQUETAS'!O:X,3,0)),"PRODUTO SEM ESTOQUE")</f>
        <v>EST MESA CENTRO LUMINA (ALUMINIO CAPUCCINO)</v>
      </c>
      <c r="C257" s="10" t="s">
        <v>172</v>
      </c>
      <c r="D257" s="10" t="s">
        <v>179</v>
      </c>
      <c r="E257" s="11">
        <f>IF(VLOOKUP(A257,'[1]LISTA ETIQUETAS'!O:W,4,0)="",(VLOOKUP(A257,'[1]LISTA ETIQUETAS'!O:W,6,0)),(VLOOKUP(A257,'[1]LISTA ETIQUETAS'!O:W,4,0)))</f>
        <v>1.5</v>
      </c>
      <c r="F257" s="11">
        <f>IF(VLOOKUP(A257,'[1]LISTA ETIQUETAS'!O:W,5,0)="",(VLOOKUP(A257,'[1]LISTA ETIQUETAS'!O:W,7,0)),(VLOOKUP(A257,'[1]LISTA ETIQUETAS'!O:W,5,0)))</f>
        <v>0.75</v>
      </c>
      <c r="G257" s="11">
        <f>IFERROR((VLOOKUP(A257,'[1]LISTA ETIQUETAS'!O:X,8,0)),"")</f>
        <v>0.25</v>
      </c>
      <c r="H257" s="11">
        <f>IFERROR((VLOOKUP(A257,'[1]LISTA ETIQUETAS'!O:X,9,0)),"")</f>
        <v>0</v>
      </c>
      <c r="I257" s="12">
        <f>IFERROR((VLOOKUP(A257,'[1]LISTA ETIQUETAS'!O:Y,11,0)),"")</f>
        <v>0</v>
      </c>
      <c r="J257" s="6">
        <v>0</v>
      </c>
      <c r="K257" s="12">
        <f t="shared" si="9"/>
        <v>0</v>
      </c>
      <c r="L257" s="7" t="str">
        <f>IF(VLOOKUP(A257,'[1]LISTA ETIQUETAS'!O:AB,14,0)="","",(VLOOKUP(A257,'[1]LISTA ETIQUETAS'!O:AB,14,0)))</f>
        <v/>
      </c>
      <c r="M257" s="8"/>
      <c r="N257" s="9">
        <f t="shared" si="10"/>
        <v>182608</v>
      </c>
      <c r="O257" s="2">
        <f>_xlfn.XLOOKUP($A257,'[1]LISTA ETIQUETAS'!$O:$O,'[1]LISTA ETIQUETAS'!C:C,"",0)</f>
        <v>0</v>
      </c>
      <c r="P257" s="2">
        <f>_xlfn.XLOOKUP($A257,'[1]LISTA ETIQUETAS'!$O:$O,'[1]LISTA ETIQUETAS'!D:D,"",0)</f>
        <v>0</v>
      </c>
      <c r="Q257" s="2">
        <f>_xlfn.XLOOKUP($A257,'[1]LISTA ETIQUETAS'!$O:$O,'[1]LISTA ETIQUETAS'!E:E,"",0)</f>
        <v>0</v>
      </c>
      <c r="R257" s="2">
        <f>_xlfn.XLOOKUP($A257,'[1]LISTA ETIQUETAS'!$O:$O,'[1]LISTA ETIQUETAS'!F:F,"",0)</f>
        <v>0</v>
      </c>
      <c r="S257" s="2">
        <f>_xlfn.XLOOKUP($A257,'[1]LISTA ETIQUETAS'!$O:$O,'[1]LISTA ETIQUETAS'!H:H,"",0)</f>
        <v>1</v>
      </c>
      <c r="T257" s="9">
        <f t="shared" si="11"/>
        <v>1</v>
      </c>
    </row>
    <row r="258" spans="1:20" x14ac:dyDescent="0.25">
      <c r="A258" s="5">
        <v>175629</v>
      </c>
      <c r="B258" t="str">
        <f>IFERROR((VLOOKUP(A258,'[1]LISTA ETIQUETAS'!O:X,3,0)),"PRODUTO SEM ESTOQUE")</f>
        <v>EST BANCO STRONGER (ALUMINIO PRETO)</v>
      </c>
      <c r="C258" s="10" t="s">
        <v>172</v>
      </c>
      <c r="D258" s="10" t="s">
        <v>180</v>
      </c>
      <c r="E258" s="11">
        <f>IF(VLOOKUP(A258,'[1]LISTA ETIQUETAS'!O:W,4,0)="",(VLOOKUP(A258,'[1]LISTA ETIQUETAS'!O:W,6,0)),(VLOOKUP(A258,'[1]LISTA ETIQUETAS'!O:W,4,0)))</f>
        <v>2</v>
      </c>
      <c r="F258" s="11">
        <f>IF(VLOOKUP(A258,'[1]LISTA ETIQUETAS'!O:W,5,0)="",(VLOOKUP(A258,'[1]LISTA ETIQUETAS'!O:W,7,0)),(VLOOKUP(A258,'[1]LISTA ETIQUETAS'!O:W,5,0)))</f>
        <v>0.6</v>
      </c>
      <c r="G258" s="11">
        <f>IFERROR((VLOOKUP(A258,'[1]LISTA ETIQUETAS'!O:X,8,0)),"")</f>
        <v>0.45</v>
      </c>
      <c r="H258" s="11">
        <f>IFERROR((VLOOKUP(A258,'[1]LISTA ETIQUETAS'!O:X,9,0)),"")</f>
        <v>0</v>
      </c>
      <c r="I258" s="12" t="str">
        <f>IFERROR((VLOOKUP(A258,'[1]LISTA ETIQUETAS'!O:Y,11,0)),"")</f>
        <v/>
      </c>
      <c r="J258" s="6">
        <v>0</v>
      </c>
      <c r="K258" s="12" t="str">
        <f t="shared" si="9"/>
        <v/>
      </c>
      <c r="L258" s="7" t="str">
        <f>IF(VLOOKUP(A258,'[1]LISTA ETIQUETAS'!O:AB,14,0)="","",(VLOOKUP(A258,'[1]LISTA ETIQUETAS'!O:AB,14,0)))</f>
        <v/>
      </c>
      <c r="M258" s="8"/>
      <c r="N258" s="9">
        <f t="shared" si="10"/>
        <v>175629</v>
      </c>
      <c r="O258" s="2">
        <f>_xlfn.XLOOKUP($A258,'[1]LISTA ETIQUETAS'!$O:$O,'[1]LISTA ETIQUETAS'!C:C,"",0)</f>
        <v>0</v>
      </c>
      <c r="P258" s="2">
        <f>_xlfn.XLOOKUP($A258,'[1]LISTA ETIQUETAS'!$O:$O,'[1]LISTA ETIQUETAS'!D:D,"",0)</f>
        <v>0</v>
      </c>
      <c r="Q258" s="2">
        <f>_xlfn.XLOOKUP($A258,'[1]LISTA ETIQUETAS'!$O:$O,'[1]LISTA ETIQUETAS'!E:E,"",0)</f>
        <v>0</v>
      </c>
      <c r="R258" s="2">
        <f>_xlfn.XLOOKUP($A258,'[1]LISTA ETIQUETAS'!$O:$O,'[1]LISTA ETIQUETAS'!F:F,"",0)</f>
        <v>0</v>
      </c>
      <c r="S258" s="2">
        <f>_xlfn.XLOOKUP($A258,'[1]LISTA ETIQUETAS'!$O:$O,'[1]LISTA ETIQUETAS'!H:H,"",0)</f>
        <v>1</v>
      </c>
      <c r="T258" s="9">
        <f t="shared" si="11"/>
        <v>1</v>
      </c>
    </row>
    <row r="259" spans="1:20" x14ac:dyDescent="0.25">
      <c r="A259" s="5">
        <v>196057</v>
      </c>
      <c r="B259" t="str">
        <f>IFERROR((VLOOKUP(A259,'[1]LISTA ETIQUETAS'!O:X,3,0)),"PRODUTO SEM ESTOQUE")</f>
        <v>EST MESA CENTRO BERTALHA (ALUMINIO CAPUCCINO)</v>
      </c>
      <c r="C259" s="10" t="s">
        <v>172</v>
      </c>
      <c r="D259" s="10" t="s">
        <v>181</v>
      </c>
      <c r="E259" s="11">
        <f>IF(VLOOKUP(A259,'[1]LISTA ETIQUETAS'!O:W,4,0)="",(VLOOKUP(A259,'[1]LISTA ETIQUETAS'!O:W,6,0)),(VLOOKUP(A259,'[1]LISTA ETIQUETAS'!O:W,4,0)))</f>
        <v>1.1000000000000001</v>
      </c>
      <c r="F259" s="11">
        <f>IF(VLOOKUP(A259,'[1]LISTA ETIQUETAS'!O:W,5,0)="",(VLOOKUP(A259,'[1]LISTA ETIQUETAS'!O:W,7,0)),(VLOOKUP(A259,'[1]LISTA ETIQUETAS'!O:W,5,0)))</f>
        <v>1.1000000000000001</v>
      </c>
      <c r="G259" s="11">
        <f>IFERROR((VLOOKUP(A259,'[1]LISTA ETIQUETAS'!O:X,8,0)),"")</f>
        <v>0.23</v>
      </c>
      <c r="H259" s="11">
        <f>IFERROR((VLOOKUP(A259,'[1]LISTA ETIQUETAS'!O:X,9,0)),"")</f>
        <v>0</v>
      </c>
      <c r="I259" s="12">
        <f>IFERROR((VLOOKUP(A259,'[1]LISTA ETIQUETAS'!O:Y,11,0)),"")</f>
        <v>0</v>
      </c>
      <c r="J259" s="6">
        <v>0</v>
      </c>
      <c r="K259" s="12">
        <f t="shared" ref="K259:K322" si="12">IFERROR(I259-I259*J259,"")</f>
        <v>0</v>
      </c>
      <c r="L259" s="7" t="str">
        <f>IF(VLOOKUP(A259,'[1]LISTA ETIQUETAS'!O:AB,14,0)="","",(VLOOKUP(A259,'[1]LISTA ETIQUETAS'!O:AB,14,0)))</f>
        <v/>
      </c>
      <c r="M259" s="8"/>
      <c r="N259" s="9">
        <f t="shared" si="10"/>
        <v>196057</v>
      </c>
      <c r="O259" s="2">
        <f>_xlfn.XLOOKUP($A259,'[1]LISTA ETIQUETAS'!$O:$O,'[1]LISTA ETIQUETAS'!C:C,"",0)</f>
        <v>0</v>
      </c>
      <c r="P259" s="2">
        <f>_xlfn.XLOOKUP($A259,'[1]LISTA ETIQUETAS'!$O:$O,'[1]LISTA ETIQUETAS'!D:D,"",0)</f>
        <v>0</v>
      </c>
      <c r="Q259" s="2">
        <f>_xlfn.XLOOKUP($A259,'[1]LISTA ETIQUETAS'!$O:$O,'[1]LISTA ETIQUETAS'!E:E,"",0)</f>
        <v>0</v>
      </c>
      <c r="R259" s="2">
        <f>_xlfn.XLOOKUP($A259,'[1]LISTA ETIQUETAS'!$O:$O,'[1]LISTA ETIQUETAS'!F:F,"",0)</f>
        <v>0</v>
      </c>
      <c r="S259" s="2">
        <f>_xlfn.XLOOKUP($A259,'[1]LISTA ETIQUETAS'!$O:$O,'[1]LISTA ETIQUETAS'!H:H,"",0)</f>
        <v>1</v>
      </c>
      <c r="T259" s="9">
        <f t="shared" si="11"/>
        <v>1</v>
      </c>
    </row>
    <row r="260" spans="1:20" x14ac:dyDescent="0.25">
      <c r="A260" s="5">
        <v>270795</v>
      </c>
      <c r="B260" t="str">
        <f>IFERROR((VLOOKUP(A260,'[1]LISTA ETIQUETAS'!O:X,3,0)),"PRODUTO SEM ESTOQUE")</f>
        <v>EST BANCO DALI FX E5116</v>
      </c>
      <c r="C260" s="10" t="s">
        <v>182</v>
      </c>
      <c r="D260" s="10" t="s">
        <v>183</v>
      </c>
      <c r="E260" s="11">
        <f>IF(VLOOKUP(A260,'[1]LISTA ETIQUETAS'!O:W,4,0)="",(VLOOKUP(A260,'[1]LISTA ETIQUETAS'!O:W,6,0)),(VLOOKUP(A260,'[1]LISTA ETIQUETAS'!O:W,4,0)))</f>
        <v>1.8</v>
      </c>
      <c r="F260" s="11">
        <f>IF(VLOOKUP(A260,'[1]LISTA ETIQUETAS'!O:W,5,0)="",(VLOOKUP(A260,'[1]LISTA ETIQUETAS'!O:W,7,0)),(VLOOKUP(A260,'[1]LISTA ETIQUETAS'!O:W,5,0)))</f>
        <v>0.6</v>
      </c>
      <c r="G260" s="11">
        <f>IFERROR((VLOOKUP(A260,'[1]LISTA ETIQUETAS'!O:X,8,0)),"")</f>
        <v>0.44</v>
      </c>
      <c r="H260" s="11">
        <f>IFERROR((VLOOKUP(A260,'[1]LISTA ETIQUETAS'!O:X,9,0)),"")</f>
        <v>0</v>
      </c>
      <c r="I260" s="12">
        <f>IFERROR((VLOOKUP(A260,'[1]LISTA ETIQUETAS'!O:Y,11,0)),"")</f>
        <v>11509.25</v>
      </c>
      <c r="J260" s="6">
        <v>0</v>
      </c>
      <c r="K260" s="12">
        <f t="shared" si="12"/>
        <v>11509.25</v>
      </c>
      <c r="L260" s="7" t="str">
        <f>IF(VLOOKUP(A260,'[1]LISTA ETIQUETAS'!O:AB,14,0)="","",(VLOOKUP(A260,'[1]LISTA ETIQUETAS'!O:AB,14,0)))</f>
        <v/>
      </c>
      <c r="M260" s="8"/>
      <c r="N260" s="9">
        <f t="shared" ref="N260:N323" si="13">IF(M260="",A260,M260)</f>
        <v>270795</v>
      </c>
      <c r="O260" s="2">
        <f>_xlfn.XLOOKUP($A260,'[1]LISTA ETIQUETAS'!$O:$O,'[1]LISTA ETIQUETAS'!C:C,"",0)</f>
        <v>0</v>
      </c>
      <c r="P260" s="2">
        <f>_xlfn.XLOOKUP($A260,'[1]LISTA ETIQUETAS'!$O:$O,'[1]LISTA ETIQUETAS'!D:D,"",0)</f>
        <v>0</v>
      </c>
      <c r="Q260" s="2">
        <f>_xlfn.XLOOKUP($A260,'[1]LISTA ETIQUETAS'!$O:$O,'[1]LISTA ETIQUETAS'!E:E,"",0)</f>
        <v>0</v>
      </c>
      <c r="R260" s="2">
        <f>_xlfn.XLOOKUP($A260,'[1]LISTA ETIQUETAS'!$O:$O,'[1]LISTA ETIQUETAS'!F:F,"",0)</f>
        <v>0</v>
      </c>
      <c r="S260" s="2">
        <f>_xlfn.XLOOKUP($A260,'[1]LISTA ETIQUETAS'!$O:$O,'[1]LISTA ETIQUETAS'!H:H,"",0)</f>
        <v>1</v>
      </c>
      <c r="T260" s="9">
        <f t="shared" ref="T260:T323" si="14">SUM(O260:S260)</f>
        <v>1</v>
      </c>
    </row>
    <row r="261" spans="1:20" x14ac:dyDescent="0.25">
      <c r="A261" s="5">
        <v>319905</v>
      </c>
      <c r="B261" t="str">
        <f>IFERROR((VLOOKUP(A261,'[1]LISTA ETIQUETAS'!O:X,3,0)),"PRODUTO SEM ESTOQUE")</f>
        <v>EST BANCO DALI FX D4163 PES ALUMINIO POLIDO</v>
      </c>
      <c r="C261" s="10" t="s">
        <v>182</v>
      </c>
      <c r="D261" s="10" t="s">
        <v>183</v>
      </c>
      <c r="E261" s="11">
        <f>IF(VLOOKUP(A261,'[1]LISTA ETIQUETAS'!O:W,4,0)="",(VLOOKUP(A261,'[1]LISTA ETIQUETAS'!O:W,6,0)),(VLOOKUP(A261,'[1]LISTA ETIQUETAS'!O:W,4,0)))</f>
        <v>1.8</v>
      </c>
      <c r="F261" s="11">
        <f>IF(VLOOKUP(A261,'[1]LISTA ETIQUETAS'!O:W,5,0)="",(VLOOKUP(A261,'[1]LISTA ETIQUETAS'!O:W,7,0)),(VLOOKUP(A261,'[1]LISTA ETIQUETAS'!O:W,5,0)))</f>
        <v>0.6</v>
      </c>
      <c r="G261" s="11">
        <f>IFERROR((VLOOKUP(A261,'[1]LISTA ETIQUETAS'!O:X,8,0)),"")</f>
        <v>0.44</v>
      </c>
      <c r="H261" s="11">
        <f>IFERROR((VLOOKUP(A261,'[1]LISTA ETIQUETAS'!O:X,9,0)),"")</f>
        <v>0</v>
      </c>
      <c r="I261" s="12">
        <f>IFERROR((VLOOKUP(A261,'[1]LISTA ETIQUETAS'!O:Y,11,0)),"")</f>
        <v>11400.84</v>
      </c>
      <c r="J261" s="6">
        <v>0</v>
      </c>
      <c r="K261" s="12">
        <f t="shared" si="12"/>
        <v>11400.84</v>
      </c>
      <c r="L261" s="7" t="str">
        <f>IF(VLOOKUP(A261,'[1]LISTA ETIQUETAS'!O:AB,14,0)="","",(VLOOKUP(A261,'[1]LISTA ETIQUETAS'!O:AB,14,0)))</f>
        <v/>
      </c>
      <c r="M261" s="8"/>
      <c r="N261" s="9">
        <f t="shared" si="13"/>
        <v>319905</v>
      </c>
      <c r="O261" s="2">
        <f>_xlfn.XLOOKUP($A261,'[1]LISTA ETIQUETAS'!$O:$O,'[1]LISTA ETIQUETAS'!C:C,"",0)</f>
        <v>0</v>
      </c>
      <c r="P261" s="2">
        <f>_xlfn.XLOOKUP($A261,'[1]LISTA ETIQUETAS'!$O:$O,'[1]LISTA ETIQUETAS'!D:D,"",0)</f>
        <v>0</v>
      </c>
      <c r="Q261" s="2">
        <f>_xlfn.XLOOKUP($A261,'[1]LISTA ETIQUETAS'!$O:$O,'[1]LISTA ETIQUETAS'!E:E,"",0)</f>
        <v>0</v>
      </c>
      <c r="R261" s="2">
        <f>_xlfn.XLOOKUP($A261,'[1]LISTA ETIQUETAS'!$O:$O,'[1]LISTA ETIQUETAS'!F:F,"",0)</f>
        <v>0</v>
      </c>
      <c r="S261" s="2">
        <f>_xlfn.XLOOKUP($A261,'[1]LISTA ETIQUETAS'!$O:$O,'[1]LISTA ETIQUETAS'!H:H,"",0)</f>
        <v>1</v>
      </c>
      <c r="T261" s="9">
        <f t="shared" si="14"/>
        <v>1</v>
      </c>
    </row>
    <row r="262" spans="1:20" x14ac:dyDescent="0.25">
      <c r="A262" s="5">
        <v>80189</v>
      </c>
      <c r="B262" t="str">
        <f>IFERROR((VLOOKUP(A262,'[1]LISTA ETIQUETAS'!O:X,3,0)),"PRODUTO SEM ESTOQUE")</f>
        <v>EST BANCO CROCCO (CATUABA) (LACA V100)</v>
      </c>
      <c r="C262" s="10" t="s">
        <v>182</v>
      </c>
      <c r="D262" s="10" t="s">
        <v>184</v>
      </c>
      <c r="E262" s="11">
        <f>IF(VLOOKUP(A262,'[1]LISTA ETIQUETAS'!O:W,4,0)="",(VLOOKUP(A262,'[1]LISTA ETIQUETAS'!O:W,6,0)),(VLOOKUP(A262,'[1]LISTA ETIQUETAS'!O:W,4,0)))</f>
        <v>0.4</v>
      </c>
      <c r="F262" s="11">
        <f>IF(VLOOKUP(A262,'[1]LISTA ETIQUETAS'!O:W,5,0)="",(VLOOKUP(A262,'[1]LISTA ETIQUETAS'!O:W,7,0)),(VLOOKUP(A262,'[1]LISTA ETIQUETAS'!O:W,5,0)))</f>
        <v>0.4</v>
      </c>
      <c r="G262" s="11">
        <f>IFERROR((VLOOKUP(A262,'[1]LISTA ETIQUETAS'!O:X,8,0)),"")</f>
        <v>0.45</v>
      </c>
      <c r="H262" s="11">
        <f>IFERROR((VLOOKUP(A262,'[1]LISTA ETIQUETAS'!O:X,9,0)),"")</f>
        <v>0</v>
      </c>
      <c r="I262" s="12">
        <f>IFERROR((VLOOKUP(A262,'[1]LISTA ETIQUETAS'!O:Y,11,0)),"")</f>
        <v>0</v>
      </c>
      <c r="J262" s="6">
        <v>0</v>
      </c>
      <c r="K262" s="12">
        <f t="shared" si="12"/>
        <v>0</v>
      </c>
      <c r="L262" s="7" t="str">
        <f>IF(VLOOKUP(A262,'[1]LISTA ETIQUETAS'!O:AB,14,0)="","",(VLOOKUP(A262,'[1]LISTA ETIQUETAS'!O:AB,14,0)))</f>
        <v/>
      </c>
      <c r="M262" s="8"/>
      <c r="N262" s="9">
        <f t="shared" si="13"/>
        <v>80189</v>
      </c>
      <c r="O262" s="2">
        <f>_xlfn.XLOOKUP($A262,'[1]LISTA ETIQUETAS'!$O:$O,'[1]LISTA ETIQUETAS'!C:C,"",0)</f>
        <v>0</v>
      </c>
      <c r="P262" s="2">
        <f>_xlfn.XLOOKUP($A262,'[1]LISTA ETIQUETAS'!$O:$O,'[1]LISTA ETIQUETAS'!D:D,"",0)</f>
        <v>0</v>
      </c>
      <c r="Q262" s="2">
        <f>_xlfn.XLOOKUP($A262,'[1]LISTA ETIQUETAS'!$O:$O,'[1]LISTA ETIQUETAS'!E:E,"",0)</f>
        <v>0</v>
      </c>
      <c r="R262" s="2">
        <f>_xlfn.XLOOKUP($A262,'[1]LISTA ETIQUETAS'!$O:$O,'[1]LISTA ETIQUETAS'!F:F,"",0)</f>
        <v>0</v>
      </c>
      <c r="S262" s="2">
        <f>_xlfn.XLOOKUP($A262,'[1]LISTA ETIQUETAS'!$O:$O,'[1]LISTA ETIQUETAS'!H:H,"",0)</f>
        <v>1</v>
      </c>
      <c r="T262" s="9">
        <f t="shared" si="14"/>
        <v>1</v>
      </c>
    </row>
    <row r="263" spans="1:20" x14ac:dyDescent="0.25">
      <c r="A263" s="5">
        <v>77883</v>
      </c>
      <c r="B263" t="str">
        <f>IFERROR((VLOOKUP(A263,'[1]LISTA ETIQUETAS'!O:X,3,0)),"PRODUTO SEM ESTOQUE")</f>
        <v>EST BANCO PINO (ACO PRETO FSC) (LACA BRILHO AMARELA)</v>
      </c>
      <c r="C263" s="10" t="s">
        <v>182</v>
      </c>
      <c r="D263" s="10" t="s">
        <v>185</v>
      </c>
      <c r="E263" s="11">
        <f>IF(VLOOKUP(A263,'[1]LISTA ETIQUETAS'!O:W,4,0)="",(VLOOKUP(A263,'[1]LISTA ETIQUETAS'!O:W,6,0)),(VLOOKUP(A263,'[1]LISTA ETIQUETAS'!O:W,4,0)))</f>
        <v>0.31</v>
      </c>
      <c r="F263" s="11">
        <f>IF(VLOOKUP(A263,'[1]LISTA ETIQUETAS'!O:W,5,0)="",(VLOOKUP(A263,'[1]LISTA ETIQUETAS'!O:W,7,0)),(VLOOKUP(A263,'[1]LISTA ETIQUETAS'!O:W,5,0)))</f>
        <v>0</v>
      </c>
      <c r="G263" s="11">
        <f>IFERROR((VLOOKUP(A263,'[1]LISTA ETIQUETAS'!O:X,8,0)),"")</f>
        <v>0.36</v>
      </c>
      <c r="H263" s="11">
        <f>IFERROR((VLOOKUP(A263,'[1]LISTA ETIQUETAS'!O:X,9,0)),"")</f>
        <v>0.31</v>
      </c>
      <c r="I263" s="12" t="str">
        <f>IFERROR((VLOOKUP(A263,'[1]LISTA ETIQUETAS'!O:Y,11,0)),"")</f>
        <v/>
      </c>
      <c r="J263" s="6">
        <v>0</v>
      </c>
      <c r="K263" s="12" t="str">
        <f t="shared" si="12"/>
        <v/>
      </c>
      <c r="L263" s="7" t="str">
        <f>IF(VLOOKUP(A263,'[1]LISTA ETIQUETAS'!O:AB,14,0)="","",(VLOOKUP(A263,'[1]LISTA ETIQUETAS'!O:AB,14,0)))</f>
        <v/>
      </c>
      <c r="M263" s="8"/>
      <c r="N263" s="9">
        <f t="shared" si="13"/>
        <v>77883</v>
      </c>
      <c r="O263" s="2">
        <f>_xlfn.XLOOKUP($A263,'[1]LISTA ETIQUETAS'!$O:$O,'[1]LISTA ETIQUETAS'!C:C,"",0)</f>
        <v>0</v>
      </c>
      <c r="P263" s="2">
        <f>_xlfn.XLOOKUP($A263,'[1]LISTA ETIQUETAS'!$O:$O,'[1]LISTA ETIQUETAS'!D:D,"",0)</f>
        <v>0</v>
      </c>
      <c r="Q263" s="2">
        <f>_xlfn.XLOOKUP($A263,'[1]LISTA ETIQUETAS'!$O:$O,'[1]LISTA ETIQUETAS'!E:E,"",0)</f>
        <v>0</v>
      </c>
      <c r="R263" s="2">
        <f>_xlfn.XLOOKUP($A263,'[1]LISTA ETIQUETAS'!$O:$O,'[1]LISTA ETIQUETAS'!F:F,"",0)</f>
        <v>0</v>
      </c>
      <c r="S263" s="2">
        <f>_xlfn.XLOOKUP($A263,'[1]LISTA ETIQUETAS'!$O:$O,'[1]LISTA ETIQUETAS'!H:H,"",0)</f>
        <v>1</v>
      </c>
      <c r="T263" s="9">
        <f t="shared" si="14"/>
        <v>1</v>
      </c>
    </row>
    <row r="264" spans="1:20" x14ac:dyDescent="0.25">
      <c r="A264" s="5">
        <v>102495</v>
      </c>
      <c r="B264" t="str">
        <f>IFERROR((VLOOKUP(A264,'[1]LISTA ETIQUETAS'!O:X,3,0)),"PRODUTO SEM ESTOQUE")</f>
        <v>EST BANCO WOOD TC IPANEMA COR 201 | 203</v>
      </c>
      <c r="C264" s="10" t="s">
        <v>182</v>
      </c>
      <c r="D264" s="10" t="s">
        <v>186</v>
      </c>
      <c r="E264" s="11">
        <f>IF(VLOOKUP(A264,'[1]LISTA ETIQUETAS'!O:W,4,0)="",(VLOOKUP(A264,'[1]LISTA ETIQUETAS'!O:W,6,0)),(VLOOKUP(A264,'[1]LISTA ETIQUETAS'!O:W,4,0)))</f>
        <v>0.45</v>
      </c>
      <c r="F264" s="11">
        <f>IF(VLOOKUP(A264,'[1]LISTA ETIQUETAS'!O:W,5,0)="",(VLOOKUP(A264,'[1]LISTA ETIQUETAS'!O:W,7,0)),(VLOOKUP(A264,'[1]LISTA ETIQUETAS'!O:W,5,0)))</f>
        <v>0.45</v>
      </c>
      <c r="G264" s="11">
        <f>IFERROR((VLOOKUP(A264,'[1]LISTA ETIQUETAS'!O:X,8,0)),"")</f>
        <v>0.46</v>
      </c>
      <c r="H264" s="11">
        <f>IFERROR((VLOOKUP(A264,'[1]LISTA ETIQUETAS'!O:X,9,0)),"")</f>
        <v>0</v>
      </c>
      <c r="I264" s="12">
        <f>IFERROR((VLOOKUP(A264,'[1]LISTA ETIQUETAS'!O:Y,11,0)),"")</f>
        <v>0</v>
      </c>
      <c r="J264" s="6">
        <v>0</v>
      </c>
      <c r="K264" s="12">
        <f t="shared" si="12"/>
        <v>0</v>
      </c>
      <c r="L264" s="7" t="str">
        <f>IF(VLOOKUP(A264,'[1]LISTA ETIQUETAS'!O:AB,14,0)="","",(VLOOKUP(A264,'[1]LISTA ETIQUETAS'!O:AB,14,0)))</f>
        <v/>
      </c>
      <c r="M264" s="8"/>
      <c r="N264" s="9">
        <f t="shared" si="13"/>
        <v>102495</v>
      </c>
      <c r="O264" s="2">
        <f>_xlfn.XLOOKUP($A264,'[1]LISTA ETIQUETAS'!$O:$O,'[1]LISTA ETIQUETAS'!C:C,"",0)</f>
        <v>0</v>
      </c>
      <c r="P264" s="2">
        <f>_xlfn.XLOOKUP($A264,'[1]LISTA ETIQUETAS'!$O:$O,'[1]LISTA ETIQUETAS'!D:D,"",0)</f>
        <v>0</v>
      </c>
      <c r="Q264" s="2">
        <f>_xlfn.XLOOKUP($A264,'[1]LISTA ETIQUETAS'!$O:$O,'[1]LISTA ETIQUETAS'!E:E,"",0)</f>
        <v>0</v>
      </c>
      <c r="R264" s="2">
        <f>_xlfn.XLOOKUP($A264,'[1]LISTA ETIQUETAS'!$O:$O,'[1]LISTA ETIQUETAS'!F:F,"",0)</f>
        <v>0</v>
      </c>
      <c r="S264" s="2">
        <f>_xlfn.XLOOKUP($A264,'[1]LISTA ETIQUETAS'!$O:$O,'[1]LISTA ETIQUETAS'!H:H,"",0)</f>
        <v>1</v>
      </c>
      <c r="T264" s="9">
        <f t="shared" si="14"/>
        <v>1</v>
      </c>
    </row>
    <row r="265" spans="1:20" x14ac:dyDescent="0.25">
      <c r="A265" s="5">
        <v>86812</v>
      </c>
      <c r="B265" t="str">
        <f>IFERROR((VLOOKUP(A265,'[1]LISTA ETIQUETAS'!O:X,3,0)),"PRODUTO SEM ESTOQUE")</f>
        <v>EST BANCO LILLY II (LACA INDIGO BRILHO) TC M-7900</v>
      </c>
      <c r="C265" s="10" t="s">
        <v>182</v>
      </c>
      <c r="D265" s="10" t="s">
        <v>187</v>
      </c>
      <c r="E265" s="11">
        <f>IF(VLOOKUP(A265,'[1]LISTA ETIQUETAS'!O:W,4,0)="",(VLOOKUP(A265,'[1]LISTA ETIQUETAS'!O:W,6,0)),(VLOOKUP(A265,'[1]LISTA ETIQUETAS'!O:W,4,0)))</f>
        <v>0.6</v>
      </c>
      <c r="F265" s="11">
        <f>IF(VLOOKUP(A265,'[1]LISTA ETIQUETAS'!O:W,5,0)="",(VLOOKUP(A265,'[1]LISTA ETIQUETAS'!O:W,7,0)),(VLOOKUP(A265,'[1]LISTA ETIQUETAS'!O:W,5,0)))</f>
        <v>0.5</v>
      </c>
      <c r="G265" s="11">
        <f>IFERROR((VLOOKUP(A265,'[1]LISTA ETIQUETAS'!O:X,8,0)),"")</f>
        <v>0.53</v>
      </c>
      <c r="H265" s="11">
        <f>IFERROR((VLOOKUP(A265,'[1]LISTA ETIQUETAS'!O:X,9,0)),"")</f>
        <v>0</v>
      </c>
      <c r="I265" s="12">
        <f>IFERROR((VLOOKUP(A265,'[1]LISTA ETIQUETAS'!O:Y,11,0)),"")</f>
        <v>0</v>
      </c>
      <c r="J265" s="6">
        <v>0</v>
      </c>
      <c r="K265" s="12">
        <f t="shared" si="12"/>
        <v>0</v>
      </c>
      <c r="L265" s="7" t="str">
        <f>IF(VLOOKUP(A265,'[1]LISTA ETIQUETAS'!O:AB,14,0)="","",(VLOOKUP(A265,'[1]LISTA ETIQUETAS'!O:AB,14,0)))</f>
        <v/>
      </c>
      <c r="M265" s="8"/>
      <c r="N265" s="9">
        <f t="shared" si="13"/>
        <v>86812</v>
      </c>
      <c r="O265" s="2">
        <f>_xlfn.XLOOKUP($A265,'[1]LISTA ETIQUETAS'!$O:$O,'[1]LISTA ETIQUETAS'!C:C,"",0)</f>
        <v>0</v>
      </c>
      <c r="P265" s="2">
        <f>_xlfn.XLOOKUP($A265,'[1]LISTA ETIQUETAS'!$O:$O,'[1]LISTA ETIQUETAS'!D:D,"",0)</f>
        <v>0</v>
      </c>
      <c r="Q265" s="2">
        <f>_xlfn.XLOOKUP($A265,'[1]LISTA ETIQUETAS'!$O:$O,'[1]LISTA ETIQUETAS'!E:E,"",0)</f>
        <v>0</v>
      </c>
      <c r="R265" s="2">
        <f>_xlfn.XLOOKUP($A265,'[1]LISTA ETIQUETAS'!$O:$O,'[1]LISTA ETIQUETAS'!F:F,"",0)</f>
        <v>0</v>
      </c>
      <c r="S265" s="2">
        <f>_xlfn.XLOOKUP($A265,'[1]LISTA ETIQUETAS'!$O:$O,'[1]LISTA ETIQUETAS'!H:H,"",0)</f>
        <v>2</v>
      </c>
      <c r="T265" s="9">
        <f t="shared" si="14"/>
        <v>2</v>
      </c>
    </row>
    <row r="266" spans="1:20" x14ac:dyDescent="0.25">
      <c r="A266" s="5">
        <v>63998</v>
      </c>
      <c r="B266" t="str">
        <f>IFERROR((VLOOKUP(A266,'[1]LISTA ETIQUETAS'!O:X,3,0)),"PRODUTO SEM ESTOQUE")</f>
        <v>EST BANCO PI (MACICA PINNUS ENVELHECIDO)</v>
      </c>
      <c r="C266" s="10" t="s">
        <v>182</v>
      </c>
      <c r="D266" s="10" t="s">
        <v>188</v>
      </c>
      <c r="E266" s="11">
        <f>IF(VLOOKUP(A266,'[1]LISTA ETIQUETAS'!O:W,4,0)="",(VLOOKUP(A266,'[1]LISTA ETIQUETAS'!O:W,6,0)),(VLOOKUP(A266,'[1]LISTA ETIQUETAS'!O:W,4,0)))</f>
        <v>0.59</v>
      </c>
      <c r="F266" s="11">
        <f>IF(VLOOKUP(A266,'[1]LISTA ETIQUETAS'!O:W,5,0)="",(VLOOKUP(A266,'[1]LISTA ETIQUETAS'!O:W,7,0)),(VLOOKUP(A266,'[1]LISTA ETIQUETAS'!O:W,5,0)))</f>
        <v>0.4</v>
      </c>
      <c r="G266" s="11">
        <f>IFERROR((VLOOKUP(A266,'[1]LISTA ETIQUETAS'!O:X,8,0)),"")</f>
        <v>0.45</v>
      </c>
      <c r="H266" s="11">
        <f>IFERROR((VLOOKUP(A266,'[1]LISTA ETIQUETAS'!O:X,9,0)),"")</f>
        <v>0</v>
      </c>
      <c r="I266" s="12">
        <f>IFERROR((VLOOKUP(A266,'[1]LISTA ETIQUETAS'!O:Y,11,0)),"")</f>
        <v>0</v>
      </c>
      <c r="J266" s="6">
        <v>0</v>
      </c>
      <c r="K266" s="12">
        <f t="shared" si="12"/>
        <v>0</v>
      </c>
      <c r="L266" s="7" t="str">
        <f>IF(VLOOKUP(A266,'[1]LISTA ETIQUETAS'!O:AB,14,0)="","",(VLOOKUP(A266,'[1]LISTA ETIQUETAS'!O:AB,14,0)))</f>
        <v/>
      </c>
      <c r="M266" s="8"/>
      <c r="N266" s="9">
        <f t="shared" si="13"/>
        <v>63998</v>
      </c>
      <c r="O266" s="2">
        <f>_xlfn.XLOOKUP($A266,'[1]LISTA ETIQUETAS'!$O:$O,'[1]LISTA ETIQUETAS'!C:C,"",0)</f>
        <v>0</v>
      </c>
      <c r="P266" s="2">
        <f>_xlfn.XLOOKUP($A266,'[1]LISTA ETIQUETAS'!$O:$O,'[1]LISTA ETIQUETAS'!D:D,"",0)</f>
        <v>0</v>
      </c>
      <c r="Q266" s="2">
        <f>_xlfn.XLOOKUP($A266,'[1]LISTA ETIQUETAS'!$O:$O,'[1]LISTA ETIQUETAS'!E:E,"",0)</f>
        <v>0</v>
      </c>
      <c r="R266" s="2">
        <f>_xlfn.XLOOKUP($A266,'[1]LISTA ETIQUETAS'!$O:$O,'[1]LISTA ETIQUETAS'!F:F,"",0)</f>
        <v>0</v>
      </c>
      <c r="S266" s="2">
        <f>_xlfn.XLOOKUP($A266,'[1]LISTA ETIQUETAS'!$O:$O,'[1]LISTA ETIQUETAS'!H:H,"",0)</f>
        <v>1</v>
      </c>
      <c r="T266" s="9">
        <f t="shared" si="14"/>
        <v>1</v>
      </c>
    </row>
    <row r="267" spans="1:20" x14ac:dyDescent="0.25">
      <c r="A267" s="5">
        <v>129391</v>
      </c>
      <c r="B267" t="str">
        <f>IFERROR((VLOOKUP(A267,'[1]LISTA ETIQUETAS'!O:X,3,0)),"PRODUTO SEM ESTOQUE")</f>
        <v>EST BANCO JULIA (FIBRA VIDRO) (GANE OX 819 BRILHO)</v>
      </c>
      <c r="C267" s="10" t="s">
        <v>182</v>
      </c>
      <c r="D267" s="10" t="s">
        <v>189</v>
      </c>
      <c r="E267" s="11">
        <f>IF(VLOOKUP(A267,'[1]LISTA ETIQUETAS'!O:W,4,0)="",(VLOOKUP(A267,'[1]LISTA ETIQUETAS'!O:W,6,0)),(VLOOKUP(A267,'[1]LISTA ETIQUETAS'!O:W,4,0)))</f>
        <v>0.35</v>
      </c>
      <c r="F267" s="11">
        <f>IF(VLOOKUP(A267,'[1]LISTA ETIQUETAS'!O:W,5,0)="",(VLOOKUP(A267,'[1]LISTA ETIQUETAS'!O:W,7,0)),(VLOOKUP(A267,'[1]LISTA ETIQUETAS'!O:W,5,0)))</f>
        <v>0</v>
      </c>
      <c r="G267" s="11">
        <f>IFERROR((VLOOKUP(A267,'[1]LISTA ETIQUETAS'!O:X,8,0)),"")</f>
        <v>0.4</v>
      </c>
      <c r="H267" s="11">
        <f>IFERROR((VLOOKUP(A267,'[1]LISTA ETIQUETAS'!O:X,9,0)),"")</f>
        <v>0.35</v>
      </c>
      <c r="I267" s="12" t="str">
        <f>IFERROR((VLOOKUP(A267,'[1]LISTA ETIQUETAS'!O:Y,11,0)),"")</f>
        <v/>
      </c>
      <c r="J267" s="6">
        <v>0</v>
      </c>
      <c r="K267" s="12" t="str">
        <f t="shared" si="12"/>
        <v/>
      </c>
      <c r="L267" s="7" t="str">
        <f>IF(VLOOKUP(A267,'[1]LISTA ETIQUETAS'!O:AB,14,0)="","",(VLOOKUP(A267,'[1]LISTA ETIQUETAS'!O:AB,14,0)))</f>
        <v/>
      </c>
      <c r="M267" s="8"/>
      <c r="N267" s="9">
        <f t="shared" si="13"/>
        <v>129391</v>
      </c>
      <c r="O267" s="2">
        <f>_xlfn.XLOOKUP($A267,'[1]LISTA ETIQUETAS'!$O:$O,'[1]LISTA ETIQUETAS'!C:C,"",0)</f>
        <v>0</v>
      </c>
      <c r="P267" s="2">
        <f>_xlfn.XLOOKUP($A267,'[1]LISTA ETIQUETAS'!$O:$O,'[1]LISTA ETIQUETAS'!D:D,"",0)</f>
        <v>0</v>
      </c>
      <c r="Q267" s="2">
        <f>_xlfn.XLOOKUP($A267,'[1]LISTA ETIQUETAS'!$O:$O,'[1]LISTA ETIQUETAS'!E:E,"",0)</f>
        <v>0</v>
      </c>
      <c r="R267" s="2">
        <f>_xlfn.XLOOKUP($A267,'[1]LISTA ETIQUETAS'!$O:$O,'[1]LISTA ETIQUETAS'!F:F,"",0)</f>
        <v>0</v>
      </c>
      <c r="S267" s="2">
        <f>_xlfn.XLOOKUP($A267,'[1]LISTA ETIQUETAS'!$O:$O,'[1]LISTA ETIQUETAS'!H:H,"",0)</f>
        <v>1</v>
      </c>
      <c r="T267" s="9">
        <f t="shared" si="14"/>
        <v>1</v>
      </c>
    </row>
    <row r="268" spans="1:20" x14ac:dyDescent="0.25">
      <c r="A268" s="5">
        <v>142198</v>
      </c>
      <c r="B268" t="str">
        <f>IFERROR((VLOOKUP(A268,'[1]LISTA ETIQUETAS'!O:X,3,0)),"PRODUTO SEM ESTOQUE")</f>
        <v>EST BANCO KEI (CATEDRAL CHAMPAGNE) (BS METALIC CHAMPAGNE)</v>
      </c>
      <c r="C268" s="10" t="s">
        <v>182</v>
      </c>
      <c r="D268" s="10" t="s">
        <v>190</v>
      </c>
      <c r="E268" s="11">
        <f>IF(VLOOKUP(A268,'[1]LISTA ETIQUETAS'!O:W,4,0)="",(VLOOKUP(A268,'[1]LISTA ETIQUETAS'!O:W,6,0)),(VLOOKUP(A268,'[1]LISTA ETIQUETAS'!O:W,4,0)))</f>
        <v>0.45</v>
      </c>
      <c r="F268" s="11">
        <f>IF(VLOOKUP(A268,'[1]LISTA ETIQUETAS'!O:W,5,0)="",(VLOOKUP(A268,'[1]LISTA ETIQUETAS'!O:W,7,0)),(VLOOKUP(A268,'[1]LISTA ETIQUETAS'!O:W,5,0)))</f>
        <v>0.45</v>
      </c>
      <c r="G268" s="11">
        <f>IFERROR((VLOOKUP(A268,'[1]LISTA ETIQUETAS'!O:X,8,0)),"")</f>
        <v>0.45</v>
      </c>
      <c r="H268" s="11">
        <f>IFERROR((VLOOKUP(A268,'[1]LISTA ETIQUETAS'!O:X,9,0)),"")</f>
        <v>0</v>
      </c>
      <c r="I268" s="12">
        <f>IFERROR((VLOOKUP(A268,'[1]LISTA ETIQUETAS'!O:Y,11,0)),"")</f>
        <v>8382.5300000000007</v>
      </c>
      <c r="J268" s="6">
        <v>0</v>
      </c>
      <c r="K268" s="12">
        <f t="shared" si="12"/>
        <v>8382.5300000000007</v>
      </c>
      <c r="L268" s="7" t="str">
        <f>IF(VLOOKUP(A268,'[1]LISTA ETIQUETAS'!O:AB,14,0)="","",(VLOOKUP(A268,'[1]LISTA ETIQUETAS'!O:AB,14,0)))</f>
        <v/>
      </c>
      <c r="M268" s="8"/>
      <c r="N268" s="9">
        <f t="shared" si="13"/>
        <v>142198</v>
      </c>
      <c r="O268" s="2">
        <f>_xlfn.XLOOKUP($A268,'[1]LISTA ETIQUETAS'!$O:$O,'[1]LISTA ETIQUETAS'!C:C,"",0)</f>
        <v>0</v>
      </c>
      <c r="P268" s="2">
        <f>_xlfn.XLOOKUP($A268,'[1]LISTA ETIQUETAS'!$O:$O,'[1]LISTA ETIQUETAS'!D:D,"",0)</f>
        <v>0</v>
      </c>
      <c r="Q268" s="2">
        <f>_xlfn.XLOOKUP($A268,'[1]LISTA ETIQUETAS'!$O:$O,'[1]LISTA ETIQUETAS'!E:E,"",0)</f>
        <v>0</v>
      </c>
      <c r="R268" s="2">
        <f>_xlfn.XLOOKUP($A268,'[1]LISTA ETIQUETAS'!$O:$O,'[1]LISTA ETIQUETAS'!F:F,"",0)</f>
        <v>0</v>
      </c>
      <c r="S268" s="2">
        <f>_xlfn.XLOOKUP($A268,'[1]LISTA ETIQUETAS'!$O:$O,'[1]LISTA ETIQUETAS'!H:H,"",0)</f>
        <v>2</v>
      </c>
      <c r="T268" s="9">
        <f t="shared" si="14"/>
        <v>2</v>
      </c>
    </row>
    <row r="269" spans="1:20" x14ac:dyDescent="0.25">
      <c r="A269" s="5">
        <v>142219</v>
      </c>
      <c r="B269" t="str">
        <f>IFERROR((VLOOKUP(A269,'[1]LISTA ETIQUETAS'!O:X,3,0)),"PRODUTO SEM ESTOQUE")</f>
        <v>EST BANCO BETA (LACA BRILHO BERINJELA)</v>
      </c>
      <c r="C269" s="10" t="s">
        <v>182</v>
      </c>
      <c r="D269" s="10" t="s">
        <v>191</v>
      </c>
      <c r="E269" s="11">
        <f>IF(VLOOKUP(A269,'[1]LISTA ETIQUETAS'!O:W,4,0)="",(VLOOKUP(A269,'[1]LISTA ETIQUETAS'!O:W,6,0)),(VLOOKUP(A269,'[1]LISTA ETIQUETAS'!O:W,4,0)))</f>
        <v>0.45</v>
      </c>
      <c r="F269" s="11">
        <f>IF(VLOOKUP(A269,'[1]LISTA ETIQUETAS'!O:W,5,0)="",(VLOOKUP(A269,'[1]LISTA ETIQUETAS'!O:W,7,0)),(VLOOKUP(A269,'[1]LISTA ETIQUETAS'!O:W,5,0)))</f>
        <v>0.45</v>
      </c>
      <c r="G269" s="11">
        <f>IFERROR((VLOOKUP(A269,'[1]LISTA ETIQUETAS'!O:X,8,0)),"")</f>
        <v>0.45</v>
      </c>
      <c r="H269" s="11">
        <f>IFERROR((VLOOKUP(A269,'[1]LISTA ETIQUETAS'!O:X,9,0)),"")</f>
        <v>0</v>
      </c>
      <c r="I269" s="12">
        <f>IFERROR((VLOOKUP(A269,'[1]LISTA ETIQUETAS'!O:Y,11,0)),"")</f>
        <v>0</v>
      </c>
      <c r="J269" s="6">
        <v>0</v>
      </c>
      <c r="K269" s="12">
        <f t="shared" si="12"/>
        <v>0</v>
      </c>
      <c r="L269" s="7" t="str">
        <f>IF(VLOOKUP(A269,'[1]LISTA ETIQUETAS'!O:AB,14,0)="","",(VLOOKUP(A269,'[1]LISTA ETIQUETAS'!O:AB,14,0)))</f>
        <v/>
      </c>
      <c r="M269" s="8"/>
      <c r="N269" s="9">
        <f t="shared" si="13"/>
        <v>142219</v>
      </c>
      <c r="O269" s="2">
        <f>_xlfn.XLOOKUP($A269,'[1]LISTA ETIQUETAS'!$O:$O,'[1]LISTA ETIQUETAS'!C:C,"",0)</f>
        <v>0</v>
      </c>
      <c r="P269" s="2">
        <f>_xlfn.XLOOKUP($A269,'[1]LISTA ETIQUETAS'!$O:$O,'[1]LISTA ETIQUETAS'!D:D,"",0)</f>
        <v>0</v>
      </c>
      <c r="Q269" s="2">
        <f>_xlfn.XLOOKUP($A269,'[1]LISTA ETIQUETAS'!$O:$O,'[1]LISTA ETIQUETAS'!E:E,"",0)</f>
        <v>0</v>
      </c>
      <c r="R269" s="2">
        <f>_xlfn.XLOOKUP($A269,'[1]LISTA ETIQUETAS'!$O:$O,'[1]LISTA ETIQUETAS'!F:F,"",0)</f>
        <v>0</v>
      </c>
      <c r="S269" s="2">
        <f>_xlfn.XLOOKUP($A269,'[1]LISTA ETIQUETAS'!$O:$O,'[1]LISTA ETIQUETAS'!H:H,"",0)</f>
        <v>2</v>
      </c>
      <c r="T269" s="9">
        <f t="shared" si="14"/>
        <v>2</v>
      </c>
    </row>
    <row r="270" spans="1:20" x14ac:dyDescent="0.25">
      <c r="A270" s="5">
        <v>142210</v>
      </c>
      <c r="B270" t="str">
        <f>IFERROR((VLOOKUP(A270,'[1]LISTA ETIQUETAS'!O:X,3,0)),"PRODUTO SEM ESTOQUE")</f>
        <v>EST BANCO BETA (LACA BRILHO N109)</v>
      </c>
      <c r="C270" s="10" t="s">
        <v>182</v>
      </c>
      <c r="D270" s="10" t="s">
        <v>191</v>
      </c>
      <c r="E270" s="11">
        <f>IF(VLOOKUP(A270,'[1]LISTA ETIQUETAS'!O:W,4,0)="",(VLOOKUP(A270,'[1]LISTA ETIQUETAS'!O:W,6,0)),(VLOOKUP(A270,'[1]LISTA ETIQUETAS'!O:W,4,0)))</f>
        <v>0.45</v>
      </c>
      <c r="F270" s="11">
        <f>IF(VLOOKUP(A270,'[1]LISTA ETIQUETAS'!O:W,5,0)="",(VLOOKUP(A270,'[1]LISTA ETIQUETAS'!O:W,7,0)),(VLOOKUP(A270,'[1]LISTA ETIQUETAS'!O:W,5,0)))</f>
        <v>0.45</v>
      </c>
      <c r="G270" s="11">
        <f>IFERROR((VLOOKUP(A270,'[1]LISTA ETIQUETAS'!O:X,8,0)),"")</f>
        <v>0.45</v>
      </c>
      <c r="H270" s="11">
        <f>IFERROR((VLOOKUP(A270,'[1]LISTA ETIQUETAS'!O:X,9,0)),"")</f>
        <v>0</v>
      </c>
      <c r="I270" s="12">
        <f>IFERROR((VLOOKUP(A270,'[1]LISTA ETIQUETAS'!O:Y,11,0)),"")</f>
        <v>0</v>
      </c>
      <c r="J270" s="6">
        <v>0</v>
      </c>
      <c r="K270" s="12">
        <f t="shared" si="12"/>
        <v>0</v>
      </c>
      <c r="L270" s="7" t="str">
        <f>IF(VLOOKUP(A270,'[1]LISTA ETIQUETAS'!O:AB,14,0)="","",(VLOOKUP(A270,'[1]LISTA ETIQUETAS'!O:AB,14,0)))</f>
        <v/>
      </c>
      <c r="M270" s="8"/>
      <c r="N270" s="9">
        <f t="shared" si="13"/>
        <v>142210</v>
      </c>
      <c r="O270" s="2">
        <f>_xlfn.XLOOKUP($A270,'[1]LISTA ETIQUETAS'!$O:$O,'[1]LISTA ETIQUETAS'!C:C,"",0)</f>
        <v>0</v>
      </c>
      <c r="P270" s="2">
        <f>_xlfn.XLOOKUP($A270,'[1]LISTA ETIQUETAS'!$O:$O,'[1]LISTA ETIQUETAS'!D:D,"",0)</f>
        <v>0</v>
      </c>
      <c r="Q270" s="2">
        <f>_xlfn.XLOOKUP($A270,'[1]LISTA ETIQUETAS'!$O:$O,'[1]LISTA ETIQUETAS'!E:E,"",0)</f>
        <v>0</v>
      </c>
      <c r="R270" s="2">
        <f>_xlfn.XLOOKUP($A270,'[1]LISTA ETIQUETAS'!$O:$O,'[1]LISTA ETIQUETAS'!F:F,"",0)</f>
        <v>0</v>
      </c>
      <c r="S270" s="2">
        <f>_xlfn.XLOOKUP($A270,'[1]LISTA ETIQUETAS'!$O:$O,'[1]LISTA ETIQUETAS'!H:H,"",0)</f>
        <v>1</v>
      </c>
      <c r="T270" s="9">
        <f t="shared" si="14"/>
        <v>1</v>
      </c>
    </row>
    <row r="271" spans="1:20" x14ac:dyDescent="0.25">
      <c r="A271" s="5">
        <v>151452</v>
      </c>
      <c r="B271" t="str">
        <f>IFERROR((VLOOKUP(A271,'[1]LISTA ETIQUETAS'!O:X,3,0)),"PRODUTO SEM ESTOQUE")</f>
        <v>EST BANCO BRASILIS (LAMINADO COR 10)</v>
      </c>
      <c r="C271" s="10" t="s">
        <v>182</v>
      </c>
      <c r="D271" s="10" t="s">
        <v>192</v>
      </c>
      <c r="E271" s="11">
        <f>IF(VLOOKUP(A271,'[1]LISTA ETIQUETAS'!O:W,4,0)="",(VLOOKUP(A271,'[1]LISTA ETIQUETAS'!O:W,6,0)),(VLOOKUP(A271,'[1]LISTA ETIQUETAS'!O:W,4,0)))</f>
        <v>1.8</v>
      </c>
      <c r="F271" s="11">
        <f>IF(VLOOKUP(A271,'[1]LISTA ETIQUETAS'!O:W,5,0)="",(VLOOKUP(A271,'[1]LISTA ETIQUETAS'!O:W,7,0)),(VLOOKUP(A271,'[1]LISTA ETIQUETAS'!O:W,5,0)))</f>
        <v>0.5</v>
      </c>
      <c r="G271" s="11">
        <f>IFERROR((VLOOKUP(A271,'[1]LISTA ETIQUETAS'!O:X,8,0)),"")</f>
        <v>0.42</v>
      </c>
      <c r="H271" s="11">
        <f>IFERROR((VLOOKUP(A271,'[1]LISTA ETIQUETAS'!O:X,9,0)),"")</f>
        <v>0</v>
      </c>
      <c r="I271" s="12">
        <f>IFERROR((VLOOKUP(A271,'[1]LISTA ETIQUETAS'!O:Y,11,0)),"")</f>
        <v>0</v>
      </c>
      <c r="J271" s="6">
        <v>0</v>
      </c>
      <c r="K271" s="12">
        <f t="shared" si="12"/>
        <v>0</v>
      </c>
      <c r="L271" s="7" t="str">
        <f>IF(VLOOKUP(A271,'[1]LISTA ETIQUETAS'!O:AB,14,0)="","",(VLOOKUP(A271,'[1]LISTA ETIQUETAS'!O:AB,14,0)))</f>
        <v/>
      </c>
      <c r="M271" s="8"/>
      <c r="N271" s="9">
        <f t="shared" si="13"/>
        <v>151452</v>
      </c>
      <c r="O271" s="2">
        <f>_xlfn.XLOOKUP($A271,'[1]LISTA ETIQUETAS'!$O:$O,'[1]LISTA ETIQUETAS'!C:C,"",0)</f>
        <v>0</v>
      </c>
      <c r="P271" s="2">
        <f>_xlfn.XLOOKUP($A271,'[1]LISTA ETIQUETAS'!$O:$O,'[1]LISTA ETIQUETAS'!D:D,"",0)</f>
        <v>0</v>
      </c>
      <c r="Q271" s="2">
        <f>_xlfn.XLOOKUP($A271,'[1]LISTA ETIQUETAS'!$O:$O,'[1]LISTA ETIQUETAS'!E:E,"",0)</f>
        <v>0</v>
      </c>
      <c r="R271" s="2">
        <f>_xlfn.XLOOKUP($A271,'[1]LISTA ETIQUETAS'!$O:$O,'[1]LISTA ETIQUETAS'!F:F,"",0)</f>
        <v>0</v>
      </c>
      <c r="S271" s="2">
        <f>_xlfn.XLOOKUP($A271,'[1]LISTA ETIQUETAS'!$O:$O,'[1]LISTA ETIQUETAS'!H:H,"",0)</f>
        <v>2</v>
      </c>
      <c r="T271" s="9">
        <f t="shared" si="14"/>
        <v>2</v>
      </c>
    </row>
    <row r="272" spans="1:20" x14ac:dyDescent="0.25">
      <c r="A272" s="5">
        <v>147571</v>
      </c>
      <c r="B272" t="str">
        <f>IFERROR((VLOOKUP(A272,'[1]LISTA ETIQUETAS'!O:X,3,0)),"PRODUTO SEM ESTOQUE")</f>
        <v>EST BANCO GARDEN SEAT GOMILADA (DOURADO)</v>
      </c>
      <c r="C272" s="10" t="s">
        <v>182</v>
      </c>
      <c r="D272" s="10" t="s">
        <v>193</v>
      </c>
      <c r="E272" s="11">
        <f>IF(VLOOKUP(A272,'[1]LISTA ETIQUETAS'!O:W,4,0)="",(VLOOKUP(A272,'[1]LISTA ETIQUETAS'!O:W,6,0)),(VLOOKUP(A272,'[1]LISTA ETIQUETAS'!O:W,4,0)))</f>
        <v>0.32</v>
      </c>
      <c r="F272" s="11">
        <f>IF(VLOOKUP(A272,'[1]LISTA ETIQUETAS'!O:W,5,0)="",(VLOOKUP(A272,'[1]LISTA ETIQUETAS'!O:W,7,0)),(VLOOKUP(A272,'[1]LISTA ETIQUETAS'!O:W,5,0)))</f>
        <v>0</v>
      </c>
      <c r="G272" s="11">
        <f>IFERROR((VLOOKUP(A272,'[1]LISTA ETIQUETAS'!O:X,8,0)),"")</f>
        <v>0.46</v>
      </c>
      <c r="H272" s="11">
        <f>IFERROR((VLOOKUP(A272,'[1]LISTA ETIQUETAS'!O:X,9,0)),"")</f>
        <v>0.32</v>
      </c>
      <c r="I272" s="12">
        <f>IFERROR((VLOOKUP(A272,'[1]LISTA ETIQUETAS'!O:Y,11,0)),"")</f>
        <v>0</v>
      </c>
      <c r="J272" s="6">
        <v>0</v>
      </c>
      <c r="K272" s="12">
        <f t="shared" si="12"/>
        <v>0</v>
      </c>
      <c r="L272" s="7" t="str">
        <f>IF(VLOOKUP(A272,'[1]LISTA ETIQUETAS'!O:AB,14,0)="","",(VLOOKUP(A272,'[1]LISTA ETIQUETAS'!O:AB,14,0)))</f>
        <v/>
      </c>
      <c r="M272" s="8"/>
      <c r="N272" s="9">
        <f t="shared" si="13"/>
        <v>147571</v>
      </c>
      <c r="O272" s="2">
        <f>_xlfn.XLOOKUP($A272,'[1]LISTA ETIQUETAS'!$O:$O,'[1]LISTA ETIQUETAS'!C:C,"",0)</f>
        <v>0</v>
      </c>
      <c r="P272" s="2">
        <f>_xlfn.XLOOKUP($A272,'[1]LISTA ETIQUETAS'!$O:$O,'[1]LISTA ETIQUETAS'!D:D,"",0)</f>
        <v>0</v>
      </c>
      <c r="Q272" s="2">
        <f>_xlfn.XLOOKUP($A272,'[1]LISTA ETIQUETAS'!$O:$O,'[1]LISTA ETIQUETAS'!E:E,"",0)</f>
        <v>0</v>
      </c>
      <c r="R272" s="2">
        <f>_xlfn.XLOOKUP($A272,'[1]LISTA ETIQUETAS'!$O:$O,'[1]LISTA ETIQUETAS'!F:F,"",0)</f>
        <v>0</v>
      </c>
      <c r="S272" s="2">
        <f>_xlfn.XLOOKUP($A272,'[1]LISTA ETIQUETAS'!$O:$O,'[1]LISTA ETIQUETAS'!H:H,"",0)</f>
        <v>1</v>
      </c>
      <c r="T272" s="9">
        <f t="shared" si="14"/>
        <v>1</v>
      </c>
    </row>
    <row r="273" spans="1:20" x14ac:dyDescent="0.25">
      <c r="A273" s="5">
        <v>151376</v>
      </c>
      <c r="B273" t="str">
        <f>IFERROR((VLOOKUP(A273,'[1]LISTA ETIQUETAS'!O:X,3,0)),"PRODUTO SEM ESTOQUE")</f>
        <v>EST BANCO GARDEN SEAT (ALCA) (FIBRA MARROM MESCLADO)</v>
      </c>
      <c r="C273" s="10" t="s">
        <v>182</v>
      </c>
      <c r="D273" s="10" t="s">
        <v>193</v>
      </c>
      <c r="E273" s="11">
        <f>IF(VLOOKUP(A273,'[1]LISTA ETIQUETAS'!O:W,4,0)="",(VLOOKUP(A273,'[1]LISTA ETIQUETAS'!O:W,6,0)),(VLOOKUP(A273,'[1]LISTA ETIQUETAS'!O:W,4,0)))</f>
        <v>0.43</v>
      </c>
      <c r="F273" s="11">
        <f>IF(VLOOKUP(A273,'[1]LISTA ETIQUETAS'!O:W,5,0)="",(VLOOKUP(A273,'[1]LISTA ETIQUETAS'!O:W,7,0)),(VLOOKUP(A273,'[1]LISTA ETIQUETAS'!O:W,5,0)))</f>
        <v>0</v>
      </c>
      <c r="G273" s="11">
        <f>IFERROR((VLOOKUP(A273,'[1]LISTA ETIQUETAS'!O:X,8,0)),"")</f>
        <v>0.46</v>
      </c>
      <c r="H273" s="11">
        <f>IFERROR((VLOOKUP(A273,'[1]LISTA ETIQUETAS'!O:X,9,0)),"")</f>
        <v>0.46</v>
      </c>
      <c r="I273" s="12">
        <f>IFERROR((VLOOKUP(A273,'[1]LISTA ETIQUETAS'!O:Y,11,0)),"")</f>
        <v>0</v>
      </c>
      <c r="J273" s="6">
        <v>0</v>
      </c>
      <c r="K273" s="12">
        <f t="shared" si="12"/>
        <v>0</v>
      </c>
      <c r="L273" s="7" t="str">
        <f>IF(VLOOKUP(A273,'[1]LISTA ETIQUETAS'!O:AB,14,0)="","",(VLOOKUP(A273,'[1]LISTA ETIQUETAS'!O:AB,14,0)))</f>
        <v/>
      </c>
      <c r="M273" s="8"/>
      <c r="N273" s="9">
        <f t="shared" si="13"/>
        <v>151376</v>
      </c>
      <c r="O273" s="2">
        <f>_xlfn.XLOOKUP($A273,'[1]LISTA ETIQUETAS'!$O:$O,'[1]LISTA ETIQUETAS'!C:C,"",0)</f>
        <v>0</v>
      </c>
      <c r="P273" s="2">
        <f>_xlfn.XLOOKUP($A273,'[1]LISTA ETIQUETAS'!$O:$O,'[1]LISTA ETIQUETAS'!D:D,"",0)</f>
        <v>0</v>
      </c>
      <c r="Q273" s="2">
        <f>_xlfn.XLOOKUP($A273,'[1]LISTA ETIQUETAS'!$O:$O,'[1]LISTA ETIQUETAS'!E:E,"",0)</f>
        <v>0</v>
      </c>
      <c r="R273" s="2">
        <f>_xlfn.XLOOKUP($A273,'[1]LISTA ETIQUETAS'!$O:$O,'[1]LISTA ETIQUETAS'!F:F,"",0)</f>
        <v>0</v>
      </c>
      <c r="S273" s="2">
        <f>_xlfn.XLOOKUP($A273,'[1]LISTA ETIQUETAS'!$O:$O,'[1]LISTA ETIQUETAS'!H:H,"",0)</f>
        <v>2</v>
      </c>
      <c r="T273" s="9">
        <f t="shared" si="14"/>
        <v>2</v>
      </c>
    </row>
    <row r="274" spans="1:20" x14ac:dyDescent="0.25">
      <c r="A274" s="5">
        <v>163874</v>
      </c>
      <c r="B274" t="str">
        <f>IFERROR((VLOOKUP(A274,'[1]LISTA ETIQUETAS'!O:X,3,0)),"PRODUTO SEM ESTOQUE")</f>
        <v>EST BANCO VITE (CINAMOMO EBANO) TC LINHO PANAMA CRU</v>
      </c>
      <c r="C274" s="10" t="s">
        <v>182</v>
      </c>
      <c r="D274" s="10" t="s">
        <v>194</v>
      </c>
      <c r="E274" s="11">
        <f>IF(VLOOKUP(A274,'[1]LISTA ETIQUETAS'!O:W,4,0)="",(VLOOKUP(A274,'[1]LISTA ETIQUETAS'!O:W,6,0)),(VLOOKUP(A274,'[1]LISTA ETIQUETAS'!O:W,4,0)))</f>
        <v>0</v>
      </c>
      <c r="F274" s="11">
        <f>IF(VLOOKUP(A274,'[1]LISTA ETIQUETAS'!O:W,5,0)="",(VLOOKUP(A274,'[1]LISTA ETIQUETAS'!O:W,7,0)),(VLOOKUP(A274,'[1]LISTA ETIQUETAS'!O:W,5,0)))</f>
        <v>0</v>
      </c>
      <c r="G274" s="11">
        <f>IFERROR((VLOOKUP(A274,'[1]LISTA ETIQUETAS'!O:X,8,0)),"")</f>
        <v>0</v>
      </c>
      <c r="H274" s="11">
        <f>IFERROR((VLOOKUP(A274,'[1]LISTA ETIQUETAS'!O:X,9,0)),"")</f>
        <v>0</v>
      </c>
      <c r="I274" s="12">
        <f>IFERROR((VLOOKUP(A274,'[1]LISTA ETIQUETAS'!O:Y,11,0)),"")</f>
        <v>0</v>
      </c>
      <c r="J274" s="6">
        <v>0</v>
      </c>
      <c r="K274" s="12">
        <f t="shared" si="12"/>
        <v>0</v>
      </c>
      <c r="L274" s="7" t="str">
        <f>IF(VLOOKUP(A274,'[1]LISTA ETIQUETAS'!O:AB,14,0)="","",(VLOOKUP(A274,'[1]LISTA ETIQUETAS'!O:AB,14,0)))</f>
        <v/>
      </c>
      <c r="M274" s="8"/>
      <c r="N274" s="9">
        <f t="shared" si="13"/>
        <v>163874</v>
      </c>
      <c r="O274" s="2">
        <f>_xlfn.XLOOKUP($A274,'[1]LISTA ETIQUETAS'!$O:$O,'[1]LISTA ETIQUETAS'!C:C,"",0)</f>
        <v>0</v>
      </c>
      <c r="P274" s="2">
        <f>_xlfn.XLOOKUP($A274,'[1]LISTA ETIQUETAS'!$O:$O,'[1]LISTA ETIQUETAS'!D:D,"",0)</f>
        <v>0</v>
      </c>
      <c r="Q274" s="2">
        <f>_xlfn.XLOOKUP($A274,'[1]LISTA ETIQUETAS'!$O:$O,'[1]LISTA ETIQUETAS'!E:E,"",0)</f>
        <v>0</v>
      </c>
      <c r="R274" s="2">
        <f>_xlfn.XLOOKUP($A274,'[1]LISTA ETIQUETAS'!$O:$O,'[1]LISTA ETIQUETAS'!F:F,"",0)</f>
        <v>0</v>
      </c>
      <c r="S274" s="2">
        <f>_xlfn.XLOOKUP($A274,'[1]LISTA ETIQUETAS'!$O:$O,'[1]LISTA ETIQUETAS'!H:H,"",0)</f>
        <v>2</v>
      </c>
      <c r="T274" s="9">
        <f t="shared" si="14"/>
        <v>2</v>
      </c>
    </row>
    <row r="275" spans="1:20" x14ac:dyDescent="0.25">
      <c r="A275" s="5">
        <v>183815</v>
      </c>
      <c r="B275" t="str">
        <f>IFERROR((VLOOKUP(A275,'[1]LISTA ETIQUETAS'!O:X,3,0)),"PRODUTO SEM ESTOQUE")</f>
        <v>EST BANCO CLARICE (CUMARU)</v>
      </c>
      <c r="C275" s="10" t="s">
        <v>182</v>
      </c>
      <c r="D275" s="10" t="s">
        <v>195</v>
      </c>
      <c r="E275" s="11">
        <f>IF(VLOOKUP(A275,'[1]LISTA ETIQUETAS'!O:W,4,0)="",(VLOOKUP(A275,'[1]LISTA ETIQUETAS'!O:W,6,0)),(VLOOKUP(A275,'[1]LISTA ETIQUETAS'!O:W,4,0)))</f>
        <v>2.4700000000000002</v>
      </c>
      <c r="F275" s="11">
        <f>IF(VLOOKUP(A275,'[1]LISTA ETIQUETAS'!O:W,5,0)="",(VLOOKUP(A275,'[1]LISTA ETIQUETAS'!O:W,7,0)),(VLOOKUP(A275,'[1]LISTA ETIQUETAS'!O:W,5,0)))</f>
        <v>0.46</v>
      </c>
      <c r="G275" s="11">
        <f>IFERROR((VLOOKUP(A275,'[1]LISTA ETIQUETAS'!O:X,8,0)),"")</f>
        <v>0.46</v>
      </c>
      <c r="H275" s="11">
        <f>IFERROR((VLOOKUP(A275,'[1]LISTA ETIQUETAS'!O:X,9,0)),"")</f>
        <v>0</v>
      </c>
      <c r="I275" s="12">
        <f>IFERROR((VLOOKUP(A275,'[1]LISTA ETIQUETAS'!O:Y,11,0)),"")</f>
        <v>0</v>
      </c>
      <c r="J275" s="6">
        <v>0</v>
      </c>
      <c r="K275" s="12">
        <f t="shared" si="12"/>
        <v>0</v>
      </c>
      <c r="L275" s="7" t="str">
        <f>IF(VLOOKUP(A275,'[1]LISTA ETIQUETAS'!O:AB,14,0)="","",(VLOOKUP(A275,'[1]LISTA ETIQUETAS'!O:AB,14,0)))</f>
        <v/>
      </c>
      <c r="M275" s="8"/>
      <c r="N275" s="9">
        <f t="shared" si="13"/>
        <v>183815</v>
      </c>
      <c r="O275" s="2">
        <f>_xlfn.XLOOKUP($A275,'[1]LISTA ETIQUETAS'!$O:$O,'[1]LISTA ETIQUETAS'!C:C,"",0)</f>
        <v>0</v>
      </c>
      <c r="P275" s="2">
        <f>_xlfn.XLOOKUP($A275,'[1]LISTA ETIQUETAS'!$O:$O,'[1]LISTA ETIQUETAS'!D:D,"",0)</f>
        <v>0</v>
      </c>
      <c r="Q275" s="2">
        <f>_xlfn.XLOOKUP($A275,'[1]LISTA ETIQUETAS'!$O:$O,'[1]LISTA ETIQUETAS'!E:E,"",0)</f>
        <v>0</v>
      </c>
      <c r="R275" s="2">
        <f>_xlfn.XLOOKUP($A275,'[1]LISTA ETIQUETAS'!$O:$O,'[1]LISTA ETIQUETAS'!F:F,"",0)</f>
        <v>0</v>
      </c>
      <c r="S275" s="2">
        <f>_xlfn.XLOOKUP($A275,'[1]LISTA ETIQUETAS'!$O:$O,'[1]LISTA ETIQUETAS'!H:H,"",0)</f>
        <v>1</v>
      </c>
      <c r="T275" s="9">
        <f t="shared" si="14"/>
        <v>1</v>
      </c>
    </row>
    <row r="276" spans="1:20" x14ac:dyDescent="0.25">
      <c r="A276" s="5">
        <v>179057</v>
      </c>
      <c r="B276" t="str">
        <f>IFERROR((VLOOKUP(A276,'[1]LISTA ETIQUETAS'!O:X,3,0)),"PRODUTO SEM ESTOQUE")</f>
        <v>EST BANCO BETA (LACA BRILHO M033)</v>
      </c>
      <c r="C276" s="10" t="s">
        <v>182</v>
      </c>
      <c r="D276" s="10" t="s">
        <v>191</v>
      </c>
      <c r="E276" s="11">
        <f>IF(VLOOKUP(A276,'[1]LISTA ETIQUETAS'!O:W,4,0)="",(VLOOKUP(A276,'[1]LISTA ETIQUETAS'!O:W,6,0)),(VLOOKUP(A276,'[1]LISTA ETIQUETAS'!O:W,4,0)))</f>
        <v>0.45</v>
      </c>
      <c r="F276" s="11">
        <f>IF(VLOOKUP(A276,'[1]LISTA ETIQUETAS'!O:W,5,0)="",(VLOOKUP(A276,'[1]LISTA ETIQUETAS'!O:W,7,0)),(VLOOKUP(A276,'[1]LISTA ETIQUETAS'!O:W,5,0)))</f>
        <v>0.45</v>
      </c>
      <c r="G276" s="11">
        <f>IFERROR((VLOOKUP(A276,'[1]LISTA ETIQUETAS'!O:X,8,0)),"")</f>
        <v>0.45</v>
      </c>
      <c r="H276" s="11">
        <f>IFERROR((VLOOKUP(A276,'[1]LISTA ETIQUETAS'!O:X,9,0)),"")</f>
        <v>0</v>
      </c>
      <c r="I276" s="12">
        <f>IFERROR((VLOOKUP(A276,'[1]LISTA ETIQUETAS'!O:Y,11,0)),"")</f>
        <v>0</v>
      </c>
      <c r="J276" s="6">
        <v>0</v>
      </c>
      <c r="K276" s="12">
        <f t="shared" si="12"/>
        <v>0</v>
      </c>
      <c r="L276" s="7" t="str">
        <f>IF(VLOOKUP(A276,'[1]LISTA ETIQUETAS'!O:AB,14,0)="","",(VLOOKUP(A276,'[1]LISTA ETIQUETAS'!O:AB,14,0)))</f>
        <v/>
      </c>
      <c r="M276" s="8"/>
      <c r="N276" s="9">
        <f t="shared" si="13"/>
        <v>179057</v>
      </c>
      <c r="O276" s="2">
        <f>_xlfn.XLOOKUP($A276,'[1]LISTA ETIQUETAS'!$O:$O,'[1]LISTA ETIQUETAS'!C:C,"",0)</f>
        <v>0</v>
      </c>
      <c r="P276" s="2">
        <f>_xlfn.XLOOKUP($A276,'[1]LISTA ETIQUETAS'!$O:$O,'[1]LISTA ETIQUETAS'!D:D,"",0)</f>
        <v>0</v>
      </c>
      <c r="Q276" s="2">
        <f>_xlfn.XLOOKUP($A276,'[1]LISTA ETIQUETAS'!$O:$O,'[1]LISTA ETIQUETAS'!E:E,"",0)</f>
        <v>0</v>
      </c>
      <c r="R276" s="2">
        <f>_xlfn.XLOOKUP($A276,'[1]LISTA ETIQUETAS'!$O:$O,'[1]LISTA ETIQUETAS'!F:F,"",0)</f>
        <v>0</v>
      </c>
      <c r="S276" s="2">
        <f>_xlfn.XLOOKUP($A276,'[1]LISTA ETIQUETAS'!$O:$O,'[1]LISTA ETIQUETAS'!H:H,"",0)</f>
        <v>7</v>
      </c>
      <c r="T276" s="9">
        <f t="shared" si="14"/>
        <v>7</v>
      </c>
    </row>
    <row r="277" spans="1:20" x14ac:dyDescent="0.25">
      <c r="A277" s="5">
        <v>178054</v>
      </c>
      <c r="B277" t="str">
        <f>IFERROR((VLOOKUP(A277,'[1]LISTA ETIQUETAS'!O:X,3,0)),"PRODUTO SEM ESTOQUE")</f>
        <v>EST BANCO SALOMI (FIBRA BANANEIRA) 14B TC 48/C</v>
      </c>
      <c r="C277" s="10" t="s">
        <v>182</v>
      </c>
      <c r="D277" s="10" t="s">
        <v>196</v>
      </c>
      <c r="E277" s="11">
        <f>IF(VLOOKUP(A277,'[1]LISTA ETIQUETAS'!O:W,4,0)="",(VLOOKUP(A277,'[1]LISTA ETIQUETAS'!O:W,6,0)),(VLOOKUP(A277,'[1]LISTA ETIQUETAS'!O:W,4,0)))</f>
        <v>0.5</v>
      </c>
      <c r="F277" s="11">
        <f>IF(VLOOKUP(A277,'[1]LISTA ETIQUETAS'!O:W,5,0)="",(VLOOKUP(A277,'[1]LISTA ETIQUETAS'!O:W,7,0)),(VLOOKUP(A277,'[1]LISTA ETIQUETAS'!O:W,5,0)))</f>
        <v>0</v>
      </c>
      <c r="G277" s="11">
        <f>IFERROR((VLOOKUP(A277,'[1]LISTA ETIQUETAS'!O:X,8,0)),"")</f>
        <v>0.47</v>
      </c>
      <c r="H277" s="11">
        <f>IFERROR((VLOOKUP(A277,'[1]LISTA ETIQUETAS'!O:X,9,0)),"")</f>
        <v>0.5</v>
      </c>
      <c r="I277" s="12">
        <f>IFERROR((VLOOKUP(A277,'[1]LISTA ETIQUETAS'!O:Y,11,0)),"")</f>
        <v>8960</v>
      </c>
      <c r="J277" s="6">
        <v>0</v>
      </c>
      <c r="K277" s="12">
        <f t="shared" si="12"/>
        <v>8960</v>
      </c>
      <c r="L277" s="7" t="str">
        <f>IF(VLOOKUP(A277,'[1]LISTA ETIQUETAS'!O:AB,14,0)="","",(VLOOKUP(A277,'[1]LISTA ETIQUETAS'!O:AB,14,0)))</f>
        <v/>
      </c>
      <c r="M277" s="8"/>
      <c r="N277" s="9">
        <f t="shared" si="13"/>
        <v>178054</v>
      </c>
      <c r="O277" s="2">
        <f>_xlfn.XLOOKUP($A277,'[1]LISTA ETIQUETAS'!$O:$O,'[1]LISTA ETIQUETAS'!C:C,"",0)</f>
        <v>0</v>
      </c>
      <c r="P277" s="2">
        <f>_xlfn.XLOOKUP($A277,'[1]LISTA ETIQUETAS'!$O:$O,'[1]LISTA ETIQUETAS'!D:D,"",0)</f>
        <v>0</v>
      </c>
      <c r="Q277" s="2">
        <f>_xlfn.XLOOKUP($A277,'[1]LISTA ETIQUETAS'!$O:$O,'[1]LISTA ETIQUETAS'!E:E,"",0)</f>
        <v>0</v>
      </c>
      <c r="R277" s="2">
        <f>_xlfn.XLOOKUP($A277,'[1]LISTA ETIQUETAS'!$O:$O,'[1]LISTA ETIQUETAS'!F:F,"",0)</f>
        <v>0</v>
      </c>
      <c r="S277" s="2">
        <f>_xlfn.XLOOKUP($A277,'[1]LISTA ETIQUETAS'!$O:$O,'[1]LISTA ETIQUETAS'!H:H,"",0)</f>
        <v>2</v>
      </c>
      <c r="T277" s="9">
        <f t="shared" si="14"/>
        <v>2</v>
      </c>
    </row>
    <row r="278" spans="1:20" x14ac:dyDescent="0.25">
      <c r="A278" s="5">
        <v>178893</v>
      </c>
      <c r="B278" t="str">
        <f>IFERROR((VLOOKUP(A278,'[1]LISTA ETIQUETAS'!O:X,3,0)),"PRODUTO SEM ESTOQUE")</f>
        <v>EST BANCO CHINO MARROM ESCURO</v>
      </c>
      <c r="C278" s="10" t="s">
        <v>182</v>
      </c>
      <c r="D278" s="10" t="s">
        <v>197</v>
      </c>
      <c r="E278" s="11">
        <f>IF(VLOOKUP(A278,'[1]LISTA ETIQUETAS'!O:W,4,0)="",(VLOOKUP(A278,'[1]LISTA ETIQUETAS'!O:W,6,0)),(VLOOKUP(A278,'[1]LISTA ETIQUETAS'!O:W,4,0)))</f>
        <v>0.45</v>
      </c>
      <c r="F278" s="11">
        <f>IF(VLOOKUP(A278,'[1]LISTA ETIQUETAS'!O:W,5,0)="",(VLOOKUP(A278,'[1]LISTA ETIQUETAS'!O:W,7,0)),(VLOOKUP(A278,'[1]LISTA ETIQUETAS'!O:W,5,0)))</f>
        <v>0.45</v>
      </c>
      <c r="G278" s="11">
        <f>IFERROR((VLOOKUP(A278,'[1]LISTA ETIQUETAS'!O:X,8,0)),"")</f>
        <v>0.45</v>
      </c>
      <c r="H278" s="11">
        <f>IFERROR((VLOOKUP(A278,'[1]LISTA ETIQUETAS'!O:X,9,0)),"")</f>
        <v>0</v>
      </c>
      <c r="I278" s="12">
        <f>IFERROR((VLOOKUP(A278,'[1]LISTA ETIQUETAS'!O:Y,11,0)),"")</f>
        <v>2542.71</v>
      </c>
      <c r="J278" s="6">
        <v>0</v>
      </c>
      <c r="K278" s="12">
        <f t="shared" si="12"/>
        <v>2542.71</v>
      </c>
      <c r="L278" s="7" t="str">
        <f>IF(VLOOKUP(A278,'[1]LISTA ETIQUETAS'!O:AB,14,0)="","",(VLOOKUP(A278,'[1]LISTA ETIQUETAS'!O:AB,14,0)))</f>
        <v/>
      </c>
      <c r="M278" s="8"/>
      <c r="N278" s="9">
        <f t="shared" si="13"/>
        <v>178893</v>
      </c>
      <c r="O278" s="2">
        <f>_xlfn.XLOOKUP($A278,'[1]LISTA ETIQUETAS'!$O:$O,'[1]LISTA ETIQUETAS'!C:C,"",0)</f>
        <v>0</v>
      </c>
      <c r="P278" s="2">
        <f>_xlfn.XLOOKUP($A278,'[1]LISTA ETIQUETAS'!$O:$O,'[1]LISTA ETIQUETAS'!D:D,"",0)</f>
        <v>0</v>
      </c>
      <c r="Q278" s="2">
        <f>_xlfn.XLOOKUP($A278,'[1]LISTA ETIQUETAS'!$O:$O,'[1]LISTA ETIQUETAS'!E:E,"",0)</f>
        <v>0</v>
      </c>
      <c r="R278" s="2">
        <f>_xlfn.XLOOKUP($A278,'[1]LISTA ETIQUETAS'!$O:$O,'[1]LISTA ETIQUETAS'!F:F,"",0)</f>
        <v>0</v>
      </c>
      <c r="S278" s="2">
        <f>_xlfn.XLOOKUP($A278,'[1]LISTA ETIQUETAS'!$O:$O,'[1]LISTA ETIQUETAS'!H:H,"",0)</f>
        <v>1</v>
      </c>
      <c r="T278" s="9">
        <f t="shared" si="14"/>
        <v>1</v>
      </c>
    </row>
    <row r="279" spans="1:20" x14ac:dyDescent="0.25">
      <c r="A279" s="5">
        <v>191298</v>
      </c>
      <c r="B279" t="str">
        <f>IFERROR((VLOOKUP(A279,'[1]LISTA ETIQUETAS'!O:X,3,0)),"PRODUTO SEM ESTOQUE")</f>
        <v>EST BANCO JULIA (FIBRA VIDRO) (LACA OURO ROSA BRILHO)</v>
      </c>
      <c r="C279" s="10" t="s">
        <v>182</v>
      </c>
      <c r="D279" s="10" t="s">
        <v>189</v>
      </c>
      <c r="E279" s="11">
        <f>IF(VLOOKUP(A279,'[1]LISTA ETIQUETAS'!O:W,4,0)="",(VLOOKUP(A279,'[1]LISTA ETIQUETAS'!O:W,6,0)),(VLOOKUP(A279,'[1]LISTA ETIQUETAS'!O:W,4,0)))</f>
        <v>0.35</v>
      </c>
      <c r="F279" s="11">
        <f>IF(VLOOKUP(A279,'[1]LISTA ETIQUETAS'!O:W,5,0)="",(VLOOKUP(A279,'[1]LISTA ETIQUETAS'!O:W,7,0)),(VLOOKUP(A279,'[1]LISTA ETIQUETAS'!O:W,5,0)))</f>
        <v>0</v>
      </c>
      <c r="G279" s="11">
        <f>IFERROR((VLOOKUP(A279,'[1]LISTA ETIQUETAS'!O:X,8,0)),"")</f>
        <v>0.4</v>
      </c>
      <c r="H279" s="11">
        <f>IFERROR((VLOOKUP(A279,'[1]LISTA ETIQUETAS'!O:X,9,0)),"")</f>
        <v>0.35</v>
      </c>
      <c r="I279" s="12" t="str">
        <f>IFERROR((VLOOKUP(A279,'[1]LISTA ETIQUETAS'!O:Y,11,0)),"")</f>
        <v/>
      </c>
      <c r="J279" s="6">
        <v>0</v>
      </c>
      <c r="K279" s="12" t="str">
        <f t="shared" si="12"/>
        <v/>
      </c>
      <c r="L279" s="7" t="str">
        <f>IF(VLOOKUP(A279,'[1]LISTA ETIQUETAS'!O:AB,14,0)="","",(VLOOKUP(A279,'[1]LISTA ETIQUETAS'!O:AB,14,0)))</f>
        <v/>
      </c>
      <c r="M279" s="8"/>
      <c r="N279" s="9">
        <f t="shared" si="13"/>
        <v>191298</v>
      </c>
      <c r="O279" s="2">
        <f>_xlfn.XLOOKUP($A279,'[1]LISTA ETIQUETAS'!$O:$O,'[1]LISTA ETIQUETAS'!C:C,"",0)</f>
        <v>0</v>
      </c>
      <c r="P279" s="2">
        <f>_xlfn.XLOOKUP($A279,'[1]LISTA ETIQUETAS'!$O:$O,'[1]LISTA ETIQUETAS'!D:D,"",0)</f>
        <v>0</v>
      </c>
      <c r="Q279" s="2">
        <f>_xlfn.XLOOKUP($A279,'[1]LISTA ETIQUETAS'!$O:$O,'[1]LISTA ETIQUETAS'!E:E,"",0)</f>
        <v>0</v>
      </c>
      <c r="R279" s="2">
        <f>_xlfn.XLOOKUP($A279,'[1]LISTA ETIQUETAS'!$O:$O,'[1]LISTA ETIQUETAS'!F:F,"",0)</f>
        <v>0</v>
      </c>
      <c r="S279" s="2">
        <f>_xlfn.XLOOKUP($A279,'[1]LISTA ETIQUETAS'!$O:$O,'[1]LISTA ETIQUETAS'!H:H,"",0)</f>
        <v>2</v>
      </c>
      <c r="T279" s="9">
        <f t="shared" si="14"/>
        <v>2</v>
      </c>
    </row>
    <row r="280" spans="1:20" x14ac:dyDescent="0.25">
      <c r="A280" s="5">
        <v>219073</v>
      </c>
      <c r="B280" t="str">
        <f>IFERROR((VLOOKUP(A280,'[1]LISTA ETIQUETAS'!O:X,3,0)),"PRODUTO SEM ESTOQUE")</f>
        <v>EST BANCO UZI (MAD DEMOLICAO) PEROBA ROSA IMBUIA NITRO</v>
      </c>
      <c r="C280" s="10" t="s">
        <v>182</v>
      </c>
      <c r="D280" s="10" t="s">
        <v>198</v>
      </c>
      <c r="E280" s="11">
        <f>IF(VLOOKUP(A280,'[1]LISTA ETIQUETAS'!O:W,4,0)="",(VLOOKUP(A280,'[1]LISTA ETIQUETAS'!O:W,6,0)),(VLOOKUP(A280,'[1]LISTA ETIQUETAS'!O:W,4,0)))</f>
        <v>2.4</v>
      </c>
      <c r="F280" s="11">
        <f>IF(VLOOKUP(A280,'[1]LISTA ETIQUETAS'!O:W,5,0)="",(VLOOKUP(A280,'[1]LISTA ETIQUETAS'!O:W,7,0)),(VLOOKUP(A280,'[1]LISTA ETIQUETAS'!O:W,5,0)))</f>
        <v>0.5</v>
      </c>
      <c r="G280" s="11">
        <f>IFERROR((VLOOKUP(A280,'[1]LISTA ETIQUETAS'!O:X,8,0)),"")</f>
        <v>0.45</v>
      </c>
      <c r="H280" s="11">
        <f>IFERROR((VLOOKUP(A280,'[1]LISTA ETIQUETAS'!O:X,9,0)),"")</f>
        <v>0</v>
      </c>
      <c r="I280" s="12">
        <f>IFERROR((VLOOKUP(A280,'[1]LISTA ETIQUETAS'!O:Y,11,0)),"")</f>
        <v>10080</v>
      </c>
      <c r="J280" s="6">
        <v>0</v>
      </c>
      <c r="K280" s="12">
        <f t="shared" si="12"/>
        <v>10080</v>
      </c>
      <c r="L280" s="7" t="str">
        <f>IF(VLOOKUP(A280,'[1]LISTA ETIQUETAS'!O:AB,14,0)="","",(VLOOKUP(A280,'[1]LISTA ETIQUETAS'!O:AB,14,0)))</f>
        <v/>
      </c>
      <c r="M280" s="8"/>
      <c r="N280" s="9">
        <f t="shared" si="13"/>
        <v>219073</v>
      </c>
      <c r="O280" s="2">
        <f>_xlfn.XLOOKUP($A280,'[1]LISTA ETIQUETAS'!$O:$O,'[1]LISTA ETIQUETAS'!C:C,"",0)</f>
        <v>0</v>
      </c>
      <c r="P280" s="2">
        <f>_xlfn.XLOOKUP($A280,'[1]LISTA ETIQUETAS'!$O:$O,'[1]LISTA ETIQUETAS'!D:D,"",0)</f>
        <v>0</v>
      </c>
      <c r="Q280" s="2">
        <f>_xlfn.XLOOKUP($A280,'[1]LISTA ETIQUETAS'!$O:$O,'[1]LISTA ETIQUETAS'!E:E,"",0)</f>
        <v>0</v>
      </c>
      <c r="R280" s="2">
        <f>_xlfn.XLOOKUP($A280,'[1]LISTA ETIQUETAS'!$O:$O,'[1]LISTA ETIQUETAS'!F:F,"",0)</f>
        <v>0</v>
      </c>
      <c r="S280" s="2">
        <f>_xlfn.XLOOKUP($A280,'[1]LISTA ETIQUETAS'!$O:$O,'[1]LISTA ETIQUETAS'!H:H,"",0)</f>
        <v>1</v>
      </c>
      <c r="T280" s="9">
        <f t="shared" si="14"/>
        <v>1</v>
      </c>
    </row>
    <row r="281" spans="1:20" x14ac:dyDescent="0.25">
      <c r="A281" s="5">
        <v>210423</v>
      </c>
      <c r="B281" t="str">
        <f>IFERROR((VLOOKUP(A281,'[1]LISTA ETIQUETAS'!O:X,3,0)),"PRODUTO SEM ESTOQUE")</f>
        <v>EST BANCO STRONGER (ALUMINIO CHAMPAGNE)</v>
      </c>
      <c r="C281" s="10" t="s">
        <v>182</v>
      </c>
      <c r="D281" s="10" t="s">
        <v>180</v>
      </c>
      <c r="E281" s="11">
        <f>IF(VLOOKUP(A281,'[1]LISTA ETIQUETAS'!O:W,4,0)="",(VLOOKUP(A281,'[1]LISTA ETIQUETAS'!O:W,6,0)),(VLOOKUP(A281,'[1]LISTA ETIQUETAS'!O:W,4,0)))</f>
        <v>2</v>
      </c>
      <c r="F281" s="11">
        <f>IF(VLOOKUP(A281,'[1]LISTA ETIQUETAS'!O:W,5,0)="",(VLOOKUP(A281,'[1]LISTA ETIQUETAS'!O:W,7,0)),(VLOOKUP(A281,'[1]LISTA ETIQUETAS'!O:W,5,0)))</f>
        <v>0.6</v>
      </c>
      <c r="G281" s="11">
        <f>IFERROR((VLOOKUP(A281,'[1]LISTA ETIQUETAS'!O:X,8,0)),"")</f>
        <v>0.45</v>
      </c>
      <c r="H281" s="11">
        <f>IFERROR((VLOOKUP(A281,'[1]LISTA ETIQUETAS'!O:X,9,0)),"")</f>
        <v>0</v>
      </c>
      <c r="I281" s="12">
        <f>IFERROR((VLOOKUP(A281,'[1]LISTA ETIQUETAS'!O:Y,11,0)),"")</f>
        <v>9340.7999999999993</v>
      </c>
      <c r="J281" s="6">
        <v>0</v>
      </c>
      <c r="K281" s="12">
        <f t="shared" si="12"/>
        <v>9340.7999999999993</v>
      </c>
      <c r="L281" s="7" t="str">
        <f>IF(VLOOKUP(A281,'[1]LISTA ETIQUETAS'!O:AB,14,0)="","",(VLOOKUP(A281,'[1]LISTA ETIQUETAS'!O:AB,14,0)))</f>
        <v/>
      </c>
      <c r="M281" s="8"/>
      <c r="N281" s="9">
        <f t="shared" si="13"/>
        <v>210423</v>
      </c>
      <c r="O281" s="2">
        <f>_xlfn.XLOOKUP($A281,'[1]LISTA ETIQUETAS'!$O:$O,'[1]LISTA ETIQUETAS'!C:C,"",0)</f>
        <v>0</v>
      </c>
      <c r="P281" s="2">
        <f>_xlfn.XLOOKUP($A281,'[1]LISTA ETIQUETAS'!$O:$O,'[1]LISTA ETIQUETAS'!D:D,"",0)</f>
        <v>0</v>
      </c>
      <c r="Q281" s="2">
        <f>_xlfn.XLOOKUP($A281,'[1]LISTA ETIQUETAS'!$O:$O,'[1]LISTA ETIQUETAS'!E:E,"",0)</f>
        <v>0</v>
      </c>
      <c r="R281" s="2">
        <f>_xlfn.XLOOKUP($A281,'[1]LISTA ETIQUETAS'!$O:$O,'[1]LISTA ETIQUETAS'!F:F,"",0)</f>
        <v>0</v>
      </c>
      <c r="S281" s="2">
        <f>_xlfn.XLOOKUP($A281,'[1]LISTA ETIQUETAS'!$O:$O,'[1]LISTA ETIQUETAS'!H:H,"",0)</f>
        <v>1</v>
      </c>
      <c r="T281" s="9">
        <f t="shared" si="14"/>
        <v>1</v>
      </c>
    </row>
    <row r="282" spans="1:20" x14ac:dyDescent="0.25">
      <c r="A282" s="5">
        <v>210359</v>
      </c>
      <c r="B282" t="str">
        <f>IFERROR((VLOOKUP(A282,'[1]LISTA ETIQUETAS'!O:X,3,0)),"PRODUTO SEM ESTOQUE")</f>
        <v>EST BANCO GAL (PINTURA COBRE)</v>
      </c>
      <c r="C282" s="10" t="s">
        <v>182</v>
      </c>
      <c r="D282" s="10" t="s">
        <v>199</v>
      </c>
      <c r="E282" s="11">
        <f>IF(VLOOKUP(A282,'[1]LISTA ETIQUETAS'!O:W,4,0)="",(VLOOKUP(A282,'[1]LISTA ETIQUETAS'!O:W,6,0)),(VLOOKUP(A282,'[1]LISTA ETIQUETAS'!O:W,4,0)))</f>
        <v>0.45</v>
      </c>
      <c r="F282" s="11">
        <f>IF(VLOOKUP(A282,'[1]LISTA ETIQUETAS'!O:W,5,0)="",(VLOOKUP(A282,'[1]LISTA ETIQUETAS'!O:W,7,0)),(VLOOKUP(A282,'[1]LISTA ETIQUETAS'!O:W,5,0)))</f>
        <v>0.45</v>
      </c>
      <c r="G282" s="11">
        <f>IFERROR((VLOOKUP(A282,'[1]LISTA ETIQUETAS'!O:X,8,0)),"")</f>
        <v>0.45</v>
      </c>
      <c r="H282" s="11">
        <f>IFERROR((VLOOKUP(A282,'[1]LISTA ETIQUETAS'!O:X,9,0)),"")</f>
        <v>0</v>
      </c>
      <c r="I282" s="12">
        <f>IFERROR((VLOOKUP(A282,'[1]LISTA ETIQUETAS'!O:Y,11,0)),"")</f>
        <v>7934.75</v>
      </c>
      <c r="J282" s="6">
        <v>0</v>
      </c>
      <c r="K282" s="12">
        <f t="shared" si="12"/>
        <v>7934.75</v>
      </c>
      <c r="L282" s="7" t="str">
        <f>IF(VLOOKUP(A282,'[1]LISTA ETIQUETAS'!O:AB,14,0)="","",(VLOOKUP(A282,'[1]LISTA ETIQUETAS'!O:AB,14,0)))</f>
        <v/>
      </c>
      <c r="M282" s="8"/>
      <c r="N282" s="9">
        <f t="shared" si="13"/>
        <v>210359</v>
      </c>
      <c r="O282" s="2">
        <f>_xlfn.XLOOKUP($A282,'[1]LISTA ETIQUETAS'!$O:$O,'[1]LISTA ETIQUETAS'!C:C,"",0)</f>
        <v>0</v>
      </c>
      <c r="P282" s="2">
        <f>_xlfn.XLOOKUP($A282,'[1]LISTA ETIQUETAS'!$O:$O,'[1]LISTA ETIQUETAS'!D:D,"",0)</f>
        <v>0</v>
      </c>
      <c r="Q282" s="2">
        <f>_xlfn.XLOOKUP($A282,'[1]LISTA ETIQUETAS'!$O:$O,'[1]LISTA ETIQUETAS'!E:E,"",0)</f>
        <v>0</v>
      </c>
      <c r="R282" s="2">
        <f>_xlfn.XLOOKUP($A282,'[1]LISTA ETIQUETAS'!$O:$O,'[1]LISTA ETIQUETAS'!F:F,"",0)</f>
        <v>0</v>
      </c>
      <c r="S282" s="2">
        <f>_xlfn.XLOOKUP($A282,'[1]LISTA ETIQUETAS'!$O:$O,'[1]LISTA ETIQUETAS'!H:H,"",0)</f>
        <v>2</v>
      </c>
      <c r="T282" s="9">
        <f t="shared" si="14"/>
        <v>2</v>
      </c>
    </row>
    <row r="283" spans="1:20" x14ac:dyDescent="0.25">
      <c r="A283" s="5">
        <v>230075</v>
      </c>
      <c r="B283" t="str">
        <f>IFERROR((VLOOKUP(A283,'[1]LISTA ETIQUETAS'!O:X,3,0)),"PRODUTO SEM ESTOQUE")</f>
        <v>EST BANCO PHILLIPS (LACA NUDE GRADIENTE FOSCA)</v>
      </c>
      <c r="C283" s="10" t="s">
        <v>182</v>
      </c>
      <c r="D283" s="10" t="s">
        <v>200</v>
      </c>
      <c r="E283" s="11">
        <f>IF(VLOOKUP(A283,'[1]LISTA ETIQUETAS'!O:W,4,0)="",(VLOOKUP(A283,'[1]LISTA ETIQUETAS'!O:W,6,0)),(VLOOKUP(A283,'[1]LISTA ETIQUETAS'!O:W,4,0)))</f>
        <v>0.35</v>
      </c>
      <c r="F283" s="11">
        <f>IF(VLOOKUP(A283,'[1]LISTA ETIQUETAS'!O:W,5,0)="",(VLOOKUP(A283,'[1]LISTA ETIQUETAS'!O:W,7,0)),(VLOOKUP(A283,'[1]LISTA ETIQUETAS'!O:W,5,0)))</f>
        <v>0</v>
      </c>
      <c r="G283" s="11">
        <f>IFERROR((VLOOKUP(A283,'[1]LISTA ETIQUETAS'!O:X,8,0)),"")</f>
        <v>0.45</v>
      </c>
      <c r="H283" s="11">
        <f>IFERROR((VLOOKUP(A283,'[1]LISTA ETIQUETAS'!O:X,9,0)),"")</f>
        <v>0.35</v>
      </c>
      <c r="I283" s="12">
        <f>IFERROR((VLOOKUP(A283,'[1]LISTA ETIQUETAS'!O:Y,11,0)),"")</f>
        <v>7271.35</v>
      </c>
      <c r="J283" s="6">
        <v>0</v>
      </c>
      <c r="K283" s="12">
        <f t="shared" si="12"/>
        <v>7271.35</v>
      </c>
      <c r="L283" s="7" t="str">
        <f>IF(VLOOKUP(A283,'[1]LISTA ETIQUETAS'!O:AB,14,0)="","",(VLOOKUP(A283,'[1]LISTA ETIQUETAS'!O:AB,14,0)))</f>
        <v/>
      </c>
      <c r="M283" s="8"/>
      <c r="N283" s="9">
        <f t="shared" si="13"/>
        <v>230075</v>
      </c>
      <c r="O283" s="2">
        <f>_xlfn.XLOOKUP($A283,'[1]LISTA ETIQUETAS'!$O:$O,'[1]LISTA ETIQUETAS'!C:C,"",0)</f>
        <v>0</v>
      </c>
      <c r="P283" s="2">
        <f>_xlfn.XLOOKUP($A283,'[1]LISTA ETIQUETAS'!$O:$O,'[1]LISTA ETIQUETAS'!D:D,"",0)</f>
        <v>0</v>
      </c>
      <c r="Q283" s="2">
        <f>_xlfn.XLOOKUP($A283,'[1]LISTA ETIQUETAS'!$O:$O,'[1]LISTA ETIQUETAS'!E:E,"",0)</f>
        <v>0</v>
      </c>
      <c r="R283" s="2">
        <f>_xlfn.XLOOKUP($A283,'[1]LISTA ETIQUETAS'!$O:$O,'[1]LISTA ETIQUETAS'!F:F,"",0)</f>
        <v>0</v>
      </c>
      <c r="S283" s="2">
        <f>_xlfn.XLOOKUP($A283,'[1]LISTA ETIQUETAS'!$O:$O,'[1]LISTA ETIQUETAS'!H:H,"",0)</f>
        <v>2</v>
      </c>
      <c r="T283" s="9">
        <f t="shared" si="14"/>
        <v>2</v>
      </c>
    </row>
    <row r="284" spans="1:20" x14ac:dyDescent="0.25">
      <c r="A284" s="5">
        <v>254163</v>
      </c>
      <c r="B284" t="str">
        <f>IFERROR((VLOOKUP(A284,'[1]LISTA ETIQUETAS'!O:X,3,0)),"PRODUTO SEM ESTOQUE")</f>
        <v>EST BANCO EVO (MADEIRA NATURAL)</v>
      </c>
      <c r="C284" s="10" t="s">
        <v>182</v>
      </c>
      <c r="D284" s="10" t="s">
        <v>201</v>
      </c>
      <c r="E284" s="11">
        <f>IF(VLOOKUP(A284,'[1]LISTA ETIQUETAS'!O:W,4,0)="",(VLOOKUP(A284,'[1]LISTA ETIQUETAS'!O:W,6,0)),(VLOOKUP(A284,'[1]LISTA ETIQUETAS'!O:W,4,0)))</f>
        <v>0.39</v>
      </c>
      <c r="F284" s="11">
        <f>IF(VLOOKUP(A284,'[1]LISTA ETIQUETAS'!O:W,5,0)="",(VLOOKUP(A284,'[1]LISTA ETIQUETAS'!O:W,7,0)),(VLOOKUP(A284,'[1]LISTA ETIQUETAS'!O:W,5,0)))</f>
        <v>0.37</v>
      </c>
      <c r="G284" s="11">
        <f>IFERROR((VLOOKUP(A284,'[1]LISTA ETIQUETAS'!O:X,8,0)),"")</f>
        <v>0.46</v>
      </c>
      <c r="H284" s="11">
        <f>IFERROR((VLOOKUP(A284,'[1]LISTA ETIQUETAS'!O:X,9,0)),"")</f>
        <v>0</v>
      </c>
      <c r="I284" s="12">
        <f>IFERROR((VLOOKUP(A284,'[1]LISTA ETIQUETAS'!O:Y,11,0)),"")</f>
        <v>3046.4</v>
      </c>
      <c r="J284" s="6">
        <v>0</v>
      </c>
      <c r="K284" s="12">
        <f t="shared" si="12"/>
        <v>3046.4</v>
      </c>
      <c r="L284" s="7" t="str">
        <f>IF(VLOOKUP(A284,'[1]LISTA ETIQUETAS'!O:AB,14,0)="","",(VLOOKUP(A284,'[1]LISTA ETIQUETAS'!O:AB,14,0)))</f>
        <v/>
      </c>
      <c r="M284" s="8"/>
      <c r="N284" s="9">
        <f t="shared" si="13"/>
        <v>254163</v>
      </c>
      <c r="O284" s="2">
        <f>_xlfn.XLOOKUP($A284,'[1]LISTA ETIQUETAS'!$O:$O,'[1]LISTA ETIQUETAS'!C:C,"",0)</f>
        <v>0</v>
      </c>
      <c r="P284" s="2">
        <f>_xlfn.XLOOKUP($A284,'[1]LISTA ETIQUETAS'!$O:$O,'[1]LISTA ETIQUETAS'!D:D,"",0)</f>
        <v>0</v>
      </c>
      <c r="Q284" s="2">
        <f>_xlfn.XLOOKUP($A284,'[1]LISTA ETIQUETAS'!$O:$O,'[1]LISTA ETIQUETAS'!E:E,"",0)</f>
        <v>0</v>
      </c>
      <c r="R284" s="2">
        <f>_xlfn.XLOOKUP($A284,'[1]LISTA ETIQUETAS'!$O:$O,'[1]LISTA ETIQUETAS'!F:F,"",0)</f>
        <v>0</v>
      </c>
      <c r="S284" s="2">
        <f>_xlfn.XLOOKUP($A284,'[1]LISTA ETIQUETAS'!$O:$O,'[1]LISTA ETIQUETAS'!H:H,"",0)</f>
        <v>1</v>
      </c>
      <c r="T284" s="9">
        <f t="shared" si="14"/>
        <v>1</v>
      </c>
    </row>
    <row r="285" spans="1:20" x14ac:dyDescent="0.25">
      <c r="A285" s="5">
        <v>252848</v>
      </c>
      <c r="B285" t="str">
        <f>IFERROR((VLOOKUP(A285,'[1]LISTA ETIQUETAS'!O:X,3,0)),"PRODUTO SEM ESTOQUE")</f>
        <v>EST BANCO EOS Ø66 (ACO PINT PRETO) FX 671</v>
      </c>
      <c r="C285" s="10" t="s">
        <v>182</v>
      </c>
      <c r="D285" s="10" t="s">
        <v>202</v>
      </c>
      <c r="E285" s="11">
        <f>IF(VLOOKUP(A285,'[1]LISTA ETIQUETAS'!O:W,4,0)="",(VLOOKUP(A285,'[1]LISTA ETIQUETAS'!O:W,6,0)),(VLOOKUP(A285,'[1]LISTA ETIQUETAS'!O:W,4,0)))</f>
        <v>0.66</v>
      </c>
      <c r="F285" s="11">
        <f>IF(VLOOKUP(A285,'[1]LISTA ETIQUETAS'!O:W,5,0)="",(VLOOKUP(A285,'[1]LISTA ETIQUETAS'!O:W,7,0)),(VLOOKUP(A285,'[1]LISTA ETIQUETAS'!O:W,5,0)))</f>
        <v>0</v>
      </c>
      <c r="G285" s="11">
        <f>IFERROR((VLOOKUP(A285,'[1]LISTA ETIQUETAS'!O:X,8,0)),"")</f>
        <v>0.43</v>
      </c>
      <c r="H285" s="11">
        <f>IFERROR((VLOOKUP(A285,'[1]LISTA ETIQUETAS'!O:X,9,0)),"")</f>
        <v>0.66</v>
      </c>
      <c r="I285" s="12">
        <f>IFERROR((VLOOKUP(A285,'[1]LISTA ETIQUETAS'!O:Y,11,0)),"")</f>
        <v>4487.71</v>
      </c>
      <c r="J285" s="6">
        <v>0</v>
      </c>
      <c r="K285" s="12">
        <f t="shared" si="12"/>
        <v>4487.71</v>
      </c>
      <c r="L285" s="7" t="str">
        <f>IF(VLOOKUP(A285,'[1]LISTA ETIQUETAS'!O:AB,14,0)="","",(VLOOKUP(A285,'[1]LISTA ETIQUETAS'!O:AB,14,0)))</f>
        <v/>
      </c>
      <c r="M285" s="8"/>
      <c r="N285" s="9">
        <f t="shared" si="13"/>
        <v>252848</v>
      </c>
      <c r="O285" s="2">
        <f>_xlfn.XLOOKUP($A285,'[1]LISTA ETIQUETAS'!$O:$O,'[1]LISTA ETIQUETAS'!C:C,"",0)</f>
        <v>0</v>
      </c>
      <c r="P285" s="2">
        <f>_xlfn.XLOOKUP($A285,'[1]LISTA ETIQUETAS'!$O:$O,'[1]LISTA ETIQUETAS'!D:D,"",0)</f>
        <v>0</v>
      </c>
      <c r="Q285" s="2">
        <f>_xlfn.XLOOKUP($A285,'[1]LISTA ETIQUETAS'!$O:$O,'[1]LISTA ETIQUETAS'!E:E,"",0)</f>
        <v>0</v>
      </c>
      <c r="R285" s="2">
        <f>_xlfn.XLOOKUP($A285,'[1]LISTA ETIQUETAS'!$O:$O,'[1]LISTA ETIQUETAS'!F:F,"",0)</f>
        <v>0</v>
      </c>
      <c r="S285" s="2">
        <f>_xlfn.XLOOKUP($A285,'[1]LISTA ETIQUETAS'!$O:$O,'[1]LISTA ETIQUETAS'!H:H,"",0)</f>
        <v>2</v>
      </c>
      <c r="T285" s="9">
        <f t="shared" si="14"/>
        <v>2</v>
      </c>
    </row>
    <row r="286" spans="1:20" x14ac:dyDescent="0.25">
      <c r="A286" s="5">
        <v>147559</v>
      </c>
      <c r="B286" t="str">
        <f>IFERROR((VLOOKUP(A286,'[1]LISTA ETIQUETAS'!O:X,3,0)),"PRODUTO SEM ESTOQUE")</f>
        <v>EST BANCO GARDEN SEAT (TIE DYE) (SIG BERGAMIN)</v>
      </c>
      <c r="C286" s="10" t="s">
        <v>182</v>
      </c>
      <c r="D286" s="10" t="s">
        <v>193</v>
      </c>
      <c r="E286" s="11">
        <f>IF(VLOOKUP(A286,'[1]LISTA ETIQUETAS'!O:W,4,0)="",(VLOOKUP(A286,'[1]LISTA ETIQUETAS'!O:W,6,0)),(VLOOKUP(A286,'[1]LISTA ETIQUETAS'!O:W,4,0)))</f>
        <v>0.37</v>
      </c>
      <c r="F286" s="11">
        <f>IF(VLOOKUP(A286,'[1]LISTA ETIQUETAS'!O:W,5,0)="",(VLOOKUP(A286,'[1]LISTA ETIQUETAS'!O:W,7,0)),(VLOOKUP(A286,'[1]LISTA ETIQUETAS'!O:W,5,0)))</f>
        <v>0</v>
      </c>
      <c r="G286" s="11">
        <f>IFERROR((VLOOKUP(A286,'[1]LISTA ETIQUETAS'!O:X,8,0)),"")</f>
        <v>0.46</v>
      </c>
      <c r="H286" s="11">
        <f>IFERROR((VLOOKUP(A286,'[1]LISTA ETIQUETAS'!O:X,9,0)),"")</f>
        <v>0.37</v>
      </c>
      <c r="I286" s="12">
        <f>IFERROR((VLOOKUP(A286,'[1]LISTA ETIQUETAS'!O:Y,11,0)),"")</f>
        <v>0</v>
      </c>
      <c r="J286" s="6">
        <v>0</v>
      </c>
      <c r="K286" s="12">
        <f t="shared" si="12"/>
        <v>0</v>
      </c>
      <c r="L286" s="7" t="str">
        <f>IF(VLOOKUP(A286,'[1]LISTA ETIQUETAS'!O:AB,14,0)="","",(VLOOKUP(A286,'[1]LISTA ETIQUETAS'!O:AB,14,0)))</f>
        <v/>
      </c>
      <c r="M286" s="8"/>
      <c r="N286" s="9">
        <f t="shared" si="13"/>
        <v>147559</v>
      </c>
      <c r="O286" s="2">
        <f>_xlfn.XLOOKUP($A286,'[1]LISTA ETIQUETAS'!$O:$O,'[1]LISTA ETIQUETAS'!C:C,"",0)</f>
        <v>0</v>
      </c>
      <c r="P286" s="2">
        <f>_xlfn.XLOOKUP($A286,'[1]LISTA ETIQUETAS'!$O:$O,'[1]LISTA ETIQUETAS'!D:D,"",0)</f>
        <v>0</v>
      </c>
      <c r="Q286" s="2">
        <f>_xlfn.XLOOKUP($A286,'[1]LISTA ETIQUETAS'!$O:$O,'[1]LISTA ETIQUETAS'!E:E,"",0)</f>
        <v>0</v>
      </c>
      <c r="R286" s="2">
        <f>_xlfn.XLOOKUP($A286,'[1]LISTA ETIQUETAS'!$O:$O,'[1]LISTA ETIQUETAS'!F:F,"",0)</f>
        <v>0</v>
      </c>
      <c r="S286" s="2">
        <f>_xlfn.XLOOKUP($A286,'[1]LISTA ETIQUETAS'!$O:$O,'[1]LISTA ETIQUETAS'!H:H,"",0)</f>
        <v>2</v>
      </c>
      <c r="T286" s="9">
        <f t="shared" si="14"/>
        <v>2</v>
      </c>
    </row>
    <row r="287" spans="1:20" x14ac:dyDescent="0.25">
      <c r="A287" s="5">
        <v>82236</v>
      </c>
      <c r="B287" t="str">
        <f>IFERROR((VLOOKUP(A287,'[1]LISTA ETIQUETAS'!O:X,3,0)),"PRODUTO SEM ESTOQUE")</f>
        <v>EST BANCO FLOR (BRANCO)</v>
      </c>
      <c r="C287" s="10" t="s">
        <v>182</v>
      </c>
      <c r="D287" s="10" t="s">
        <v>203</v>
      </c>
      <c r="E287" s="11">
        <f>IF(VLOOKUP(A287,'[1]LISTA ETIQUETAS'!O:W,4,0)="",(VLOOKUP(A287,'[1]LISTA ETIQUETAS'!O:W,6,0)),(VLOOKUP(A287,'[1]LISTA ETIQUETAS'!O:W,4,0)))</f>
        <v>0.4</v>
      </c>
      <c r="F287" s="11">
        <f>IF(VLOOKUP(A287,'[1]LISTA ETIQUETAS'!O:W,5,0)="",(VLOOKUP(A287,'[1]LISTA ETIQUETAS'!O:W,7,0)),(VLOOKUP(A287,'[1]LISTA ETIQUETAS'!O:W,5,0)))</f>
        <v>0.4</v>
      </c>
      <c r="G287" s="11">
        <f>IFERROR((VLOOKUP(A287,'[1]LISTA ETIQUETAS'!O:X,8,0)),"")</f>
        <v>0.4</v>
      </c>
      <c r="H287" s="11">
        <f>IFERROR((VLOOKUP(A287,'[1]LISTA ETIQUETAS'!O:X,9,0)),"")</f>
        <v>0</v>
      </c>
      <c r="I287" s="12">
        <f>IFERROR((VLOOKUP(A287,'[1]LISTA ETIQUETAS'!O:Y,11,0)),"")</f>
        <v>0</v>
      </c>
      <c r="J287" s="6">
        <v>0</v>
      </c>
      <c r="K287" s="12">
        <f t="shared" si="12"/>
        <v>0</v>
      </c>
      <c r="L287" s="7" t="str">
        <f>IF(VLOOKUP(A287,'[1]LISTA ETIQUETAS'!O:AB,14,0)="","",(VLOOKUP(A287,'[1]LISTA ETIQUETAS'!O:AB,14,0)))</f>
        <v/>
      </c>
      <c r="M287" s="8"/>
      <c r="N287" s="9">
        <f t="shared" si="13"/>
        <v>82236</v>
      </c>
      <c r="O287" s="2">
        <f>_xlfn.XLOOKUP($A287,'[1]LISTA ETIQUETAS'!$O:$O,'[1]LISTA ETIQUETAS'!C:C,"",0)</f>
        <v>0</v>
      </c>
      <c r="P287" s="2">
        <f>_xlfn.XLOOKUP($A287,'[1]LISTA ETIQUETAS'!$O:$O,'[1]LISTA ETIQUETAS'!D:D,"",0)</f>
        <v>0</v>
      </c>
      <c r="Q287" s="2">
        <f>_xlfn.XLOOKUP($A287,'[1]LISTA ETIQUETAS'!$O:$O,'[1]LISTA ETIQUETAS'!E:E,"",0)</f>
        <v>0</v>
      </c>
      <c r="R287" s="2">
        <f>_xlfn.XLOOKUP($A287,'[1]LISTA ETIQUETAS'!$O:$O,'[1]LISTA ETIQUETAS'!F:F,"",0)</f>
        <v>0</v>
      </c>
      <c r="S287" s="2">
        <f>_xlfn.XLOOKUP($A287,'[1]LISTA ETIQUETAS'!$O:$O,'[1]LISTA ETIQUETAS'!H:H,"",0)</f>
        <v>1</v>
      </c>
      <c r="T287" s="9">
        <f t="shared" si="14"/>
        <v>1</v>
      </c>
    </row>
    <row r="288" spans="1:20" x14ac:dyDescent="0.25">
      <c r="A288" s="5">
        <v>216681</v>
      </c>
      <c r="B288" t="str">
        <f>IFERROR((VLOOKUP(A288,'[1]LISTA ETIQUETAS'!O:X,3,0)),"PRODUTO SEM ESTOQUE")</f>
        <v>EST BANCO ROCCO (PINNUS ENVELHECIDO)</v>
      </c>
      <c r="C288" s="10" t="s">
        <v>182</v>
      </c>
      <c r="D288" s="10" t="s">
        <v>204</v>
      </c>
      <c r="E288" s="11">
        <f>IF(VLOOKUP(A288,'[1]LISTA ETIQUETAS'!O:W,4,0)="",(VLOOKUP(A288,'[1]LISTA ETIQUETAS'!O:W,6,0)),(VLOOKUP(A288,'[1]LISTA ETIQUETAS'!O:W,4,0)))</f>
        <v>1.4</v>
      </c>
      <c r="F288" s="11">
        <f>IF(VLOOKUP(A288,'[1]LISTA ETIQUETAS'!O:W,5,0)="",(VLOOKUP(A288,'[1]LISTA ETIQUETAS'!O:W,7,0)),(VLOOKUP(A288,'[1]LISTA ETIQUETAS'!O:W,5,0)))</f>
        <v>0.35</v>
      </c>
      <c r="G288" s="11">
        <f>IFERROR((VLOOKUP(A288,'[1]LISTA ETIQUETAS'!O:X,8,0)),"")</f>
        <v>0.32</v>
      </c>
      <c r="H288" s="11">
        <f>IFERROR((VLOOKUP(A288,'[1]LISTA ETIQUETAS'!O:X,9,0)),"")</f>
        <v>0</v>
      </c>
      <c r="I288" s="12">
        <f>IFERROR((VLOOKUP(A288,'[1]LISTA ETIQUETAS'!O:Y,11,0)),"")</f>
        <v>8960</v>
      </c>
      <c r="J288" s="6">
        <v>0</v>
      </c>
      <c r="K288" s="12">
        <f t="shared" si="12"/>
        <v>8960</v>
      </c>
      <c r="L288" s="7" t="str">
        <f>IF(VLOOKUP(A288,'[1]LISTA ETIQUETAS'!O:AB,14,0)="","",(VLOOKUP(A288,'[1]LISTA ETIQUETAS'!O:AB,14,0)))</f>
        <v/>
      </c>
      <c r="M288" s="8"/>
      <c r="N288" s="9">
        <f t="shared" si="13"/>
        <v>216681</v>
      </c>
      <c r="O288" s="2">
        <f>_xlfn.XLOOKUP($A288,'[1]LISTA ETIQUETAS'!$O:$O,'[1]LISTA ETIQUETAS'!C:C,"",0)</f>
        <v>0</v>
      </c>
      <c r="P288" s="2">
        <f>_xlfn.XLOOKUP($A288,'[1]LISTA ETIQUETAS'!$O:$O,'[1]LISTA ETIQUETAS'!D:D,"",0)</f>
        <v>0</v>
      </c>
      <c r="Q288" s="2">
        <f>_xlfn.XLOOKUP($A288,'[1]LISTA ETIQUETAS'!$O:$O,'[1]LISTA ETIQUETAS'!E:E,"",0)</f>
        <v>0</v>
      </c>
      <c r="R288" s="2">
        <f>_xlfn.XLOOKUP($A288,'[1]LISTA ETIQUETAS'!$O:$O,'[1]LISTA ETIQUETAS'!F:F,"",0)</f>
        <v>0</v>
      </c>
      <c r="S288" s="2">
        <f>_xlfn.XLOOKUP($A288,'[1]LISTA ETIQUETAS'!$O:$O,'[1]LISTA ETIQUETAS'!H:H,"",0)</f>
        <v>1</v>
      </c>
      <c r="T288" s="9">
        <f t="shared" si="14"/>
        <v>1</v>
      </c>
    </row>
    <row r="289" spans="1:20" x14ac:dyDescent="0.25">
      <c r="A289" s="5">
        <v>336654</v>
      </c>
      <c r="B289" t="str">
        <f>IFERROR((VLOOKUP(A289,'[1]LISTA ETIQUETAS'!O:X,3,0)),"PRODUTO SEM ESTOQUE")</f>
        <v>EST BANCO EOS Ø40 (PINT MARROM) TC RUST CAVAL 5204/755</v>
      </c>
      <c r="C289" s="10" t="s">
        <v>182</v>
      </c>
      <c r="D289" s="10" t="s">
        <v>202</v>
      </c>
      <c r="E289" s="11">
        <f>IF(VLOOKUP(A289,'[1]LISTA ETIQUETAS'!O:W,4,0)="",(VLOOKUP(A289,'[1]LISTA ETIQUETAS'!O:W,6,0)),(VLOOKUP(A289,'[1]LISTA ETIQUETAS'!O:W,4,0)))</f>
        <v>0.4</v>
      </c>
      <c r="F289" s="11">
        <f>IF(VLOOKUP(A289,'[1]LISTA ETIQUETAS'!O:W,5,0)="",(VLOOKUP(A289,'[1]LISTA ETIQUETAS'!O:W,7,0)),(VLOOKUP(A289,'[1]LISTA ETIQUETAS'!O:W,5,0)))</f>
        <v>0</v>
      </c>
      <c r="G289" s="11">
        <f>IFERROR((VLOOKUP(A289,'[1]LISTA ETIQUETAS'!O:X,8,0)),"")</f>
        <v>0.43</v>
      </c>
      <c r="H289" s="11">
        <f>IFERROR((VLOOKUP(A289,'[1]LISTA ETIQUETAS'!O:X,9,0)),"")</f>
        <v>0.4</v>
      </c>
      <c r="I289" s="12">
        <f>IFERROR((VLOOKUP(A289,'[1]LISTA ETIQUETAS'!O:Y,11,0)),"")</f>
        <v>4209.63</v>
      </c>
      <c r="J289" s="6">
        <v>0</v>
      </c>
      <c r="K289" s="12">
        <f t="shared" si="12"/>
        <v>4209.63</v>
      </c>
      <c r="L289" s="7" t="str">
        <f>IF(VLOOKUP(A289,'[1]LISTA ETIQUETAS'!O:AB,14,0)="","",(VLOOKUP(A289,'[1]LISTA ETIQUETAS'!O:AB,14,0)))</f>
        <v/>
      </c>
      <c r="M289" s="8"/>
      <c r="N289" s="9">
        <f t="shared" si="13"/>
        <v>336654</v>
      </c>
      <c r="O289" s="2">
        <f>_xlfn.XLOOKUP($A289,'[1]LISTA ETIQUETAS'!$O:$O,'[1]LISTA ETIQUETAS'!C:C,"",0)</f>
        <v>0</v>
      </c>
      <c r="P289" s="2">
        <f>_xlfn.XLOOKUP($A289,'[1]LISTA ETIQUETAS'!$O:$O,'[1]LISTA ETIQUETAS'!D:D,"",0)</f>
        <v>0</v>
      </c>
      <c r="Q289" s="2">
        <f>_xlfn.XLOOKUP($A289,'[1]LISTA ETIQUETAS'!$O:$O,'[1]LISTA ETIQUETAS'!E:E,"",0)</f>
        <v>0</v>
      </c>
      <c r="R289" s="2">
        <f>_xlfn.XLOOKUP($A289,'[1]LISTA ETIQUETAS'!$O:$O,'[1]LISTA ETIQUETAS'!F:F,"",0)</f>
        <v>0</v>
      </c>
      <c r="S289" s="2">
        <f>_xlfn.XLOOKUP($A289,'[1]LISTA ETIQUETAS'!$O:$O,'[1]LISTA ETIQUETAS'!H:H,"",0)</f>
        <v>1</v>
      </c>
      <c r="T289" s="9">
        <f t="shared" si="14"/>
        <v>1</v>
      </c>
    </row>
    <row r="290" spans="1:20" x14ac:dyDescent="0.25">
      <c r="A290" s="5">
        <v>335234</v>
      </c>
      <c r="B290" t="str">
        <f>IFERROR((VLOOKUP(A290,'[1]LISTA ETIQUETAS'!O:X,3,0)),"PRODUTO SEM ESTOQUE")</f>
        <v>EST BANCO EOS Ø66 (ACO PINT MARROM) TC RUST CAVALC 5204/755</v>
      </c>
      <c r="C290" s="10" t="s">
        <v>182</v>
      </c>
      <c r="D290" s="10" t="s">
        <v>202</v>
      </c>
      <c r="E290" s="11">
        <f>IF(VLOOKUP(A290,'[1]LISTA ETIQUETAS'!O:W,4,0)="",(VLOOKUP(A290,'[1]LISTA ETIQUETAS'!O:W,6,0)),(VLOOKUP(A290,'[1]LISTA ETIQUETAS'!O:W,4,0)))</f>
        <v>0.66</v>
      </c>
      <c r="F290" s="11">
        <f>IF(VLOOKUP(A290,'[1]LISTA ETIQUETAS'!O:W,5,0)="",(VLOOKUP(A290,'[1]LISTA ETIQUETAS'!O:W,7,0)),(VLOOKUP(A290,'[1]LISTA ETIQUETAS'!O:W,5,0)))</f>
        <v>0</v>
      </c>
      <c r="G290" s="11">
        <f>IFERROR((VLOOKUP(A290,'[1]LISTA ETIQUETAS'!O:X,8,0)),"")</f>
        <v>0.51</v>
      </c>
      <c r="H290" s="11">
        <f>IFERROR((VLOOKUP(A290,'[1]LISTA ETIQUETAS'!O:X,9,0)),"")</f>
        <v>0.66</v>
      </c>
      <c r="I290" s="12">
        <f>IFERROR((VLOOKUP(A290,'[1]LISTA ETIQUETAS'!O:Y,11,0)),"")</f>
        <v>4388.38</v>
      </c>
      <c r="J290" s="6">
        <v>0</v>
      </c>
      <c r="K290" s="12">
        <f t="shared" si="12"/>
        <v>4388.38</v>
      </c>
      <c r="L290" s="7" t="str">
        <f>IF(VLOOKUP(A290,'[1]LISTA ETIQUETAS'!O:AB,14,0)="","",(VLOOKUP(A290,'[1]LISTA ETIQUETAS'!O:AB,14,0)))</f>
        <v/>
      </c>
      <c r="M290" s="8"/>
      <c r="N290" s="9">
        <f t="shared" si="13"/>
        <v>335234</v>
      </c>
      <c r="O290" s="2">
        <f>_xlfn.XLOOKUP($A290,'[1]LISTA ETIQUETAS'!$O:$O,'[1]LISTA ETIQUETAS'!C:C,"",0)</f>
        <v>0</v>
      </c>
      <c r="P290" s="2">
        <f>_xlfn.XLOOKUP($A290,'[1]LISTA ETIQUETAS'!$O:$O,'[1]LISTA ETIQUETAS'!D:D,"",0)</f>
        <v>0</v>
      </c>
      <c r="Q290" s="2">
        <f>_xlfn.XLOOKUP($A290,'[1]LISTA ETIQUETAS'!$O:$O,'[1]LISTA ETIQUETAS'!E:E,"",0)</f>
        <v>0</v>
      </c>
      <c r="R290" s="2">
        <f>_xlfn.XLOOKUP($A290,'[1]LISTA ETIQUETAS'!$O:$O,'[1]LISTA ETIQUETAS'!F:F,"",0)</f>
        <v>0</v>
      </c>
      <c r="S290" s="2">
        <f>_xlfn.XLOOKUP($A290,'[1]LISTA ETIQUETAS'!$O:$O,'[1]LISTA ETIQUETAS'!H:H,"",0)</f>
        <v>1</v>
      </c>
      <c r="T290" s="9">
        <f t="shared" si="14"/>
        <v>1</v>
      </c>
    </row>
    <row r="291" spans="1:20" x14ac:dyDescent="0.25">
      <c r="A291" s="5">
        <v>335232</v>
      </c>
      <c r="B291" t="str">
        <f>IFERROR((VLOOKUP(A291,'[1]LISTA ETIQUETAS'!O:X,3,0)),"PRODUTO SEM ESTOQUE")</f>
        <v>EST BANCO EOS Ø40 (PINT MARROM) (BOU STELLA 225)</v>
      </c>
      <c r="C291" s="10" t="s">
        <v>182</v>
      </c>
      <c r="D291" s="10" t="s">
        <v>202</v>
      </c>
      <c r="E291" s="11">
        <f>IF(VLOOKUP(A291,'[1]LISTA ETIQUETAS'!O:W,4,0)="",(VLOOKUP(A291,'[1]LISTA ETIQUETAS'!O:W,6,0)),(VLOOKUP(A291,'[1]LISTA ETIQUETAS'!O:W,4,0)))</f>
        <v>0.4</v>
      </c>
      <c r="F291" s="11">
        <f>IF(VLOOKUP(A291,'[1]LISTA ETIQUETAS'!O:W,5,0)="",(VLOOKUP(A291,'[1]LISTA ETIQUETAS'!O:W,7,0)),(VLOOKUP(A291,'[1]LISTA ETIQUETAS'!O:W,5,0)))</f>
        <v>0</v>
      </c>
      <c r="G291" s="11">
        <f>IFERROR((VLOOKUP(A291,'[1]LISTA ETIQUETAS'!O:X,8,0)),"")</f>
        <v>0.43</v>
      </c>
      <c r="H291" s="11">
        <f>IFERROR((VLOOKUP(A291,'[1]LISTA ETIQUETAS'!O:X,9,0)),"")</f>
        <v>0.4</v>
      </c>
      <c r="I291" s="12">
        <f>IFERROR((VLOOKUP(A291,'[1]LISTA ETIQUETAS'!O:Y,11,0)),"")</f>
        <v>3801.28</v>
      </c>
      <c r="J291" s="6">
        <v>0</v>
      </c>
      <c r="K291" s="12">
        <f t="shared" si="12"/>
        <v>3801.28</v>
      </c>
      <c r="L291" s="7" t="str">
        <f>IF(VLOOKUP(A291,'[1]LISTA ETIQUETAS'!O:AB,14,0)="","",(VLOOKUP(A291,'[1]LISTA ETIQUETAS'!O:AB,14,0)))</f>
        <v/>
      </c>
      <c r="M291" s="8"/>
      <c r="N291" s="9">
        <f t="shared" si="13"/>
        <v>335232</v>
      </c>
      <c r="O291" s="2">
        <f>_xlfn.XLOOKUP($A291,'[1]LISTA ETIQUETAS'!$O:$O,'[1]LISTA ETIQUETAS'!C:C,"",0)</f>
        <v>0</v>
      </c>
      <c r="P291" s="2">
        <f>_xlfn.XLOOKUP($A291,'[1]LISTA ETIQUETAS'!$O:$O,'[1]LISTA ETIQUETAS'!D:D,"",0)</f>
        <v>0</v>
      </c>
      <c r="Q291" s="2">
        <f>_xlfn.XLOOKUP($A291,'[1]LISTA ETIQUETAS'!$O:$O,'[1]LISTA ETIQUETAS'!E:E,"",0)</f>
        <v>0</v>
      </c>
      <c r="R291" s="2">
        <f>_xlfn.XLOOKUP($A291,'[1]LISTA ETIQUETAS'!$O:$O,'[1]LISTA ETIQUETAS'!F:F,"",0)</f>
        <v>0</v>
      </c>
      <c r="S291" s="2">
        <f>_xlfn.XLOOKUP($A291,'[1]LISTA ETIQUETAS'!$O:$O,'[1]LISTA ETIQUETAS'!H:H,"",0)</f>
        <v>1</v>
      </c>
      <c r="T291" s="9">
        <f t="shared" si="14"/>
        <v>1</v>
      </c>
    </row>
    <row r="292" spans="1:20" x14ac:dyDescent="0.25">
      <c r="A292" s="5">
        <v>308176</v>
      </c>
      <c r="B292" t="str">
        <f>IFERROR((VLOOKUP(A292,'[1]LISTA ETIQUETAS'!O:X,3,0)),"PRODUTO SEM ESTOQUE")</f>
        <v>EST BANQUETA CACAU TC N2008</v>
      </c>
      <c r="C292" s="10" t="s">
        <v>205</v>
      </c>
      <c r="D292" s="10" t="s">
        <v>206</v>
      </c>
      <c r="E292" s="11">
        <f>IF(VLOOKUP(A292,'[1]LISTA ETIQUETAS'!O:W,4,0)="",(VLOOKUP(A292,'[1]LISTA ETIQUETAS'!O:W,6,0)),(VLOOKUP(A292,'[1]LISTA ETIQUETAS'!O:W,4,0)))</f>
        <v>0.92</v>
      </c>
      <c r="F292" s="11">
        <f>IF(VLOOKUP(A292,'[1]LISTA ETIQUETAS'!O:W,5,0)="",(VLOOKUP(A292,'[1]LISTA ETIQUETAS'!O:W,7,0)),(VLOOKUP(A292,'[1]LISTA ETIQUETAS'!O:W,5,0)))</f>
        <v>0.57999999999999996</v>
      </c>
      <c r="G292" s="11">
        <f>IFERROR((VLOOKUP(A292,'[1]LISTA ETIQUETAS'!O:X,8,0)),"")</f>
        <v>0.4</v>
      </c>
      <c r="H292" s="11">
        <f>IFERROR((VLOOKUP(A292,'[1]LISTA ETIQUETAS'!O:X,9,0)),"")</f>
        <v>0</v>
      </c>
      <c r="I292" s="12">
        <f>IFERROR((VLOOKUP(A292,'[1]LISTA ETIQUETAS'!O:Y,11,0)),"")</f>
        <v>11427.76</v>
      </c>
      <c r="J292" s="6">
        <v>0</v>
      </c>
      <c r="K292" s="12">
        <f t="shared" si="12"/>
        <v>11427.76</v>
      </c>
      <c r="L292" s="7" t="str">
        <f>IF(VLOOKUP(A292,'[1]LISTA ETIQUETAS'!O:AB,14,0)="","",(VLOOKUP(A292,'[1]LISTA ETIQUETAS'!O:AB,14,0)))</f>
        <v/>
      </c>
      <c r="M292" s="8"/>
      <c r="N292" s="9">
        <f t="shared" si="13"/>
        <v>308176</v>
      </c>
      <c r="O292" s="2">
        <f>_xlfn.XLOOKUP($A292,'[1]LISTA ETIQUETAS'!$O:$O,'[1]LISTA ETIQUETAS'!C:C,"",0)</f>
        <v>0</v>
      </c>
      <c r="P292" s="2">
        <f>_xlfn.XLOOKUP($A292,'[1]LISTA ETIQUETAS'!$O:$O,'[1]LISTA ETIQUETAS'!D:D,"",0)</f>
        <v>0</v>
      </c>
      <c r="Q292" s="2">
        <f>_xlfn.XLOOKUP($A292,'[1]LISTA ETIQUETAS'!$O:$O,'[1]LISTA ETIQUETAS'!E:E,"",0)</f>
        <v>0</v>
      </c>
      <c r="R292" s="2">
        <f>_xlfn.XLOOKUP($A292,'[1]LISTA ETIQUETAS'!$O:$O,'[1]LISTA ETIQUETAS'!F:F,"",0)</f>
        <v>0</v>
      </c>
      <c r="S292" s="2">
        <f>_xlfn.XLOOKUP($A292,'[1]LISTA ETIQUETAS'!$O:$O,'[1]LISTA ETIQUETAS'!H:H,"",0)</f>
        <v>1</v>
      </c>
      <c r="T292" s="9">
        <f t="shared" si="14"/>
        <v>1</v>
      </c>
    </row>
    <row r="293" spans="1:20" x14ac:dyDescent="0.25">
      <c r="A293" s="5">
        <v>308172</v>
      </c>
      <c r="B293" t="str">
        <f>IFERROR((VLOOKUP(A293,'[1]LISTA ETIQUETAS'!O:X,3,0)),"PRODUTO SEM ESTOQUE")</f>
        <v>EST BANQUETA CACAU TC N2021</v>
      </c>
      <c r="C293" s="10" t="s">
        <v>205</v>
      </c>
      <c r="D293" s="10" t="s">
        <v>206</v>
      </c>
      <c r="E293" s="11">
        <f>IF(VLOOKUP(A293,'[1]LISTA ETIQUETAS'!O:W,4,0)="",(VLOOKUP(A293,'[1]LISTA ETIQUETAS'!O:W,6,0)),(VLOOKUP(A293,'[1]LISTA ETIQUETAS'!O:W,4,0)))</f>
        <v>0.92</v>
      </c>
      <c r="F293" s="11">
        <f>IF(VLOOKUP(A293,'[1]LISTA ETIQUETAS'!O:W,5,0)="",(VLOOKUP(A293,'[1]LISTA ETIQUETAS'!O:W,7,0)),(VLOOKUP(A293,'[1]LISTA ETIQUETAS'!O:W,5,0)))</f>
        <v>0.57999999999999996</v>
      </c>
      <c r="G293" s="11">
        <f>IFERROR((VLOOKUP(A293,'[1]LISTA ETIQUETAS'!O:X,8,0)),"")</f>
        <v>0.4</v>
      </c>
      <c r="H293" s="11">
        <f>IFERROR((VLOOKUP(A293,'[1]LISTA ETIQUETAS'!O:X,9,0)),"")</f>
        <v>0</v>
      </c>
      <c r="I293" s="12">
        <f>IFERROR((VLOOKUP(A293,'[1]LISTA ETIQUETAS'!O:Y,11,0)),"")</f>
        <v>11427.76</v>
      </c>
      <c r="J293" s="6">
        <v>0</v>
      </c>
      <c r="K293" s="12">
        <f t="shared" si="12"/>
        <v>11427.76</v>
      </c>
      <c r="L293" s="7" t="str">
        <f>IF(VLOOKUP(A293,'[1]LISTA ETIQUETAS'!O:AB,14,0)="","",(VLOOKUP(A293,'[1]LISTA ETIQUETAS'!O:AB,14,0)))</f>
        <v/>
      </c>
      <c r="M293" s="8"/>
      <c r="N293" s="9">
        <f t="shared" si="13"/>
        <v>308172</v>
      </c>
      <c r="O293" s="2">
        <f>_xlfn.XLOOKUP($A293,'[1]LISTA ETIQUETAS'!$O:$O,'[1]LISTA ETIQUETAS'!C:C,"",0)</f>
        <v>0</v>
      </c>
      <c r="P293" s="2">
        <f>_xlfn.XLOOKUP($A293,'[1]LISTA ETIQUETAS'!$O:$O,'[1]LISTA ETIQUETAS'!D:D,"",0)</f>
        <v>0</v>
      </c>
      <c r="Q293" s="2">
        <f>_xlfn.XLOOKUP($A293,'[1]LISTA ETIQUETAS'!$O:$O,'[1]LISTA ETIQUETAS'!E:E,"",0)</f>
        <v>0</v>
      </c>
      <c r="R293" s="2">
        <f>_xlfn.XLOOKUP($A293,'[1]LISTA ETIQUETAS'!$O:$O,'[1]LISTA ETIQUETAS'!F:F,"",0)</f>
        <v>0</v>
      </c>
      <c r="S293" s="2">
        <f>_xlfn.XLOOKUP($A293,'[1]LISTA ETIQUETAS'!$O:$O,'[1]LISTA ETIQUETAS'!H:H,"",0)</f>
        <v>1</v>
      </c>
      <c r="T293" s="9">
        <f t="shared" si="14"/>
        <v>1</v>
      </c>
    </row>
    <row r="294" spans="1:20" x14ac:dyDescent="0.25">
      <c r="A294" s="5">
        <v>250460</v>
      </c>
      <c r="B294" t="str">
        <f>IFERROR((VLOOKUP(A294,'[1]LISTA ETIQUETAS'!O:X,3,0)),"PRODUTO SEM ESTOQUE")</f>
        <v>EST BANQUETA KAZZ FX C4010/REC 2562/PINT PRETO</v>
      </c>
      <c r="C294" s="10" t="s">
        <v>205</v>
      </c>
      <c r="D294" s="10" t="s">
        <v>207</v>
      </c>
      <c r="E294" s="11">
        <f>IF(VLOOKUP(A294,'[1]LISTA ETIQUETAS'!O:W,4,0)="",(VLOOKUP(A294,'[1]LISTA ETIQUETAS'!O:W,6,0)),(VLOOKUP(A294,'[1]LISTA ETIQUETAS'!O:W,4,0)))</f>
        <v>0.72</v>
      </c>
      <c r="F294" s="11">
        <f>IF(VLOOKUP(A294,'[1]LISTA ETIQUETAS'!O:W,5,0)="",(VLOOKUP(A294,'[1]LISTA ETIQUETAS'!O:W,7,0)),(VLOOKUP(A294,'[1]LISTA ETIQUETAS'!O:W,5,0)))</f>
        <v>0.52</v>
      </c>
      <c r="G294" s="11">
        <f>IFERROR((VLOOKUP(A294,'[1]LISTA ETIQUETAS'!O:X,8,0)),"")</f>
        <v>0.4</v>
      </c>
      <c r="H294" s="11">
        <f>IFERROR((VLOOKUP(A294,'[1]LISTA ETIQUETAS'!O:X,9,0)),"")</f>
        <v>0</v>
      </c>
      <c r="I294" s="12">
        <f>IFERROR((VLOOKUP(A294,'[1]LISTA ETIQUETAS'!O:Y,11,0)),"")</f>
        <v>9267.8700000000008</v>
      </c>
      <c r="J294" s="6">
        <v>0</v>
      </c>
      <c r="K294" s="12">
        <f t="shared" si="12"/>
        <v>9267.8700000000008</v>
      </c>
      <c r="L294" s="7" t="str">
        <f>IF(VLOOKUP(A294,'[1]LISTA ETIQUETAS'!O:AB,14,0)="","",(VLOOKUP(A294,'[1]LISTA ETIQUETAS'!O:AB,14,0)))</f>
        <v/>
      </c>
      <c r="M294" s="8"/>
      <c r="N294" s="9">
        <f t="shared" si="13"/>
        <v>250460</v>
      </c>
      <c r="O294" s="2">
        <f>_xlfn.XLOOKUP($A294,'[1]LISTA ETIQUETAS'!$O:$O,'[1]LISTA ETIQUETAS'!C:C,"",0)</f>
        <v>0</v>
      </c>
      <c r="P294" s="2">
        <f>_xlfn.XLOOKUP($A294,'[1]LISTA ETIQUETAS'!$O:$O,'[1]LISTA ETIQUETAS'!D:D,"",0)</f>
        <v>0</v>
      </c>
      <c r="Q294" s="2">
        <f>_xlfn.XLOOKUP($A294,'[1]LISTA ETIQUETAS'!$O:$O,'[1]LISTA ETIQUETAS'!E:E,"",0)</f>
        <v>0</v>
      </c>
      <c r="R294" s="2">
        <f>_xlfn.XLOOKUP($A294,'[1]LISTA ETIQUETAS'!$O:$O,'[1]LISTA ETIQUETAS'!F:F,"",0)</f>
        <v>0</v>
      </c>
      <c r="S294" s="2">
        <f>_xlfn.XLOOKUP($A294,'[1]LISTA ETIQUETAS'!$O:$O,'[1]LISTA ETIQUETAS'!H:H,"",0)</f>
        <v>3</v>
      </c>
      <c r="T294" s="9">
        <f t="shared" si="14"/>
        <v>3</v>
      </c>
    </row>
    <row r="295" spans="1:20" x14ac:dyDescent="0.25">
      <c r="A295" s="5">
        <v>402455</v>
      </c>
      <c r="B295" t="str">
        <f>IFERROR((VLOOKUP(A295,'[1]LISTA ETIQUETAS'!O:X,3,0)),"PRODUTO SEM ESTOQUE")</f>
        <v>EST BANQUETA PATER (JEQUITIBA) COURO 1 SEPIA/ALMOF FX8560</v>
      </c>
      <c r="C295" s="10" t="s">
        <v>205</v>
      </c>
      <c r="D295" s="10" t="s">
        <v>208</v>
      </c>
      <c r="E295" s="11">
        <f>IF(VLOOKUP(A295,'[1]LISTA ETIQUETAS'!O:W,4,0)="",(VLOOKUP(A295,'[1]LISTA ETIQUETAS'!O:W,6,0)),(VLOOKUP(A295,'[1]LISTA ETIQUETAS'!O:W,4,0)))</f>
        <v>0.66</v>
      </c>
      <c r="F295" s="11">
        <f>IF(VLOOKUP(A295,'[1]LISTA ETIQUETAS'!O:W,5,0)="",(VLOOKUP(A295,'[1]LISTA ETIQUETAS'!O:W,7,0)),(VLOOKUP(A295,'[1]LISTA ETIQUETAS'!O:W,5,0)))</f>
        <v>0.51</v>
      </c>
      <c r="G295" s="11">
        <f>IFERROR((VLOOKUP(A295,'[1]LISTA ETIQUETAS'!O:X,8,0)),"")</f>
        <v>0.47</v>
      </c>
      <c r="H295" s="11">
        <f>IFERROR((VLOOKUP(A295,'[1]LISTA ETIQUETAS'!O:X,9,0)),"")</f>
        <v>0</v>
      </c>
      <c r="I295" s="12">
        <f>IFERROR((VLOOKUP(A295,'[1]LISTA ETIQUETAS'!O:Y,11,0)),"")</f>
        <v>14989.27</v>
      </c>
      <c r="J295" s="6">
        <v>0</v>
      </c>
      <c r="K295" s="12">
        <f t="shared" si="12"/>
        <v>14989.27</v>
      </c>
      <c r="L295" s="7" t="str">
        <f>IF(VLOOKUP(A295,'[1]LISTA ETIQUETAS'!O:AB,14,0)="","",(VLOOKUP(A295,'[1]LISTA ETIQUETAS'!O:AB,14,0)))</f>
        <v/>
      </c>
      <c r="M295" s="8"/>
      <c r="N295" s="9">
        <f t="shared" si="13"/>
        <v>402455</v>
      </c>
      <c r="O295" s="2">
        <f>_xlfn.XLOOKUP($A295,'[1]LISTA ETIQUETAS'!$O:$O,'[1]LISTA ETIQUETAS'!C:C,"",0)</f>
        <v>0</v>
      </c>
      <c r="P295" s="2">
        <f>_xlfn.XLOOKUP($A295,'[1]LISTA ETIQUETAS'!$O:$O,'[1]LISTA ETIQUETAS'!D:D,"",0)</f>
        <v>0</v>
      </c>
      <c r="Q295" s="2">
        <f>_xlfn.XLOOKUP($A295,'[1]LISTA ETIQUETAS'!$O:$O,'[1]LISTA ETIQUETAS'!E:E,"",0)</f>
        <v>0</v>
      </c>
      <c r="R295" s="2">
        <f>_xlfn.XLOOKUP($A295,'[1]LISTA ETIQUETAS'!$O:$O,'[1]LISTA ETIQUETAS'!F:F,"",0)</f>
        <v>1</v>
      </c>
      <c r="S295" s="2">
        <f>_xlfn.XLOOKUP($A295,'[1]LISTA ETIQUETAS'!$O:$O,'[1]LISTA ETIQUETAS'!H:H,"",0)</f>
        <v>1</v>
      </c>
      <c r="T295" s="9">
        <f t="shared" si="14"/>
        <v>2</v>
      </c>
    </row>
    <row r="296" spans="1:20" x14ac:dyDescent="0.25">
      <c r="A296" s="5">
        <v>365935</v>
      </c>
      <c r="B296" t="str">
        <f>IFERROR((VLOOKUP(A296,'[1]LISTA ETIQUETAS'!O:X,3,0)),"PRODUTO SEM ESTOQUE")</f>
        <v>EST BANQUETA CACAU TC V8001</v>
      </c>
      <c r="C296" s="10" t="s">
        <v>205</v>
      </c>
      <c r="D296" s="10" t="s">
        <v>206</v>
      </c>
      <c r="E296" s="11">
        <f>IF(VLOOKUP(A296,'[1]LISTA ETIQUETAS'!O:W,4,0)="",(VLOOKUP(A296,'[1]LISTA ETIQUETAS'!O:W,6,0)),(VLOOKUP(A296,'[1]LISTA ETIQUETAS'!O:W,4,0)))</f>
        <v>0.92</v>
      </c>
      <c r="F296" s="11">
        <f>IF(VLOOKUP(A296,'[1]LISTA ETIQUETAS'!O:W,5,0)="",(VLOOKUP(A296,'[1]LISTA ETIQUETAS'!O:W,7,0)),(VLOOKUP(A296,'[1]LISTA ETIQUETAS'!O:W,5,0)))</f>
        <v>0.57999999999999996</v>
      </c>
      <c r="G296" s="11">
        <f>IFERROR((VLOOKUP(A296,'[1]LISTA ETIQUETAS'!O:X,8,0)),"")</f>
        <v>0.4</v>
      </c>
      <c r="H296" s="11">
        <f>IFERROR((VLOOKUP(A296,'[1]LISTA ETIQUETAS'!O:X,9,0)),"")</f>
        <v>0</v>
      </c>
      <c r="I296" s="12">
        <f>IFERROR((VLOOKUP(A296,'[1]LISTA ETIQUETAS'!O:Y,11,0)),"")</f>
        <v>11952.73</v>
      </c>
      <c r="J296" s="6">
        <v>0</v>
      </c>
      <c r="K296" s="12">
        <f t="shared" si="12"/>
        <v>11952.73</v>
      </c>
      <c r="L296" s="7" t="str">
        <f>IF(VLOOKUP(A296,'[1]LISTA ETIQUETAS'!O:AB,14,0)="","",(VLOOKUP(A296,'[1]LISTA ETIQUETAS'!O:AB,14,0)))</f>
        <v/>
      </c>
      <c r="M296" s="8"/>
      <c r="N296" s="9">
        <f t="shared" si="13"/>
        <v>365935</v>
      </c>
      <c r="O296" s="2">
        <f>_xlfn.XLOOKUP($A296,'[1]LISTA ETIQUETAS'!$O:$O,'[1]LISTA ETIQUETAS'!C:C,"",0)</f>
        <v>1</v>
      </c>
      <c r="P296" s="2">
        <f>_xlfn.XLOOKUP($A296,'[1]LISTA ETIQUETAS'!$O:$O,'[1]LISTA ETIQUETAS'!D:D,"",0)</f>
        <v>0</v>
      </c>
      <c r="Q296" s="2">
        <f>_xlfn.XLOOKUP($A296,'[1]LISTA ETIQUETAS'!$O:$O,'[1]LISTA ETIQUETAS'!E:E,"",0)</f>
        <v>0</v>
      </c>
      <c r="R296" s="2">
        <f>_xlfn.XLOOKUP($A296,'[1]LISTA ETIQUETAS'!$O:$O,'[1]LISTA ETIQUETAS'!F:F,"",0)</f>
        <v>0</v>
      </c>
      <c r="S296" s="2">
        <f>_xlfn.XLOOKUP($A296,'[1]LISTA ETIQUETAS'!$O:$O,'[1]LISTA ETIQUETAS'!H:H,"",0)</f>
        <v>1</v>
      </c>
      <c r="T296" s="9">
        <f t="shared" si="14"/>
        <v>2</v>
      </c>
    </row>
    <row r="297" spans="1:20" x14ac:dyDescent="0.25">
      <c r="A297" s="5">
        <v>363875</v>
      </c>
      <c r="B297" t="str">
        <f>IFERROR((VLOOKUP(A297,'[1]LISTA ETIQUETAS'!O:X,3,0)),"PRODUTO SEM ESTOQUE")</f>
        <v>EST BANQUETA POMME FX G7125</v>
      </c>
      <c r="C297" s="10" t="s">
        <v>205</v>
      </c>
      <c r="D297" s="10" t="s">
        <v>209</v>
      </c>
      <c r="E297" s="11">
        <f>IF(VLOOKUP(A297,'[1]LISTA ETIQUETAS'!O:W,4,0)="",(VLOOKUP(A297,'[1]LISTA ETIQUETAS'!O:W,6,0)),(VLOOKUP(A297,'[1]LISTA ETIQUETAS'!O:W,4,0)))</f>
        <v>0.6</v>
      </c>
      <c r="F297" s="11">
        <f>IF(VLOOKUP(A297,'[1]LISTA ETIQUETAS'!O:W,5,0)="",(VLOOKUP(A297,'[1]LISTA ETIQUETAS'!O:W,7,0)),(VLOOKUP(A297,'[1]LISTA ETIQUETAS'!O:W,5,0)))</f>
        <v>0.6</v>
      </c>
      <c r="G297" s="11">
        <f>IFERROR((VLOOKUP(A297,'[1]LISTA ETIQUETAS'!O:X,8,0)),"")</f>
        <v>0.4</v>
      </c>
      <c r="H297" s="11">
        <f>IFERROR((VLOOKUP(A297,'[1]LISTA ETIQUETAS'!O:X,9,0)),"")</f>
        <v>0</v>
      </c>
      <c r="I297" s="12">
        <f>IFERROR((VLOOKUP(A297,'[1]LISTA ETIQUETAS'!O:Y,11,0)),"")</f>
        <v>7633.56</v>
      </c>
      <c r="J297" s="6">
        <v>0</v>
      </c>
      <c r="K297" s="12">
        <f t="shared" si="12"/>
        <v>7633.56</v>
      </c>
      <c r="L297" s="7" t="str">
        <f>IF(VLOOKUP(A297,'[1]LISTA ETIQUETAS'!O:AB,14,0)="","",(VLOOKUP(A297,'[1]LISTA ETIQUETAS'!O:AB,14,0)))</f>
        <v/>
      </c>
      <c r="M297" s="8"/>
      <c r="N297" s="9">
        <f t="shared" si="13"/>
        <v>363875</v>
      </c>
      <c r="O297" s="2">
        <f>_xlfn.XLOOKUP($A297,'[1]LISTA ETIQUETAS'!$O:$O,'[1]LISTA ETIQUETAS'!C:C,"",0)</f>
        <v>0</v>
      </c>
      <c r="P297" s="2">
        <f>_xlfn.XLOOKUP($A297,'[1]LISTA ETIQUETAS'!$O:$O,'[1]LISTA ETIQUETAS'!D:D,"",0)</f>
        <v>0</v>
      </c>
      <c r="Q297" s="2">
        <f>_xlfn.XLOOKUP($A297,'[1]LISTA ETIQUETAS'!$O:$O,'[1]LISTA ETIQUETAS'!E:E,"",0)</f>
        <v>0</v>
      </c>
      <c r="R297" s="2">
        <f>_xlfn.XLOOKUP($A297,'[1]LISTA ETIQUETAS'!$O:$O,'[1]LISTA ETIQUETAS'!F:F,"",0)</f>
        <v>0</v>
      </c>
      <c r="S297" s="2">
        <f>_xlfn.XLOOKUP($A297,'[1]LISTA ETIQUETAS'!$O:$O,'[1]LISTA ETIQUETAS'!H:H,"",0)</f>
        <v>2</v>
      </c>
      <c r="T297" s="9">
        <f t="shared" si="14"/>
        <v>2</v>
      </c>
    </row>
    <row r="298" spans="1:20" x14ac:dyDescent="0.25">
      <c r="A298" s="5">
        <v>330637</v>
      </c>
      <c r="B298" t="str">
        <f>IFERROR((VLOOKUP(A298,'[1]LISTA ETIQUETAS'!O:X,3,0)),"PRODUTO SEM ESTOQUE")</f>
        <v>EST BANQUETA CACAU TC N 2063</v>
      </c>
      <c r="C298" s="10" t="s">
        <v>205</v>
      </c>
      <c r="D298" s="10" t="s">
        <v>206</v>
      </c>
      <c r="E298" s="11">
        <f>IF(VLOOKUP(A298,'[1]LISTA ETIQUETAS'!O:W,4,0)="",(VLOOKUP(A298,'[1]LISTA ETIQUETAS'!O:W,6,0)),(VLOOKUP(A298,'[1]LISTA ETIQUETAS'!O:W,4,0)))</f>
        <v>0.92</v>
      </c>
      <c r="F298" s="11">
        <f>IF(VLOOKUP(A298,'[1]LISTA ETIQUETAS'!O:W,5,0)="",(VLOOKUP(A298,'[1]LISTA ETIQUETAS'!O:W,7,0)),(VLOOKUP(A298,'[1]LISTA ETIQUETAS'!O:W,5,0)))</f>
        <v>0.57999999999999996</v>
      </c>
      <c r="G298" s="11">
        <f>IFERROR((VLOOKUP(A298,'[1]LISTA ETIQUETAS'!O:X,8,0)),"")</f>
        <v>0.4</v>
      </c>
      <c r="H298" s="11">
        <f>IFERROR((VLOOKUP(A298,'[1]LISTA ETIQUETAS'!O:X,9,0)),"")</f>
        <v>0</v>
      </c>
      <c r="I298" s="12">
        <f>IFERROR((VLOOKUP(A298,'[1]LISTA ETIQUETAS'!O:Y,11,0)),"")</f>
        <v>11427.76</v>
      </c>
      <c r="J298" s="6">
        <v>0</v>
      </c>
      <c r="K298" s="12">
        <f t="shared" si="12"/>
        <v>11427.76</v>
      </c>
      <c r="L298" s="7" t="str">
        <f>IF(VLOOKUP(A298,'[1]LISTA ETIQUETAS'!O:AB,14,0)="","",(VLOOKUP(A298,'[1]LISTA ETIQUETAS'!O:AB,14,0)))</f>
        <v/>
      </c>
      <c r="M298" s="8"/>
      <c r="N298" s="9">
        <f t="shared" si="13"/>
        <v>330637</v>
      </c>
      <c r="O298" s="2">
        <f>_xlfn.XLOOKUP($A298,'[1]LISTA ETIQUETAS'!$O:$O,'[1]LISTA ETIQUETAS'!C:C,"",0)</f>
        <v>0</v>
      </c>
      <c r="P298" s="2">
        <f>_xlfn.XLOOKUP($A298,'[1]LISTA ETIQUETAS'!$O:$O,'[1]LISTA ETIQUETAS'!D:D,"",0)</f>
        <v>0</v>
      </c>
      <c r="Q298" s="2">
        <f>_xlfn.XLOOKUP($A298,'[1]LISTA ETIQUETAS'!$O:$O,'[1]LISTA ETIQUETAS'!E:E,"",0)</f>
        <v>0</v>
      </c>
      <c r="R298" s="2">
        <f>_xlfn.XLOOKUP($A298,'[1]LISTA ETIQUETAS'!$O:$O,'[1]LISTA ETIQUETAS'!F:F,"",0)</f>
        <v>0</v>
      </c>
      <c r="S298" s="2">
        <f>_xlfn.XLOOKUP($A298,'[1]LISTA ETIQUETAS'!$O:$O,'[1]LISTA ETIQUETAS'!H:H,"",0)</f>
        <v>1</v>
      </c>
      <c r="T298" s="9">
        <f t="shared" si="14"/>
        <v>1</v>
      </c>
    </row>
    <row r="299" spans="1:20" x14ac:dyDescent="0.25">
      <c r="A299" s="5">
        <v>334344</v>
      </c>
      <c r="B299" t="str">
        <f>IFERROR((VLOOKUP(A299,'[1]LISTA ETIQUETAS'!O:X,3,0)),"PRODUTO SEM ESTOQUE")</f>
        <v>EST BANQUETA YUMI COURO 2 8002/JEQ EBANIZADO</v>
      </c>
      <c r="C299" s="10" t="s">
        <v>205</v>
      </c>
      <c r="D299" s="10" t="s">
        <v>210</v>
      </c>
      <c r="E299" s="11">
        <f>IF(VLOOKUP(A299,'[1]LISTA ETIQUETAS'!O:W,4,0)="",(VLOOKUP(A299,'[1]LISTA ETIQUETAS'!O:W,6,0)),(VLOOKUP(A299,'[1]LISTA ETIQUETAS'!O:W,4,0)))</f>
        <v>0.69</v>
      </c>
      <c r="F299" s="11">
        <f>IF(VLOOKUP(A299,'[1]LISTA ETIQUETAS'!O:W,5,0)="",(VLOOKUP(A299,'[1]LISTA ETIQUETAS'!O:W,7,0)),(VLOOKUP(A299,'[1]LISTA ETIQUETAS'!O:W,5,0)))</f>
        <v>0.53</v>
      </c>
      <c r="G299" s="11">
        <f>IFERROR((VLOOKUP(A299,'[1]LISTA ETIQUETAS'!O:X,8,0)),"")</f>
        <v>0.4</v>
      </c>
      <c r="H299" s="11">
        <f>IFERROR((VLOOKUP(A299,'[1]LISTA ETIQUETAS'!O:X,9,0)),"")</f>
        <v>0</v>
      </c>
      <c r="I299" s="12">
        <f>IFERROR((VLOOKUP(A299,'[1]LISTA ETIQUETAS'!O:Y,11,0)),"")</f>
        <v>13868.56</v>
      </c>
      <c r="J299" s="6">
        <v>0</v>
      </c>
      <c r="K299" s="12">
        <f t="shared" si="12"/>
        <v>13868.56</v>
      </c>
      <c r="L299" s="7" t="str">
        <f>IF(VLOOKUP(A299,'[1]LISTA ETIQUETAS'!O:AB,14,0)="","",(VLOOKUP(A299,'[1]LISTA ETIQUETAS'!O:AB,14,0)))</f>
        <v/>
      </c>
      <c r="M299" s="8"/>
      <c r="N299" s="9">
        <f t="shared" si="13"/>
        <v>334344</v>
      </c>
      <c r="O299" s="2">
        <f>_xlfn.XLOOKUP($A299,'[1]LISTA ETIQUETAS'!$O:$O,'[1]LISTA ETIQUETAS'!C:C,"",0)</f>
        <v>0</v>
      </c>
      <c r="P299" s="2">
        <f>_xlfn.XLOOKUP($A299,'[1]LISTA ETIQUETAS'!$O:$O,'[1]LISTA ETIQUETAS'!D:D,"",0)</f>
        <v>0</v>
      </c>
      <c r="Q299" s="2">
        <f>_xlfn.XLOOKUP($A299,'[1]LISTA ETIQUETAS'!$O:$O,'[1]LISTA ETIQUETAS'!E:E,"",0)</f>
        <v>0</v>
      </c>
      <c r="R299" s="2">
        <f>_xlfn.XLOOKUP($A299,'[1]LISTA ETIQUETAS'!$O:$O,'[1]LISTA ETIQUETAS'!F:F,"",0)</f>
        <v>0</v>
      </c>
      <c r="S299" s="2">
        <f>_xlfn.XLOOKUP($A299,'[1]LISTA ETIQUETAS'!$O:$O,'[1]LISTA ETIQUETAS'!H:H,"",0)</f>
        <v>1</v>
      </c>
      <c r="T299" s="9">
        <f t="shared" si="14"/>
        <v>1</v>
      </c>
    </row>
    <row r="300" spans="1:20" x14ac:dyDescent="0.25">
      <c r="A300" s="5">
        <v>328749</v>
      </c>
      <c r="B300" t="str">
        <f>IFERROR((VLOOKUP(A300,'[1]LISTA ETIQUETAS'!O:X,3,0)),"PRODUTO SEM ESTOQUE")</f>
        <v>EST BANQUETA SOFT (BS ELET CORTEN) B0707-024/SOL MARFIM</v>
      </c>
      <c r="C300" s="10" t="s">
        <v>205</v>
      </c>
      <c r="D300" s="10" t="s">
        <v>211</v>
      </c>
      <c r="E300" s="11">
        <f>IF(VLOOKUP(A300,'[1]LISTA ETIQUETAS'!O:W,4,0)="",(VLOOKUP(A300,'[1]LISTA ETIQUETAS'!O:W,6,0)),(VLOOKUP(A300,'[1]LISTA ETIQUETAS'!O:W,4,0)))</f>
        <v>0.57999999999999996</v>
      </c>
      <c r="F300" s="11">
        <f>IF(VLOOKUP(A300,'[1]LISTA ETIQUETAS'!O:W,5,0)="",(VLOOKUP(A300,'[1]LISTA ETIQUETAS'!O:W,7,0)),(VLOOKUP(A300,'[1]LISTA ETIQUETAS'!O:W,5,0)))</f>
        <v>0.75</v>
      </c>
      <c r="G300" s="11">
        <f>IFERROR((VLOOKUP(A300,'[1]LISTA ETIQUETAS'!O:X,8,0)),"")</f>
        <v>0.4</v>
      </c>
      <c r="H300" s="11">
        <f>IFERROR((VLOOKUP(A300,'[1]LISTA ETIQUETAS'!O:X,9,0)),"")</f>
        <v>0</v>
      </c>
      <c r="I300" s="12">
        <f>IFERROR((VLOOKUP(A300,'[1]LISTA ETIQUETAS'!O:Y,11,0)),"")</f>
        <v>13823.8</v>
      </c>
      <c r="J300" s="6">
        <v>0</v>
      </c>
      <c r="K300" s="12">
        <f t="shared" si="12"/>
        <v>13823.8</v>
      </c>
      <c r="L300" s="7" t="str">
        <f>IF(VLOOKUP(A300,'[1]LISTA ETIQUETAS'!O:AB,14,0)="","",(VLOOKUP(A300,'[1]LISTA ETIQUETAS'!O:AB,14,0)))</f>
        <v/>
      </c>
      <c r="M300" s="8"/>
      <c r="N300" s="9">
        <f t="shared" si="13"/>
        <v>328749</v>
      </c>
      <c r="O300" s="2">
        <f>_xlfn.XLOOKUP($A300,'[1]LISTA ETIQUETAS'!$O:$O,'[1]LISTA ETIQUETAS'!C:C,"",0)</f>
        <v>0</v>
      </c>
      <c r="P300" s="2">
        <f>_xlfn.XLOOKUP($A300,'[1]LISTA ETIQUETAS'!$O:$O,'[1]LISTA ETIQUETAS'!D:D,"",0)</f>
        <v>0</v>
      </c>
      <c r="Q300" s="2">
        <f>_xlfn.XLOOKUP($A300,'[1]LISTA ETIQUETAS'!$O:$O,'[1]LISTA ETIQUETAS'!E:E,"",0)</f>
        <v>1</v>
      </c>
      <c r="R300" s="2">
        <f>_xlfn.XLOOKUP($A300,'[1]LISTA ETIQUETAS'!$O:$O,'[1]LISTA ETIQUETAS'!F:F,"",0)</f>
        <v>0</v>
      </c>
      <c r="S300" s="2">
        <f>_xlfn.XLOOKUP($A300,'[1]LISTA ETIQUETAS'!$O:$O,'[1]LISTA ETIQUETAS'!H:H,"",0)</f>
        <v>1</v>
      </c>
      <c r="T300" s="9">
        <f t="shared" si="14"/>
        <v>2</v>
      </c>
    </row>
    <row r="301" spans="1:20" x14ac:dyDescent="0.25">
      <c r="A301" s="5">
        <v>337717</v>
      </c>
      <c r="B301" t="str">
        <f>IFERROR((VLOOKUP(A301,'[1]LISTA ETIQUETAS'!O:X,3,0)),"PRODUTO SEM ESTOQUE")</f>
        <v>EST BANQUETA PATER (IMBUIA) TAURUS 30/ ALMOF FX6363</v>
      </c>
      <c r="C301" s="10" t="s">
        <v>205</v>
      </c>
      <c r="D301" s="10" t="s">
        <v>208</v>
      </c>
      <c r="E301" s="11">
        <f>IF(VLOOKUP(A301,'[1]LISTA ETIQUETAS'!O:W,4,0)="",(VLOOKUP(A301,'[1]LISTA ETIQUETAS'!O:W,6,0)),(VLOOKUP(A301,'[1]LISTA ETIQUETAS'!O:W,4,0)))</f>
        <v>0.66</v>
      </c>
      <c r="F301" s="11">
        <f>IF(VLOOKUP(A301,'[1]LISTA ETIQUETAS'!O:W,5,0)="",(VLOOKUP(A301,'[1]LISTA ETIQUETAS'!O:W,7,0)),(VLOOKUP(A301,'[1]LISTA ETIQUETAS'!O:W,5,0)))</f>
        <v>0.51</v>
      </c>
      <c r="G301" s="11">
        <f>IFERROR((VLOOKUP(A301,'[1]LISTA ETIQUETAS'!O:X,8,0)),"")</f>
        <v>0.47</v>
      </c>
      <c r="H301" s="11">
        <f>IFERROR((VLOOKUP(A301,'[1]LISTA ETIQUETAS'!O:X,9,0)),"")</f>
        <v>0</v>
      </c>
      <c r="I301" s="12">
        <f>IFERROR((VLOOKUP(A301,'[1]LISTA ETIQUETAS'!O:Y,11,0)),"")</f>
        <v>15911.39</v>
      </c>
      <c r="J301" s="6">
        <v>0</v>
      </c>
      <c r="K301" s="12">
        <f t="shared" si="12"/>
        <v>15911.39</v>
      </c>
      <c r="L301" s="7" t="str">
        <f>IF(VLOOKUP(A301,'[1]LISTA ETIQUETAS'!O:AB,14,0)="","",(VLOOKUP(A301,'[1]LISTA ETIQUETAS'!O:AB,14,0)))</f>
        <v/>
      </c>
      <c r="M301" s="8"/>
      <c r="N301" s="9">
        <f t="shared" si="13"/>
        <v>337717</v>
      </c>
      <c r="O301" s="2">
        <f>_xlfn.XLOOKUP($A301,'[1]LISTA ETIQUETAS'!$O:$O,'[1]LISTA ETIQUETAS'!C:C,"",0)</f>
        <v>0</v>
      </c>
      <c r="P301" s="2">
        <f>_xlfn.XLOOKUP($A301,'[1]LISTA ETIQUETAS'!$O:$O,'[1]LISTA ETIQUETAS'!D:D,"",0)</f>
        <v>0</v>
      </c>
      <c r="Q301" s="2">
        <f>_xlfn.XLOOKUP($A301,'[1]LISTA ETIQUETAS'!$O:$O,'[1]LISTA ETIQUETAS'!E:E,"",0)</f>
        <v>0</v>
      </c>
      <c r="R301" s="2">
        <f>_xlfn.XLOOKUP($A301,'[1]LISTA ETIQUETAS'!$O:$O,'[1]LISTA ETIQUETAS'!F:F,"",0)</f>
        <v>0</v>
      </c>
      <c r="S301" s="2">
        <f>_xlfn.XLOOKUP($A301,'[1]LISTA ETIQUETAS'!$O:$O,'[1]LISTA ETIQUETAS'!H:H,"",0)</f>
        <v>1</v>
      </c>
      <c r="T301" s="9">
        <f t="shared" si="14"/>
        <v>1</v>
      </c>
    </row>
    <row r="302" spans="1:20" x14ac:dyDescent="0.25">
      <c r="A302" s="5">
        <v>334465</v>
      </c>
      <c r="B302" t="str">
        <f>IFERROR((VLOOKUP(A302,'[1]LISTA ETIQUETAS'!O:X,3,0)),"PRODUTO SEM ESTOQUE")</f>
        <v>EST BANQUETA PATER (IMBUIA) TAURUS 30/ALMOF  FX10008</v>
      </c>
      <c r="C302" s="10" t="s">
        <v>205</v>
      </c>
      <c r="D302" s="10" t="s">
        <v>208</v>
      </c>
      <c r="E302" s="11">
        <f>IF(VLOOKUP(A302,'[1]LISTA ETIQUETAS'!O:W,4,0)="",(VLOOKUP(A302,'[1]LISTA ETIQUETAS'!O:W,6,0)),(VLOOKUP(A302,'[1]LISTA ETIQUETAS'!O:W,4,0)))</f>
        <v>0.66</v>
      </c>
      <c r="F302" s="11">
        <f>IF(VLOOKUP(A302,'[1]LISTA ETIQUETAS'!O:W,5,0)="",(VLOOKUP(A302,'[1]LISTA ETIQUETAS'!O:W,7,0)),(VLOOKUP(A302,'[1]LISTA ETIQUETAS'!O:W,5,0)))</f>
        <v>0.51</v>
      </c>
      <c r="G302" s="11">
        <f>IFERROR((VLOOKUP(A302,'[1]LISTA ETIQUETAS'!O:X,8,0)),"")</f>
        <v>0.47</v>
      </c>
      <c r="H302" s="11">
        <f>IFERROR((VLOOKUP(A302,'[1]LISTA ETIQUETAS'!O:X,9,0)),"")</f>
        <v>0</v>
      </c>
      <c r="I302" s="12">
        <f>IFERROR((VLOOKUP(A302,'[1]LISTA ETIQUETAS'!O:Y,11,0)),"")</f>
        <v>16580.84</v>
      </c>
      <c r="J302" s="6">
        <v>0</v>
      </c>
      <c r="K302" s="12">
        <f t="shared" si="12"/>
        <v>16580.84</v>
      </c>
      <c r="L302" s="7" t="str">
        <f>IF(VLOOKUP(A302,'[1]LISTA ETIQUETAS'!O:AB,14,0)="","",(VLOOKUP(A302,'[1]LISTA ETIQUETAS'!O:AB,14,0)))</f>
        <v/>
      </c>
      <c r="M302" s="8"/>
      <c r="N302" s="9">
        <f t="shared" si="13"/>
        <v>334465</v>
      </c>
      <c r="O302" s="2">
        <f>_xlfn.XLOOKUP($A302,'[1]LISTA ETIQUETAS'!$O:$O,'[1]LISTA ETIQUETAS'!C:C,"",0)</f>
        <v>0</v>
      </c>
      <c r="P302" s="2">
        <f>_xlfn.XLOOKUP($A302,'[1]LISTA ETIQUETAS'!$O:$O,'[1]LISTA ETIQUETAS'!D:D,"",0)</f>
        <v>0</v>
      </c>
      <c r="Q302" s="2">
        <f>_xlfn.XLOOKUP($A302,'[1]LISTA ETIQUETAS'!$O:$O,'[1]LISTA ETIQUETAS'!E:E,"",0)</f>
        <v>0</v>
      </c>
      <c r="R302" s="2">
        <f>_xlfn.XLOOKUP($A302,'[1]LISTA ETIQUETAS'!$O:$O,'[1]LISTA ETIQUETAS'!F:F,"",0)</f>
        <v>0</v>
      </c>
      <c r="S302" s="2">
        <f>_xlfn.XLOOKUP($A302,'[1]LISTA ETIQUETAS'!$O:$O,'[1]LISTA ETIQUETAS'!H:H,"",0)</f>
        <v>1</v>
      </c>
      <c r="T302" s="9">
        <f t="shared" si="14"/>
        <v>1</v>
      </c>
    </row>
    <row r="303" spans="1:20" x14ac:dyDescent="0.25">
      <c r="A303" s="5">
        <v>334189</v>
      </c>
      <c r="B303" t="str">
        <f>IFERROR((VLOOKUP(A303,'[1]LISTA ETIQUETAS'!O:X,3,0)),"PRODUTO SEM ESTOQUE")</f>
        <v>EST BANQUETA CACAU TC V8002</v>
      </c>
      <c r="C303" s="10" t="s">
        <v>205</v>
      </c>
      <c r="D303" s="10" t="s">
        <v>206</v>
      </c>
      <c r="E303" s="11">
        <f>IF(VLOOKUP(A303,'[1]LISTA ETIQUETAS'!O:W,4,0)="",(VLOOKUP(A303,'[1]LISTA ETIQUETAS'!O:W,6,0)),(VLOOKUP(A303,'[1]LISTA ETIQUETAS'!O:W,4,0)))</f>
        <v>0.92</v>
      </c>
      <c r="F303" s="11">
        <f>IF(VLOOKUP(A303,'[1]LISTA ETIQUETAS'!O:W,5,0)="",(VLOOKUP(A303,'[1]LISTA ETIQUETAS'!O:W,7,0)),(VLOOKUP(A303,'[1]LISTA ETIQUETAS'!O:W,5,0)))</f>
        <v>0.57999999999999996</v>
      </c>
      <c r="G303" s="11">
        <f>IFERROR((VLOOKUP(A303,'[1]LISTA ETIQUETAS'!O:X,8,0)),"")</f>
        <v>0.4</v>
      </c>
      <c r="H303" s="11">
        <f>IFERROR((VLOOKUP(A303,'[1]LISTA ETIQUETAS'!O:X,9,0)),"")</f>
        <v>0</v>
      </c>
      <c r="I303" s="12">
        <f>IFERROR((VLOOKUP(A303,'[1]LISTA ETIQUETAS'!O:Y,11,0)),"")</f>
        <v>11952.73</v>
      </c>
      <c r="J303" s="6">
        <v>0</v>
      </c>
      <c r="K303" s="12">
        <f t="shared" si="12"/>
        <v>11952.73</v>
      </c>
      <c r="L303" s="7" t="str">
        <f>IF(VLOOKUP(A303,'[1]LISTA ETIQUETAS'!O:AB,14,0)="","",(VLOOKUP(A303,'[1]LISTA ETIQUETAS'!O:AB,14,0)))</f>
        <v/>
      </c>
      <c r="M303" s="8"/>
      <c r="N303" s="9">
        <f t="shared" si="13"/>
        <v>334189</v>
      </c>
      <c r="O303" s="2">
        <f>_xlfn.XLOOKUP($A303,'[1]LISTA ETIQUETAS'!$O:$O,'[1]LISTA ETIQUETAS'!C:C,"",0)</f>
        <v>0</v>
      </c>
      <c r="P303" s="2">
        <f>_xlfn.XLOOKUP($A303,'[1]LISTA ETIQUETAS'!$O:$O,'[1]LISTA ETIQUETAS'!D:D,"",0)</f>
        <v>0</v>
      </c>
      <c r="Q303" s="2">
        <f>_xlfn.XLOOKUP($A303,'[1]LISTA ETIQUETAS'!$O:$O,'[1]LISTA ETIQUETAS'!E:E,"",0)</f>
        <v>0</v>
      </c>
      <c r="R303" s="2">
        <f>_xlfn.XLOOKUP($A303,'[1]LISTA ETIQUETAS'!$O:$O,'[1]LISTA ETIQUETAS'!F:F,"",0)</f>
        <v>0</v>
      </c>
      <c r="S303" s="2">
        <f>_xlfn.XLOOKUP($A303,'[1]LISTA ETIQUETAS'!$O:$O,'[1]LISTA ETIQUETAS'!H:H,"",0)</f>
        <v>1</v>
      </c>
      <c r="T303" s="9">
        <f t="shared" si="14"/>
        <v>1</v>
      </c>
    </row>
    <row r="304" spans="1:20" x14ac:dyDescent="0.25">
      <c r="A304" s="5">
        <v>117365</v>
      </c>
      <c r="B304" t="str">
        <f>IFERROR((VLOOKUP(A304,'[1]LISTA ETIQUETAS'!O:X,3,0)),"PRODUTO SEM ESTOQUE")</f>
        <v>EST BANQUETA JOB (LC PRETA) (RVST FORN) (TC 10717/0001)</v>
      </c>
      <c r="C304" s="10" t="s">
        <v>205</v>
      </c>
      <c r="D304" s="10" t="s">
        <v>212</v>
      </c>
      <c r="E304" s="11">
        <f>IF(VLOOKUP(A304,'[1]LISTA ETIQUETAS'!O:W,4,0)="",(VLOOKUP(A304,'[1]LISTA ETIQUETAS'!O:W,6,0)),(VLOOKUP(A304,'[1]LISTA ETIQUETAS'!O:W,4,0)))</f>
        <v>0.75</v>
      </c>
      <c r="F304" s="11">
        <f>IF(VLOOKUP(A304,'[1]LISTA ETIQUETAS'!O:W,5,0)="",(VLOOKUP(A304,'[1]LISTA ETIQUETAS'!O:W,7,0)),(VLOOKUP(A304,'[1]LISTA ETIQUETAS'!O:W,5,0)))</f>
        <v>0.45</v>
      </c>
      <c r="G304" s="11">
        <f>IFERROR((VLOOKUP(A304,'[1]LISTA ETIQUETAS'!O:X,8,0)),"")</f>
        <v>0.43</v>
      </c>
      <c r="H304" s="11">
        <f>IFERROR((VLOOKUP(A304,'[1]LISTA ETIQUETAS'!O:X,9,0)),"")</f>
        <v>0</v>
      </c>
      <c r="I304" s="12">
        <f>IFERROR((VLOOKUP(A304,'[1]LISTA ETIQUETAS'!O:Y,11,0)),"")</f>
        <v>5779.2</v>
      </c>
      <c r="J304" s="6">
        <v>0</v>
      </c>
      <c r="K304" s="12">
        <f t="shared" si="12"/>
        <v>5779.2</v>
      </c>
      <c r="L304" s="7" t="str">
        <f>IF(VLOOKUP(A304,'[1]LISTA ETIQUETAS'!O:AB,14,0)="","",(VLOOKUP(A304,'[1]LISTA ETIQUETAS'!O:AB,14,0)))</f>
        <v/>
      </c>
      <c r="M304" s="8"/>
      <c r="N304" s="9">
        <f t="shared" si="13"/>
        <v>117365</v>
      </c>
      <c r="O304" s="2">
        <f>_xlfn.XLOOKUP($A304,'[1]LISTA ETIQUETAS'!$O:$O,'[1]LISTA ETIQUETAS'!C:C,"",0)</f>
        <v>0</v>
      </c>
      <c r="P304" s="2">
        <f>_xlfn.XLOOKUP($A304,'[1]LISTA ETIQUETAS'!$O:$O,'[1]LISTA ETIQUETAS'!D:D,"",0)</f>
        <v>0</v>
      </c>
      <c r="Q304" s="2">
        <f>_xlfn.XLOOKUP($A304,'[1]LISTA ETIQUETAS'!$O:$O,'[1]LISTA ETIQUETAS'!E:E,"",0)</f>
        <v>0</v>
      </c>
      <c r="R304" s="2">
        <f>_xlfn.XLOOKUP($A304,'[1]LISTA ETIQUETAS'!$O:$O,'[1]LISTA ETIQUETAS'!F:F,"",0)</f>
        <v>0</v>
      </c>
      <c r="S304" s="2">
        <f>_xlfn.XLOOKUP($A304,'[1]LISTA ETIQUETAS'!$O:$O,'[1]LISTA ETIQUETAS'!H:H,"",0)</f>
        <v>3</v>
      </c>
      <c r="T304" s="9">
        <f t="shared" si="14"/>
        <v>3</v>
      </c>
    </row>
    <row r="305" spans="1:20" x14ac:dyDescent="0.25">
      <c r="A305" s="5">
        <v>176801</v>
      </c>
      <c r="B305" t="str">
        <f>IFERROR((VLOOKUP(A305,'[1]LISTA ETIQUETAS'!O:X,3,0)),"PRODUTO SEM ESTOQUE")</f>
        <v>EST BANQUETA DORA (PES ACO PINT CORTEN) (TC CB-091 CAMURCA)</v>
      </c>
      <c r="C305" s="10" t="s">
        <v>205</v>
      </c>
      <c r="D305" s="10" t="s">
        <v>213</v>
      </c>
      <c r="E305" s="11">
        <f>IF(VLOOKUP(A305,'[1]LISTA ETIQUETAS'!O:W,4,0)="",(VLOOKUP(A305,'[1]LISTA ETIQUETAS'!O:W,6,0)),(VLOOKUP(A305,'[1]LISTA ETIQUETAS'!O:W,4,0)))</f>
        <v>0.6</v>
      </c>
      <c r="F305" s="11">
        <f>IF(VLOOKUP(A305,'[1]LISTA ETIQUETAS'!O:W,5,0)="",(VLOOKUP(A305,'[1]LISTA ETIQUETAS'!O:W,7,0)),(VLOOKUP(A305,'[1]LISTA ETIQUETAS'!O:W,5,0)))</f>
        <v>0.5</v>
      </c>
      <c r="G305" s="11">
        <f>IFERROR((VLOOKUP(A305,'[1]LISTA ETIQUETAS'!O:X,8,0)),"")</f>
        <v>0.43</v>
      </c>
      <c r="H305" s="11">
        <f>IFERROR((VLOOKUP(A305,'[1]LISTA ETIQUETAS'!O:X,9,0)),"")</f>
        <v>0</v>
      </c>
      <c r="I305" s="12" t="str">
        <f>IFERROR((VLOOKUP(A305,'[1]LISTA ETIQUETAS'!O:Y,11,0)),"")</f>
        <v/>
      </c>
      <c r="J305" s="6">
        <v>0</v>
      </c>
      <c r="K305" s="12" t="str">
        <f t="shared" si="12"/>
        <v/>
      </c>
      <c r="L305" s="7" t="str">
        <f>IF(VLOOKUP(A305,'[1]LISTA ETIQUETAS'!O:AB,14,0)="","",(VLOOKUP(A305,'[1]LISTA ETIQUETAS'!O:AB,14,0)))</f>
        <v/>
      </c>
      <c r="M305" s="8"/>
      <c r="N305" s="9">
        <f t="shared" si="13"/>
        <v>176801</v>
      </c>
      <c r="O305" s="2">
        <f>_xlfn.XLOOKUP($A305,'[1]LISTA ETIQUETAS'!$O:$O,'[1]LISTA ETIQUETAS'!C:C,"",0)</f>
        <v>0</v>
      </c>
      <c r="P305" s="2">
        <f>_xlfn.XLOOKUP($A305,'[1]LISTA ETIQUETAS'!$O:$O,'[1]LISTA ETIQUETAS'!D:D,"",0)</f>
        <v>0</v>
      </c>
      <c r="Q305" s="2">
        <f>_xlfn.XLOOKUP($A305,'[1]LISTA ETIQUETAS'!$O:$O,'[1]LISTA ETIQUETAS'!E:E,"",0)</f>
        <v>0</v>
      </c>
      <c r="R305" s="2">
        <f>_xlfn.XLOOKUP($A305,'[1]LISTA ETIQUETAS'!$O:$O,'[1]LISTA ETIQUETAS'!F:F,"",0)</f>
        <v>0</v>
      </c>
      <c r="S305" s="2">
        <f>_xlfn.XLOOKUP($A305,'[1]LISTA ETIQUETAS'!$O:$O,'[1]LISTA ETIQUETAS'!H:H,"",0)</f>
        <v>1</v>
      </c>
      <c r="T305" s="9">
        <f t="shared" si="14"/>
        <v>1</v>
      </c>
    </row>
    <row r="306" spans="1:20" x14ac:dyDescent="0.25">
      <c r="A306" s="5">
        <v>191237</v>
      </c>
      <c r="B306" t="str">
        <f>IFERROR((VLOOKUP(A306,'[1]LISTA ETIQUETAS'!O:X,3,0)),"PRODUTO SEM ESTOQUE")</f>
        <v>EST BANQUETA 150 (TAUARI TING NOGUEIRA) (TC SUMATRA #05)</v>
      </c>
      <c r="C306" s="10" t="s">
        <v>205</v>
      </c>
      <c r="D306" s="10" t="s">
        <v>214</v>
      </c>
      <c r="E306" s="11">
        <f>IF(VLOOKUP(A306,'[1]LISTA ETIQUETAS'!O:W,4,0)="",(VLOOKUP(A306,'[1]LISTA ETIQUETAS'!O:W,6,0)),(VLOOKUP(A306,'[1]LISTA ETIQUETAS'!O:W,4,0)))</f>
        <v>0.66</v>
      </c>
      <c r="F306" s="11">
        <f>IF(VLOOKUP(A306,'[1]LISTA ETIQUETAS'!O:W,5,0)="",(VLOOKUP(A306,'[1]LISTA ETIQUETAS'!O:W,7,0)),(VLOOKUP(A306,'[1]LISTA ETIQUETAS'!O:W,5,0)))</f>
        <v>0.5</v>
      </c>
      <c r="G306" s="11">
        <f>IFERROR((VLOOKUP(A306,'[1]LISTA ETIQUETAS'!O:X,8,0)),"")</f>
        <v>0.41</v>
      </c>
      <c r="H306" s="11">
        <f>IFERROR((VLOOKUP(A306,'[1]LISTA ETIQUETAS'!O:X,9,0)),"")</f>
        <v>0</v>
      </c>
      <c r="I306" s="12" t="str">
        <f>IFERROR((VLOOKUP(A306,'[1]LISTA ETIQUETAS'!O:Y,11,0)),"")</f>
        <v/>
      </c>
      <c r="J306" s="6">
        <v>0</v>
      </c>
      <c r="K306" s="12" t="str">
        <f t="shared" si="12"/>
        <v/>
      </c>
      <c r="L306" s="7" t="str">
        <f>IF(VLOOKUP(A306,'[1]LISTA ETIQUETAS'!O:AB,14,0)="","",(VLOOKUP(A306,'[1]LISTA ETIQUETAS'!O:AB,14,0)))</f>
        <v/>
      </c>
      <c r="M306" s="8"/>
      <c r="N306" s="9">
        <f t="shared" si="13"/>
        <v>191237</v>
      </c>
      <c r="O306" s="2">
        <f>_xlfn.XLOOKUP($A306,'[1]LISTA ETIQUETAS'!$O:$O,'[1]LISTA ETIQUETAS'!C:C,"",0)</f>
        <v>0</v>
      </c>
      <c r="P306" s="2">
        <f>_xlfn.XLOOKUP($A306,'[1]LISTA ETIQUETAS'!$O:$O,'[1]LISTA ETIQUETAS'!D:D,"",0)</f>
        <v>0</v>
      </c>
      <c r="Q306" s="2">
        <f>_xlfn.XLOOKUP($A306,'[1]LISTA ETIQUETAS'!$O:$O,'[1]LISTA ETIQUETAS'!E:E,"",0)</f>
        <v>0</v>
      </c>
      <c r="R306" s="2">
        <f>_xlfn.XLOOKUP($A306,'[1]LISTA ETIQUETAS'!$O:$O,'[1]LISTA ETIQUETAS'!F:F,"",0)</f>
        <v>0</v>
      </c>
      <c r="S306" s="2">
        <f>_xlfn.XLOOKUP($A306,'[1]LISTA ETIQUETAS'!$O:$O,'[1]LISTA ETIQUETAS'!H:H,"",0)</f>
        <v>1</v>
      </c>
      <c r="T306" s="9">
        <f t="shared" si="14"/>
        <v>1</v>
      </c>
    </row>
    <row r="307" spans="1:20" x14ac:dyDescent="0.25">
      <c r="A307" s="5">
        <v>248947</v>
      </c>
      <c r="B307" t="str">
        <f>IFERROR((VLOOKUP(A307,'[1]LISTA ETIQUETAS'!O:X,3,0)),"PRODUTO SEM ESTOQUE")</f>
        <v>EST BANQUETA 150 (ESTRUTURA TAUARI COR 01) (TC 169#4)</v>
      </c>
      <c r="C307" s="10" t="s">
        <v>205</v>
      </c>
      <c r="D307" s="10" t="s">
        <v>214</v>
      </c>
      <c r="E307" s="11">
        <f>IF(VLOOKUP(A307,'[1]LISTA ETIQUETAS'!O:W,4,0)="",(VLOOKUP(A307,'[1]LISTA ETIQUETAS'!O:W,6,0)),(VLOOKUP(A307,'[1]LISTA ETIQUETAS'!O:W,4,0)))</f>
        <v>0.66</v>
      </c>
      <c r="F307" s="11">
        <f>IF(VLOOKUP(A307,'[1]LISTA ETIQUETAS'!O:W,5,0)="",(VLOOKUP(A307,'[1]LISTA ETIQUETAS'!O:W,7,0)),(VLOOKUP(A307,'[1]LISTA ETIQUETAS'!O:W,5,0)))</f>
        <v>0.5</v>
      </c>
      <c r="G307" s="11">
        <f>IFERROR((VLOOKUP(A307,'[1]LISTA ETIQUETAS'!O:X,8,0)),"")</f>
        <v>0.41</v>
      </c>
      <c r="H307" s="11">
        <f>IFERROR((VLOOKUP(A307,'[1]LISTA ETIQUETAS'!O:X,9,0)),"")</f>
        <v>0</v>
      </c>
      <c r="I307" s="12" t="str">
        <f>IFERROR((VLOOKUP(A307,'[1]LISTA ETIQUETAS'!O:Y,11,0)),"")</f>
        <v/>
      </c>
      <c r="J307" s="6">
        <v>0</v>
      </c>
      <c r="K307" s="12" t="str">
        <f t="shared" si="12"/>
        <v/>
      </c>
      <c r="L307" s="7" t="str">
        <f>IF(VLOOKUP(A307,'[1]LISTA ETIQUETAS'!O:AB,14,0)="","",(VLOOKUP(A307,'[1]LISTA ETIQUETAS'!O:AB,14,0)))</f>
        <v/>
      </c>
      <c r="M307" s="8"/>
      <c r="N307" s="9">
        <f t="shared" si="13"/>
        <v>248947</v>
      </c>
      <c r="O307" s="2">
        <f>_xlfn.XLOOKUP($A307,'[1]LISTA ETIQUETAS'!$O:$O,'[1]LISTA ETIQUETAS'!C:C,"",0)</f>
        <v>0</v>
      </c>
      <c r="P307" s="2">
        <f>_xlfn.XLOOKUP($A307,'[1]LISTA ETIQUETAS'!$O:$O,'[1]LISTA ETIQUETAS'!D:D,"",0)</f>
        <v>0</v>
      </c>
      <c r="Q307" s="2">
        <f>_xlfn.XLOOKUP($A307,'[1]LISTA ETIQUETAS'!$O:$O,'[1]LISTA ETIQUETAS'!E:E,"",0)</f>
        <v>0</v>
      </c>
      <c r="R307" s="2">
        <f>_xlfn.XLOOKUP($A307,'[1]LISTA ETIQUETAS'!$O:$O,'[1]LISTA ETIQUETAS'!F:F,"",0)</f>
        <v>0</v>
      </c>
      <c r="S307" s="2">
        <f>_xlfn.XLOOKUP($A307,'[1]LISTA ETIQUETAS'!$O:$O,'[1]LISTA ETIQUETAS'!H:H,"",0)</f>
        <v>1</v>
      </c>
      <c r="T307" s="9">
        <f t="shared" si="14"/>
        <v>1</v>
      </c>
    </row>
    <row r="308" spans="1:20" x14ac:dyDescent="0.25">
      <c r="A308" s="5">
        <v>277923</v>
      </c>
      <c r="B308" t="str">
        <f>IFERROR((VLOOKUP(A308,'[1]LISTA ETIQUETAS'!O:X,3,0)),"PRODUTO SEM ESTOQUE")</f>
        <v>EST BANQUETA MARE (COURO TP2 MATTE GREY) PRETO</v>
      </c>
      <c r="C308" s="10" t="s">
        <v>205</v>
      </c>
      <c r="D308" s="10" t="s">
        <v>215</v>
      </c>
      <c r="E308" s="11">
        <f>IF(VLOOKUP(A308,'[1]LISTA ETIQUETAS'!O:W,4,0)="",(VLOOKUP(A308,'[1]LISTA ETIQUETAS'!O:W,6,0)),(VLOOKUP(A308,'[1]LISTA ETIQUETAS'!O:W,4,0)))</f>
        <v>0.91</v>
      </c>
      <c r="F308" s="11">
        <f>IF(VLOOKUP(A308,'[1]LISTA ETIQUETAS'!O:W,5,0)="",(VLOOKUP(A308,'[1]LISTA ETIQUETAS'!O:W,7,0)),(VLOOKUP(A308,'[1]LISTA ETIQUETAS'!O:W,5,0)))</f>
        <v>0.56999999999999995</v>
      </c>
      <c r="G308" s="11">
        <f>IFERROR((VLOOKUP(A308,'[1]LISTA ETIQUETAS'!O:X,8,0)),"")</f>
        <v>0.4</v>
      </c>
      <c r="H308" s="11">
        <f>IFERROR((VLOOKUP(A308,'[1]LISTA ETIQUETAS'!O:X,9,0)),"")</f>
        <v>0</v>
      </c>
      <c r="I308" s="12">
        <f>IFERROR((VLOOKUP(A308,'[1]LISTA ETIQUETAS'!O:Y,11,0)),"")</f>
        <v>10221.34</v>
      </c>
      <c r="J308" s="6">
        <v>0</v>
      </c>
      <c r="K308" s="12">
        <f t="shared" si="12"/>
        <v>10221.34</v>
      </c>
      <c r="L308" s="7" t="str">
        <f>IF(VLOOKUP(A308,'[1]LISTA ETIQUETAS'!O:AB,14,0)="","",(VLOOKUP(A308,'[1]LISTA ETIQUETAS'!O:AB,14,0)))</f>
        <v/>
      </c>
      <c r="M308" s="8"/>
      <c r="N308" s="9">
        <f t="shared" si="13"/>
        <v>277923</v>
      </c>
      <c r="O308" s="2">
        <f>_xlfn.XLOOKUP($A308,'[1]LISTA ETIQUETAS'!$O:$O,'[1]LISTA ETIQUETAS'!C:C,"",0)</f>
        <v>0</v>
      </c>
      <c r="P308" s="2">
        <f>_xlfn.XLOOKUP($A308,'[1]LISTA ETIQUETAS'!$O:$O,'[1]LISTA ETIQUETAS'!D:D,"",0)</f>
        <v>0</v>
      </c>
      <c r="Q308" s="2">
        <f>_xlfn.XLOOKUP($A308,'[1]LISTA ETIQUETAS'!$O:$O,'[1]LISTA ETIQUETAS'!E:E,"",0)</f>
        <v>0</v>
      </c>
      <c r="R308" s="2">
        <f>_xlfn.XLOOKUP($A308,'[1]LISTA ETIQUETAS'!$O:$O,'[1]LISTA ETIQUETAS'!F:F,"",0)</f>
        <v>0</v>
      </c>
      <c r="S308" s="2">
        <f>_xlfn.XLOOKUP($A308,'[1]LISTA ETIQUETAS'!$O:$O,'[1]LISTA ETIQUETAS'!H:H,"",0)</f>
        <v>1</v>
      </c>
      <c r="T308" s="9">
        <f t="shared" si="14"/>
        <v>1</v>
      </c>
    </row>
    <row r="309" spans="1:20" x14ac:dyDescent="0.25">
      <c r="A309" s="5">
        <v>277922</v>
      </c>
      <c r="B309" t="str">
        <f>IFERROR((VLOOKUP(A309,'[1]LISTA ETIQUETAS'!O:X,3,0)),"PRODUTO SEM ESTOQUE")</f>
        <v>EST BANQUETA MARE COURO TP2 (PROMO) GRANO SANDSTORM/CHAMPAG</v>
      </c>
      <c r="C309" s="10" t="s">
        <v>205</v>
      </c>
      <c r="D309" s="10" t="s">
        <v>215</v>
      </c>
      <c r="E309" s="11">
        <f>IF(VLOOKUP(A309,'[1]LISTA ETIQUETAS'!O:W,4,0)="",(VLOOKUP(A309,'[1]LISTA ETIQUETAS'!O:W,6,0)),(VLOOKUP(A309,'[1]LISTA ETIQUETAS'!O:W,4,0)))</f>
        <v>0.91</v>
      </c>
      <c r="F309" s="11">
        <f>IF(VLOOKUP(A309,'[1]LISTA ETIQUETAS'!O:W,5,0)="",(VLOOKUP(A309,'[1]LISTA ETIQUETAS'!O:W,7,0)),(VLOOKUP(A309,'[1]LISTA ETIQUETAS'!O:W,5,0)))</f>
        <v>0.56999999999999995</v>
      </c>
      <c r="G309" s="11">
        <f>IFERROR((VLOOKUP(A309,'[1]LISTA ETIQUETAS'!O:X,8,0)),"")</f>
        <v>0.4</v>
      </c>
      <c r="H309" s="11">
        <f>IFERROR((VLOOKUP(A309,'[1]LISTA ETIQUETAS'!O:X,9,0)),"")</f>
        <v>0</v>
      </c>
      <c r="I309" s="12">
        <f>IFERROR((VLOOKUP(A309,'[1]LISTA ETIQUETAS'!O:Y,11,0)),"")</f>
        <v>8620.24</v>
      </c>
      <c r="J309" s="6">
        <v>0</v>
      </c>
      <c r="K309" s="12">
        <f t="shared" si="12"/>
        <v>8620.24</v>
      </c>
      <c r="L309" s="7" t="str">
        <f>IF(VLOOKUP(A309,'[1]LISTA ETIQUETAS'!O:AB,14,0)="","",(VLOOKUP(A309,'[1]LISTA ETIQUETAS'!O:AB,14,0)))</f>
        <v/>
      </c>
      <c r="M309" s="8"/>
      <c r="N309" s="9">
        <f t="shared" si="13"/>
        <v>277922</v>
      </c>
      <c r="O309" s="2">
        <f>_xlfn.XLOOKUP($A309,'[1]LISTA ETIQUETAS'!$O:$O,'[1]LISTA ETIQUETAS'!C:C,"",0)</f>
        <v>0</v>
      </c>
      <c r="P309" s="2">
        <f>_xlfn.XLOOKUP($A309,'[1]LISTA ETIQUETAS'!$O:$O,'[1]LISTA ETIQUETAS'!D:D,"",0)</f>
        <v>0</v>
      </c>
      <c r="Q309" s="2">
        <f>_xlfn.XLOOKUP($A309,'[1]LISTA ETIQUETAS'!$O:$O,'[1]LISTA ETIQUETAS'!E:E,"",0)</f>
        <v>0</v>
      </c>
      <c r="R309" s="2">
        <f>_xlfn.XLOOKUP($A309,'[1]LISTA ETIQUETAS'!$O:$O,'[1]LISTA ETIQUETAS'!F:F,"",0)</f>
        <v>0</v>
      </c>
      <c r="S309" s="2">
        <f>_xlfn.XLOOKUP($A309,'[1]LISTA ETIQUETAS'!$O:$O,'[1]LISTA ETIQUETAS'!H:H,"",0)</f>
        <v>1</v>
      </c>
      <c r="T309" s="9">
        <f t="shared" si="14"/>
        <v>1</v>
      </c>
    </row>
    <row r="310" spans="1:20" x14ac:dyDescent="0.25">
      <c r="A310" s="5">
        <v>292636</v>
      </c>
      <c r="B310" t="str">
        <f>IFERROR((VLOOKUP(A310,'[1]LISTA ETIQUETAS'!O:X,3,0)),"PRODUTO SEM ESTOQUE")</f>
        <v>EST BANQUETA MAKALU (COURO TP3)</v>
      </c>
      <c r="C310" s="10" t="s">
        <v>205</v>
      </c>
      <c r="D310" s="10" t="s">
        <v>216</v>
      </c>
      <c r="E310" s="11">
        <f>IF(VLOOKUP(A310,'[1]LISTA ETIQUETAS'!O:W,4,0)="",(VLOOKUP(A310,'[1]LISTA ETIQUETAS'!O:W,6,0)),(VLOOKUP(A310,'[1]LISTA ETIQUETAS'!O:W,4,0)))</f>
        <v>1.05</v>
      </c>
      <c r="F310" s="11">
        <f>IF(VLOOKUP(A310,'[1]LISTA ETIQUETAS'!O:W,5,0)="",(VLOOKUP(A310,'[1]LISTA ETIQUETAS'!O:W,7,0)),(VLOOKUP(A310,'[1]LISTA ETIQUETAS'!O:W,5,0)))</f>
        <v>0.85</v>
      </c>
      <c r="G310" s="11">
        <f>IFERROR((VLOOKUP(A310,'[1]LISTA ETIQUETAS'!O:X,8,0)),"")</f>
        <v>0.46</v>
      </c>
      <c r="H310" s="11">
        <f>IFERROR((VLOOKUP(A310,'[1]LISTA ETIQUETAS'!O:X,9,0)),"")</f>
        <v>0</v>
      </c>
      <c r="I310" s="12">
        <f>IFERROR((VLOOKUP(A310,'[1]LISTA ETIQUETAS'!O:Y,11,0)),"")</f>
        <v>17168.93</v>
      </c>
      <c r="J310" s="6">
        <v>0</v>
      </c>
      <c r="K310" s="12">
        <f t="shared" si="12"/>
        <v>17168.93</v>
      </c>
      <c r="L310" s="7" t="str">
        <f>IF(VLOOKUP(A310,'[1]LISTA ETIQUETAS'!O:AB,14,0)="","",(VLOOKUP(A310,'[1]LISTA ETIQUETAS'!O:AB,14,0)))</f>
        <v/>
      </c>
      <c r="M310" s="8"/>
      <c r="N310" s="9">
        <f t="shared" si="13"/>
        <v>292636</v>
      </c>
      <c r="O310" s="2">
        <f>_xlfn.XLOOKUP($A310,'[1]LISTA ETIQUETAS'!$O:$O,'[1]LISTA ETIQUETAS'!C:C,"",0)</f>
        <v>0</v>
      </c>
      <c r="P310" s="2">
        <f>_xlfn.XLOOKUP($A310,'[1]LISTA ETIQUETAS'!$O:$O,'[1]LISTA ETIQUETAS'!D:D,"",0)</f>
        <v>0</v>
      </c>
      <c r="Q310" s="2">
        <f>_xlfn.XLOOKUP($A310,'[1]LISTA ETIQUETAS'!$O:$O,'[1]LISTA ETIQUETAS'!E:E,"",0)</f>
        <v>0</v>
      </c>
      <c r="R310" s="2">
        <f>_xlfn.XLOOKUP($A310,'[1]LISTA ETIQUETAS'!$O:$O,'[1]LISTA ETIQUETAS'!F:F,"",0)</f>
        <v>0</v>
      </c>
      <c r="S310" s="2">
        <f>_xlfn.XLOOKUP($A310,'[1]LISTA ETIQUETAS'!$O:$O,'[1]LISTA ETIQUETAS'!H:H,"",0)</f>
        <v>2</v>
      </c>
      <c r="T310" s="9">
        <f t="shared" si="14"/>
        <v>2</v>
      </c>
    </row>
    <row r="311" spans="1:20" x14ac:dyDescent="0.25">
      <c r="A311" s="5">
        <v>344048</v>
      </c>
      <c r="B311" t="str">
        <f>IFERROR((VLOOKUP(A311,'[1]LISTA ETIQUETAS'!O:X,3,0)),"PRODUTO SEM ESTOQUE")</f>
        <v>EST BANQUETA ONDAS (MTZ MARROM) COURO FIRENZE MARROM 500</v>
      </c>
      <c r="C311" s="10" t="s">
        <v>205</v>
      </c>
      <c r="D311" s="10" t="s">
        <v>217</v>
      </c>
      <c r="E311" s="11">
        <f>IF(VLOOKUP(A311,'[1]LISTA ETIQUETAS'!O:W,4,0)="",(VLOOKUP(A311,'[1]LISTA ETIQUETAS'!O:W,6,0)),(VLOOKUP(A311,'[1]LISTA ETIQUETAS'!O:W,4,0)))</f>
        <v>0.83</v>
      </c>
      <c r="F311" s="11">
        <f>IF(VLOOKUP(A311,'[1]LISTA ETIQUETAS'!O:W,5,0)="",(VLOOKUP(A311,'[1]LISTA ETIQUETAS'!O:W,7,0)),(VLOOKUP(A311,'[1]LISTA ETIQUETAS'!O:W,5,0)))</f>
        <v>0.67</v>
      </c>
      <c r="G311" s="11">
        <f>IFERROR((VLOOKUP(A311,'[1]LISTA ETIQUETAS'!O:X,8,0)),"")</f>
        <v>0.83</v>
      </c>
      <c r="H311" s="11">
        <f>IFERROR((VLOOKUP(A311,'[1]LISTA ETIQUETAS'!O:X,9,0)),"")</f>
        <v>0</v>
      </c>
      <c r="I311" s="12">
        <f>IFERROR((VLOOKUP(A311,'[1]LISTA ETIQUETAS'!O:Y,11,0)),"")</f>
        <v>15890.74</v>
      </c>
      <c r="J311" s="6">
        <v>0</v>
      </c>
      <c r="K311" s="12">
        <f t="shared" si="12"/>
        <v>15890.74</v>
      </c>
      <c r="L311" s="7" t="str">
        <f>IF(VLOOKUP(A311,'[1]LISTA ETIQUETAS'!O:AB,14,0)="","",(VLOOKUP(A311,'[1]LISTA ETIQUETAS'!O:AB,14,0)))</f>
        <v/>
      </c>
      <c r="M311" s="8"/>
      <c r="N311" s="9">
        <f t="shared" si="13"/>
        <v>344048</v>
      </c>
      <c r="O311" s="2">
        <f>_xlfn.XLOOKUP($A311,'[1]LISTA ETIQUETAS'!$O:$O,'[1]LISTA ETIQUETAS'!C:C,"",0)</f>
        <v>0</v>
      </c>
      <c r="P311" s="2">
        <f>_xlfn.XLOOKUP($A311,'[1]LISTA ETIQUETAS'!$O:$O,'[1]LISTA ETIQUETAS'!D:D,"",0)</f>
        <v>0</v>
      </c>
      <c r="Q311" s="2">
        <f>_xlfn.XLOOKUP($A311,'[1]LISTA ETIQUETAS'!$O:$O,'[1]LISTA ETIQUETAS'!E:E,"",0)</f>
        <v>0</v>
      </c>
      <c r="R311" s="2">
        <f>_xlfn.XLOOKUP($A311,'[1]LISTA ETIQUETAS'!$O:$O,'[1]LISTA ETIQUETAS'!F:F,"",0)</f>
        <v>0</v>
      </c>
      <c r="S311" s="2">
        <f>_xlfn.XLOOKUP($A311,'[1]LISTA ETIQUETAS'!$O:$O,'[1]LISTA ETIQUETAS'!H:H,"",0)</f>
        <v>1</v>
      </c>
      <c r="T311" s="9">
        <f t="shared" si="14"/>
        <v>1</v>
      </c>
    </row>
    <row r="312" spans="1:20" x14ac:dyDescent="0.25">
      <c r="A312" s="5">
        <v>344047</v>
      </c>
      <c r="B312" t="str">
        <f>IFERROR((VLOOKUP(A312,'[1]LISTA ETIQUETAS'!O:X,3,0)),"PRODUTO SEM ESTOQUE")</f>
        <v>EST BANQUETA ONDAS (BASE ELETROS PRETO FSC) COURO PIG 259</v>
      </c>
      <c r="C312" s="10" t="s">
        <v>205</v>
      </c>
      <c r="D312" s="10" t="s">
        <v>217</v>
      </c>
      <c r="E312" s="11">
        <f>IF(VLOOKUP(A312,'[1]LISTA ETIQUETAS'!O:W,4,0)="",(VLOOKUP(A312,'[1]LISTA ETIQUETAS'!O:W,6,0)),(VLOOKUP(A312,'[1]LISTA ETIQUETAS'!O:W,4,0)))</f>
        <v>0.83</v>
      </c>
      <c r="F312" s="11">
        <f>IF(VLOOKUP(A312,'[1]LISTA ETIQUETAS'!O:W,5,0)="",(VLOOKUP(A312,'[1]LISTA ETIQUETAS'!O:W,7,0)),(VLOOKUP(A312,'[1]LISTA ETIQUETAS'!O:W,5,0)))</f>
        <v>0.5</v>
      </c>
      <c r="G312" s="11">
        <f>IFERROR((VLOOKUP(A312,'[1]LISTA ETIQUETAS'!O:X,8,0)),"")</f>
        <v>0.39</v>
      </c>
      <c r="H312" s="11">
        <f>IFERROR((VLOOKUP(A312,'[1]LISTA ETIQUETAS'!O:X,9,0)),"")</f>
        <v>0</v>
      </c>
      <c r="I312" s="12">
        <f>IFERROR((VLOOKUP(A312,'[1]LISTA ETIQUETAS'!O:Y,11,0)),"")</f>
        <v>14076.34</v>
      </c>
      <c r="J312" s="6">
        <v>0</v>
      </c>
      <c r="K312" s="12">
        <f t="shared" si="12"/>
        <v>14076.34</v>
      </c>
      <c r="L312" s="7" t="str">
        <f>IF(VLOOKUP(A312,'[1]LISTA ETIQUETAS'!O:AB,14,0)="","",(VLOOKUP(A312,'[1]LISTA ETIQUETAS'!O:AB,14,0)))</f>
        <v/>
      </c>
      <c r="M312" s="8"/>
      <c r="N312" s="9">
        <f t="shared" si="13"/>
        <v>344047</v>
      </c>
      <c r="O312" s="2">
        <f>_xlfn.XLOOKUP($A312,'[1]LISTA ETIQUETAS'!$O:$O,'[1]LISTA ETIQUETAS'!C:C,"",0)</f>
        <v>0</v>
      </c>
      <c r="P312" s="2">
        <f>_xlfn.XLOOKUP($A312,'[1]LISTA ETIQUETAS'!$O:$O,'[1]LISTA ETIQUETAS'!D:D,"",0)</f>
        <v>0</v>
      </c>
      <c r="Q312" s="2">
        <f>_xlfn.XLOOKUP($A312,'[1]LISTA ETIQUETAS'!$O:$O,'[1]LISTA ETIQUETAS'!E:E,"",0)</f>
        <v>0</v>
      </c>
      <c r="R312" s="2">
        <f>_xlfn.XLOOKUP($A312,'[1]LISTA ETIQUETAS'!$O:$O,'[1]LISTA ETIQUETAS'!F:F,"",0)</f>
        <v>0</v>
      </c>
      <c r="S312" s="2">
        <f>_xlfn.XLOOKUP($A312,'[1]LISTA ETIQUETAS'!$O:$O,'[1]LISTA ETIQUETAS'!H:H,"",0)</f>
        <v>1</v>
      </c>
      <c r="T312" s="9">
        <f t="shared" si="14"/>
        <v>1</v>
      </c>
    </row>
    <row r="313" spans="1:20" x14ac:dyDescent="0.25">
      <c r="A313" s="5">
        <v>344046</v>
      </c>
      <c r="B313" t="str">
        <f>IFERROR((VLOOKUP(A313,'[1]LISTA ETIQUETAS'!O:X,3,0)),"PRODUTO SEM ESTOQUE")</f>
        <v>EST BANQUETA ONDAS (BASE ELETROS PRETO FSC) FORN PIG 101</v>
      </c>
      <c r="C313" s="10" t="s">
        <v>205</v>
      </c>
      <c r="D313" s="10" t="s">
        <v>217</v>
      </c>
      <c r="E313" s="11">
        <f>IF(VLOOKUP(A313,'[1]LISTA ETIQUETAS'!O:W,4,0)="",(VLOOKUP(A313,'[1]LISTA ETIQUETAS'!O:W,6,0)),(VLOOKUP(A313,'[1]LISTA ETIQUETAS'!O:W,4,0)))</f>
        <v>0.83</v>
      </c>
      <c r="F313" s="11">
        <f>IF(VLOOKUP(A313,'[1]LISTA ETIQUETAS'!O:W,5,0)="",(VLOOKUP(A313,'[1]LISTA ETIQUETAS'!O:W,7,0)),(VLOOKUP(A313,'[1]LISTA ETIQUETAS'!O:W,5,0)))</f>
        <v>0.67</v>
      </c>
      <c r="G313" s="11">
        <f>IFERROR((VLOOKUP(A313,'[1]LISTA ETIQUETAS'!O:X,8,0)),"")</f>
        <v>0.83</v>
      </c>
      <c r="H313" s="11">
        <f>IFERROR((VLOOKUP(A313,'[1]LISTA ETIQUETAS'!O:X,9,0)),"")</f>
        <v>0</v>
      </c>
      <c r="I313" s="12">
        <f>IFERROR((VLOOKUP(A313,'[1]LISTA ETIQUETAS'!O:Y,11,0)),"")</f>
        <v>14076.34</v>
      </c>
      <c r="J313" s="6">
        <v>0</v>
      </c>
      <c r="K313" s="12">
        <f t="shared" si="12"/>
        <v>14076.34</v>
      </c>
      <c r="L313" s="7" t="str">
        <f>IF(VLOOKUP(A313,'[1]LISTA ETIQUETAS'!O:AB,14,0)="","",(VLOOKUP(A313,'[1]LISTA ETIQUETAS'!O:AB,14,0)))</f>
        <v/>
      </c>
      <c r="M313" s="8"/>
      <c r="N313" s="9">
        <f t="shared" si="13"/>
        <v>344046</v>
      </c>
      <c r="O313" s="2">
        <f>_xlfn.XLOOKUP($A313,'[1]LISTA ETIQUETAS'!$O:$O,'[1]LISTA ETIQUETAS'!C:C,"",0)</f>
        <v>0</v>
      </c>
      <c r="P313" s="2">
        <f>_xlfn.XLOOKUP($A313,'[1]LISTA ETIQUETAS'!$O:$O,'[1]LISTA ETIQUETAS'!D:D,"",0)</f>
        <v>0</v>
      </c>
      <c r="Q313" s="2">
        <f>_xlfn.XLOOKUP($A313,'[1]LISTA ETIQUETAS'!$O:$O,'[1]LISTA ETIQUETAS'!E:E,"",0)</f>
        <v>0</v>
      </c>
      <c r="R313" s="2">
        <f>_xlfn.XLOOKUP($A313,'[1]LISTA ETIQUETAS'!$O:$O,'[1]LISTA ETIQUETAS'!F:F,"",0)</f>
        <v>0</v>
      </c>
      <c r="S313" s="2">
        <f>_xlfn.XLOOKUP($A313,'[1]LISTA ETIQUETAS'!$O:$O,'[1]LISTA ETIQUETAS'!H:H,"",0)</f>
        <v>1</v>
      </c>
      <c r="T313" s="9">
        <f t="shared" si="14"/>
        <v>1</v>
      </c>
    </row>
    <row r="314" spans="1:20" x14ac:dyDescent="0.25">
      <c r="A314" s="5">
        <v>334446</v>
      </c>
      <c r="B314" t="str">
        <f>IFERROR((VLOOKUP(A314,'[1]LISTA ETIQUETAS'!O:X,3,0)),"PRODUTO SEM ESTOQUE")</f>
        <v>EST BANQUETA MARE COURO TP3 LA PAZ VERDE/MARROM</v>
      </c>
      <c r="C314" s="10" t="s">
        <v>205</v>
      </c>
      <c r="D314" s="10" t="s">
        <v>215</v>
      </c>
      <c r="E314" s="11">
        <f>IF(VLOOKUP(A314,'[1]LISTA ETIQUETAS'!O:W,4,0)="",(VLOOKUP(A314,'[1]LISTA ETIQUETAS'!O:W,6,0)),(VLOOKUP(A314,'[1]LISTA ETIQUETAS'!O:W,4,0)))</f>
        <v>0.91</v>
      </c>
      <c r="F314" s="11">
        <f>IF(VLOOKUP(A314,'[1]LISTA ETIQUETAS'!O:W,5,0)="",(VLOOKUP(A314,'[1]LISTA ETIQUETAS'!O:W,7,0)),(VLOOKUP(A314,'[1]LISTA ETIQUETAS'!O:W,5,0)))</f>
        <v>0.56999999999999995</v>
      </c>
      <c r="G314" s="11">
        <f>IFERROR((VLOOKUP(A314,'[1]LISTA ETIQUETAS'!O:X,8,0)),"")</f>
        <v>0.4</v>
      </c>
      <c r="H314" s="11">
        <f>IFERROR((VLOOKUP(A314,'[1]LISTA ETIQUETAS'!O:X,9,0)),"")</f>
        <v>0</v>
      </c>
      <c r="I314" s="12">
        <f>IFERROR((VLOOKUP(A314,'[1]LISTA ETIQUETAS'!O:Y,11,0)),"")</f>
        <v>10778.88</v>
      </c>
      <c r="J314" s="6">
        <v>0</v>
      </c>
      <c r="K314" s="12">
        <f t="shared" si="12"/>
        <v>10778.88</v>
      </c>
      <c r="L314" s="7" t="str">
        <f>IF(VLOOKUP(A314,'[1]LISTA ETIQUETAS'!O:AB,14,0)="","",(VLOOKUP(A314,'[1]LISTA ETIQUETAS'!O:AB,14,0)))</f>
        <v/>
      </c>
      <c r="M314" s="8"/>
      <c r="N314" s="9">
        <f t="shared" si="13"/>
        <v>334446</v>
      </c>
      <c r="O314" s="2">
        <f>_xlfn.XLOOKUP($A314,'[1]LISTA ETIQUETAS'!$O:$O,'[1]LISTA ETIQUETAS'!C:C,"",0)</f>
        <v>0</v>
      </c>
      <c r="P314" s="2">
        <f>_xlfn.XLOOKUP($A314,'[1]LISTA ETIQUETAS'!$O:$O,'[1]LISTA ETIQUETAS'!D:D,"",0)</f>
        <v>0</v>
      </c>
      <c r="Q314" s="2">
        <f>_xlfn.XLOOKUP($A314,'[1]LISTA ETIQUETAS'!$O:$O,'[1]LISTA ETIQUETAS'!E:E,"",0)</f>
        <v>0</v>
      </c>
      <c r="R314" s="2">
        <f>_xlfn.XLOOKUP($A314,'[1]LISTA ETIQUETAS'!$O:$O,'[1]LISTA ETIQUETAS'!F:F,"",0)</f>
        <v>0</v>
      </c>
      <c r="S314" s="2">
        <f>_xlfn.XLOOKUP($A314,'[1]LISTA ETIQUETAS'!$O:$O,'[1]LISTA ETIQUETAS'!H:H,"",0)</f>
        <v>1</v>
      </c>
      <c r="T314" s="9">
        <f t="shared" si="14"/>
        <v>1</v>
      </c>
    </row>
    <row r="315" spans="1:20" x14ac:dyDescent="0.25">
      <c r="A315" s="5">
        <v>374368</v>
      </c>
      <c r="B315" t="str">
        <f>IFERROR((VLOOKUP(A315,'[1]LISTA ETIQUETAS'!O:X,3,0)),"PRODUTO SEM ESTOQUE")</f>
        <v>EST BANQUETA BAR HIMALAYA 75H C/BR (CON) (C3008) AMENDOA</v>
      </c>
      <c r="C315" s="10" t="s">
        <v>70</v>
      </c>
      <c r="D315" s="10" t="s">
        <v>218</v>
      </c>
      <c r="E315" s="11">
        <f>IF(VLOOKUP(A315,'[1]LISTA ETIQUETAS'!O:W,4,0)="",(VLOOKUP(A315,'[1]LISTA ETIQUETAS'!O:W,6,0)),(VLOOKUP(A315,'[1]LISTA ETIQUETAS'!O:W,4,0)))</f>
        <v>0.56000000000000005</v>
      </c>
      <c r="F315" s="11">
        <f>IF(VLOOKUP(A315,'[1]LISTA ETIQUETAS'!O:W,5,0)="",(VLOOKUP(A315,'[1]LISTA ETIQUETAS'!O:W,7,0)),(VLOOKUP(A315,'[1]LISTA ETIQUETAS'!O:W,5,0)))</f>
        <v>0.52</v>
      </c>
      <c r="G315" s="11">
        <f>IFERROR((VLOOKUP(A315,'[1]LISTA ETIQUETAS'!O:X,8,0)),"")</f>
        <v>1.04</v>
      </c>
      <c r="H315" s="11">
        <f>IFERROR((VLOOKUP(A315,'[1]LISTA ETIQUETAS'!O:X,9,0)),"")</f>
        <v>0</v>
      </c>
      <c r="I315" s="12">
        <f>IFERROR((VLOOKUP(A315,'[1]LISTA ETIQUETAS'!O:Y,11,0)),"")</f>
        <v>10607.92</v>
      </c>
      <c r="J315" s="6">
        <v>0</v>
      </c>
      <c r="K315" s="12">
        <f t="shared" si="12"/>
        <v>10607.92</v>
      </c>
      <c r="L315" s="7" t="str">
        <f>IF(VLOOKUP(A315,'[1]LISTA ETIQUETAS'!O:AB,14,0)="","",(VLOOKUP(A315,'[1]LISTA ETIQUETAS'!O:AB,14,0)))</f>
        <v/>
      </c>
      <c r="M315" s="8"/>
      <c r="N315" s="9">
        <f t="shared" si="13"/>
        <v>374368</v>
      </c>
      <c r="O315" s="2">
        <f>_xlfn.XLOOKUP($A315,'[1]LISTA ETIQUETAS'!$O:$O,'[1]LISTA ETIQUETAS'!C:C,"",0)</f>
        <v>0</v>
      </c>
      <c r="P315" s="2">
        <f>_xlfn.XLOOKUP($A315,'[1]LISTA ETIQUETAS'!$O:$O,'[1]LISTA ETIQUETAS'!D:D,"",0)</f>
        <v>0</v>
      </c>
      <c r="Q315" s="2">
        <f>_xlfn.XLOOKUP($A315,'[1]LISTA ETIQUETAS'!$O:$O,'[1]LISTA ETIQUETAS'!E:E,"",0)</f>
        <v>0</v>
      </c>
      <c r="R315" s="2">
        <f>_xlfn.XLOOKUP($A315,'[1]LISTA ETIQUETAS'!$O:$O,'[1]LISTA ETIQUETAS'!F:F,"",0)</f>
        <v>1</v>
      </c>
      <c r="S315" s="2">
        <f>_xlfn.XLOOKUP($A315,'[1]LISTA ETIQUETAS'!$O:$O,'[1]LISTA ETIQUETAS'!H:H,"",0)</f>
        <v>1</v>
      </c>
      <c r="T315" s="9">
        <f t="shared" si="14"/>
        <v>2</v>
      </c>
    </row>
    <row r="316" spans="1:20" x14ac:dyDescent="0.25">
      <c r="A316" s="5">
        <v>385723</v>
      </c>
      <c r="B316" t="str">
        <f>IFERROR((VLOOKUP(A316,'[1]LISTA ETIQUETAS'!O:X,3,0)),"PRODUTO SEM ESTOQUE")</f>
        <v>EST BANQUETA BAR MOI H76 (PRETO FOSCO) (TC LISO LINHO CRU)</v>
      </c>
      <c r="C316" s="10" t="s">
        <v>70</v>
      </c>
      <c r="D316" s="10" t="s">
        <v>219</v>
      </c>
      <c r="E316" s="11">
        <f>IF(VLOOKUP(A316,'[1]LISTA ETIQUETAS'!O:W,4,0)="",(VLOOKUP(A316,'[1]LISTA ETIQUETAS'!O:W,6,0)),(VLOOKUP(A316,'[1]LISTA ETIQUETAS'!O:W,4,0)))</f>
        <v>0.51</v>
      </c>
      <c r="F316" s="11">
        <f>IF(VLOOKUP(A316,'[1]LISTA ETIQUETAS'!O:W,5,0)="",(VLOOKUP(A316,'[1]LISTA ETIQUETAS'!O:W,7,0)),(VLOOKUP(A316,'[1]LISTA ETIQUETAS'!O:W,5,0)))</f>
        <v>0.57999999999999996</v>
      </c>
      <c r="G316" s="11">
        <f>IFERROR((VLOOKUP(A316,'[1]LISTA ETIQUETAS'!O:X,8,0)),"")</f>
        <v>1.0900000000000001</v>
      </c>
      <c r="H316" s="11">
        <f>IFERROR((VLOOKUP(A316,'[1]LISTA ETIQUETAS'!O:X,9,0)),"")</f>
        <v>0</v>
      </c>
      <c r="I316" s="12">
        <f>IFERROR((VLOOKUP(A316,'[1]LISTA ETIQUETAS'!O:Y,11,0)),"")</f>
        <v>9059.3700000000008</v>
      </c>
      <c r="J316" s="6">
        <v>0</v>
      </c>
      <c r="K316" s="12">
        <f t="shared" si="12"/>
        <v>9059.3700000000008</v>
      </c>
      <c r="L316" s="7" t="str">
        <f>IF(VLOOKUP(A316,'[1]LISTA ETIQUETAS'!O:AB,14,0)="","",(VLOOKUP(A316,'[1]LISTA ETIQUETAS'!O:AB,14,0)))</f>
        <v/>
      </c>
      <c r="M316" s="8"/>
      <c r="N316" s="9">
        <f t="shared" si="13"/>
        <v>385723</v>
      </c>
      <c r="O316" s="2">
        <f>_xlfn.XLOOKUP($A316,'[1]LISTA ETIQUETAS'!$O:$O,'[1]LISTA ETIQUETAS'!C:C,"",0)</f>
        <v>1</v>
      </c>
      <c r="P316" s="2">
        <f>_xlfn.XLOOKUP($A316,'[1]LISTA ETIQUETAS'!$O:$O,'[1]LISTA ETIQUETAS'!D:D,"",0)</f>
        <v>1</v>
      </c>
      <c r="Q316" s="2">
        <f>_xlfn.XLOOKUP($A316,'[1]LISTA ETIQUETAS'!$O:$O,'[1]LISTA ETIQUETAS'!E:E,"",0)</f>
        <v>0</v>
      </c>
      <c r="R316" s="2">
        <f>_xlfn.XLOOKUP($A316,'[1]LISTA ETIQUETAS'!$O:$O,'[1]LISTA ETIQUETAS'!F:F,"",0)</f>
        <v>1</v>
      </c>
      <c r="S316" s="2">
        <f>_xlfn.XLOOKUP($A316,'[1]LISTA ETIQUETAS'!$O:$O,'[1]LISTA ETIQUETAS'!H:H,"",0)</f>
        <v>1</v>
      </c>
      <c r="T316" s="9">
        <f t="shared" si="14"/>
        <v>4</v>
      </c>
    </row>
    <row r="317" spans="1:20" x14ac:dyDescent="0.25">
      <c r="A317" s="5">
        <v>391647</v>
      </c>
      <c r="B317" t="str">
        <f>IFERROR((VLOOKUP(A317,'[1]LISTA ETIQUETAS'!O:X,3,0)),"PRODUTO SEM ESTOQUE")</f>
        <v>EST BANQUETA BAR FINA H81 C/B (FREIJO) (MIS) COURO CH OLIVA</v>
      </c>
      <c r="C317" s="10" t="s">
        <v>70</v>
      </c>
      <c r="D317" s="10" t="s">
        <v>220</v>
      </c>
      <c r="E317" s="11">
        <f>IF(VLOOKUP(A317,'[1]LISTA ETIQUETAS'!O:W,4,0)="",(VLOOKUP(A317,'[1]LISTA ETIQUETAS'!O:W,6,0)),(VLOOKUP(A317,'[1]LISTA ETIQUETAS'!O:W,4,0)))</f>
        <v>0.48</v>
      </c>
      <c r="F317" s="11">
        <f>IF(VLOOKUP(A317,'[1]LISTA ETIQUETAS'!O:W,5,0)="",(VLOOKUP(A317,'[1]LISTA ETIQUETAS'!O:W,7,0)),(VLOOKUP(A317,'[1]LISTA ETIQUETAS'!O:W,5,0)))</f>
        <v>0.55000000000000004</v>
      </c>
      <c r="G317" s="11">
        <f>IFERROR((VLOOKUP(A317,'[1]LISTA ETIQUETAS'!O:X,8,0)),"")</f>
        <v>1.21</v>
      </c>
      <c r="H317" s="11">
        <f>IFERROR((VLOOKUP(A317,'[1]LISTA ETIQUETAS'!O:X,9,0)),"")</f>
        <v>0</v>
      </c>
      <c r="I317" s="12">
        <f>IFERROR((VLOOKUP(A317,'[1]LISTA ETIQUETAS'!O:Y,11,0)),"")</f>
        <v>13139.66</v>
      </c>
      <c r="J317" s="6">
        <v>0</v>
      </c>
      <c r="K317" s="12">
        <f t="shared" si="12"/>
        <v>13139.66</v>
      </c>
      <c r="L317" s="7" t="str">
        <f>IF(VLOOKUP(A317,'[1]LISTA ETIQUETAS'!O:AB,14,0)="","",(VLOOKUP(A317,'[1]LISTA ETIQUETAS'!O:AB,14,0)))</f>
        <v/>
      </c>
      <c r="M317" s="8"/>
      <c r="N317" s="9">
        <f t="shared" si="13"/>
        <v>391647</v>
      </c>
      <c r="O317" s="2">
        <f>_xlfn.XLOOKUP($A317,'[1]LISTA ETIQUETAS'!$O:$O,'[1]LISTA ETIQUETAS'!C:C,"",0)</f>
        <v>0</v>
      </c>
      <c r="P317" s="2">
        <f>_xlfn.XLOOKUP($A317,'[1]LISTA ETIQUETAS'!$O:$O,'[1]LISTA ETIQUETAS'!D:D,"",0)</f>
        <v>1</v>
      </c>
      <c r="Q317" s="2">
        <f>_xlfn.XLOOKUP($A317,'[1]LISTA ETIQUETAS'!$O:$O,'[1]LISTA ETIQUETAS'!E:E,"",0)</f>
        <v>1</v>
      </c>
      <c r="R317" s="2">
        <f>_xlfn.XLOOKUP($A317,'[1]LISTA ETIQUETAS'!$O:$O,'[1]LISTA ETIQUETAS'!F:F,"",0)</f>
        <v>0</v>
      </c>
      <c r="S317" s="2">
        <f>_xlfn.XLOOKUP($A317,'[1]LISTA ETIQUETAS'!$O:$O,'[1]LISTA ETIQUETAS'!H:H,"",0)</f>
        <v>2</v>
      </c>
      <c r="T317" s="9">
        <f t="shared" si="14"/>
        <v>4</v>
      </c>
    </row>
    <row r="318" spans="1:20" x14ac:dyDescent="0.25">
      <c r="A318" s="5">
        <v>402396</v>
      </c>
      <c r="B318" t="str">
        <f>IFERROR((VLOOKUP(A318,'[1]LISTA ETIQUETAS'!O:X,3,0)),"PRODUTO SEM ESTOQUE")</f>
        <v>EST BANQUETA BAR QUERO QUERO H65 (KOURO CAFE) (WALNUT MATT)</v>
      </c>
      <c r="C318" s="10" t="s">
        <v>70</v>
      </c>
      <c r="D318" s="10" t="s">
        <v>221</v>
      </c>
      <c r="E318" s="11">
        <f>IF(VLOOKUP(A318,'[1]LISTA ETIQUETAS'!O:W,4,0)="",(VLOOKUP(A318,'[1]LISTA ETIQUETAS'!O:W,6,0)),(VLOOKUP(A318,'[1]LISTA ETIQUETAS'!O:W,4,0)))</f>
        <v>0.46</v>
      </c>
      <c r="F318" s="11">
        <f>IF(VLOOKUP(A318,'[1]LISTA ETIQUETAS'!O:W,5,0)="",(VLOOKUP(A318,'[1]LISTA ETIQUETAS'!O:W,7,0)),(VLOOKUP(A318,'[1]LISTA ETIQUETAS'!O:W,5,0)))</f>
        <v>0.56000000000000005</v>
      </c>
      <c r="G318" s="11">
        <f>IFERROR((VLOOKUP(A318,'[1]LISTA ETIQUETAS'!O:X,8,0)),"")</f>
        <v>0.92</v>
      </c>
      <c r="H318" s="11">
        <f>IFERROR((VLOOKUP(A318,'[1]LISTA ETIQUETAS'!O:X,9,0)),"")</f>
        <v>0</v>
      </c>
      <c r="I318" s="12">
        <f>IFERROR((VLOOKUP(A318,'[1]LISTA ETIQUETAS'!O:Y,11,0)),"")</f>
        <v>7575.86</v>
      </c>
      <c r="J318" s="6">
        <v>0</v>
      </c>
      <c r="K318" s="12">
        <f t="shared" si="12"/>
        <v>7575.86</v>
      </c>
      <c r="L318" s="7" t="str">
        <f>IF(VLOOKUP(A318,'[1]LISTA ETIQUETAS'!O:AB,14,0)="","",(VLOOKUP(A318,'[1]LISTA ETIQUETAS'!O:AB,14,0)))</f>
        <v/>
      </c>
      <c r="M318" s="8"/>
      <c r="N318" s="9">
        <f t="shared" si="13"/>
        <v>402396</v>
      </c>
      <c r="O318" s="2">
        <f>_xlfn.XLOOKUP($A318,'[1]LISTA ETIQUETAS'!$O:$O,'[1]LISTA ETIQUETAS'!C:C,"",0)</f>
        <v>0</v>
      </c>
      <c r="P318" s="2">
        <f>_xlfn.XLOOKUP($A318,'[1]LISTA ETIQUETAS'!$O:$O,'[1]LISTA ETIQUETAS'!D:D,"",0)</f>
        <v>0</v>
      </c>
      <c r="Q318" s="2">
        <f>_xlfn.XLOOKUP($A318,'[1]LISTA ETIQUETAS'!$O:$O,'[1]LISTA ETIQUETAS'!E:E,"",0)</f>
        <v>0</v>
      </c>
      <c r="R318" s="2">
        <f>_xlfn.XLOOKUP($A318,'[1]LISTA ETIQUETAS'!$O:$O,'[1]LISTA ETIQUETAS'!F:F,"",0)</f>
        <v>0</v>
      </c>
      <c r="S318" s="2">
        <f>_xlfn.XLOOKUP($A318,'[1]LISTA ETIQUETAS'!$O:$O,'[1]LISTA ETIQUETAS'!H:H,"",0)</f>
        <v>3</v>
      </c>
      <c r="T318" s="9">
        <f t="shared" si="14"/>
        <v>3</v>
      </c>
    </row>
    <row r="319" spans="1:20" x14ac:dyDescent="0.25">
      <c r="A319" s="5">
        <v>386949</v>
      </c>
      <c r="B319" t="str">
        <f>IFERROR((VLOOKUP(A319,'[1]LISTA ETIQUETAS'!O:X,3,0)),"PRODUTO SEM ESTOQUE")</f>
        <v>EST BANQUETA BAR MEDALHINHA H61 (FREIJO) (RATTAN ABERTA)</v>
      </c>
      <c r="C319" s="10" t="s">
        <v>70</v>
      </c>
      <c r="D319" s="10" t="s">
        <v>222</v>
      </c>
      <c r="E319" s="11">
        <f>IF(VLOOKUP(A319,'[1]LISTA ETIQUETAS'!O:W,4,0)="",(VLOOKUP(A319,'[1]LISTA ETIQUETAS'!O:W,6,0)),(VLOOKUP(A319,'[1]LISTA ETIQUETAS'!O:W,4,0)))</f>
        <v>0.47</v>
      </c>
      <c r="F319" s="11">
        <f>IF(VLOOKUP(A319,'[1]LISTA ETIQUETAS'!O:W,5,0)="",(VLOOKUP(A319,'[1]LISTA ETIQUETAS'!O:W,7,0)),(VLOOKUP(A319,'[1]LISTA ETIQUETAS'!O:W,5,0)))</f>
        <v>0.61</v>
      </c>
      <c r="G319" s="11">
        <f>IFERROR((VLOOKUP(A319,'[1]LISTA ETIQUETAS'!O:X,8,0)),"")</f>
        <v>1</v>
      </c>
      <c r="H319" s="11">
        <f>IFERROR((VLOOKUP(A319,'[1]LISTA ETIQUETAS'!O:X,9,0)),"")</f>
        <v>0</v>
      </c>
      <c r="I319" s="12">
        <f>IFERROR((VLOOKUP(A319,'[1]LISTA ETIQUETAS'!O:Y,11,0)),"")</f>
        <v>10076.950000000001</v>
      </c>
      <c r="J319" s="6">
        <v>0</v>
      </c>
      <c r="K319" s="12">
        <f t="shared" si="12"/>
        <v>10076.950000000001</v>
      </c>
      <c r="L319" s="7" t="str">
        <f>IF(VLOOKUP(A319,'[1]LISTA ETIQUETAS'!O:AB,14,0)="","",(VLOOKUP(A319,'[1]LISTA ETIQUETAS'!O:AB,14,0)))</f>
        <v/>
      </c>
      <c r="M319" s="8"/>
      <c r="N319" s="9">
        <f t="shared" si="13"/>
        <v>386949</v>
      </c>
      <c r="O319" s="2">
        <f>_xlfn.XLOOKUP($A319,'[1]LISTA ETIQUETAS'!$O:$O,'[1]LISTA ETIQUETAS'!C:C,"",0)</f>
        <v>0</v>
      </c>
      <c r="P319" s="2">
        <f>_xlfn.XLOOKUP($A319,'[1]LISTA ETIQUETAS'!$O:$O,'[1]LISTA ETIQUETAS'!D:D,"",0)</f>
        <v>0</v>
      </c>
      <c r="Q319" s="2">
        <f>_xlfn.XLOOKUP($A319,'[1]LISTA ETIQUETAS'!$O:$O,'[1]LISTA ETIQUETAS'!E:E,"",0)</f>
        <v>0</v>
      </c>
      <c r="R319" s="2">
        <f>_xlfn.XLOOKUP($A319,'[1]LISTA ETIQUETAS'!$O:$O,'[1]LISTA ETIQUETAS'!F:F,"",0)</f>
        <v>0</v>
      </c>
      <c r="S319" s="2">
        <f>_xlfn.XLOOKUP($A319,'[1]LISTA ETIQUETAS'!$O:$O,'[1]LISTA ETIQUETAS'!H:H,"",0)</f>
        <v>1</v>
      </c>
      <c r="T319" s="9">
        <f t="shared" si="14"/>
        <v>1</v>
      </c>
    </row>
    <row r="320" spans="1:20" x14ac:dyDescent="0.25">
      <c r="A320" s="5">
        <v>361520</v>
      </c>
      <c r="B320" t="str">
        <f>IFERROR((VLOOKUP(A320,'[1]LISTA ETIQUETAS'!O:X,3,0)),"PRODUTO SEM ESTOQUE")</f>
        <v>EST BANQUETA BAR MELIZA H75 (GIR) (FX 60004) (TING NOGAL)</v>
      </c>
      <c r="C320" s="10" t="s">
        <v>70</v>
      </c>
      <c r="D320" s="10" t="s">
        <v>223</v>
      </c>
      <c r="E320" s="11">
        <f>IF(VLOOKUP(A320,'[1]LISTA ETIQUETAS'!O:W,4,0)="",(VLOOKUP(A320,'[1]LISTA ETIQUETAS'!O:W,6,0)),(VLOOKUP(A320,'[1]LISTA ETIQUETAS'!O:W,4,0)))</f>
        <v>0.5</v>
      </c>
      <c r="F320" s="11">
        <f>IF(VLOOKUP(A320,'[1]LISTA ETIQUETAS'!O:W,5,0)="",(VLOOKUP(A320,'[1]LISTA ETIQUETAS'!O:W,7,0)),(VLOOKUP(A320,'[1]LISTA ETIQUETAS'!O:W,5,0)))</f>
        <v>0.6</v>
      </c>
      <c r="G320" s="11">
        <f>IFERROR((VLOOKUP(A320,'[1]LISTA ETIQUETAS'!O:X,8,0)),"")</f>
        <v>0.99</v>
      </c>
      <c r="H320" s="11">
        <f>IFERROR((VLOOKUP(A320,'[1]LISTA ETIQUETAS'!O:X,9,0)),"")</f>
        <v>0</v>
      </c>
      <c r="I320" s="12">
        <f>IFERROR((VLOOKUP(A320,'[1]LISTA ETIQUETAS'!O:Y,11,0)),"")</f>
        <v>6882.09</v>
      </c>
      <c r="J320" s="6">
        <v>0</v>
      </c>
      <c r="K320" s="12">
        <f t="shared" si="12"/>
        <v>6882.09</v>
      </c>
      <c r="L320" s="7" t="str">
        <f>IF(VLOOKUP(A320,'[1]LISTA ETIQUETAS'!O:AB,14,0)="","",(VLOOKUP(A320,'[1]LISTA ETIQUETAS'!O:AB,14,0)))</f>
        <v/>
      </c>
      <c r="M320" s="8"/>
      <c r="N320" s="9">
        <f t="shared" si="13"/>
        <v>361520</v>
      </c>
      <c r="O320" s="2">
        <f>_xlfn.XLOOKUP($A320,'[1]LISTA ETIQUETAS'!$O:$O,'[1]LISTA ETIQUETAS'!C:C,"",0)</f>
        <v>1</v>
      </c>
      <c r="P320" s="2">
        <f>_xlfn.XLOOKUP($A320,'[1]LISTA ETIQUETAS'!$O:$O,'[1]LISTA ETIQUETAS'!D:D,"",0)</f>
        <v>1</v>
      </c>
      <c r="Q320" s="2">
        <f>_xlfn.XLOOKUP($A320,'[1]LISTA ETIQUETAS'!$O:$O,'[1]LISTA ETIQUETAS'!E:E,"",0)</f>
        <v>0</v>
      </c>
      <c r="R320" s="2">
        <f>_xlfn.XLOOKUP($A320,'[1]LISTA ETIQUETAS'!$O:$O,'[1]LISTA ETIQUETAS'!F:F,"",0)</f>
        <v>0</v>
      </c>
      <c r="S320" s="2">
        <f>_xlfn.XLOOKUP($A320,'[1]LISTA ETIQUETAS'!$O:$O,'[1]LISTA ETIQUETAS'!H:H,"",0)</f>
        <v>2</v>
      </c>
      <c r="T320" s="9">
        <f t="shared" si="14"/>
        <v>4</v>
      </c>
    </row>
    <row r="321" spans="1:20" x14ac:dyDescent="0.25">
      <c r="A321" s="5">
        <v>270552</v>
      </c>
      <c r="B321" t="str">
        <f>IFERROR((VLOOKUP(A321,'[1]LISTA ETIQUETAS'!O:X,3,0)),"PRODUTO SEM ESTOQUE")</f>
        <v>EST BANQUETA BAR APOLLO (MARFIM NOCCE) (FX A1094)</v>
      </c>
      <c r="C321" s="10" t="s">
        <v>70</v>
      </c>
      <c r="D321" s="10" t="s">
        <v>224</v>
      </c>
      <c r="E321" s="11">
        <f>IF(VLOOKUP(A321,'[1]LISTA ETIQUETAS'!O:W,4,0)="",(VLOOKUP(A321,'[1]LISTA ETIQUETAS'!O:W,6,0)),(VLOOKUP(A321,'[1]LISTA ETIQUETAS'!O:W,4,0)))</f>
        <v>0.49</v>
      </c>
      <c r="F321" s="11">
        <f>IF(VLOOKUP(A321,'[1]LISTA ETIQUETAS'!O:W,5,0)="",(VLOOKUP(A321,'[1]LISTA ETIQUETAS'!O:W,7,0)),(VLOOKUP(A321,'[1]LISTA ETIQUETAS'!O:W,5,0)))</f>
        <v>0.51</v>
      </c>
      <c r="G321" s="11">
        <f>IFERROR((VLOOKUP(A321,'[1]LISTA ETIQUETAS'!O:X,8,0)),"")</f>
        <v>1.01</v>
      </c>
      <c r="H321" s="11">
        <f>IFERROR((VLOOKUP(A321,'[1]LISTA ETIQUETAS'!O:X,9,0)),"")</f>
        <v>0</v>
      </c>
      <c r="I321" s="12">
        <f>IFERROR((VLOOKUP(A321,'[1]LISTA ETIQUETAS'!O:Y,11,0)),"")</f>
        <v>3628.26</v>
      </c>
      <c r="J321" s="6">
        <v>0</v>
      </c>
      <c r="K321" s="12">
        <f t="shared" si="12"/>
        <v>3628.26</v>
      </c>
      <c r="L321" s="7" t="str">
        <f>IF(VLOOKUP(A321,'[1]LISTA ETIQUETAS'!O:AB,14,0)="","",(VLOOKUP(A321,'[1]LISTA ETIQUETAS'!O:AB,14,0)))</f>
        <v/>
      </c>
      <c r="M321" s="8"/>
      <c r="N321" s="9">
        <f t="shared" si="13"/>
        <v>270552</v>
      </c>
      <c r="O321" s="2">
        <f>_xlfn.XLOOKUP($A321,'[1]LISTA ETIQUETAS'!$O:$O,'[1]LISTA ETIQUETAS'!C:C,"",0)</f>
        <v>1</v>
      </c>
      <c r="P321" s="2">
        <f>_xlfn.XLOOKUP($A321,'[1]LISTA ETIQUETAS'!$O:$O,'[1]LISTA ETIQUETAS'!D:D,"",0)</f>
        <v>0</v>
      </c>
      <c r="Q321" s="2">
        <f>_xlfn.XLOOKUP($A321,'[1]LISTA ETIQUETAS'!$O:$O,'[1]LISTA ETIQUETAS'!E:E,"",0)</f>
        <v>0</v>
      </c>
      <c r="R321" s="2">
        <f>_xlfn.XLOOKUP($A321,'[1]LISTA ETIQUETAS'!$O:$O,'[1]LISTA ETIQUETAS'!F:F,"",0)</f>
        <v>0</v>
      </c>
      <c r="S321" s="2">
        <f>_xlfn.XLOOKUP($A321,'[1]LISTA ETIQUETAS'!$O:$O,'[1]LISTA ETIQUETAS'!H:H,"",0)</f>
        <v>2</v>
      </c>
      <c r="T321" s="9">
        <f t="shared" si="14"/>
        <v>3</v>
      </c>
    </row>
    <row r="322" spans="1:20" x14ac:dyDescent="0.25">
      <c r="A322" s="5">
        <v>228452</v>
      </c>
      <c r="B322" t="str">
        <f>IFERROR((VLOOKUP(A322,'[1]LISTA ETIQUETAS'!O:X,3,0)),"PRODUTO SEM ESTOQUE")</f>
        <v>EST BANQUETA BAR CILINDRO (MAD A MUIRACATIARA POA) COURO PTO</v>
      </c>
      <c r="C322" s="10" t="s">
        <v>70</v>
      </c>
      <c r="D322" s="10" t="s">
        <v>225</v>
      </c>
      <c r="E322" s="11">
        <f>IF(VLOOKUP(A322,'[1]LISTA ETIQUETAS'!O:W,4,0)="",(VLOOKUP(A322,'[1]LISTA ETIQUETAS'!O:W,6,0)),(VLOOKUP(A322,'[1]LISTA ETIQUETAS'!O:W,4,0)))</f>
        <v>0.36</v>
      </c>
      <c r="F322" s="11">
        <f>IF(VLOOKUP(A322,'[1]LISTA ETIQUETAS'!O:W,5,0)="",(VLOOKUP(A322,'[1]LISTA ETIQUETAS'!O:W,7,0)),(VLOOKUP(A322,'[1]LISTA ETIQUETAS'!O:W,5,0)))</f>
        <v>0</v>
      </c>
      <c r="G322" s="11">
        <f>IFERROR((VLOOKUP(A322,'[1]LISTA ETIQUETAS'!O:X,8,0)),"")</f>
        <v>0.76</v>
      </c>
      <c r="H322" s="11">
        <f>IFERROR((VLOOKUP(A322,'[1]LISTA ETIQUETAS'!O:X,9,0)),"")</f>
        <v>0.36</v>
      </c>
      <c r="I322" s="12">
        <f>IFERROR((VLOOKUP(A322,'[1]LISTA ETIQUETAS'!O:Y,11,0)),"")</f>
        <v>9628.4599999999991</v>
      </c>
      <c r="J322" s="6">
        <v>0</v>
      </c>
      <c r="K322" s="12">
        <f t="shared" si="12"/>
        <v>9628.4599999999991</v>
      </c>
      <c r="L322" s="7" t="str">
        <f>IF(VLOOKUP(A322,'[1]LISTA ETIQUETAS'!O:AB,14,0)="","",(VLOOKUP(A322,'[1]LISTA ETIQUETAS'!O:AB,14,0)))</f>
        <v/>
      </c>
      <c r="M322" s="8"/>
      <c r="N322" s="9">
        <f t="shared" si="13"/>
        <v>228452</v>
      </c>
      <c r="O322" s="2">
        <f>_xlfn.XLOOKUP($A322,'[1]LISTA ETIQUETAS'!$O:$O,'[1]LISTA ETIQUETAS'!C:C,"",0)</f>
        <v>0</v>
      </c>
      <c r="P322" s="2">
        <f>_xlfn.XLOOKUP($A322,'[1]LISTA ETIQUETAS'!$O:$O,'[1]LISTA ETIQUETAS'!D:D,"",0)</f>
        <v>0</v>
      </c>
      <c r="Q322" s="2">
        <f>_xlfn.XLOOKUP($A322,'[1]LISTA ETIQUETAS'!$O:$O,'[1]LISTA ETIQUETAS'!E:E,"",0)</f>
        <v>0</v>
      </c>
      <c r="R322" s="2">
        <f>_xlfn.XLOOKUP($A322,'[1]LISTA ETIQUETAS'!$O:$O,'[1]LISTA ETIQUETAS'!F:F,"",0)</f>
        <v>0</v>
      </c>
      <c r="S322" s="2">
        <f>_xlfn.XLOOKUP($A322,'[1]LISTA ETIQUETAS'!$O:$O,'[1]LISTA ETIQUETAS'!H:H,"",0)</f>
        <v>1</v>
      </c>
      <c r="T322" s="9">
        <f t="shared" si="14"/>
        <v>1</v>
      </c>
    </row>
    <row r="323" spans="1:20" x14ac:dyDescent="0.25">
      <c r="A323" s="5">
        <v>82483</v>
      </c>
      <c r="B323" t="str">
        <f>IFERROR((VLOOKUP(A323,'[1]LISTA ETIQUETAS'!O:X,3,0)),"PRODUTO SEM ESTOQUE")</f>
        <v>EST BANQUETA BAR BOSSA (TELA NATURAL) (LACA FSC LARANJA)</v>
      </c>
      <c r="C323" s="10" t="s">
        <v>70</v>
      </c>
      <c r="D323" s="10" t="s">
        <v>226</v>
      </c>
      <c r="E323" s="11">
        <f>IF(VLOOKUP(A323,'[1]LISTA ETIQUETAS'!O:W,4,0)="",(VLOOKUP(A323,'[1]LISTA ETIQUETAS'!O:W,6,0)),(VLOOKUP(A323,'[1]LISTA ETIQUETAS'!O:W,4,0)))</f>
        <v>0.45</v>
      </c>
      <c r="F323" s="11">
        <f>IF(VLOOKUP(A323,'[1]LISTA ETIQUETAS'!O:W,5,0)="",(VLOOKUP(A323,'[1]LISTA ETIQUETAS'!O:W,7,0)),(VLOOKUP(A323,'[1]LISTA ETIQUETAS'!O:W,5,0)))</f>
        <v>0.52</v>
      </c>
      <c r="G323" s="11">
        <f>IFERROR((VLOOKUP(A323,'[1]LISTA ETIQUETAS'!O:X,8,0)),"")</f>
        <v>1</v>
      </c>
      <c r="H323" s="11">
        <f>IFERROR((VLOOKUP(A323,'[1]LISTA ETIQUETAS'!O:X,9,0)),"")</f>
        <v>0</v>
      </c>
      <c r="I323" s="12" t="str">
        <f>IFERROR((VLOOKUP(A323,'[1]LISTA ETIQUETAS'!O:Y,11,0)),"")</f>
        <v/>
      </c>
      <c r="J323" s="6">
        <v>0</v>
      </c>
      <c r="K323" s="12" t="str">
        <f t="shared" ref="K323:K386" si="15">IFERROR(I323-I323*J323,"")</f>
        <v/>
      </c>
      <c r="L323" s="7" t="str">
        <f>IF(VLOOKUP(A323,'[1]LISTA ETIQUETAS'!O:AB,14,0)="","",(VLOOKUP(A323,'[1]LISTA ETIQUETAS'!O:AB,14,0)))</f>
        <v/>
      </c>
      <c r="M323" s="8"/>
      <c r="N323" s="9">
        <f t="shared" si="13"/>
        <v>82483</v>
      </c>
      <c r="O323" s="2">
        <f>_xlfn.XLOOKUP($A323,'[1]LISTA ETIQUETAS'!$O:$O,'[1]LISTA ETIQUETAS'!C:C,"",0)</f>
        <v>0</v>
      </c>
      <c r="P323" s="2">
        <f>_xlfn.XLOOKUP($A323,'[1]LISTA ETIQUETAS'!$O:$O,'[1]LISTA ETIQUETAS'!D:D,"",0)</f>
        <v>0</v>
      </c>
      <c r="Q323" s="2">
        <f>_xlfn.XLOOKUP($A323,'[1]LISTA ETIQUETAS'!$O:$O,'[1]LISTA ETIQUETAS'!E:E,"",0)</f>
        <v>0</v>
      </c>
      <c r="R323" s="2">
        <f>_xlfn.XLOOKUP($A323,'[1]LISTA ETIQUETAS'!$O:$O,'[1]LISTA ETIQUETAS'!F:F,"",0)</f>
        <v>0</v>
      </c>
      <c r="S323" s="2">
        <f>_xlfn.XLOOKUP($A323,'[1]LISTA ETIQUETAS'!$O:$O,'[1]LISTA ETIQUETAS'!H:H,"",0)</f>
        <v>1</v>
      </c>
      <c r="T323" s="9">
        <f t="shared" si="14"/>
        <v>1</v>
      </c>
    </row>
    <row r="324" spans="1:20" x14ac:dyDescent="0.25">
      <c r="A324" s="5">
        <v>98952</v>
      </c>
      <c r="B324" t="str">
        <f>IFERROR((VLOOKUP(A324,'[1]LISTA ETIQUETAS'!O:X,3,0)),"PRODUTO SEM ESTOQUE")</f>
        <v>EST BANQUETA BAR GIU (TC 6134)</v>
      </c>
      <c r="C324" s="10" t="s">
        <v>70</v>
      </c>
      <c r="D324" s="10" t="s">
        <v>227</v>
      </c>
      <c r="E324" s="11">
        <f>IF(VLOOKUP(A324,'[1]LISTA ETIQUETAS'!O:W,4,0)="",(VLOOKUP(A324,'[1]LISTA ETIQUETAS'!O:W,6,0)),(VLOOKUP(A324,'[1]LISTA ETIQUETAS'!O:W,4,0)))</f>
        <v>0.43</v>
      </c>
      <c r="F324" s="11">
        <f>IF(VLOOKUP(A324,'[1]LISTA ETIQUETAS'!O:W,5,0)="",(VLOOKUP(A324,'[1]LISTA ETIQUETAS'!O:W,7,0)),(VLOOKUP(A324,'[1]LISTA ETIQUETAS'!O:W,5,0)))</f>
        <v>0.51</v>
      </c>
      <c r="G324" s="11">
        <f>IFERROR((VLOOKUP(A324,'[1]LISTA ETIQUETAS'!O:X,8,0)),"")</f>
        <v>1</v>
      </c>
      <c r="H324" s="11">
        <f>IFERROR((VLOOKUP(A324,'[1]LISTA ETIQUETAS'!O:X,9,0)),"")</f>
        <v>0</v>
      </c>
      <c r="I324" s="12">
        <f>IFERROR((VLOOKUP(A324,'[1]LISTA ETIQUETAS'!O:Y,11,0)),"")</f>
        <v>5532.4</v>
      </c>
      <c r="J324" s="6">
        <v>0</v>
      </c>
      <c r="K324" s="12">
        <f t="shared" si="15"/>
        <v>5532.4</v>
      </c>
      <c r="L324" s="7" t="str">
        <f>IF(VLOOKUP(A324,'[1]LISTA ETIQUETAS'!O:AB,14,0)="","",(VLOOKUP(A324,'[1]LISTA ETIQUETAS'!O:AB,14,0)))</f>
        <v/>
      </c>
      <c r="M324" s="8"/>
      <c r="N324" s="9">
        <f t="shared" ref="N324:N387" si="16">IF(M324="",A324,M324)</f>
        <v>98952</v>
      </c>
      <c r="O324" s="2">
        <f>_xlfn.XLOOKUP($A324,'[1]LISTA ETIQUETAS'!$O:$O,'[1]LISTA ETIQUETAS'!C:C,"",0)</f>
        <v>0</v>
      </c>
      <c r="P324" s="2">
        <f>_xlfn.XLOOKUP($A324,'[1]LISTA ETIQUETAS'!$O:$O,'[1]LISTA ETIQUETAS'!D:D,"",0)</f>
        <v>0</v>
      </c>
      <c r="Q324" s="2">
        <f>_xlfn.XLOOKUP($A324,'[1]LISTA ETIQUETAS'!$O:$O,'[1]LISTA ETIQUETAS'!E:E,"",0)</f>
        <v>0</v>
      </c>
      <c r="R324" s="2">
        <f>_xlfn.XLOOKUP($A324,'[1]LISTA ETIQUETAS'!$O:$O,'[1]LISTA ETIQUETAS'!F:F,"",0)</f>
        <v>0</v>
      </c>
      <c r="S324" s="2">
        <f>_xlfn.XLOOKUP($A324,'[1]LISTA ETIQUETAS'!$O:$O,'[1]LISTA ETIQUETAS'!H:H,"",0)</f>
        <v>1</v>
      </c>
      <c r="T324" s="9">
        <f t="shared" ref="T324:T387" si="17">SUM(O324:S324)</f>
        <v>1</v>
      </c>
    </row>
    <row r="325" spans="1:20" x14ac:dyDescent="0.25">
      <c r="A325" s="5">
        <v>112408</v>
      </c>
      <c r="B325" t="str">
        <f>IFERROR((VLOOKUP(A325,'[1]LISTA ETIQUETAS'!O:X,3,0)),"PRODUTO SEM ESTOQUE")</f>
        <v>EST BANQUETA BAR FINN (ESTOFADO) (TAUARI 01) TC 96#5</v>
      </c>
      <c r="C325" s="10" t="s">
        <v>70</v>
      </c>
      <c r="D325" s="10" t="s">
        <v>228</v>
      </c>
      <c r="E325" s="11">
        <f>IF(VLOOKUP(A325,'[1]LISTA ETIQUETAS'!O:W,4,0)="",(VLOOKUP(A325,'[1]LISTA ETIQUETAS'!O:W,6,0)),(VLOOKUP(A325,'[1]LISTA ETIQUETAS'!O:W,4,0)))</f>
        <v>0.45</v>
      </c>
      <c r="F325" s="11">
        <f>IF(VLOOKUP(A325,'[1]LISTA ETIQUETAS'!O:W,5,0)="",(VLOOKUP(A325,'[1]LISTA ETIQUETAS'!O:W,7,0)),(VLOOKUP(A325,'[1]LISTA ETIQUETAS'!O:W,5,0)))</f>
        <v>0.43</v>
      </c>
      <c r="G325" s="11">
        <f>IFERROR((VLOOKUP(A325,'[1]LISTA ETIQUETAS'!O:X,8,0)),"")</f>
        <v>0.92</v>
      </c>
      <c r="H325" s="11">
        <f>IFERROR((VLOOKUP(A325,'[1]LISTA ETIQUETAS'!O:X,9,0)),"")</f>
        <v>0</v>
      </c>
      <c r="I325" s="12" t="str">
        <f>IFERROR((VLOOKUP(A325,'[1]LISTA ETIQUETAS'!O:Y,11,0)),"")</f>
        <v/>
      </c>
      <c r="J325" s="6">
        <v>0</v>
      </c>
      <c r="K325" s="12" t="str">
        <f t="shared" si="15"/>
        <v/>
      </c>
      <c r="L325" s="7" t="str">
        <f>IF(VLOOKUP(A325,'[1]LISTA ETIQUETAS'!O:AB,14,0)="","",(VLOOKUP(A325,'[1]LISTA ETIQUETAS'!O:AB,14,0)))</f>
        <v/>
      </c>
      <c r="M325" s="8"/>
      <c r="N325" s="9">
        <f t="shared" si="16"/>
        <v>112408</v>
      </c>
      <c r="O325" s="2">
        <f>_xlfn.XLOOKUP($A325,'[1]LISTA ETIQUETAS'!$O:$O,'[1]LISTA ETIQUETAS'!C:C,"",0)</f>
        <v>0</v>
      </c>
      <c r="P325" s="2">
        <f>_xlfn.XLOOKUP($A325,'[1]LISTA ETIQUETAS'!$O:$O,'[1]LISTA ETIQUETAS'!D:D,"",0)</f>
        <v>0</v>
      </c>
      <c r="Q325" s="2">
        <f>_xlfn.XLOOKUP($A325,'[1]LISTA ETIQUETAS'!$O:$O,'[1]LISTA ETIQUETAS'!E:E,"",0)</f>
        <v>0</v>
      </c>
      <c r="R325" s="2">
        <f>_xlfn.XLOOKUP($A325,'[1]LISTA ETIQUETAS'!$O:$O,'[1]LISTA ETIQUETAS'!F:F,"",0)</f>
        <v>0</v>
      </c>
      <c r="S325" s="2">
        <f>_xlfn.XLOOKUP($A325,'[1]LISTA ETIQUETAS'!$O:$O,'[1]LISTA ETIQUETAS'!H:H,"",0)</f>
        <v>1</v>
      </c>
      <c r="T325" s="9">
        <f t="shared" si="17"/>
        <v>1</v>
      </c>
    </row>
    <row r="326" spans="1:20" x14ac:dyDescent="0.25">
      <c r="A326" s="5">
        <v>112239</v>
      </c>
      <c r="B326" t="str">
        <f>IFERROR((VLOOKUP(A326,'[1]LISTA ETIQUETAS'!O:X,3,0)),"PRODUTO SEM ESTOQUE")</f>
        <v>EST BANQUETA BAR PHILLIPS (LACA BRILHO) (BASE GANE LAPIS)</v>
      </c>
      <c r="C326" s="10" t="s">
        <v>70</v>
      </c>
      <c r="D326" s="10" t="s">
        <v>229</v>
      </c>
      <c r="E326" s="11">
        <f>IF(VLOOKUP(A326,'[1]LISTA ETIQUETAS'!O:W,4,0)="",(VLOOKUP(A326,'[1]LISTA ETIQUETAS'!O:W,6,0)),(VLOOKUP(A326,'[1]LISTA ETIQUETAS'!O:W,4,0)))</f>
        <v>0.35</v>
      </c>
      <c r="F326" s="11">
        <f>IF(VLOOKUP(A326,'[1]LISTA ETIQUETAS'!O:W,5,0)="",(VLOOKUP(A326,'[1]LISTA ETIQUETAS'!O:W,7,0)),(VLOOKUP(A326,'[1]LISTA ETIQUETAS'!O:W,5,0)))</f>
        <v>0</v>
      </c>
      <c r="G326" s="11">
        <f>IFERROR((VLOOKUP(A326,'[1]LISTA ETIQUETAS'!O:X,8,0)),"")</f>
        <v>0.7</v>
      </c>
      <c r="H326" s="11">
        <f>IFERROR((VLOOKUP(A326,'[1]LISTA ETIQUETAS'!O:X,9,0)),"")</f>
        <v>0.35</v>
      </c>
      <c r="I326" s="12">
        <f>IFERROR((VLOOKUP(A326,'[1]LISTA ETIQUETAS'!O:Y,11,0)),"")</f>
        <v>15008</v>
      </c>
      <c r="J326" s="6">
        <v>0</v>
      </c>
      <c r="K326" s="12">
        <f t="shared" si="15"/>
        <v>15008</v>
      </c>
      <c r="L326" s="7" t="str">
        <f>IF(VLOOKUP(A326,'[1]LISTA ETIQUETAS'!O:AB,14,0)="","",(VLOOKUP(A326,'[1]LISTA ETIQUETAS'!O:AB,14,0)))</f>
        <v/>
      </c>
      <c r="M326" s="8"/>
      <c r="N326" s="9">
        <f t="shared" si="16"/>
        <v>112239</v>
      </c>
      <c r="O326" s="2">
        <f>_xlfn.XLOOKUP($A326,'[1]LISTA ETIQUETAS'!$O:$O,'[1]LISTA ETIQUETAS'!C:C,"",0)</f>
        <v>0</v>
      </c>
      <c r="P326" s="2">
        <f>_xlfn.XLOOKUP($A326,'[1]LISTA ETIQUETAS'!$O:$O,'[1]LISTA ETIQUETAS'!D:D,"",0)</f>
        <v>0</v>
      </c>
      <c r="Q326" s="2">
        <f>_xlfn.XLOOKUP($A326,'[1]LISTA ETIQUETAS'!$O:$O,'[1]LISTA ETIQUETAS'!E:E,"",0)</f>
        <v>0</v>
      </c>
      <c r="R326" s="2">
        <f>_xlfn.XLOOKUP($A326,'[1]LISTA ETIQUETAS'!$O:$O,'[1]LISTA ETIQUETAS'!F:F,"",0)</f>
        <v>0</v>
      </c>
      <c r="S326" s="2">
        <f>_xlfn.XLOOKUP($A326,'[1]LISTA ETIQUETAS'!$O:$O,'[1]LISTA ETIQUETAS'!H:H,"",0)</f>
        <v>1</v>
      </c>
      <c r="T326" s="9">
        <f t="shared" si="17"/>
        <v>1</v>
      </c>
    </row>
    <row r="327" spans="1:20" x14ac:dyDescent="0.25">
      <c r="A327" s="5">
        <v>120741</v>
      </c>
      <c r="B327" t="str">
        <f>IFERROR((VLOOKUP(A327,'[1]LISTA ETIQUETAS'!O:X,3,0)),"PRODUTO SEM ESTOQUE")</f>
        <v>EST BANQUETA BAR CHICAGO (TELA DUP) (CATUABA AVELA)</v>
      </c>
      <c r="C327" s="10" t="s">
        <v>70</v>
      </c>
      <c r="D327" s="10" t="s">
        <v>230</v>
      </c>
      <c r="E327" s="11">
        <f>IF(VLOOKUP(A327,'[1]LISTA ETIQUETAS'!O:W,4,0)="",(VLOOKUP(A327,'[1]LISTA ETIQUETAS'!O:W,6,0)),(VLOOKUP(A327,'[1]LISTA ETIQUETAS'!O:W,4,0)))</f>
        <v>0.45</v>
      </c>
      <c r="F327" s="11">
        <f>IF(VLOOKUP(A327,'[1]LISTA ETIQUETAS'!O:W,5,0)="",(VLOOKUP(A327,'[1]LISTA ETIQUETAS'!O:W,7,0)),(VLOOKUP(A327,'[1]LISTA ETIQUETAS'!O:W,5,0)))</f>
        <v>0.49</v>
      </c>
      <c r="G327" s="11">
        <f>IFERROR((VLOOKUP(A327,'[1]LISTA ETIQUETAS'!O:X,8,0)),"")</f>
        <v>1.03</v>
      </c>
      <c r="H327" s="11">
        <f>IFERROR((VLOOKUP(A327,'[1]LISTA ETIQUETAS'!O:X,9,0)),"")</f>
        <v>0</v>
      </c>
      <c r="I327" s="12">
        <f>IFERROR((VLOOKUP(A327,'[1]LISTA ETIQUETAS'!O:Y,11,0)),"")</f>
        <v>3592.7</v>
      </c>
      <c r="J327" s="6">
        <v>0</v>
      </c>
      <c r="K327" s="12">
        <f t="shared" si="15"/>
        <v>3592.7</v>
      </c>
      <c r="L327" s="7" t="str">
        <f>IF(VLOOKUP(A327,'[1]LISTA ETIQUETAS'!O:AB,14,0)="","",(VLOOKUP(A327,'[1]LISTA ETIQUETAS'!O:AB,14,0)))</f>
        <v/>
      </c>
      <c r="M327" s="8"/>
      <c r="N327" s="9">
        <f t="shared" si="16"/>
        <v>120741</v>
      </c>
      <c r="O327" s="2">
        <f>_xlfn.XLOOKUP($A327,'[1]LISTA ETIQUETAS'!$O:$O,'[1]LISTA ETIQUETAS'!C:C,"",0)</f>
        <v>1</v>
      </c>
      <c r="P327" s="2">
        <f>_xlfn.XLOOKUP($A327,'[1]LISTA ETIQUETAS'!$O:$O,'[1]LISTA ETIQUETAS'!D:D,"",0)</f>
        <v>1</v>
      </c>
      <c r="Q327" s="2">
        <f>_xlfn.XLOOKUP($A327,'[1]LISTA ETIQUETAS'!$O:$O,'[1]LISTA ETIQUETAS'!E:E,"",0)</f>
        <v>0</v>
      </c>
      <c r="R327" s="2">
        <f>_xlfn.XLOOKUP($A327,'[1]LISTA ETIQUETAS'!$O:$O,'[1]LISTA ETIQUETAS'!F:F,"",0)</f>
        <v>0</v>
      </c>
      <c r="S327" s="2">
        <f>_xlfn.XLOOKUP($A327,'[1]LISTA ETIQUETAS'!$O:$O,'[1]LISTA ETIQUETAS'!H:H,"",0)</f>
        <v>1</v>
      </c>
      <c r="T327" s="9">
        <f t="shared" si="17"/>
        <v>3</v>
      </c>
    </row>
    <row r="328" spans="1:20" x14ac:dyDescent="0.25">
      <c r="A328" s="5">
        <v>113388</v>
      </c>
      <c r="B328" t="str">
        <f>IFERROR((VLOOKUP(A328,'[1]LISTA ETIQUETAS'!O:X,3,0)),"PRODUTO SEM ESTOQUE")</f>
        <v>EST BANQUETA BAR ELDORADO (CATUABA AVELUDADA) (DET INOX)</v>
      </c>
      <c r="C328" s="10" t="s">
        <v>70</v>
      </c>
      <c r="D328" s="10" t="s">
        <v>231</v>
      </c>
      <c r="E328" s="11">
        <f>IF(VLOOKUP(A328,'[1]LISTA ETIQUETAS'!O:W,4,0)="",(VLOOKUP(A328,'[1]LISTA ETIQUETAS'!O:W,6,0)),(VLOOKUP(A328,'[1]LISTA ETIQUETAS'!O:W,4,0)))</f>
        <v>0</v>
      </c>
      <c r="F328" s="11">
        <f>IF(VLOOKUP(A328,'[1]LISTA ETIQUETAS'!O:W,5,0)="",(VLOOKUP(A328,'[1]LISTA ETIQUETAS'!O:W,7,0)),(VLOOKUP(A328,'[1]LISTA ETIQUETAS'!O:W,5,0)))</f>
        <v>0</v>
      </c>
      <c r="G328" s="11">
        <f>IFERROR((VLOOKUP(A328,'[1]LISTA ETIQUETAS'!O:X,8,0)),"")</f>
        <v>0</v>
      </c>
      <c r="H328" s="11">
        <f>IFERROR((VLOOKUP(A328,'[1]LISTA ETIQUETAS'!O:X,9,0)),"")</f>
        <v>0</v>
      </c>
      <c r="I328" s="12">
        <f>IFERROR((VLOOKUP(A328,'[1]LISTA ETIQUETAS'!O:Y,11,0)),"")</f>
        <v>0</v>
      </c>
      <c r="J328" s="6">
        <v>0</v>
      </c>
      <c r="K328" s="12">
        <f t="shared" si="15"/>
        <v>0</v>
      </c>
      <c r="L328" s="7" t="str">
        <f>IF(VLOOKUP(A328,'[1]LISTA ETIQUETAS'!O:AB,14,0)="","",(VLOOKUP(A328,'[1]LISTA ETIQUETAS'!O:AB,14,0)))</f>
        <v/>
      </c>
      <c r="M328" s="8"/>
      <c r="N328" s="9">
        <f t="shared" si="16"/>
        <v>113388</v>
      </c>
      <c r="O328" s="2">
        <f>_xlfn.XLOOKUP($A328,'[1]LISTA ETIQUETAS'!$O:$O,'[1]LISTA ETIQUETAS'!C:C,"",0)</f>
        <v>0</v>
      </c>
      <c r="P328" s="2">
        <f>_xlfn.XLOOKUP($A328,'[1]LISTA ETIQUETAS'!$O:$O,'[1]LISTA ETIQUETAS'!D:D,"",0)</f>
        <v>0</v>
      </c>
      <c r="Q328" s="2">
        <f>_xlfn.XLOOKUP($A328,'[1]LISTA ETIQUETAS'!$O:$O,'[1]LISTA ETIQUETAS'!E:E,"",0)</f>
        <v>0</v>
      </c>
      <c r="R328" s="2">
        <f>_xlfn.XLOOKUP($A328,'[1]LISTA ETIQUETAS'!$O:$O,'[1]LISTA ETIQUETAS'!F:F,"",0)</f>
        <v>0</v>
      </c>
      <c r="S328" s="2">
        <f>_xlfn.XLOOKUP($A328,'[1]LISTA ETIQUETAS'!$O:$O,'[1]LISTA ETIQUETAS'!H:H,"",0)</f>
        <v>1</v>
      </c>
      <c r="T328" s="9">
        <f t="shared" si="17"/>
        <v>1</v>
      </c>
    </row>
    <row r="329" spans="1:20" x14ac:dyDescent="0.25">
      <c r="A329" s="5">
        <v>129593</v>
      </c>
      <c r="B329" t="str">
        <f>IFERROR((VLOOKUP(A329,'[1]LISTA ETIQUETAS'!O:X,3,0)),"PRODUTO SEM ESTOQUE")</f>
        <v>EST BANQUETA BAR FINN (ASS/ENC ESTOF) (TAUARI NAT) (TC 92#5)</v>
      </c>
      <c r="C329" s="10" t="s">
        <v>70</v>
      </c>
      <c r="D329" s="10" t="s">
        <v>232</v>
      </c>
      <c r="E329" s="11">
        <f>IF(VLOOKUP(A329,'[1]LISTA ETIQUETAS'!O:W,4,0)="",(VLOOKUP(A329,'[1]LISTA ETIQUETAS'!O:W,6,0)),(VLOOKUP(A329,'[1]LISTA ETIQUETAS'!O:W,4,0)))</f>
        <v>0.45</v>
      </c>
      <c r="F329" s="11">
        <f>IF(VLOOKUP(A329,'[1]LISTA ETIQUETAS'!O:W,5,0)="",(VLOOKUP(A329,'[1]LISTA ETIQUETAS'!O:W,7,0)),(VLOOKUP(A329,'[1]LISTA ETIQUETAS'!O:W,5,0)))</f>
        <v>0.43</v>
      </c>
      <c r="G329" s="11">
        <f>IFERROR((VLOOKUP(A329,'[1]LISTA ETIQUETAS'!O:X,8,0)),"")</f>
        <v>0.92</v>
      </c>
      <c r="H329" s="11">
        <f>IFERROR((VLOOKUP(A329,'[1]LISTA ETIQUETAS'!O:X,9,0)),"")</f>
        <v>0</v>
      </c>
      <c r="I329" s="12">
        <f>IFERROR((VLOOKUP(A329,'[1]LISTA ETIQUETAS'!O:Y,11,0)),"")</f>
        <v>5930.36</v>
      </c>
      <c r="J329" s="6">
        <v>0</v>
      </c>
      <c r="K329" s="12">
        <f t="shared" si="15"/>
        <v>5930.36</v>
      </c>
      <c r="L329" s="7" t="str">
        <f>IF(VLOOKUP(A329,'[1]LISTA ETIQUETAS'!O:AB,14,0)="","",(VLOOKUP(A329,'[1]LISTA ETIQUETAS'!O:AB,14,0)))</f>
        <v/>
      </c>
      <c r="M329" s="8"/>
      <c r="N329" s="9">
        <f t="shared" si="16"/>
        <v>129593</v>
      </c>
      <c r="O329" s="2">
        <f>_xlfn.XLOOKUP($A329,'[1]LISTA ETIQUETAS'!$O:$O,'[1]LISTA ETIQUETAS'!C:C,"",0)</f>
        <v>0</v>
      </c>
      <c r="P329" s="2">
        <f>_xlfn.XLOOKUP($A329,'[1]LISTA ETIQUETAS'!$O:$O,'[1]LISTA ETIQUETAS'!D:D,"",0)</f>
        <v>0</v>
      </c>
      <c r="Q329" s="2">
        <f>_xlfn.XLOOKUP($A329,'[1]LISTA ETIQUETAS'!$O:$O,'[1]LISTA ETIQUETAS'!E:E,"",0)</f>
        <v>0</v>
      </c>
      <c r="R329" s="2">
        <f>_xlfn.XLOOKUP($A329,'[1]LISTA ETIQUETAS'!$O:$O,'[1]LISTA ETIQUETAS'!F:F,"",0)</f>
        <v>0</v>
      </c>
      <c r="S329" s="2">
        <f>_xlfn.XLOOKUP($A329,'[1]LISTA ETIQUETAS'!$O:$O,'[1]LISTA ETIQUETAS'!H:H,"",0)</f>
        <v>1</v>
      </c>
      <c r="T329" s="9">
        <f t="shared" si="17"/>
        <v>1</v>
      </c>
    </row>
    <row r="330" spans="1:20" x14ac:dyDescent="0.25">
      <c r="A330" s="5">
        <v>62482</v>
      </c>
      <c r="B330" t="str">
        <f>IFERROR((VLOOKUP(A330,'[1]LISTA ETIQUETAS'!O:X,3,0)),"PRODUTO SEM ESTOQUE")</f>
        <v>EST BANQUETA BAR MASS (EBABNIZADO)</v>
      </c>
      <c r="C330" s="10" t="s">
        <v>70</v>
      </c>
      <c r="D330" s="10" t="s">
        <v>233</v>
      </c>
      <c r="E330" s="11">
        <f>IF(VLOOKUP(A330,'[1]LISTA ETIQUETAS'!O:W,4,0)="",(VLOOKUP(A330,'[1]LISTA ETIQUETAS'!O:W,6,0)),(VLOOKUP(A330,'[1]LISTA ETIQUETAS'!O:W,4,0)))</f>
        <v>0.35</v>
      </c>
      <c r="F330" s="11">
        <f>IF(VLOOKUP(A330,'[1]LISTA ETIQUETAS'!O:W,5,0)="",(VLOOKUP(A330,'[1]LISTA ETIQUETAS'!O:W,7,0)),(VLOOKUP(A330,'[1]LISTA ETIQUETAS'!O:W,5,0)))</f>
        <v>0</v>
      </c>
      <c r="G330" s="11">
        <f>IFERROR((VLOOKUP(A330,'[1]LISTA ETIQUETAS'!O:X,8,0)),"")</f>
        <v>0.8</v>
      </c>
      <c r="H330" s="11">
        <f>IFERROR((VLOOKUP(A330,'[1]LISTA ETIQUETAS'!O:X,9,0)),"")</f>
        <v>0.35</v>
      </c>
      <c r="I330" s="12" t="str">
        <f>IFERROR((VLOOKUP(A330,'[1]LISTA ETIQUETAS'!O:Y,11,0)),"")</f>
        <v/>
      </c>
      <c r="J330" s="6">
        <v>0</v>
      </c>
      <c r="K330" s="12" t="str">
        <f t="shared" si="15"/>
        <v/>
      </c>
      <c r="L330" s="7" t="str">
        <f>IF(VLOOKUP(A330,'[1]LISTA ETIQUETAS'!O:AB,14,0)="","",(VLOOKUP(A330,'[1]LISTA ETIQUETAS'!O:AB,14,0)))</f>
        <v/>
      </c>
      <c r="M330" s="8"/>
      <c r="N330" s="9">
        <f t="shared" si="16"/>
        <v>62482</v>
      </c>
      <c r="O330" s="2">
        <f>_xlfn.XLOOKUP($A330,'[1]LISTA ETIQUETAS'!$O:$O,'[1]LISTA ETIQUETAS'!C:C,"",0)</f>
        <v>0</v>
      </c>
      <c r="P330" s="2">
        <f>_xlfn.XLOOKUP($A330,'[1]LISTA ETIQUETAS'!$O:$O,'[1]LISTA ETIQUETAS'!D:D,"",0)</f>
        <v>0</v>
      </c>
      <c r="Q330" s="2">
        <f>_xlfn.XLOOKUP($A330,'[1]LISTA ETIQUETAS'!$O:$O,'[1]LISTA ETIQUETAS'!E:E,"",0)</f>
        <v>0</v>
      </c>
      <c r="R330" s="2">
        <f>_xlfn.XLOOKUP($A330,'[1]LISTA ETIQUETAS'!$O:$O,'[1]LISTA ETIQUETAS'!F:F,"",0)</f>
        <v>0</v>
      </c>
      <c r="S330" s="2">
        <f>_xlfn.XLOOKUP($A330,'[1]LISTA ETIQUETAS'!$O:$O,'[1]LISTA ETIQUETAS'!H:H,"",0)</f>
        <v>1</v>
      </c>
      <c r="T330" s="9">
        <f t="shared" si="17"/>
        <v>1</v>
      </c>
    </row>
    <row r="331" spans="1:20" x14ac:dyDescent="0.25">
      <c r="A331" s="5">
        <v>157538</v>
      </c>
      <c r="B331" t="str">
        <f>IFERROR((VLOOKUP(A331,'[1]LISTA ETIQUETAS'!O:X,3,0)),"PRODUTO SEM ESTOQUE")</f>
        <v>EST BANQUETA BAR PHILLIPS (NOGUEIRA) ((BASE LATAO)</v>
      </c>
      <c r="C331" s="10" t="s">
        <v>70</v>
      </c>
      <c r="D331" s="10" t="s">
        <v>229</v>
      </c>
      <c r="E331" s="11">
        <f>IF(VLOOKUP(A331,'[1]LISTA ETIQUETAS'!O:W,4,0)="",(VLOOKUP(A331,'[1]LISTA ETIQUETAS'!O:W,6,0)),(VLOOKUP(A331,'[1]LISTA ETIQUETAS'!O:W,4,0)))</f>
        <v>0.35</v>
      </c>
      <c r="F331" s="11">
        <f>IF(VLOOKUP(A331,'[1]LISTA ETIQUETAS'!O:W,5,0)="",(VLOOKUP(A331,'[1]LISTA ETIQUETAS'!O:W,7,0)),(VLOOKUP(A331,'[1]LISTA ETIQUETAS'!O:W,5,0)))</f>
        <v>0</v>
      </c>
      <c r="G331" s="11">
        <f>IFERROR((VLOOKUP(A331,'[1]LISTA ETIQUETAS'!O:X,8,0)),"")</f>
        <v>0.7</v>
      </c>
      <c r="H331" s="11">
        <f>IFERROR((VLOOKUP(A331,'[1]LISTA ETIQUETAS'!O:X,9,0)),"")</f>
        <v>0.35</v>
      </c>
      <c r="I331" s="12">
        <f>IFERROR((VLOOKUP(A331,'[1]LISTA ETIQUETAS'!O:Y,11,0)),"")</f>
        <v>15008</v>
      </c>
      <c r="J331" s="6">
        <v>0</v>
      </c>
      <c r="K331" s="12">
        <f t="shared" si="15"/>
        <v>15008</v>
      </c>
      <c r="L331" s="7" t="str">
        <f>IF(VLOOKUP(A331,'[1]LISTA ETIQUETAS'!O:AB,14,0)="","",(VLOOKUP(A331,'[1]LISTA ETIQUETAS'!O:AB,14,0)))</f>
        <v/>
      </c>
      <c r="M331" s="8"/>
      <c r="N331" s="9">
        <f t="shared" si="16"/>
        <v>157538</v>
      </c>
      <c r="O331" s="2">
        <f>_xlfn.XLOOKUP($A331,'[1]LISTA ETIQUETAS'!$O:$O,'[1]LISTA ETIQUETAS'!C:C,"",0)</f>
        <v>0</v>
      </c>
      <c r="P331" s="2">
        <f>_xlfn.XLOOKUP($A331,'[1]LISTA ETIQUETAS'!$O:$O,'[1]LISTA ETIQUETAS'!D:D,"",0)</f>
        <v>0</v>
      </c>
      <c r="Q331" s="2">
        <f>_xlfn.XLOOKUP($A331,'[1]LISTA ETIQUETAS'!$O:$O,'[1]LISTA ETIQUETAS'!E:E,"",0)</f>
        <v>0</v>
      </c>
      <c r="R331" s="2">
        <f>_xlfn.XLOOKUP($A331,'[1]LISTA ETIQUETAS'!$O:$O,'[1]LISTA ETIQUETAS'!F:F,"",0)</f>
        <v>0</v>
      </c>
      <c r="S331" s="2">
        <f>_xlfn.XLOOKUP($A331,'[1]LISTA ETIQUETAS'!$O:$O,'[1]LISTA ETIQUETAS'!H:H,"",0)</f>
        <v>1</v>
      </c>
      <c r="T331" s="9">
        <f t="shared" si="17"/>
        <v>1</v>
      </c>
    </row>
    <row r="332" spans="1:20" x14ac:dyDescent="0.25">
      <c r="A332" s="5">
        <v>176086</v>
      </c>
      <c r="B332" t="str">
        <f>IFERROR((VLOOKUP(A332,'[1]LISTA ETIQUETAS'!O:X,3,0)),"PRODUTO SEM ESTOQUE")</f>
        <v>EST BANQUETA BAR 102 (LORO PRETO) TC 96 REF 05</v>
      </c>
      <c r="C332" s="10" t="s">
        <v>70</v>
      </c>
      <c r="D332" s="10" t="s">
        <v>234</v>
      </c>
      <c r="E332" s="11">
        <f>IF(VLOOKUP(A332,'[1]LISTA ETIQUETAS'!O:W,4,0)="",(VLOOKUP(A332,'[1]LISTA ETIQUETAS'!O:W,6,0)),(VLOOKUP(A332,'[1]LISTA ETIQUETAS'!O:W,4,0)))</f>
        <v>0.52</v>
      </c>
      <c r="F332" s="11">
        <f>IF(VLOOKUP(A332,'[1]LISTA ETIQUETAS'!O:W,5,0)="",(VLOOKUP(A332,'[1]LISTA ETIQUETAS'!O:W,7,0)),(VLOOKUP(A332,'[1]LISTA ETIQUETAS'!O:W,5,0)))</f>
        <v>0.54</v>
      </c>
      <c r="G332" s="11">
        <f>IFERROR((VLOOKUP(A332,'[1]LISTA ETIQUETAS'!O:X,8,0)),"")</f>
        <v>1.05</v>
      </c>
      <c r="H332" s="11">
        <f>IFERROR((VLOOKUP(A332,'[1]LISTA ETIQUETAS'!O:X,9,0)),"")</f>
        <v>0</v>
      </c>
      <c r="I332" s="12" t="str">
        <f>IFERROR((VLOOKUP(A332,'[1]LISTA ETIQUETAS'!O:Y,11,0)),"")</f>
        <v/>
      </c>
      <c r="J332" s="6">
        <v>0</v>
      </c>
      <c r="K332" s="12" t="str">
        <f t="shared" si="15"/>
        <v/>
      </c>
      <c r="L332" s="7" t="str">
        <f>IF(VLOOKUP(A332,'[1]LISTA ETIQUETAS'!O:AB,14,0)="","",(VLOOKUP(A332,'[1]LISTA ETIQUETAS'!O:AB,14,0)))</f>
        <v/>
      </c>
      <c r="M332" s="8"/>
      <c r="N332" s="9">
        <f t="shared" si="16"/>
        <v>176086</v>
      </c>
      <c r="O332" s="2">
        <f>_xlfn.XLOOKUP($A332,'[1]LISTA ETIQUETAS'!$O:$O,'[1]LISTA ETIQUETAS'!C:C,"",0)</f>
        <v>0</v>
      </c>
      <c r="P332" s="2">
        <f>_xlfn.XLOOKUP($A332,'[1]LISTA ETIQUETAS'!$O:$O,'[1]LISTA ETIQUETAS'!D:D,"",0)</f>
        <v>0</v>
      </c>
      <c r="Q332" s="2">
        <f>_xlfn.XLOOKUP($A332,'[1]LISTA ETIQUETAS'!$O:$O,'[1]LISTA ETIQUETAS'!E:E,"",0)</f>
        <v>0</v>
      </c>
      <c r="R332" s="2">
        <f>_xlfn.XLOOKUP($A332,'[1]LISTA ETIQUETAS'!$O:$O,'[1]LISTA ETIQUETAS'!F:F,"",0)</f>
        <v>0</v>
      </c>
      <c r="S332" s="2">
        <f>_xlfn.XLOOKUP($A332,'[1]LISTA ETIQUETAS'!$O:$O,'[1]LISTA ETIQUETAS'!H:H,"",0)</f>
        <v>1</v>
      </c>
      <c r="T332" s="9">
        <f t="shared" si="17"/>
        <v>1</v>
      </c>
    </row>
    <row r="333" spans="1:20" x14ac:dyDescent="0.25">
      <c r="A333" s="5">
        <v>204057</v>
      </c>
      <c r="B333" t="str">
        <f>IFERROR((VLOOKUP(A333,'[1]LISTA ETIQUETAS'!O:X,3,0)),"PRODUTO SEM ESTOQUE")</f>
        <v>EST BANQUETA BAR BOSSA (TELA NATURAL) (TAUARI COR 02)</v>
      </c>
      <c r="C333" s="10" t="s">
        <v>70</v>
      </c>
      <c r="D333" s="10" t="s">
        <v>235</v>
      </c>
      <c r="E333" s="11">
        <f>IF(VLOOKUP(A333,'[1]LISTA ETIQUETAS'!O:W,4,0)="",(VLOOKUP(A333,'[1]LISTA ETIQUETAS'!O:W,6,0)),(VLOOKUP(A333,'[1]LISTA ETIQUETAS'!O:W,4,0)))</f>
        <v>0.44</v>
      </c>
      <c r="F333" s="11">
        <f>IF(VLOOKUP(A333,'[1]LISTA ETIQUETAS'!O:W,5,0)="",(VLOOKUP(A333,'[1]LISTA ETIQUETAS'!O:W,7,0)),(VLOOKUP(A333,'[1]LISTA ETIQUETAS'!O:W,5,0)))</f>
        <v>0.51</v>
      </c>
      <c r="G333" s="11">
        <f>IFERROR((VLOOKUP(A333,'[1]LISTA ETIQUETAS'!O:X,8,0)),"")</f>
        <v>1</v>
      </c>
      <c r="H333" s="11">
        <f>IFERROR((VLOOKUP(A333,'[1]LISTA ETIQUETAS'!O:X,9,0)),"")</f>
        <v>0</v>
      </c>
      <c r="I333" s="12">
        <f>IFERROR((VLOOKUP(A333,'[1]LISTA ETIQUETAS'!O:Y,11,0)),"")</f>
        <v>6720</v>
      </c>
      <c r="J333" s="6">
        <v>0</v>
      </c>
      <c r="K333" s="12">
        <f t="shared" si="15"/>
        <v>6720</v>
      </c>
      <c r="L333" s="7" t="str">
        <f>IF(VLOOKUP(A333,'[1]LISTA ETIQUETAS'!O:AB,14,0)="","",(VLOOKUP(A333,'[1]LISTA ETIQUETAS'!O:AB,14,0)))</f>
        <v/>
      </c>
      <c r="M333" s="8"/>
      <c r="N333" s="9">
        <f t="shared" si="16"/>
        <v>204057</v>
      </c>
      <c r="O333" s="2">
        <f>_xlfn.XLOOKUP($A333,'[1]LISTA ETIQUETAS'!$O:$O,'[1]LISTA ETIQUETAS'!C:C,"",0)</f>
        <v>0</v>
      </c>
      <c r="P333" s="2">
        <f>_xlfn.XLOOKUP($A333,'[1]LISTA ETIQUETAS'!$O:$O,'[1]LISTA ETIQUETAS'!D:D,"",0)</f>
        <v>0</v>
      </c>
      <c r="Q333" s="2">
        <f>_xlfn.XLOOKUP($A333,'[1]LISTA ETIQUETAS'!$O:$O,'[1]LISTA ETIQUETAS'!E:E,"",0)</f>
        <v>0</v>
      </c>
      <c r="R333" s="2">
        <f>_xlfn.XLOOKUP($A333,'[1]LISTA ETIQUETAS'!$O:$O,'[1]LISTA ETIQUETAS'!F:F,"",0)</f>
        <v>0</v>
      </c>
      <c r="S333" s="2">
        <f>_xlfn.XLOOKUP($A333,'[1]LISTA ETIQUETAS'!$O:$O,'[1]LISTA ETIQUETAS'!H:H,"",0)</f>
        <v>1</v>
      </c>
      <c r="T333" s="9">
        <f t="shared" si="17"/>
        <v>1</v>
      </c>
    </row>
    <row r="334" spans="1:20" x14ac:dyDescent="0.25">
      <c r="A334" s="5">
        <v>181321</v>
      </c>
      <c r="B334" t="str">
        <f>IFERROR((VLOOKUP(A334,'[1]LISTA ETIQUETAS'!O:X,3,0)),"PRODUTO SEM ESTOQUE")</f>
        <v>EST BANQUETA BAR BOSSA (TELA NATURAL) (SAYER L-137)</v>
      </c>
      <c r="C334" s="10" t="s">
        <v>70</v>
      </c>
      <c r="D334" s="10" t="s">
        <v>235</v>
      </c>
      <c r="E334" s="11">
        <f>IF(VLOOKUP(A334,'[1]LISTA ETIQUETAS'!O:W,4,0)="",(VLOOKUP(A334,'[1]LISTA ETIQUETAS'!O:W,6,0)),(VLOOKUP(A334,'[1]LISTA ETIQUETAS'!O:W,4,0)))</f>
        <v>0.44</v>
      </c>
      <c r="F334" s="11">
        <f>IF(VLOOKUP(A334,'[1]LISTA ETIQUETAS'!O:W,5,0)="",(VLOOKUP(A334,'[1]LISTA ETIQUETAS'!O:W,7,0)),(VLOOKUP(A334,'[1]LISTA ETIQUETAS'!O:W,5,0)))</f>
        <v>0.51</v>
      </c>
      <c r="G334" s="11">
        <f>IFERROR((VLOOKUP(A334,'[1]LISTA ETIQUETAS'!O:X,8,0)),"")</f>
        <v>1</v>
      </c>
      <c r="H334" s="11">
        <f>IFERROR((VLOOKUP(A334,'[1]LISTA ETIQUETAS'!O:X,9,0)),"")</f>
        <v>0</v>
      </c>
      <c r="I334" s="12">
        <f>IFERROR((VLOOKUP(A334,'[1]LISTA ETIQUETAS'!O:Y,11,0)),"")</f>
        <v>6720</v>
      </c>
      <c r="J334" s="6">
        <v>0</v>
      </c>
      <c r="K334" s="12">
        <f t="shared" si="15"/>
        <v>6720</v>
      </c>
      <c r="L334" s="7" t="str">
        <f>IF(VLOOKUP(A334,'[1]LISTA ETIQUETAS'!O:AB,14,0)="","",(VLOOKUP(A334,'[1]LISTA ETIQUETAS'!O:AB,14,0)))</f>
        <v/>
      </c>
      <c r="M334" s="8"/>
      <c r="N334" s="9">
        <f t="shared" si="16"/>
        <v>181321</v>
      </c>
      <c r="O334" s="2">
        <f>_xlfn.XLOOKUP($A334,'[1]LISTA ETIQUETAS'!$O:$O,'[1]LISTA ETIQUETAS'!C:C,"",0)</f>
        <v>0</v>
      </c>
      <c r="P334" s="2">
        <f>_xlfn.XLOOKUP($A334,'[1]LISTA ETIQUETAS'!$O:$O,'[1]LISTA ETIQUETAS'!D:D,"",0)</f>
        <v>0</v>
      </c>
      <c r="Q334" s="2">
        <f>_xlfn.XLOOKUP($A334,'[1]LISTA ETIQUETAS'!$O:$O,'[1]LISTA ETIQUETAS'!E:E,"",0)</f>
        <v>0</v>
      </c>
      <c r="R334" s="2">
        <f>_xlfn.XLOOKUP($A334,'[1]LISTA ETIQUETAS'!$O:$O,'[1]LISTA ETIQUETAS'!F:F,"",0)</f>
        <v>0</v>
      </c>
      <c r="S334" s="2">
        <f>_xlfn.XLOOKUP($A334,'[1]LISTA ETIQUETAS'!$O:$O,'[1]LISTA ETIQUETAS'!H:H,"",0)</f>
        <v>2</v>
      </c>
      <c r="T334" s="9">
        <f t="shared" si="17"/>
        <v>2</v>
      </c>
    </row>
    <row r="335" spans="1:20" x14ac:dyDescent="0.25">
      <c r="A335" s="5">
        <v>219312</v>
      </c>
      <c r="B335" t="str">
        <f>IFERROR((VLOOKUP(A335,'[1]LISTA ETIQUETAS'!O:X,3,0)),"PRODUTO SEM ESTOQUE")</f>
        <v>EST BANQUETA BAR PHILLIPS (NOGUEIRA) (BASE EFEITO CORTEN)</v>
      </c>
      <c r="C335" s="10" t="s">
        <v>70</v>
      </c>
      <c r="D335" s="10" t="s">
        <v>229</v>
      </c>
      <c r="E335" s="11">
        <f>IF(VLOOKUP(A335,'[1]LISTA ETIQUETAS'!O:W,4,0)="",(VLOOKUP(A335,'[1]LISTA ETIQUETAS'!O:W,6,0)),(VLOOKUP(A335,'[1]LISTA ETIQUETAS'!O:W,4,0)))</f>
        <v>0.35</v>
      </c>
      <c r="F335" s="11">
        <f>IF(VLOOKUP(A335,'[1]LISTA ETIQUETAS'!O:W,5,0)="",(VLOOKUP(A335,'[1]LISTA ETIQUETAS'!O:W,7,0)),(VLOOKUP(A335,'[1]LISTA ETIQUETAS'!O:W,5,0)))</f>
        <v>0</v>
      </c>
      <c r="G335" s="11">
        <f>IFERROR((VLOOKUP(A335,'[1]LISTA ETIQUETAS'!O:X,8,0)),"")</f>
        <v>0.7</v>
      </c>
      <c r="H335" s="11">
        <f>IFERROR((VLOOKUP(A335,'[1]LISTA ETIQUETAS'!O:X,9,0)),"")</f>
        <v>0.35</v>
      </c>
      <c r="I335" s="12" t="str">
        <f>IFERROR((VLOOKUP(A335,'[1]LISTA ETIQUETAS'!O:Y,11,0)),"")</f>
        <v/>
      </c>
      <c r="J335" s="6">
        <v>0</v>
      </c>
      <c r="K335" s="12" t="str">
        <f t="shared" si="15"/>
        <v/>
      </c>
      <c r="L335" s="7" t="str">
        <f>IF(VLOOKUP(A335,'[1]LISTA ETIQUETAS'!O:AB,14,0)="","",(VLOOKUP(A335,'[1]LISTA ETIQUETAS'!O:AB,14,0)))</f>
        <v/>
      </c>
      <c r="M335" s="8"/>
      <c r="N335" s="9">
        <f t="shared" si="16"/>
        <v>219312</v>
      </c>
      <c r="O335" s="2">
        <f>_xlfn.XLOOKUP($A335,'[1]LISTA ETIQUETAS'!$O:$O,'[1]LISTA ETIQUETAS'!C:C,"",0)</f>
        <v>0</v>
      </c>
      <c r="P335" s="2">
        <f>_xlfn.XLOOKUP($A335,'[1]LISTA ETIQUETAS'!$O:$O,'[1]LISTA ETIQUETAS'!D:D,"",0)</f>
        <v>0</v>
      </c>
      <c r="Q335" s="2">
        <f>_xlfn.XLOOKUP($A335,'[1]LISTA ETIQUETAS'!$O:$O,'[1]LISTA ETIQUETAS'!E:E,"",0)</f>
        <v>0</v>
      </c>
      <c r="R335" s="2">
        <f>_xlfn.XLOOKUP($A335,'[1]LISTA ETIQUETAS'!$O:$O,'[1]LISTA ETIQUETAS'!F:F,"",0)</f>
        <v>0</v>
      </c>
      <c r="S335" s="2">
        <f>_xlfn.XLOOKUP($A335,'[1]LISTA ETIQUETAS'!$O:$O,'[1]LISTA ETIQUETAS'!H:H,"",0)</f>
        <v>1</v>
      </c>
      <c r="T335" s="9">
        <f t="shared" si="17"/>
        <v>1</v>
      </c>
    </row>
    <row r="336" spans="1:20" x14ac:dyDescent="0.25">
      <c r="A336" s="5">
        <v>212975</v>
      </c>
      <c r="B336" t="str">
        <f>IFERROR((VLOOKUP(A336,'[1]LISTA ETIQUETAS'!O:X,3,0)),"PRODUTO SEM ESTOQUE")</f>
        <v>EST BANQUETA BAR PHILLIPS (LOURO PRETO) (BASE PRETO MTX)</v>
      </c>
      <c r="C336" s="10" t="s">
        <v>70</v>
      </c>
      <c r="D336" s="10" t="s">
        <v>229</v>
      </c>
      <c r="E336" s="11">
        <f>IF(VLOOKUP(A336,'[1]LISTA ETIQUETAS'!O:W,4,0)="",(VLOOKUP(A336,'[1]LISTA ETIQUETAS'!O:W,6,0)),(VLOOKUP(A336,'[1]LISTA ETIQUETAS'!O:W,4,0)))</f>
        <v>0.35</v>
      </c>
      <c r="F336" s="11">
        <f>IF(VLOOKUP(A336,'[1]LISTA ETIQUETAS'!O:W,5,0)="",(VLOOKUP(A336,'[1]LISTA ETIQUETAS'!O:W,7,0)),(VLOOKUP(A336,'[1]LISTA ETIQUETAS'!O:W,5,0)))</f>
        <v>0</v>
      </c>
      <c r="G336" s="11">
        <f>IFERROR((VLOOKUP(A336,'[1]LISTA ETIQUETAS'!O:X,8,0)),"")</f>
        <v>0.7</v>
      </c>
      <c r="H336" s="11">
        <f>IFERROR((VLOOKUP(A336,'[1]LISTA ETIQUETAS'!O:X,9,0)),"")</f>
        <v>0.35</v>
      </c>
      <c r="I336" s="12">
        <f>IFERROR((VLOOKUP(A336,'[1]LISTA ETIQUETAS'!O:Y,11,0)),"")</f>
        <v>15008</v>
      </c>
      <c r="J336" s="6">
        <v>0</v>
      </c>
      <c r="K336" s="12">
        <f t="shared" si="15"/>
        <v>15008</v>
      </c>
      <c r="L336" s="7" t="str">
        <f>IF(VLOOKUP(A336,'[1]LISTA ETIQUETAS'!O:AB,14,0)="","",(VLOOKUP(A336,'[1]LISTA ETIQUETAS'!O:AB,14,0)))</f>
        <v/>
      </c>
      <c r="M336" s="8"/>
      <c r="N336" s="9">
        <f t="shared" si="16"/>
        <v>212975</v>
      </c>
      <c r="O336" s="2">
        <f>_xlfn.XLOOKUP($A336,'[1]LISTA ETIQUETAS'!$O:$O,'[1]LISTA ETIQUETAS'!C:C,"",0)</f>
        <v>0</v>
      </c>
      <c r="P336" s="2">
        <f>_xlfn.XLOOKUP($A336,'[1]LISTA ETIQUETAS'!$O:$O,'[1]LISTA ETIQUETAS'!D:D,"",0)</f>
        <v>0</v>
      </c>
      <c r="Q336" s="2">
        <f>_xlfn.XLOOKUP($A336,'[1]LISTA ETIQUETAS'!$O:$O,'[1]LISTA ETIQUETAS'!E:E,"",0)</f>
        <v>0</v>
      </c>
      <c r="R336" s="2">
        <f>_xlfn.XLOOKUP($A336,'[1]LISTA ETIQUETAS'!$O:$O,'[1]LISTA ETIQUETAS'!F:F,"",0)</f>
        <v>0</v>
      </c>
      <c r="S336" s="2">
        <f>_xlfn.XLOOKUP($A336,'[1]LISTA ETIQUETAS'!$O:$O,'[1]LISTA ETIQUETAS'!H:H,"",0)</f>
        <v>1</v>
      </c>
      <c r="T336" s="9">
        <f t="shared" si="17"/>
        <v>1</v>
      </c>
    </row>
    <row r="337" spans="1:20" x14ac:dyDescent="0.25">
      <c r="A337" s="5">
        <v>212974</v>
      </c>
      <c r="B337" t="str">
        <f>IFERROR((VLOOKUP(A337,'[1]LISTA ETIQUETAS'!O:X,3,0)),"PRODUTO SEM ESTOQUE")</f>
        <v>EST BANQUETA BAR PLATTA RETA (COR 102) (COURO 50118 #7)</v>
      </c>
      <c r="C337" s="10" t="s">
        <v>70</v>
      </c>
      <c r="D337" s="10" t="s">
        <v>232</v>
      </c>
      <c r="E337" s="11">
        <f>IF(VLOOKUP(A337,'[1]LISTA ETIQUETAS'!O:W,4,0)="",(VLOOKUP(A337,'[1]LISTA ETIQUETAS'!O:W,6,0)),(VLOOKUP(A337,'[1]LISTA ETIQUETAS'!O:W,4,0)))</f>
        <v>0.43</v>
      </c>
      <c r="F337" s="11">
        <f>IF(VLOOKUP(A337,'[1]LISTA ETIQUETAS'!O:W,5,0)="",(VLOOKUP(A337,'[1]LISTA ETIQUETAS'!O:W,7,0)),(VLOOKUP(A337,'[1]LISTA ETIQUETAS'!O:W,5,0)))</f>
        <v>0.45</v>
      </c>
      <c r="G337" s="11">
        <f>IFERROR((VLOOKUP(A337,'[1]LISTA ETIQUETAS'!O:X,8,0)),"")</f>
        <v>0.97</v>
      </c>
      <c r="H337" s="11">
        <f>IFERROR((VLOOKUP(A337,'[1]LISTA ETIQUETAS'!O:X,9,0)),"")</f>
        <v>0</v>
      </c>
      <c r="I337" s="12">
        <f>IFERROR((VLOOKUP(A337,'[1]LISTA ETIQUETAS'!O:Y,11,0)),"")</f>
        <v>6837.78</v>
      </c>
      <c r="J337" s="6">
        <v>0</v>
      </c>
      <c r="K337" s="12">
        <f t="shared" si="15"/>
        <v>6837.78</v>
      </c>
      <c r="L337" s="7" t="str">
        <f>IF(VLOOKUP(A337,'[1]LISTA ETIQUETAS'!O:AB,14,0)="","",(VLOOKUP(A337,'[1]LISTA ETIQUETAS'!O:AB,14,0)))</f>
        <v/>
      </c>
      <c r="M337" s="8"/>
      <c r="N337" s="9">
        <f t="shared" si="16"/>
        <v>212974</v>
      </c>
      <c r="O337" s="2">
        <f>_xlfn.XLOOKUP($A337,'[1]LISTA ETIQUETAS'!$O:$O,'[1]LISTA ETIQUETAS'!C:C,"",0)</f>
        <v>0</v>
      </c>
      <c r="P337" s="2">
        <f>_xlfn.XLOOKUP($A337,'[1]LISTA ETIQUETAS'!$O:$O,'[1]LISTA ETIQUETAS'!D:D,"",0)</f>
        <v>0</v>
      </c>
      <c r="Q337" s="2">
        <f>_xlfn.XLOOKUP($A337,'[1]LISTA ETIQUETAS'!$O:$O,'[1]LISTA ETIQUETAS'!E:E,"",0)</f>
        <v>0</v>
      </c>
      <c r="R337" s="2">
        <f>_xlfn.XLOOKUP($A337,'[1]LISTA ETIQUETAS'!$O:$O,'[1]LISTA ETIQUETAS'!F:F,"",0)</f>
        <v>0</v>
      </c>
      <c r="S337" s="2">
        <f>_xlfn.XLOOKUP($A337,'[1]LISTA ETIQUETAS'!$O:$O,'[1]LISTA ETIQUETAS'!H:H,"",0)</f>
        <v>1</v>
      </c>
      <c r="T337" s="9">
        <f t="shared" si="17"/>
        <v>1</v>
      </c>
    </row>
    <row r="338" spans="1:20" x14ac:dyDescent="0.25">
      <c r="A338" s="5">
        <v>214577</v>
      </c>
      <c r="B338" t="str">
        <f>IFERROR((VLOOKUP(A338,'[1]LISTA ETIQUETAS'!O:X,3,0)),"PRODUTO SEM ESTOQUE")</f>
        <v>EST BANQUETA BAR PRIMA (NOGUEIRA) TC 127 #3</v>
      </c>
      <c r="C338" s="10" t="s">
        <v>70</v>
      </c>
      <c r="D338" s="10" t="s">
        <v>232</v>
      </c>
      <c r="E338" s="11">
        <f>IF(VLOOKUP(A338,'[1]LISTA ETIQUETAS'!O:W,4,0)="",(VLOOKUP(A338,'[1]LISTA ETIQUETAS'!O:W,6,0)),(VLOOKUP(A338,'[1]LISTA ETIQUETAS'!O:W,4,0)))</f>
        <v>0.52</v>
      </c>
      <c r="F338" s="11">
        <f>IF(VLOOKUP(A338,'[1]LISTA ETIQUETAS'!O:W,5,0)="",(VLOOKUP(A338,'[1]LISTA ETIQUETAS'!O:W,7,0)),(VLOOKUP(A338,'[1]LISTA ETIQUETAS'!O:W,5,0)))</f>
        <v>0.57999999999999996</v>
      </c>
      <c r="G338" s="11">
        <f>IFERROR((VLOOKUP(A338,'[1]LISTA ETIQUETAS'!O:X,8,0)),"")</f>
        <v>0.95</v>
      </c>
      <c r="H338" s="11">
        <f>IFERROR((VLOOKUP(A338,'[1]LISTA ETIQUETAS'!O:X,9,0)),"")</f>
        <v>0</v>
      </c>
      <c r="I338" s="12">
        <f>IFERROR((VLOOKUP(A338,'[1]LISTA ETIQUETAS'!O:Y,11,0)),"")</f>
        <v>5223.68</v>
      </c>
      <c r="J338" s="6">
        <v>0</v>
      </c>
      <c r="K338" s="12">
        <f t="shared" si="15"/>
        <v>5223.68</v>
      </c>
      <c r="L338" s="7" t="str">
        <f>IF(VLOOKUP(A338,'[1]LISTA ETIQUETAS'!O:AB,14,0)="","",(VLOOKUP(A338,'[1]LISTA ETIQUETAS'!O:AB,14,0)))</f>
        <v/>
      </c>
      <c r="M338" s="8"/>
      <c r="N338" s="9">
        <f t="shared" si="16"/>
        <v>214577</v>
      </c>
      <c r="O338" s="2">
        <f>_xlfn.XLOOKUP($A338,'[1]LISTA ETIQUETAS'!$O:$O,'[1]LISTA ETIQUETAS'!C:C,"",0)</f>
        <v>0</v>
      </c>
      <c r="P338" s="2">
        <f>_xlfn.XLOOKUP($A338,'[1]LISTA ETIQUETAS'!$O:$O,'[1]LISTA ETIQUETAS'!D:D,"",0)</f>
        <v>0</v>
      </c>
      <c r="Q338" s="2">
        <f>_xlfn.XLOOKUP($A338,'[1]LISTA ETIQUETAS'!$O:$O,'[1]LISTA ETIQUETAS'!E:E,"",0)</f>
        <v>0</v>
      </c>
      <c r="R338" s="2">
        <f>_xlfn.XLOOKUP($A338,'[1]LISTA ETIQUETAS'!$O:$O,'[1]LISTA ETIQUETAS'!F:F,"",0)</f>
        <v>0</v>
      </c>
      <c r="S338" s="2">
        <f>_xlfn.XLOOKUP($A338,'[1]LISTA ETIQUETAS'!$O:$O,'[1]LISTA ETIQUETAS'!H:H,"",0)</f>
        <v>1</v>
      </c>
      <c r="T338" s="9">
        <f t="shared" si="17"/>
        <v>1</v>
      </c>
    </row>
    <row r="339" spans="1:20" x14ac:dyDescent="0.25">
      <c r="A339" s="5">
        <v>217682</v>
      </c>
      <c r="B339" t="str">
        <f>IFERROR((VLOOKUP(A339,'[1]LISTA ETIQUETAS'!O:X,3,0)),"PRODUTO SEM ESTOQUE")</f>
        <v>EST BANQUETA BAR PAULISTA REAL/TELA CRU SEXTAVADA/TC124</v>
      </c>
      <c r="C339" s="10" t="s">
        <v>70</v>
      </c>
      <c r="D339" s="10" t="s">
        <v>236</v>
      </c>
      <c r="E339" s="11">
        <f>IF(VLOOKUP(A339,'[1]LISTA ETIQUETAS'!O:W,4,0)="",(VLOOKUP(A339,'[1]LISTA ETIQUETAS'!O:W,6,0)),(VLOOKUP(A339,'[1]LISTA ETIQUETAS'!O:W,4,0)))</f>
        <v>0.46</v>
      </c>
      <c r="F339" s="11">
        <f>IF(VLOOKUP(A339,'[1]LISTA ETIQUETAS'!O:W,5,0)="",(VLOOKUP(A339,'[1]LISTA ETIQUETAS'!O:W,7,0)),(VLOOKUP(A339,'[1]LISTA ETIQUETAS'!O:W,5,0)))</f>
        <v>0.54</v>
      </c>
      <c r="G339" s="11">
        <f>IFERROR((VLOOKUP(A339,'[1]LISTA ETIQUETAS'!O:X,8,0)),"")</f>
        <v>0.98</v>
      </c>
      <c r="H339" s="11">
        <f>IFERROR((VLOOKUP(A339,'[1]LISTA ETIQUETAS'!O:X,9,0)),"")</f>
        <v>0</v>
      </c>
      <c r="I339" s="12">
        <f>IFERROR((VLOOKUP(A339,'[1]LISTA ETIQUETAS'!O:Y,11,0)),"")</f>
        <v>3380.12</v>
      </c>
      <c r="J339" s="6">
        <v>0</v>
      </c>
      <c r="K339" s="12">
        <f t="shared" si="15"/>
        <v>3380.12</v>
      </c>
      <c r="L339" s="7" t="str">
        <f>IF(VLOOKUP(A339,'[1]LISTA ETIQUETAS'!O:AB,14,0)="","",(VLOOKUP(A339,'[1]LISTA ETIQUETAS'!O:AB,14,0)))</f>
        <v/>
      </c>
      <c r="M339" s="8"/>
      <c r="N339" s="9">
        <f t="shared" si="16"/>
        <v>217682</v>
      </c>
      <c r="O339" s="2">
        <f>_xlfn.XLOOKUP($A339,'[1]LISTA ETIQUETAS'!$O:$O,'[1]LISTA ETIQUETAS'!C:C,"",0)</f>
        <v>0</v>
      </c>
      <c r="P339" s="2">
        <f>_xlfn.XLOOKUP($A339,'[1]LISTA ETIQUETAS'!$O:$O,'[1]LISTA ETIQUETAS'!D:D,"",0)</f>
        <v>0</v>
      </c>
      <c r="Q339" s="2">
        <f>_xlfn.XLOOKUP($A339,'[1]LISTA ETIQUETAS'!$O:$O,'[1]LISTA ETIQUETAS'!E:E,"",0)</f>
        <v>0</v>
      </c>
      <c r="R339" s="2">
        <f>_xlfn.XLOOKUP($A339,'[1]LISTA ETIQUETAS'!$O:$O,'[1]LISTA ETIQUETAS'!F:F,"",0)</f>
        <v>0</v>
      </c>
      <c r="S339" s="2">
        <f>_xlfn.XLOOKUP($A339,'[1]LISTA ETIQUETAS'!$O:$O,'[1]LISTA ETIQUETAS'!H:H,"",0)</f>
        <v>1</v>
      </c>
      <c r="T339" s="9">
        <f t="shared" si="17"/>
        <v>1</v>
      </c>
    </row>
    <row r="340" spans="1:20" x14ac:dyDescent="0.25">
      <c r="A340" s="5">
        <v>214530</v>
      </c>
      <c r="B340" t="str">
        <f>IFERROR((VLOOKUP(A340,'[1]LISTA ETIQUETAS'!O:X,3,0)),"PRODUTO SEM ESTOQUE")</f>
        <v>EST BANQUETA BAR AYLA TC2013/ESTRUTURA MEL</v>
      </c>
      <c r="C340" s="10" t="s">
        <v>70</v>
      </c>
      <c r="D340" s="10" t="s">
        <v>237</v>
      </c>
      <c r="E340" s="11">
        <f>IF(VLOOKUP(A340,'[1]LISTA ETIQUETAS'!O:W,4,0)="",(VLOOKUP(A340,'[1]LISTA ETIQUETAS'!O:W,6,0)),(VLOOKUP(A340,'[1]LISTA ETIQUETAS'!O:W,4,0)))</f>
        <v>0.42</v>
      </c>
      <c r="F340" s="11">
        <f>IF(VLOOKUP(A340,'[1]LISTA ETIQUETAS'!O:W,5,0)="",(VLOOKUP(A340,'[1]LISTA ETIQUETAS'!O:W,7,0)),(VLOOKUP(A340,'[1]LISTA ETIQUETAS'!O:W,5,0)))</f>
        <v>0.42</v>
      </c>
      <c r="G340" s="11">
        <f>IFERROR((VLOOKUP(A340,'[1]LISTA ETIQUETAS'!O:X,8,0)),"")</f>
        <v>1.08</v>
      </c>
      <c r="H340" s="11">
        <f>IFERROR((VLOOKUP(A340,'[1]LISTA ETIQUETAS'!O:X,9,0)),"")</f>
        <v>0</v>
      </c>
      <c r="I340" s="12">
        <f>IFERROR((VLOOKUP(A340,'[1]LISTA ETIQUETAS'!O:Y,11,0)),"")</f>
        <v>2291.34</v>
      </c>
      <c r="J340" s="6">
        <v>0</v>
      </c>
      <c r="K340" s="12">
        <f t="shared" si="15"/>
        <v>2291.34</v>
      </c>
      <c r="L340" s="7" t="str">
        <f>IF(VLOOKUP(A340,'[1]LISTA ETIQUETAS'!O:AB,14,0)="","",(VLOOKUP(A340,'[1]LISTA ETIQUETAS'!O:AB,14,0)))</f>
        <v/>
      </c>
      <c r="M340" s="8"/>
      <c r="N340" s="9">
        <f t="shared" si="16"/>
        <v>214530</v>
      </c>
      <c r="O340" s="2">
        <f>_xlfn.XLOOKUP($A340,'[1]LISTA ETIQUETAS'!$O:$O,'[1]LISTA ETIQUETAS'!C:C,"",0)</f>
        <v>0</v>
      </c>
      <c r="P340" s="2">
        <f>_xlfn.XLOOKUP($A340,'[1]LISTA ETIQUETAS'!$O:$O,'[1]LISTA ETIQUETAS'!D:D,"",0)</f>
        <v>0</v>
      </c>
      <c r="Q340" s="2">
        <f>_xlfn.XLOOKUP($A340,'[1]LISTA ETIQUETAS'!$O:$O,'[1]LISTA ETIQUETAS'!E:E,"",0)</f>
        <v>0</v>
      </c>
      <c r="R340" s="2">
        <f>_xlfn.XLOOKUP($A340,'[1]LISTA ETIQUETAS'!$O:$O,'[1]LISTA ETIQUETAS'!F:F,"",0)</f>
        <v>0</v>
      </c>
      <c r="S340" s="2">
        <f>_xlfn.XLOOKUP($A340,'[1]LISTA ETIQUETAS'!$O:$O,'[1]LISTA ETIQUETAS'!H:H,"",0)</f>
        <v>1</v>
      </c>
      <c r="T340" s="9">
        <f t="shared" si="17"/>
        <v>1</v>
      </c>
    </row>
    <row r="341" spans="1:20" x14ac:dyDescent="0.25">
      <c r="A341" s="5">
        <v>210555</v>
      </c>
      <c r="B341" t="str">
        <f>IFERROR((VLOOKUP(A341,'[1]LISTA ETIQUETAS'!O:X,3,0)),"PRODUTO SEM ESTOQUE")</f>
        <v>EST BANQUETA BAR AYLA ACAB MEL TC 2013</v>
      </c>
      <c r="C341" s="10" t="s">
        <v>70</v>
      </c>
      <c r="D341" s="10" t="s">
        <v>237</v>
      </c>
      <c r="E341" s="11">
        <f>IF(VLOOKUP(A341,'[1]LISTA ETIQUETAS'!O:W,4,0)="",(VLOOKUP(A341,'[1]LISTA ETIQUETAS'!O:W,6,0)),(VLOOKUP(A341,'[1]LISTA ETIQUETAS'!O:W,4,0)))</f>
        <v>0.42</v>
      </c>
      <c r="F341" s="11">
        <f>IF(VLOOKUP(A341,'[1]LISTA ETIQUETAS'!O:W,5,0)="",(VLOOKUP(A341,'[1]LISTA ETIQUETAS'!O:W,7,0)),(VLOOKUP(A341,'[1]LISTA ETIQUETAS'!O:W,5,0)))</f>
        <v>0.43</v>
      </c>
      <c r="G341" s="11">
        <f>IFERROR((VLOOKUP(A341,'[1]LISTA ETIQUETAS'!O:X,8,0)),"")</f>
        <v>1.08</v>
      </c>
      <c r="H341" s="11">
        <f>IFERROR((VLOOKUP(A341,'[1]LISTA ETIQUETAS'!O:X,9,0)),"")</f>
        <v>0</v>
      </c>
      <c r="I341" s="12">
        <f>IFERROR((VLOOKUP(A341,'[1]LISTA ETIQUETAS'!O:Y,11,0)),"")</f>
        <v>2291.34</v>
      </c>
      <c r="J341" s="6">
        <v>0</v>
      </c>
      <c r="K341" s="12">
        <f t="shared" si="15"/>
        <v>2291.34</v>
      </c>
      <c r="L341" s="7" t="str">
        <f>IF(VLOOKUP(A341,'[1]LISTA ETIQUETAS'!O:AB,14,0)="","",(VLOOKUP(A341,'[1]LISTA ETIQUETAS'!O:AB,14,0)))</f>
        <v/>
      </c>
      <c r="M341" s="8"/>
      <c r="N341" s="9">
        <f t="shared" si="16"/>
        <v>210555</v>
      </c>
      <c r="O341" s="2">
        <f>_xlfn.XLOOKUP($A341,'[1]LISTA ETIQUETAS'!$O:$O,'[1]LISTA ETIQUETAS'!C:C,"",0)</f>
        <v>0</v>
      </c>
      <c r="P341" s="2">
        <f>_xlfn.XLOOKUP($A341,'[1]LISTA ETIQUETAS'!$O:$O,'[1]LISTA ETIQUETAS'!D:D,"",0)</f>
        <v>0</v>
      </c>
      <c r="Q341" s="2">
        <f>_xlfn.XLOOKUP($A341,'[1]LISTA ETIQUETAS'!$O:$O,'[1]LISTA ETIQUETAS'!E:E,"",0)</f>
        <v>0</v>
      </c>
      <c r="R341" s="2">
        <f>_xlfn.XLOOKUP($A341,'[1]LISTA ETIQUETAS'!$O:$O,'[1]LISTA ETIQUETAS'!F:F,"",0)</f>
        <v>0</v>
      </c>
      <c r="S341" s="2">
        <f>_xlfn.XLOOKUP($A341,'[1]LISTA ETIQUETAS'!$O:$O,'[1]LISTA ETIQUETAS'!H:H,"",0)</f>
        <v>1</v>
      </c>
      <c r="T341" s="9">
        <f t="shared" si="17"/>
        <v>1</v>
      </c>
    </row>
    <row r="342" spans="1:20" x14ac:dyDescent="0.25">
      <c r="A342" s="5">
        <v>210389</v>
      </c>
      <c r="B342" t="str">
        <f>IFERROR((VLOOKUP(A342,'[1]LISTA ETIQUETAS'!O:X,3,0)),"PRODUTO SEM ESTOQUE")</f>
        <v>EST BANQUETA BAR ZIG (MISTA 520A/TELA SXT NT) NATURAL</v>
      </c>
      <c r="C342" s="10" t="s">
        <v>70</v>
      </c>
      <c r="D342" s="10" t="s">
        <v>238</v>
      </c>
      <c r="E342" s="11">
        <f>IF(VLOOKUP(A342,'[1]LISTA ETIQUETAS'!O:W,4,0)="",(VLOOKUP(A342,'[1]LISTA ETIQUETAS'!O:W,6,0)),(VLOOKUP(A342,'[1]LISTA ETIQUETAS'!O:W,4,0)))</f>
        <v>0.5</v>
      </c>
      <c r="F342" s="11">
        <f>IF(VLOOKUP(A342,'[1]LISTA ETIQUETAS'!O:W,5,0)="",(VLOOKUP(A342,'[1]LISTA ETIQUETAS'!O:W,7,0)),(VLOOKUP(A342,'[1]LISTA ETIQUETAS'!O:W,5,0)))</f>
        <v>0.51</v>
      </c>
      <c r="G342" s="11">
        <f>IFERROR((VLOOKUP(A342,'[1]LISTA ETIQUETAS'!O:X,8,0)),"")</f>
        <v>1.05</v>
      </c>
      <c r="H342" s="11">
        <f>IFERROR((VLOOKUP(A342,'[1]LISTA ETIQUETAS'!O:X,9,0)),"")</f>
        <v>0</v>
      </c>
      <c r="I342" s="12">
        <f>IFERROR((VLOOKUP(A342,'[1]LISTA ETIQUETAS'!O:Y,11,0)),"")</f>
        <v>4336.6400000000003</v>
      </c>
      <c r="J342" s="6">
        <v>0</v>
      </c>
      <c r="K342" s="12">
        <f t="shared" si="15"/>
        <v>4336.6400000000003</v>
      </c>
      <c r="L342" s="7" t="str">
        <f>IF(VLOOKUP(A342,'[1]LISTA ETIQUETAS'!O:AB,14,0)="","",(VLOOKUP(A342,'[1]LISTA ETIQUETAS'!O:AB,14,0)))</f>
        <v/>
      </c>
      <c r="M342" s="8"/>
      <c r="N342" s="9">
        <f t="shared" si="16"/>
        <v>210389</v>
      </c>
      <c r="O342" s="2">
        <f>_xlfn.XLOOKUP($A342,'[1]LISTA ETIQUETAS'!$O:$O,'[1]LISTA ETIQUETAS'!C:C,"",0)</f>
        <v>0</v>
      </c>
      <c r="P342" s="2">
        <f>_xlfn.XLOOKUP($A342,'[1]LISTA ETIQUETAS'!$O:$O,'[1]LISTA ETIQUETAS'!D:D,"",0)</f>
        <v>0</v>
      </c>
      <c r="Q342" s="2">
        <f>_xlfn.XLOOKUP($A342,'[1]LISTA ETIQUETAS'!$O:$O,'[1]LISTA ETIQUETAS'!E:E,"",0)</f>
        <v>0</v>
      </c>
      <c r="R342" s="2">
        <f>_xlfn.XLOOKUP($A342,'[1]LISTA ETIQUETAS'!$O:$O,'[1]LISTA ETIQUETAS'!F:F,"",0)</f>
        <v>0</v>
      </c>
      <c r="S342" s="2">
        <f>_xlfn.XLOOKUP($A342,'[1]LISTA ETIQUETAS'!$O:$O,'[1]LISTA ETIQUETAS'!H:H,"",0)</f>
        <v>1</v>
      </c>
      <c r="T342" s="9">
        <f t="shared" si="17"/>
        <v>1</v>
      </c>
    </row>
    <row r="343" spans="1:20" x14ac:dyDescent="0.25">
      <c r="A343" s="5">
        <v>210370</v>
      </c>
      <c r="B343" t="str">
        <f>IFERROR((VLOOKUP(A343,'[1]LISTA ETIQUETAS'!O:X,3,0)),"PRODUTO SEM ESTOQUE")</f>
        <v>EST BANQUETA BAR GIU (TC 7008) (TING CASTANHO)</v>
      </c>
      <c r="C343" s="10" t="s">
        <v>70</v>
      </c>
      <c r="D343" s="10" t="s">
        <v>227</v>
      </c>
      <c r="E343" s="11">
        <f>IF(VLOOKUP(A343,'[1]LISTA ETIQUETAS'!O:W,4,0)="",(VLOOKUP(A343,'[1]LISTA ETIQUETAS'!O:W,6,0)),(VLOOKUP(A343,'[1]LISTA ETIQUETAS'!O:W,4,0)))</f>
        <v>0.43</v>
      </c>
      <c r="F343" s="11">
        <f>IF(VLOOKUP(A343,'[1]LISTA ETIQUETAS'!O:W,5,0)="",(VLOOKUP(A343,'[1]LISTA ETIQUETAS'!O:W,7,0)),(VLOOKUP(A343,'[1]LISTA ETIQUETAS'!O:W,5,0)))</f>
        <v>0.51</v>
      </c>
      <c r="G343" s="11">
        <f>IFERROR((VLOOKUP(A343,'[1]LISTA ETIQUETAS'!O:X,8,0)),"")</f>
        <v>1</v>
      </c>
      <c r="H343" s="11">
        <f>IFERROR((VLOOKUP(A343,'[1]LISTA ETIQUETAS'!O:X,9,0)),"")</f>
        <v>0</v>
      </c>
      <c r="I343" s="12">
        <f>IFERROR((VLOOKUP(A343,'[1]LISTA ETIQUETAS'!O:Y,11,0)),"")</f>
        <v>5766.07</v>
      </c>
      <c r="J343" s="6">
        <v>0</v>
      </c>
      <c r="K343" s="12">
        <f t="shared" si="15"/>
        <v>5766.07</v>
      </c>
      <c r="L343" s="7" t="str">
        <f>IF(VLOOKUP(A343,'[1]LISTA ETIQUETAS'!O:AB,14,0)="","",(VLOOKUP(A343,'[1]LISTA ETIQUETAS'!O:AB,14,0)))</f>
        <v/>
      </c>
      <c r="M343" s="8"/>
      <c r="N343" s="9">
        <f t="shared" si="16"/>
        <v>210370</v>
      </c>
      <c r="O343" s="2">
        <f>_xlfn.XLOOKUP($A343,'[1]LISTA ETIQUETAS'!$O:$O,'[1]LISTA ETIQUETAS'!C:C,"",0)</f>
        <v>0</v>
      </c>
      <c r="P343" s="2">
        <f>_xlfn.XLOOKUP($A343,'[1]LISTA ETIQUETAS'!$O:$O,'[1]LISTA ETIQUETAS'!D:D,"",0)</f>
        <v>0</v>
      </c>
      <c r="Q343" s="2">
        <f>_xlfn.XLOOKUP($A343,'[1]LISTA ETIQUETAS'!$O:$O,'[1]LISTA ETIQUETAS'!E:E,"",0)</f>
        <v>0</v>
      </c>
      <c r="R343" s="2">
        <f>_xlfn.XLOOKUP($A343,'[1]LISTA ETIQUETAS'!$O:$O,'[1]LISTA ETIQUETAS'!F:F,"",0)</f>
        <v>0</v>
      </c>
      <c r="S343" s="2">
        <f>_xlfn.XLOOKUP($A343,'[1]LISTA ETIQUETAS'!$O:$O,'[1]LISTA ETIQUETAS'!H:H,"",0)</f>
        <v>1</v>
      </c>
      <c r="T343" s="9">
        <f t="shared" si="17"/>
        <v>1</v>
      </c>
    </row>
    <row r="344" spans="1:20" x14ac:dyDescent="0.25">
      <c r="A344" s="5">
        <v>230856</v>
      </c>
      <c r="B344" t="str">
        <f>IFERROR((VLOOKUP(A344,'[1]LISTA ETIQUETAS'!O:X,3,0)),"PRODUTO SEM ESTOQUE")</f>
        <v>EST BANQUETA BAR 102 (CANYON) (TELA IMBUIA NEGRA) TC 120</v>
      </c>
      <c r="C344" s="10" t="s">
        <v>70</v>
      </c>
      <c r="D344" s="10" t="s">
        <v>234</v>
      </c>
      <c r="E344" s="11">
        <f>IF(VLOOKUP(A344,'[1]LISTA ETIQUETAS'!O:W,4,0)="",(VLOOKUP(A344,'[1]LISTA ETIQUETAS'!O:W,6,0)),(VLOOKUP(A344,'[1]LISTA ETIQUETAS'!O:W,4,0)))</f>
        <v>0.52</v>
      </c>
      <c r="F344" s="11">
        <f>IF(VLOOKUP(A344,'[1]LISTA ETIQUETAS'!O:W,5,0)="",(VLOOKUP(A344,'[1]LISTA ETIQUETAS'!O:W,7,0)),(VLOOKUP(A344,'[1]LISTA ETIQUETAS'!O:W,5,0)))</f>
        <v>0.54</v>
      </c>
      <c r="G344" s="11">
        <f>IFERROR((VLOOKUP(A344,'[1]LISTA ETIQUETAS'!O:X,8,0)),"")</f>
        <v>1.05</v>
      </c>
      <c r="H344" s="11">
        <f>IFERROR((VLOOKUP(A344,'[1]LISTA ETIQUETAS'!O:X,9,0)),"")</f>
        <v>0</v>
      </c>
      <c r="I344" s="12" t="str">
        <f>IFERROR((VLOOKUP(A344,'[1]LISTA ETIQUETAS'!O:Y,11,0)),"")</f>
        <v/>
      </c>
      <c r="J344" s="6">
        <v>0</v>
      </c>
      <c r="K344" s="12" t="str">
        <f t="shared" si="15"/>
        <v/>
      </c>
      <c r="L344" s="7" t="str">
        <f>IF(VLOOKUP(A344,'[1]LISTA ETIQUETAS'!O:AB,14,0)="","",(VLOOKUP(A344,'[1]LISTA ETIQUETAS'!O:AB,14,0)))</f>
        <v/>
      </c>
      <c r="M344" s="8"/>
      <c r="N344" s="9">
        <f t="shared" si="16"/>
        <v>230856</v>
      </c>
      <c r="O344" s="2">
        <f>_xlfn.XLOOKUP($A344,'[1]LISTA ETIQUETAS'!$O:$O,'[1]LISTA ETIQUETAS'!C:C,"",0)</f>
        <v>0</v>
      </c>
      <c r="P344" s="2">
        <f>_xlfn.XLOOKUP($A344,'[1]LISTA ETIQUETAS'!$O:$O,'[1]LISTA ETIQUETAS'!D:D,"",0)</f>
        <v>0</v>
      </c>
      <c r="Q344" s="2">
        <f>_xlfn.XLOOKUP($A344,'[1]LISTA ETIQUETAS'!$O:$O,'[1]LISTA ETIQUETAS'!E:E,"",0)</f>
        <v>0</v>
      </c>
      <c r="R344" s="2">
        <f>_xlfn.XLOOKUP($A344,'[1]LISTA ETIQUETAS'!$O:$O,'[1]LISTA ETIQUETAS'!F:F,"",0)</f>
        <v>0</v>
      </c>
      <c r="S344" s="2">
        <f>_xlfn.XLOOKUP($A344,'[1]LISTA ETIQUETAS'!$O:$O,'[1]LISTA ETIQUETAS'!H:H,"",0)</f>
        <v>1</v>
      </c>
      <c r="T344" s="9">
        <f t="shared" si="17"/>
        <v>1</v>
      </c>
    </row>
    <row r="345" spans="1:20" x14ac:dyDescent="0.25">
      <c r="A345" s="5">
        <v>230260</v>
      </c>
      <c r="B345" t="str">
        <f>IFERROR((VLOOKUP(A345,'[1]LISTA ETIQUETAS'!O:X,3,0)),"PRODUTO SEM ESTOQUE")</f>
        <v>EST BANQUETA BAR EASY (EBANIZADO) (BASE PRETA FOSCA)</v>
      </c>
      <c r="C345" s="10" t="s">
        <v>70</v>
      </c>
      <c r="D345" s="10" t="s">
        <v>239</v>
      </c>
      <c r="E345" s="11">
        <f>IF(VLOOKUP(A345,'[1]LISTA ETIQUETAS'!O:W,4,0)="",(VLOOKUP(A345,'[1]LISTA ETIQUETAS'!O:W,6,0)),(VLOOKUP(A345,'[1]LISTA ETIQUETAS'!O:W,4,0)))</f>
        <v>0.38</v>
      </c>
      <c r="F345" s="11">
        <f>IF(VLOOKUP(A345,'[1]LISTA ETIQUETAS'!O:W,5,0)="",(VLOOKUP(A345,'[1]LISTA ETIQUETAS'!O:W,7,0)),(VLOOKUP(A345,'[1]LISTA ETIQUETAS'!O:W,5,0)))</f>
        <v>0.36</v>
      </c>
      <c r="G345" s="11">
        <f>IFERROR((VLOOKUP(A345,'[1]LISTA ETIQUETAS'!O:X,8,0)),"")</f>
        <v>0.7</v>
      </c>
      <c r="H345" s="11">
        <f>IFERROR((VLOOKUP(A345,'[1]LISTA ETIQUETAS'!O:X,9,0)),"")</f>
        <v>0</v>
      </c>
      <c r="I345" s="12" t="str">
        <f>IFERROR((VLOOKUP(A345,'[1]LISTA ETIQUETAS'!O:Y,11,0)),"")</f>
        <v/>
      </c>
      <c r="J345" s="6">
        <v>0</v>
      </c>
      <c r="K345" s="12" t="str">
        <f t="shared" si="15"/>
        <v/>
      </c>
      <c r="L345" s="7" t="str">
        <f>IF(VLOOKUP(A345,'[1]LISTA ETIQUETAS'!O:AB,14,0)="","",(VLOOKUP(A345,'[1]LISTA ETIQUETAS'!O:AB,14,0)))</f>
        <v/>
      </c>
      <c r="M345" s="8"/>
      <c r="N345" s="9">
        <f t="shared" si="16"/>
        <v>230260</v>
      </c>
      <c r="O345" s="2">
        <f>_xlfn.XLOOKUP($A345,'[1]LISTA ETIQUETAS'!$O:$O,'[1]LISTA ETIQUETAS'!C:C,"",0)</f>
        <v>0</v>
      </c>
      <c r="P345" s="2">
        <f>_xlfn.XLOOKUP($A345,'[1]LISTA ETIQUETAS'!$O:$O,'[1]LISTA ETIQUETAS'!D:D,"",0)</f>
        <v>0</v>
      </c>
      <c r="Q345" s="2">
        <f>_xlfn.XLOOKUP($A345,'[1]LISTA ETIQUETAS'!$O:$O,'[1]LISTA ETIQUETAS'!E:E,"",0)</f>
        <v>0</v>
      </c>
      <c r="R345" s="2">
        <f>_xlfn.XLOOKUP($A345,'[1]LISTA ETIQUETAS'!$O:$O,'[1]LISTA ETIQUETAS'!F:F,"",0)</f>
        <v>0</v>
      </c>
      <c r="S345" s="2">
        <f>_xlfn.XLOOKUP($A345,'[1]LISTA ETIQUETAS'!$O:$O,'[1]LISTA ETIQUETAS'!H:H,"",0)</f>
        <v>2</v>
      </c>
      <c r="T345" s="9">
        <f t="shared" si="17"/>
        <v>2</v>
      </c>
    </row>
    <row r="346" spans="1:20" x14ac:dyDescent="0.25">
      <c r="A346" s="5">
        <v>219523</v>
      </c>
      <c r="B346" t="str">
        <f>IFERROR((VLOOKUP(A346,'[1]LISTA ETIQUETAS'!O:X,3,0)),"PRODUTO SEM ESTOQUE")</f>
        <v>EST BANQUETA BAR 102 (EBANIZADO) TC 149</v>
      </c>
      <c r="C346" s="10" t="s">
        <v>70</v>
      </c>
      <c r="D346" s="10" t="s">
        <v>234</v>
      </c>
      <c r="E346" s="11">
        <f>IF(VLOOKUP(A346,'[1]LISTA ETIQUETAS'!O:W,4,0)="",(VLOOKUP(A346,'[1]LISTA ETIQUETAS'!O:W,6,0)),(VLOOKUP(A346,'[1]LISTA ETIQUETAS'!O:W,4,0)))</f>
        <v>0.52</v>
      </c>
      <c r="F346" s="11">
        <f>IF(VLOOKUP(A346,'[1]LISTA ETIQUETAS'!O:W,5,0)="",(VLOOKUP(A346,'[1]LISTA ETIQUETAS'!O:W,7,0)),(VLOOKUP(A346,'[1]LISTA ETIQUETAS'!O:W,5,0)))</f>
        <v>0.54</v>
      </c>
      <c r="G346" s="11">
        <f>IFERROR((VLOOKUP(A346,'[1]LISTA ETIQUETAS'!O:X,8,0)),"")</f>
        <v>1.05</v>
      </c>
      <c r="H346" s="11">
        <f>IFERROR((VLOOKUP(A346,'[1]LISTA ETIQUETAS'!O:X,9,0)),"")</f>
        <v>0</v>
      </c>
      <c r="I346" s="12" t="str">
        <f>IFERROR((VLOOKUP(A346,'[1]LISTA ETIQUETAS'!O:Y,11,0)),"")</f>
        <v/>
      </c>
      <c r="J346" s="6">
        <v>0</v>
      </c>
      <c r="K346" s="12" t="str">
        <f t="shared" si="15"/>
        <v/>
      </c>
      <c r="L346" s="7" t="str">
        <f>IF(VLOOKUP(A346,'[1]LISTA ETIQUETAS'!O:AB,14,0)="","",(VLOOKUP(A346,'[1]LISTA ETIQUETAS'!O:AB,14,0)))</f>
        <v/>
      </c>
      <c r="M346" s="8"/>
      <c r="N346" s="9">
        <f t="shared" si="16"/>
        <v>219523</v>
      </c>
      <c r="O346" s="2">
        <f>_xlfn.XLOOKUP($A346,'[1]LISTA ETIQUETAS'!$O:$O,'[1]LISTA ETIQUETAS'!C:C,"",0)</f>
        <v>0</v>
      </c>
      <c r="P346" s="2">
        <f>_xlfn.XLOOKUP($A346,'[1]LISTA ETIQUETAS'!$O:$O,'[1]LISTA ETIQUETAS'!D:D,"",0)</f>
        <v>0</v>
      </c>
      <c r="Q346" s="2">
        <f>_xlfn.XLOOKUP($A346,'[1]LISTA ETIQUETAS'!$O:$O,'[1]LISTA ETIQUETAS'!E:E,"",0)</f>
        <v>0</v>
      </c>
      <c r="R346" s="2">
        <f>_xlfn.XLOOKUP($A346,'[1]LISTA ETIQUETAS'!$O:$O,'[1]LISTA ETIQUETAS'!F:F,"",0)</f>
        <v>0</v>
      </c>
      <c r="S346" s="2">
        <f>_xlfn.XLOOKUP($A346,'[1]LISTA ETIQUETAS'!$O:$O,'[1]LISTA ETIQUETAS'!H:H,"",0)</f>
        <v>1</v>
      </c>
      <c r="T346" s="9">
        <f t="shared" si="17"/>
        <v>1</v>
      </c>
    </row>
    <row r="347" spans="1:20" x14ac:dyDescent="0.25">
      <c r="A347" s="5">
        <v>250026</v>
      </c>
      <c r="B347" t="str">
        <f>IFERROR((VLOOKUP(A347,'[1]LISTA ETIQUETAS'!O:X,3,0)),"PRODUTO SEM ESTOQUE")</f>
        <v>EST BANQUETA BAR EVO (MADEIRA MEL)</v>
      </c>
      <c r="C347" s="10" t="s">
        <v>70</v>
      </c>
      <c r="D347" s="10" t="s">
        <v>240</v>
      </c>
      <c r="E347" s="11">
        <f>IF(VLOOKUP(A347,'[1]LISTA ETIQUETAS'!O:W,4,0)="",(VLOOKUP(A347,'[1]LISTA ETIQUETAS'!O:W,6,0)),(VLOOKUP(A347,'[1]LISTA ETIQUETAS'!O:W,4,0)))</f>
        <v>0.43</v>
      </c>
      <c r="F347" s="11">
        <f>IF(VLOOKUP(A347,'[1]LISTA ETIQUETAS'!O:W,5,0)="",(VLOOKUP(A347,'[1]LISTA ETIQUETAS'!O:W,7,0)),(VLOOKUP(A347,'[1]LISTA ETIQUETAS'!O:W,5,0)))</f>
        <v>0.42</v>
      </c>
      <c r="G347" s="11">
        <f>IFERROR((VLOOKUP(A347,'[1]LISTA ETIQUETAS'!O:X,8,0)),"")</f>
        <v>1.03</v>
      </c>
      <c r="H347" s="11">
        <f>IFERROR((VLOOKUP(A347,'[1]LISTA ETIQUETAS'!O:X,9,0)),"")</f>
        <v>0</v>
      </c>
      <c r="I347" s="12">
        <f>IFERROR((VLOOKUP(A347,'[1]LISTA ETIQUETAS'!O:Y,11,0)),"")</f>
        <v>5392.44</v>
      </c>
      <c r="J347" s="6">
        <v>0</v>
      </c>
      <c r="K347" s="12">
        <f t="shared" si="15"/>
        <v>5392.44</v>
      </c>
      <c r="L347" s="7" t="str">
        <f>IF(VLOOKUP(A347,'[1]LISTA ETIQUETAS'!O:AB,14,0)="","",(VLOOKUP(A347,'[1]LISTA ETIQUETAS'!O:AB,14,0)))</f>
        <v/>
      </c>
      <c r="M347" s="8"/>
      <c r="N347" s="9">
        <f t="shared" si="16"/>
        <v>250026</v>
      </c>
      <c r="O347" s="2">
        <f>_xlfn.XLOOKUP($A347,'[1]LISTA ETIQUETAS'!$O:$O,'[1]LISTA ETIQUETAS'!C:C,"",0)</f>
        <v>0</v>
      </c>
      <c r="P347" s="2">
        <f>_xlfn.XLOOKUP($A347,'[1]LISTA ETIQUETAS'!$O:$O,'[1]LISTA ETIQUETAS'!D:D,"",0)</f>
        <v>0</v>
      </c>
      <c r="Q347" s="2">
        <f>_xlfn.XLOOKUP($A347,'[1]LISTA ETIQUETAS'!$O:$O,'[1]LISTA ETIQUETAS'!E:E,"",0)</f>
        <v>0</v>
      </c>
      <c r="R347" s="2">
        <f>_xlfn.XLOOKUP($A347,'[1]LISTA ETIQUETAS'!$O:$O,'[1]LISTA ETIQUETAS'!F:F,"",0)</f>
        <v>0</v>
      </c>
      <c r="S347" s="2">
        <f>_xlfn.XLOOKUP($A347,'[1]LISTA ETIQUETAS'!$O:$O,'[1]LISTA ETIQUETAS'!H:H,"",0)</f>
        <v>1</v>
      </c>
      <c r="T347" s="9">
        <f t="shared" si="17"/>
        <v>1</v>
      </c>
    </row>
    <row r="348" spans="1:20" x14ac:dyDescent="0.25">
      <c r="A348" s="5">
        <v>250027</v>
      </c>
      <c r="B348" t="str">
        <f>IFERROR((VLOOKUP(A348,'[1]LISTA ETIQUETAS'!O:X,3,0)),"PRODUTO SEM ESTOQUE")</f>
        <v>EST BANQUETA BAR EVO (MADEIRA EBANIZADA)</v>
      </c>
      <c r="C348" s="10" t="s">
        <v>70</v>
      </c>
      <c r="D348" s="10" t="s">
        <v>240</v>
      </c>
      <c r="E348" s="11">
        <f>IF(VLOOKUP(A348,'[1]LISTA ETIQUETAS'!O:W,4,0)="",(VLOOKUP(A348,'[1]LISTA ETIQUETAS'!O:W,6,0)),(VLOOKUP(A348,'[1]LISTA ETIQUETAS'!O:W,4,0)))</f>
        <v>0.43</v>
      </c>
      <c r="F348" s="11">
        <f>IF(VLOOKUP(A348,'[1]LISTA ETIQUETAS'!O:W,5,0)="",(VLOOKUP(A348,'[1]LISTA ETIQUETAS'!O:W,7,0)),(VLOOKUP(A348,'[1]LISTA ETIQUETAS'!O:W,5,0)))</f>
        <v>0.42</v>
      </c>
      <c r="G348" s="11">
        <f>IFERROR((VLOOKUP(A348,'[1]LISTA ETIQUETAS'!O:X,8,0)),"")</f>
        <v>1.03</v>
      </c>
      <c r="H348" s="11">
        <f>IFERROR((VLOOKUP(A348,'[1]LISTA ETIQUETAS'!O:X,9,0)),"")</f>
        <v>0</v>
      </c>
      <c r="I348" s="12">
        <f>IFERROR((VLOOKUP(A348,'[1]LISTA ETIQUETAS'!O:Y,11,0)),"")</f>
        <v>5392.44</v>
      </c>
      <c r="J348" s="6">
        <v>0</v>
      </c>
      <c r="K348" s="12">
        <f t="shared" si="15"/>
        <v>5392.44</v>
      </c>
      <c r="L348" s="7" t="str">
        <f>IF(VLOOKUP(A348,'[1]LISTA ETIQUETAS'!O:AB,14,0)="","",(VLOOKUP(A348,'[1]LISTA ETIQUETAS'!O:AB,14,0)))</f>
        <v/>
      </c>
      <c r="M348" s="8"/>
      <c r="N348" s="9">
        <f t="shared" si="16"/>
        <v>250027</v>
      </c>
      <c r="O348" s="2">
        <f>_xlfn.XLOOKUP($A348,'[1]LISTA ETIQUETAS'!$O:$O,'[1]LISTA ETIQUETAS'!C:C,"",0)</f>
        <v>0</v>
      </c>
      <c r="P348" s="2">
        <f>_xlfn.XLOOKUP($A348,'[1]LISTA ETIQUETAS'!$O:$O,'[1]LISTA ETIQUETAS'!D:D,"",0)</f>
        <v>0</v>
      </c>
      <c r="Q348" s="2">
        <f>_xlfn.XLOOKUP($A348,'[1]LISTA ETIQUETAS'!$O:$O,'[1]LISTA ETIQUETAS'!E:E,"",0)</f>
        <v>0</v>
      </c>
      <c r="R348" s="2">
        <f>_xlfn.XLOOKUP($A348,'[1]LISTA ETIQUETAS'!$O:$O,'[1]LISTA ETIQUETAS'!F:F,"",0)</f>
        <v>0</v>
      </c>
      <c r="S348" s="2">
        <f>_xlfn.XLOOKUP($A348,'[1]LISTA ETIQUETAS'!$O:$O,'[1]LISTA ETIQUETAS'!H:H,"",0)</f>
        <v>1</v>
      </c>
      <c r="T348" s="9">
        <f t="shared" si="17"/>
        <v>1</v>
      </c>
    </row>
    <row r="349" spans="1:20" x14ac:dyDescent="0.25">
      <c r="A349" s="5">
        <v>268060</v>
      </c>
      <c r="B349" t="str">
        <f>IFERROR((VLOOKUP(A349,'[1]LISTA ETIQUETAS'!O:X,3,0)),"PRODUTO SEM ESTOQUE")</f>
        <v>EST BANQUETA BAR ANNA (TAUARI TING EBANIZ) COURO BLACK MATT</v>
      </c>
      <c r="C349" s="10" t="s">
        <v>70</v>
      </c>
      <c r="D349" s="10" t="s">
        <v>241</v>
      </c>
      <c r="E349" s="11">
        <f>IF(VLOOKUP(A349,'[1]LISTA ETIQUETAS'!O:W,4,0)="",(VLOOKUP(A349,'[1]LISTA ETIQUETAS'!O:W,6,0)),(VLOOKUP(A349,'[1]LISTA ETIQUETAS'!O:W,4,0)))</f>
        <v>0.42</v>
      </c>
      <c r="F349" s="11">
        <f>IF(VLOOKUP(A349,'[1]LISTA ETIQUETAS'!O:W,5,0)="",(VLOOKUP(A349,'[1]LISTA ETIQUETAS'!O:W,7,0)),(VLOOKUP(A349,'[1]LISTA ETIQUETAS'!O:W,5,0)))</f>
        <v>0.5</v>
      </c>
      <c r="G349" s="11">
        <f>IFERROR((VLOOKUP(A349,'[1]LISTA ETIQUETAS'!O:X,8,0)),"")</f>
        <v>1.25</v>
      </c>
      <c r="H349" s="11">
        <f>IFERROR((VLOOKUP(A349,'[1]LISTA ETIQUETAS'!O:X,9,0)),"")</f>
        <v>0</v>
      </c>
      <c r="I349" s="12" t="str">
        <f>IFERROR((VLOOKUP(A349,'[1]LISTA ETIQUETAS'!O:Y,11,0)),"")</f>
        <v/>
      </c>
      <c r="J349" s="6">
        <v>0</v>
      </c>
      <c r="K349" s="12" t="str">
        <f t="shared" si="15"/>
        <v/>
      </c>
      <c r="L349" s="7" t="str">
        <f>IF(VLOOKUP(A349,'[1]LISTA ETIQUETAS'!O:AB,14,0)="","",(VLOOKUP(A349,'[1]LISTA ETIQUETAS'!O:AB,14,0)))</f>
        <v/>
      </c>
      <c r="M349" s="8"/>
      <c r="N349" s="9">
        <f t="shared" si="16"/>
        <v>268060</v>
      </c>
      <c r="O349" s="2">
        <f>_xlfn.XLOOKUP($A349,'[1]LISTA ETIQUETAS'!$O:$O,'[1]LISTA ETIQUETAS'!C:C,"",0)</f>
        <v>0</v>
      </c>
      <c r="P349" s="2">
        <f>_xlfn.XLOOKUP($A349,'[1]LISTA ETIQUETAS'!$O:$O,'[1]LISTA ETIQUETAS'!D:D,"",0)</f>
        <v>0</v>
      </c>
      <c r="Q349" s="2">
        <f>_xlfn.XLOOKUP($A349,'[1]LISTA ETIQUETAS'!$O:$O,'[1]LISTA ETIQUETAS'!E:E,"",0)</f>
        <v>0</v>
      </c>
      <c r="R349" s="2">
        <f>_xlfn.XLOOKUP($A349,'[1]LISTA ETIQUETAS'!$O:$O,'[1]LISTA ETIQUETAS'!F:F,"",0)</f>
        <v>0</v>
      </c>
      <c r="S349" s="2">
        <f>_xlfn.XLOOKUP($A349,'[1]LISTA ETIQUETAS'!$O:$O,'[1]LISTA ETIQUETAS'!H:H,"",0)</f>
        <v>1</v>
      </c>
      <c r="T349" s="9">
        <f t="shared" si="17"/>
        <v>1</v>
      </c>
    </row>
    <row r="350" spans="1:20" x14ac:dyDescent="0.25">
      <c r="A350" s="5">
        <v>270551</v>
      </c>
      <c r="B350" t="str">
        <f>IFERROR((VLOOKUP(A350,'[1]LISTA ETIQUETAS'!O:X,3,0)),"PRODUTO SEM ESTOQUE")</f>
        <v>EST BANQUETA BAR LISBOA (MARFIM NOCCE) (FX A1094/DET CAMEL)</v>
      </c>
      <c r="C350" s="10" t="s">
        <v>70</v>
      </c>
      <c r="D350" s="10" t="s">
        <v>242</v>
      </c>
      <c r="E350" s="11">
        <f>IF(VLOOKUP(A350,'[1]LISTA ETIQUETAS'!O:W,4,0)="",(VLOOKUP(A350,'[1]LISTA ETIQUETAS'!O:W,6,0)),(VLOOKUP(A350,'[1]LISTA ETIQUETAS'!O:W,4,0)))</f>
        <v>0.45</v>
      </c>
      <c r="F350" s="11">
        <f>IF(VLOOKUP(A350,'[1]LISTA ETIQUETAS'!O:W,5,0)="",(VLOOKUP(A350,'[1]LISTA ETIQUETAS'!O:W,7,0)),(VLOOKUP(A350,'[1]LISTA ETIQUETAS'!O:W,5,0)))</f>
        <v>0.54</v>
      </c>
      <c r="G350" s="11">
        <f>IFERROR((VLOOKUP(A350,'[1]LISTA ETIQUETAS'!O:X,8,0)),"")</f>
        <v>1.01</v>
      </c>
      <c r="H350" s="11">
        <f>IFERROR((VLOOKUP(A350,'[1]LISTA ETIQUETAS'!O:X,9,0)),"")</f>
        <v>0</v>
      </c>
      <c r="I350" s="12">
        <f>IFERROR((VLOOKUP(A350,'[1]LISTA ETIQUETAS'!O:Y,11,0)),"")</f>
        <v>4139.5200000000004</v>
      </c>
      <c r="J350" s="6">
        <v>0</v>
      </c>
      <c r="K350" s="12">
        <f t="shared" si="15"/>
        <v>4139.5200000000004</v>
      </c>
      <c r="L350" s="7" t="str">
        <f>IF(VLOOKUP(A350,'[1]LISTA ETIQUETAS'!O:AB,14,0)="","",(VLOOKUP(A350,'[1]LISTA ETIQUETAS'!O:AB,14,0)))</f>
        <v/>
      </c>
      <c r="M350" s="8"/>
      <c r="N350" s="9">
        <f t="shared" si="16"/>
        <v>270551</v>
      </c>
      <c r="O350" s="2">
        <f>_xlfn.XLOOKUP($A350,'[1]LISTA ETIQUETAS'!$O:$O,'[1]LISTA ETIQUETAS'!C:C,"",0)</f>
        <v>1</v>
      </c>
      <c r="P350" s="2">
        <f>_xlfn.XLOOKUP($A350,'[1]LISTA ETIQUETAS'!$O:$O,'[1]LISTA ETIQUETAS'!D:D,"",0)</f>
        <v>1</v>
      </c>
      <c r="Q350" s="2">
        <f>_xlfn.XLOOKUP($A350,'[1]LISTA ETIQUETAS'!$O:$O,'[1]LISTA ETIQUETAS'!E:E,"",0)</f>
        <v>0</v>
      </c>
      <c r="R350" s="2">
        <f>_xlfn.XLOOKUP($A350,'[1]LISTA ETIQUETAS'!$O:$O,'[1]LISTA ETIQUETAS'!F:F,"",0)</f>
        <v>0</v>
      </c>
      <c r="S350" s="2">
        <f>_xlfn.XLOOKUP($A350,'[1]LISTA ETIQUETAS'!$O:$O,'[1]LISTA ETIQUETAS'!H:H,"",0)</f>
        <v>1</v>
      </c>
      <c r="T350" s="9">
        <f t="shared" si="17"/>
        <v>3</v>
      </c>
    </row>
    <row r="351" spans="1:20" x14ac:dyDescent="0.25">
      <c r="A351" s="5">
        <v>80036</v>
      </c>
      <c r="B351" t="str">
        <f>IFERROR((VLOOKUP(A351,'[1]LISTA ETIQUETAS'!O:X,3,0)),"PRODUTO SEM ESTOQUE")</f>
        <v>EST BUFFET CROCCO (CATUABA AVELUDA) (LC V100 FOSCA)</v>
      </c>
      <c r="C351" s="10" t="s">
        <v>56</v>
      </c>
      <c r="D351" s="10" t="s">
        <v>243</v>
      </c>
      <c r="E351" s="11">
        <f>IF(VLOOKUP(A351,'[1]LISTA ETIQUETAS'!O:W,4,0)="",(VLOOKUP(A351,'[1]LISTA ETIQUETAS'!O:W,6,0)),(VLOOKUP(A351,'[1]LISTA ETIQUETAS'!O:W,4,0)))</f>
        <v>2</v>
      </c>
      <c r="F351" s="11">
        <f>IF(VLOOKUP(A351,'[1]LISTA ETIQUETAS'!O:W,5,0)="",(VLOOKUP(A351,'[1]LISTA ETIQUETAS'!O:W,7,0)),(VLOOKUP(A351,'[1]LISTA ETIQUETAS'!O:W,5,0)))</f>
        <v>0.5</v>
      </c>
      <c r="G351" s="11">
        <f>IFERROR((VLOOKUP(A351,'[1]LISTA ETIQUETAS'!O:X,8,0)),"")</f>
        <v>0.75</v>
      </c>
      <c r="H351" s="11">
        <f>IFERROR((VLOOKUP(A351,'[1]LISTA ETIQUETAS'!O:X,9,0)),"")</f>
        <v>0</v>
      </c>
      <c r="I351" s="12">
        <f>IFERROR((VLOOKUP(A351,'[1]LISTA ETIQUETAS'!O:Y,11,0)),"")</f>
        <v>0</v>
      </c>
      <c r="J351" s="6">
        <v>0</v>
      </c>
      <c r="K351" s="12">
        <f t="shared" si="15"/>
        <v>0</v>
      </c>
      <c r="L351" s="7" t="str">
        <f>IF(VLOOKUP(A351,'[1]LISTA ETIQUETAS'!O:AB,14,0)="","",(VLOOKUP(A351,'[1]LISTA ETIQUETAS'!O:AB,14,0)))</f>
        <v/>
      </c>
      <c r="M351" s="8"/>
      <c r="N351" s="9">
        <f t="shared" si="16"/>
        <v>80036</v>
      </c>
      <c r="O351" s="2">
        <f>_xlfn.XLOOKUP($A351,'[1]LISTA ETIQUETAS'!$O:$O,'[1]LISTA ETIQUETAS'!C:C,"",0)</f>
        <v>0</v>
      </c>
      <c r="P351" s="2">
        <f>_xlfn.XLOOKUP($A351,'[1]LISTA ETIQUETAS'!$O:$O,'[1]LISTA ETIQUETAS'!D:D,"",0)</f>
        <v>0</v>
      </c>
      <c r="Q351" s="2">
        <f>_xlfn.XLOOKUP($A351,'[1]LISTA ETIQUETAS'!$O:$O,'[1]LISTA ETIQUETAS'!E:E,"",0)</f>
        <v>0</v>
      </c>
      <c r="R351" s="2">
        <f>_xlfn.XLOOKUP($A351,'[1]LISTA ETIQUETAS'!$O:$O,'[1]LISTA ETIQUETAS'!F:F,"",0)</f>
        <v>0</v>
      </c>
      <c r="S351" s="2">
        <f>_xlfn.XLOOKUP($A351,'[1]LISTA ETIQUETAS'!$O:$O,'[1]LISTA ETIQUETAS'!H:H,"",0)</f>
        <v>1</v>
      </c>
      <c r="T351" s="9">
        <f t="shared" si="17"/>
        <v>1</v>
      </c>
    </row>
    <row r="352" spans="1:20" x14ac:dyDescent="0.25">
      <c r="A352" s="5">
        <v>128597</v>
      </c>
      <c r="B352" t="str">
        <f>IFERROR((VLOOKUP(A352,'[1]LISTA ETIQUETAS'!O:X,3,0)),"PRODUTO SEM ESTOQUE")</f>
        <v>EST BUFFET THETYS (LACA BRILHO BRANCA) (ESPELHO PRATA)</v>
      </c>
      <c r="C352" s="10" t="s">
        <v>56</v>
      </c>
      <c r="D352" s="10" t="s">
        <v>244</v>
      </c>
      <c r="E352" s="11">
        <f>IF(VLOOKUP(A352,'[1]LISTA ETIQUETAS'!O:W,4,0)="",(VLOOKUP(A352,'[1]LISTA ETIQUETAS'!O:W,6,0)),(VLOOKUP(A352,'[1]LISTA ETIQUETAS'!O:W,4,0)))</f>
        <v>2.2000000000000002</v>
      </c>
      <c r="F352" s="11">
        <f>IF(VLOOKUP(A352,'[1]LISTA ETIQUETAS'!O:W,5,0)="",(VLOOKUP(A352,'[1]LISTA ETIQUETAS'!O:W,7,0)),(VLOOKUP(A352,'[1]LISTA ETIQUETAS'!O:W,5,0)))</f>
        <v>0.8</v>
      </c>
      <c r="G352" s="11">
        <f>IFERROR((VLOOKUP(A352,'[1]LISTA ETIQUETAS'!O:X,8,0)),"")</f>
        <v>0.52</v>
      </c>
      <c r="H352" s="11">
        <f>IFERROR((VLOOKUP(A352,'[1]LISTA ETIQUETAS'!O:X,9,0)),"")</f>
        <v>0</v>
      </c>
      <c r="I352" s="12">
        <f>IFERROR((VLOOKUP(A352,'[1]LISTA ETIQUETAS'!O:Y,11,0)),"")</f>
        <v>0</v>
      </c>
      <c r="J352" s="6">
        <v>0</v>
      </c>
      <c r="K352" s="12">
        <f t="shared" si="15"/>
        <v>0</v>
      </c>
      <c r="L352" s="7" t="str">
        <f>IF(VLOOKUP(A352,'[1]LISTA ETIQUETAS'!O:AB,14,0)="","",(VLOOKUP(A352,'[1]LISTA ETIQUETAS'!O:AB,14,0)))</f>
        <v/>
      </c>
      <c r="M352" s="8"/>
      <c r="N352" s="9">
        <f t="shared" si="16"/>
        <v>128597</v>
      </c>
      <c r="O352" s="2">
        <f>_xlfn.XLOOKUP($A352,'[1]LISTA ETIQUETAS'!$O:$O,'[1]LISTA ETIQUETAS'!C:C,"",0)</f>
        <v>0</v>
      </c>
      <c r="P352" s="2">
        <f>_xlfn.XLOOKUP($A352,'[1]LISTA ETIQUETAS'!$O:$O,'[1]LISTA ETIQUETAS'!D:D,"",0)</f>
        <v>0</v>
      </c>
      <c r="Q352" s="2">
        <f>_xlfn.XLOOKUP($A352,'[1]LISTA ETIQUETAS'!$O:$O,'[1]LISTA ETIQUETAS'!E:E,"",0)</f>
        <v>0</v>
      </c>
      <c r="R352" s="2">
        <f>_xlfn.XLOOKUP($A352,'[1]LISTA ETIQUETAS'!$O:$O,'[1]LISTA ETIQUETAS'!F:F,"",0)</f>
        <v>0</v>
      </c>
      <c r="S352" s="2">
        <f>_xlfn.XLOOKUP($A352,'[1]LISTA ETIQUETAS'!$O:$O,'[1]LISTA ETIQUETAS'!H:H,"",0)</f>
        <v>1</v>
      </c>
      <c r="T352" s="9">
        <f t="shared" si="17"/>
        <v>1</v>
      </c>
    </row>
    <row r="353" spans="1:20" x14ac:dyDescent="0.25">
      <c r="A353" s="5">
        <v>158315</v>
      </c>
      <c r="B353" t="str">
        <f>IFERROR((VLOOKUP(A353,'[1]LISTA ETIQUETAS'!O:X,3,0)),"PRODUTO SEM ESTOQUE")</f>
        <v>EST BUFFET COPA (LACA BRANCA) (MUIRACATIARA POA)</v>
      </c>
      <c r="C353" s="10" t="s">
        <v>56</v>
      </c>
      <c r="D353" s="10" t="s">
        <v>245</v>
      </c>
      <c r="E353" s="11">
        <f>IF(VLOOKUP(A353,'[1]LISTA ETIQUETAS'!O:W,4,0)="",(VLOOKUP(A353,'[1]LISTA ETIQUETAS'!O:W,6,0)),(VLOOKUP(A353,'[1]LISTA ETIQUETAS'!O:W,4,0)))</f>
        <v>2.4</v>
      </c>
      <c r="F353" s="11">
        <f>IF(VLOOKUP(A353,'[1]LISTA ETIQUETAS'!O:W,5,0)="",(VLOOKUP(A353,'[1]LISTA ETIQUETAS'!O:W,7,0)),(VLOOKUP(A353,'[1]LISTA ETIQUETAS'!O:W,5,0)))</f>
        <v>0.5</v>
      </c>
      <c r="G353" s="11">
        <f>IFERROR((VLOOKUP(A353,'[1]LISTA ETIQUETAS'!O:X,8,0)),"")</f>
        <v>0.8</v>
      </c>
      <c r="H353" s="11">
        <f>IFERROR((VLOOKUP(A353,'[1]LISTA ETIQUETAS'!O:X,9,0)),"")</f>
        <v>0</v>
      </c>
      <c r="I353" s="12">
        <f>IFERROR((VLOOKUP(A353,'[1]LISTA ETIQUETAS'!O:Y,11,0)),"")</f>
        <v>0</v>
      </c>
      <c r="J353" s="6">
        <v>0</v>
      </c>
      <c r="K353" s="12">
        <f t="shared" si="15"/>
        <v>0</v>
      </c>
      <c r="L353" s="7" t="str">
        <f>IF(VLOOKUP(A353,'[1]LISTA ETIQUETAS'!O:AB,14,0)="","",(VLOOKUP(A353,'[1]LISTA ETIQUETAS'!O:AB,14,0)))</f>
        <v/>
      </c>
      <c r="M353" s="8"/>
      <c r="N353" s="9">
        <f t="shared" si="16"/>
        <v>158315</v>
      </c>
      <c r="O353" s="2">
        <f>_xlfn.XLOOKUP($A353,'[1]LISTA ETIQUETAS'!$O:$O,'[1]LISTA ETIQUETAS'!C:C,"",0)</f>
        <v>0</v>
      </c>
      <c r="P353" s="2">
        <f>_xlfn.XLOOKUP($A353,'[1]LISTA ETIQUETAS'!$O:$O,'[1]LISTA ETIQUETAS'!D:D,"",0)</f>
        <v>0</v>
      </c>
      <c r="Q353" s="2">
        <f>_xlfn.XLOOKUP($A353,'[1]LISTA ETIQUETAS'!$O:$O,'[1]LISTA ETIQUETAS'!E:E,"",0)</f>
        <v>0</v>
      </c>
      <c r="R353" s="2">
        <f>_xlfn.XLOOKUP($A353,'[1]LISTA ETIQUETAS'!$O:$O,'[1]LISTA ETIQUETAS'!F:F,"",0)</f>
        <v>0</v>
      </c>
      <c r="S353" s="2">
        <f>_xlfn.XLOOKUP($A353,'[1]LISTA ETIQUETAS'!$O:$O,'[1]LISTA ETIQUETAS'!H:H,"",0)</f>
        <v>1</v>
      </c>
      <c r="T353" s="9">
        <f t="shared" si="17"/>
        <v>1</v>
      </c>
    </row>
    <row r="354" spans="1:20" x14ac:dyDescent="0.25">
      <c r="A354" s="5">
        <v>163826</v>
      </c>
      <c r="B354" t="str">
        <f>IFERROR((VLOOKUP(A354,'[1]LISTA ETIQUETAS'!O:X,3,0)),"PRODUTO SEM ESTOQUE")</f>
        <v>EST BUFFET CURVO (LC CINZA 70010CZ) JEQUITIBA NATURAL</v>
      </c>
      <c r="C354" s="10" t="s">
        <v>56</v>
      </c>
      <c r="D354" s="10" t="s">
        <v>246</v>
      </c>
      <c r="E354" s="11">
        <f>IF(VLOOKUP(A354,'[1]LISTA ETIQUETAS'!O:W,4,0)="",(VLOOKUP(A354,'[1]LISTA ETIQUETAS'!O:W,6,0)),(VLOOKUP(A354,'[1]LISTA ETIQUETAS'!O:W,4,0)))</f>
        <v>2</v>
      </c>
      <c r="F354" s="11">
        <f>IF(VLOOKUP(A354,'[1]LISTA ETIQUETAS'!O:W,5,0)="",(VLOOKUP(A354,'[1]LISTA ETIQUETAS'!O:W,7,0)),(VLOOKUP(A354,'[1]LISTA ETIQUETAS'!O:W,5,0)))</f>
        <v>0.5</v>
      </c>
      <c r="G354" s="11">
        <f>IFERROR((VLOOKUP(A354,'[1]LISTA ETIQUETAS'!O:X,8,0)),"")</f>
        <v>0.67</v>
      </c>
      <c r="H354" s="11">
        <f>IFERROR((VLOOKUP(A354,'[1]LISTA ETIQUETAS'!O:X,9,0)),"")</f>
        <v>0</v>
      </c>
      <c r="I354" s="12">
        <f>IFERROR((VLOOKUP(A354,'[1]LISTA ETIQUETAS'!O:Y,11,0)),"")</f>
        <v>20182.400000000001</v>
      </c>
      <c r="J354" s="6">
        <v>0</v>
      </c>
      <c r="K354" s="12">
        <f t="shared" si="15"/>
        <v>20182.400000000001</v>
      </c>
      <c r="L354" s="7" t="str">
        <f>IF(VLOOKUP(A354,'[1]LISTA ETIQUETAS'!O:AB,14,0)="","",(VLOOKUP(A354,'[1]LISTA ETIQUETAS'!O:AB,14,0)))</f>
        <v/>
      </c>
      <c r="M354" s="8"/>
      <c r="N354" s="9">
        <f t="shared" si="16"/>
        <v>163826</v>
      </c>
      <c r="O354" s="2">
        <f>_xlfn.XLOOKUP($A354,'[1]LISTA ETIQUETAS'!$O:$O,'[1]LISTA ETIQUETAS'!C:C,"",0)</f>
        <v>0</v>
      </c>
      <c r="P354" s="2">
        <f>_xlfn.XLOOKUP($A354,'[1]LISTA ETIQUETAS'!$O:$O,'[1]LISTA ETIQUETAS'!D:D,"",0)</f>
        <v>1</v>
      </c>
      <c r="Q354" s="2">
        <f>_xlfn.XLOOKUP($A354,'[1]LISTA ETIQUETAS'!$O:$O,'[1]LISTA ETIQUETAS'!E:E,"",0)</f>
        <v>0</v>
      </c>
      <c r="R354" s="2">
        <f>_xlfn.XLOOKUP($A354,'[1]LISTA ETIQUETAS'!$O:$O,'[1]LISTA ETIQUETAS'!F:F,"",0)</f>
        <v>0</v>
      </c>
      <c r="S354" s="2">
        <f>_xlfn.XLOOKUP($A354,'[1]LISTA ETIQUETAS'!$O:$O,'[1]LISTA ETIQUETAS'!H:H,"",0)</f>
        <v>1</v>
      </c>
      <c r="T354" s="9">
        <f t="shared" si="17"/>
        <v>2</v>
      </c>
    </row>
    <row r="355" spans="1:20" x14ac:dyDescent="0.25">
      <c r="A355" s="5">
        <v>224531</v>
      </c>
      <c r="B355" t="str">
        <f>IFERROR((VLOOKUP(A355,'[1]LISTA ETIQUETAS'!O:X,3,0)),"PRODUTO SEM ESTOQUE")</f>
        <v>EST BUFFET TOKYO SUSPENSO (CORPO/PORTA NOG/DET MTX PRETO)</v>
      </c>
      <c r="C355" s="10" t="s">
        <v>56</v>
      </c>
      <c r="D355" s="10" t="s">
        <v>247</v>
      </c>
      <c r="E355" s="11">
        <f>IF(VLOOKUP(A355,'[1]LISTA ETIQUETAS'!O:W,4,0)="",(VLOOKUP(A355,'[1]LISTA ETIQUETAS'!O:W,6,0)),(VLOOKUP(A355,'[1]LISTA ETIQUETAS'!O:W,4,0)))</f>
        <v>2.4</v>
      </c>
      <c r="F355" s="11">
        <f>IF(VLOOKUP(A355,'[1]LISTA ETIQUETAS'!O:W,5,0)="",(VLOOKUP(A355,'[1]LISTA ETIQUETAS'!O:W,7,0)),(VLOOKUP(A355,'[1]LISTA ETIQUETAS'!O:W,5,0)))</f>
        <v>0.45</v>
      </c>
      <c r="G355" s="11">
        <f>IFERROR((VLOOKUP(A355,'[1]LISTA ETIQUETAS'!O:X,8,0)),"")</f>
        <v>0.45</v>
      </c>
      <c r="H355" s="11">
        <f>IFERROR((VLOOKUP(A355,'[1]LISTA ETIQUETAS'!O:X,9,0)),"")</f>
        <v>0</v>
      </c>
      <c r="I355" s="12">
        <f>IFERROR((VLOOKUP(A355,'[1]LISTA ETIQUETAS'!O:Y,11,0)),"")</f>
        <v>36012.93</v>
      </c>
      <c r="J355" s="6">
        <v>0</v>
      </c>
      <c r="K355" s="12">
        <f t="shared" si="15"/>
        <v>36012.93</v>
      </c>
      <c r="L355" s="7" t="str">
        <f>IF(VLOOKUP(A355,'[1]LISTA ETIQUETAS'!O:AB,14,0)="","",(VLOOKUP(A355,'[1]LISTA ETIQUETAS'!O:AB,14,0)))</f>
        <v/>
      </c>
      <c r="M355" s="8"/>
      <c r="N355" s="9">
        <f t="shared" si="16"/>
        <v>224531</v>
      </c>
      <c r="O355" s="2">
        <f>_xlfn.XLOOKUP($A355,'[1]LISTA ETIQUETAS'!$O:$O,'[1]LISTA ETIQUETAS'!C:C,"",0)</f>
        <v>0</v>
      </c>
      <c r="P355" s="2">
        <f>_xlfn.XLOOKUP($A355,'[1]LISTA ETIQUETAS'!$O:$O,'[1]LISTA ETIQUETAS'!D:D,"",0)</f>
        <v>0</v>
      </c>
      <c r="Q355" s="2">
        <f>_xlfn.XLOOKUP($A355,'[1]LISTA ETIQUETAS'!$O:$O,'[1]LISTA ETIQUETAS'!E:E,"",0)</f>
        <v>0</v>
      </c>
      <c r="R355" s="2">
        <f>_xlfn.XLOOKUP($A355,'[1]LISTA ETIQUETAS'!$O:$O,'[1]LISTA ETIQUETAS'!F:F,"",0)</f>
        <v>0</v>
      </c>
      <c r="S355" s="2">
        <f>_xlfn.XLOOKUP($A355,'[1]LISTA ETIQUETAS'!$O:$O,'[1]LISTA ETIQUETAS'!H:H,"",0)</f>
        <v>2</v>
      </c>
      <c r="T355" s="9">
        <f t="shared" si="17"/>
        <v>2</v>
      </c>
    </row>
    <row r="356" spans="1:20" x14ac:dyDescent="0.25">
      <c r="A356" s="5">
        <v>255749</v>
      </c>
      <c r="B356" t="str">
        <f>IFERROR((VLOOKUP(A356,'[1]LISTA ETIQUETAS'!O:X,3,0)),"PRODUTO SEM ESTOQUE")</f>
        <v>EST BUFFET AD (RESINA OFF WHITE)</v>
      </c>
      <c r="C356" s="10" t="s">
        <v>56</v>
      </c>
      <c r="D356" s="10" t="s">
        <v>248</v>
      </c>
      <c r="E356" s="11">
        <f>IF(VLOOKUP(A356,'[1]LISTA ETIQUETAS'!O:W,4,0)="",(VLOOKUP(A356,'[1]LISTA ETIQUETAS'!O:W,6,0)),(VLOOKUP(A356,'[1]LISTA ETIQUETAS'!O:W,4,0)))</f>
        <v>2.73</v>
      </c>
      <c r="F356" s="11">
        <f>IF(VLOOKUP(A356,'[1]LISTA ETIQUETAS'!O:W,5,0)="",(VLOOKUP(A356,'[1]LISTA ETIQUETAS'!O:W,7,0)),(VLOOKUP(A356,'[1]LISTA ETIQUETAS'!O:W,5,0)))</f>
        <v>0.5</v>
      </c>
      <c r="G356" s="11">
        <f>IFERROR((VLOOKUP(A356,'[1]LISTA ETIQUETAS'!O:X,8,0)),"")</f>
        <v>0.77</v>
      </c>
      <c r="H356" s="11">
        <f>IFERROR((VLOOKUP(A356,'[1]LISTA ETIQUETAS'!O:X,9,0)),"")</f>
        <v>0</v>
      </c>
      <c r="I356" s="12">
        <f>IFERROR((VLOOKUP(A356,'[1]LISTA ETIQUETAS'!O:Y,11,0)),"")</f>
        <v>64628.17</v>
      </c>
      <c r="J356" s="6">
        <v>0</v>
      </c>
      <c r="K356" s="12">
        <f t="shared" si="15"/>
        <v>64628.17</v>
      </c>
      <c r="L356" s="7" t="str">
        <f>IF(VLOOKUP(A356,'[1]LISTA ETIQUETAS'!O:AB,14,0)="","",(VLOOKUP(A356,'[1]LISTA ETIQUETAS'!O:AB,14,0)))</f>
        <v/>
      </c>
      <c r="M356" s="8"/>
      <c r="N356" s="9">
        <f t="shared" si="16"/>
        <v>255749</v>
      </c>
      <c r="O356" s="2">
        <f>_xlfn.XLOOKUP($A356,'[1]LISTA ETIQUETAS'!$O:$O,'[1]LISTA ETIQUETAS'!C:C,"",0)</f>
        <v>0</v>
      </c>
      <c r="P356" s="2">
        <f>_xlfn.XLOOKUP($A356,'[1]LISTA ETIQUETAS'!$O:$O,'[1]LISTA ETIQUETAS'!D:D,"",0)</f>
        <v>0</v>
      </c>
      <c r="Q356" s="2">
        <f>_xlfn.XLOOKUP($A356,'[1]LISTA ETIQUETAS'!$O:$O,'[1]LISTA ETIQUETAS'!E:E,"",0)</f>
        <v>0</v>
      </c>
      <c r="R356" s="2">
        <f>_xlfn.XLOOKUP($A356,'[1]LISTA ETIQUETAS'!$O:$O,'[1]LISTA ETIQUETAS'!F:F,"",0)</f>
        <v>0</v>
      </c>
      <c r="S356" s="2">
        <f>_xlfn.XLOOKUP($A356,'[1]LISTA ETIQUETAS'!$O:$O,'[1]LISTA ETIQUETAS'!H:H,"",0)</f>
        <v>1</v>
      </c>
      <c r="T356" s="9">
        <f t="shared" si="17"/>
        <v>1</v>
      </c>
    </row>
    <row r="357" spans="1:20" x14ac:dyDescent="0.25">
      <c r="A357" s="5">
        <v>175157</v>
      </c>
      <c r="B357" t="str">
        <f>IFERROR((VLOOKUP(A357,'[1]LISTA ETIQUETAS'!O:X,3,0)),"PRODUTO SEM ESTOQUE")</f>
        <v>EST BUFFET MICHELLE II (CHAMPAGNE METALIC) (PELINO BRANCO)</v>
      </c>
      <c r="C357" s="10" t="s">
        <v>56</v>
      </c>
      <c r="D357" s="10" t="s">
        <v>249</v>
      </c>
      <c r="E357" s="11">
        <f>IF(VLOOKUP(A357,'[1]LISTA ETIQUETAS'!O:W,4,0)="",(VLOOKUP(A357,'[1]LISTA ETIQUETAS'!O:W,6,0)),(VLOOKUP(A357,'[1]LISTA ETIQUETAS'!O:W,4,0)))</f>
        <v>2</v>
      </c>
      <c r="F357" s="11">
        <f>IF(VLOOKUP(A357,'[1]LISTA ETIQUETAS'!O:W,5,0)="",(VLOOKUP(A357,'[1]LISTA ETIQUETAS'!O:W,7,0)),(VLOOKUP(A357,'[1]LISTA ETIQUETAS'!O:W,5,0)))</f>
        <v>0.5</v>
      </c>
      <c r="G357" s="11">
        <f>IFERROR((VLOOKUP(A357,'[1]LISTA ETIQUETAS'!O:X,8,0)),"")</f>
        <v>0.8</v>
      </c>
      <c r="H357" s="11">
        <f>IFERROR((VLOOKUP(A357,'[1]LISTA ETIQUETAS'!O:X,9,0)),"")</f>
        <v>0</v>
      </c>
      <c r="I357" s="12">
        <f>IFERROR((VLOOKUP(A357,'[1]LISTA ETIQUETAS'!O:Y,11,0)),"")</f>
        <v>0</v>
      </c>
      <c r="J357" s="6">
        <v>0</v>
      </c>
      <c r="K357" s="12">
        <f t="shared" si="15"/>
        <v>0</v>
      </c>
      <c r="L357" s="7" t="str">
        <f>IF(VLOOKUP(A357,'[1]LISTA ETIQUETAS'!O:AB,14,0)="","",(VLOOKUP(A357,'[1]LISTA ETIQUETAS'!O:AB,14,0)))</f>
        <v/>
      </c>
      <c r="M357" s="8"/>
      <c r="N357" s="9">
        <f t="shared" si="16"/>
        <v>175157</v>
      </c>
      <c r="O357" s="2">
        <f>_xlfn.XLOOKUP($A357,'[1]LISTA ETIQUETAS'!$O:$O,'[1]LISTA ETIQUETAS'!C:C,"",0)</f>
        <v>0</v>
      </c>
      <c r="P357" s="2">
        <f>_xlfn.XLOOKUP($A357,'[1]LISTA ETIQUETAS'!$O:$O,'[1]LISTA ETIQUETAS'!D:D,"",0)</f>
        <v>0</v>
      </c>
      <c r="Q357" s="2">
        <f>_xlfn.XLOOKUP($A357,'[1]LISTA ETIQUETAS'!$O:$O,'[1]LISTA ETIQUETAS'!E:E,"",0)</f>
        <v>0</v>
      </c>
      <c r="R357" s="2">
        <f>_xlfn.XLOOKUP($A357,'[1]LISTA ETIQUETAS'!$O:$O,'[1]LISTA ETIQUETAS'!F:F,"",0)</f>
        <v>0</v>
      </c>
      <c r="S357" s="2">
        <f>_xlfn.XLOOKUP($A357,'[1]LISTA ETIQUETAS'!$O:$O,'[1]LISTA ETIQUETAS'!H:H,"",0)</f>
        <v>1</v>
      </c>
      <c r="T357" s="9">
        <f t="shared" si="17"/>
        <v>1</v>
      </c>
    </row>
    <row r="358" spans="1:20" x14ac:dyDescent="0.25">
      <c r="A358" s="5">
        <v>258015</v>
      </c>
      <c r="B358" t="str">
        <f>IFERROR((VLOOKUP(A358,'[1]LISTA ETIQUETAS'!O:X,3,0)),"PRODUTO SEM ESTOQUE")</f>
        <v>EST BUFFET CHAN C/PTAS CARV TING IMBUIA MEL CLARO</v>
      </c>
      <c r="C358" s="10" t="s">
        <v>56</v>
      </c>
      <c r="D358" s="10" t="s">
        <v>250</v>
      </c>
      <c r="E358" s="11">
        <f>IF(VLOOKUP(A358,'[1]LISTA ETIQUETAS'!O:W,4,0)="",(VLOOKUP(A358,'[1]LISTA ETIQUETAS'!O:W,6,0)),(VLOOKUP(A358,'[1]LISTA ETIQUETAS'!O:W,4,0)))</f>
        <v>1.8</v>
      </c>
      <c r="F358" s="11">
        <f>IF(VLOOKUP(A358,'[1]LISTA ETIQUETAS'!O:W,5,0)="",(VLOOKUP(A358,'[1]LISTA ETIQUETAS'!O:W,7,0)),(VLOOKUP(A358,'[1]LISTA ETIQUETAS'!O:W,5,0)))</f>
        <v>0.5</v>
      </c>
      <c r="G358" s="11">
        <f>IFERROR((VLOOKUP(A358,'[1]LISTA ETIQUETAS'!O:X,8,0)),"")</f>
        <v>0.75</v>
      </c>
      <c r="H358" s="11">
        <f>IFERROR((VLOOKUP(A358,'[1]LISTA ETIQUETAS'!O:X,9,0)),"")</f>
        <v>0</v>
      </c>
      <c r="I358" s="12">
        <f>IFERROR((VLOOKUP(A358,'[1]LISTA ETIQUETAS'!O:Y,11,0)),"")</f>
        <v>29489.15</v>
      </c>
      <c r="J358" s="6">
        <v>0</v>
      </c>
      <c r="K358" s="12">
        <f t="shared" si="15"/>
        <v>29489.15</v>
      </c>
      <c r="L358" s="7" t="str">
        <f>IF(VLOOKUP(A358,'[1]LISTA ETIQUETAS'!O:AB,14,0)="","",(VLOOKUP(A358,'[1]LISTA ETIQUETAS'!O:AB,14,0)))</f>
        <v/>
      </c>
      <c r="M358" s="8"/>
      <c r="N358" s="9">
        <f t="shared" si="16"/>
        <v>258015</v>
      </c>
      <c r="O358" s="2">
        <f>_xlfn.XLOOKUP($A358,'[1]LISTA ETIQUETAS'!$O:$O,'[1]LISTA ETIQUETAS'!C:C,"",0)</f>
        <v>0</v>
      </c>
      <c r="P358" s="2">
        <f>_xlfn.XLOOKUP($A358,'[1]LISTA ETIQUETAS'!$O:$O,'[1]LISTA ETIQUETAS'!D:D,"",0)</f>
        <v>0</v>
      </c>
      <c r="Q358" s="2">
        <f>_xlfn.XLOOKUP($A358,'[1]LISTA ETIQUETAS'!$O:$O,'[1]LISTA ETIQUETAS'!E:E,"",0)</f>
        <v>0</v>
      </c>
      <c r="R358" s="2">
        <f>_xlfn.XLOOKUP($A358,'[1]LISTA ETIQUETAS'!$O:$O,'[1]LISTA ETIQUETAS'!F:F,"",0)</f>
        <v>0</v>
      </c>
      <c r="S358" s="2">
        <f>_xlfn.XLOOKUP($A358,'[1]LISTA ETIQUETAS'!$O:$O,'[1]LISTA ETIQUETAS'!H:H,"",0)</f>
        <v>1</v>
      </c>
      <c r="T358" s="9">
        <f t="shared" si="17"/>
        <v>1</v>
      </c>
    </row>
    <row r="359" spans="1:20" x14ac:dyDescent="0.25">
      <c r="A359" s="5">
        <v>308716</v>
      </c>
      <c r="B359" t="str">
        <f>IFERROR((VLOOKUP(A359,'[1]LISTA ETIQUETAS'!O:X,3,0)),"PRODUTO SEM ESTOQUE")</f>
        <v>EST BUFFET DIXIE (TP NERO/LAMINADO CARV OAK PRETO/MTX PRETO)</v>
      </c>
      <c r="C359" s="10" t="s">
        <v>56</v>
      </c>
      <c r="D359" s="10" t="s">
        <v>251</v>
      </c>
      <c r="E359" s="11">
        <f>IF(VLOOKUP(A359,'[1]LISTA ETIQUETAS'!O:W,4,0)="",(VLOOKUP(A359,'[1]LISTA ETIQUETAS'!O:W,6,0)),(VLOOKUP(A359,'[1]LISTA ETIQUETAS'!O:W,4,0)))</f>
        <v>1.6</v>
      </c>
      <c r="F359" s="11">
        <f>IF(VLOOKUP(A359,'[1]LISTA ETIQUETAS'!O:W,5,0)="",(VLOOKUP(A359,'[1]LISTA ETIQUETAS'!O:W,7,0)),(VLOOKUP(A359,'[1]LISTA ETIQUETAS'!O:W,5,0)))</f>
        <v>0.51</v>
      </c>
      <c r="G359" s="11">
        <f>IFERROR((VLOOKUP(A359,'[1]LISTA ETIQUETAS'!O:X,8,0)),"")</f>
        <v>0.76</v>
      </c>
      <c r="H359" s="11">
        <f>IFERROR((VLOOKUP(A359,'[1]LISTA ETIQUETAS'!O:X,9,0)),"")</f>
        <v>0</v>
      </c>
      <c r="I359" s="12">
        <f>IFERROR((VLOOKUP(A359,'[1]LISTA ETIQUETAS'!O:Y,11,0)),"")</f>
        <v>59354.400000000001</v>
      </c>
      <c r="J359" s="6">
        <v>0</v>
      </c>
      <c r="K359" s="12">
        <f t="shared" si="15"/>
        <v>59354.400000000001</v>
      </c>
      <c r="L359" s="7" t="str">
        <f>IF(VLOOKUP(A359,'[1]LISTA ETIQUETAS'!O:AB,14,0)="","",(VLOOKUP(A359,'[1]LISTA ETIQUETAS'!O:AB,14,0)))</f>
        <v/>
      </c>
      <c r="M359" s="8"/>
      <c r="N359" s="9">
        <f t="shared" si="16"/>
        <v>308716</v>
      </c>
      <c r="O359" s="2">
        <f>_xlfn.XLOOKUP($A359,'[1]LISTA ETIQUETAS'!$O:$O,'[1]LISTA ETIQUETAS'!C:C,"",0)</f>
        <v>0</v>
      </c>
      <c r="P359" s="2">
        <f>_xlfn.XLOOKUP($A359,'[1]LISTA ETIQUETAS'!$O:$O,'[1]LISTA ETIQUETAS'!D:D,"",0)</f>
        <v>0</v>
      </c>
      <c r="Q359" s="2">
        <f>_xlfn.XLOOKUP($A359,'[1]LISTA ETIQUETAS'!$O:$O,'[1]LISTA ETIQUETAS'!E:E,"",0)</f>
        <v>0</v>
      </c>
      <c r="R359" s="2">
        <f>_xlfn.XLOOKUP($A359,'[1]LISTA ETIQUETAS'!$O:$O,'[1]LISTA ETIQUETAS'!F:F,"",0)</f>
        <v>0</v>
      </c>
      <c r="S359" s="2">
        <f>_xlfn.XLOOKUP($A359,'[1]LISTA ETIQUETAS'!$O:$O,'[1]LISTA ETIQUETAS'!H:H,"",0)</f>
        <v>1</v>
      </c>
      <c r="T359" s="9">
        <f t="shared" si="17"/>
        <v>1</v>
      </c>
    </row>
    <row r="360" spans="1:20" x14ac:dyDescent="0.25">
      <c r="A360" s="5">
        <v>275006</v>
      </c>
      <c r="B360" t="str">
        <f>IFERROR((VLOOKUP(A360,'[1]LISTA ETIQUETAS'!O:X,3,0)),"PRODUTO SEM ESTOQUE")</f>
        <v>EST BUFFET BRELL (CORPO CARV OAK ESTN/PT LAMINA) PES MTZ OXI</v>
      </c>
      <c r="C360" s="10" t="s">
        <v>56</v>
      </c>
      <c r="D360" s="10" t="s">
        <v>252</v>
      </c>
      <c r="E360" s="11">
        <f>IF(VLOOKUP(A360,'[1]LISTA ETIQUETAS'!O:W,4,0)="",(VLOOKUP(A360,'[1]LISTA ETIQUETAS'!O:W,6,0)),(VLOOKUP(A360,'[1]LISTA ETIQUETAS'!O:W,4,0)))</f>
        <v>2</v>
      </c>
      <c r="F360" s="11">
        <f>IF(VLOOKUP(A360,'[1]LISTA ETIQUETAS'!O:W,5,0)="",(VLOOKUP(A360,'[1]LISTA ETIQUETAS'!O:W,7,0)),(VLOOKUP(A360,'[1]LISTA ETIQUETAS'!O:W,5,0)))</f>
        <v>0.5</v>
      </c>
      <c r="G360" s="11">
        <f>IFERROR((VLOOKUP(A360,'[1]LISTA ETIQUETAS'!O:X,8,0)),"")</f>
        <v>0.75</v>
      </c>
      <c r="H360" s="11">
        <f>IFERROR((VLOOKUP(A360,'[1]LISTA ETIQUETAS'!O:X,9,0)),"")</f>
        <v>0</v>
      </c>
      <c r="I360" s="12">
        <f>IFERROR((VLOOKUP(A360,'[1]LISTA ETIQUETAS'!O:Y,11,0)),"")</f>
        <v>38551.879999999997</v>
      </c>
      <c r="J360" s="6">
        <v>0</v>
      </c>
      <c r="K360" s="12">
        <f t="shared" si="15"/>
        <v>38551.879999999997</v>
      </c>
      <c r="L360" s="7" t="str">
        <f>IF(VLOOKUP(A360,'[1]LISTA ETIQUETAS'!O:AB,14,0)="","",(VLOOKUP(A360,'[1]LISTA ETIQUETAS'!O:AB,14,0)))</f>
        <v/>
      </c>
      <c r="M360" s="8"/>
      <c r="N360" s="9">
        <f t="shared" si="16"/>
        <v>275006</v>
      </c>
      <c r="O360" s="2">
        <f>_xlfn.XLOOKUP($A360,'[1]LISTA ETIQUETAS'!$O:$O,'[1]LISTA ETIQUETAS'!C:C,"",0)</f>
        <v>1</v>
      </c>
      <c r="P360" s="2">
        <f>_xlfn.XLOOKUP($A360,'[1]LISTA ETIQUETAS'!$O:$O,'[1]LISTA ETIQUETAS'!D:D,"",0)</f>
        <v>0</v>
      </c>
      <c r="Q360" s="2">
        <f>_xlfn.XLOOKUP($A360,'[1]LISTA ETIQUETAS'!$O:$O,'[1]LISTA ETIQUETAS'!E:E,"",0)</f>
        <v>0</v>
      </c>
      <c r="R360" s="2">
        <f>_xlfn.XLOOKUP($A360,'[1]LISTA ETIQUETAS'!$O:$O,'[1]LISTA ETIQUETAS'!F:F,"",0)</f>
        <v>0</v>
      </c>
      <c r="S360" s="2">
        <f>_xlfn.XLOOKUP($A360,'[1]LISTA ETIQUETAS'!$O:$O,'[1]LISTA ETIQUETAS'!H:H,"",0)</f>
        <v>1</v>
      </c>
      <c r="T360" s="9">
        <f t="shared" si="17"/>
        <v>2</v>
      </c>
    </row>
    <row r="361" spans="1:20" x14ac:dyDescent="0.25">
      <c r="A361" s="5">
        <v>275024</v>
      </c>
      <c r="B361" t="str">
        <f>IFERROR((VLOOKUP(A361,'[1]LISTA ETIQUETAS'!O:X,3,0)),"PRODUTO SEM ESTOQUE")</f>
        <v>EST BUFFET DIXIE (TP CALACATA/LAMIANDO FREIJO/MTX M BLANC)</v>
      </c>
      <c r="C361" s="10" t="s">
        <v>56</v>
      </c>
      <c r="D361" s="10" t="s">
        <v>251</v>
      </c>
      <c r="E361" s="11">
        <f>IF(VLOOKUP(A361,'[1]LISTA ETIQUETAS'!O:W,4,0)="",(VLOOKUP(A361,'[1]LISTA ETIQUETAS'!O:W,6,0)),(VLOOKUP(A361,'[1]LISTA ETIQUETAS'!O:W,4,0)))</f>
        <v>1.6</v>
      </c>
      <c r="F361" s="11">
        <f>IF(VLOOKUP(A361,'[1]LISTA ETIQUETAS'!O:W,5,0)="",(VLOOKUP(A361,'[1]LISTA ETIQUETAS'!O:W,7,0)),(VLOOKUP(A361,'[1]LISTA ETIQUETAS'!O:W,5,0)))</f>
        <v>0.51</v>
      </c>
      <c r="G361" s="11">
        <f>IFERROR((VLOOKUP(A361,'[1]LISTA ETIQUETAS'!O:X,8,0)),"")</f>
        <v>0.76</v>
      </c>
      <c r="H361" s="11">
        <f>IFERROR((VLOOKUP(A361,'[1]LISTA ETIQUETAS'!O:X,9,0)),"")</f>
        <v>0</v>
      </c>
      <c r="I361" s="12">
        <f>IFERROR((VLOOKUP(A361,'[1]LISTA ETIQUETAS'!O:Y,11,0)),"")</f>
        <v>59354.400000000001</v>
      </c>
      <c r="J361" s="6">
        <v>0</v>
      </c>
      <c r="K361" s="12">
        <f t="shared" si="15"/>
        <v>59354.400000000001</v>
      </c>
      <c r="L361" s="7" t="str">
        <f>IF(VLOOKUP(A361,'[1]LISTA ETIQUETAS'!O:AB,14,0)="","",(VLOOKUP(A361,'[1]LISTA ETIQUETAS'!O:AB,14,0)))</f>
        <v/>
      </c>
      <c r="M361" s="8"/>
      <c r="N361" s="9">
        <f t="shared" si="16"/>
        <v>275024</v>
      </c>
      <c r="O361" s="2">
        <f>_xlfn.XLOOKUP($A361,'[1]LISTA ETIQUETAS'!$O:$O,'[1]LISTA ETIQUETAS'!C:C,"",0)</f>
        <v>0</v>
      </c>
      <c r="P361" s="2">
        <f>_xlfn.XLOOKUP($A361,'[1]LISTA ETIQUETAS'!$O:$O,'[1]LISTA ETIQUETAS'!D:D,"",0)</f>
        <v>0</v>
      </c>
      <c r="Q361" s="2">
        <f>_xlfn.XLOOKUP($A361,'[1]LISTA ETIQUETAS'!$O:$O,'[1]LISTA ETIQUETAS'!E:E,"",0)</f>
        <v>0</v>
      </c>
      <c r="R361" s="2">
        <f>_xlfn.XLOOKUP($A361,'[1]LISTA ETIQUETAS'!$O:$O,'[1]LISTA ETIQUETAS'!F:F,"",0)</f>
        <v>0</v>
      </c>
      <c r="S361" s="2">
        <f>_xlfn.XLOOKUP($A361,'[1]LISTA ETIQUETAS'!$O:$O,'[1]LISTA ETIQUETAS'!H:H,"",0)</f>
        <v>1</v>
      </c>
      <c r="T361" s="9">
        <f t="shared" si="17"/>
        <v>1</v>
      </c>
    </row>
    <row r="362" spans="1:20" x14ac:dyDescent="0.25">
      <c r="A362" s="5">
        <v>307829</v>
      </c>
      <c r="B362" t="str">
        <f>IFERROR((VLOOKUP(A362,'[1]LISTA ETIQUETAS'!O:X,3,0)),"PRODUTO SEM ESTOQUE")</f>
        <v>EST CADEIRA KEEF C/BRACO (JEQ TING FRJ) (MISTA) (C4 CAMEL)</v>
      </c>
      <c r="C362" s="10" t="s">
        <v>253</v>
      </c>
      <c r="D362" s="10" t="s">
        <v>254</v>
      </c>
      <c r="E362" s="11">
        <f>IF(VLOOKUP(A362,'[1]LISTA ETIQUETAS'!O:W,4,0)="",(VLOOKUP(A362,'[1]LISTA ETIQUETAS'!O:W,6,0)),(VLOOKUP(A362,'[1]LISTA ETIQUETAS'!O:W,4,0)))</f>
        <v>0.55000000000000004</v>
      </c>
      <c r="F362" s="11">
        <f>IF(VLOOKUP(A362,'[1]LISTA ETIQUETAS'!O:W,5,0)="",(VLOOKUP(A362,'[1]LISTA ETIQUETAS'!O:W,7,0)),(VLOOKUP(A362,'[1]LISTA ETIQUETAS'!O:W,5,0)))</f>
        <v>0.54</v>
      </c>
      <c r="G362" s="11">
        <f>IFERROR((VLOOKUP(A362,'[1]LISTA ETIQUETAS'!O:X,8,0)),"")</f>
        <v>0.89</v>
      </c>
      <c r="H362" s="11">
        <f>IFERROR((VLOOKUP(A362,'[1]LISTA ETIQUETAS'!O:X,9,0)),"")</f>
        <v>0</v>
      </c>
      <c r="I362" s="12">
        <f>IFERROR((VLOOKUP(A362,'[1]LISTA ETIQUETAS'!O:Y,11,0)),"")</f>
        <v>9927.3700000000008</v>
      </c>
      <c r="J362" s="6">
        <v>0</v>
      </c>
      <c r="K362" s="12">
        <f t="shared" si="15"/>
        <v>9927.3700000000008</v>
      </c>
      <c r="L362" s="7" t="str">
        <f>IF(VLOOKUP(A362,'[1]LISTA ETIQUETAS'!O:AB,14,0)="","",(VLOOKUP(A362,'[1]LISTA ETIQUETAS'!O:AB,14,0)))</f>
        <v/>
      </c>
      <c r="M362" s="8"/>
      <c r="N362" s="9">
        <f t="shared" si="16"/>
        <v>307829</v>
      </c>
      <c r="O362" s="2">
        <f>_xlfn.XLOOKUP($A362,'[1]LISTA ETIQUETAS'!$O:$O,'[1]LISTA ETIQUETAS'!C:C,"",0)</f>
        <v>0</v>
      </c>
      <c r="P362" s="2">
        <f>_xlfn.XLOOKUP($A362,'[1]LISTA ETIQUETAS'!$O:$O,'[1]LISTA ETIQUETAS'!D:D,"",0)</f>
        <v>0</v>
      </c>
      <c r="Q362" s="2">
        <f>_xlfn.XLOOKUP($A362,'[1]LISTA ETIQUETAS'!$O:$O,'[1]LISTA ETIQUETAS'!E:E,"",0)</f>
        <v>0</v>
      </c>
      <c r="R362" s="2">
        <f>_xlfn.XLOOKUP($A362,'[1]LISTA ETIQUETAS'!$O:$O,'[1]LISTA ETIQUETAS'!F:F,"",0)</f>
        <v>0</v>
      </c>
      <c r="S362" s="2">
        <f>_xlfn.XLOOKUP($A362,'[1]LISTA ETIQUETAS'!$O:$O,'[1]LISTA ETIQUETAS'!H:H,"",0)</f>
        <v>1</v>
      </c>
      <c r="T362" s="9">
        <f t="shared" si="17"/>
        <v>1</v>
      </c>
    </row>
    <row r="363" spans="1:20" x14ac:dyDescent="0.25">
      <c r="A363" s="5">
        <v>278062</v>
      </c>
      <c r="B363" t="str">
        <f>IFERROR((VLOOKUP(A363,'[1]LISTA ETIQUETAS'!O:X,3,0)),"PRODUTO SEM ESTOQUE")</f>
        <v>EST CADEIRA RENDEIRA (FX 50038/TELA LEVE NAT) (NATURE MATT)</v>
      </c>
      <c r="C363" s="10" t="s">
        <v>253</v>
      </c>
      <c r="D363" s="10" t="s">
        <v>255</v>
      </c>
      <c r="E363" s="11">
        <f>IF(VLOOKUP(A363,'[1]LISTA ETIQUETAS'!O:W,4,0)="",(VLOOKUP(A363,'[1]LISTA ETIQUETAS'!O:W,6,0)),(VLOOKUP(A363,'[1]LISTA ETIQUETAS'!O:W,4,0)))</f>
        <v>0.48</v>
      </c>
      <c r="F363" s="11">
        <f>IF(VLOOKUP(A363,'[1]LISTA ETIQUETAS'!O:W,5,0)="",(VLOOKUP(A363,'[1]LISTA ETIQUETAS'!O:W,7,0)),(VLOOKUP(A363,'[1]LISTA ETIQUETAS'!O:W,5,0)))</f>
        <v>0.59</v>
      </c>
      <c r="G363" s="11">
        <f>IFERROR((VLOOKUP(A363,'[1]LISTA ETIQUETAS'!O:X,8,0)),"")</f>
        <v>0.8</v>
      </c>
      <c r="H363" s="11">
        <f>IFERROR((VLOOKUP(A363,'[1]LISTA ETIQUETAS'!O:X,9,0)),"")</f>
        <v>0</v>
      </c>
      <c r="I363" s="12">
        <f>IFERROR((VLOOKUP(A363,'[1]LISTA ETIQUETAS'!O:Y,11,0)),"")</f>
        <v>6796.25</v>
      </c>
      <c r="J363" s="6">
        <v>0</v>
      </c>
      <c r="K363" s="12">
        <f t="shared" si="15"/>
        <v>6796.25</v>
      </c>
      <c r="L363" s="7" t="str">
        <f>IF(VLOOKUP(A363,'[1]LISTA ETIQUETAS'!O:AB,14,0)="","",(VLOOKUP(A363,'[1]LISTA ETIQUETAS'!O:AB,14,0)))</f>
        <v/>
      </c>
      <c r="M363" s="8"/>
      <c r="N363" s="9">
        <f t="shared" si="16"/>
        <v>278062</v>
      </c>
      <c r="O363" s="2">
        <f>_xlfn.XLOOKUP($A363,'[1]LISTA ETIQUETAS'!$O:$O,'[1]LISTA ETIQUETAS'!C:C,"",0)</f>
        <v>0</v>
      </c>
      <c r="P363" s="2">
        <f>_xlfn.XLOOKUP($A363,'[1]LISTA ETIQUETAS'!$O:$O,'[1]LISTA ETIQUETAS'!D:D,"",0)</f>
        <v>0</v>
      </c>
      <c r="Q363" s="2">
        <f>_xlfn.XLOOKUP($A363,'[1]LISTA ETIQUETAS'!$O:$O,'[1]LISTA ETIQUETAS'!E:E,"",0)</f>
        <v>0</v>
      </c>
      <c r="R363" s="2">
        <f>_xlfn.XLOOKUP($A363,'[1]LISTA ETIQUETAS'!$O:$O,'[1]LISTA ETIQUETAS'!F:F,"",0)</f>
        <v>0</v>
      </c>
      <c r="S363" s="2">
        <f>_xlfn.XLOOKUP($A363,'[1]LISTA ETIQUETAS'!$O:$O,'[1]LISTA ETIQUETAS'!H:H,"",0)</f>
        <v>2</v>
      </c>
      <c r="T363" s="9">
        <f t="shared" si="17"/>
        <v>2</v>
      </c>
    </row>
    <row r="364" spans="1:20" x14ac:dyDescent="0.25">
      <c r="A364" s="5">
        <v>308800</v>
      </c>
      <c r="B364" t="str">
        <f>IFERROR((VLOOKUP(A364,'[1]LISTA ETIQUETAS'!O:X,3,0)),"PRODUTO SEM ESTOQUE")</f>
        <v>EST CADEIRA 60 C/BRACO (EUC TABACO) CS0125/BOUT COURO CAMEL</v>
      </c>
      <c r="C364" s="10" t="s">
        <v>253</v>
      </c>
      <c r="D364" s="10" t="s">
        <v>256</v>
      </c>
      <c r="E364" s="11">
        <f>IF(VLOOKUP(A364,'[1]LISTA ETIQUETAS'!O:W,4,0)="",(VLOOKUP(A364,'[1]LISTA ETIQUETAS'!O:W,6,0)),(VLOOKUP(A364,'[1]LISTA ETIQUETAS'!O:W,4,0)))</f>
        <v>0.56000000000000005</v>
      </c>
      <c r="F364" s="11">
        <f>IF(VLOOKUP(A364,'[1]LISTA ETIQUETAS'!O:W,5,0)="",(VLOOKUP(A364,'[1]LISTA ETIQUETAS'!O:W,7,0)),(VLOOKUP(A364,'[1]LISTA ETIQUETAS'!O:W,5,0)))</f>
        <v>0.59</v>
      </c>
      <c r="G364" s="11">
        <f>IFERROR((VLOOKUP(A364,'[1]LISTA ETIQUETAS'!O:X,8,0)),"")</f>
        <v>0.84</v>
      </c>
      <c r="H364" s="11">
        <f>IFERROR((VLOOKUP(A364,'[1]LISTA ETIQUETAS'!O:X,9,0)),"")</f>
        <v>0</v>
      </c>
      <c r="I364" s="12">
        <f>IFERROR((VLOOKUP(A364,'[1]LISTA ETIQUETAS'!O:Y,11,0)),"")</f>
        <v>7016.8</v>
      </c>
      <c r="J364" s="6">
        <v>0</v>
      </c>
      <c r="K364" s="12">
        <f t="shared" si="15"/>
        <v>7016.8</v>
      </c>
      <c r="L364" s="7" t="str">
        <f>IF(VLOOKUP(A364,'[1]LISTA ETIQUETAS'!O:AB,14,0)="","",(VLOOKUP(A364,'[1]LISTA ETIQUETAS'!O:AB,14,0)))</f>
        <v/>
      </c>
      <c r="M364" s="8"/>
      <c r="N364" s="9">
        <f t="shared" si="16"/>
        <v>308800</v>
      </c>
      <c r="O364" s="2">
        <f>_xlfn.XLOOKUP($A364,'[1]LISTA ETIQUETAS'!$O:$O,'[1]LISTA ETIQUETAS'!C:C,"",0)</f>
        <v>0</v>
      </c>
      <c r="P364" s="2">
        <f>_xlfn.XLOOKUP($A364,'[1]LISTA ETIQUETAS'!$O:$O,'[1]LISTA ETIQUETAS'!D:D,"",0)</f>
        <v>0</v>
      </c>
      <c r="Q364" s="2">
        <f>_xlfn.XLOOKUP($A364,'[1]LISTA ETIQUETAS'!$O:$O,'[1]LISTA ETIQUETAS'!E:E,"",0)</f>
        <v>1</v>
      </c>
      <c r="R364" s="2">
        <f>_xlfn.XLOOKUP($A364,'[1]LISTA ETIQUETAS'!$O:$O,'[1]LISTA ETIQUETAS'!F:F,"",0)</f>
        <v>0</v>
      </c>
      <c r="S364" s="2">
        <f>_xlfn.XLOOKUP($A364,'[1]LISTA ETIQUETAS'!$O:$O,'[1]LISTA ETIQUETAS'!H:H,"",0)</f>
        <v>3</v>
      </c>
      <c r="T364" s="9">
        <f t="shared" si="17"/>
        <v>4</v>
      </c>
    </row>
    <row r="365" spans="1:20" x14ac:dyDescent="0.25">
      <c r="A365" s="5">
        <v>308799</v>
      </c>
      <c r="B365" t="str">
        <f>IFERROR((VLOOKUP(A365,'[1]LISTA ETIQUETAS'!O:X,3,0)),"PRODUTO SEM ESTOQUE")</f>
        <v>EST CADEIRA 60 C/BRACO (EUC EBANIZ) CS0125/BOUT COURO 3815-1</v>
      </c>
      <c r="C365" s="10" t="s">
        <v>253</v>
      </c>
      <c r="D365" s="10" t="s">
        <v>256</v>
      </c>
      <c r="E365" s="11">
        <f>IF(VLOOKUP(A365,'[1]LISTA ETIQUETAS'!O:W,4,0)="",(VLOOKUP(A365,'[1]LISTA ETIQUETAS'!O:W,6,0)),(VLOOKUP(A365,'[1]LISTA ETIQUETAS'!O:W,4,0)))</f>
        <v>0.56000000000000005</v>
      </c>
      <c r="F365" s="11">
        <f>IF(VLOOKUP(A365,'[1]LISTA ETIQUETAS'!O:W,5,0)="",(VLOOKUP(A365,'[1]LISTA ETIQUETAS'!O:W,7,0)),(VLOOKUP(A365,'[1]LISTA ETIQUETAS'!O:W,5,0)))</f>
        <v>0.59</v>
      </c>
      <c r="G365" s="11">
        <f>IFERROR((VLOOKUP(A365,'[1]LISTA ETIQUETAS'!O:X,8,0)),"")</f>
        <v>0.84</v>
      </c>
      <c r="H365" s="11">
        <f>IFERROR((VLOOKUP(A365,'[1]LISTA ETIQUETAS'!O:X,9,0)),"")</f>
        <v>0</v>
      </c>
      <c r="I365" s="12">
        <f>IFERROR((VLOOKUP(A365,'[1]LISTA ETIQUETAS'!O:Y,11,0)),"")</f>
        <v>7016.8</v>
      </c>
      <c r="J365" s="6">
        <v>0</v>
      </c>
      <c r="K365" s="12">
        <f t="shared" si="15"/>
        <v>7016.8</v>
      </c>
      <c r="L365" s="7" t="str">
        <f>IF(VLOOKUP(A365,'[1]LISTA ETIQUETAS'!O:AB,14,0)="","",(VLOOKUP(A365,'[1]LISTA ETIQUETAS'!O:AB,14,0)))</f>
        <v/>
      </c>
      <c r="M365" s="8"/>
      <c r="N365" s="9">
        <f t="shared" si="16"/>
        <v>308799</v>
      </c>
      <c r="O365" s="2">
        <f>_xlfn.XLOOKUP($A365,'[1]LISTA ETIQUETAS'!$O:$O,'[1]LISTA ETIQUETAS'!C:C,"",0)</f>
        <v>0</v>
      </c>
      <c r="P365" s="2">
        <f>_xlfn.XLOOKUP($A365,'[1]LISTA ETIQUETAS'!$O:$O,'[1]LISTA ETIQUETAS'!D:D,"",0)</f>
        <v>1</v>
      </c>
      <c r="Q365" s="2">
        <f>_xlfn.XLOOKUP($A365,'[1]LISTA ETIQUETAS'!$O:$O,'[1]LISTA ETIQUETAS'!E:E,"",0)</f>
        <v>0</v>
      </c>
      <c r="R365" s="2">
        <f>_xlfn.XLOOKUP($A365,'[1]LISTA ETIQUETAS'!$O:$O,'[1]LISTA ETIQUETAS'!F:F,"",0)</f>
        <v>0</v>
      </c>
      <c r="S365" s="2">
        <f>_xlfn.XLOOKUP($A365,'[1]LISTA ETIQUETAS'!$O:$O,'[1]LISTA ETIQUETAS'!H:H,"",0)</f>
        <v>7</v>
      </c>
      <c r="T365" s="9">
        <f t="shared" si="17"/>
        <v>8</v>
      </c>
    </row>
    <row r="366" spans="1:20" x14ac:dyDescent="0.25">
      <c r="A366" s="5">
        <v>270428</v>
      </c>
      <c r="B366" t="str">
        <f>IFERROR((VLOOKUP(A366,'[1]LISTA ETIQUETAS'!O:X,3,0)),"PRODUTO SEM ESTOQUE")</f>
        <v>EST CADEIRA FINA C/B (FREIJO) (TELA RATTAN AB NT)</v>
      </c>
      <c r="C366" s="10" t="s">
        <v>253</v>
      </c>
      <c r="D366" s="10" t="s">
        <v>257</v>
      </c>
      <c r="E366" s="11">
        <f>IF(VLOOKUP(A366,'[1]LISTA ETIQUETAS'!O:W,4,0)="",(VLOOKUP(A366,'[1]LISTA ETIQUETAS'!O:W,6,0)),(VLOOKUP(A366,'[1]LISTA ETIQUETAS'!O:W,4,0)))</f>
        <v>0.55000000000000004</v>
      </c>
      <c r="F366" s="11">
        <f>IF(VLOOKUP(A366,'[1]LISTA ETIQUETAS'!O:W,5,0)="",(VLOOKUP(A366,'[1]LISTA ETIQUETAS'!O:W,7,0)),(VLOOKUP(A366,'[1]LISTA ETIQUETAS'!O:W,5,0)))</f>
        <v>0.57999999999999996</v>
      </c>
      <c r="G366" s="11">
        <f>IFERROR((VLOOKUP(A366,'[1]LISTA ETIQUETAS'!O:X,8,0)),"")</f>
        <v>0.85</v>
      </c>
      <c r="H366" s="11">
        <f>IFERROR((VLOOKUP(A366,'[1]LISTA ETIQUETAS'!O:X,9,0)),"")</f>
        <v>0</v>
      </c>
      <c r="I366" s="12">
        <f>IFERROR((VLOOKUP(A366,'[1]LISTA ETIQUETAS'!O:Y,11,0)),"")</f>
        <v>9924.99</v>
      </c>
      <c r="J366" s="6">
        <v>0</v>
      </c>
      <c r="K366" s="12">
        <f t="shared" si="15"/>
        <v>9924.99</v>
      </c>
      <c r="L366" s="7" t="str">
        <f>IF(VLOOKUP(A366,'[1]LISTA ETIQUETAS'!O:AB,14,0)="","",(VLOOKUP(A366,'[1]LISTA ETIQUETAS'!O:AB,14,0)))</f>
        <v/>
      </c>
      <c r="M366" s="8"/>
      <c r="N366" s="9">
        <f t="shared" si="16"/>
        <v>270428</v>
      </c>
      <c r="O366" s="2">
        <f>_xlfn.XLOOKUP($A366,'[1]LISTA ETIQUETAS'!$O:$O,'[1]LISTA ETIQUETAS'!C:C,"",0)</f>
        <v>0</v>
      </c>
      <c r="P366" s="2">
        <f>_xlfn.XLOOKUP($A366,'[1]LISTA ETIQUETAS'!$O:$O,'[1]LISTA ETIQUETAS'!D:D,"",0)</f>
        <v>0</v>
      </c>
      <c r="Q366" s="2">
        <f>_xlfn.XLOOKUP($A366,'[1]LISTA ETIQUETAS'!$O:$O,'[1]LISTA ETIQUETAS'!E:E,"",0)</f>
        <v>1</v>
      </c>
      <c r="R366" s="2">
        <f>_xlfn.XLOOKUP($A366,'[1]LISTA ETIQUETAS'!$O:$O,'[1]LISTA ETIQUETAS'!F:F,"",0)</f>
        <v>0</v>
      </c>
      <c r="S366" s="2">
        <f>_xlfn.XLOOKUP($A366,'[1]LISTA ETIQUETAS'!$O:$O,'[1]LISTA ETIQUETAS'!H:H,"",0)</f>
        <v>1</v>
      </c>
      <c r="T366" s="9">
        <f t="shared" si="17"/>
        <v>2</v>
      </c>
    </row>
    <row r="367" spans="1:20" x14ac:dyDescent="0.25">
      <c r="A367" s="5">
        <v>273338</v>
      </c>
      <c r="B367" t="str">
        <f>IFERROR((VLOOKUP(A367,'[1]LISTA ETIQUETAS'!O:X,3,0)),"PRODUTO SEM ESTOQUE")</f>
        <v>EST CADEIRA RAMONA (COURO BOUT LA PAZ PINHAO) PINT PRETA</v>
      </c>
      <c r="C367" s="10" t="s">
        <v>253</v>
      </c>
      <c r="D367" s="10" t="s">
        <v>258</v>
      </c>
      <c r="E367" s="11">
        <f>IF(VLOOKUP(A367,'[1]LISTA ETIQUETAS'!O:W,4,0)="",(VLOOKUP(A367,'[1]LISTA ETIQUETAS'!O:W,6,0)),(VLOOKUP(A367,'[1]LISTA ETIQUETAS'!O:W,4,0)))</f>
        <v>0.5</v>
      </c>
      <c r="F367" s="11">
        <f>IF(VLOOKUP(A367,'[1]LISTA ETIQUETAS'!O:W,5,0)="",(VLOOKUP(A367,'[1]LISTA ETIQUETAS'!O:W,7,0)),(VLOOKUP(A367,'[1]LISTA ETIQUETAS'!O:W,5,0)))</f>
        <v>0.56000000000000005</v>
      </c>
      <c r="G367" s="11">
        <f>IFERROR((VLOOKUP(A367,'[1]LISTA ETIQUETAS'!O:X,8,0)),"")</f>
        <v>0.76</v>
      </c>
      <c r="H367" s="11">
        <f>IFERROR((VLOOKUP(A367,'[1]LISTA ETIQUETAS'!O:X,9,0)),"")</f>
        <v>0</v>
      </c>
      <c r="I367" s="12">
        <f>IFERROR((VLOOKUP(A367,'[1]LISTA ETIQUETAS'!O:Y,11,0)),"")</f>
        <v>10826.37</v>
      </c>
      <c r="J367" s="6">
        <v>0</v>
      </c>
      <c r="K367" s="12">
        <f t="shared" si="15"/>
        <v>10826.37</v>
      </c>
      <c r="L367" s="7" t="str">
        <f>IF(VLOOKUP(A367,'[1]LISTA ETIQUETAS'!O:AB,14,0)="","",(VLOOKUP(A367,'[1]LISTA ETIQUETAS'!O:AB,14,0)))</f>
        <v/>
      </c>
      <c r="M367" s="8"/>
      <c r="N367" s="9">
        <f t="shared" si="16"/>
        <v>273338</v>
      </c>
      <c r="O367" s="2">
        <f>_xlfn.XLOOKUP($A367,'[1]LISTA ETIQUETAS'!$O:$O,'[1]LISTA ETIQUETAS'!C:C,"",0)</f>
        <v>0</v>
      </c>
      <c r="P367" s="2">
        <f>_xlfn.XLOOKUP($A367,'[1]LISTA ETIQUETAS'!$O:$O,'[1]LISTA ETIQUETAS'!D:D,"",0)</f>
        <v>1</v>
      </c>
      <c r="Q367" s="2">
        <f>_xlfn.XLOOKUP($A367,'[1]LISTA ETIQUETAS'!$O:$O,'[1]LISTA ETIQUETAS'!E:E,"",0)</f>
        <v>0</v>
      </c>
      <c r="R367" s="2">
        <f>_xlfn.XLOOKUP($A367,'[1]LISTA ETIQUETAS'!$O:$O,'[1]LISTA ETIQUETAS'!F:F,"",0)</f>
        <v>1</v>
      </c>
      <c r="S367" s="2">
        <f>_xlfn.XLOOKUP($A367,'[1]LISTA ETIQUETAS'!$O:$O,'[1]LISTA ETIQUETAS'!H:H,"",0)</f>
        <v>3</v>
      </c>
      <c r="T367" s="9">
        <f t="shared" si="17"/>
        <v>5</v>
      </c>
    </row>
    <row r="368" spans="1:20" x14ac:dyDescent="0.25">
      <c r="A368" s="5">
        <v>262565</v>
      </c>
      <c r="B368" t="str">
        <f>IFERROR((VLOOKUP(A368,'[1]LISTA ETIQUETAS'!O:X,3,0)),"PRODUTO SEM ESTOQUE")</f>
        <v>EST CADEIRA MEDALHINHA (FREIJO) (TELA RATTAN ABERT ENV)</v>
      </c>
      <c r="C368" s="10" t="s">
        <v>253</v>
      </c>
      <c r="D368" s="10" t="s">
        <v>259</v>
      </c>
      <c r="E368" s="11">
        <f>IF(VLOOKUP(A368,'[1]LISTA ETIQUETAS'!O:W,4,0)="",(VLOOKUP(A368,'[1]LISTA ETIQUETAS'!O:W,6,0)),(VLOOKUP(A368,'[1]LISTA ETIQUETAS'!O:W,4,0)))</f>
        <v>0.47</v>
      </c>
      <c r="F368" s="11">
        <f>IF(VLOOKUP(A368,'[1]LISTA ETIQUETAS'!O:W,5,0)="",(VLOOKUP(A368,'[1]LISTA ETIQUETAS'!O:W,7,0)),(VLOOKUP(A368,'[1]LISTA ETIQUETAS'!O:W,5,0)))</f>
        <v>0.61</v>
      </c>
      <c r="G368" s="11">
        <f>IFERROR((VLOOKUP(A368,'[1]LISTA ETIQUETAS'!O:X,8,0)),"")</f>
        <v>0.82</v>
      </c>
      <c r="H368" s="11">
        <f>IFERROR((VLOOKUP(A368,'[1]LISTA ETIQUETAS'!O:X,9,0)),"")</f>
        <v>0</v>
      </c>
      <c r="I368" s="12">
        <f>IFERROR((VLOOKUP(A368,'[1]LISTA ETIQUETAS'!O:Y,11,0)),"")</f>
        <v>9160.44</v>
      </c>
      <c r="J368" s="6">
        <v>0</v>
      </c>
      <c r="K368" s="12">
        <f t="shared" si="15"/>
        <v>9160.44</v>
      </c>
      <c r="L368" s="7" t="str">
        <f>IF(VLOOKUP(A368,'[1]LISTA ETIQUETAS'!O:AB,14,0)="","",(VLOOKUP(A368,'[1]LISTA ETIQUETAS'!O:AB,14,0)))</f>
        <v/>
      </c>
      <c r="M368" s="8"/>
      <c r="N368" s="9">
        <f t="shared" si="16"/>
        <v>262565</v>
      </c>
      <c r="O368" s="2">
        <f>_xlfn.XLOOKUP($A368,'[1]LISTA ETIQUETAS'!$O:$O,'[1]LISTA ETIQUETAS'!C:C,"",0)</f>
        <v>0</v>
      </c>
      <c r="P368" s="2">
        <f>_xlfn.XLOOKUP($A368,'[1]LISTA ETIQUETAS'!$O:$O,'[1]LISTA ETIQUETAS'!D:D,"",0)</f>
        <v>5</v>
      </c>
      <c r="Q368" s="2">
        <f>_xlfn.XLOOKUP($A368,'[1]LISTA ETIQUETAS'!$O:$O,'[1]LISTA ETIQUETAS'!E:E,"",0)</f>
        <v>4</v>
      </c>
      <c r="R368" s="2">
        <f>_xlfn.XLOOKUP($A368,'[1]LISTA ETIQUETAS'!$O:$O,'[1]LISTA ETIQUETAS'!F:F,"",0)</f>
        <v>6</v>
      </c>
      <c r="S368" s="2">
        <f>_xlfn.XLOOKUP($A368,'[1]LISTA ETIQUETAS'!$O:$O,'[1]LISTA ETIQUETAS'!H:H,"",0)</f>
        <v>1</v>
      </c>
      <c r="T368" s="9">
        <f t="shared" si="17"/>
        <v>16</v>
      </c>
    </row>
    <row r="369" spans="1:20" x14ac:dyDescent="0.25">
      <c r="A369" s="5">
        <v>394921</v>
      </c>
      <c r="B369" t="str">
        <f>IFERROR((VLOOKUP(A369,'[1]LISTA ETIQUETAS'!O:X,3,0)),"PRODUTO SEM ESTOQUE")</f>
        <v>EST CADEIRA DESIREE (GIR) (ENC FX D4236) (FX D4236)</v>
      </c>
      <c r="C369" s="10" t="s">
        <v>253</v>
      </c>
      <c r="D369" s="10" t="s">
        <v>260</v>
      </c>
      <c r="E369" s="11">
        <f>IF(VLOOKUP(A369,'[1]LISTA ETIQUETAS'!O:W,4,0)="",(VLOOKUP(A369,'[1]LISTA ETIQUETAS'!O:W,6,0)),(VLOOKUP(A369,'[1]LISTA ETIQUETAS'!O:W,4,0)))</f>
        <v>0.66</v>
      </c>
      <c r="F369" s="11">
        <f>IF(VLOOKUP(A369,'[1]LISTA ETIQUETAS'!O:W,5,0)="",(VLOOKUP(A369,'[1]LISTA ETIQUETAS'!O:W,7,0)),(VLOOKUP(A369,'[1]LISTA ETIQUETAS'!O:W,5,0)))</f>
        <v>0.62</v>
      </c>
      <c r="G369" s="11">
        <f>IFERROR((VLOOKUP(A369,'[1]LISTA ETIQUETAS'!O:X,8,0)),"")</f>
        <v>0.81</v>
      </c>
      <c r="H369" s="11">
        <f>IFERROR((VLOOKUP(A369,'[1]LISTA ETIQUETAS'!O:X,9,0)),"")</f>
        <v>0</v>
      </c>
      <c r="I369" s="12">
        <f>IFERROR((VLOOKUP(A369,'[1]LISTA ETIQUETAS'!O:Y,11,0)),"")</f>
        <v>8114.22</v>
      </c>
      <c r="J369" s="6">
        <v>0</v>
      </c>
      <c r="K369" s="12">
        <f t="shared" si="15"/>
        <v>8114.22</v>
      </c>
      <c r="L369" s="7" t="str">
        <f>IF(VLOOKUP(A369,'[1]LISTA ETIQUETAS'!O:AB,14,0)="","",(VLOOKUP(A369,'[1]LISTA ETIQUETAS'!O:AB,14,0)))</f>
        <v/>
      </c>
      <c r="M369" s="8"/>
      <c r="N369" s="9">
        <f t="shared" si="16"/>
        <v>394921</v>
      </c>
      <c r="O369" s="2">
        <f>_xlfn.XLOOKUP($A369,'[1]LISTA ETIQUETAS'!$O:$O,'[1]LISTA ETIQUETAS'!C:C,"",0)</f>
        <v>0</v>
      </c>
      <c r="P369" s="2">
        <f>_xlfn.XLOOKUP($A369,'[1]LISTA ETIQUETAS'!$O:$O,'[1]LISTA ETIQUETAS'!D:D,"",0)</f>
        <v>0</v>
      </c>
      <c r="Q369" s="2">
        <f>_xlfn.XLOOKUP($A369,'[1]LISTA ETIQUETAS'!$O:$O,'[1]LISTA ETIQUETAS'!E:E,"",0)</f>
        <v>1</v>
      </c>
      <c r="R369" s="2">
        <f>_xlfn.XLOOKUP($A369,'[1]LISTA ETIQUETAS'!$O:$O,'[1]LISTA ETIQUETAS'!F:F,"",0)</f>
        <v>0</v>
      </c>
      <c r="S369" s="2">
        <f>_xlfn.XLOOKUP($A369,'[1]LISTA ETIQUETAS'!$O:$O,'[1]LISTA ETIQUETAS'!H:H,"",0)</f>
        <v>1</v>
      </c>
      <c r="T369" s="9">
        <f t="shared" si="17"/>
        <v>2</v>
      </c>
    </row>
    <row r="370" spans="1:20" x14ac:dyDescent="0.25">
      <c r="A370" s="5">
        <v>378054</v>
      </c>
      <c r="B370" t="str">
        <f>IFERROR((VLOOKUP(A370,'[1]LISTA ETIQUETAS'!O:X,3,0)),"PRODUTO SEM ESTOQUE")</f>
        <v>EST CADEIRA YASMIM (TELA NOGUEIRA) (AMENDOA) TC 2000 - 2327</v>
      </c>
      <c r="C370" s="10" t="s">
        <v>253</v>
      </c>
      <c r="D370" s="10" t="s">
        <v>261</v>
      </c>
      <c r="E370" s="11">
        <f>IF(VLOOKUP(A370,'[1]LISTA ETIQUETAS'!O:W,4,0)="",(VLOOKUP(A370,'[1]LISTA ETIQUETAS'!O:W,6,0)),(VLOOKUP(A370,'[1]LISTA ETIQUETAS'!O:W,4,0)))</f>
        <v>0.49</v>
      </c>
      <c r="F370" s="11">
        <f>IF(VLOOKUP(A370,'[1]LISTA ETIQUETAS'!O:W,5,0)="",(VLOOKUP(A370,'[1]LISTA ETIQUETAS'!O:W,7,0)),(VLOOKUP(A370,'[1]LISTA ETIQUETAS'!O:W,5,0)))</f>
        <v>0.6</v>
      </c>
      <c r="G370" s="11">
        <f>IFERROR((VLOOKUP(A370,'[1]LISTA ETIQUETAS'!O:X,8,0)),"")</f>
        <v>0.84</v>
      </c>
      <c r="H370" s="11">
        <f>IFERROR((VLOOKUP(A370,'[1]LISTA ETIQUETAS'!O:X,9,0)),"")</f>
        <v>0</v>
      </c>
      <c r="I370" s="12">
        <f>IFERROR((VLOOKUP(A370,'[1]LISTA ETIQUETAS'!O:Y,11,0)),"")</f>
        <v>3505.96</v>
      </c>
      <c r="J370" s="6">
        <v>0</v>
      </c>
      <c r="K370" s="12">
        <f t="shared" si="15"/>
        <v>3505.96</v>
      </c>
      <c r="L370" s="7" t="str">
        <f>IF(VLOOKUP(A370,'[1]LISTA ETIQUETAS'!O:AB,14,0)="","",(VLOOKUP(A370,'[1]LISTA ETIQUETAS'!O:AB,14,0)))</f>
        <v/>
      </c>
      <c r="M370" s="8"/>
      <c r="N370" s="9">
        <f t="shared" si="16"/>
        <v>378054</v>
      </c>
      <c r="O370" s="2">
        <f>_xlfn.XLOOKUP($A370,'[1]LISTA ETIQUETAS'!$O:$O,'[1]LISTA ETIQUETAS'!C:C,"",0)</f>
        <v>0</v>
      </c>
      <c r="P370" s="2">
        <f>_xlfn.XLOOKUP($A370,'[1]LISTA ETIQUETAS'!$O:$O,'[1]LISTA ETIQUETAS'!D:D,"",0)</f>
        <v>0</v>
      </c>
      <c r="Q370" s="2">
        <f>_xlfn.XLOOKUP($A370,'[1]LISTA ETIQUETAS'!$O:$O,'[1]LISTA ETIQUETAS'!E:E,"",0)</f>
        <v>0</v>
      </c>
      <c r="R370" s="2">
        <f>_xlfn.XLOOKUP($A370,'[1]LISTA ETIQUETAS'!$O:$O,'[1]LISTA ETIQUETAS'!F:F,"",0)</f>
        <v>0</v>
      </c>
      <c r="S370" s="2">
        <f>_xlfn.XLOOKUP($A370,'[1]LISTA ETIQUETAS'!$O:$O,'[1]LISTA ETIQUETAS'!H:H,"",0)</f>
        <v>1</v>
      </c>
      <c r="T370" s="9">
        <f t="shared" si="17"/>
        <v>1</v>
      </c>
    </row>
    <row r="371" spans="1:20" x14ac:dyDescent="0.25">
      <c r="A371" s="5">
        <v>388702</v>
      </c>
      <c r="B371" t="str">
        <f>IFERROR((VLOOKUP(A371,'[1]LISTA ETIQUETAS'!O:X,3,0)),"PRODUTO SEM ESTOQUE")</f>
        <v>EST CADEIRA ERICA C/B (MAD A JEQ 05) TC BRUNELL0 227</v>
      </c>
      <c r="C371" s="10" t="s">
        <v>253</v>
      </c>
      <c r="D371" s="10" t="s">
        <v>262</v>
      </c>
      <c r="E371" s="11">
        <f>IF(VLOOKUP(A371,'[1]LISTA ETIQUETAS'!O:W,4,0)="",(VLOOKUP(A371,'[1]LISTA ETIQUETAS'!O:W,6,0)),(VLOOKUP(A371,'[1]LISTA ETIQUETAS'!O:W,4,0)))</f>
        <v>0.5</v>
      </c>
      <c r="F371" s="11">
        <f>IF(VLOOKUP(A371,'[1]LISTA ETIQUETAS'!O:W,5,0)="",(VLOOKUP(A371,'[1]LISTA ETIQUETAS'!O:W,7,0)),(VLOOKUP(A371,'[1]LISTA ETIQUETAS'!O:W,5,0)))</f>
        <v>0.61</v>
      </c>
      <c r="G371" s="11">
        <f>IFERROR((VLOOKUP(A371,'[1]LISTA ETIQUETAS'!O:X,8,0)),"")</f>
        <v>0.78</v>
      </c>
      <c r="H371" s="11">
        <f>IFERROR((VLOOKUP(A371,'[1]LISTA ETIQUETAS'!O:X,9,0)),"")</f>
        <v>0</v>
      </c>
      <c r="I371" s="12">
        <f>IFERROR((VLOOKUP(A371,'[1]LISTA ETIQUETAS'!O:Y,11,0)),"")</f>
        <v>9209.5400000000009</v>
      </c>
      <c r="J371" s="6">
        <v>0</v>
      </c>
      <c r="K371" s="12">
        <f t="shared" si="15"/>
        <v>9209.5400000000009</v>
      </c>
      <c r="L371" s="7" t="str">
        <f>IF(VLOOKUP(A371,'[1]LISTA ETIQUETAS'!O:AB,14,0)="","",(VLOOKUP(A371,'[1]LISTA ETIQUETAS'!O:AB,14,0)))</f>
        <v/>
      </c>
      <c r="M371" s="8"/>
      <c r="N371" s="9">
        <f t="shared" si="16"/>
        <v>388702</v>
      </c>
      <c r="O371" s="2">
        <f>_xlfn.XLOOKUP($A371,'[1]LISTA ETIQUETAS'!$O:$O,'[1]LISTA ETIQUETAS'!C:C,"",0)</f>
        <v>0</v>
      </c>
      <c r="P371" s="2">
        <f>_xlfn.XLOOKUP($A371,'[1]LISTA ETIQUETAS'!$O:$O,'[1]LISTA ETIQUETAS'!D:D,"",0)</f>
        <v>0</v>
      </c>
      <c r="Q371" s="2">
        <f>_xlfn.XLOOKUP($A371,'[1]LISTA ETIQUETAS'!$O:$O,'[1]LISTA ETIQUETAS'!E:E,"",0)</f>
        <v>0</v>
      </c>
      <c r="R371" s="2">
        <f>_xlfn.XLOOKUP($A371,'[1]LISTA ETIQUETAS'!$O:$O,'[1]LISTA ETIQUETAS'!F:F,"",0)</f>
        <v>0</v>
      </c>
      <c r="S371" s="2">
        <f>_xlfn.XLOOKUP($A371,'[1]LISTA ETIQUETAS'!$O:$O,'[1]LISTA ETIQUETAS'!H:H,"",0)</f>
        <v>6</v>
      </c>
      <c r="T371" s="9">
        <f t="shared" si="17"/>
        <v>6</v>
      </c>
    </row>
    <row r="372" spans="1:20" x14ac:dyDescent="0.25">
      <c r="A372" s="5">
        <v>388701</v>
      </c>
      <c r="B372" t="str">
        <f>IFERROR((VLOOKUP(A372,'[1]LISTA ETIQUETAS'!O:X,3,0)),"PRODUTO SEM ESTOQUE")</f>
        <v>EST CADEIRA ERICA C/B (MAD A TAUARI ENV) TC MITRA ECO 005</v>
      </c>
      <c r="C372" s="10" t="s">
        <v>253</v>
      </c>
      <c r="D372" s="10" t="s">
        <v>262</v>
      </c>
      <c r="E372" s="11">
        <f>IF(VLOOKUP(A372,'[1]LISTA ETIQUETAS'!O:W,4,0)="",(VLOOKUP(A372,'[1]LISTA ETIQUETAS'!O:W,6,0)),(VLOOKUP(A372,'[1]LISTA ETIQUETAS'!O:W,4,0)))</f>
        <v>0.5</v>
      </c>
      <c r="F372" s="11">
        <f>IF(VLOOKUP(A372,'[1]LISTA ETIQUETAS'!O:W,5,0)="",(VLOOKUP(A372,'[1]LISTA ETIQUETAS'!O:W,7,0)),(VLOOKUP(A372,'[1]LISTA ETIQUETAS'!O:W,5,0)))</f>
        <v>0.61</v>
      </c>
      <c r="G372" s="11">
        <f>IFERROR((VLOOKUP(A372,'[1]LISTA ETIQUETAS'!O:X,8,0)),"")</f>
        <v>0.78</v>
      </c>
      <c r="H372" s="11">
        <f>IFERROR((VLOOKUP(A372,'[1]LISTA ETIQUETAS'!O:X,9,0)),"")</f>
        <v>0</v>
      </c>
      <c r="I372" s="12">
        <f>IFERROR((VLOOKUP(A372,'[1]LISTA ETIQUETAS'!O:Y,11,0)),"")</f>
        <v>9390.08</v>
      </c>
      <c r="J372" s="6">
        <v>0</v>
      </c>
      <c r="K372" s="12">
        <f t="shared" si="15"/>
        <v>9390.08</v>
      </c>
      <c r="L372" s="7" t="str">
        <f>IF(VLOOKUP(A372,'[1]LISTA ETIQUETAS'!O:AB,14,0)="","",(VLOOKUP(A372,'[1]LISTA ETIQUETAS'!O:AB,14,0)))</f>
        <v/>
      </c>
      <c r="M372" s="8"/>
      <c r="N372" s="9">
        <f t="shared" si="16"/>
        <v>388701</v>
      </c>
      <c r="O372" s="2">
        <f>_xlfn.XLOOKUP($A372,'[1]LISTA ETIQUETAS'!$O:$O,'[1]LISTA ETIQUETAS'!C:C,"",0)</f>
        <v>0</v>
      </c>
      <c r="P372" s="2">
        <f>_xlfn.XLOOKUP($A372,'[1]LISTA ETIQUETAS'!$O:$O,'[1]LISTA ETIQUETAS'!D:D,"",0)</f>
        <v>0</v>
      </c>
      <c r="Q372" s="2">
        <f>_xlfn.XLOOKUP($A372,'[1]LISTA ETIQUETAS'!$O:$O,'[1]LISTA ETIQUETAS'!E:E,"",0)</f>
        <v>0</v>
      </c>
      <c r="R372" s="2">
        <f>_xlfn.XLOOKUP($A372,'[1]LISTA ETIQUETAS'!$O:$O,'[1]LISTA ETIQUETAS'!F:F,"",0)</f>
        <v>0</v>
      </c>
      <c r="S372" s="2">
        <f>_xlfn.XLOOKUP($A372,'[1]LISTA ETIQUETAS'!$O:$O,'[1]LISTA ETIQUETAS'!H:H,"",0)</f>
        <v>6</v>
      </c>
      <c r="T372" s="9">
        <f t="shared" si="17"/>
        <v>6</v>
      </c>
    </row>
    <row r="373" spans="1:20" x14ac:dyDescent="0.25">
      <c r="A373" s="5">
        <v>399204</v>
      </c>
      <c r="B373" t="str">
        <f>IFERROR((VLOOKUP(A373,'[1]LISTA ETIQUETAS'!O:X,3,0)),"PRODUTO SEM ESTOQUE")</f>
        <v>EST CADEIRA JULIETA (JEQ BS DAGUA) (COURO PIGMENTADO PRETO)</v>
      </c>
      <c r="C373" s="10" t="s">
        <v>253</v>
      </c>
      <c r="D373" s="10" t="s">
        <v>263</v>
      </c>
      <c r="E373" s="11">
        <f>IF(VLOOKUP(A373,'[1]LISTA ETIQUETAS'!O:W,4,0)="",(VLOOKUP(A373,'[1]LISTA ETIQUETAS'!O:W,6,0)),(VLOOKUP(A373,'[1]LISTA ETIQUETAS'!O:W,4,0)))</f>
        <v>0.6</v>
      </c>
      <c r="F373" s="11">
        <f>IF(VLOOKUP(A373,'[1]LISTA ETIQUETAS'!O:W,5,0)="",(VLOOKUP(A373,'[1]LISTA ETIQUETAS'!O:W,7,0)),(VLOOKUP(A373,'[1]LISTA ETIQUETAS'!O:W,5,0)))</f>
        <v>0.5</v>
      </c>
      <c r="G373" s="11">
        <f>IFERROR((VLOOKUP(A373,'[1]LISTA ETIQUETAS'!O:X,8,0)),"")</f>
        <v>0.7</v>
      </c>
      <c r="H373" s="11">
        <f>IFERROR((VLOOKUP(A373,'[1]LISTA ETIQUETAS'!O:X,9,0)),"")</f>
        <v>0</v>
      </c>
      <c r="I373" s="12" t="str">
        <f>IFERROR((VLOOKUP(A373,'[1]LISTA ETIQUETAS'!O:Y,11,0)),"")</f>
        <v/>
      </c>
      <c r="J373" s="6">
        <v>0</v>
      </c>
      <c r="K373" s="12" t="str">
        <f t="shared" si="15"/>
        <v/>
      </c>
      <c r="L373" s="7" t="str">
        <f>IF(VLOOKUP(A373,'[1]LISTA ETIQUETAS'!O:AB,14,0)="","",(VLOOKUP(A373,'[1]LISTA ETIQUETAS'!O:AB,14,0)))</f>
        <v/>
      </c>
      <c r="M373" s="8"/>
      <c r="N373" s="9">
        <f t="shared" si="16"/>
        <v>399204</v>
      </c>
      <c r="O373" s="2">
        <f>_xlfn.XLOOKUP($A373,'[1]LISTA ETIQUETAS'!$O:$O,'[1]LISTA ETIQUETAS'!C:C,"",0)</f>
        <v>0</v>
      </c>
      <c r="P373" s="2">
        <f>_xlfn.XLOOKUP($A373,'[1]LISTA ETIQUETAS'!$O:$O,'[1]LISTA ETIQUETAS'!D:D,"",0)</f>
        <v>0</v>
      </c>
      <c r="Q373" s="2">
        <f>_xlfn.XLOOKUP($A373,'[1]LISTA ETIQUETAS'!$O:$O,'[1]LISTA ETIQUETAS'!E:E,"",0)</f>
        <v>0</v>
      </c>
      <c r="R373" s="2">
        <f>_xlfn.XLOOKUP($A373,'[1]LISTA ETIQUETAS'!$O:$O,'[1]LISTA ETIQUETAS'!F:F,"",0)</f>
        <v>0</v>
      </c>
      <c r="S373" s="2">
        <f>_xlfn.XLOOKUP($A373,'[1]LISTA ETIQUETAS'!$O:$O,'[1]LISTA ETIQUETAS'!H:H,"",0)</f>
        <v>1</v>
      </c>
      <c r="T373" s="9">
        <f t="shared" si="17"/>
        <v>1</v>
      </c>
    </row>
    <row r="374" spans="1:20" x14ac:dyDescent="0.25">
      <c r="A374" s="5">
        <v>378288</v>
      </c>
      <c r="B374" t="str">
        <f>IFERROR((VLOOKUP(A374,'[1]LISTA ETIQUETAS'!O:X,3,0)),"PRODUTO SEM ESTOQUE")</f>
        <v>EST CADEIRA PI C/BRACO (CORTEN) COURO PIG 611</v>
      </c>
      <c r="C374" s="10" t="s">
        <v>253</v>
      </c>
      <c r="D374" s="10" t="s">
        <v>264</v>
      </c>
      <c r="E374" s="11">
        <f>IF(VLOOKUP(A374,'[1]LISTA ETIQUETAS'!O:W,4,0)="",(VLOOKUP(A374,'[1]LISTA ETIQUETAS'!O:W,6,0)),(VLOOKUP(A374,'[1]LISTA ETIQUETAS'!O:W,4,0)))</f>
        <v>0.53</v>
      </c>
      <c r="F374" s="11">
        <f>IF(VLOOKUP(A374,'[1]LISTA ETIQUETAS'!O:W,5,0)="",(VLOOKUP(A374,'[1]LISTA ETIQUETAS'!O:W,7,0)),(VLOOKUP(A374,'[1]LISTA ETIQUETAS'!O:W,5,0)))</f>
        <v>0.6</v>
      </c>
      <c r="G374" s="11">
        <f>IFERROR((VLOOKUP(A374,'[1]LISTA ETIQUETAS'!O:X,8,0)),"")</f>
        <v>0.76</v>
      </c>
      <c r="H374" s="11">
        <f>IFERROR((VLOOKUP(A374,'[1]LISTA ETIQUETAS'!O:X,9,0)),"")</f>
        <v>0</v>
      </c>
      <c r="I374" s="12">
        <f>IFERROR((VLOOKUP(A374,'[1]LISTA ETIQUETAS'!O:Y,11,0)),"")</f>
        <v>10088.870000000001</v>
      </c>
      <c r="J374" s="6">
        <v>0</v>
      </c>
      <c r="K374" s="12">
        <f t="shared" si="15"/>
        <v>10088.870000000001</v>
      </c>
      <c r="L374" s="7" t="str">
        <f>IF(VLOOKUP(A374,'[1]LISTA ETIQUETAS'!O:AB,14,0)="","",(VLOOKUP(A374,'[1]LISTA ETIQUETAS'!O:AB,14,0)))</f>
        <v/>
      </c>
      <c r="M374" s="8"/>
      <c r="N374" s="9">
        <f t="shared" si="16"/>
        <v>378288</v>
      </c>
      <c r="O374" s="2">
        <f>_xlfn.XLOOKUP($A374,'[1]LISTA ETIQUETAS'!$O:$O,'[1]LISTA ETIQUETAS'!C:C,"",0)</f>
        <v>0</v>
      </c>
      <c r="P374" s="2">
        <f>_xlfn.XLOOKUP($A374,'[1]LISTA ETIQUETAS'!$O:$O,'[1]LISTA ETIQUETAS'!D:D,"",0)</f>
        <v>0</v>
      </c>
      <c r="Q374" s="2">
        <f>_xlfn.XLOOKUP($A374,'[1]LISTA ETIQUETAS'!$O:$O,'[1]LISTA ETIQUETAS'!E:E,"",0)</f>
        <v>2</v>
      </c>
      <c r="R374" s="2">
        <f>_xlfn.XLOOKUP($A374,'[1]LISTA ETIQUETAS'!$O:$O,'[1]LISTA ETIQUETAS'!F:F,"",0)</f>
        <v>0</v>
      </c>
      <c r="S374" s="2">
        <f>_xlfn.XLOOKUP($A374,'[1]LISTA ETIQUETAS'!$O:$O,'[1]LISTA ETIQUETAS'!H:H,"",0)</f>
        <v>6</v>
      </c>
      <c r="T374" s="9">
        <f t="shared" si="17"/>
        <v>8</v>
      </c>
    </row>
    <row r="375" spans="1:20" x14ac:dyDescent="0.25">
      <c r="A375" s="5">
        <v>378286</v>
      </c>
      <c r="B375" t="str">
        <f>IFERROR((VLOOKUP(A375,'[1]LISTA ETIQUETAS'!O:X,3,0)),"PRODUTO SEM ESTOQUE")</f>
        <v>EST CADEIRA PI C/BRACO (PRETO FSC) TC LEROY 6200-007</v>
      </c>
      <c r="C375" s="10" t="s">
        <v>253</v>
      </c>
      <c r="D375" s="10" t="s">
        <v>264</v>
      </c>
      <c r="E375" s="11">
        <f>IF(VLOOKUP(A375,'[1]LISTA ETIQUETAS'!O:W,4,0)="",(VLOOKUP(A375,'[1]LISTA ETIQUETAS'!O:W,6,0)),(VLOOKUP(A375,'[1]LISTA ETIQUETAS'!O:W,4,0)))</f>
        <v>0.75</v>
      </c>
      <c r="F375" s="11">
        <f>IF(VLOOKUP(A375,'[1]LISTA ETIQUETAS'!O:W,5,0)="",(VLOOKUP(A375,'[1]LISTA ETIQUETAS'!O:W,7,0)),(VLOOKUP(A375,'[1]LISTA ETIQUETAS'!O:W,5,0)))</f>
        <v>0.6</v>
      </c>
      <c r="G375" s="11">
        <f>IFERROR((VLOOKUP(A375,'[1]LISTA ETIQUETAS'!O:X,8,0)),"")</f>
        <v>0.76</v>
      </c>
      <c r="H375" s="11">
        <f>IFERROR((VLOOKUP(A375,'[1]LISTA ETIQUETAS'!O:X,9,0)),"")</f>
        <v>0</v>
      </c>
      <c r="I375" s="12">
        <f>IFERROR((VLOOKUP(A375,'[1]LISTA ETIQUETAS'!O:Y,11,0)),"")</f>
        <v>10102.205</v>
      </c>
      <c r="J375" s="6">
        <v>0</v>
      </c>
      <c r="K375" s="12">
        <f t="shared" si="15"/>
        <v>10102.205</v>
      </c>
      <c r="L375" s="7" t="str">
        <f>IF(VLOOKUP(A375,'[1]LISTA ETIQUETAS'!O:AB,14,0)="","",(VLOOKUP(A375,'[1]LISTA ETIQUETAS'!O:AB,14,0)))</f>
        <v/>
      </c>
      <c r="M375" s="8"/>
      <c r="N375" s="9">
        <f t="shared" si="16"/>
        <v>378286</v>
      </c>
      <c r="O375" s="2">
        <f>_xlfn.XLOOKUP($A375,'[1]LISTA ETIQUETAS'!$O:$O,'[1]LISTA ETIQUETAS'!C:C,"",0)</f>
        <v>0</v>
      </c>
      <c r="P375" s="2">
        <f>_xlfn.XLOOKUP($A375,'[1]LISTA ETIQUETAS'!$O:$O,'[1]LISTA ETIQUETAS'!D:D,"",0)</f>
        <v>1</v>
      </c>
      <c r="Q375" s="2">
        <f>_xlfn.XLOOKUP($A375,'[1]LISTA ETIQUETAS'!$O:$O,'[1]LISTA ETIQUETAS'!E:E,"",0)</f>
        <v>0</v>
      </c>
      <c r="R375" s="2">
        <f>_xlfn.XLOOKUP($A375,'[1]LISTA ETIQUETAS'!$O:$O,'[1]LISTA ETIQUETAS'!F:F,"",0)</f>
        <v>0</v>
      </c>
      <c r="S375" s="2">
        <f>_xlfn.XLOOKUP($A375,'[1]LISTA ETIQUETAS'!$O:$O,'[1]LISTA ETIQUETAS'!H:H,"",0)</f>
        <v>5</v>
      </c>
      <c r="T375" s="9">
        <f t="shared" si="17"/>
        <v>6</v>
      </c>
    </row>
    <row r="376" spans="1:20" x14ac:dyDescent="0.25">
      <c r="A376" s="5">
        <v>378285</v>
      </c>
      <c r="B376" t="str">
        <f>IFERROR((VLOOKUP(A376,'[1]LISTA ETIQUETAS'!O:X,3,0)),"PRODUTO SEM ESTOQUE")</f>
        <v>EST CADEIRA PI C/BRACO (MARROM) TC RUSTICO ASTI 5229-121</v>
      </c>
      <c r="C376" s="10" t="s">
        <v>253</v>
      </c>
      <c r="D376" s="10" t="s">
        <v>264</v>
      </c>
      <c r="E376" s="11">
        <f>IF(VLOOKUP(A376,'[1]LISTA ETIQUETAS'!O:W,4,0)="",(VLOOKUP(A376,'[1]LISTA ETIQUETAS'!O:W,6,0)),(VLOOKUP(A376,'[1]LISTA ETIQUETAS'!O:W,4,0)))</f>
        <v>0.75</v>
      </c>
      <c r="F376" s="11">
        <f>IF(VLOOKUP(A376,'[1]LISTA ETIQUETAS'!O:W,5,0)="",(VLOOKUP(A376,'[1]LISTA ETIQUETAS'!O:W,7,0)),(VLOOKUP(A376,'[1]LISTA ETIQUETAS'!O:W,5,0)))</f>
        <v>0.6</v>
      </c>
      <c r="G376" s="11">
        <f>IFERROR((VLOOKUP(A376,'[1]LISTA ETIQUETAS'!O:X,8,0)),"")</f>
        <v>0.76</v>
      </c>
      <c r="H376" s="11">
        <f>IFERROR((VLOOKUP(A376,'[1]LISTA ETIQUETAS'!O:X,9,0)),"")</f>
        <v>0</v>
      </c>
      <c r="I376" s="12">
        <f>IFERROR((VLOOKUP(A376,'[1]LISTA ETIQUETAS'!O:Y,11,0)),"")</f>
        <v>8684.11</v>
      </c>
      <c r="J376" s="6">
        <v>0</v>
      </c>
      <c r="K376" s="12">
        <f t="shared" si="15"/>
        <v>8684.11</v>
      </c>
      <c r="L376" s="7" t="str">
        <f>IF(VLOOKUP(A376,'[1]LISTA ETIQUETAS'!O:AB,14,0)="","",(VLOOKUP(A376,'[1]LISTA ETIQUETAS'!O:AB,14,0)))</f>
        <v/>
      </c>
      <c r="M376" s="8"/>
      <c r="N376" s="9">
        <f t="shared" si="16"/>
        <v>378285</v>
      </c>
      <c r="O376" s="2">
        <f>_xlfn.XLOOKUP($A376,'[1]LISTA ETIQUETAS'!$O:$O,'[1]LISTA ETIQUETAS'!C:C,"",0)</f>
        <v>0</v>
      </c>
      <c r="P376" s="2">
        <f>_xlfn.XLOOKUP($A376,'[1]LISTA ETIQUETAS'!$O:$O,'[1]LISTA ETIQUETAS'!D:D,"",0)</f>
        <v>0</v>
      </c>
      <c r="Q376" s="2">
        <f>_xlfn.XLOOKUP($A376,'[1]LISTA ETIQUETAS'!$O:$O,'[1]LISTA ETIQUETAS'!E:E,"",0)</f>
        <v>0</v>
      </c>
      <c r="R376" s="2">
        <f>_xlfn.XLOOKUP($A376,'[1]LISTA ETIQUETAS'!$O:$O,'[1]LISTA ETIQUETAS'!F:F,"",0)</f>
        <v>0</v>
      </c>
      <c r="S376" s="2">
        <f>_xlfn.XLOOKUP($A376,'[1]LISTA ETIQUETAS'!$O:$O,'[1]LISTA ETIQUETAS'!H:H,"",0)</f>
        <v>8</v>
      </c>
      <c r="T376" s="9">
        <f t="shared" si="17"/>
        <v>8</v>
      </c>
    </row>
    <row r="377" spans="1:20" x14ac:dyDescent="0.25">
      <c r="A377" s="5">
        <v>390002</v>
      </c>
      <c r="B377" t="str">
        <f>IFERROR((VLOOKUP(A377,'[1]LISTA ETIQUETAS'!O:X,3,0)),"PRODUTO SEM ESTOQUE")</f>
        <v>EST CADEIRA WOODY (TING CHARUTO) COURO PIG 410/SOL CAFE</v>
      </c>
      <c r="C377" s="10" t="s">
        <v>253</v>
      </c>
      <c r="D377" s="10" t="s">
        <v>265</v>
      </c>
      <c r="E377" s="11">
        <f>IF(VLOOKUP(A377,'[1]LISTA ETIQUETAS'!O:W,4,0)="",(VLOOKUP(A377,'[1]LISTA ETIQUETAS'!O:W,6,0)),(VLOOKUP(A377,'[1]LISTA ETIQUETAS'!O:W,4,0)))</f>
        <v>0.49</v>
      </c>
      <c r="F377" s="11">
        <f>IF(VLOOKUP(A377,'[1]LISTA ETIQUETAS'!O:W,5,0)="",(VLOOKUP(A377,'[1]LISTA ETIQUETAS'!O:W,7,0)),(VLOOKUP(A377,'[1]LISTA ETIQUETAS'!O:W,5,0)))</f>
        <v>0.53</v>
      </c>
      <c r="G377" s="11">
        <f>IFERROR((VLOOKUP(A377,'[1]LISTA ETIQUETAS'!O:X,8,0)),"")</f>
        <v>0.82</v>
      </c>
      <c r="H377" s="11">
        <f>IFERROR((VLOOKUP(A377,'[1]LISTA ETIQUETAS'!O:X,9,0)),"")</f>
        <v>0</v>
      </c>
      <c r="I377" s="12">
        <f>IFERROR((VLOOKUP(A377,'[1]LISTA ETIQUETAS'!O:Y,11,0)),"")</f>
        <v>9782.0400000000009</v>
      </c>
      <c r="J377" s="6">
        <v>0</v>
      </c>
      <c r="K377" s="12">
        <f t="shared" si="15"/>
        <v>9782.0400000000009</v>
      </c>
      <c r="L377" s="7" t="str">
        <f>IF(VLOOKUP(A377,'[1]LISTA ETIQUETAS'!O:AB,14,0)="","",(VLOOKUP(A377,'[1]LISTA ETIQUETAS'!O:AB,14,0)))</f>
        <v/>
      </c>
      <c r="M377" s="8"/>
      <c r="N377" s="9">
        <f t="shared" si="16"/>
        <v>390002</v>
      </c>
      <c r="O377" s="2">
        <f>_xlfn.XLOOKUP($A377,'[1]LISTA ETIQUETAS'!$O:$O,'[1]LISTA ETIQUETAS'!C:C,"",0)</f>
        <v>0</v>
      </c>
      <c r="P377" s="2">
        <f>_xlfn.XLOOKUP($A377,'[1]LISTA ETIQUETAS'!$O:$O,'[1]LISTA ETIQUETAS'!D:D,"",0)</f>
        <v>0</v>
      </c>
      <c r="Q377" s="2">
        <f>_xlfn.XLOOKUP($A377,'[1]LISTA ETIQUETAS'!$O:$O,'[1]LISTA ETIQUETAS'!E:E,"",0)</f>
        <v>0</v>
      </c>
      <c r="R377" s="2">
        <f>_xlfn.XLOOKUP($A377,'[1]LISTA ETIQUETAS'!$O:$O,'[1]LISTA ETIQUETAS'!F:F,"",0)</f>
        <v>0</v>
      </c>
      <c r="S377" s="2">
        <f>_xlfn.XLOOKUP($A377,'[1]LISTA ETIQUETAS'!$O:$O,'[1]LISTA ETIQUETAS'!H:H,"",0)</f>
        <v>5</v>
      </c>
      <c r="T377" s="9">
        <f t="shared" si="17"/>
        <v>5</v>
      </c>
    </row>
    <row r="378" spans="1:20" x14ac:dyDescent="0.25">
      <c r="A378" s="5">
        <v>390000</v>
      </c>
      <c r="B378" t="str">
        <f>IFERROR((VLOOKUP(A378,'[1]LISTA ETIQUETAS'!O:X,3,0)),"PRODUTO SEM ESTOQUE")</f>
        <v>EST CADEIRA WOODY C/B (TING CHARUTO) COURO PIG 410/SOL CAFE</v>
      </c>
      <c r="C378" s="10" t="s">
        <v>253</v>
      </c>
      <c r="D378" s="10" t="s">
        <v>265</v>
      </c>
      <c r="E378" s="11">
        <f>IF(VLOOKUP(A378,'[1]LISTA ETIQUETAS'!O:W,4,0)="",(VLOOKUP(A378,'[1]LISTA ETIQUETAS'!O:W,6,0)),(VLOOKUP(A378,'[1]LISTA ETIQUETAS'!O:W,4,0)))</f>
        <v>0.53</v>
      </c>
      <c r="F378" s="11">
        <f>IF(VLOOKUP(A378,'[1]LISTA ETIQUETAS'!O:W,5,0)="",(VLOOKUP(A378,'[1]LISTA ETIQUETAS'!O:W,7,0)),(VLOOKUP(A378,'[1]LISTA ETIQUETAS'!O:W,5,0)))</f>
        <v>0.53</v>
      </c>
      <c r="G378" s="11">
        <f>IFERROR((VLOOKUP(A378,'[1]LISTA ETIQUETAS'!O:X,8,0)),"")</f>
        <v>0.82</v>
      </c>
      <c r="H378" s="11">
        <f>IFERROR((VLOOKUP(A378,'[1]LISTA ETIQUETAS'!O:X,9,0)),"")</f>
        <v>0</v>
      </c>
      <c r="I378" s="12">
        <f>IFERROR((VLOOKUP(A378,'[1]LISTA ETIQUETAS'!O:Y,11,0)),"")</f>
        <v>10521.59</v>
      </c>
      <c r="J378" s="6">
        <v>0</v>
      </c>
      <c r="K378" s="12">
        <f t="shared" si="15"/>
        <v>10521.59</v>
      </c>
      <c r="L378" s="7" t="str">
        <f>IF(VLOOKUP(A378,'[1]LISTA ETIQUETAS'!O:AB,14,0)="","",(VLOOKUP(A378,'[1]LISTA ETIQUETAS'!O:AB,14,0)))</f>
        <v/>
      </c>
      <c r="M378" s="8"/>
      <c r="N378" s="9">
        <f t="shared" si="16"/>
        <v>390000</v>
      </c>
      <c r="O378" s="2">
        <f>_xlfn.XLOOKUP($A378,'[1]LISTA ETIQUETAS'!$O:$O,'[1]LISTA ETIQUETAS'!C:C,"",0)</f>
        <v>0</v>
      </c>
      <c r="P378" s="2">
        <f>_xlfn.XLOOKUP($A378,'[1]LISTA ETIQUETAS'!$O:$O,'[1]LISTA ETIQUETAS'!D:D,"",0)</f>
        <v>0</v>
      </c>
      <c r="Q378" s="2">
        <f>_xlfn.XLOOKUP($A378,'[1]LISTA ETIQUETAS'!$O:$O,'[1]LISTA ETIQUETAS'!E:E,"",0)</f>
        <v>0</v>
      </c>
      <c r="R378" s="2">
        <f>_xlfn.XLOOKUP($A378,'[1]LISTA ETIQUETAS'!$O:$O,'[1]LISTA ETIQUETAS'!F:F,"",0)</f>
        <v>0</v>
      </c>
      <c r="S378" s="2">
        <f>_xlfn.XLOOKUP($A378,'[1]LISTA ETIQUETAS'!$O:$O,'[1]LISTA ETIQUETAS'!H:H,"",0)</f>
        <v>2</v>
      </c>
      <c r="T378" s="9">
        <f t="shared" si="17"/>
        <v>2</v>
      </c>
    </row>
    <row r="379" spans="1:20" x14ac:dyDescent="0.25">
      <c r="A379" s="5">
        <v>389999</v>
      </c>
      <c r="B379" t="str">
        <f>IFERROR((VLOOKUP(A379,'[1]LISTA ETIQUETAS'!O:X,3,0)),"PRODUTO SEM ESTOQUE")</f>
        <v>EST CADEIRA WOODY (TING AVELA) COURO PIG 513/SOL FENDY</v>
      </c>
      <c r="C379" s="10" t="s">
        <v>253</v>
      </c>
      <c r="D379" s="10" t="s">
        <v>265</v>
      </c>
      <c r="E379" s="11">
        <f>IF(VLOOKUP(A379,'[1]LISTA ETIQUETAS'!O:W,4,0)="",(VLOOKUP(A379,'[1]LISTA ETIQUETAS'!O:W,6,0)),(VLOOKUP(A379,'[1]LISTA ETIQUETAS'!O:W,4,0)))</f>
        <v>0.49</v>
      </c>
      <c r="F379" s="11">
        <f>IF(VLOOKUP(A379,'[1]LISTA ETIQUETAS'!O:W,5,0)="",(VLOOKUP(A379,'[1]LISTA ETIQUETAS'!O:W,7,0)),(VLOOKUP(A379,'[1]LISTA ETIQUETAS'!O:W,5,0)))</f>
        <v>0.53</v>
      </c>
      <c r="G379" s="11">
        <f>IFERROR((VLOOKUP(A379,'[1]LISTA ETIQUETAS'!O:X,8,0)),"")</f>
        <v>0.82</v>
      </c>
      <c r="H379" s="11">
        <f>IFERROR((VLOOKUP(A379,'[1]LISTA ETIQUETAS'!O:X,9,0)),"")</f>
        <v>0</v>
      </c>
      <c r="I379" s="12">
        <f>IFERROR((VLOOKUP(A379,'[1]LISTA ETIQUETAS'!O:Y,11,0)),"")</f>
        <v>9782.0400000000009</v>
      </c>
      <c r="J379" s="6">
        <v>0</v>
      </c>
      <c r="K379" s="12">
        <f t="shared" si="15"/>
        <v>9782.0400000000009</v>
      </c>
      <c r="L379" s="7" t="str">
        <f>IF(VLOOKUP(A379,'[1]LISTA ETIQUETAS'!O:AB,14,0)="","",(VLOOKUP(A379,'[1]LISTA ETIQUETAS'!O:AB,14,0)))</f>
        <v/>
      </c>
      <c r="M379" s="8"/>
      <c r="N379" s="9">
        <f t="shared" si="16"/>
        <v>389999</v>
      </c>
      <c r="O379" s="2">
        <f>_xlfn.XLOOKUP($A379,'[1]LISTA ETIQUETAS'!$O:$O,'[1]LISTA ETIQUETAS'!C:C,"",0)</f>
        <v>0</v>
      </c>
      <c r="P379" s="2">
        <f>_xlfn.XLOOKUP($A379,'[1]LISTA ETIQUETAS'!$O:$O,'[1]LISTA ETIQUETAS'!D:D,"",0)</f>
        <v>0</v>
      </c>
      <c r="Q379" s="2">
        <f>_xlfn.XLOOKUP($A379,'[1]LISTA ETIQUETAS'!$O:$O,'[1]LISTA ETIQUETAS'!E:E,"",0)</f>
        <v>0</v>
      </c>
      <c r="R379" s="2">
        <f>_xlfn.XLOOKUP($A379,'[1]LISTA ETIQUETAS'!$O:$O,'[1]LISTA ETIQUETAS'!F:F,"",0)</f>
        <v>0</v>
      </c>
      <c r="S379" s="2">
        <f>_xlfn.XLOOKUP($A379,'[1]LISTA ETIQUETAS'!$O:$O,'[1]LISTA ETIQUETAS'!H:H,"",0)</f>
        <v>6</v>
      </c>
      <c r="T379" s="9">
        <f t="shared" si="17"/>
        <v>6</v>
      </c>
    </row>
    <row r="380" spans="1:20" x14ac:dyDescent="0.25">
      <c r="A380" s="5">
        <v>389998</v>
      </c>
      <c r="B380" t="str">
        <f>IFERROR((VLOOKUP(A380,'[1]LISTA ETIQUETAS'!O:X,3,0)),"PRODUTO SEM ESTOQUE")</f>
        <v>EST CADEIRA WOODY C/B (TING AVELA) COURO PIG 513/SOL FENDY</v>
      </c>
      <c r="C380" s="10" t="s">
        <v>253</v>
      </c>
      <c r="D380" s="10" t="s">
        <v>265</v>
      </c>
      <c r="E380" s="11">
        <f>IF(VLOOKUP(A380,'[1]LISTA ETIQUETAS'!O:W,4,0)="",(VLOOKUP(A380,'[1]LISTA ETIQUETAS'!O:W,6,0)),(VLOOKUP(A380,'[1]LISTA ETIQUETAS'!O:W,4,0)))</f>
        <v>0.53</v>
      </c>
      <c r="F380" s="11">
        <f>IF(VLOOKUP(A380,'[1]LISTA ETIQUETAS'!O:W,5,0)="",(VLOOKUP(A380,'[1]LISTA ETIQUETAS'!O:W,7,0)),(VLOOKUP(A380,'[1]LISTA ETIQUETAS'!O:W,5,0)))</f>
        <v>0.53</v>
      </c>
      <c r="G380" s="11">
        <f>IFERROR((VLOOKUP(A380,'[1]LISTA ETIQUETAS'!O:X,8,0)),"")</f>
        <v>0.82</v>
      </c>
      <c r="H380" s="11">
        <f>IFERROR((VLOOKUP(A380,'[1]LISTA ETIQUETAS'!O:X,9,0)),"")</f>
        <v>0</v>
      </c>
      <c r="I380" s="12">
        <f>IFERROR((VLOOKUP(A380,'[1]LISTA ETIQUETAS'!O:Y,11,0)),"")</f>
        <v>10521.59</v>
      </c>
      <c r="J380" s="6">
        <v>0</v>
      </c>
      <c r="K380" s="12">
        <f t="shared" si="15"/>
        <v>10521.59</v>
      </c>
      <c r="L380" s="7" t="str">
        <f>IF(VLOOKUP(A380,'[1]LISTA ETIQUETAS'!O:AB,14,0)="","",(VLOOKUP(A380,'[1]LISTA ETIQUETAS'!O:AB,14,0)))</f>
        <v/>
      </c>
      <c r="M380" s="8"/>
      <c r="N380" s="9">
        <f t="shared" si="16"/>
        <v>389998</v>
      </c>
      <c r="O380" s="2">
        <f>_xlfn.XLOOKUP($A380,'[1]LISTA ETIQUETAS'!$O:$O,'[1]LISTA ETIQUETAS'!C:C,"",0)</f>
        <v>0</v>
      </c>
      <c r="P380" s="2">
        <f>_xlfn.XLOOKUP($A380,'[1]LISTA ETIQUETAS'!$O:$O,'[1]LISTA ETIQUETAS'!D:D,"",0)</f>
        <v>0</v>
      </c>
      <c r="Q380" s="2">
        <f>_xlfn.XLOOKUP($A380,'[1]LISTA ETIQUETAS'!$O:$O,'[1]LISTA ETIQUETAS'!E:E,"",0)</f>
        <v>1</v>
      </c>
      <c r="R380" s="2">
        <f>_xlfn.XLOOKUP($A380,'[1]LISTA ETIQUETAS'!$O:$O,'[1]LISTA ETIQUETAS'!F:F,"",0)</f>
        <v>0</v>
      </c>
      <c r="S380" s="2">
        <f>_xlfn.XLOOKUP($A380,'[1]LISTA ETIQUETAS'!$O:$O,'[1]LISTA ETIQUETAS'!H:H,"",0)</f>
        <v>1</v>
      </c>
      <c r="T380" s="9">
        <f t="shared" si="17"/>
        <v>2</v>
      </c>
    </row>
    <row r="381" spans="1:20" x14ac:dyDescent="0.25">
      <c r="A381" s="5">
        <v>389997</v>
      </c>
      <c r="B381" t="str">
        <f>IFERROR((VLOOKUP(A381,'[1]LISTA ETIQUETAS'!O:X,3,0)),"PRODUTO SEM ESTOQUE")</f>
        <v>EST CADEIRA WOODY (TING MEL) CAMURCA HAVANA/SOL HAVANA</v>
      </c>
      <c r="C381" s="10" t="s">
        <v>253</v>
      </c>
      <c r="D381" s="10" t="s">
        <v>265</v>
      </c>
      <c r="E381" s="11">
        <f>IF(VLOOKUP(A381,'[1]LISTA ETIQUETAS'!O:W,4,0)="",(VLOOKUP(A381,'[1]LISTA ETIQUETAS'!O:W,6,0)),(VLOOKUP(A381,'[1]LISTA ETIQUETAS'!O:W,4,0)))</f>
        <v>0.49</v>
      </c>
      <c r="F381" s="11">
        <f>IF(VLOOKUP(A381,'[1]LISTA ETIQUETAS'!O:W,5,0)="",(VLOOKUP(A381,'[1]LISTA ETIQUETAS'!O:W,7,0)),(VLOOKUP(A381,'[1]LISTA ETIQUETAS'!O:W,5,0)))</f>
        <v>0.53</v>
      </c>
      <c r="G381" s="11">
        <f>IFERROR((VLOOKUP(A381,'[1]LISTA ETIQUETAS'!O:X,8,0)),"")</f>
        <v>0.82</v>
      </c>
      <c r="H381" s="11">
        <f>IFERROR((VLOOKUP(A381,'[1]LISTA ETIQUETAS'!O:X,9,0)),"")</f>
        <v>0</v>
      </c>
      <c r="I381" s="12">
        <f>IFERROR((VLOOKUP(A381,'[1]LISTA ETIQUETAS'!O:Y,11,0)),"")</f>
        <v>11376.92</v>
      </c>
      <c r="J381" s="6">
        <v>0</v>
      </c>
      <c r="K381" s="12">
        <f t="shared" si="15"/>
        <v>11376.92</v>
      </c>
      <c r="L381" s="7" t="str">
        <f>IF(VLOOKUP(A381,'[1]LISTA ETIQUETAS'!O:AB,14,0)="","",(VLOOKUP(A381,'[1]LISTA ETIQUETAS'!O:AB,14,0)))</f>
        <v/>
      </c>
      <c r="M381" s="8"/>
      <c r="N381" s="9">
        <f t="shared" si="16"/>
        <v>389997</v>
      </c>
      <c r="O381" s="2">
        <f>_xlfn.XLOOKUP($A381,'[1]LISTA ETIQUETAS'!$O:$O,'[1]LISTA ETIQUETAS'!C:C,"",0)</f>
        <v>0</v>
      </c>
      <c r="P381" s="2">
        <f>_xlfn.XLOOKUP($A381,'[1]LISTA ETIQUETAS'!$O:$O,'[1]LISTA ETIQUETAS'!D:D,"",0)</f>
        <v>0</v>
      </c>
      <c r="Q381" s="2">
        <f>_xlfn.XLOOKUP($A381,'[1]LISTA ETIQUETAS'!$O:$O,'[1]LISTA ETIQUETAS'!E:E,"",0)</f>
        <v>0</v>
      </c>
      <c r="R381" s="2">
        <f>_xlfn.XLOOKUP($A381,'[1]LISTA ETIQUETAS'!$O:$O,'[1]LISTA ETIQUETAS'!F:F,"",0)</f>
        <v>1</v>
      </c>
      <c r="S381" s="2">
        <f>_xlfn.XLOOKUP($A381,'[1]LISTA ETIQUETAS'!$O:$O,'[1]LISTA ETIQUETAS'!H:H,"",0)</f>
        <v>5</v>
      </c>
      <c r="T381" s="9">
        <f t="shared" si="17"/>
        <v>6</v>
      </c>
    </row>
    <row r="382" spans="1:20" x14ac:dyDescent="0.25">
      <c r="A382" s="5">
        <v>389996</v>
      </c>
      <c r="B382" t="str">
        <f>IFERROR((VLOOKUP(A382,'[1]LISTA ETIQUETAS'!O:X,3,0)),"PRODUTO SEM ESTOQUE")</f>
        <v>EST CADEIRA WOODY C/B (TING MEL) CAMURCA HAVANA/SOL HAVANA</v>
      </c>
      <c r="C382" s="10" t="s">
        <v>253</v>
      </c>
      <c r="D382" s="10" t="s">
        <v>265</v>
      </c>
      <c r="E382" s="11">
        <f>IF(VLOOKUP(A382,'[1]LISTA ETIQUETAS'!O:W,4,0)="",(VLOOKUP(A382,'[1]LISTA ETIQUETAS'!O:W,6,0)),(VLOOKUP(A382,'[1]LISTA ETIQUETAS'!O:W,4,0)))</f>
        <v>0.53</v>
      </c>
      <c r="F382" s="11">
        <f>IF(VLOOKUP(A382,'[1]LISTA ETIQUETAS'!O:W,5,0)="",(VLOOKUP(A382,'[1]LISTA ETIQUETAS'!O:W,7,0)),(VLOOKUP(A382,'[1]LISTA ETIQUETAS'!O:W,5,0)))</f>
        <v>0.53</v>
      </c>
      <c r="G382" s="11">
        <f>IFERROR((VLOOKUP(A382,'[1]LISTA ETIQUETAS'!O:X,8,0)),"")</f>
        <v>0.82</v>
      </c>
      <c r="H382" s="11">
        <f>IFERROR((VLOOKUP(A382,'[1]LISTA ETIQUETAS'!O:X,9,0)),"")</f>
        <v>0</v>
      </c>
      <c r="I382" s="12">
        <f>IFERROR((VLOOKUP(A382,'[1]LISTA ETIQUETAS'!O:Y,11,0)),"")</f>
        <v>12116.470000000001</v>
      </c>
      <c r="J382" s="6">
        <v>0</v>
      </c>
      <c r="K382" s="12">
        <f t="shared" si="15"/>
        <v>12116.470000000001</v>
      </c>
      <c r="L382" s="7" t="str">
        <f>IF(VLOOKUP(A382,'[1]LISTA ETIQUETAS'!O:AB,14,0)="","",(VLOOKUP(A382,'[1]LISTA ETIQUETAS'!O:AB,14,0)))</f>
        <v/>
      </c>
      <c r="M382" s="8"/>
      <c r="N382" s="9">
        <f t="shared" si="16"/>
        <v>389996</v>
      </c>
      <c r="O382" s="2">
        <f>_xlfn.XLOOKUP($A382,'[1]LISTA ETIQUETAS'!$O:$O,'[1]LISTA ETIQUETAS'!C:C,"",0)</f>
        <v>0</v>
      </c>
      <c r="P382" s="2">
        <f>_xlfn.XLOOKUP($A382,'[1]LISTA ETIQUETAS'!$O:$O,'[1]LISTA ETIQUETAS'!D:D,"",0)</f>
        <v>0</v>
      </c>
      <c r="Q382" s="2">
        <f>_xlfn.XLOOKUP($A382,'[1]LISTA ETIQUETAS'!$O:$O,'[1]LISTA ETIQUETAS'!E:E,"",0)</f>
        <v>0</v>
      </c>
      <c r="R382" s="2">
        <f>_xlfn.XLOOKUP($A382,'[1]LISTA ETIQUETAS'!$O:$O,'[1]LISTA ETIQUETAS'!F:F,"",0)</f>
        <v>0</v>
      </c>
      <c r="S382" s="2">
        <f>_xlfn.XLOOKUP($A382,'[1]LISTA ETIQUETAS'!$O:$O,'[1]LISTA ETIQUETAS'!H:H,"",0)</f>
        <v>1</v>
      </c>
      <c r="T382" s="9">
        <f t="shared" si="17"/>
        <v>1</v>
      </c>
    </row>
    <row r="383" spans="1:20" x14ac:dyDescent="0.25">
      <c r="A383" s="5">
        <v>371340</v>
      </c>
      <c r="B383" t="str">
        <f>IFERROR((VLOOKUP(A383,'[1]LISTA ETIQUETAS'!O:X,3,0)),"PRODUTO SEM ESTOQUE")</f>
        <v>EST CADEIRA QUERO QUERO (COURO 2 2016) (NATURE MATT)</v>
      </c>
      <c r="C383" s="10" t="s">
        <v>253</v>
      </c>
      <c r="D383" s="10" t="s">
        <v>266</v>
      </c>
      <c r="E383" s="11">
        <f>IF(VLOOKUP(A383,'[1]LISTA ETIQUETAS'!O:W,4,0)="",(VLOOKUP(A383,'[1]LISTA ETIQUETAS'!O:W,6,0)),(VLOOKUP(A383,'[1]LISTA ETIQUETAS'!O:W,4,0)))</f>
        <v>0.49</v>
      </c>
      <c r="F383" s="11">
        <f>IF(VLOOKUP(A383,'[1]LISTA ETIQUETAS'!O:W,5,0)="",(VLOOKUP(A383,'[1]LISTA ETIQUETAS'!O:W,7,0)),(VLOOKUP(A383,'[1]LISTA ETIQUETAS'!O:W,5,0)))</f>
        <v>0.54</v>
      </c>
      <c r="G383" s="11">
        <f>IFERROR((VLOOKUP(A383,'[1]LISTA ETIQUETAS'!O:X,8,0)),"")</f>
        <v>0.8</v>
      </c>
      <c r="H383" s="11">
        <f>IFERROR((VLOOKUP(A383,'[1]LISTA ETIQUETAS'!O:X,9,0)),"")</f>
        <v>0</v>
      </c>
      <c r="I383" s="12">
        <f>IFERROR((VLOOKUP(A383,'[1]LISTA ETIQUETAS'!O:Y,11,0)),"")</f>
        <v>7735.8</v>
      </c>
      <c r="J383" s="6">
        <v>0</v>
      </c>
      <c r="K383" s="12">
        <f t="shared" si="15"/>
        <v>7735.8</v>
      </c>
      <c r="L383" s="7" t="str">
        <f>IF(VLOOKUP(A383,'[1]LISTA ETIQUETAS'!O:AB,14,0)="","",(VLOOKUP(A383,'[1]LISTA ETIQUETAS'!O:AB,14,0)))</f>
        <v/>
      </c>
      <c r="M383" s="8"/>
      <c r="N383" s="9">
        <f t="shared" si="16"/>
        <v>371340</v>
      </c>
      <c r="O383" s="2">
        <f>_xlfn.XLOOKUP($A383,'[1]LISTA ETIQUETAS'!$O:$O,'[1]LISTA ETIQUETAS'!C:C,"",0)</f>
        <v>0</v>
      </c>
      <c r="P383" s="2">
        <f>_xlfn.XLOOKUP($A383,'[1]LISTA ETIQUETAS'!$O:$O,'[1]LISTA ETIQUETAS'!D:D,"",0)</f>
        <v>1</v>
      </c>
      <c r="Q383" s="2">
        <f>_xlfn.XLOOKUP($A383,'[1]LISTA ETIQUETAS'!$O:$O,'[1]LISTA ETIQUETAS'!E:E,"",0)</f>
        <v>0</v>
      </c>
      <c r="R383" s="2">
        <f>_xlfn.XLOOKUP($A383,'[1]LISTA ETIQUETAS'!$O:$O,'[1]LISTA ETIQUETAS'!F:F,"",0)</f>
        <v>0</v>
      </c>
      <c r="S383" s="2">
        <f>_xlfn.XLOOKUP($A383,'[1]LISTA ETIQUETAS'!$O:$O,'[1]LISTA ETIQUETAS'!H:H,"",0)</f>
        <v>1</v>
      </c>
      <c r="T383" s="9">
        <f t="shared" si="17"/>
        <v>2</v>
      </c>
    </row>
    <row r="384" spans="1:20" x14ac:dyDescent="0.25">
      <c r="A384" s="5">
        <v>371710</v>
      </c>
      <c r="B384" t="str">
        <f>IFERROR((VLOOKUP(A384,'[1]LISTA ETIQUETAS'!O:X,3,0)),"PRODUTO SEM ESTOQUE")</f>
        <v>EST CADEIRA LUIZA C/BRACO FORN COURO PIG 259/JEQ CAST CLARO</v>
      </c>
      <c r="C384" s="10" t="s">
        <v>253</v>
      </c>
      <c r="D384" s="10" t="s">
        <v>267</v>
      </c>
      <c r="E384" s="11">
        <f>IF(VLOOKUP(A384,'[1]LISTA ETIQUETAS'!O:W,4,0)="",(VLOOKUP(A384,'[1]LISTA ETIQUETAS'!O:W,6,0)),(VLOOKUP(A384,'[1]LISTA ETIQUETAS'!O:W,4,0)))</f>
        <v>0.59</v>
      </c>
      <c r="F384" s="11">
        <f>IF(VLOOKUP(A384,'[1]LISTA ETIQUETAS'!O:W,5,0)="",(VLOOKUP(A384,'[1]LISTA ETIQUETAS'!O:W,7,0)),(VLOOKUP(A384,'[1]LISTA ETIQUETAS'!O:W,5,0)))</f>
        <v>0.56000000000000005</v>
      </c>
      <c r="G384" s="11">
        <f>IFERROR((VLOOKUP(A384,'[1]LISTA ETIQUETAS'!O:X,8,0)),"")</f>
        <v>0.74</v>
      </c>
      <c r="H384" s="11">
        <f>IFERROR((VLOOKUP(A384,'[1]LISTA ETIQUETAS'!O:X,9,0)),"")</f>
        <v>0</v>
      </c>
      <c r="I384" s="12">
        <f>IFERROR((VLOOKUP(A384,'[1]LISTA ETIQUETAS'!O:Y,11,0)),"")</f>
        <v>5341.634</v>
      </c>
      <c r="J384" s="6">
        <v>0</v>
      </c>
      <c r="K384" s="12">
        <f t="shared" si="15"/>
        <v>5341.634</v>
      </c>
      <c r="L384" s="7" t="str">
        <f>IF(VLOOKUP(A384,'[1]LISTA ETIQUETAS'!O:AB,14,0)="","",(VLOOKUP(A384,'[1]LISTA ETIQUETAS'!O:AB,14,0)))</f>
        <v/>
      </c>
      <c r="M384" s="8"/>
      <c r="N384" s="9">
        <f t="shared" si="16"/>
        <v>371710</v>
      </c>
      <c r="O384" s="2">
        <f>_xlfn.XLOOKUP($A384,'[1]LISTA ETIQUETAS'!$O:$O,'[1]LISTA ETIQUETAS'!C:C,"",0)</f>
        <v>0</v>
      </c>
      <c r="P384" s="2">
        <f>_xlfn.XLOOKUP($A384,'[1]LISTA ETIQUETAS'!$O:$O,'[1]LISTA ETIQUETAS'!D:D,"",0)</f>
        <v>0</v>
      </c>
      <c r="Q384" s="2">
        <f>_xlfn.XLOOKUP($A384,'[1]LISTA ETIQUETAS'!$O:$O,'[1]LISTA ETIQUETAS'!E:E,"",0)</f>
        <v>0</v>
      </c>
      <c r="R384" s="2">
        <f>_xlfn.XLOOKUP($A384,'[1]LISTA ETIQUETAS'!$O:$O,'[1]LISTA ETIQUETAS'!F:F,"",0)</f>
        <v>0</v>
      </c>
      <c r="S384" s="2">
        <f>_xlfn.XLOOKUP($A384,'[1]LISTA ETIQUETAS'!$O:$O,'[1]LISTA ETIQUETAS'!H:H,"",0)</f>
        <v>10</v>
      </c>
      <c r="T384" s="9">
        <f t="shared" si="17"/>
        <v>10</v>
      </c>
    </row>
    <row r="385" spans="1:20" x14ac:dyDescent="0.25">
      <c r="A385" s="5">
        <v>371709</v>
      </c>
      <c r="B385" t="str">
        <f>IFERROR((VLOOKUP(A385,'[1]LISTA ETIQUETAS'!O:X,3,0)),"PRODUTO SEM ESTOQUE")</f>
        <v>EST CADEIRA LUIZA C/BRACO (JEQ CAST CLARO) COURO PIG 611</v>
      </c>
      <c r="C385" s="10" t="s">
        <v>253</v>
      </c>
      <c r="D385" s="10" t="s">
        <v>267</v>
      </c>
      <c r="E385" s="11">
        <f>IF(VLOOKUP(A385,'[1]LISTA ETIQUETAS'!O:W,4,0)="",(VLOOKUP(A385,'[1]LISTA ETIQUETAS'!O:W,6,0)),(VLOOKUP(A385,'[1]LISTA ETIQUETAS'!O:W,4,0)))</f>
        <v>0.59</v>
      </c>
      <c r="F385" s="11">
        <f>IF(VLOOKUP(A385,'[1]LISTA ETIQUETAS'!O:W,5,0)="",(VLOOKUP(A385,'[1]LISTA ETIQUETAS'!O:W,7,0)),(VLOOKUP(A385,'[1]LISTA ETIQUETAS'!O:W,5,0)))</f>
        <v>0.56000000000000005</v>
      </c>
      <c r="G385" s="11">
        <f>IFERROR((VLOOKUP(A385,'[1]LISTA ETIQUETAS'!O:X,8,0)),"")</f>
        <v>0.74</v>
      </c>
      <c r="H385" s="11">
        <f>IFERROR((VLOOKUP(A385,'[1]LISTA ETIQUETAS'!O:X,9,0)),"")</f>
        <v>0</v>
      </c>
      <c r="I385" s="12">
        <f>IFERROR((VLOOKUP(A385,'[1]LISTA ETIQUETAS'!O:Y,11,0)),"")</f>
        <v>5341.634</v>
      </c>
      <c r="J385" s="6">
        <v>0</v>
      </c>
      <c r="K385" s="12">
        <f t="shared" si="15"/>
        <v>5341.634</v>
      </c>
      <c r="L385" s="7" t="str">
        <f>IF(VLOOKUP(A385,'[1]LISTA ETIQUETAS'!O:AB,14,0)="","",(VLOOKUP(A385,'[1]LISTA ETIQUETAS'!O:AB,14,0)))</f>
        <v/>
      </c>
      <c r="M385" s="8"/>
      <c r="N385" s="9">
        <f t="shared" si="16"/>
        <v>371709</v>
      </c>
      <c r="O385" s="2">
        <f>_xlfn.XLOOKUP($A385,'[1]LISTA ETIQUETAS'!$O:$O,'[1]LISTA ETIQUETAS'!C:C,"",0)</f>
        <v>0</v>
      </c>
      <c r="P385" s="2">
        <f>_xlfn.XLOOKUP($A385,'[1]LISTA ETIQUETAS'!$O:$O,'[1]LISTA ETIQUETAS'!D:D,"",0)</f>
        <v>6</v>
      </c>
      <c r="Q385" s="2">
        <f>_xlfn.XLOOKUP($A385,'[1]LISTA ETIQUETAS'!$O:$O,'[1]LISTA ETIQUETAS'!E:E,"",0)</f>
        <v>0</v>
      </c>
      <c r="R385" s="2">
        <f>_xlfn.XLOOKUP($A385,'[1]LISTA ETIQUETAS'!$O:$O,'[1]LISTA ETIQUETAS'!F:F,"",0)</f>
        <v>1</v>
      </c>
      <c r="S385" s="2">
        <f>_xlfn.XLOOKUP($A385,'[1]LISTA ETIQUETAS'!$O:$O,'[1]LISTA ETIQUETAS'!H:H,"",0)</f>
        <v>3</v>
      </c>
      <c r="T385" s="9">
        <f t="shared" si="17"/>
        <v>10</v>
      </c>
    </row>
    <row r="386" spans="1:20" x14ac:dyDescent="0.25">
      <c r="A386" s="5">
        <v>364310</v>
      </c>
      <c r="B386" t="str">
        <f>IFERROR((VLOOKUP(A386,'[1]LISTA ETIQUETAS'!O:X,3,0)),"PRODUTO SEM ESTOQUE")</f>
        <v>EST CADEIRA CACAU C/BRACO (DAMASCO) (LATAO) TC PREMIUM P018</v>
      </c>
      <c r="C386" s="10" t="s">
        <v>253</v>
      </c>
      <c r="D386" s="10" t="s">
        <v>268</v>
      </c>
      <c r="E386" s="11">
        <f>IF(VLOOKUP(A386,'[1]LISTA ETIQUETAS'!O:W,4,0)="",(VLOOKUP(A386,'[1]LISTA ETIQUETAS'!O:W,6,0)),(VLOOKUP(A386,'[1]LISTA ETIQUETAS'!O:W,4,0)))</f>
        <v>0.61</v>
      </c>
      <c r="F386" s="11">
        <f>IF(VLOOKUP(A386,'[1]LISTA ETIQUETAS'!O:W,5,0)="",(VLOOKUP(A386,'[1]LISTA ETIQUETAS'!O:W,7,0)),(VLOOKUP(A386,'[1]LISTA ETIQUETAS'!O:W,5,0)))</f>
        <v>0.61</v>
      </c>
      <c r="G386" s="11">
        <f>IFERROR((VLOOKUP(A386,'[1]LISTA ETIQUETAS'!O:X,8,0)),"")</f>
        <v>0.84</v>
      </c>
      <c r="H386" s="11">
        <f>IFERROR((VLOOKUP(A386,'[1]LISTA ETIQUETAS'!O:X,9,0)),"")</f>
        <v>0</v>
      </c>
      <c r="I386" s="12">
        <f>IFERROR((VLOOKUP(A386,'[1]LISTA ETIQUETAS'!O:Y,11,0)),"")</f>
        <v>7275.88</v>
      </c>
      <c r="J386" s="6">
        <v>0</v>
      </c>
      <c r="K386" s="12">
        <f t="shared" si="15"/>
        <v>7275.88</v>
      </c>
      <c r="L386" s="7" t="str">
        <f>IF(VLOOKUP(A386,'[1]LISTA ETIQUETAS'!O:AB,14,0)="","",(VLOOKUP(A386,'[1]LISTA ETIQUETAS'!O:AB,14,0)))</f>
        <v/>
      </c>
      <c r="M386" s="8"/>
      <c r="N386" s="9">
        <f t="shared" si="16"/>
        <v>364310</v>
      </c>
      <c r="O386" s="2">
        <f>_xlfn.XLOOKUP($A386,'[1]LISTA ETIQUETAS'!$O:$O,'[1]LISTA ETIQUETAS'!C:C,"",0)</f>
        <v>0</v>
      </c>
      <c r="P386" s="2">
        <f>_xlfn.XLOOKUP($A386,'[1]LISTA ETIQUETAS'!$O:$O,'[1]LISTA ETIQUETAS'!D:D,"",0)</f>
        <v>0</v>
      </c>
      <c r="Q386" s="2">
        <f>_xlfn.XLOOKUP($A386,'[1]LISTA ETIQUETAS'!$O:$O,'[1]LISTA ETIQUETAS'!E:E,"",0)</f>
        <v>0</v>
      </c>
      <c r="R386" s="2">
        <f>_xlfn.XLOOKUP($A386,'[1]LISTA ETIQUETAS'!$O:$O,'[1]LISTA ETIQUETAS'!F:F,"",0)</f>
        <v>0</v>
      </c>
      <c r="S386" s="2">
        <f>_xlfn.XLOOKUP($A386,'[1]LISTA ETIQUETAS'!$O:$O,'[1]LISTA ETIQUETAS'!H:H,"",0)</f>
        <v>1</v>
      </c>
      <c r="T386" s="9">
        <f t="shared" si="17"/>
        <v>1</v>
      </c>
    </row>
    <row r="387" spans="1:20" x14ac:dyDescent="0.25">
      <c r="A387" s="5">
        <v>364289</v>
      </c>
      <c r="B387" t="str">
        <f>IFERROR((VLOOKUP(A387,'[1]LISTA ETIQUETAS'!O:X,3,0)),"PRODUTO SEM ESTOQUE")</f>
        <v>EST CADEIRA CACAU (DAMASCO) (LATAO) TC PREMIUM P018</v>
      </c>
      <c r="C387" s="10" t="s">
        <v>253</v>
      </c>
      <c r="D387" s="10" t="s">
        <v>268</v>
      </c>
      <c r="E387" s="11">
        <f>IF(VLOOKUP(A387,'[1]LISTA ETIQUETAS'!O:W,4,0)="",(VLOOKUP(A387,'[1]LISTA ETIQUETAS'!O:W,6,0)),(VLOOKUP(A387,'[1]LISTA ETIQUETAS'!O:W,4,0)))</f>
        <v>0.5</v>
      </c>
      <c r="F387" s="11">
        <f>IF(VLOOKUP(A387,'[1]LISTA ETIQUETAS'!O:W,5,0)="",(VLOOKUP(A387,'[1]LISTA ETIQUETAS'!O:W,7,0)),(VLOOKUP(A387,'[1]LISTA ETIQUETAS'!O:W,5,0)))</f>
        <v>0.61</v>
      </c>
      <c r="G387" s="11">
        <f>IFERROR((VLOOKUP(A387,'[1]LISTA ETIQUETAS'!O:X,8,0)),"")</f>
        <v>0.84</v>
      </c>
      <c r="H387" s="11">
        <f>IFERROR((VLOOKUP(A387,'[1]LISTA ETIQUETAS'!O:X,9,0)),"")</f>
        <v>0</v>
      </c>
      <c r="I387" s="12">
        <f>IFERROR((VLOOKUP(A387,'[1]LISTA ETIQUETAS'!O:Y,11,0)),"")</f>
        <v>5085.5600000000004</v>
      </c>
      <c r="J387" s="6">
        <v>0</v>
      </c>
      <c r="K387" s="12">
        <f t="shared" ref="K387:K450" si="18">IFERROR(I387-I387*J387,"")</f>
        <v>5085.5600000000004</v>
      </c>
      <c r="L387" s="7" t="str">
        <f>IF(VLOOKUP(A387,'[1]LISTA ETIQUETAS'!O:AB,14,0)="","",(VLOOKUP(A387,'[1]LISTA ETIQUETAS'!O:AB,14,0)))</f>
        <v/>
      </c>
      <c r="M387" s="8"/>
      <c r="N387" s="9">
        <f t="shared" si="16"/>
        <v>364289</v>
      </c>
      <c r="O387" s="2">
        <f>_xlfn.XLOOKUP($A387,'[1]LISTA ETIQUETAS'!$O:$O,'[1]LISTA ETIQUETAS'!C:C,"",0)</f>
        <v>0</v>
      </c>
      <c r="P387" s="2">
        <f>_xlfn.XLOOKUP($A387,'[1]LISTA ETIQUETAS'!$O:$O,'[1]LISTA ETIQUETAS'!D:D,"",0)</f>
        <v>0</v>
      </c>
      <c r="Q387" s="2">
        <f>_xlfn.XLOOKUP($A387,'[1]LISTA ETIQUETAS'!$O:$O,'[1]LISTA ETIQUETAS'!E:E,"",0)</f>
        <v>0</v>
      </c>
      <c r="R387" s="2">
        <f>_xlfn.XLOOKUP($A387,'[1]LISTA ETIQUETAS'!$O:$O,'[1]LISTA ETIQUETAS'!F:F,"",0)</f>
        <v>0</v>
      </c>
      <c r="S387" s="2">
        <f>_xlfn.XLOOKUP($A387,'[1]LISTA ETIQUETAS'!$O:$O,'[1]LISTA ETIQUETAS'!H:H,"",0)</f>
        <v>5</v>
      </c>
      <c r="T387" s="9">
        <f t="shared" si="17"/>
        <v>5</v>
      </c>
    </row>
    <row r="388" spans="1:20" x14ac:dyDescent="0.25">
      <c r="A388" s="5">
        <v>362675</v>
      </c>
      <c r="B388" t="str">
        <f>IFERROR((VLOOKUP(A388,'[1]LISTA ETIQUETAS'!O:X,3,0)),"PRODUTO SEM ESTOQUE")</f>
        <v>EST CADEIRA CLARA C/BRACO (JEQ NOG) (MISTA) (C2 CARAMELO)</v>
      </c>
      <c r="C388" s="10" t="s">
        <v>253</v>
      </c>
      <c r="D388" s="10" t="s">
        <v>269</v>
      </c>
      <c r="E388" s="11">
        <f>IF(VLOOKUP(A388,'[1]LISTA ETIQUETAS'!O:W,4,0)="",(VLOOKUP(A388,'[1]LISTA ETIQUETAS'!O:W,6,0)),(VLOOKUP(A388,'[1]LISTA ETIQUETAS'!O:W,4,0)))</f>
        <v>0.61</v>
      </c>
      <c r="F388" s="11">
        <f>IF(VLOOKUP(A388,'[1]LISTA ETIQUETAS'!O:W,5,0)="",(VLOOKUP(A388,'[1]LISTA ETIQUETAS'!O:W,7,0)),(VLOOKUP(A388,'[1]LISTA ETIQUETAS'!O:W,5,0)))</f>
        <v>0.55000000000000004</v>
      </c>
      <c r="G388" s="11">
        <f>IFERROR((VLOOKUP(A388,'[1]LISTA ETIQUETAS'!O:X,8,0)),"")</f>
        <v>0.86</v>
      </c>
      <c r="H388" s="11">
        <f>IFERROR((VLOOKUP(A388,'[1]LISTA ETIQUETAS'!O:X,9,0)),"")</f>
        <v>0</v>
      </c>
      <c r="I388" s="12">
        <f>IFERROR((VLOOKUP(A388,'[1]LISTA ETIQUETAS'!O:Y,11,0)),"")</f>
        <v>9303.6200000000008</v>
      </c>
      <c r="J388" s="6">
        <v>0</v>
      </c>
      <c r="K388" s="12">
        <f t="shared" si="18"/>
        <v>9303.6200000000008</v>
      </c>
      <c r="L388" s="7" t="str">
        <f>IF(VLOOKUP(A388,'[1]LISTA ETIQUETAS'!O:AB,14,0)="","",(VLOOKUP(A388,'[1]LISTA ETIQUETAS'!O:AB,14,0)))</f>
        <v/>
      </c>
      <c r="M388" s="8"/>
      <c r="N388" s="9">
        <f t="shared" ref="N388:N451" si="19">IF(M388="",A388,M388)</f>
        <v>362675</v>
      </c>
      <c r="O388" s="2">
        <f>_xlfn.XLOOKUP($A388,'[1]LISTA ETIQUETAS'!$O:$O,'[1]LISTA ETIQUETAS'!C:C,"",0)</f>
        <v>6</v>
      </c>
      <c r="P388" s="2">
        <f>_xlfn.XLOOKUP($A388,'[1]LISTA ETIQUETAS'!$O:$O,'[1]LISTA ETIQUETAS'!D:D,"",0)</f>
        <v>1</v>
      </c>
      <c r="Q388" s="2">
        <f>_xlfn.XLOOKUP($A388,'[1]LISTA ETIQUETAS'!$O:$O,'[1]LISTA ETIQUETAS'!E:E,"",0)</f>
        <v>0</v>
      </c>
      <c r="R388" s="2">
        <f>_xlfn.XLOOKUP($A388,'[1]LISTA ETIQUETAS'!$O:$O,'[1]LISTA ETIQUETAS'!F:F,"",0)</f>
        <v>0</v>
      </c>
      <c r="S388" s="2">
        <f>_xlfn.XLOOKUP($A388,'[1]LISTA ETIQUETAS'!$O:$O,'[1]LISTA ETIQUETAS'!H:H,"",0)</f>
        <v>3</v>
      </c>
      <c r="T388" s="9">
        <f t="shared" ref="T388:T451" si="20">SUM(O388:S388)</f>
        <v>10</v>
      </c>
    </row>
    <row r="389" spans="1:20" x14ac:dyDescent="0.25">
      <c r="A389" s="5">
        <v>336638</v>
      </c>
      <c r="B389" t="str">
        <f>IFERROR((VLOOKUP(A389,'[1]LISTA ETIQUETAS'!O:X,3,0)),"PRODUTO SEM ESTOQUE")</f>
        <v>EST CADEIRA MELIZA (GIR) (COURO 2 2014) (TING AMENDOA)</v>
      </c>
      <c r="C389" s="10" t="s">
        <v>253</v>
      </c>
      <c r="D389" s="10" t="s">
        <v>270</v>
      </c>
      <c r="E389" s="11">
        <f>IF(VLOOKUP(A389,'[1]LISTA ETIQUETAS'!O:W,4,0)="",(VLOOKUP(A389,'[1]LISTA ETIQUETAS'!O:W,6,0)),(VLOOKUP(A389,'[1]LISTA ETIQUETAS'!O:W,4,0)))</f>
        <v>0.6</v>
      </c>
      <c r="F389" s="11">
        <f>IF(VLOOKUP(A389,'[1]LISTA ETIQUETAS'!O:W,5,0)="",(VLOOKUP(A389,'[1]LISTA ETIQUETAS'!O:W,7,0)),(VLOOKUP(A389,'[1]LISTA ETIQUETAS'!O:W,5,0)))</f>
        <v>0.49</v>
      </c>
      <c r="G389" s="11">
        <f>IFERROR((VLOOKUP(A389,'[1]LISTA ETIQUETAS'!O:X,8,0)),"")</f>
        <v>0.79</v>
      </c>
      <c r="H389" s="11">
        <f>IFERROR((VLOOKUP(A389,'[1]LISTA ETIQUETAS'!O:X,9,0)),"")</f>
        <v>0</v>
      </c>
      <c r="I389" s="12">
        <f>IFERROR((VLOOKUP(A389,'[1]LISTA ETIQUETAS'!O:Y,11,0)),"")</f>
        <v>8851.81</v>
      </c>
      <c r="J389" s="6">
        <v>0</v>
      </c>
      <c r="K389" s="12">
        <f t="shared" si="18"/>
        <v>8851.81</v>
      </c>
      <c r="L389" s="7" t="str">
        <f>IF(VLOOKUP(A389,'[1]LISTA ETIQUETAS'!O:AB,14,0)="","",(VLOOKUP(A389,'[1]LISTA ETIQUETAS'!O:AB,14,0)))</f>
        <v/>
      </c>
      <c r="M389" s="8"/>
      <c r="N389" s="9">
        <f t="shared" si="19"/>
        <v>336638</v>
      </c>
      <c r="O389" s="2">
        <f>_xlfn.XLOOKUP($A389,'[1]LISTA ETIQUETAS'!$O:$O,'[1]LISTA ETIQUETAS'!C:C,"",0)</f>
        <v>0</v>
      </c>
      <c r="P389" s="2">
        <f>_xlfn.XLOOKUP($A389,'[1]LISTA ETIQUETAS'!$O:$O,'[1]LISTA ETIQUETAS'!D:D,"",0)</f>
        <v>0</v>
      </c>
      <c r="Q389" s="2">
        <f>_xlfn.XLOOKUP($A389,'[1]LISTA ETIQUETAS'!$O:$O,'[1]LISTA ETIQUETAS'!E:E,"",0)</f>
        <v>0</v>
      </c>
      <c r="R389" s="2">
        <f>_xlfn.XLOOKUP($A389,'[1]LISTA ETIQUETAS'!$O:$O,'[1]LISTA ETIQUETAS'!F:F,"",0)</f>
        <v>0</v>
      </c>
      <c r="S389" s="2">
        <f>_xlfn.XLOOKUP($A389,'[1]LISTA ETIQUETAS'!$O:$O,'[1]LISTA ETIQUETAS'!H:H,"",0)</f>
        <v>3</v>
      </c>
      <c r="T389" s="9">
        <f t="shared" si="20"/>
        <v>3</v>
      </c>
    </row>
    <row r="390" spans="1:20" x14ac:dyDescent="0.25">
      <c r="A390" s="5">
        <v>336720</v>
      </c>
      <c r="B390" t="str">
        <f>IFERROR((VLOOKUP(A390,'[1]LISTA ETIQUETAS'!O:X,3,0)),"PRODUTO SEM ESTOQUE")</f>
        <v>EST CADEIRA CLARA (JEQ TING SMOKE) (ESTOF) (C3 PRETO)</v>
      </c>
      <c r="C390" s="10" t="s">
        <v>253</v>
      </c>
      <c r="D390" s="10" t="s">
        <v>269</v>
      </c>
      <c r="E390" s="11">
        <f>IF(VLOOKUP(A390,'[1]LISTA ETIQUETAS'!O:W,4,0)="",(VLOOKUP(A390,'[1]LISTA ETIQUETAS'!O:W,6,0)),(VLOOKUP(A390,'[1]LISTA ETIQUETAS'!O:W,4,0)))</f>
        <v>0.48</v>
      </c>
      <c r="F390" s="11">
        <f>IF(VLOOKUP(A390,'[1]LISTA ETIQUETAS'!O:W,5,0)="",(VLOOKUP(A390,'[1]LISTA ETIQUETAS'!O:W,7,0)),(VLOOKUP(A390,'[1]LISTA ETIQUETAS'!O:W,5,0)))</f>
        <v>0.56999999999999995</v>
      </c>
      <c r="G390" s="11">
        <f>IFERROR((VLOOKUP(A390,'[1]LISTA ETIQUETAS'!O:X,8,0)),"")</f>
        <v>0.86</v>
      </c>
      <c r="H390" s="11">
        <f>IFERROR((VLOOKUP(A390,'[1]LISTA ETIQUETAS'!O:X,9,0)),"")</f>
        <v>0</v>
      </c>
      <c r="I390" s="12">
        <f>IFERROR((VLOOKUP(A390,'[1]LISTA ETIQUETAS'!O:Y,11,0)),"")</f>
        <v>7637.06</v>
      </c>
      <c r="J390" s="6">
        <v>0</v>
      </c>
      <c r="K390" s="12">
        <f t="shared" si="18"/>
        <v>7637.06</v>
      </c>
      <c r="L390" s="7" t="str">
        <f>IF(VLOOKUP(A390,'[1]LISTA ETIQUETAS'!O:AB,14,0)="","",(VLOOKUP(A390,'[1]LISTA ETIQUETAS'!O:AB,14,0)))</f>
        <v/>
      </c>
      <c r="M390" s="8"/>
      <c r="N390" s="9">
        <f t="shared" si="19"/>
        <v>336720</v>
      </c>
      <c r="O390" s="2">
        <f>_xlfn.XLOOKUP($A390,'[1]LISTA ETIQUETAS'!$O:$O,'[1]LISTA ETIQUETAS'!C:C,"",0)</f>
        <v>0</v>
      </c>
      <c r="P390" s="2">
        <f>_xlfn.XLOOKUP($A390,'[1]LISTA ETIQUETAS'!$O:$O,'[1]LISTA ETIQUETAS'!D:D,"",0)</f>
        <v>0</v>
      </c>
      <c r="Q390" s="2">
        <f>_xlfn.XLOOKUP($A390,'[1]LISTA ETIQUETAS'!$O:$O,'[1]LISTA ETIQUETAS'!E:E,"",0)</f>
        <v>0</v>
      </c>
      <c r="R390" s="2">
        <f>_xlfn.XLOOKUP($A390,'[1]LISTA ETIQUETAS'!$O:$O,'[1]LISTA ETIQUETAS'!F:F,"",0)</f>
        <v>0</v>
      </c>
      <c r="S390" s="2">
        <f>_xlfn.XLOOKUP($A390,'[1]LISTA ETIQUETAS'!$O:$O,'[1]LISTA ETIQUETAS'!H:H,"",0)</f>
        <v>10</v>
      </c>
      <c r="T390" s="9">
        <f t="shared" si="20"/>
        <v>10</v>
      </c>
    </row>
    <row r="391" spans="1:20" x14ac:dyDescent="0.25">
      <c r="A391" s="5">
        <v>334238</v>
      </c>
      <c r="B391" t="str">
        <f>IFERROR((VLOOKUP(A391,'[1]LISTA ETIQUETAS'!O:X,3,0)),"PRODUTO SEM ESTOQUE")</f>
        <v>EST CADEIRA ALE (LAM FREIJO MEL) (REC CARAM) SOLETA CARAMELO</v>
      </c>
      <c r="C391" s="10" t="s">
        <v>253</v>
      </c>
      <c r="D391" s="10" t="s">
        <v>271</v>
      </c>
      <c r="E391" s="11">
        <f>IF(VLOOKUP(A391,'[1]LISTA ETIQUETAS'!O:W,4,0)="",(VLOOKUP(A391,'[1]LISTA ETIQUETAS'!O:W,6,0)),(VLOOKUP(A391,'[1]LISTA ETIQUETAS'!O:W,4,0)))</f>
        <v>0.56000000000000005</v>
      </c>
      <c r="F391" s="11">
        <f>IF(VLOOKUP(A391,'[1]LISTA ETIQUETAS'!O:W,5,0)="",(VLOOKUP(A391,'[1]LISTA ETIQUETAS'!O:W,7,0)),(VLOOKUP(A391,'[1]LISTA ETIQUETAS'!O:W,5,0)))</f>
        <v>0.55000000000000004</v>
      </c>
      <c r="G391" s="11">
        <f>IFERROR((VLOOKUP(A391,'[1]LISTA ETIQUETAS'!O:X,8,0)),"")</f>
        <v>0.78</v>
      </c>
      <c r="H391" s="11">
        <f>IFERROR((VLOOKUP(A391,'[1]LISTA ETIQUETAS'!O:X,9,0)),"")</f>
        <v>0</v>
      </c>
      <c r="I391" s="12">
        <f>IFERROR((VLOOKUP(A391,'[1]LISTA ETIQUETAS'!O:Y,11,0)),"")</f>
        <v>9327.9</v>
      </c>
      <c r="J391" s="6">
        <v>0</v>
      </c>
      <c r="K391" s="12">
        <f t="shared" si="18"/>
        <v>9327.9</v>
      </c>
      <c r="L391" s="7" t="str">
        <f>IF(VLOOKUP(A391,'[1]LISTA ETIQUETAS'!O:AB,14,0)="","",(VLOOKUP(A391,'[1]LISTA ETIQUETAS'!O:AB,14,0)))</f>
        <v/>
      </c>
      <c r="M391" s="8"/>
      <c r="N391" s="9">
        <f t="shared" si="19"/>
        <v>334238</v>
      </c>
      <c r="O391" s="2">
        <f>_xlfn.XLOOKUP($A391,'[1]LISTA ETIQUETAS'!$O:$O,'[1]LISTA ETIQUETAS'!C:C,"",0)</f>
        <v>1</v>
      </c>
      <c r="P391" s="2">
        <f>_xlfn.XLOOKUP($A391,'[1]LISTA ETIQUETAS'!$O:$O,'[1]LISTA ETIQUETAS'!D:D,"",0)</f>
        <v>0</v>
      </c>
      <c r="Q391" s="2">
        <f>_xlfn.XLOOKUP($A391,'[1]LISTA ETIQUETAS'!$O:$O,'[1]LISTA ETIQUETAS'!E:E,"",0)</f>
        <v>0</v>
      </c>
      <c r="R391" s="2">
        <f>_xlfn.XLOOKUP($A391,'[1]LISTA ETIQUETAS'!$O:$O,'[1]LISTA ETIQUETAS'!F:F,"",0)</f>
        <v>0</v>
      </c>
      <c r="S391" s="2">
        <f>_xlfn.XLOOKUP($A391,'[1]LISTA ETIQUETAS'!$O:$O,'[1]LISTA ETIQUETAS'!H:H,"",0)</f>
        <v>4</v>
      </c>
      <c r="T391" s="9">
        <f t="shared" si="20"/>
        <v>5</v>
      </c>
    </row>
    <row r="392" spans="1:20" x14ac:dyDescent="0.25">
      <c r="A392" s="5">
        <v>334219</v>
      </c>
      <c r="B392" t="str">
        <f>IFERROR((VLOOKUP(A392,'[1]LISTA ETIQUETAS'!O:X,3,0)),"PRODUTO SEM ESTOQUE")</f>
        <v>EST CADEIRA MOI (PINT MARROM FSC) (TC LISO BRUN CRU)</v>
      </c>
      <c r="C392" s="10" t="s">
        <v>253</v>
      </c>
      <c r="D392" s="10" t="s">
        <v>272</v>
      </c>
      <c r="E392" s="11">
        <f>IF(VLOOKUP(A392,'[1]LISTA ETIQUETAS'!O:W,4,0)="",(VLOOKUP(A392,'[1]LISTA ETIQUETAS'!O:W,6,0)),(VLOOKUP(A392,'[1]LISTA ETIQUETAS'!O:W,4,0)))</f>
        <v>0.48</v>
      </c>
      <c r="F392" s="11">
        <f>IF(VLOOKUP(A392,'[1]LISTA ETIQUETAS'!O:W,5,0)="",(VLOOKUP(A392,'[1]LISTA ETIQUETAS'!O:W,7,0)),(VLOOKUP(A392,'[1]LISTA ETIQUETAS'!O:W,5,0)))</f>
        <v>0.56999999999999995</v>
      </c>
      <c r="G392" s="11">
        <f>IFERROR((VLOOKUP(A392,'[1]LISTA ETIQUETAS'!O:X,8,0)),"")</f>
        <v>0.82</v>
      </c>
      <c r="H392" s="11">
        <f>IFERROR((VLOOKUP(A392,'[1]LISTA ETIQUETAS'!O:X,9,0)),"")</f>
        <v>0</v>
      </c>
      <c r="I392" s="12">
        <f>IFERROR((VLOOKUP(A392,'[1]LISTA ETIQUETAS'!O:Y,11,0)),"")</f>
        <v>8103.02</v>
      </c>
      <c r="J392" s="6">
        <v>0</v>
      </c>
      <c r="K392" s="12">
        <f t="shared" si="18"/>
        <v>8103.02</v>
      </c>
      <c r="L392" s="7" t="str">
        <f>IF(VLOOKUP(A392,'[1]LISTA ETIQUETAS'!O:AB,14,0)="","",(VLOOKUP(A392,'[1]LISTA ETIQUETAS'!O:AB,14,0)))</f>
        <v/>
      </c>
      <c r="M392" s="8"/>
      <c r="N392" s="9">
        <f t="shared" si="19"/>
        <v>334219</v>
      </c>
      <c r="O392" s="2">
        <f>_xlfn.XLOOKUP($A392,'[1]LISTA ETIQUETAS'!$O:$O,'[1]LISTA ETIQUETAS'!C:C,"",0)</f>
        <v>0</v>
      </c>
      <c r="P392" s="2">
        <f>_xlfn.XLOOKUP($A392,'[1]LISTA ETIQUETAS'!$O:$O,'[1]LISTA ETIQUETAS'!D:D,"",0)</f>
        <v>0</v>
      </c>
      <c r="Q392" s="2">
        <f>_xlfn.XLOOKUP($A392,'[1]LISTA ETIQUETAS'!$O:$O,'[1]LISTA ETIQUETAS'!E:E,"",0)</f>
        <v>0</v>
      </c>
      <c r="R392" s="2">
        <f>_xlfn.XLOOKUP($A392,'[1]LISTA ETIQUETAS'!$O:$O,'[1]LISTA ETIQUETAS'!F:F,"",0)</f>
        <v>0</v>
      </c>
      <c r="S392" s="2">
        <f>_xlfn.XLOOKUP($A392,'[1]LISTA ETIQUETAS'!$O:$O,'[1]LISTA ETIQUETAS'!H:H,"",0)</f>
        <v>8</v>
      </c>
      <c r="T392" s="9">
        <f t="shared" si="20"/>
        <v>8</v>
      </c>
    </row>
    <row r="393" spans="1:20" x14ac:dyDescent="0.25">
      <c r="A393" s="5">
        <v>335331</v>
      </c>
      <c r="B393" t="str">
        <f>IFERROR((VLOOKUP(A393,'[1]LISTA ETIQUETAS'!O:X,3,0)),"PRODUTO SEM ESTOQUE")</f>
        <v>EST CADEIRA CLARA (JEQ TING NOG) (ESTOF) (C4 NERO)</v>
      </c>
      <c r="C393" s="10" t="s">
        <v>253</v>
      </c>
      <c r="D393" s="10" t="s">
        <v>269</v>
      </c>
      <c r="E393" s="11">
        <f>IF(VLOOKUP(A393,'[1]LISTA ETIQUETAS'!O:W,4,0)="",(VLOOKUP(A393,'[1]LISTA ETIQUETAS'!O:W,6,0)),(VLOOKUP(A393,'[1]LISTA ETIQUETAS'!O:W,4,0)))</f>
        <v>0.48</v>
      </c>
      <c r="F393" s="11">
        <f>IF(VLOOKUP(A393,'[1]LISTA ETIQUETAS'!O:W,5,0)="",(VLOOKUP(A393,'[1]LISTA ETIQUETAS'!O:W,7,0)),(VLOOKUP(A393,'[1]LISTA ETIQUETAS'!O:W,5,0)))</f>
        <v>0.56999999999999995</v>
      </c>
      <c r="G393" s="11">
        <f>IFERROR((VLOOKUP(A393,'[1]LISTA ETIQUETAS'!O:X,8,0)),"")</f>
        <v>0.86</v>
      </c>
      <c r="H393" s="11">
        <f>IFERROR((VLOOKUP(A393,'[1]LISTA ETIQUETAS'!O:X,9,0)),"")</f>
        <v>0</v>
      </c>
      <c r="I393" s="12">
        <f>IFERROR((VLOOKUP(A393,'[1]LISTA ETIQUETAS'!O:Y,11,0)),"")</f>
        <v>8042.5</v>
      </c>
      <c r="J393" s="6">
        <v>0</v>
      </c>
      <c r="K393" s="12">
        <f t="shared" si="18"/>
        <v>8042.5</v>
      </c>
      <c r="L393" s="7" t="str">
        <f>IF(VLOOKUP(A393,'[1]LISTA ETIQUETAS'!O:AB,14,0)="","",(VLOOKUP(A393,'[1]LISTA ETIQUETAS'!O:AB,14,0)))</f>
        <v/>
      </c>
      <c r="M393" s="8"/>
      <c r="N393" s="9">
        <f t="shared" si="19"/>
        <v>335331</v>
      </c>
      <c r="O393" s="2">
        <f>_xlfn.XLOOKUP($A393,'[1]LISTA ETIQUETAS'!$O:$O,'[1]LISTA ETIQUETAS'!C:C,"",0)</f>
        <v>0</v>
      </c>
      <c r="P393" s="2">
        <f>_xlfn.XLOOKUP($A393,'[1]LISTA ETIQUETAS'!$O:$O,'[1]LISTA ETIQUETAS'!D:D,"",0)</f>
        <v>0</v>
      </c>
      <c r="Q393" s="2">
        <f>_xlfn.XLOOKUP($A393,'[1]LISTA ETIQUETAS'!$O:$O,'[1]LISTA ETIQUETAS'!E:E,"",0)</f>
        <v>0</v>
      </c>
      <c r="R393" s="2">
        <f>_xlfn.XLOOKUP($A393,'[1]LISTA ETIQUETAS'!$O:$O,'[1]LISTA ETIQUETAS'!F:F,"",0)</f>
        <v>0</v>
      </c>
      <c r="S393" s="2">
        <f>_xlfn.XLOOKUP($A393,'[1]LISTA ETIQUETAS'!$O:$O,'[1]LISTA ETIQUETAS'!H:H,"",0)</f>
        <v>10</v>
      </c>
      <c r="T393" s="9">
        <f t="shared" si="20"/>
        <v>10</v>
      </c>
    </row>
    <row r="394" spans="1:20" x14ac:dyDescent="0.25">
      <c r="A394" s="5">
        <v>334629</v>
      </c>
      <c r="B394" t="str">
        <f>IFERROR((VLOOKUP(A394,'[1]LISTA ETIQUETAS'!O:X,3,0)),"PRODUTO SEM ESTOQUE")</f>
        <v>EST CADEIRA KEEF C/BRACO (JEQ TING DARK) (MISTA) (C4 COFFEE)</v>
      </c>
      <c r="C394" s="10" t="s">
        <v>253</v>
      </c>
      <c r="D394" s="10" t="s">
        <v>254</v>
      </c>
      <c r="E394" s="11">
        <f>IF(VLOOKUP(A394,'[1]LISTA ETIQUETAS'!O:W,4,0)="",(VLOOKUP(A394,'[1]LISTA ETIQUETAS'!O:W,6,0)),(VLOOKUP(A394,'[1]LISTA ETIQUETAS'!O:W,4,0)))</f>
        <v>0.55000000000000004</v>
      </c>
      <c r="F394" s="11">
        <f>IF(VLOOKUP(A394,'[1]LISTA ETIQUETAS'!O:W,5,0)="",(VLOOKUP(A394,'[1]LISTA ETIQUETAS'!O:W,7,0)),(VLOOKUP(A394,'[1]LISTA ETIQUETAS'!O:W,5,0)))</f>
        <v>0.54</v>
      </c>
      <c r="G394" s="11">
        <f>IFERROR((VLOOKUP(A394,'[1]LISTA ETIQUETAS'!O:X,8,0)),"")</f>
        <v>0.89</v>
      </c>
      <c r="H394" s="11">
        <f>IFERROR((VLOOKUP(A394,'[1]LISTA ETIQUETAS'!O:X,9,0)),"")</f>
        <v>0</v>
      </c>
      <c r="I394" s="12">
        <f>IFERROR((VLOOKUP(A394,'[1]LISTA ETIQUETAS'!O:Y,11,0)),"")</f>
        <v>9927.3700000000008</v>
      </c>
      <c r="J394" s="6">
        <v>0</v>
      </c>
      <c r="K394" s="12">
        <f t="shared" si="18"/>
        <v>9927.3700000000008</v>
      </c>
      <c r="L394" s="7" t="str">
        <f>IF(VLOOKUP(A394,'[1]LISTA ETIQUETAS'!O:AB,14,0)="","",(VLOOKUP(A394,'[1]LISTA ETIQUETAS'!O:AB,14,0)))</f>
        <v/>
      </c>
      <c r="M394" s="8"/>
      <c r="N394" s="9">
        <f t="shared" si="19"/>
        <v>334629</v>
      </c>
      <c r="O394" s="2">
        <f>_xlfn.XLOOKUP($A394,'[1]LISTA ETIQUETAS'!$O:$O,'[1]LISTA ETIQUETAS'!C:C,"",0)</f>
        <v>0</v>
      </c>
      <c r="P394" s="2">
        <f>_xlfn.XLOOKUP($A394,'[1]LISTA ETIQUETAS'!$O:$O,'[1]LISTA ETIQUETAS'!D:D,"",0)</f>
        <v>0</v>
      </c>
      <c r="Q394" s="2">
        <f>_xlfn.XLOOKUP($A394,'[1]LISTA ETIQUETAS'!$O:$O,'[1]LISTA ETIQUETAS'!E:E,"",0)</f>
        <v>0</v>
      </c>
      <c r="R394" s="2">
        <f>_xlfn.XLOOKUP($A394,'[1]LISTA ETIQUETAS'!$O:$O,'[1]LISTA ETIQUETAS'!F:F,"",0)</f>
        <v>0</v>
      </c>
      <c r="S394" s="2">
        <f>_xlfn.XLOOKUP($A394,'[1]LISTA ETIQUETAS'!$O:$O,'[1]LISTA ETIQUETAS'!H:H,"",0)</f>
        <v>8</v>
      </c>
      <c r="T394" s="9">
        <f t="shared" si="20"/>
        <v>8</v>
      </c>
    </row>
    <row r="395" spans="1:20" x14ac:dyDescent="0.25">
      <c r="A395" s="5">
        <v>335230</v>
      </c>
      <c r="B395" t="str">
        <f>IFERROR((VLOOKUP(A395,'[1]LISTA ETIQUETAS'!O:X,3,0)),"PRODUTO SEM ESTOQUE")</f>
        <v>EST CADEIRA JULIA C/BRACO (COURO PIG 000) (MARROM MTZ)</v>
      </c>
      <c r="C395" s="10" t="s">
        <v>253</v>
      </c>
      <c r="D395" s="10" t="s">
        <v>273</v>
      </c>
      <c r="E395" s="11">
        <f>IF(VLOOKUP(A395,'[1]LISTA ETIQUETAS'!O:W,4,0)="",(VLOOKUP(A395,'[1]LISTA ETIQUETAS'!O:W,6,0)),(VLOOKUP(A395,'[1]LISTA ETIQUETAS'!O:W,4,0)))</f>
        <v>0.61</v>
      </c>
      <c r="F395" s="11">
        <f>IF(VLOOKUP(A395,'[1]LISTA ETIQUETAS'!O:W,5,0)="",(VLOOKUP(A395,'[1]LISTA ETIQUETAS'!O:W,7,0)),(VLOOKUP(A395,'[1]LISTA ETIQUETAS'!O:W,5,0)))</f>
        <v>0.54</v>
      </c>
      <c r="G395" s="11">
        <f>IFERROR((VLOOKUP(A395,'[1]LISTA ETIQUETAS'!O:X,8,0)),"")</f>
        <v>0.76</v>
      </c>
      <c r="H395" s="11">
        <f>IFERROR((VLOOKUP(A395,'[1]LISTA ETIQUETAS'!O:X,9,0)),"")</f>
        <v>0</v>
      </c>
      <c r="I395" s="12">
        <f>IFERROR((VLOOKUP(A395,'[1]LISTA ETIQUETAS'!O:Y,11,0)),"")</f>
        <v>8798.630000000001</v>
      </c>
      <c r="J395" s="6">
        <v>0</v>
      </c>
      <c r="K395" s="12">
        <f t="shared" si="18"/>
        <v>8798.630000000001</v>
      </c>
      <c r="L395" s="7" t="str">
        <f>IF(VLOOKUP(A395,'[1]LISTA ETIQUETAS'!O:AB,14,0)="","",(VLOOKUP(A395,'[1]LISTA ETIQUETAS'!O:AB,14,0)))</f>
        <v/>
      </c>
      <c r="M395" s="8"/>
      <c r="N395" s="9">
        <f t="shared" si="19"/>
        <v>335230</v>
      </c>
      <c r="O395" s="2">
        <f>_xlfn.XLOOKUP($A395,'[1]LISTA ETIQUETAS'!$O:$O,'[1]LISTA ETIQUETAS'!C:C,"",0)</f>
        <v>0</v>
      </c>
      <c r="P395" s="2">
        <f>_xlfn.XLOOKUP($A395,'[1]LISTA ETIQUETAS'!$O:$O,'[1]LISTA ETIQUETAS'!D:D,"",0)</f>
        <v>0</v>
      </c>
      <c r="Q395" s="2">
        <f>_xlfn.XLOOKUP($A395,'[1]LISTA ETIQUETAS'!$O:$O,'[1]LISTA ETIQUETAS'!E:E,"",0)</f>
        <v>0</v>
      </c>
      <c r="R395" s="2">
        <f>_xlfn.XLOOKUP($A395,'[1]LISTA ETIQUETAS'!$O:$O,'[1]LISTA ETIQUETAS'!F:F,"",0)</f>
        <v>6</v>
      </c>
      <c r="S395" s="2">
        <f>_xlfn.XLOOKUP($A395,'[1]LISTA ETIQUETAS'!$O:$O,'[1]LISTA ETIQUETAS'!H:H,"",0)</f>
        <v>2</v>
      </c>
      <c r="T395" s="9">
        <f t="shared" si="20"/>
        <v>8</v>
      </c>
    </row>
    <row r="396" spans="1:20" x14ac:dyDescent="0.25">
      <c r="A396" s="5">
        <v>334164</v>
      </c>
      <c r="B396" t="str">
        <f>IFERROR((VLOOKUP(A396,'[1]LISTA ETIQUETAS'!O:X,3,0)),"PRODUTO SEM ESTOQUE")</f>
        <v>EST CADEIRA JULIETA (JEQ PECAN) (COURO PIGUIMENTADO AREIA)</v>
      </c>
      <c r="C396" s="10" t="s">
        <v>253</v>
      </c>
      <c r="D396" s="10" t="s">
        <v>263</v>
      </c>
      <c r="E396" s="11">
        <f>IF(VLOOKUP(A396,'[1]LISTA ETIQUETAS'!O:W,4,0)="",(VLOOKUP(A396,'[1]LISTA ETIQUETAS'!O:W,6,0)),(VLOOKUP(A396,'[1]LISTA ETIQUETAS'!O:W,4,0)))</f>
        <v>0.6</v>
      </c>
      <c r="F396" s="11">
        <f>IF(VLOOKUP(A396,'[1]LISTA ETIQUETAS'!O:W,5,0)="",(VLOOKUP(A396,'[1]LISTA ETIQUETAS'!O:W,7,0)),(VLOOKUP(A396,'[1]LISTA ETIQUETAS'!O:W,5,0)))</f>
        <v>0.54</v>
      </c>
      <c r="G396" s="11">
        <f>IFERROR((VLOOKUP(A396,'[1]LISTA ETIQUETAS'!O:X,8,0)),"")</f>
        <v>0.71</v>
      </c>
      <c r="H396" s="11">
        <f>IFERROR((VLOOKUP(A396,'[1]LISTA ETIQUETAS'!O:X,9,0)),"")</f>
        <v>0</v>
      </c>
      <c r="I396" s="12">
        <f>IFERROR((VLOOKUP(A396,'[1]LISTA ETIQUETAS'!O:Y,11,0)),"")</f>
        <v>9657.4</v>
      </c>
      <c r="J396" s="6">
        <v>0</v>
      </c>
      <c r="K396" s="12">
        <f t="shared" si="18"/>
        <v>9657.4</v>
      </c>
      <c r="L396" s="7" t="str">
        <f>IF(VLOOKUP(A396,'[1]LISTA ETIQUETAS'!O:AB,14,0)="","",(VLOOKUP(A396,'[1]LISTA ETIQUETAS'!O:AB,14,0)))</f>
        <v/>
      </c>
      <c r="M396" s="8"/>
      <c r="N396" s="9">
        <f t="shared" si="19"/>
        <v>334164</v>
      </c>
      <c r="O396" s="2">
        <f>_xlfn.XLOOKUP($A396,'[1]LISTA ETIQUETAS'!$O:$O,'[1]LISTA ETIQUETAS'!C:C,"",0)</f>
        <v>1</v>
      </c>
      <c r="P396" s="2">
        <f>_xlfn.XLOOKUP($A396,'[1]LISTA ETIQUETAS'!$O:$O,'[1]LISTA ETIQUETAS'!D:D,"",0)</f>
        <v>1</v>
      </c>
      <c r="Q396" s="2">
        <f>_xlfn.XLOOKUP($A396,'[1]LISTA ETIQUETAS'!$O:$O,'[1]LISTA ETIQUETAS'!E:E,"",0)</f>
        <v>1</v>
      </c>
      <c r="R396" s="2">
        <f>_xlfn.XLOOKUP($A396,'[1]LISTA ETIQUETAS'!$O:$O,'[1]LISTA ETIQUETAS'!F:F,"",0)</f>
        <v>1</v>
      </c>
      <c r="S396" s="2">
        <f>_xlfn.XLOOKUP($A396,'[1]LISTA ETIQUETAS'!$O:$O,'[1]LISTA ETIQUETAS'!H:H,"",0)</f>
        <v>2</v>
      </c>
      <c r="T396" s="9">
        <f t="shared" si="20"/>
        <v>6</v>
      </c>
    </row>
    <row r="397" spans="1:20" x14ac:dyDescent="0.25">
      <c r="A397" s="5">
        <v>334271</v>
      </c>
      <c r="B397" t="str">
        <f>IFERROR((VLOOKUP(A397,'[1]LISTA ETIQUETAS'!O:X,3,0)),"PRODUTO SEM ESTOQUE")</f>
        <v>EST CADEIRA LUIZA C/BRACO COU 2 ESTONADO 8001/JEQ CAST CLARO</v>
      </c>
      <c r="C397" s="10" t="s">
        <v>253</v>
      </c>
      <c r="D397" s="10" t="s">
        <v>267</v>
      </c>
      <c r="E397" s="11">
        <f>IF(VLOOKUP(A397,'[1]LISTA ETIQUETAS'!O:W,4,0)="",(VLOOKUP(A397,'[1]LISTA ETIQUETAS'!O:W,6,0)),(VLOOKUP(A397,'[1]LISTA ETIQUETAS'!O:W,4,0)))</f>
        <v>0.59</v>
      </c>
      <c r="F397" s="11">
        <f>IF(VLOOKUP(A397,'[1]LISTA ETIQUETAS'!O:W,5,0)="",(VLOOKUP(A397,'[1]LISTA ETIQUETAS'!O:W,7,0)),(VLOOKUP(A397,'[1]LISTA ETIQUETAS'!O:W,5,0)))</f>
        <v>0.56000000000000005</v>
      </c>
      <c r="G397" s="11">
        <f>IFERROR((VLOOKUP(A397,'[1]LISTA ETIQUETAS'!O:X,8,0)),"")</f>
        <v>0.74</v>
      </c>
      <c r="H397" s="11">
        <f>IFERROR((VLOOKUP(A397,'[1]LISTA ETIQUETAS'!O:X,9,0)),"")</f>
        <v>0</v>
      </c>
      <c r="I397" s="12">
        <f>IFERROR((VLOOKUP(A397,'[1]LISTA ETIQUETAS'!O:Y,11,0)),"")</f>
        <v>9433.94</v>
      </c>
      <c r="J397" s="6">
        <v>0</v>
      </c>
      <c r="K397" s="12">
        <f t="shared" si="18"/>
        <v>9433.94</v>
      </c>
      <c r="L397" s="7" t="str">
        <f>IF(VLOOKUP(A397,'[1]LISTA ETIQUETAS'!O:AB,14,0)="","",(VLOOKUP(A397,'[1]LISTA ETIQUETAS'!O:AB,14,0)))</f>
        <v/>
      </c>
      <c r="M397" s="8"/>
      <c r="N397" s="9">
        <f t="shared" si="19"/>
        <v>334271</v>
      </c>
      <c r="O397" s="2">
        <f>_xlfn.XLOOKUP($A397,'[1]LISTA ETIQUETAS'!$O:$O,'[1]LISTA ETIQUETAS'!C:C,"",0)</f>
        <v>0</v>
      </c>
      <c r="P397" s="2">
        <f>_xlfn.XLOOKUP($A397,'[1]LISTA ETIQUETAS'!$O:$O,'[1]LISTA ETIQUETAS'!D:D,"",0)</f>
        <v>0</v>
      </c>
      <c r="Q397" s="2">
        <f>_xlfn.XLOOKUP($A397,'[1]LISTA ETIQUETAS'!$O:$O,'[1]LISTA ETIQUETAS'!E:E,"",0)</f>
        <v>0</v>
      </c>
      <c r="R397" s="2">
        <f>_xlfn.XLOOKUP($A397,'[1]LISTA ETIQUETAS'!$O:$O,'[1]LISTA ETIQUETAS'!F:F,"",0)</f>
        <v>0</v>
      </c>
      <c r="S397" s="2">
        <f>_xlfn.XLOOKUP($A397,'[1]LISTA ETIQUETAS'!$O:$O,'[1]LISTA ETIQUETAS'!H:H,"",0)</f>
        <v>6</v>
      </c>
      <c r="T397" s="9">
        <f t="shared" si="20"/>
        <v>6</v>
      </c>
    </row>
    <row r="398" spans="1:20" x14ac:dyDescent="0.25">
      <c r="A398" s="5">
        <v>334198</v>
      </c>
      <c r="B398" t="str">
        <f>IFERROR((VLOOKUP(A398,'[1]LISTA ETIQUETAS'!O:X,3,0)),"PRODUTO SEM ESTOQUE")</f>
        <v>EST CADEIRA MEDALHINHA (TAUARI EBNZ) (COLMEIA ARAMID NT)</v>
      </c>
      <c r="C398" s="10" t="s">
        <v>253</v>
      </c>
      <c r="D398" s="10" t="s">
        <v>259</v>
      </c>
      <c r="E398" s="11">
        <f>IF(VLOOKUP(A398,'[1]LISTA ETIQUETAS'!O:W,4,0)="",(VLOOKUP(A398,'[1]LISTA ETIQUETAS'!O:W,6,0)),(VLOOKUP(A398,'[1]LISTA ETIQUETAS'!O:W,4,0)))</f>
        <v>0.47</v>
      </c>
      <c r="F398" s="11">
        <f>IF(VLOOKUP(A398,'[1]LISTA ETIQUETAS'!O:W,5,0)="",(VLOOKUP(A398,'[1]LISTA ETIQUETAS'!O:W,7,0)),(VLOOKUP(A398,'[1]LISTA ETIQUETAS'!O:W,5,0)))</f>
        <v>0.61</v>
      </c>
      <c r="G398" s="11">
        <f>IFERROR((VLOOKUP(A398,'[1]LISTA ETIQUETAS'!O:X,8,0)),"")</f>
        <v>0.82</v>
      </c>
      <c r="H398" s="11">
        <f>IFERROR((VLOOKUP(A398,'[1]LISTA ETIQUETAS'!O:X,9,0)),"")</f>
        <v>0</v>
      </c>
      <c r="I398" s="12">
        <f>IFERROR((VLOOKUP(A398,'[1]LISTA ETIQUETAS'!O:Y,11,0)),"")</f>
        <v>9872.7529999999988</v>
      </c>
      <c r="J398" s="6">
        <v>0</v>
      </c>
      <c r="K398" s="12">
        <f t="shared" si="18"/>
        <v>9872.7529999999988</v>
      </c>
      <c r="L398" s="7" t="str">
        <f>IF(VLOOKUP(A398,'[1]LISTA ETIQUETAS'!O:AB,14,0)="","",(VLOOKUP(A398,'[1]LISTA ETIQUETAS'!O:AB,14,0)))</f>
        <v/>
      </c>
      <c r="M398" s="8"/>
      <c r="N398" s="9">
        <f t="shared" si="19"/>
        <v>334198</v>
      </c>
      <c r="O398" s="2">
        <f>_xlfn.XLOOKUP($A398,'[1]LISTA ETIQUETAS'!$O:$O,'[1]LISTA ETIQUETAS'!C:C,"",0)</f>
        <v>0</v>
      </c>
      <c r="P398" s="2">
        <f>_xlfn.XLOOKUP($A398,'[1]LISTA ETIQUETAS'!$O:$O,'[1]LISTA ETIQUETAS'!D:D,"",0)</f>
        <v>0</v>
      </c>
      <c r="Q398" s="2">
        <f>_xlfn.XLOOKUP($A398,'[1]LISTA ETIQUETAS'!$O:$O,'[1]LISTA ETIQUETAS'!E:E,"",0)</f>
        <v>0</v>
      </c>
      <c r="R398" s="2">
        <f>_xlfn.XLOOKUP($A398,'[1]LISTA ETIQUETAS'!$O:$O,'[1]LISTA ETIQUETAS'!F:F,"",0)</f>
        <v>0</v>
      </c>
      <c r="S398" s="2">
        <f>_xlfn.XLOOKUP($A398,'[1]LISTA ETIQUETAS'!$O:$O,'[1]LISTA ETIQUETAS'!H:H,"",0)</f>
        <v>8</v>
      </c>
      <c r="T398" s="9">
        <f t="shared" si="20"/>
        <v>8</v>
      </c>
    </row>
    <row r="399" spans="1:20" x14ac:dyDescent="0.25">
      <c r="A399" s="5">
        <v>334160</v>
      </c>
      <c r="B399" t="str">
        <f>IFERROR((VLOOKUP(A399,'[1]LISTA ETIQUETAS'!O:X,3,0)),"PRODUTO SEM ESTOQUE")</f>
        <v>EST CADEIRA 60 C/BRACO (EUC TABACO) INOX/ BOUT COURO MARROM</v>
      </c>
      <c r="C399" s="10" t="s">
        <v>253</v>
      </c>
      <c r="D399" s="10" t="s">
        <v>256</v>
      </c>
      <c r="E399" s="11">
        <f>IF(VLOOKUP(A399,'[1]LISTA ETIQUETAS'!O:W,4,0)="",(VLOOKUP(A399,'[1]LISTA ETIQUETAS'!O:W,6,0)),(VLOOKUP(A399,'[1]LISTA ETIQUETAS'!O:W,4,0)))</f>
        <v>0.56000000000000005</v>
      </c>
      <c r="F399" s="11">
        <f>IF(VLOOKUP(A399,'[1]LISTA ETIQUETAS'!O:W,5,0)="",(VLOOKUP(A399,'[1]LISTA ETIQUETAS'!O:W,7,0)),(VLOOKUP(A399,'[1]LISTA ETIQUETAS'!O:W,5,0)))</f>
        <v>0.59</v>
      </c>
      <c r="G399" s="11">
        <f>IFERROR((VLOOKUP(A399,'[1]LISTA ETIQUETAS'!O:X,8,0)),"")</f>
        <v>0.84</v>
      </c>
      <c r="H399" s="11">
        <f>IFERROR((VLOOKUP(A399,'[1]LISTA ETIQUETAS'!O:X,9,0)),"")</f>
        <v>0</v>
      </c>
      <c r="I399" s="12">
        <f>IFERROR((VLOOKUP(A399,'[1]LISTA ETIQUETAS'!O:Y,11,0)),"")</f>
        <v>7016.8</v>
      </c>
      <c r="J399" s="6">
        <v>0</v>
      </c>
      <c r="K399" s="12">
        <f t="shared" si="18"/>
        <v>7016.8</v>
      </c>
      <c r="L399" s="7" t="str">
        <f>IF(VLOOKUP(A399,'[1]LISTA ETIQUETAS'!O:AB,14,0)="","",(VLOOKUP(A399,'[1]LISTA ETIQUETAS'!O:AB,14,0)))</f>
        <v/>
      </c>
      <c r="M399" s="8"/>
      <c r="N399" s="9">
        <f t="shared" si="19"/>
        <v>334160</v>
      </c>
      <c r="O399" s="2">
        <f>_xlfn.XLOOKUP($A399,'[1]LISTA ETIQUETAS'!$O:$O,'[1]LISTA ETIQUETAS'!C:C,"",0)</f>
        <v>0</v>
      </c>
      <c r="P399" s="2">
        <f>_xlfn.XLOOKUP($A399,'[1]LISTA ETIQUETAS'!$O:$O,'[1]LISTA ETIQUETAS'!D:D,"",0)</f>
        <v>0</v>
      </c>
      <c r="Q399" s="2">
        <f>_xlfn.XLOOKUP($A399,'[1]LISTA ETIQUETAS'!$O:$O,'[1]LISTA ETIQUETAS'!E:E,"",0)</f>
        <v>0</v>
      </c>
      <c r="R399" s="2">
        <f>_xlfn.XLOOKUP($A399,'[1]LISTA ETIQUETAS'!$O:$O,'[1]LISTA ETIQUETAS'!F:F,"",0)</f>
        <v>0</v>
      </c>
      <c r="S399" s="2">
        <f>_xlfn.XLOOKUP($A399,'[1]LISTA ETIQUETAS'!$O:$O,'[1]LISTA ETIQUETAS'!H:H,"",0)</f>
        <v>2</v>
      </c>
      <c r="T399" s="9">
        <f t="shared" si="20"/>
        <v>2</v>
      </c>
    </row>
    <row r="400" spans="1:20" x14ac:dyDescent="0.25">
      <c r="A400" s="5">
        <v>328721</v>
      </c>
      <c r="B400" t="str">
        <f>IFERROR((VLOOKUP(A400,'[1]LISTA ETIQUETAS'!O:X,3,0)),"PRODUTO SEM ESTOQUE")</f>
        <v>EST CADEIRA MELIZA (GIR) (FX 60004) (TING NOGAL)</v>
      </c>
      <c r="C400" s="10" t="s">
        <v>253</v>
      </c>
      <c r="D400" s="10" t="s">
        <v>270</v>
      </c>
      <c r="E400" s="11">
        <f>IF(VLOOKUP(A400,'[1]LISTA ETIQUETAS'!O:W,4,0)="",(VLOOKUP(A400,'[1]LISTA ETIQUETAS'!O:W,6,0)),(VLOOKUP(A400,'[1]LISTA ETIQUETAS'!O:W,4,0)))</f>
        <v>0.6</v>
      </c>
      <c r="F400" s="11">
        <f>IF(VLOOKUP(A400,'[1]LISTA ETIQUETAS'!O:W,5,0)="",(VLOOKUP(A400,'[1]LISTA ETIQUETAS'!O:W,7,0)),(VLOOKUP(A400,'[1]LISTA ETIQUETAS'!O:W,5,0)))</f>
        <v>0.49</v>
      </c>
      <c r="G400" s="11">
        <f>IFERROR((VLOOKUP(A400,'[1]LISTA ETIQUETAS'!O:X,8,0)),"")</f>
        <v>0.79</v>
      </c>
      <c r="H400" s="11">
        <f>IFERROR((VLOOKUP(A400,'[1]LISTA ETIQUETAS'!O:X,9,0)),"")</f>
        <v>0</v>
      </c>
      <c r="I400" s="12">
        <f>IFERROR((VLOOKUP(A400,'[1]LISTA ETIQUETAS'!O:Y,11,0)),"")</f>
        <v>5980.67</v>
      </c>
      <c r="J400" s="6">
        <v>0</v>
      </c>
      <c r="K400" s="12">
        <f t="shared" si="18"/>
        <v>5980.67</v>
      </c>
      <c r="L400" s="7" t="str">
        <f>IF(VLOOKUP(A400,'[1]LISTA ETIQUETAS'!O:AB,14,0)="","",(VLOOKUP(A400,'[1]LISTA ETIQUETAS'!O:AB,14,0)))</f>
        <v/>
      </c>
      <c r="M400" s="8"/>
      <c r="N400" s="9">
        <f t="shared" si="19"/>
        <v>328721</v>
      </c>
      <c r="O400" s="2">
        <f>_xlfn.XLOOKUP($A400,'[1]LISTA ETIQUETAS'!$O:$O,'[1]LISTA ETIQUETAS'!C:C,"",0)</f>
        <v>1</v>
      </c>
      <c r="P400" s="2">
        <f>_xlfn.XLOOKUP($A400,'[1]LISTA ETIQUETAS'!$O:$O,'[1]LISTA ETIQUETAS'!D:D,"",0)</f>
        <v>6</v>
      </c>
      <c r="Q400" s="2">
        <f>_xlfn.XLOOKUP($A400,'[1]LISTA ETIQUETAS'!$O:$O,'[1]LISTA ETIQUETAS'!E:E,"",0)</f>
        <v>0</v>
      </c>
      <c r="R400" s="2">
        <f>_xlfn.XLOOKUP($A400,'[1]LISTA ETIQUETAS'!$O:$O,'[1]LISTA ETIQUETAS'!F:F,"",0)</f>
        <v>0</v>
      </c>
      <c r="S400" s="2">
        <f>_xlfn.XLOOKUP($A400,'[1]LISTA ETIQUETAS'!$O:$O,'[1]LISTA ETIQUETAS'!H:H,"",0)</f>
        <v>1</v>
      </c>
      <c r="T400" s="9">
        <f t="shared" si="20"/>
        <v>8</v>
      </c>
    </row>
    <row r="401" spans="1:20" x14ac:dyDescent="0.25">
      <c r="A401" s="5">
        <v>320671</v>
      </c>
      <c r="B401" t="str">
        <f>IFERROR((VLOOKUP(A401,'[1]LISTA ETIQUETAS'!O:X,3,0)),"PRODUTO SEM ESTOQUE")</f>
        <v>EST CADEIRA JULIA C/BRACO (COURO FIRENZE TALIN) (CORTEN)</v>
      </c>
      <c r="C401" s="10" t="s">
        <v>253</v>
      </c>
      <c r="D401" s="10" t="s">
        <v>273</v>
      </c>
      <c r="E401" s="11">
        <f>IF(VLOOKUP(A401,'[1]LISTA ETIQUETAS'!O:W,4,0)="",(VLOOKUP(A401,'[1]LISTA ETIQUETAS'!O:W,6,0)),(VLOOKUP(A401,'[1]LISTA ETIQUETAS'!O:W,4,0)))</f>
        <v>0.61</v>
      </c>
      <c r="F401" s="11">
        <f>IF(VLOOKUP(A401,'[1]LISTA ETIQUETAS'!O:W,5,0)="",(VLOOKUP(A401,'[1]LISTA ETIQUETAS'!O:W,7,0)),(VLOOKUP(A401,'[1]LISTA ETIQUETAS'!O:W,5,0)))</f>
        <v>0.54</v>
      </c>
      <c r="G401" s="11">
        <f>IFERROR((VLOOKUP(A401,'[1]LISTA ETIQUETAS'!O:X,8,0)),"")</f>
        <v>0.76</v>
      </c>
      <c r="H401" s="11">
        <f>IFERROR((VLOOKUP(A401,'[1]LISTA ETIQUETAS'!O:X,9,0)),"")</f>
        <v>0</v>
      </c>
      <c r="I401" s="12">
        <f>IFERROR((VLOOKUP(A401,'[1]LISTA ETIQUETAS'!O:Y,11,0)),"")</f>
        <v>10250.150000000001</v>
      </c>
      <c r="J401" s="6">
        <v>0</v>
      </c>
      <c r="K401" s="12">
        <f t="shared" si="18"/>
        <v>10250.150000000001</v>
      </c>
      <c r="L401" s="7" t="str">
        <f>IF(VLOOKUP(A401,'[1]LISTA ETIQUETAS'!O:AB,14,0)="","",(VLOOKUP(A401,'[1]LISTA ETIQUETAS'!O:AB,14,0)))</f>
        <v/>
      </c>
      <c r="M401" s="8"/>
      <c r="N401" s="9">
        <f t="shared" si="19"/>
        <v>320671</v>
      </c>
      <c r="O401" s="2">
        <f>_xlfn.XLOOKUP($A401,'[1]LISTA ETIQUETAS'!$O:$O,'[1]LISTA ETIQUETAS'!C:C,"",0)</f>
        <v>0</v>
      </c>
      <c r="P401" s="2">
        <f>_xlfn.XLOOKUP($A401,'[1]LISTA ETIQUETAS'!$O:$O,'[1]LISTA ETIQUETAS'!D:D,"",0)</f>
        <v>0</v>
      </c>
      <c r="Q401" s="2">
        <f>_xlfn.XLOOKUP($A401,'[1]LISTA ETIQUETAS'!$O:$O,'[1]LISTA ETIQUETAS'!E:E,"",0)</f>
        <v>4</v>
      </c>
      <c r="R401" s="2">
        <f>_xlfn.XLOOKUP($A401,'[1]LISTA ETIQUETAS'!$O:$O,'[1]LISTA ETIQUETAS'!F:F,"",0)</f>
        <v>0</v>
      </c>
      <c r="S401" s="2">
        <f>_xlfn.XLOOKUP($A401,'[1]LISTA ETIQUETAS'!$O:$O,'[1]LISTA ETIQUETAS'!H:H,"",0)</f>
        <v>4</v>
      </c>
      <c r="T401" s="9">
        <f t="shared" si="20"/>
        <v>8</v>
      </c>
    </row>
    <row r="402" spans="1:20" x14ac:dyDescent="0.25">
      <c r="A402" s="5">
        <v>320670</v>
      </c>
      <c r="B402" t="str">
        <f>IFERROR((VLOOKUP(A402,'[1]LISTA ETIQUETAS'!O:X,3,0)),"PRODUTO SEM ESTOQUE")</f>
        <v>EST CADEIRA JULIA C/BRACO (COURO PIG 42 VERDE) (PRETO FSC)</v>
      </c>
      <c r="C402" s="10" t="s">
        <v>253</v>
      </c>
      <c r="D402" s="10" t="s">
        <v>273</v>
      </c>
      <c r="E402" s="11">
        <f>IF(VLOOKUP(A402,'[1]LISTA ETIQUETAS'!O:W,4,0)="",(VLOOKUP(A402,'[1]LISTA ETIQUETAS'!O:W,6,0)),(VLOOKUP(A402,'[1]LISTA ETIQUETAS'!O:W,4,0)))</f>
        <v>0.61</v>
      </c>
      <c r="F402" s="11">
        <f>IF(VLOOKUP(A402,'[1]LISTA ETIQUETAS'!O:W,5,0)="",(VLOOKUP(A402,'[1]LISTA ETIQUETAS'!O:W,7,0)),(VLOOKUP(A402,'[1]LISTA ETIQUETAS'!O:W,5,0)))</f>
        <v>0.54</v>
      </c>
      <c r="G402" s="11">
        <f>IFERROR((VLOOKUP(A402,'[1]LISTA ETIQUETAS'!O:X,8,0)),"")</f>
        <v>0.76</v>
      </c>
      <c r="H402" s="11">
        <f>IFERROR((VLOOKUP(A402,'[1]LISTA ETIQUETAS'!O:X,9,0)),"")</f>
        <v>0</v>
      </c>
      <c r="I402" s="12">
        <f>IFERROR((VLOOKUP(A402,'[1]LISTA ETIQUETAS'!O:Y,11,0)),"")</f>
        <v>8798.630000000001</v>
      </c>
      <c r="J402" s="6">
        <v>0</v>
      </c>
      <c r="K402" s="12">
        <f t="shared" si="18"/>
        <v>8798.630000000001</v>
      </c>
      <c r="L402" s="7" t="str">
        <f>IF(VLOOKUP(A402,'[1]LISTA ETIQUETAS'!O:AB,14,0)="","",(VLOOKUP(A402,'[1]LISTA ETIQUETAS'!O:AB,14,0)))</f>
        <v/>
      </c>
      <c r="M402" s="8"/>
      <c r="N402" s="9">
        <f t="shared" si="19"/>
        <v>320670</v>
      </c>
      <c r="O402" s="2">
        <f>_xlfn.XLOOKUP($A402,'[1]LISTA ETIQUETAS'!$O:$O,'[1]LISTA ETIQUETAS'!C:C,"",0)</f>
        <v>0</v>
      </c>
      <c r="P402" s="2">
        <f>_xlfn.XLOOKUP($A402,'[1]LISTA ETIQUETAS'!$O:$O,'[1]LISTA ETIQUETAS'!D:D,"",0)</f>
        <v>0</v>
      </c>
      <c r="Q402" s="2">
        <f>_xlfn.XLOOKUP($A402,'[1]LISTA ETIQUETAS'!$O:$O,'[1]LISTA ETIQUETAS'!E:E,"",0)</f>
        <v>0</v>
      </c>
      <c r="R402" s="2">
        <f>_xlfn.XLOOKUP($A402,'[1]LISTA ETIQUETAS'!$O:$O,'[1]LISTA ETIQUETAS'!F:F,"",0)</f>
        <v>0</v>
      </c>
      <c r="S402" s="2">
        <f>_xlfn.XLOOKUP($A402,'[1]LISTA ETIQUETAS'!$O:$O,'[1]LISTA ETIQUETAS'!H:H,"",0)</f>
        <v>8</v>
      </c>
      <c r="T402" s="9">
        <f t="shared" si="20"/>
        <v>8</v>
      </c>
    </row>
    <row r="403" spans="1:20" x14ac:dyDescent="0.25">
      <c r="A403" s="5">
        <v>234734</v>
      </c>
      <c r="B403" t="str">
        <f>IFERROR((VLOOKUP(A403,'[1]LISTA ETIQUETAS'!O:X,3,0)),"PRODUTO SEM ESTOQUE")</f>
        <v>EST CADEIRA ALE (LAM CARV PT) (REC MARROM) SOLETA MARROM</v>
      </c>
      <c r="C403" s="10" t="s">
        <v>253</v>
      </c>
      <c r="D403" s="10" t="s">
        <v>271</v>
      </c>
      <c r="E403" s="11">
        <f>IF(VLOOKUP(A403,'[1]LISTA ETIQUETAS'!O:W,4,0)="",(VLOOKUP(A403,'[1]LISTA ETIQUETAS'!O:W,6,0)),(VLOOKUP(A403,'[1]LISTA ETIQUETAS'!O:W,4,0)))</f>
        <v>0.56000000000000005</v>
      </c>
      <c r="F403" s="11">
        <f>IF(VLOOKUP(A403,'[1]LISTA ETIQUETAS'!O:W,5,0)="",(VLOOKUP(A403,'[1]LISTA ETIQUETAS'!O:W,7,0)),(VLOOKUP(A403,'[1]LISTA ETIQUETAS'!O:W,5,0)))</f>
        <v>0.55000000000000004</v>
      </c>
      <c r="G403" s="11">
        <f>IFERROR((VLOOKUP(A403,'[1]LISTA ETIQUETAS'!O:X,8,0)),"")</f>
        <v>0.78</v>
      </c>
      <c r="H403" s="11">
        <f>IFERROR((VLOOKUP(A403,'[1]LISTA ETIQUETAS'!O:X,9,0)),"")</f>
        <v>0</v>
      </c>
      <c r="I403" s="12">
        <f>IFERROR((VLOOKUP(A403,'[1]LISTA ETIQUETAS'!O:Y,11,0)),"")</f>
        <v>9327.9</v>
      </c>
      <c r="J403" s="6">
        <v>0</v>
      </c>
      <c r="K403" s="12">
        <f t="shared" si="18"/>
        <v>9327.9</v>
      </c>
      <c r="L403" s="7" t="str">
        <f>IF(VLOOKUP(A403,'[1]LISTA ETIQUETAS'!O:AB,14,0)="","",(VLOOKUP(A403,'[1]LISTA ETIQUETAS'!O:AB,14,0)))</f>
        <v/>
      </c>
      <c r="M403" s="8"/>
      <c r="N403" s="9">
        <f t="shared" si="19"/>
        <v>234734</v>
      </c>
      <c r="O403" s="2">
        <f>_xlfn.XLOOKUP($A403,'[1]LISTA ETIQUETAS'!$O:$O,'[1]LISTA ETIQUETAS'!C:C,"",0)</f>
        <v>0</v>
      </c>
      <c r="P403" s="2">
        <f>_xlfn.XLOOKUP($A403,'[1]LISTA ETIQUETAS'!$O:$O,'[1]LISTA ETIQUETAS'!D:D,"",0)</f>
        <v>0</v>
      </c>
      <c r="Q403" s="2">
        <f>_xlfn.XLOOKUP($A403,'[1]LISTA ETIQUETAS'!$O:$O,'[1]LISTA ETIQUETAS'!E:E,"",0)</f>
        <v>0</v>
      </c>
      <c r="R403" s="2">
        <f>_xlfn.XLOOKUP($A403,'[1]LISTA ETIQUETAS'!$O:$O,'[1]LISTA ETIQUETAS'!F:F,"",0)</f>
        <v>1</v>
      </c>
      <c r="S403" s="2">
        <f>_xlfn.XLOOKUP($A403,'[1]LISTA ETIQUETAS'!$O:$O,'[1]LISTA ETIQUETAS'!H:H,"",0)</f>
        <v>1</v>
      </c>
      <c r="T403" s="9">
        <f t="shared" si="20"/>
        <v>2</v>
      </c>
    </row>
    <row r="404" spans="1:20" x14ac:dyDescent="0.25">
      <c r="A404" s="5">
        <v>223322</v>
      </c>
      <c r="B404" t="str">
        <f>IFERROR((VLOOKUP(A404,'[1]LISTA ETIQUETAS'!O:X,3,0)),"PRODUTO SEM ESTOQUE")</f>
        <v>EST CADEIRA MOI (LAM CARV PT) (TC LISO COURISSIMO GELO)</v>
      </c>
      <c r="C404" s="10" t="s">
        <v>253</v>
      </c>
      <c r="D404" s="10" t="s">
        <v>272</v>
      </c>
      <c r="E404" s="11">
        <f>IF(VLOOKUP(A404,'[1]LISTA ETIQUETAS'!O:W,4,0)="",(VLOOKUP(A404,'[1]LISTA ETIQUETAS'!O:W,6,0)),(VLOOKUP(A404,'[1]LISTA ETIQUETAS'!O:W,4,0)))</f>
        <v>0.48</v>
      </c>
      <c r="F404" s="11">
        <f>IF(VLOOKUP(A404,'[1]LISTA ETIQUETAS'!O:W,5,0)="",(VLOOKUP(A404,'[1]LISTA ETIQUETAS'!O:W,7,0)),(VLOOKUP(A404,'[1]LISTA ETIQUETAS'!O:W,5,0)))</f>
        <v>0.56999999999999995</v>
      </c>
      <c r="G404" s="11">
        <f>IFERROR((VLOOKUP(A404,'[1]LISTA ETIQUETAS'!O:X,8,0)),"")</f>
        <v>0.82</v>
      </c>
      <c r="H404" s="11">
        <f>IFERROR((VLOOKUP(A404,'[1]LISTA ETIQUETAS'!O:X,9,0)),"")</f>
        <v>0</v>
      </c>
      <c r="I404" s="12">
        <f>IFERROR((VLOOKUP(A404,'[1]LISTA ETIQUETAS'!O:Y,11,0)),"")</f>
        <v>9101.7900000000009</v>
      </c>
      <c r="J404" s="6">
        <v>0</v>
      </c>
      <c r="K404" s="12">
        <f t="shared" si="18"/>
        <v>9101.7900000000009</v>
      </c>
      <c r="L404" s="7" t="str">
        <f>IF(VLOOKUP(A404,'[1]LISTA ETIQUETAS'!O:AB,14,0)="","",(VLOOKUP(A404,'[1]LISTA ETIQUETAS'!O:AB,14,0)))</f>
        <v/>
      </c>
      <c r="M404" s="8"/>
      <c r="N404" s="9">
        <f t="shared" si="19"/>
        <v>223322</v>
      </c>
      <c r="O404" s="2">
        <f>_xlfn.XLOOKUP($A404,'[1]LISTA ETIQUETAS'!$O:$O,'[1]LISTA ETIQUETAS'!C:C,"",0)</f>
        <v>0</v>
      </c>
      <c r="P404" s="2">
        <f>_xlfn.XLOOKUP($A404,'[1]LISTA ETIQUETAS'!$O:$O,'[1]LISTA ETIQUETAS'!D:D,"",0)</f>
        <v>0</v>
      </c>
      <c r="Q404" s="2">
        <f>_xlfn.XLOOKUP($A404,'[1]LISTA ETIQUETAS'!$O:$O,'[1]LISTA ETIQUETAS'!E:E,"",0)</f>
        <v>0</v>
      </c>
      <c r="R404" s="2">
        <f>_xlfn.XLOOKUP($A404,'[1]LISTA ETIQUETAS'!$O:$O,'[1]LISTA ETIQUETAS'!F:F,"",0)</f>
        <v>0</v>
      </c>
      <c r="S404" s="2">
        <f>_xlfn.XLOOKUP($A404,'[1]LISTA ETIQUETAS'!$O:$O,'[1]LISTA ETIQUETAS'!H:H,"",0)</f>
        <v>2</v>
      </c>
      <c r="T404" s="9">
        <f t="shared" si="20"/>
        <v>2</v>
      </c>
    </row>
    <row r="405" spans="1:20" x14ac:dyDescent="0.25">
      <c r="A405" s="5">
        <v>372730</v>
      </c>
      <c r="B405" t="str">
        <f>IFERROR((VLOOKUP(A405,'[1]LISTA ETIQUETAS'!O:X,3,0)),"PRODUTO SEM ESTOQUE")</f>
        <v>EST CADEIRA 60 C/BRACO (FREIJO NAT) CS0120/BOUT COURO CAMEL</v>
      </c>
      <c r="C405" s="10" t="s">
        <v>253</v>
      </c>
      <c r="D405" s="10" t="s">
        <v>256</v>
      </c>
      <c r="E405" s="11">
        <f>IF(VLOOKUP(A405,'[1]LISTA ETIQUETAS'!O:W,4,0)="",(VLOOKUP(A405,'[1]LISTA ETIQUETAS'!O:W,6,0)),(VLOOKUP(A405,'[1]LISTA ETIQUETAS'!O:W,4,0)))</f>
        <v>0.56000000000000005</v>
      </c>
      <c r="F405" s="11">
        <f>IF(VLOOKUP(A405,'[1]LISTA ETIQUETAS'!O:W,5,0)="",(VLOOKUP(A405,'[1]LISTA ETIQUETAS'!O:W,7,0)),(VLOOKUP(A405,'[1]LISTA ETIQUETAS'!O:W,5,0)))</f>
        <v>0.59</v>
      </c>
      <c r="G405" s="11">
        <f>IFERROR((VLOOKUP(A405,'[1]LISTA ETIQUETAS'!O:X,8,0)),"")</f>
        <v>0.84</v>
      </c>
      <c r="H405" s="11">
        <f>IFERROR((VLOOKUP(A405,'[1]LISTA ETIQUETAS'!O:X,9,0)),"")</f>
        <v>0</v>
      </c>
      <c r="I405" s="12">
        <f>IFERROR((VLOOKUP(A405,'[1]LISTA ETIQUETAS'!O:Y,11,0)),"")</f>
        <v>9290.1299999999992</v>
      </c>
      <c r="J405" s="6">
        <v>0</v>
      </c>
      <c r="K405" s="12">
        <f t="shared" si="18"/>
        <v>9290.1299999999992</v>
      </c>
      <c r="L405" s="7" t="str">
        <f>IF(VLOOKUP(A405,'[1]LISTA ETIQUETAS'!O:AB,14,0)="","",(VLOOKUP(A405,'[1]LISTA ETIQUETAS'!O:AB,14,0)))</f>
        <v/>
      </c>
      <c r="M405" s="8"/>
      <c r="N405" s="9">
        <f t="shared" si="19"/>
        <v>372730</v>
      </c>
      <c r="O405" s="2">
        <f>_xlfn.XLOOKUP($A405,'[1]LISTA ETIQUETAS'!$O:$O,'[1]LISTA ETIQUETAS'!C:C,"",0)</f>
        <v>4</v>
      </c>
      <c r="P405" s="2">
        <f>_xlfn.XLOOKUP($A405,'[1]LISTA ETIQUETAS'!$O:$O,'[1]LISTA ETIQUETAS'!D:D,"",0)</f>
        <v>0</v>
      </c>
      <c r="Q405" s="2">
        <f>_xlfn.XLOOKUP($A405,'[1]LISTA ETIQUETAS'!$O:$O,'[1]LISTA ETIQUETAS'!E:E,"",0)</f>
        <v>0</v>
      </c>
      <c r="R405" s="2">
        <f>_xlfn.XLOOKUP($A405,'[1]LISTA ETIQUETAS'!$O:$O,'[1]LISTA ETIQUETAS'!F:F,"",0)</f>
        <v>0</v>
      </c>
      <c r="S405" s="2">
        <f>_xlfn.XLOOKUP($A405,'[1]LISTA ETIQUETAS'!$O:$O,'[1]LISTA ETIQUETAS'!H:H,"",0)</f>
        <v>4</v>
      </c>
      <c r="T405" s="9">
        <f t="shared" si="20"/>
        <v>8</v>
      </c>
    </row>
    <row r="406" spans="1:20" x14ac:dyDescent="0.25">
      <c r="A406" s="5">
        <v>270562</v>
      </c>
      <c r="B406" t="str">
        <f>IFERROR((VLOOKUP(A406,'[1]LISTA ETIQUETAS'!O:X,3,0)),"PRODUTO SEM ESTOQUE")</f>
        <v>EST CADEIRA LUIZA C/BRACO COU 2 MARROM ENVELH/JEQ CAST CLARO</v>
      </c>
      <c r="C406" s="10" t="s">
        <v>253</v>
      </c>
      <c r="D406" s="10" t="s">
        <v>267</v>
      </c>
      <c r="E406" s="11">
        <f>IF(VLOOKUP(A406,'[1]LISTA ETIQUETAS'!O:W,4,0)="",(VLOOKUP(A406,'[1]LISTA ETIQUETAS'!O:W,6,0)),(VLOOKUP(A406,'[1]LISTA ETIQUETAS'!O:W,4,0)))</f>
        <v>0.59</v>
      </c>
      <c r="F406" s="11">
        <f>IF(VLOOKUP(A406,'[1]LISTA ETIQUETAS'!O:W,5,0)="",(VLOOKUP(A406,'[1]LISTA ETIQUETAS'!O:W,7,0)),(VLOOKUP(A406,'[1]LISTA ETIQUETAS'!O:W,5,0)))</f>
        <v>0.56000000000000005</v>
      </c>
      <c r="G406" s="11">
        <f>IFERROR((VLOOKUP(A406,'[1]LISTA ETIQUETAS'!O:X,8,0)),"")</f>
        <v>0.74</v>
      </c>
      <c r="H406" s="11">
        <f>IFERROR((VLOOKUP(A406,'[1]LISTA ETIQUETAS'!O:X,9,0)),"")</f>
        <v>0</v>
      </c>
      <c r="I406" s="12">
        <f>IFERROR((VLOOKUP(A406,'[1]LISTA ETIQUETAS'!O:Y,11,0)),"")</f>
        <v>9433.94</v>
      </c>
      <c r="J406" s="6">
        <v>0</v>
      </c>
      <c r="K406" s="12">
        <f t="shared" si="18"/>
        <v>9433.94</v>
      </c>
      <c r="L406" s="7" t="str">
        <f>IF(VLOOKUP(A406,'[1]LISTA ETIQUETAS'!O:AB,14,0)="","",(VLOOKUP(A406,'[1]LISTA ETIQUETAS'!O:AB,14,0)))</f>
        <v/>
      </c>
      <c r="M406" s="8"/>
      <c r="N406" s="9">
        <f t="shared" si="19"/>
        <v>270562</v>
      </c>
      <c r="O406" s="2">
        <f>_xlfn.XLOOKUP($A406,'[1]LISTA ETIQUETAS'!$O:$O,'[1]LISTA ETIQUETAS'!C:C,"",0)</f>
        <v>6</v>
      </c>
      <c r="P406" s="2">
        <f>_xlfn.XLOOKUP($A406,'[1]LISTA ETIQUETAS'!$O:$O,'[1]LISTA ETIQUETAS'!D:D,"",0)</f>
        <v>0</v>
      </c>
      <c r="Q406" s="2">
        <f>_xlfn.XLOOKUP($A406,'[1]LISTA ETIQUETAS'!$O:$O,'[1]LISTA ETIQUETAS'!E:E,"",0)</f>
        <v>0</v>
      </c>
      <c r="R406" s="2">
        <f>_xlfn.XLOOKUP($A406,'[1]LISTA ETIQUETAS'!$O:$O,'[1]LISTA ETIQUETAS'!F:F,"",0)</f>
        <v>0</v>
      </c>
      <c r="S406" s="2">
        <f>_xlfn.XLOOKUP($A406,'[1]LISTA ETIQUETAS'!$O:$O,'[1]LISTA ETIQUETAS'!H:H,"",0)</f>
        <v>2</v>
      </c>
      <c r="T406" s="9">
        <f t="shared" si="20"/>
        <v>8</v>
      </c>
    </row>
    <row r="407" spans="1:20" x14ac:dyDescent="0.25">
      <c r="A407" s="5">
        <v>307831</v>
      </c>
      <c r="B407" t="str">
        <f>IFERROR((VLOOKUP(A407,'[1]LISTA ETIQUETAS'!O:X,3,0)),"PRODUTO SEM ESTOQUE")</f>
        <v>EST CADEIRA KEEF C/BRACO (JEQ TING NOG) (MADEIRA)</v>
      </c>
      <c r="C407" s="10" t="s">
        <v>253</v>
      </c>
      <c r="D407" s="10" t="s">
        <v>254</v>
      </c>
      <c r="E407" s="11">
        <f>IF(VLOOKUP(A407,'[1]LISTA ETIQUETAS'!O:W,4,0)="",(VLOOKUP(A407,'[1]LISTA ETIQUETAS'!O:W,6,0)),(VLOOKUP(A407,'[1]LISTA ETIQUETAS'!O:W,4,0)))</f>
        <v>0.55000000000000004</v>
      </c>
      <c r="F407" s="11">
        <f>IF(VLOOKUP(A407,'[1]LISTA ETIQUETAS'!O:W,5,0)="",(VLOOKUP(A407,'[1]LISTA ETIQUETAS'!O:W,7,0)),(VLOOKUP(A407,'[1]LISTA ETIQUETAS'!O:W,5,0)))</f>
        <v>0.54</v>
      </c>
      <c r="G407" s="11">
        <f>IFERROR((VLOOKUP(A407,'[1]LISTA ETIQUETAS'!O:X,8,0)),"")</f>
        <v>0.89</v>
      </c>
      <c r="H407" s="11">
        <f>IFERROR((VLOOKUP(A407,'[1]LISTA ETIQUETAS'!O:X,9,0)),"")</f>
        <v>0</v>
      </c>
      <c r="I407" s="12">
        <f>IFERROR((VLOOKUP(A407,'[1]LISTA ETIQUETAS'!O:Y,11,0)),"")</f>
        <v>9339.19</v>
      </c>
      <c r="J407" s="6">
        <v>0</v>
      </c>
      <c r="K407" s="12">
        <f t="shared" si="18"/>
        <v>9339.19</v>
      </c>
      <c r="L407" s="7" t="str">
        <f>IF(VLOOKUP(A407,'[1]LISTA ETIQUETAS'!O:AB,14,0)="","",(VLOOKUP(A407,'[1]LISTA ETIQUETAS'!O:AB,14,0)))</f>
        <v/>
      </c>
      <c r="M407" s="8"/>
      <c r="N407" s="9">
        <f t="shared" si="19"/>
        <v>307831</v>
      </c>
      <c r="O407" s="2">
        <f>_xlfn.XLOOKUP($A407,'[1]LISTA ETIQUETAS'!$O:$O,'[1]LISTA ETIQUETAS'!C:C,"",0)</f>
        <v>0</v>
      </c>
      <c r="P407" s="2">
        <f>_xlfn.XLOOKUP($A407,'[1]LISTA ETIQUETAS'!$O:$O,'[1]LISTA ETIQUETAS'!D:D,"",0)</f>
        <v>0</v>
      </c>
      <c r="Q407" s="2">
        <f>_xlfn.XLOOKUP($A407,'[1]LISTA ETIQUETAS'!$O:$O,'[1]LISTA ETIQUETAS'!E:E,"",0)</f>
        <v>0</v>
      </c>
      <c r="R407" s="2">
        <f>_xlfn.XLOOKUP($A407,'[1]LISTA ETIQUETAS'!$O:$O,'[1]LISTA ETIQUETAS'!F:F,"",0)</f>
        <v>0</v>
      </c>
      <c r="S407" s="2">
        <f>_xlfn.XLOOKUP($A407,'[1]LISTA ETIQUETAS'!$O:$O,'[1]LISTA ETIQUETAS'!H:H,"",0)</f>
        <v>8</v>
      </c>
      <c r="T407" s="9">
        <f t="shared" si="20"/>
        <v>8</v>
      </c>
    </row>
    <row r="408" spans="1:20" x14ac:dyDescent="0.25">
      <c r="A408" s="5">
        <v>307826</v>
      </c>
      <c r="B408" t="str">
        <f>IFERROR((VLOOKUP(A408,'[1]LISTA ETIQUETAS'!O:X,3,0)),"PRODUTO SEM ESTOQUE")</f>
        <v>EST CADEIRA KEEF C/BRACO (JEQ TING NOG) (MISTA) (C4 PINHAO)</v>
      </c>
      <c r="C408" s="10" t="s">
        <v>253</v>
      </c>
      <c r="D408" s="10" t="s">
        <v>254</v>
      </c>
      <c r="E408" s="11">
        <f>IF(VLOOKUP(A408,'[1]LISTA ETIQUETAS'!O:W,4,0)="",(VLOOKUP(A408,'[1]LISTA ETIQUETAS'!O:W,6,0)),(VLOOKUP(A408,'[1]LISTA ETIQUETAS'!O:W,4,0)))</f>
        <v>0.55000000000000004</v>
      </c>
      <c r="F408" s="11">
        <f>IF(VLOOKUP(A408,'[1]LISTA ETIQUETAS'!O:W,5,0)="",(VLOOKUP(A408,'[1]LISTA ETIQUETAS'!O:W,7,0)),(VLOOKUP(A408,'[1]LISTA ETIQUETAS'!O:W,5,0)))</f>
        <v>0.54</v>
      </c>
      <c r="G408" s="11">
        <f>IFERROR((VLOOKUP(A408,'[1]LISTA ETIQUETAS'!O:X,8,0)),"")</f>
        <v>0.89</v>
      </c>
      <c r="H408" s="11">
        <f>IFERROR((VLOOKUP(A408,'[1]LISTA ETIQUETAS'!O:X,9,0)),"")</f>
        <v>0</v>
      </c>
      <c r="I408" s="12">
        <f>IFERROR((VLOOKUP(A408,'[1]LISTA ETIQUETAS'!O:Y,11,0)),"")</f>
        <v>9927.3700000000008</v>
      </c>
      <c r="J408" s="6">
        <v>0</v>
      </c>
      <c r="K408" s="12">
        <f t="shared" si="18"/>
        <v>9927.3700000000008</v>
      </c>
      <c r="L408" s="7" t="str">
        <f>IF(VLOOKUP(A408,'[1]LISTA ETIQUETAS'!O:AB,14,0)="","",(VLOOKUP(A408,'[1]LISTA ETIQUETAS'!O:AB,14,0)))</f>
        <v/>
      </c>
      <c r="M408" s="8"/>
      <c r="N408" s="9">
        <f t="shared" si="19"/>
        <v>307826</v>
      </c>
      <c r="O408" s="2">
        <f>_xlfn.XLOOKUP($A408,'[1]LISTA ETIQUETAS'!$O:$O,'[1]LISTA ETIQUETAS'!C:C,"",0)</f>
        <v>0</v>
      </c>
      <c r="P408" s="2">
        <f>_xlfn.XLOOKUP($A408,'[1]LISTA ETIQUETAS'!$O:$O,'[1]LISTA ETIQUETAS'!D:D,"",0)</f>
        <v>0</v>
      </c>
      <c r="Q408" s="2">
        <f>_xlfn.XLOOKUP($A408,'[1]LISTA ETIQUETAS'!$O:$O,'[1]LISTA ETIQUETAS'!E:E,"",0)</f>
        <v>0</v>
      </c>
      <c r="R408" s="2">
        <f>_xlfn.XLOOKUP($A408,'[1]LISTA ETIQUETAS'!$O:$O,'[1]LISTA ETIQUETAS'!F:F,"",0)</f>
        <v>0</v>
      </c>
      <c r="S408" s="2">
        <f>_xlfn.XLOOKUP($A408,'[1]LISTA ETIQUETAS'!$O:$O,'[1]LISTA ETIQUETAS'!H:H,"",0)</f>
        <v>8</v>
      </c>
      <c r="T408" s="9">
        <f t="shared" si="20"/>
        <v>8</v>
      </c>
    </row>
    <row r="409" spans="1:20" x14ac:dyDescent="0.25">
      <c r="A409" s="5">
        <v>270550</v>
      </c>
      <c r="B409" t="str">
        <f>IFERROR((VLOOKUP(A409,'[1]LISTA ETIQUETAS'!O:X,3,0)),"PRODUTO SEM ESTOQUE")</f>
        <v>EST CADEIRA DYLAN (MARFIM NOCCE) (FX A1097)</v>
      </c>
      <c r="C409" s="10" t="s">
        <v>253</v>
      </c>
      <c r="D409" s="10" t="s">
        <v>274</v>
      </c>
      <c r="E409" s="11">
        <f>IF(VLOOKUP(A409,'[1]LISTA ETIQUETAS'!O:W,4,0)="",(VLOOKUP(A409,'[1]LISTA ETIQUETAS'!O:W,6,0)),(VLOOKUP(A409,'[1]LISTA ETIQUETAS'!O:W,4,0)))</f>
        <v>0.5</v>
      </c>
      <c r="F409" s="11">
        <f>IF(VLOOKUP(A409,'[1]LISTA ETIQUETAS'!O:W,5,0)="",(VLOOKUP(A409,'[1]LISTA ETIQUETAS'!O:W,7,0)),(VLOOKUP(A409,'[1]LISTA ETIQUETAS'!O:W,5,0)))</f>
        <v>0.57999999999999996</v>
      </c>
      <c r="G409" s="11">
        <f>IFERROR((VLOOKUP(A409,'[1]LISTA ETIQUETAS'!O:X,8,0)),"")</f>
        <v>0.8</v>
      </c>
      <c r="H409" s="11">
        <f>IFERROR((VLOOKUP(A409,'[1]LISTA ETIQUETAS'!O:X,9,0)),"")</f>
        <v>0</v>
      </c>
      <c r="I409" s="12">
        <f>IFERROR((VLOOKUP(A409,'[1]LISTA ETIQUETAS'!O:Y,11,0)),"")</f>
        <v>2949.41</v>
      </c>
      <c r="J409" s="6">
        <v>0</v>
      </c>
      <c r="K409" s="12">
        <f t="shared" si="18"/>
        <v>2949.41</v>
      </c>
      <c r="L409" s="7" t="str">
        <f>IF(VLOOKUP(A409,'[1]LISTA ETIQUETAS'!O:AB,14,0)="","",(VLOOKUP(A409,'[1]LISTA ETIQUETAS'!O:AB,14,0)))</f>
        <v/>
      </c>
      <c r="M409" s="8"/>
      <c r="N409" s="9">
        <f t="shared" si="19"/>
        <v>270550</v>
      </c>
      <c r="O409" s="2">
        <f>_xlfn.XLOOKUP($A409,'[1]LISTA ETIQUETAS'!$O:$O,'[1]LISTA ETIQUETAS'!C:C,"",0)</f>
        <v>0</v>
      </c>
      <c r="P409" s="2">
        <f>_xlfn.XLOOKUP($A409,'[1]LISTA ETIQUETAS'!$O:$O,'[1]LISTA ETIQUETAS'!D:D,"",0)</f>
        <v>0</v>
      </c>
      <c r="Q409" s="2">
        <f>_xlfn.XLOOKUP($A409,'[1]LISTA ETIQUETAS'!$O:$O,'[1]LISTA ETIQUETAS'!E:E,"",0)</f>
        <v>0</v>
      </c>
      <c r="R409" s="2">
        <f>_xlfn.XLOOKUP($A409,'[1]LISTA ETIQUETAS'!$O:$O,'[1]LISTA ETIQUETAS'!F:F,"",0)</f>
        <v>0</v>
      </c>
      <c r="S409" s="2">
        <f>_xlfn.XLOOKUP($A409,'[1]LISTA ETIQUETAS'!$O:$O,'[1]LISTA ETIQUETAS'!H:H,"",0)</f>
        <v>1</v>
      </c>
      <c r="T409" s="9">
        <f t="shared" si="20"/>
        <v>1</v>
      </c>
    </row>
    <row r="410" spans="1:20" x14ac:dyDescent="0.25">
      <c r="A410" s="5">
        <v>270548</v>
      </c>
      <c r="B410" t="str">
        <f>IFERROR((VLOOKUP(A410,'[1]LISTA ETIQUETAS'!O:X,3,0)),"PRODUTO SEM ESTOQUE")</f>
        <v>EST CADEIRA MEG C/BRACO (MARFIM CASTANHO) (COURO CARAMELO)</v>
      </c>
      <c r="C410" s="10" t="s">
        <v>253</v>
      </c>
      <c r="D410" s="10" t="s">
        <v>275</v>
      </c>
      <c r="E410" s="11">
        <f>IF(VLOOKUP(A410,'[1]LISTA ETIQUETAS'!O:W,4,0)="",(VLOOKUP(A410,'[1]LISTA ETIQUETAS'!O:W,6,0)),(VLOOKUP(A410,'[1]LISTA ETIQUETAS'!O:W,4,0)))</f>
        <v>0.63</v>
      </c>
      <c r="F410" s="11">
        <f>IF(VLOOKUP(A410,'[1]LISTA ETIQUETAS'!O:W,5,0)="",(VLOOKUP(A410,'[1]LISTA ETIQUETAS'!O:W,7,0)),(VLOOKUP(A410,'[1]LISTA ETIQUETAS'!O:W,5,0)))</f>
        <v>0.63</v>
      </c>
      <c r="G410" s="11">
        <f>IFERROR((VLOOKUP(A410,'[1]LISTA ETIQUETAS'!O:X,8,0)),"")</f>
        <v>0.81</v>
      </c>
      <c r="H410" s="11">
        <f>IFERROR((VLOOKUP(A410,'[1]LISTA ETIQUETAS'!O:X,9,0)),"")</f>
        <v>0</v>
      </c>
      <c r="I410" s="12">
        <f>IFERROR((VLOOKUP(A410,'[1]LISTA ETIQUETAS'!O:Y,11,0)),"")</f>
        <v>7312.66</v>
      </c>
      <c r="J410" s="6">
        <v>0</v>
      </c>
      <c r="K410" s="12">
        <f t="shared" si="18"/>
        <v>7312.66</v>
      </c>
      <c r="L410" s="7" t="str">
        <f>IF(VLOOKUP(A410,'[1]LISTA ETIQUETAS'!O:AB,14,0)="","",(VLOOKUP(A410,'[1]LISTA ETIQUETAS'!O:AB,14,0)))</f>
        <v/>
      </c>
      <c r="M410" s="8"/>
      <c r="N410" s="9">
        <f t="shared" si="19"/>
        <v>270548</v>
      </c>
      <c r="O410" s="2">
        <f>_xlfn.XLOOKUP($A410,'[1]LISTA ETIQUETAS'!$O:$O,'[1]LISTA ETIQUETAS'!C:C,"",0)</f>
        <v>0</v>
      </c>
      <c r="P410" s="2">
        <f>_xlfn.XLOOKUP($A410,'[1]LISTA ETIQUETAS'!$O:$O,'[1]LISTA ETIQUETAS'!D:D,"",0)</f>
        <v>1</v>
      </c>
      <c r="Q410" s="2">
        <f>_xlfn.XLOOKUP($A410,'[1]LISTA ETIQUETAS'!$O:$O,'[1]LISTA ETIQUETAS'!E:E,"",0)</f>
        <v>0</v>
      </c>
      <c r="R410" s="2">
        <f>_xlfn.XLOOKUP($A410,'[1]LISTA ETIQUETAS'!$O:$O,'[1]LISTA ETIQUETAS'!F:F,"",0)</f>
        <v>0</v>
      </c>
      <c r="S410" s="2">
        <f>_xlfn.XLOOKUP($A410,'[1]LISTA ETIQUETAS'!$O:$O,'[1]LISTA ETIQUETAS'!H:H,"",0)</f>
        <v>1</v>
      </c>
      <c r="T410" s="9">
        <f t="shared" si="20"/>
        <v>2</v>
      </c>
    </row>
    <row r="411" spans="1:20" x14ac:dyDescent="0.25">
      <c r="A411" s="5">
        <v>379641</v>
      </c>
      <c r="B411" t="str">
        <f>IFERROR((VLOOKUP(A411,'[1]LISTA ETIQUETAS'!O:X,3,0)),"PRODUTO SEM ESTOQUE")</f>
        <v>EST CADEIRA YASMIM (ESTOFADO) (NOGUEIRA) TC 2000 - 2337</v>
      </c>
      <c r="C411" s="10" t="s">
        <v>253</v>
      </c>
      <c r="D411" s="10" t="s">
        <v>261</v>
      </c>
      <c r="E411" s="11">
        <f>IF(VLOOKUP(A411,'[1]LISTA ETIQUETAS'!O:W,4,0)="",(VLOOKUP(A411,'[1]LISTA ETIQUETAS'!O:W,6,0)),(VLOOKUP(A411,'[1]LISTA ETIQUETAS'!O:W,4,0)))</f>
        <v>0.49</v>
      </c>
      <c r="F411" s="11">
        <f>IF(VLOOKUP(A411,'[1]LISTA ETIQUETAS'!O:W,5,0)="",(VLOOKUP(A411,'[1]LISTA ETIQUETAS'!O:W,7,0)),(VLOOKUP(A411,'[1]LISTA ETIQUETAS'!O:W,5,0)))</f>
        <v>0.6</v>
      </c>
      <c r="G411" s="11">
        <f>IFERROR((VLOOKUP(A411,'[1]LISTA ETIQUETAS'!O:X,8,0)),"")</f>
        <v>0.84</v>
      </c>
      <c r="H411" s="11">
        <f>IFERROR((VLOOKUP(A411,'[1]LISTA ETIQUETAS'!O:X,9,0)),"")</f>
        <v>0</v>
      </c>
      <c r="I411" s="12">
        <f>IFERROR((VLOOKUP(A411,'[1]LISTA ETIQUETAS'!O:Y,11,0)),"")</f>
        <v>3185.55</v>
      </c>
      <c r="J411" s="6">
        <v>0</v>
      </c>
      <c r="K411" s="12">
        <f t="shared" si="18"/>
        <v>3185.55</v>
      </c>
      <c r="L411" s="7" t="str">
        <f>IF(VLOOKUP(A411,'[1]LISTA ETIQUETAS'!O:AB,14,0)="","",(VLOOKUP(A411,'[1]LISTA ETIQUETAS'!O:AB,14,0)))</f>
        <v/>
      </c>
      <c r="M411" s="8"/>
      <c r="N411" s="9">
        <f t="shared" si="19"/>
        <v>379641</v>
      </c>
      <c r="O411" s="2">
        <f>_xlfn.XLOOKUP($A411,'[1]LISTA ETIQUETAS'!$O:$O,'[1]LISTA ETIQUETAS'!C:C,"",0)</f>
        <v>0</v>
      </c>
      <c r="P411" s="2">
        <f>_xlfn.XLOOKUP($A411,'[1]LISTA ETIQUETAS'!$O:$O,'[1]LISTA ETIQUETAS'!D:D,"",0)</f>
        <v>1</v>
      </c>
      <c r="Q411" s="2">
        <f>_xlfn.XLOOKUP($A411,'[1]LISTA ETIQUETAS'!$O:$O,'[1]LISTA ETIQUETAS'!E:E,"",0)</f>
        <v>0</v>
      </c>
      <c r="R411" s="2">
        <f>_xlfn.XLOOKUP($A411,'[1]LISTA ETIQUETAS'!$O:$O,'[1]LISTA ETIQUETAS'!F:F,"",0)</f>
        <v>0</v>
      </c>
      <c r="S411" s="2">
        <f>_xlfn.XLOOKUP($A411,'[1]LISTA ETIQUETAS'!$O:$O,'[1]LISTA ETIQUETAS'!H:H,"",0)</f>
        <v>1</v>
      </c>
      <c r="T411" s="9">
        <f t="shared" si="20"/>
        <v>2</v>
      </c>
    </row>
    <row r="412" spans="1:20" x14ac:dyDescent="0.25">
      <c r="A412" s="5">
        <v>378282</v>
      </c>
      <c r="B412" t="str">
        <f>IFERROR((VLOOKUP(A412,'[1]LISTA ETIQUETAS'!O:X,3,0)),"PRODUTO SEM ESTOQUE")</f>
        <v>EST CADEIRA PI C/BRACO (MARROM) TC BOUCLE REIMS 5323-001</v>
      </c>
      <c r="C412" s="10" t="s">
        <v>253</v>
      </c>
      <c r="D412" s="10" t="s">
        <v>264</v>
      </c>
      <c r="E412" s="11">
        <f>IF(VLOOKUP(A412,'[1]LISTA ETIQUETAS'!O:W,4,0)="",(VLOOKUP(A412,'[1]LISTA ETIQUETAS'!O:W,6,0)),(VLOOKUP(A412,'[1]LISTA ETIQUETAS'!O:W,4,0)))</f>
        <v>0.75</v>
      </c>
      <c r="F412" s="11">
        <f>IF(VLOOKUP(A412,'[1]LISTA ETIQUETAS'!O:W,5,0)="",(VLOOKUP(A412,'[1]LISTA ETIQUETAS'!O:W,7,0)),(VLOOKUP(A412,'[1]LISTA ETIQUETAS'!O:W,5,0)))</f>
        <v>0.6</v>
      </c>
      <c r="G412" s="11">
        <f>IFERROR((VLOOKUP(A412,'[1]LISTA ETIQUETAS'!O:X,8,0)),"")</f>
        <v>0.76</v>
      </c>
      <c r="H412" s="11">
        <f>IFERROR((VLOOKUP(A412,'[1]LISTA ETIQUETAS'!O:X,9,0)),"")</f>
        <v>0</v>
      </c>
      <c r="I412" s="12">
        <f>IFERROR((VLOOKUP(A412,'[1]LISTA ETIQUETAS'!O:Y,11,0)),"")</f>
        <v>9997.93</v>
      </c>
      <c r="J412" s="6">
        <v>0</v>
      </c>
      <c r="K412" s="12">
        <f t="shared" si="18"/>
        <v>9997.93</v>
      </c>
      <c r="L412" s="7" t="str">
        <f>IF(VLOOKUP(A412,'[1]LISTA ETIQUETAS'!O:AB,14,0)="","",(VLOOKUP(A412,'[1]LISTA ETIQUETAS'!O:AB,14,0)))</f>
        <v/>
      </c>
      <c r="M412" s="8"/>
      <c r="N412" s="9">
        <f t="shared" si="19"/>
        <v>378282</v>
      </c>
      <c r="O412" s="2">
        <f>_xlfn.XLOOKUP($A412,'[1]LISTA ETIQUETAS'!$O:$O,'[1]LISTA ETIQUETAS'!C:C,"",0)</f>
        <v>6</v>
      </c>
      <c r="P412" s="2">
        <f>_xlfn.XLOOKUP($A412,'[1]LISTA ETIQUETAS'!$O:$O,'[1]LISTA ETIQUETAS'!D:D,"",0)</f>
        <v>0</v>
      </c>
      <c r="Q412" s="2">
        <f>_xlfn.XLOOKUP($A412,'[1]LISTA ETIQUETAS'!$O:$O,'[1]LISTA ETIQUETAS'!E:E,"",0)</f>
        <v>0</v>
      </c>
      <c r="R412" s="2">
        <f>_xlfn.XLOOKUP($A412,'[1]LISTA ETIQUETAS'!$O:$O,'[1]LISTA ETIQUETAS'!F:F,"",0)</f>
        <v>0</v>
      </c>
      <c r="S412" s="2">
        <f>_xlfn.XLOOKUP($A412,'[1]LISTA ETIQUETAS'!$O:$O,'[1]LISTA ETIQUETAS'!H:H,"",0)</f>
        <v>2</v>
      </c>
      <c r="T412" s="9">
        <f t="shared" si="20"/>
        <v>8</v>
      </c>
    </row>
    <row r="413" spans="1:20" x14ac:dyDescent="0.25">
      <c r="A413" s="5">
        <v>408941</v>
      </c>
      <c r="B413" t="str">
        <f>IFERROR((VLOOKUP(A413,'[1]LISTA ETIQUETAS'!O:X,3,0)),"PRODUTO SEM ESTOQUE")</f>
        <v>EST CADEIRA LOGAN C/B ESTAR (TAUARI NOGUEIRA) (MADEIRA)</v>
      </c>
      <c r="C413" s="10" t="s">
        <v>253</v>
      </c>
      <c r="D413" s="10" t="s">
        <v>276</v>
      </c>
      <c r="E413" s="11">
        <f>IF(VLOOKUP(A413,'[1]LISTA ETIQUETAS'!O:W,4,0)="",(VLOOKUP(A413,'[1]LISTA ETIQUETAS'!O:W,6,0)),(VLOOKUP(A413,'[1]LISTA ETIQUETAS'!O:W,4,0)))</f>
        <v>0.62</v>
      </c>
      <c r="F413" s="11">
        <f>IF(VLOOKUP(A413,'[1]LISTA ETIQUETAS'!O:W,5,0)="",(VLOOKUP(A413,'[1]LISTA ETIQUETAS'!O:W,7,0)),(VLOOKUP(A413,'[1]LISTA ETIQUETAS'!O:W,5,0)))</f>
        <v>0.6</v>
      </c>
      <c r="G413" s="11">
        <f>IFERROR((VLOOKUP(A413,'[1]LISTA ETIQUETAS'!O:X,8,0)),"")</f>
        <v>0.79</v>
      </c>
      <c r="H413" s="11">
        <f>IFERROR((VLOOKUP(A413,'[1]LISTA ETIQUETAS'!O:X,9,0)),"")</f>
        <v>0</v>
      </c>
      <c r="I413" s="12">
        <f>IFERROR((VLOOKUP(A413,'[1]LISTA ETIQUETAS'!O:Y,11,0)),"")</f>
        <v>0</v>
      </c>
      <c r="J413" s="6">
        <v>0</v>
      </c>
      <c r="K413" s="12">
        <f t="shared" si="18"/>
        <v>0</v>
      </c>
      <c r="L413" s="7" t="str">
        <f>IF(VLOOKUP(A413,'[1]LISTA ETIQUETAS'!O:AB,14,0)="","",(VLOOKUP(A413,'[1]LISTA ETIQUETAS'!O:AB,14,0)))</f>
        <v/>
      </c>
      <c r="M413" s="8"/>
      <c r="N413" s="9">
        <f t="shared" si="19"/>
        <v>408941</v>
      </c>
      <c r="O413" s="2">
        <f>_xlfn.XLOOKUP($A413,'[1]LISTA ETIQUETAS'!$O:$O,'[1]LISTA ETIQUETAS'!C:C,"",0)</f>
        <v>0</v>
      </c>
      <c r="P413" s="2">
        <f>_xlfn.XLOOKUP($A413,'[1]LISTA ETIQUETAS'!$O:$O,'[1]LISTA ETIQUETAS'!D:D,"",0)</f>
        <v>0</v>
      </c>
      <c r="Q413" s="2">
        <f>_xlfn.XLOOKUP($A413,'[1]LISTA ETIQUETAS'!$O:$O,'[1]LISTA ETIQUETAS'!E:E,"",0)</f>
        <v>0</v>
      </c>
      <c r="R413" s="2">
        <f>_xlfn.XLOOKUP($A413,'[1]LISTA ETIQUETAS'!$O:$O,'[1]LISTA ETIQUETAS'!F:F,"",0)</f>
        <v>0</v>
      </c>
      <c r="S413" s="2">
        <f>_xlfn.XLOOKUP($A413,'[1]LISTA ETIQUETAS'!$O:$O,'[1]LISTA ETIQUETAS'!H:H,"",0)</f>
        <v>2</v>
      </c>
      <c r="T413" s="9">
        <f t="shared" si="20"/>
        <v>2</v>
      </c>
    </row>
    <row r="414" spans="1:20" x14ac:dyDescent="0.25">
      <c r="A414" s="5">
        <v>386525</v>
      </c>
      <c r="B414" t="str">
        <f>IFERROR((VLOOKUP(A414,'[1]LISTA ETIQUETAS'!O:X,3,0)),"PRODUTO SEM ESTOQUE")</f>
        <v>EST CADEIRA JUSSARA (CASTANHO) TC 2000 - 2337</v>
      </c>
      <c r="C414" s="10" t="s">
        <v>253</v>
      </c>
      <c r="D414" s="10" t="s">
        <v>277</v>
      </c>
      <c r="E414" s="11">
        <f>IF(VLOOKUP(A414,'[1]LISTA ETIQUETAS'!O:W,4,0)="",(VLOOKUP(A414,'[1]LISTA ETIQUETAS'!O:W,6,0)),(VLOOKUP(A414,'[1]LISTA ETIQUETAS'!O:W,4,0)))</f>
        <v>0.48</v>
      </c>
      <c r="F414" s="11">
        <f>IF(VLOOKUP(A414,'[1]LISTA ETIQUETAS'!O:W,5,0)="",(VLOOKUP(A414,'[1]LISTA ETIQUETAS'!O:W,7,0)),(VLOOKUP(A414,'[1]LISTA ETIQUETAS'!O:W,5,0)))</f>
        <v>0.6</v>
      </c>
      <c r="G414" s="11">
        <f>IFERROR((VLOOKUP(A414,'[1]LISTA ETIQUETAS'!O:X,8,0)),"")</f>
        <v>0.89</v>
      </c>
      <c r="H414" s="11">
        <f>IFERROR((VLOOKUP(A414,'[1]LISTA ETIQUETAS'!O:X,9,0)),"")</f>
        <v>0</v>
      </c>
      <c r="I414" s="12">
        <f>IFERROR((VLOOKUP(A414,'[1]LISTA ETIQUETAS'!O:Y,11,0)),"")</f>
        <v>3837.75</v>
      </c>
      <c r="J414" s="6">
        <v>0</v>
      </c>
      <c r="K414" s="12">
        <f t="shared" si="18"/>
        <v>3837.75</v>
      </c>
      <c r="L414" s="7" t="str">
        <f>IF(VLOOKUP(A414,'[1]LISTA ETIQUETAS'!O:AB,14,0)="","",(VLOOKUP(A414,'[1]LISTA ETIQUETAS'!O:AB,14,0)))</f>
        <v/>
      </c>
      <c r="M414" s="8"/>
      <c r="N414" s="9">
        <f t="shared" si="19"/>
        <v>386525</v>
      </c>
      <c r="O414" s="2">
        <f>_xlfn.XLOOKUP($A414,'[1]LISTA ETIQUETAS'!$O:$O,'[1]LISTA ETIQUETAS'!C:C,"",0)</f>
        <v>6</v>
      </c>
      <c r="P414" s="2">
        <f>_xlfn.XLOOKUP($A414,'[1]LISTA ETIQUETAS'!$O:$O,'[1]LISTA ETIQUETAS'!D:D,"",0)</f>
        <v>0</v>
      </c>
      <c r="Q414" s="2">
        <f>_xlfn.XLOOKUP($A414,'[1]LISTA ETIQUETAS'!$O:$O,'[1]LISTA ETIQUETAS'!E:E,"",0)</f>
        <v>0</v>
      </c>
      <c r="R414" s="2">
        <f>_xlfn.XLOOKUP($A414,'[1]LISTA ETIQUETAS'!$O:$O,'[1]LISTA ETIQUETAS'!F:F,"",0)</f>
        <v>0</v>
      </c>
      <c r="S414" s="2">
        <f>_xlfn.XLOOKUP($A414,'[1]LISTA ETIQUETAS'!$O:$O,'[1]LISTA ETIQUETAS'!H:H,"",0)</f>
        <v>2</v>
      </c>
      <c r="T414" s="9">
        <f t="shared" si="20"/>
        <v>8</v>
      </c>
    </row>
    <row r="415" spans="1:20" x14ac:dyDescent="0.25">
      <c r="A415" s="5">
        <v>234733</v>
      </c>
      <c r="B415" t="str">
        <f>IFERROR((VLOOKUP(A415,'[1]LISTA ETIQUETAS'!O:X,3,0)),"PRODUTO SEM ESTOQUE")</f>
        <v>EST CADEIRA MOI (LAM CARV PT) (TC LISO WHITE MIX)</v>
      </c>
      <c r="C415" s="10" t="s">
        <v>253</v>
      </c>
      <c r="D415" s="10" t="s">
        <v>272</v>
      </c>
      <c r="E415" s="11">
        <f>IF(VLOOKUP(A415,'[1]LISTA ETIQUETAS'!O:W,4,0)="",(VLOOKUP(A415,'[1]LISTA ETIQUETAS'!O:W,6,0)),(VLOOKUP(A415,'[1]LISTA ETIQUETAS'!O:W,4,0)))</f>
        <v>0.48</v>
      </c>
      <c r="F415" s="11">
        <f>IF(VLOOKUP(A415,'[1]LISTA ETIQUETAS'!O:W,5,0)="",(VLOOKUP(A415,'[1]LISTA ETIQUETAS'!O:W,7,0)),(VLOOKUP(A415,'[1]LISTA ETIQUETAS'!O:W,5,0)))</f>
        <v>0.56999999999999995</v>
      </c>
      <c r="G415" s="11">
        <f>IFERROR((VLOOKUP(A415,'[1]LISTA ETIQUETAS'!O:X,8,0)),"")</f>
        <v>0.82</v>
      </c>
      <c r="H415" s="11">
        <f>IFERROR((VLOOKUP(A415,'[1]LISTA ETIQUETAS'!O:X,9,0)),"")</f>
        <v>0</v>
      </c>
      <c r="I415" s="12">
        <f>IFERROR((VLOOKUP(A415,'[1]LISTA ETIQUETAS'!O:Y,11,0)),"")</f>
        <v>9101.7900000000009</v>
      </c>
      <c r="J415" s="6">
        <v>0</v>
      </c>
      <c r="K415" s="12">
        <f t="shared" si="18"/>
        <v>9101.7900000000009</v>
      </c>
      <c r="L415" s="7" t="str">
        <f>IF(VLOOKUP(A415,'[1]LISTA ETIQUETAS'!O:AB,14,0)="","",(VLOOKUP(A415,'[1]LISTA ETIQUETAS'!O:AB,14,0)))</f>
        <v/>
      </c>
      <c r="M415" s="8"/>
      <c r="N415" s="9">
        <f t="shared" si="19"/>
        <v>234733</v>
      </c>
      <c r="O415" s="2">
        <f>_xlfn.XLOOKUP($A415,'[1]LISTA ETIQUETAS'!$O:$O,'[1]LISTA ETIQUETAS'!C:C,"",0)</f>
        <v>0</v>
      </c>
      <c r="P415" s="2">
        <f>_xlfn.XLOOKUP($A415,'[1]LISTA ETIQUETAS'!$O:$O,'[1]LISTA ETIQUETAS'!D:D,"",0)</f>
        <v>0</v>
      </c>
      <c r="Q415" s="2">
        <f>_xlfn.XLOOKUP($A415,'[1]LISTA ETIQUETAS'!$O:$O,'[1]LISTA ETIQUETAS'!E:E,"",0)</f>
        <v>0</v>
      </c>
      <c r="R415" s="2">
        <f>_xlfn.XLOOKUP($A415,'[1]LISTA ETIQUETAS'!$O:$O,'[1]LISTA ETIQUETAS'!F:F,"",0)</f>
        <v>0</v>
      </c>
      <c r="S415" s="2">
        <f>_xlfn.XLOOKUP($A415,'[1]LISTA ETIQUETAS'!$O:$O,'[1]LISTA ETIQUETAS'!H:H,"",0)</f>
        <v>4</v>
      </c>
      <c r="T415" s="9">
        <f t="shared" si="20"/>
        <v>4</v>
      </c>
    </row>
    <row r="416" spans="1:20" x14ac:dyDescent="0.25">
      <c r="A416" s="5">
        <v>223323</v>
      </c>
      <c r="B416" t="str">
        <f>IFERROR((VLOOKUP(A416,'[1]LISTA ETIQUETAS'!O:X,3,0)),"PRODUTO SEM ESTOQUE")</f>
        <v>EST CADEIRA MOI (LAM CARV PT) (TC LISO WHITE MIX)</v>
      </c>
      <c r="C416" s="10" t="s">
        <v>253</v>
      </c>
      <c r="D416" s="10" t="s">
        <v>272</v>
      </c>
      <c r="E416" s="11">
        <f>IF(VLOOKUP(A416,'[1]LISTA ETIQUETAS'!O:W,4,0)="",(VLOOKUP(A416,'[1]LISTA ETIQUETAS'!O:W,6,0)),(VLOOKUP(A416,'[1]LISTA ETIQUETAS'!O:W,4,0)))</f>
        <v>0.48</v>
      </c>
      <c r="F416" s="11">
        <f>IF(VLOOKUP(A416,'[1]LISTA ETIQUETAS'!O:W,5,0)="",(VLOOKUP(A416,'[1]LISTA ETIQUETAS'!O:W,7,0)),(VLOOKUP(A416,'[1]LISTA ETIQUETAS'!O:W,5,0)))</f>
        <v>0.56999999999999995</v>
      </c>
      <c r="G416" s="11">
        <f>IFERROR((VLOOKUP(A416,'[1]LISTA ETIQUETAS'!O:X,8,0)),"")</f>
        <v>0.82</v>
      </c>
      <c r="H416" s="11">
        <f>IFERROR((VLOOKUP(A416,'[1]LISTA ETIQUETAS'!O:X,9,0)),"")</f>
        <v>0</v>
      </c>
      <c r="I416" s="12">
        <f>IFERROR((VLOOKUP(A416,'[1]LISTA ETIQUETAS'!O:Y,11,0)),"")</f>
        <v>9101.7900000000009</v>
      </c>
      <c r="J416" s="6">
        <v>0</v>
      </c>
      <c r="K416" s="12">
        <f t="shared" si="18"/>
        <v>9101.7900000000009</v>
      </c>
      <c r="L416" s="7" t="str">
        <f>IF(VLOOKUP(A416,'[1]LISTA ETIQUETAS'!O:AB,14,0)="","",(VLOOKUP(A416,'[1]LISTA ETIQUETAS'!O:AB,14,0)))</f>
        <v/>
      </c>
      <c r="M416" s="8"/>
      <c r="N416" s="9">
        <f t="shared" si="19"/>
        <v>223323</v>
      </c>
      <c r="O416" s="2">
        <f>_xlfn.XLOOKUP($A416,'[1]LISTA ETIQUETAS'!$O:$O,'[1]LISTA ETIQUETAS'!C:C,"",0)</f>
        <v>9</v>
      </c>
      <c r="P416" s="2">
        <f>_xlfn.XLOOKUP($A416,'[1]LISTA ETIQUETAS'!$O:$O,'[1]LISTA ETIQUETAS'!D:D,"",0)</f>
        <v>0</v>
      </c>
      <c r="Q416" s="2">
        <f>_xlfn.XLOOKUP($A416,'[1]LISTA ETIQUETAS'!$O:$O,'[1]LISTA ETIQUETAS'!E:E,"",0)</f>
        <v>0</v>
      </c>
      <c r="R416" s="2">
        <f>_xlfn.XLOOKUP($A416,'[1]LISTA ETIQUETAS'!$O:$O,'[1]LISTA ETIQUETAS'!F:F,"",0)</f>
        <v>0</v>
      </c>
      <c r="S416" s="2">
        <f>_xlfn.XLOOKUP($A416,'[1]LISTA ETIQUETAS'!$O:$O,'[1]LISTA ETIQUETAS'!H:H,"",0)</f>
        <v>1</v>
      </c>
      <c r="T416" s="9">
        <f t="shared" si="20"/>
        <v>10</v>
      </c>
    </row>
    <row r="417" spans="1:20" x14ac:dyDescent="0.25">
      <c r="A417" s="5">
        <v>65221</v>
      </c>
      <c r="B417" t="str">
        <f>IFERROR((VLOOKUP(A417,'[1]LISTA ETIQUETAS'!O:X,3,0)),"PRODUTO SEM ESTOQUE")</f>
        <v>EST CADEIRA BOSSA ESTOFADA C/BRACO (L109 MARROM) TC FLORAL</v>
      </c>
      <c r="C417" s="10" t="s">
        <v>253</v>
      </c>
      <c r="D417" s="10" t="s">
        <v>278</v>
      </c>
      <c r="E417" s="11">
        <f>IF(VLOOKUP(A417,'[1]LISTA ETIQUETAS'!O:W,4,0)="",(VLOOKUP(A417,'[1]LISTA ETIQUETAS'!O:W,6,0)),(VLOOKUP(A417,'[1]LISTA ETIQUETAS'!O:W,4,0)))</f>
        <v>0.56999999999999995</v>
      </c>
      <c r="F417" s="11">
        <f>IF(VLOOKUP(A417,'[1]LISTA ETIQUETAS'!O:W,5,0)="",(VLOOKUP(A417,'[1]LISTA ETIQUETAS'!O:W,7,0)),(VLOOKUP(A417,'[1]LISTA ETIQUETAS'!O:W,5,0)))</f>
        <v>0.52</v>
      </c>
      <c r="G417" s="11">
        <f>IFERROR((VLOOKUP(A417,'[1]LISTA ETIQUETAS'!O:X,8,0)),"")</f>
        <v>0.87</v>
      </c>
      <c r="H417" s="11">
        <f>IFERROR((VLOOKUP(A417,'[1]LISTA ETIQUETAS'!O:X,9,0)),"")</f>
        <v>0</v>
      </c>
      <c r="I417" s="12">
        <f>IFERROR((VLOOKUP(A417,'[1]LISTA ETIQUETAS'!O:Y,11,0)),"")</f>
        <v>6952.96</v>
      </c>
      <c r="J417" s="6">
        <v>0</v>
      </c>
      <c r="K417" s="12">
        <f t="shared" si="18"/>
        <v>6952.96</v>
      </c>
      <c r="L417" s="7" t="str">
        <f>IF(VLOOKUP(A417,'[1]LISTA ETIQUETAS'!O:AB,14,0)="","",(VLOOKUP(A417,'[1]LISTA ETIQUETAS'!O:AB,14,0)))</f>
        <v/>
      </c>
      <c r="M417" s="8"/>
      <c r="N417" s="9">
        <f t="shared" si="19"/>
        <v>65221</v>
      </c>
      <c r="O417" s="2">
        <f>_xlfn.XLOOKUP($A417,'[1]LISTA ETIQUETAS'!$O:$O,'[1]LISTA ETIQUETAS'!C:C,"",0)</f>
        <v>0</v>
      </c>
      <c r="P417" s="2">
        <f>_xlfn.XLOOKUP($A417,'[1]LISTA ETIQUETAS'!$O:$O,'[1]LISTA ETIQUETAS'!D:D,"",0)</f>
        <v>0</v>
      </c>
      <c r="Q417" s="2">
        <f>_xlfn.XLOOKUP($A417,'[1]LISTA ETIQUETAS'!$O:$O,'[1]LISTA ETIQUETAS'!E:E,"",0)</f>
        <v>0</v>
      </c>
      <c r="R417" s="2">
        <f>_xlfn.XLOOKUP($A417,'[1]LISTA ETIQUETAS'!$O:$O,'[1]LISTA ETIQUETAS'!F:F,"",0)</f>
        <v>0</v>
      </c>
      <c r="S417" s="2">
        <f>_xlfn.XLOOKUP($A417,'[1]LISTA ETIQUETAS'!$O:$O,'[1]LISTA ETIQUETAS'!H:H,"",0)</f>
        <v>2</v>
      </c>
      <c r="T417" s="9">
        <f t="shared" si="20"/>
        <v>2</v>
      </c>
    </row>
    <row r="418" spans="1:20" x14ac:dyDescent="0.25">
      <c r="A418" s="5">
        <v>64068</v>
      </c>
      <c r="B418" t="str">
        <f>IFERROR((VLOOKUP(A418,'[1]LISTA ETIQUETAS'!O:X,3,0)),"PRODUTO SEM ESTOQUE")</f>
        <v>EST CADEIRA TEKA (FIBRA SINTETICA)</v>
      </c>
      <c r="C418" s="10" t="s">
        <v>253</v>
      </c>
      <c r="D418" s="10" t="s">
        <v>279</v>
      </c>
      <c r="E418" s="11">
        <f>IF(VLOOKUP(A418,'[1]LISTA ETIQUETAS'!O:W,4,0)="",(VLOOKUP(A418,'[1]LISTA ETIQUETAS'!O:W,6,0)),(VLOOKUP(A418,'[1]LISTA ETIQUETAS'!O:W,4,0)))</f>
        <v>0</v>
      </c>
      <c r="F418" s="11">
        <f>IF(VLOOKUP(A418,'[1]LISTA ETIQUETAS'!O:W,5,0)="",(VLOOKUP(A418,'[1]LISTA ETIQUETAS'!O:W,7,0)),(VLOOKUP(A418,'[1]LISTA ETIQUETAS'!O:W,5,0)))</f>
        <v>0</v>
      </c>
      <c r="G418" s="11">
        <f>IFERROR((VLOOKUP(A418,'[1]LISTA ETIQUETAS'!O:X,8,0)),"")</f>
        <v>0</v>
      </c>
      <c r="H418" s="11">
        <f>IFERROR((VLOOKUP(A418,'[1]LISTA ETIQUETAS'!O:X,9,0)),"")</f>
        <v>0</v>
      </c>
      <c r="I418" s="12">
        <f>IFERROR((VLOOKUP(A418,'[1]LISTA ETIQUETAS'!O:Y,11,0)),"")</f>
        <v>0</v>
      </c>
      <c r="J418" s="6">
        <v>0</v>
      </c>
      <c r="K418" s="12">
        <f t="shared" si="18"/>
        <v>0</v>
      </c>
      <c r="L418" s="7" t="str">
        <f>IF(VLOOKUP(A418,'[1]LISTA ETIQUETAS'!O:AB,14,0)="","",(VLOOKUP(A418,'[1]LISTA ETIQUETAS'!O:AB,14,0)))</f>
        <v/>
      </c>
      <c r="M418" s="8"/>
      <c r="N418" s="9">
        <f t="shared" si="19"/>
        <v>64068</v>
      </c>
      <c r="O418" s="2">
        <f>_xlfn.XLOOKUP($A418,'[1]LISTA ETIQUETAS'!$O:$O,'[1]LISTA ETIQUETAS'!C:C,"",0)</f>
        <v>0</v>
      </c>
      <c r="P418" s="2">
        <f>_xlfn.XLOOKUP($A418,'[1]LISTA ETIQUETAS'!$O:$O,'[1]LISTA ETIQUETAS'!D:D,"",0)</f>
        <v>0</v>
      </c>
      <c r="Q418" s="2">
        <f>_xlfn.XLOOKUP($A418,'[1]LISTA ETIQUETAS'!$O:$O,'[1]LISTA ETIQUETAS'!E:E,"",0)</f>
        <v>0</v>
      </c>
      <c r="R418" s="2">
        <f>_xlfn.XLOOKUP($A418,'[1]LISTA ETIQUETAS'!$O:$O,'[1]LISTA ETIQUETAS'!F:F,"",0)</f>
        <v>0</v>
      </c>
      <c r="S418" s="2">
        <f>_xlfn.XLOOKUP($A418,'[1]LISTA ETIQUETAS'!$O:$O,'[1]LISTA ETIQUETAS'!H:H,"",0)</f>
        <v>7</v>
      </c>
      <c r="T418" s="9">
        <f t="shared" si="20"/>
        <v>7</v>
      </c>
    </row>
    <row r="419" spans="1:20" x14ac:dyDescent="0.25">
      <c r="A419" s="5">
        <v>86814</v>
      </c>
      <c r="B419" t="str">
        <f>IFERROR((VLOOKUP(A419,'[1]LISTA ETIQUETAS'!O:X,3,0)),"PRODUTO SEM ESTOQUE")</f>
        <v>EST CADEIRA JOSEPHINA (LACA PRETA) TC CAMURCA GENGIBRE</v>
      </c>
      <c r="C419" s="10" t="s">
        <v>253</v>
      </c>
      <c r="D419" s="10" t="s">
        <v>280</v>
      </c>
      <c r="E419" s="11">
        <f>IF(VLOOKUP(A419,'[1]LISTA ETIQUETAS'!O:W,4,0)="",(VLOOKUP(A419,'[1]LISTA ETIQUETAS'!O:W,6,0)),(VLOOKUP(A419,'[1]LISTA ETIQUETAS'!O:W,4,0)))</f>
        <v>0.53</v>
      </c>
      <c r="F419" s="11">
        <f>IF(VLOOKUP(A419,'[1]LISTA ETIQUETAS'!O:W,5,0)="",(VLOOKUP(A419,'[1]LISTA ETIQUETAS'!O:W,7,0)),(VLOOKUP(A419,'[1]LISTA ETIQUETAS'!O:W,5,0)))</f>
        <v>0.62</v>
      </c>
      <c r="G419" s="11">
        <f>IFERROR((VLOOKUP(A419,'[1]LISTA ETIQUETAS'!O:X,8,0)),"")</f>
        <v>0.95</v>
      </c>
      <c r="H419" s="11">
        <f>IFERROR((VLOOKUP(A419,'[1]LISTA ETIQUETAS'!O:X,9,0)),"")</f>
        <v>0</v>
      </c>
      <c r="I419" s="12">
        <f>IFERROR((VLOOKUP(A419,'[1]LISTA ETIQUETAS'!O:Y,11,0)),"")</f>
        <v>0</v>
      </c>
      <c r="J419" s="6">
        <v>0</v>
      </c>
      <c r="K419" s="12">
        <f t="shared" si="18"/>
        <v>0</v>
      </c>
      <c r="L419" s="7" t="str">
        <f>IF(VLOOKUP(A419,'[1]LISTA ETIQUETAS'!O:AB,14,0)="","",(VLOOKUP(A419,'[1]LISTA ETIQUETAS'!O:AB,14,0)))</f>
        <v/>
      </c>
      <c r="M419" s="8"/>
      <c r="N419" s="9">
        <f t="shared" si="19"/>
        <v>86814</v>
      </c>
      <c r="O419" s="2">
        <f>_xlfn.XLOOKUP($A419,'[1]LISTA ETIQUETAS'!$O:$O,'[1]LISTA ETIQUETAS'!C:C,"",0)</f>
        <v>0</v>
      </c>
      <c r="P419" s="2">
        <f>_xlfn.XLOOKUP($A419,'[1]LISTA ETIQUETAS'!$O:$O,'[1]LISTA ETIQUETAS'!D:D,"",0)</f>
        <v>0</v>
      </c>
      <c r="Q419" s="2">
        <f>_xlfn.XLOOKUP($A419,'[1]LISTA ETIQUETAS'!$O:$O,'[1]LISTA ETIQUETAS'!E:E,"",0)</f>
        <v>0</v>
      </c>
      <c r="R419" s="2">
        <f>_xlfn.XLOOKUP($A419,'[1]LISTA ETIQUETAS'!$O:$O,'[1]LISTA ETIQUETAS'!F:F,"",0)</f>
        <v>0</v>
      </c>
      <c r="S419" s="2">
        <f>_xlfn.XLOOKUP($A419,'[1]LISTA ETIQUETAS'!$O:$O,'[1]LISTA ETIQUETAS'!H:H,"",0)</f>
        <v>1</v>
      </c>
      <c r="T419" s="9">
        <f t="shared" si="20"/>
        <v>1</v>
      </c>
    </row>
    <row r="420" spans="1:20" x14ac:dyDescent="0.25">
      <c r="A420" s="5">
        <v>90497</v>
      </c>
      <c r="B420" t="str">
        <f>IFERROR((VLOOKUP(A420,'[1]LISTA ETIQUETAS'!O:X,3,0)),"PRODUTO SEM ESTOQUE")</f>
        <v>EST CADEIRA JET (JEQUITIBA NATURAL) TC SUED 405</v>
      </c>
      <c r="C420" s="10" t="s">
        <v>253</v>
      </c>
      <c r="D420" s="10" t="s">
        <v>281</v>
      </c>
      <c r="E420" s="11">
        <f>IF(VLOOKUP(A420,'[1]LISTA ETIQUETAS'!O:W,4,0)="",(VLOOKUP(A420,'[1]LISTA ETIQUETAS'!O:W,6,0)),(VLOOKUP(A420,'[1]LISTA ETIQUETAS'!O:W,4,0)))</f>
        <v>0.46</v>
      </c>
      <c r="F420" s="11">
        <f>IF(VLOOKUP(A420,'[1]LISTA ETIQUETAS'!O:W,5,0)="",(VLOOKUP(A420,'[1]LISTA ETIQUETAS'!O:W,7,0)),(VLOOKUP(A420,'[1]LISTA ETIQUETAS'!O:W,5,0)))</f>
        <v>0.59</v>
      </c>
      <c r="G420" s="11">
        <f>IFERROR((VLOOKUP(A420,'[1]LISTA ETIQUETAS'!O:X,8,0)),"")</f>
        <v>0.85</v>
      </c>
      <c r="H420" s="11">
        <f>IFERROR((VLOOKUP(A420,'[1]LISTA ETIQUETAS'!O:X,9,0)),"")</f>
        <v>0</v>
      </c>
      <c r="I420" s="12">
        <f>IFERROR((VLOOKUP(A420,'[1]LISTA ETIQUETAS'!O:Y,11,0)),"")</f>
        <v>0</v>
      </c>
      <c r="J420" s="6">
        <v>0</v>
      </c>
      <c r="K420" s="12">
        <f t="shared" si="18"/>
        <v>0</v>
      </c>
      <c r="L420" s="7" t="str">
        <f>IF(VLOOKUP(A420,'[1]LISTA ETIQUETAS'!O:AB,14,0)="","",(VLOOKUP(A420,'[1]LISTA ETIQUETAS'!O:AB,14,0)))</f>
        <v/>
      </c>
      <c r="M420" s="8"/>
      <c r="N420" s="9">
        <f t="shared" si="19"/>
        <v>90497</v>
      </c>
      <c r="O420" s="2">
        <f>_xlfn.XLOOKUP($A420,'[1]LISTA ETIQUETAS'!$O:$O,'[1]LISTA ETIQUETAS'!C:C,"",0)</f>
        <v>0</v>
      </c>
      <c r="P420" s="2">
        <f>_xlfn.XLOOKUP($A420,'[1]LISTA ETIQUETAS'!$O:$O,'[1]LISTA ETIQUETAS'!D:D,"",0)</f>
        <v>0</v>
      </c>
      <c r="Q420" s="2">
        <f>_xlfn.XLOOKUP($A420,'[1]LISTA ETIQUETAS'!$O:$O,'[1]LISTA ETIQUETAS'!E:E,"",0)</f>
        <v>0</v>
      </c>
      <c r="R420" s="2">
        <f>_xlfn.XLOOKUP($A420,'[1]LISTA ETIQUETAS'!$O:$O,'[1]LISTA ETIQUETAS'!F:F,"",0)</f>
        <v>0</v>
      </c>
      <c r="S420" s="2">
        <f>_xlfn.XLOOKUP($A420,'[1]LISTA ETIQUETAS'!$O:$O,'[1]LISTA ETIQUETAS'!H:H,"",0)</f>
        <v>1</v>
      </c>
      <c r="T420" s="9">
        <f t="shared" si="20"/>
        <v>1</v>
      </c>
    </row>
    <row r="421" spans="1:20" x14ac:dyDescent="0.25">
      <c r="A421" s="5">
        <v>94139</v>
      </c>
      <c r="B421" t="str">
        <f>IFERROR((VLOOKUP(A421,'[1]LISTA ETIQUETAS'!O:X,3,0)),"PRODUTO SEM ESTOQUE")</f>
        <v>EST CADEIRA MIRA (CASTANHO) (FIBRA CASTANHO ENV) TC 514</v>
      </c>
      <c r="C421" s="10" t="s">
        <v>253</v>
      </c>
      <c r="D421" s="10" t="s">
        <v>282</v>
      </c>
      <c r="E421" s="11">
        <f>IF(VLOOKUP(A421,'[1]LISTA ETIQUETAS'!O:W,4,0)="",(VLOOKUP(A421,'[1]LISTA ETIQUETAS'!O:W,6,0)),(VLOOKUP(A421,'[1]LISTA ETIQUETAS'!O:W,4,0)))</f>
        <v>0.55000000000000004</v>
      </c>
      <c r="F421" s="11">
        <f>IF(VLOOKUP(A421,'[1]LISTA ETIQUETAS'!O:W,5,0)="",(VLOOKUP(A421,'[1]LISTA ETIQUETAS'!O:W,7,0)),(VLOOKUP(A421,'[1]LISTA ETIQUETAS'!O:W,5,0)))</f>
        <v>0.62</v>
      </c>
      <c r="G421" s="11">
        <f>IFERROR((VLOOKUP(A421,'[1]LISTA ETIQUETAS'!O:X,8,0)),"")</f>
        <v>0.82</v>
      </c>
      <c r="H421" s="11">
        <f>IFERROR((VLOOKUP(A421,'[1]LISTA ETIQUETAS'!O:X,9,0)),"")</f>
        <v>0</v>
      </c>
      <c r="I421" s="12">
        <f>IFERROR((VLOOKUP(A421,'[1]LISTA ETIQUETAS'!O:Y,11,0)),"")</f>
        <v>0</v>
      </c>
      <c r="J421" s="6">
        <v>0</v>
      </c>
      <c r="K421" s="12">
        <f t="shared" si="18"/>
        <v>0</v>
      </c>
      <c r="L421" s="7" t="str">
        <f>IF(VLOOKUP(A421,'[1]LISTA ETIQUETAS'!O:AB,14,0)="","",(VLOOKUP(A421,'[1]LISTA ETIQUETAS'!O:AB,14,0)))</f>
        <v/>
      </c>
      <c r="M421" s="8"/>
      <c r="N421" s="9">
        <f t="shared" si="19"/>
        <v>94139</v>
      </c>
      <c r="O421" s="2">
        <f>_xlfn.XLOOKUP($A421,'[1]LISTA ETIQUETAS'!$O:$O,'[1]LISTA ETIQUETAS'!C:C,"",0)</f>
        <v>0</v>
      </c>
      <c r="P421" s="2">
        <f>_xlfn.XLOOKUP($A421,'[1]LISTA ETIQUETAS'!$O:$O,'[1]LISTA ETIQUETAS'!D:D,"",0)</f>
        <v>0</v>
      </c>
      <c r="Q421" s="2">
        <f>_xlfn.XLOOKUP($A421,'[1]LISTA ETIQUETAS'!$O:$O,'[1]LISTA ETIQUETAS'!E:E,"",0)</f>
        <v>0</v>
      </c>
      <c r="R421" s="2">
        <f>_xlfn.XLOOKUP($A421,'[1]LISTA ETIQUETAS'!$O:$O,'[1]LISTA ETIQUETAS'!F:F,"",0)</f>
        <v>0</v>
      </c>
      <c r="S421" s="2">
        <f>_xlfn.XLOOKUP($A421,'[1]LISTA ETIQUETAS'!$O:$O,'[1]LISTA ETIQUETAS'!H:H,"",0)</f>
        <v>1</v>
      </c>
      <c r="T421" s="9">
        <f t="shared" si="20"/>
        <v>1</v>
      </c>
    </row>
    <row r="422" spans="1:20" x14ac:dyDescent="0.25">
      <c r="A422" s="5">
        <v>90922</v>
      </c>
      <c r="B422" t="str">
        <f>IFERROR((VLOOKUP(A422,'[1]LISTA ETIQUETAS'!O:X,3,0)),"PRODUTO SEM ESTOQUE")</f>
        <v>EST CADEIRA MARTA (JEQUITIBA) TC BOUCLET 10394/13</v>
      </c>
      <c r="C422" s="10" t="s">
        <v>253</v>
      </c>
      <c r="D422" s="10" t="s">
        <v>283</v>
      </c>
      <c r="E422" s="11">
        <f>IF(VLOOKUP(A422,'[1]LISTA ETIQUETAS'!O:W,4,0)="",(VLOOKUP(A422,'[1]LISTA ETIQUETAS'!O:W,6,0)),(VLOOKUP(A422,'[1]LISTA ETIQUETAS'!O:W,4,0)))</f>
        <v>0.64</v>
      </c>
      <c r="F422" s="11">
        <f>IF(VLOOKUP(A422,'[1]LISTA ETIQUETAS'!O:W,5,0)="",(VLOOKUP(A422,'[1]LISTA ETIQUETAS'!O:W,7,0)),(VLOOKUP(A422,'[1]LISTA ETIQUETAS'!O:W,5,0)))</f>
        <v>0.52</v>
      </c>
      <c r="G422" s="11">
        <f>IFERROR((VLOOKUP(A422,'[1]LISTA ETIQUETAS'!O:X,8,0)),"")</f>
        <v>74</v>
      </c>
      <c r="H422" s="11">
        <f>IFERROR((VLOOKUP(A422,'[1]LISTA ETIQUETAS'!O:X,9,0)),"")</f>
        <v>0</v>
      </c>
      <c r="I422" s="12">
        <f>IFERROR((VLOOKUP(A422,'[1]LISTA ETIQUETAS'!O:Y,11,0)),"")</f>
        <v>0</v>
      </c>
      <c r="J422" s="6">
        <v>0</v>
      </c>
      <c r="K422" s="12">
        <f t="shared" si="18"/>
        <v>0</v>
      </c>
      <c r="L422" s="7" t="str">
        <f>IF(VLOOKUP(A422,'[1]LISTA ETIQUETAS'!O:AB,14,0)="","",(VLOOKUP(A422,'[1]LISTA ETIQUETAS'!O:AB,14,0)))</f>
        <v/>
      </c>
      <c r="M422" s="8"/>
      <c r="N422" s="9">
        <f t="shared" si="19"/>
        <v>90922</v>
      </c>
      <c r="O422" s="2">
        <f>_xlfn.XLOOKUP($A422,'[1]LISTA ETIQUETAS'!$O:$O,'[1]LISTA ETIQUETAS'!C:C,"",0)</f>
        <v>0</v>
      </c>
      <c r="P422" s="2">
        <f>_xlfn.XLOOKUP($A422,'[1]LISTA ETIQUETAS'!$O:$O,'[1]LISTA ETIQUETAS'!D:D,"",0)</f>
        <v>0</v>
      </c>
      <c r="Q422" s="2">
        <f>_xlfn.XLOOKUP($A422,'[1]LISTA ETIQUETAS'!$O:$O,'[1]LISTA ETIQUETAS'!E:E,"",0)</f>
        <v>0</v>
      </c>
      <c r="R422" s="2">
        <f>_xlfn.XLOOKUP($A422,'[1]LISTA ETIQUETAS'!$O:$O,'[1]LISTA ETIQUETAS'!F:F,"",0)</f>
        <v>0</v>
      </c>
      <c r="S422" s="2">
        <f>_xlfn.XLOOKUP($A422,'[1]LISTA ETIQUETAS'!$O:$O,'[1]LISTA ETIQUETAS'!H:H,"",0)</f>
        <v>1</v>
      </c>
      <c r="T422" s="9">
        <f t="shared" si="20"/>
        <v>1</v>
      </c>
    </row>
    <row r="423" spans="1:20" x14ac:dyDescent="0.25">
      <c r="A423" s="5">
        <v>112451</v>
      </c>
      <c r="B423" t="str">
        <f>IFERROR((VLOOKUP(A423,'[1]LISTA ETIQUETAS'!O:X,3,0)),"PRODUTO SEM ESTOQUE")</f>
        <v>EST CADEIRA MILLA C/BRACO (TAUARI 2) (ESTOFADO) (TC 115#5)</v>
      </c>
      <c r="C423" s="10" t="s">
        <v>253</v>
      </c>
      <c r="D423" s="10" t="s">
        <v>284</v>
      </c>
      <c r="E423" s="11">
        <f>IF(VLOOKUP(A423,'[1]LISTA ETIQUETAS'!O:W,4,0)="",(VLOOKUP(A423,'[1]LISTA ETIQUETAS'!O:W,6,0)),(VLOOKUP(A423,'[1]LISTA ETIQUETAS'!O:W,4,0)))</f>
        <v>0.57999999999999996</v>
      </c>
      <c r="F423" s="11">
        <f>IF(VLOOKUP(A423,'[1]LISTA ETIQUETAS'!O:W,5,0)="",(VLOOKUP(A423,'[1]LISTA ETIQUETAS'!O:W,7,0)),(VLOOKUP(A423,'[1]LISTA ETIQUETAS'!O:W,5,0)))</f>
        <v>0.56999999999999995</v>
      </c>
      <c r="G423" s="11">
        <f>IFERROR((VLOOKUP(A423,'[1]LISTA ETIQUETAS'!O:X,8,0)),"")</f>
        <v>0.8</v>
      </c>
      <c r="H423" s="11">
        <f>IFERROR((VLOOKUP(A423,'[1]LISTA ETIQUETAS'!O:X,9,0)),"")</f>
        <v>0</v>
      </c>
      <c r="I423" s="12" t="str">
        <f>IFERROR((VLOOKUP(A423,'[1]LISTA ETIQUETAS'!O:Y,11,0)),"")</f>
        <v/>
      </c>
      <c r="J423" s="6">
        <v>0</v>
      </c>
      <c r="K423" s="12" t="str">
        <f t="shared" si="18"/>
        <v/>
      </c>
      <c r="L423" s="7" t="str">
        <f>IF(VLOOKUP(A423,'[1]LISTA ETIQUETAS'!O:AB,14,0)="","",(VLOOKUP(A423,'[1]LISTA ETIQUETAS'!O:AB,14,0)))</f>
        <v/>
      </c>
      <c r="M423" s="8"/>
      <c r="N423" s="9">
        <f t="shared" si="19"/>
        <v>112451</v>
      </c>
      <c r="O423" s="2">
        <f>_xlfn.XLOOKUP($A423,'[1]LISTA ETIQUETAS'!$O:$O,'[1]LISTA ETIQUETAS'!C:C,"",0)</f>
        <v>0</v>
      </c>
      <c r="P423" s="2">
        <f>_xlfn.XLOOKUP($A423,'[1]LISTA ETIQUETAS'!$O:$O,'[1]LISTA ETIQUETAS'!D:D,"",0)</f>
        <v>0</v>
      </c>
      <c r="Q423" s="2">
        <f>_xlfn.XLOOKUP($A423,'[1]LISTA ETIQUETAS'!$O:$O,'[1]LISTA ETIQUETAS'!E:E,"",0)</f>
        <v>0</v>
      </c>
      <c r="R423" s="2">
        <f>_xlfn.XLOOKUP($A423,'[1]LISTA ETIQUETAS'!$O:$O,'[1]LISTA ETIQUETAS'!F:F,"",0)</f>
        <v>0</v>
      </c>
      <c r="S423" s="2">
        <f>_xlfn.XLOOKUP($A423,'[1]LISTA ETIQUETAS'!$O:$O,'[1]LISTA ETIQUETAS'!H:H,"",0)</f>
        <v>1</v>
      </c>
      <c r="T423" s="9">
        <f t="shared" si="20"/>
        <v>1</v>
      </c>
    </row>
    <row r="424" spans="1:20" x14ac:dyDescent="0.25">
      <c r="A424" s="5">
        <v>120826</v>
      </c>
      <c r="B424" t="str">
        <f>IFERROR((VLOOKUP(A424,'[1]LISTA ETIQUETAS'!O:X,3,0)),"PRODUTO SEM ESTOQUE")</f>
        <v>EST CADEIRA MR2 (FREIJO NT) COURO RODEO 11201-027</v>
      </c>
      <c r="C424" s="10" t="s">
        <v>253</v>
      </c>
      <c r="D424" s="10" t="s">
        <v>285</v>
      </c>
      <c r="E424" s="11">
        <f>IF(VLOOKUP(A424,'[1]LISTA ETIQUETAS'!O:W,4,0)="",(VLOOKUP(A424,'[1]LISTA ETIQUETAS'!O:W,6,0)),(VLOOKUP(A424,'[1]LISTA ETIQUETAS'!O:W,4,0)))</f>
        <v>0.48</v>
      </c>
      <c r="F424" s="11">
        <f>IF(VLOOKUP(A424,'[1]LISTA ETIQUETAS'!O:W,5,0)="",(VLOOKUP(A424,'[1]LISTA ETIQUETAS'!O:W,7,0)),(VLOOKUP(A424,'[1]LISTA ETIQUETAS'!O:W,5,0)))</f>
        <v>0.54</v>
      </c>
      <c r="G424" s="11">
        <f>IFERROR((VLOOKUP(A424,'[1]LISTA ETIQUETAS'!O:X,8,0)),"")</f>
        <v>0.86</v>
      </c>
      <c r="H424" s="11">
        <f>IFERROR((VLOOKUP(A424,'[1]LISTA ETIQUETAS'!O:X,9,0)),"")</f>
        <v>0</v>
      </c>
      <c r="I424" s="12">
        <f>IFERROR((VLOOKUP(A424,'[1]LISTA ETIQUETAS'!O:Y,11,0)),"")</f>
        <v>6442.24</v>
      </c>
      <c r="J424" s="6">
        <v>0</v>
      </c>
      <c r="K424" s="12">
        <f t="shared" si="18"/>
        <v>6442.24</v>
      </c>
      <c r="L424" s="7" t="str">
        <f>IF(VLOOKUP(A424,'[1]LISTA ETIQUETAS'!O:AB,14,0)="","",(VLOOKUP(A424,'[1]LISTA ETIQUETAS'!O:AB,14,0)))</f>
        <v/>
      </c>
      <c r="M424" s="8"/>
      <c r="N424" s="9">
        <f t="shared" si="19"/>
        <v>120826</v>
      </c>
      <c r="O424" s="2">
        <f>_xlfn.XLOOKUP($A424,'[1]LISTA ETIQUETAS'!$O:$O,'[1]LISTA ETIQUETAS'!C:C,"",0)</f>
        <v>0</v>
      </c>
      <c r="P424" s="2">
        <f>_xlfn.XLOOKUP($A424,'[1]LISTA ETIQUETAS'!$O:$O,'[1]LISTA ETIQUETAS'!D:D,"",0)</f>
        <v>0</v>
      </c>
      <c r="Q424" s="2">
        <f>_xlfn.XLOOKUP($A424,'[1]LISTA ETIQUETAS'!$O:$O,'[1]LISTA ETIQUETAS'!E:E,"",0)</f>
        <v>0</v>
      </c>
      <c r="R424" s="2">
        <f>_xlfn.XLOOKUP($A424,'[1]LISTA ETIQUETAS'!$O:$O,'[1]LISTA ETIQUETAS'!F:F,"",0)</f>
        <v>0</v>
      </c>
      <c r="S424" s="2">
        <f>_xlfn.XLOOKUP($A424,'[1]LISTA ETIQUETAS'!$O:$O,'[1]LISTA ETIQUETAS'!H:H,"",0)</f>
        <v>1</v>
      </c>
      <c r="T424" s="9">
        <f t="shared" si="20"/>
        <v>1</v>
      </c>
    </row>
    <row r="425" spans="1:20" x14ac:dyDescent="0.25">
      <c r="A425" s="5">
        <v>63204</v>
      </c>
      <c r="B425" t="str">
        <f>IFERROR((VLOOKUP(A425,'[1]LISTA ETIQUETAS'!O:X,3,0)),"PRODUTO SEM ESTOQUE")</f>
        <v>EST CADEIRA LUIZA CORDA CRU (JEQUITIBA NATURAL)</v>
      </c>
      <c r="C425" s="10" t="s">
        <v>253</v>
      </c>
      <c r="D425" s="10" t="s">
        <v>286</v>
      </c>
      <c r="E425" s="11">
        <f>IF(VLOOKUP(A425,'[1]LISTA ETIQUETAS'!O:W,4,0)="",(VLOOKUP(A425,'[1]LISTA ETIQUETAS'!O:W,6,0)),(VLOOKUP(A425,'[1]LISTA ETIQUETAS'!O:W,4,0)))</f>
        <v>0</v>
      </c>
      <c r="F425" s="11">
        <f>IF(VLOOKUP(A425,'[1]LISTA ETIQUETAS'!O:W,5,0)="",(VLOOKUP(A425,'[1]LISTA ETIQUETAS'!O:W,7,0)),(VLOOKUP(A425,'[1]LISTA ETIQUETAS'!O:W,5,0)))</f>
        <v>0</v>
      </c>
      <c r="G425" s="11">
        <f>IFERROR((VLOOKUP(A425,'[1]LISTA ETIQUETAS'!O:X,8,0)),"")</f>
        <v>0</v>
      </c>
      <c r="H425" s="11">
        <f>IFERROR((VLOOKUP(A425,'[1]LISTA ETIQUETAS'!O:X,9,0)),"")</f>
        <v>0</v>
      </c>
      <c r="I425" s="12">
        <f>IFERROR((VLOOKUP(A425,'[1]LISTA ETIQUETAS'!O:Y,11,0)),"")</f>
        <v>0</v>
      </c>
      <c r="J425" s="6">
        <v>0</v>
      </c>
      <c r="K425" s="12">
        <f t="shared" si="18"/>
        <v>0</v>
      </c>
      <c r="L425" s="7" t="str">
        <f>IF(VLOOKUP(A425,'[1]LISTA ETIQUETAS'!O:AB,14,0)="","",(VLOOKUP(A425,'[1]LISTA ETIQUETAS'!O:AB,14,0)))</f>
        <v/>
      </c>
      <c r="M425" s="8"/>
      <c r="N425" s="9">
        <f t="shared" si="19"/>
        <v>63204</v>
      </c>
      <c r="O425" s="2">
        <f>_xlfn.XLOOKUP($A425,'[1]LISTA ETIQUETAS'!$O:$O,'[1]LISTA ETIQUETAS'!C:C,"",0)</f>
        <v>0</v>
      </c>
      <c r="P425" s="2">
        <f>_xlfn.XLOOKUP($A425,'[1]LISTA ETIQUETAS'!$O:$O,'[1]LISTA ETIQUETAS'!D:D,"",0)</f>
        <v>0</v>
      </c>
      <c r="Q425" s="2">
        <f>_xlfn.XLOOKUP($A425,'[1]LISTA ETIQUETAS'!$O:$O,'[1]LISTA ETIQUETAS'!E:E,"",0)</f>
        <v>0</v>
      </c>
      <c r="R425" s="2">
        <f>_xlfn.XLOOKUP($A425,'[1]LISTA ETIQUETAS'!$O:$O,'[1]LISTA ETIQUETAS'!F:F,"",0)</f>
        <v>0</v>
      </c>
      <c r="S425" s="2">
        <f>_xlfn.XLOOKUP($A425,'[1]LISTA ETIQUETAS'!$O:$O,'[1]LISTA ETIQUETAS'!H:H,"",0)</f>
        <v>1</v>
      </c>
      <c r="T425" s="9">
        <f t="shared" si="20"/>
        <v>1</v>
      </c>
    </row>
    <row r="426" spans="1:20" x14ac:dyDescent="0.25">
      <c r="A426" s="5">
        <v>63203</v>
      </c>
      <c r="B426" t="str">
        <f>IFERROR((VLOOKUP(A426,'[1]LISTA ETIQUETAS'!O:X,3,0)),"PRODUTO SEM ESTOQUE")</f>
        <v>EST CADEIRA LUIZA ESTOFADA (IMBUIA NATURAL)</v>
      </c>
      <c r="C426" s="10" t="s">
        <v>253</v>
      </c>
      <c r="D426" s="10" t="s">
        <v>286</v>
      </c>
      <c r="E426" s="11">
        <f>IF(VLOOKUP(A426,'[1]LISTA ETIQUETAS'!O:W,4,0)="",(VLOOKUP(A426,'[1]LISTA ETIQUETAS'!O:W,6,0)),(VLOOKUP(A426,'[1]LISTA ETIQUETAS'!O:W,4,0)))</f>
        <v>0</v>
      </c>
      <c r="F426" s="11">
        <f>IF(VLOOKUP(A426,'[1]LISTA ETIQUETAS'!O:W,5,0)="",(VLOOKUP(A426,'[1]LISTA ETIQUETAS'!O:W,7,0)),(VLOOKUP(A426,'[1]LISTA ETIQUETAS'!O:W,5,0)))</f>
        <v>0</v>
      </c>
      <c r="G426" s="11">
        <f>IFERROR((VLOOKUP(A426,'[1]LISTA ETIQUETAS'!O:X,8,0)),"")</f>
        <v>0</v>
      </c>
      <c r="H426" s="11">
        <f>IFERROR((VLOOKUP(A426,'[1]LISTA ETIQUETAS'!O:X,9,0)),"")</f>
        <v>0</v>
      </c>
      <c r="I426" s="12">
        <f>IFERROR((VLOOKUP(A426,'[1]LISTA ETIQUETAS'!O:Y,11,0)),"")</f>
        <v>0</v>
      </c>
      <c r="J426" s="6">
        <v>0</v>
      </c>
      <c r="K426" s="12">
        <f t="shared" si="18"/>
        <v>0</v>
      </c>
      <c r="L426" s="7" t="str">
        <f>IF(VLOOKUP(A426,'[1]LISTA ETIQUETAS'!O:AB,14,0)="","",(VLOOKUP(A426,'[1]LISTA ETIQUETAS'!O:AB,14,0)))</f>
        <v/>
      </c>
      <c r="M426" s="8"/>
      <c r="N426" s="9">
        <f t="shared" si="19"/>
        <v>63203</v>
      </c>
      <c r="O426" s="2">
        <f>_xlfn.XLOOKUP($A426,'[1]LISTA ETIQUETAS'!$O:$O,'[1]LISTA ETIQUETAS'!C:C,"",0)</f>
        <v>0</v>
      </c>
      <c r="P426" s="2">
        <f>_xlfn.XLOOKUP($A426,'[1]LISTA ETIQUETAS'!$O:$O,'[1]LISTA ETIQUETAS'!D:D,"",0)</f>
        <v>0</v>
      </c>
      <c r="Q426" s="2">
        <f>_xlfn.XLOOKUP($A426,'[1]LISTA ETIQUETAS'!$O:$O,'[1]LISTA ETIQUETAS'!E:E,"",0)</f>
        <v>0</v>
      </c>
      <c r="R426" s="2">
        <f>_xlfn.XLOOKUP($A426,'[1]LISTA ETIQUETAS'!$O:$O,'[1]LISTA ETIQUETAS'!F:F,"",0)</f>
        <v>0</v>
      </c>
      <c r="S426" s="2">
        <f>_xlfn.XLOOKUP($A426,'[1]LISTA ETIQUETAS'!$O:$O,'[1]LISTA ETIQUETAS'!H:H,"",0)</f>
        <v>1</v>
      </c>
      <c r="T426" s="9">
        <f t="shared" si="20"/>
        <v>1</v>
      </c>
    </row>
    <row r="427" spans="1:20" x14ac:dyDescent="0.25">
      <c r="A427" s="5">
        <v>63798</v>
      </c>
      <c r="B427" t="str">
        <f>IFERROR((VLOOKUP(A427,'[1]LISTA ETIQUETAS'!O:X,3,0)),"PRODUTO SEM ESTOQUE")</f>
        <v>EST CADEIRA JULIANA (LOURO FREIJO)</v>
      </c>
      <c r="C427" s="10" t="s">
        <v>253</v>
      </c>
      <c r="D427" s="10" t="s">
        <v>287</v>
      </c>
      <c r="E427" s="11">
        <f>IF(VLOOKUP(A427,'[1]LISTA ETIQUETAS'!O:W,4,0)="",(VLOOKUP(A427,'[1]LISTA ETIQUETAS'!O:W,6,0)),(VLOOKUP(A427,'[1]LISTA ETIQUETAS'!O:W,4,0)))</f>
        <v>0.6</v>
      </c>
      <c r="F427" s="11">
        <f>IF(VLOOKUP(A427,'[1]LISTA ETIQUETAS'!O:W,5,0)="",(VLOOKUP(A427,'[1]LISTA ETIQUETAS'!O:W,7,0)),(VLOOKUP(A427,'[1]LISTA ETIQUETAS'!O:W,5,0)))</f>
        <v>0.54</v>
      </c>
      <c r="G427" s="11">
        <f>IFERROR((VLOOKUP(A427,'[1]LISTA ETIQUETAS'!O:X,8,0)),"")</f>
        <v>0.73</v>
      </c>
      <c r="H427" s="11">
        <f>IFERROR((VLOOKUP(A427,'[1]LISTA ETIQUETAS'!O:X,9,0)),"")</f>
        <v>0</v>
      </c>
      <c r="I427" s="12">
        <f>IFERROR((VLOOKUP(A427,'[1]LISTA ETIQUETAS'!O:Y,11,0)),"")</f>
        <v>0</v>
      </c>
      <c r="J427" s="6">
        <v>0</v>
      </c>
      <c r="K427" s="12">
        <f t="shared" si="18"/>
        <v>0</v>
      </c>
      <c r="L427" s="7" t="str">
        <f>IF(VLOOKUP(A427,'[1]LISTA ETIQUETAS'!O:AB,14,0)="","",(VLOOKUP(A427,'[1]LISTA ETIQUETAS'!O:AB,14,0)))</f>
        <v/>
      </c>
      <c r="M427" s="8"/>
      <c r="N427" s="9">
        <f t="shared" si="19"/>
        <v>63798</v>
      </c>
      <c r="O427" s="2">
        <f>_xlfn.XLOOKUP($A427,'[1]LISTA ETIQUETAS'!$O:$O,'[1]LISTA ETIQUETAS'!C:C,"",0)</f>
        <v>0</v>
      </c>
      <c r="P427" s="2">
        <f>_xlfn.XLOOKUP($A427,'[1]LISTA ETIQUETAS'!$O:$O,'[1]LISTA ETIQUETAS'!D:D,"",0)</f>
        <v>0</v>
      </c>
      <c r="Q427" s="2">
        <f>_xlfn.XLOOKUP($A427,'[1]LISTA ETIQUETAS'!$O:$O,'[1]LISTA ETIQUETAS'!E:E,"",0)</f>
        <v>0</v>
      </c>
      <c r="R427" s="2">
        <f>_xlfn.XLOOKUP($A427,'[1]LISTA ETIQUETAS'!$O:$O,'[1]LISTA ETIQUETAS'!F:F,"",0)</f>
        <v>0</v>
      </c>
      <c r="S427" s="2">
        <f>_xlfn.XLOOKUP($A427,'[1]LISTA ETIQUETAS'!$O:$O,'[1]LISTA ETIQUETAS'!H:H,"",0)</f>
        <v>1</v>
      </c>
      <c r="T427" s="9">
        <f t="shared" si="20"/>
        <v>1</v>
      </c>
    </row>
    <row r="428" spans="1:20" x14ac:dyDescent="0.25">
      <c r="A428" s="5">
        <v>63453</v>
      </c>
      <c r="B428" t="str">
        <f>IFERROR((VLOOKUP(A428,'[1]LISTA ETIQUETAS'!O:X,3,0)),"PRODUTO SEM ESTOQUE")</f>
        <v>EST CADEIRA 5124 TC SINTETICO BRANCO CROMADA</v>
      </c>
      <c r="C428" s="10" t="s">
        <v>253</v>
      </c>
      <c r="D428" s="10" t="s">
        <v>288</v>
      </c>
      <c r="E428" s="11">
        <f>IF(VLOOKUP(A428,'[1]LISTA ETIQUETAS'!O:W,4,0)="",(VLOOKUP(A428,'[1]LISTA ETIQUETAS'!O:W,6,0)),(VLOOKUP(A428,'[1]LISTA ETIQUETAS'!O:W,4,0)))</f>
        <v>0</v>
      </c>
      <c r="F428" s="11">
        <f>IF(VLOOKUP(A428,'[1]LISTA ETIQUETAS'!O:W,5,0)="",(VLOOKUP(A428,'[1]LISTA ETIQUETAS'!O:W,7,0)),(VLOOKUP(A428,'[1]LISTA ETIQUETAS'!O:W,5,0)))</f>
        <v>0</v>
      </c>
      <c r="G428" s="11">
        <f>IFERROR((VLOOKUP(A428,'[1]LISTA ETIQUETAS'!O:X,8,0)),"")</f>
        <v>0</v>
      </c>
      <c r="H428" s="11">
        <f>IFERROR((VLOOKUP(A428,'[1]LISTA ETIQUETAS'!O:X,9,0)),"")</f>
        <v>0</v>
      </c>
      <c r="I428" s="12">
        <f>IFERROR((VLOOKUP(A428,'[1]LISTA ETIQUETAS'!O:Y,11,0)),"")</f>
        <v>0</v>
      </c>
      <c r="J428" s="6">
        <v>0</v>
      </c>
      <c r="K428" s="12">
        <f t="shared" si="18"/>
        <v>0</v>
      </c>
      <c r="L428" s="7" t="str">
        <f>IF(VLOOKUP(A428,'[1]LISTA ETIQUETAS'!O:AB,14,0)="","",(VLOOKUP(A428,'[1]LISTA ETIQUETAS'!O:AB,14,0)))</f>
        <v/>
      </c>
      <c r="M428" s="8"/>
      <c r="N428" s="9">
        <f t="shared" si="19"/>
        <v>63453</v>
      </c>
      <c r="O428" s="2">
        <f>_xlfn.XLOOKUP($A428,'[1]LISTA ETIQUETAS'!$O:$O,'[1]LISTA ETIQUETAS'!C:C,"",0)</f>
        <v>0</v>
      </c>
      <c r="P428" s="2">
        <f>_xlfn.XLOOKUP($A428,'[1]LISTA ETIQUETAS'!$O:$O,'[1]LISTA ETIQUETAS'!D:D,"",0)</f>
        <v>0</v>
      </c>
      <c r="Q428" s="2">
        <f>_xlfn.XLOOKUP($A428,'[1]LISTA ETIQUETAS'!$O:$O,'[1]LISTA ETIQUETAS'!E:E,"",0)</f>
        <v>0</v>
      </c>
      <c r="R428" s="2">
        <f>_xlfn.XLOOKUP($A428,'[1]LISTA ETIQUETAS'!$O:$O,'[1]LISTA ETIQUETAS'!F:F,"",0)</f>
        <v>0</v>
      </c>
      <c r="S428" s="2">
        <f>_xlfn.XLOOKUP($A428,'[1]LISTA ETIQUETAS'!$O:$O,'[1]LISTA ETIQUETAS'!H:H,"",0)</f>
        <v>1</v>
      </c>
      <c r="T428" s="9">
        <f t="shared" si="20"/>
        <v>1</v>
      </c>
    </row>
    <row r="429" spans="1:20" x14ac:dyDescent="0.25">
      <c r="A429" s="5">
        <v>63481</v>
      </c>
      <c r="B429" t="str">
        <f>IFERROR((VLOOKUP(A429,'[1]LISTA ETIQUETAS'!O:X,3,0)),"PRODUTO SEM ESTOQUE")</f>
        <v>EST CADEIRA SARDEGNA (TABACO) TC MARROM CAFE</v>
      </c>
      <c r="C429" s="10" t="s">
        <v>253</v>
      </c>
      <c r="D429" s="10" t="s">
        <v>289</v>
      </c>
      <c r="E429" s="11">
        <f>IF(VLOOKUP(A429,'[1]LISTA ETIQUETAS'!O:W,4,0)="",(VLOOKUP(A429,'[1]LISTA ETIQUETAS'!O:W,6,0)),(VLOOKUP(A429,'[1]LISTA ETIQUETAS'!O:W,4,0)))</f>
        <v>0</v>
      </c>
      <c r="F429" s="11">
        <f>IF(VLOOKUP(A429,'[1]LISTA ETIQUETAS'!O:W,5,0)="",(VLOOKUP(A429,'[1]LISTA ETIQUETAS'!O:W,7,0)),(VLOOKUP(A429,'[1]LISTA ETIQUETAS'!O:W,5,0)))</f>
        <v>0</v>
      </c>
      <c r="G429" s="11">
        <f>IFERROR((VLOOKUP(A429,'[1]LISTA ETIQUETAS'!O:X,8,0)),"")</f>
        <v>0</v>
      </c>
      <c r="H429" s="11">
        <f>IFERROR((VLOOKUP(A429,'[1]LISTA ETIQUETAS'!O:X,9,0)),"")</f>
        <v>0</v>
      </c>
      <c r="I429" s="12">
        <f>IFERROR((VLOOKUP(A429,'[1]LISTA ETIQUETAS'!O:Y,11,0)),"")</f>
        <v>0</v>
      </c>
      <c r="J429" s="6">
        <v>0</v>
      </c>
      <c r="K429" s="12">
        <f t="shared" si="18"/>
        <v>0</v>
      </c>
      <c r="L429" s="7" t="str">
        <f>IF(VLOOKUP(A429,'[1]LISTA ETIQUETAS'!O:AB,14,0)="","",(VLOOKUP(A429,'[1]LISTA ETIQUETAS'!O:AB,14,0)))</f>
        <v/>
      </c>
      <c r="M429" s="8"/>
      <c r="N429" s="9">
        <f t="shared" si="19"/>
        <v>63481</v>
      </c>
      <c r="O429" s="2">
        <f>_xlfn.XLOOKUP($A429,'[1]LISTA ETIQUETAS'!$O:$O,'[1]LISTA ETIQUETAS'!C:C,"",0)</f>
        <v>0</v>
      </c>
      <c r="P429" s="2">
        <f>_xlfn.XLOOKUP($A429,'[1]LISTA ETIQUETAS'!$O:$O,'[1]LISTA ETIQUETAS'!D:D,"",0)</f>
        <v>0</v>
      </c>
      <c r="Q429" s="2">
        <f>_xlfn.XLOOKUP($A429,'[1]LISTA ETIQUETAS'!$O:$O,'[1]LISTA ETIQUETAS'!E:E,"",0)</f>
        <v>0</v>
      </c>
      <c r="R429" s="2">
        <f>_xlfn.XLOOKUP($A429,'[1]LISTA ETIQUETAS'!$O:$O,'[1]LISTA ETIQUETAS'!F:F,"",0)</f>
        <v>0</v>
      </c>
      <c r="S429" s="2">
        <f>_xlfn.XLOOKUP($A429,'[1]LISTA ETIQUETAS'!$O:$O,'[1]LISTA ETIQUETAS'!H:H,"",0)</f>
        <v>2</v>
      </c>
      <c r="T429" s="9">
        <f t="shared" si="20"/>
        <v>2</v>
      </c>
    </row>
    <row r="430" spans="1:20" x14ac:dyDescent="0.25">
      <c r="A430" s="5">
        <v>65446</v>
      </c>
      <c r="B430" t="str">
        <f>IFERROR((VLOOKUP(A430,'[1]LISTA ETIQUETAS'!O:X,3,0)),"PRODUTO SEM ESTOQUE")</f>
        <v>EST CADEIRA BOSSA PALHA (EBANIZADA) TELA NATURAL</v>
      </c>
      <c r="C430" s="10" t="s">
        <v>253</v>
      </c>
      <c r="D430" s="10" t="s">
        <v>278</v>
      </c>
      <c r="E430" s="11">
        <f>IF(VLOOKUP(A430,'[1]LISTA ETIQUETAS'!O:W,4,0)="",(VLOOKUP(A430,'[1]LISTA ETIQUETAS'!O:W,6,0)),(VLOOKUP(A430,'[1]LISTA ETIQUETAS'!O:W,4,0)))</f>
        <v>0.5</v>
      </c>
      <c r="F430" s="11">
        <f>IF(VLOOKUP(A430,'[1]LISTA ETIQUETAS'!O:W,5,0)="",(VLOOKUP(A430,'[1]LISTA ETIQUETAS'!O:W,7,0)),(VLOOKUP(A430,'[1]LISTA ETIQUETAS'!O:W,5,0)))</f>
        <v>0.57999999999999996</v>
      </c>
      <c r="G430" s="11">
        <f>IFERROR((VLOOKUP(A430,'[1]LISTA ETIQUETAS'!O:X,8,0)),"")</f>
        <v>0.88</v>
      </c>
      <c r="H430" s="11">
        <f>IFERROR((VLOOKUP(A430,'[1]LISTA ETIQUETAS'!O:X,9,0)),"")</f>
        <v>0</v>
      </c>
      <c r="I430" s="12">
        <f>IFERROR((VLOOKUP(A430,'[1]LISTA ETIQUETAS'!O:Y,11,0)),"")</f>
        <v>5694.08</v>
      </c>
      <c r="J430" s="6">
        <v>0</v>
      </c>
      <c r="K430" s="12">
        <f t="shared" si="18"/>
        <v>5694.08</v>
      </c>
      <c r="L430" s="7" t="str">
        <f>IF(VLOOKUP(A430,'[1]LISTA ETIQUETAS'!O:AB,14,0)="","",(VLOOKUP(A430,'[1]LISTA ETIQUETAS'!O:AB,14,0)))</f>
        <v/>
      </c>
      <c r="M430" s="8"/>
      <c r="N430" s="9">
        <f t="shared" si="19"/>
        <v>65446</v>
      </c>
      <c r="O430" s="2">
        <f>_xlfn.XLOOKUP($A430,'[1]LISTA ETIQUETAS'!$O:$O,'[1]LISTA ETIQUETAS'!C:C,"",0)</f>
        <v>0</v>
      </c>
      <c r="P430" s="2">
        <f>_xlfn.XLOOKUP($A430,'[1]LISTA ETIQUETAS'!$O:$O,'[1]LISTA ETIQUETAS'!D:D,"",0)</f>
        <v>0</v>
      </c>
      <c r="Q430" s="2">
        <f>_xlfn.XLOOKUP($A430,'[1]LISTA ETIQUETAS'!$O:$O,'[1]LISTA ETIQUETAS'!E:E,"",0)</f>
        <v>0</v>
      </c>
      <c r="R430" s="2">
        <f>_xlfn.XLOOKUP($A430,'[1]LISTA ETIQUETAS'!$O:$O,'[1]LISTA ETIQUETAS'!F:F,"",0)</f>
        <v>0</v>
      </c>
      <c r="S430" s="2">
        <f>_xlfn.XLOOKUP($A430,'[1]LISTA ETIQUETAS'!$O:$O,'[1]LISTA ETIQUETAS'!H:H,"",0)</f>
        <v>1</v>
      </c>
      <c r="T430" s="9">
        <f t="shared" si="20"/>
        <v>1</v>
      </c>
    </row>
    <row r="431" spans="1:20" x14ac:dyDescent="0.25">
      <c r="A431" s="5">
        <v>139952</v>
      </c>
      <c r="B431" t="str">
        <f>IFERROR((VLOOKUP(A431,'[1]LISTA ETIQUETAS'!O:X,3,0)),"PRODUTO SEM ESTOQUE")</f>
        <v>EST CADEIRA CHICAGO (TELA SIMP NAT) (CATUABA) TC FACTO BCO</v>
      </c>
      <c r="C431" s="10" t="s">
        <v>253</v>
      </c>
      <c r="D431" s="10" t="s">
        <v>290</v>
      </c>
      <c r="E431" s="11">
        <f>IF(VLOOKUP(A431,'[1]LISTA ETIQUETAS'!O:W,4,0)="",(VLOOKUP(A431,'[1]LISTA ETIQUETAS'!O:W,6,0)),(VLOOKUP(A431,'[1]LISTA ETIQUETAS'!O:W,4,0)))</f>
        <v>0.45</v>
      </c>
      <c r="F431" s="11">
        <f>IF(VLOOKUP(A431,'[1]LISTA ETIQUETAS'!O:W,5,0)="",(VLOOKUP(A431,'[1]LISTA ETIQUETAS'!O:W,7,0)),(VLOOKUP(A431,'[1]LISTA ETIQUETAS'!O:W,5,0)))</f>
        <v>0.53</v>
      </c>
      <c r="G431" s="11">
        <f>IFERROR((VLOOKUP(A431,'[1]LISTA ETIQUETAS'!O:X,8,0)),"")</f>
        <v>0.84</v>
      </c>
      <c r="H431" s="11">
        <f>IFERROR((VLOOKUP(A431,'[1]LISTA ETIQUETAS'!O:X,9,0)),"")</f>
        <v>0</v>
      </c>
      <c r="I431" s="12">
        <f>IFERROR((VLOOKUP(A431,'[1]LISTA ETIQUETAS'!O:Y,11,0)),"")</f>
        <v>3621.59</v>
      </c>
      <c r="J431" s="6">
        <v>0</v>
      </c>
      <c r="K431" s="12">
        <f t="shared" si="18"/>
        <v>3621.59</v>
      </c>
      <c r="L431" s="7" t="str">
        <f>IF(VLOOKUP(A431,'[1]LISTA ETIQUETAS'!O:AB,14,0)="","",(VLOOKUP(A431,'[1]LISTA ETIQUETAS'!O:AB,14,0)))</f>
        <v/>
      </c>
      <c r="M431" s="8"/>
      <c r="N431" s="9">
        <f t="shared" si="19"/>
        <v>139952</v>
      </c>
      <c r="O431" s="2">
        <f>_xlfn.XLOOKUP($A431,'[1]LISTA ETIQUETAS'!$O:$O,'[1]LISTA ETIQUETAS'!C:C,"",0)</f>
        <v>0</v>
      </c>
      <c r="P431" s="2">
        <f>_xlfn.XLOOKUP($A431,'[1]LISTA ETIQUETAS'!$O:$O,'[1]LISTA ETIQUETAS'!D:D,"",0)</f>
        <v>0</v>
      </c>
      <c r="Q431" s="2">
        <f>_xlfn.XLOOKUP($A431,'[1]LISTA ETIQUETAS'!$O:$O,'[1]LISTA ETIQUETAS'!E:E,"",0)</f>
        <v>0</v>
      </c>
      <c r="R431" s="2">
        <f>_xlfn.XLOOKUP($A431,'[1]LISTA ETIQUETAS'!$O:$O,'[1]LISTA ETIQUETAS'!F:F,"",0)</f>
        <v>0</v>
      </c>
      <c r="S431" s="2">
        <f>_xlfn.XLOOKUP($A431,'[1]LISTA ETIQUETAS'!$O:$O,'[1]LISTA ETIQUETAS'!H:H,"",0)</f>
        <v>3</v>
      </c>
      <c r="T431" s="9">
        <f t="shared" si="20"/>
        <v>3</v>
      </c>
    </row>
    <row r="432" spans="1:20" x14ac:dyDescent="0.25">
      <c r="A432" s="5">
        <v>129724</v>
      </c>
      <c r="B432" t="str">
        <f>IFERROR((VLOOKUP(A432,'[1]LISTA ETIQUETAS'!O:X,3,0)),"PRODUTO SEM ESTOQUE")</f>
        <v>EST CADEIRA DIX (ESTOFADA) (TABACO) TC 404A</v>
      </c>
      <c r="C432" s="10" t="s">
        <v>253</v>
      </c>
      <c r="D432" s="10" t="s">
        <v>291</v>
      </c>
      <c r="E432" s="11">
        <f>IF(VLOOKUP(A432,'[1]LISTA ETIQUETAS'!O:W,4,0)="",(VLOOKUP(A432,'[1]LISTA ETIQUETAS'!O:W,6,0)),(VLOOKUP(A432,'[1]LISTA ETIQUETAS'!O:W,4,0)))</f>
        <v>0.56000000000000005</v>
      </c>
      <c r="F432" s="11">
        <f>IF(VLOOKUP(A432,'[1]LISTA ETIQUETAS'!O:W,5,0)="",(VLOOKUP(A432,'[1]LISTA ETIQUETAS'!O:W,7,0)),(VLOOKUP(A432,'[1]LISTA ETIQUETAS'!O:W,5,0)))</f>
        <v>0.56999999999999995</v>
      </c>
      <c r="G432" s="11">
        <f>IFERROR((VLOOKUP(A432,'[1]LISTA ETIQUETAS'!O:X,8,0)),"")</f>
        <v>0.81</v>
      </c>
      <c r="H432" s="11">
        <f>IFERROR((VLOOKUP(A432,'[1]LISTA ETIQUETAS'!O:X,9,0)),"")</f>
        <v>0</v>
      </c>
      <c r="I432" s="12">
        <f>IFERROR((VLOOKUP(A432,'[1]LISTA ETIQUETAS'!O:Y,11,0)),"")</f>
        <v>3808</v>
      </c>
      <c r="J432" s="6">
        <v>0</v>
      </c>
      <c r="K432" s="12">
        <f t="shared" si="18"/>
        <v>3808</v>
      </c>
      <c r="L432" s="7" t="str">
        <f>IF(VLOOKUP(A432,'[1]LISTA ETIQUETAS'!O:AB,14,0)="","",(VLOOKUP(A432,'[1]LISTA ETIQUETAS'!O:AB,14,0)))</f>
        <v/>
      </c>
      <c r="M432" s="8"/>
      <c r="N432" s="9">
        <f t="shared" si="19"/>
        <v>129724</v>
      </c>
      <c r="O432" s="2">
        <f>_xlfn.XLOOKUP($A432,'[1]LISTA ETIQUETAS'!$O:$O,'[1]LISTA ETIQUETAS'!C:C,"",0)</f>
        <v>0</v>
      </c>
      <c r="P432" s="2">
        <f>_xlfn.XLOOKUP($A432,'[1]LISTA ETIQUETAS'!$O:$O,'[1]LISTA ETIQUETAS'!D:D,"",0)</f>
        <v>0</v>
      </c>
      <c r="Q432" s="2">
        <f>_xlfn.XLOOKUP($A432,'[1]LISTA ETIQUETAS'!$O:$O,'[1]LISTA ETIQUETAS'!E:E,"",0)</f>
        <v>0</v>
      </c>
      <c r="R432" s="2">
        <f>_xlfn.XLOOKUP($A432,'[1]LISTA ETIQUETAS'!$O:$O,'[1]LISTA ETIQUETAS'!F:F,"",0)</f>
        <v>0</v>
      </c>
      <c r="S432" s="2">
        <f>_xlfn.XLOOKUP($A432,'[1]LISTA ETIQUETAS'!$O:$O,'[1]LISTA ETIQUETAS'!H:H,"",0)</f>
        <v>3</v>
      </c>
      <c r="T432" s="9">
        <f t="shared" si="20"/>
        <v>3</v>
      </c>
    </row>
    <row r="433" spans="1:20" x14ac:dyDescent="0.25">
      <c r="A433" s="5">
        <v>128908</v>
      </c>
      <c r="B433" t="str">
        <f>IFERROR((VLOOKUP(A433,'[1]LISTA ETIQUETAS'!O:X,3,0)),"PRODUTO SEM ESTOQUE")</f>
        <v>EST CADEIRA PLIS (FX 4136) (TING CASTANHO)</v>
      </c>
      <c r="C433" s="10" t="s">
        <v>253</v>
      </c>
      <c r="D433" s="10" t="s">
        <v>292</v>
      </c>
      <c r="E433" s="11">
        <f>IF(VLOOKUP(A433,'[1]LISTA ETIQUETAS'!O:W,4,0)="",(VLOOKUP(A433,'[1]LISTA ETIQUETAS'!O:W,6,0)),(VLOOKUP(A433,'[1]LISTA ETIQUETAS'!O:W,4,0)))</f>
        <v>0.57999999999999996</v>
      </c>
      <c r="F433" s="11">
        <f>IF(VLOOKUP(A433,'[1]LISTA ETIQUETAS'!O:W,5,0)="",(VLOOKUP(A433,'[1]LISTA ETIQUETAS'!O:W,7,0)),(VLOOKUP(A433,'[1]LISTA ETIQUETAS'!O:W,5,0)))</f>
        <v>0.64</v>
      </c>
      <c r="G433" s="11">
        <f>IFERROR((VLOOKUP(A433,'[1]LISTA ETIQUETAS'!O:X,8,0)),"")</f>
        <v>0.94</v>
      </c>
      <c r="H433" s="11">
        <f>IFERROR((VLOOKUP(A433,'[1]LISTA ETIQUETAS'!O:X,9,0)),"")</f>
        <v>0</v>
      </c>
      <c r="I433" s="12">
        <f>IFERROR((VLOOKUP(A433,'[1]LISTA ETIQUETAS'!O:Y,11,0)),"")</f>
        <v>5891.2</v>
      </c>
      <c r="J433" s="6">
        <v>0</v>
      </c>
      <c r="K433" s="12">
        <f t="shared" si="18"/>
        <v>5891.2</v>
      </c>
      <c r="L433" s="7" t="str">
        <f>IF(VLOOKUP(A433,'[1]LISTA ETIQUETAS'!O:AB,14,0)="","",(VLOOKUP(A433,'[1]LISTA ETIQUETAS'!O:AB,14,0)))</f>
        <v/>
      </c>
      <c r="M433" s="8"/>
      <c r="N433" s="9">
        <f t="shared" si="19"/>
        <v>128908</v>
      </c>
      <c r="O433" s="2">
        <f>_xlfn.XLOOKUP($A433,'[1]LISTA ETIQUETAS'!$O:$O,'[1]LISTA ETIQUETAS'!C:C,"",0)</f>
        <v>0</v>
      </c>
      <c r="P433" s="2">
        <f>_xlfn.XLOOKUP($A433,'[1]LISTA ETIQUETAS'!$O:$O,'[1]LISTA ETIQUETAS'!D:D,"",0)</f>
        <v>0</v>
      </c>
      <c r="Q433" s="2">
        <f>_xlfn.XLOOKUP($A433,'[1]LISTA ETIQUETAS'!$O:$O,'[1]LISTA ETIQUETAS'!E:E,"",0)</f>
        <v>0</v>
      </c>
      <c r="R433" s="2">
        <f>_xlfn.XLOOKUP($A433,'[1]LISTA ETIQUETAS'!$O:$O,'[1]LISTA ETIQUETAS'!F:F,"",0)</f>
        <v>0</v>
      </c>
      <c r="S433" s="2">
        <f>_xlfn.XLOOKUP($A433,'[1]LISTA ETIQUETAS'!$O:$O,'[1]LISTA ETIQUETAS'!H:H,"",0)</f>
        <v>4</v>
      </c>
      <c r="T433" s="9">
        <f t="shared" si="20"/>
        <v>4</v>
      </c>
    </row>
    <row r="434" spans="1:20" x14ac:dyDescent="0.25">
      <c r="A434" s="5">
        <v>137163</v>
      </c>
      <c r="B434" t="str">
        <f>IFERROR((VLOOKUP(A434,'[1]LISTA ETIQUETAS'!O:X,3,0)),"PRODUTO SEM ESTOQUE")</f>
        <v>EST CADEIRA GIU C/BRACO (TC 4158)</v>
      </c>
      <c r="C434" s="10" t="s">
        <v>253</v>
      </c>
      <c r="D434" s="10" t="s">
        <v>293</v>
      </c>
      <c r="E434" s="11">
        <f>IF(VLOOKUP(A434,'[1]LISTA ETIQUETAS'!O:W,4,0)="",(VLOOKUP(A434,'[1]LISTA ETIQUETAS'!O:W,6,0)),(VLOOKUP(A434,'[1]LISTA ETIQUETAS'!O:W,4,0)))</f>
        <v>0.57999999999999996</v>
      </c>
      <c r="F434" s="11">
        <f>IF(VLOOKUP(A434,'[1]LISTA ETIQUETAS'!O:W,5,0)="",(VLOOKUP(A434,'[1]LISTA ETIQUETAS'!O:W,7,0)),(VLOOKUP(A434,'[1]LISTA ETIQUETAS'!O:W,5,0)))</f>
        <v>0.59</v>
      </c>
      <c r="G434" s="11">
        <f>IFERROR((VLOOKUP(A434,'[1]LISTA ETIQUETAS'!O:X,8,0)),"")</f>
        <v>0.85</v>
      </c>
      <c r="H434" s="11">
        <f>IFERROR((VLOOKUP(A434,'[1]LISTA ETIQUETAS'!O:X,9,0)),"")</f>
        <v>0</v>
      </c>
      <c r="I434" s="12">
        <f>IFERROR((VLOOKUP(A434,'[1]LISTA ETIQUETAS'!O:Y,11,0)),"")</f>
        <v>5098.37</v>
      </c>
      <c r="J434" s="6">
        <v>0</v>
      </c>
      <c r="K434" s="12">
        <f t="shared" si="18"/>
        <v>5098.37</v>
      </c>
      <c r="L434" s="7" t="str">
        <f>IF(VLOOKUP(A434,'[1]LISTA ETIQUETAS'!O:AB,14,0)="","",(VLOOKUP(A434,'[1]LISTA ETIQUETAS'!O:AB,14,0)))</f>
        <v/>
      </c>
      <c r="M434" s="8"/>
      <c r="N434" s="9">
        <f t="shared" si="19"/>
        <v>137163</v>
      </c>
      <c r="O434" s="2">
        <f>_xlfn.XLOOKUP($A434,'[1]LISTA ETIQUETAS'!$O:$O,'[1]LISTA ETIQUETAS'!C:C,"",0)</f>
        <v>0</v>
      </c>
      <c r="P434" s="2">
        <f>_xlfn.XLOOKUP($A434,'[1]LISTA ETIQUETAS'!$O:$O,'[1]LISTA ETIQUETAS'!D:D,"",0)</f>
        <v>0</v>
      </c>
      <c r="Q434" s="2">
        <f>_xlfn.XLOOKUP($A434,'[1]LISTA ETIQUETAS'!$O:$O,'[1]LISTA ETIQUETAS'!E:E,"",0)</f>
        <v>0</v>
      </c>
      <c r="R434" s="2">
        <f>_xlfn.XLOOKUP($A434,'[1]LISTA ETIQUETAS'!$O:$O,'[1]LISTA ETIQUETAS'!F:F,"",0)</f>
        <v>0</v>
      </c>
      <c r="S434" s="2">
        <f>_xlfn.XLOOKUP($A434,'[1]LISTA ETIQUETAS'!$O:$O,'[1]LISTA ETIQUETAS'!H:H,"",0)</f>
        <v>1</v>
      </c>
      <c r="T434" s="9">
        <f t="shared" si="20"/>
        <v>1</v>
      </c>
    </row>
    <row r="435" spans="1:20" x14ac:dyDescent="0.25">
      <c r="A435" s="5">
        <v>128485</v>
      </c>
      <c r="B435" t="str">
        <f>IFERROR((VLOOKUP(A435,'[1]LISTA ETIQUETAS'!O:X,3,0)),"PRODUTO SEM ESTOQUE")</f>
        <v>EST CADEIRA BASEL (TABACO) TC 430A</v>
      </c>
      <c r="C435" s="10" t="s">
        <v>253</v>
      </c>
      <c r="D435" s="10" t="s">
        <v>294</v>
      </c>
      <c r="E435" s="11">
        <f>IF(VLOOKUP(A435,'[1]LISTA ETIQUETAS'!O:W,4,0)="",(VLOOKUP(A435,'[1]LISTA ETIQUETAS'!O:W,6,0)),(VLOOKUP(A435,'[1]LISTA ETIQUETAS'!O:W,4,0)))</f>
        <v>0.52</v>
      </c>
      <c r="F435" s="11">
        <f>IF(VLOOKUP(A435,'[1]LISTA ETIQUETAS'!O:W,5,0)="",(VLOOKUP(A435,'[1]LISTA ETIQUETAS'!O:W,7,0)),(VLOOKUP(A435,'[1]LISTA ETIQUETAS'!O:W,5,0)))</f>
        <v>0.56000000000000005</v>
      </c>
      <c r="G435" s="11">
        <f>IFERROR((VLOOKUP(A435,'[1]LISTA ETIQUETAS'!O:X,8,0)),"")</f>
        <v>0.89</v>
      </c>
      <c r="H435" s="11">
        <f>IFERROR((VLOOKUP(A435,'[1]LISTA ETIQUETAS'!O:X,9,0)),"")</f>
        <v>0</v>
      </c>
      <c r="I435" s="12">
        <f>IFERROR((VLOOKUP(A435,'[1]LISTA ETIQUETAS'!O:Y,11,0)),"")</f>
        <v>0</v>
      </c>
      <c r="J435" s="6">
        <v>0</v>
      </c>
      <c r="K435" s="12">
        <f t="shared" si="18"/>
        <v>0</v>
      </c>
      <c r="L435" s="7" t="str">
        <f>IF(VLOOKUP(A435,'[1]LISTA ETIQUETAS'!O:AB,14,0)="","",(VLOOKUP(A435,'[1]LISTA ETIQUETAS'!O:AB,14,0)))</f>
        <v/>
      </c>
      <c r="M435" s="8"/>
      <c r="N435" s="9">
        <f t="shared" si="19"/>
        <v>128485</v>
      </c>
      <c r="O435" s="2">
        <f>_xlfn.XLOOKUP($A435,'[1]LISTA ETIQUETAS'!$O:$O,'[1]LISTA ETIQUETAS'!C:C,"",0)</f>
        <v>0</v>
      </c>
      <c r="P435" s="2">
        <f>_xlfn.XLOOKUP($A435,'[1]LISTA ETIQUETAS'!$O:$O,'[1]LISTA ETIQUETAS'!D:D,"",0)</f>
        <v>0</v>
      </c>
      <c r="Q435" s="2">
        <f>_xlfn.XLOOKUP($A435,'[1]LISTA ETIQUETAS'!$O:$O,'[1]LISTA ETIQUETAS'!E:E,"",0)</f>
        <v>0</v>
      </c>
      <c r="R435" s="2">
        <f>_xlfn.XLOOKUP($A435,'[1]LISTA ETIQUETAS'!$O:$O,'[1]LISTA ETIQUETAS'!F:F,"",0)</f>
        <v>0</v>
      </c>
      <c r="S435" s="2">
        <f>_xlfn.XLOOKUP($A435,'[1]LISTA ETIQUETAS'!$O:$O,'[1]LISTA ETIQUETAS'!H:H,"",0)</f>
        <v>1</v>
      </c>
      <c r="T435" s="9">
        <f t="shared" si="20"/>
        <v>1</v>
      </c>
    </row>
    <row r="436" spans="1:20" x14ac:dyDescent="0.25">
      <c r="A436" s="5">
        <v>147891</v>
      </c>
      <c r="B436" t="str">
        <f>IFERROR((VLOOKUP(A436,'[1]LISTA ETIQUETAS'!O:X,3,0)),"PRODUTO SEM ESTOQUE")</f>
        <v>EST CADEIRA PRIMA C/BRACO (ESTOFADO) (EBANIZADA) TC 99#05</v>
      </c>
      <c r="C436" s="10" t="s">
        <v>253</v>
      </c>
      <c r="D436" s="10" t="s">
        <v>295</v>
      </c>
      <c r="E436" s="11">
        <f>IF(VLOOKUP(A436,'[1]LISTA ETIQUETAS'!O:W,4,0)="",(VLOOKUP(A436,'[1]LISTA ETIQUETAS'!O:W,6,0)),(VLOOKUP(A436,'[1]LISTA ETIQUETAS'!O:W,4,0)))</f>
        <v>0.55000000000000004</v>
      </c>
      <c r="F436" s="11">
        <f>IF(VLOOKUP(A436,'[1]LISTA ETIQUETAS'!O:W,5,0)="",(VLOOKUP(A436,'[1]LISTA ETIQUETAS'!O:W,7,0)),(VLOOKUP(A436,'[1]LISTA ETIQUETAS'!O:W,5,0)))</f>
        <v>0.57999999999999996</v>
      </c>
      <c r="G436" s="11">
        <f>IFERROR((VLOOKUP(A436,'[1]LISTA ETIQUETAS'!O:X,8,0)),"")</f>
        <v>0.82</v>
      </c>
      <c r="H436" s="11">
        <f>IFERROR((VLOOKUP(A436,'[1]LISTA ETIQUETAS'!O:X,9,0)),"")</f>
        <v>0</v>
      </c>
      <c r="I436" s="12">
        <f>IFERROR((VLOOKUP(A436,'[1]LISTA ETIQUETAS'!O:Y,11,0)),"")</f>
        <v>4374.72</v>
      </c>
      <c r="J436" s="6">
        <v>0</v>
      </c>
      <c r="K436" s="12">
        <f t="shared" si="18"/>
        <v>4374.72</v>
      </c>
      <c r="L436" s="7" t="str">
        <f>IF(VLOOKUP(A436,'[1]LISTA ETIQUETAS'!O:AB,14,0)="","",(VLOOKUP(A436,'[1]LISTA ETIQUETAS'!O:AB,14,0)))</f>
        <v/>
      </c>
      <c r="M436" s="8"/>
      <c r="N436" s="9">
        <f t="shared" si="19"/>
        <v>147891</v>
      </c>
      <c r="O436" s="2">
        <f>_xlfn.XLOOKUP($A436,'[1]LISTA ETIQUETAS'!$O:$O,'[1]LISTA ETIQUETAS'!C:C,"",0)</f>
        <v>0</v>
      </c>
      <c r="P436" s="2">
        <f>_xlfn.XLOOKUP($A436,'[1]LISTA ETIQUETAS'!$O:$O,'[1]LISTA ETIQUETAS'!D:D,"",0)</f>
        <v>0</v>
      </c>
      <c r="Q436" s="2">
        <f>_xlfn.XLOOKUP($A436,'[1]LISTA ETIQUETAS'!$O:$O,'[1]LISTA ETIQUETAS'!E:E,"",0)</f>
        <v>0</v>
      </c>
      <c r="R436" s="2">
        <f>_xlfn.XLOOKUP($A436,'[1]LISTA ETIQUETAS'!$O:$O,'[1]LISTA ETIQUETAS'!F:F,"",0)</f>
        <v>0</v>
      </c>
      <c r="S436" s="2">
        <f>_xlfn.XLOOKUP($A436,'[1]LISTA ETIQUETAS'!$O:$O,'[1]LISTA ETIQUETAS'!H:H,"",0)</f>
        <v>2</v>
      </c>
      <c r="T436" s="9">
        <f t="shared" si="20"/>
        <v>2</v>
      </c>
    </row>
    <row r="437" spans="1:20" x14ac:dyDescent="0.25">
      <c r="A437" s="5">
        <v>147800</v>
      </c>
      <c r="B437" t="str">
        <f>IFERROR((VLOOKUP(A437,'[1]LISTA ETIQUETAS'!O:X,3,0)),"PRODUTO SEM ESTOQUE")</f>
        <v>EST CADEIRA VANITY (COLORIDO BRANCA)</v>
      </c>
      <c r="C437" s="10" t="s">
        <v>253</v>
      </c>
      <c r="D437" s="10" t="s">
        <v>296</v>
      </c>
      <c r="E437" s="11">
        <f>IF(VLOOKUP(A437,'[1]LISTA ETIQUETAS'!O:W,4,0)="",(VLOOKUP(A437,'[1]LISTA ETIQUETAS'!O:W,6,0)),(VLOOKUP(A437,'[1]LISTA ETIQUETAS'!O:W,4,0)))</f>
        <v>0.49</v>
      </c>
      <c r="F437" s="11">
        <f>IF(VLOOKUP(A437,'[1]LISTA ETIQUETAS'!O:W,5,0)="",(VLOOKUP(A437,'[1]LISTA ETIQUETAS'!O:W,7,0)),(VLOOKUP(A437,'[1]LISTA ETIQUETAS'!O:W,5,0)))</f>
        <v>0.55000000000000004</v>
      </c>
      <c r="G437" s="11">
        <f>IFERROR((VLOOKUP(A437,'[1]LISTA ETIQUETAS'!O:X,8,0)),"")</f>
        <v>0.88</v>
      </c>
      <c r="H437" s="11">
        <f>IFERROR((VLOOKUP(A437,'[1]LISTA ETIQUETAS'!O:X,9,0)),"")</f>
        <v>0</v>
      </c>
      <c r="I437" s="12">
        <f>IFERROR((VLOOKUP(A437,'[1]LISTA ETIQUETAS'!O:Y,11,0)),"")</f>
        <v>0</v>
      </c>
      <c r="J437" s="6">
        <v>0</v>
      </c>
      <c r="K437" s="12">
        <f t="shared" si="18"/>
        <v>0</v>
      </c>
      <c r="L437" s="7" t="str">
        <f>IF(VLOOKUP(A437,'[1]LISTA ETIQUETAS'!O:AB,14,0)="","",(VLOOKUP(A437,'[1]LISTA ETIQUETAS'!O:AB,14,0)))</f>
        <v/>
      </c>
      <c r="M437" s="8"/>
      <c r="N437" s="9">
        <f t="shared" si="19"/>
        <v>147800</v>
      </c>
      <c r="O437" s="2">
        <f>_xlfn.XLOOKUP($A437,'[1]LISTA ETIQUETAS'!$O:$O,'[1]LISTA ETIQUETAS'!C:C,"",0)</f>
        <v>0</v>
      </c>
      <c r="P437" s="2">
        <f>_xlfn.XLOOKUP($A437,'[1]LISTA ETIQUETAS'!$O:$O,'[1]LISTA ETIQUETAS'!D:D,"",0)</f>
        <v>0</v>
      </c>
      <c r="Q437" s="2">
        <f>_xlfn.XLOOKUP($A437,'[1]LISTA ETIQUETAS'!$O:$O,'[1]LISTA ETIQUETAS'!E:E,"",0)</f>
        <v>0</v>
      </c>
      <c r="R437" s="2">
        <f>_xlfn.XLOOKUP($A437,'[1]LISTA ETIQUETAS'!$O:$O,'[1]LISTA ETIQUETAS'!F:F,"",0)</f>
        <v>0</v>
      </c>
      <c r="S437" s="2">
        <f>_xlfn.XLOOKUP($A437,'[1]LISTA ETIQUETAS'!$O:$O,'[1]LISTA ETIQUETAS'!H:H,"",0)</f>
        <v>1</v>
      </c>
      <c r="T437" s="9">
        <f t="shared" si="20"/>
        <v>1</v>
      </c>
    </row>
    <row r="438" spans="1:20" x14ac:dyDescent="0.25">
      <c r="A438" s="5">
        <v>147799</v>
      </c>
      <c r="B438" t="str">
        <f>IFERROR((VLOOKUP(A438,'[1]LISTA ETIQUETAS'!O:X,3,0)),"PRODUTO SEM ESTOQUE")</f>
        <v>EST CADEIRA VANITY (COLORIDO CINZA)</v>
      </c>
      <c r="C438" s="10" t="s">
        <v>253</v>
      </c>
      <c r="D438" s="10" t="s">
        <v>296</v>
      </c>
      <c r="E438" s="11">
        <f>IF(VLOOKUP(A438,'[1]LISTA ETIQUETAS'!O:W,4,0)="",(VLOOKUP(A438,'[1]LISTA ETIQUETAS'!O:W,6,0)),(VLOOKUP(A438,'[1]LISTA ETIQUETAS'!O:W,4,0)))</f>
        <v>0.49</v>
      </c>
      <c r="F438" s="11">
        <f>IF(VLOOKUP(A438,'[1]LISTA ETIQUETAS'!O:W,5,0)="",(VLOOKUP(A438,'[1]LISTA ETIQUETAS'!O:W,7,0)),(VLOOKUP(A438,'[1]LISTA ETIQUETAS'!O:W,5,0)))</f>
        <v>0.55000000000000004</v>
      </c>
      <c r="G438" s="11">
        <f>IFERROR((VLOOKUP(A438,'[1]LISTA ETIQUETAS'!O:X,8,0)),"")</f>
        <v>0.88</v>
      </c>
      <c r="H438" s="11">
        <f>IFERROR((VLOOKUP(A438,'[1]LISTA ETIQUETAS'!O:X,9,0)),"")</f>
        <v>0</v>
      </c>
      <c r="I438" s="12">
        <f>IFERROR((VLOOKUP(A438,'[1]LISTA ETIQUETAS'!O:Y,11,0)),"")</f>
        <v>0</v>
      </c>
      <c r="J438" s="6">
        <v>0</v>
      </c>
      <c r="K438" s="12">
        <f t="shared" si="18"/>
        <v>0</v>
      </c>
      <c r="L438" s="7" t="str">
        <f>IF(VLOOKUP(A438,'[1]LISTA ETIQUETAS'!O:AB,14,0)="","",(VLOOKUP(A438,'[1]LISTA ETIQUETAS'!O:AB,14,0)))</f>
        <v/>
      </c>
      <c r="M438" s="8"/>
      <c r="N438" s="9">
        <f t="shared" si="19"/>
        <v>147799</v>
      </c>
      <c r="O438" s="2">
        <f>_xlfn.XLOOKUP($A438,'[1]LISTA ETIQUETAS'!$O:$O,'[1]LISTA ETIQUETAS'!C:C,"",0)</f>
        <v>0</v>
      </c>
      <c r="P438" s="2">
        <f>_xlfn.XLOOKUP($A438,'[1]LISTA ETIQUETAS'!$O:$O,'[1]LISTA ETIQUETAS'!D:D,"",0)</f>
        <v>0</v>
      </c>
      <c r="Q438" s="2">
        <f>_xlfn.XLOOKUP($A438,'[1]LISTA ETIQUETAS'!$O:$O,'[1]LISTA ETIQUETAS'!E:E,"",0)</f>
        <v>0</v>
      </c>
      <c r="R438" s="2">
        <f>_xlfn.XLOOKUP($A438,'[1]LISTA ETIQUETAS'!$O:$O,'[1]LISTA ETIQUETAS'!F:F,"",0)</f>
        <v>0</v>
      </c>
      <c r="S438" s="2">
        <f>_xlfn.XLOOKUP($A438,'[1]LISTA ETIQUETAS'!$O:$O,'[1]LISTA ETIQUETAS'!H:H,"",0)</f>
        <v>3</v>
      </c>
      <c r="T438" s="9">
        <f t="shared" si="20"/>
        <v>3</v>
      </c>
    </row>
    <row r="439" spans="1:20" x14ac:dyDescent="0.25">
      <c r="A439" s="5">
        <v>147798</v>
      </c>
      <c r="B439" t="str">
        <f>IFERROR((VLOOKUP(A439,'[1]LISTA ETIQUETAS'!O:X,3,0)),"PRODUTO SEM ESTOQUE")</f>
        <v>EST CADEIRA VANITY C/BRACO (TRANSPARENTE)</v>
      </c>
      <c r="C439" s="10" t="s">
        <v>253</v>
      </c>
      <c r="D439" s="10" t="s">
        <v>296</v>
      </c>
      <c r="E439" s="11">
        <f>IF(VLOOKUP(A439,'[1]LISTA ETIQUETAS'!O:W,4,0)="",(VLOOKUP(A439,'[1]LISTA ETIQUETAS'!O:W,6,0)),(VLOOKUP(A439,'[1]LISTA ETIQUETAS'!O:W,4,0)))</f>
        <v>0.56999999999999995</v>
      </c>
      <c r="F439" s="11">
        <f>IF(VLOOKUP(A439,'[1]LISTA ETIQUETAS'!O:W,5,0)="",(VLOOKUP(A439,'[1]LISTA ETIQUETAS'!O:W,7,0)),(VLOOKUP(A439,'[1]LISTA ETIQUETAS'!O:W,5,0)))</f>
        <v>0.55000000000000004</v>
      </c>
      <c r="G439" s="11">
        <f>IFERROR((VLOOKUP(A439,'[1]LISTA ETIQUETAS'!O:X,8,0)),"")</f>
        <v>0.88</v>
      </c>
      <c r="H439" s="11">
        <f>IFERROR((VLOOKUP(A439,'[1]LISTA ETIQUETAS'!O:X,9,0)),"")</f>
        <v>0</v>
      </c>
      <c r="I439" s="12">
        <f>IFERROR((VLOOKUP(A439,'[1]LISTA ETIQUETAS'!O:Y,11,0)),"")</f>
        <v>0</v>
      </c>
      <c r="J439" s="6">
        <v>0</v>
      </c>
      <c r="K439" s="12">
        <f t="shared" si="18"/>
        <v>0</v>
      </c>
      <c r="L439" s="7" t="str">
        <f>IF(VLOOKUP(A439,'[1]LISTA ETIQUETAS'!O:AB,14,0)="","",(VLOOKUP(A439,'[1]LISTA ETIQUETAS'!O:AB,14,0)))</f>
        <v/>
      </c>
      <c r="M439" s="8"/>
      <c r="N439" s="9">
        <f t="shared" si="19"/>
        <v>147798</v>
      </c>
      <c r="O439" s="2">
        <f>_xlfn.XLOOKUP($A439,'[1]LISTA ETIQUETAS'!$O:$O,'[1]LISTA ETIQUETAS'!C:C,"",0)</f>
        <v>0</v>
      </c>
      <c r="P439" s="2">
        <f>_xlfn.XLOOKUP($A439,'[1]LISTA ETIQUETAS'!$O:$O,'[1]LISTA ETIQUETAS'!D:D,"",0)</f>
        <v>0</v>
      </c>
      <c r="Q439" s="2">
        <f>_xlfn.XLOOKUP($A439,'[1]LISTA ETIQUETAS'!$O:$O,'[1]LISTA ETIQUETAS'!E:E,"",0)</f>
        <v>0</v>
      </c>
      <c r="R439" s="2">
        <f>_xlfn.XLOOKUP($A439,'[1]LISTA ETIQUETAS'!$O:$O,'[1]LISTA ETIQUETAS'!F:F,"",0)</f>
        <v>0</v>
      </c>
      <c r="S439" s="2">
        <f>_xlfn.XLOOKUP($A439,'[1]LISTA ETIQUETAS'!$O:$O,'[1]LISTA ETIQUETAS'!H:H,"",0)</f>
        <v>2</v>
      </c>
      <c r="T439" s="9">
        <f t="shared" si="20"/>
        <v>2</v>
      </c>
    </row>
    <row r="440" spans="1:20" x14ac:dyDescent="0.25">
      <c r="A440" s="5">
        <v>147797</v>
      </c>
      <c r="B440" t="str">
        <f>IFERROR((VLOOKUP(A440,'[1]LISTA ETIQUETAS'!O:X,3,0)),"PRODUTO SEM ESTOQUE")</f>
        <v>EST CADEIRA FEMME FATALE (FUME)</v>
      </c>
      <c r="C440" s="10" t="s">
        <v>253</v>
      </c>
      <c r="D440" s="10" t="s">
        <v>297</v>
      </c>
      <c r="E440" s="11">
        <f>IF(VLOOKUP(A440,'[1]LISTA ETIQUETAS'!O:W,4,0)="",(VLOOKUP(A440,'[1]LISTA ETIQUETAS'!O:W,6,0)),(VLOOKUP(A440,'[1]LISTA ETIQUETAS'!O:W,4,0)))</f>
        <v>0.51</v>
      </c>
      <c r="F440" s="11">
        <f>IF(VLOOKUP(A440,'[1]LISTA ETIQUETAS'!O:W,5,0)="",(VLOOKUP(A440,'[1]LISTA ETIQUETAS'!O:W,7,0)),(VLOOKUP(A440,'[1]LISTA ETIQUETAS'!O:W,5,0)))</f>
        <v>0.54</v>
      </c>
      <c r="G440" s="11">
        <f>IFERROR((VLOOKUP(A440,'[1]LISTA ETIQUETAS'!O:X,8,0)),"")</f>
        <v>0.81</v>
      </c>
      <c r="H440" s="11">
        <f>IFERROR((VLOOKUP(A440,'[1]LISTA ETIQUETAS'!O:X,9,0)),"")</f>
        <v>0</v>
      </c>
      <c r="I440" s="12">
        <f>IFERROR((VLOOKUP(A440,'[1]LISTA ETIQUETAS'!O:Y,11,0)),"")</f>
        <v>0</v>
      </c>
      <c r="J440" s="6">
        <v>0</v>
      </c>
      <c r="K440" s="12">
        <f t="shared" si="18"/>
        <v>0</v>
      </c>
      <c r="L440" s="7" t="str">
        <f>IF(VLOOKUP(A440,'[1]LISTA ETIQUETAS'!O:AB,14,0)="","",(VLOOKUP(A440,'[1]LISTA ETIQUETAS'!O:AB,14,0)))</f>
        <v/>
      </c>
      <c r="M440" s="8"/>
      <c r="N440" s="9">
        <f t="shared" si="19"/>
        <v>147797</v>
      </c>
      <c r="O440" s="2">
        <f>_xlfn.XLOOKUP($A440,'[1]LISTA ETIQUETAS'!$O:$O,'[1]LISTA ETIQUETAS'!C:C,"",0)</f>
        <v>0</v>
      </c>
      <c r="P440" s="2">
        <f>_xlfn.XLOOKUP($A440,'[1]LISTA ETIQUETAS'!$O:$O,'[1]LISTA ETIQUETAS'!D:D,"",0)</f>
        <v>0</v>
      </c>
      <c r="Q440" s="2">
        <f>_xlfn.XLOOKUP($A440,'[1]LISTA ETIQUETAS'!$O:$O,'[1]LISTA ETIQUETAS'!E:E,"",0)</f>
        <v>0</v>
      </c>
      <c r="R440" s="2">
        <f>_xlfn.XLOOKUP($A440,'[1]LISTA ETIQUETAS'!$O:$O,'[1]LISTA ETIQUETAS'!F:F,"",0)</f>
        <v>0</v>
      </c>
      <c r="S440" s="2">
        <f>_xlfn.XLOOKUP($A440,'[1]LISTA ETIQUETAS'!$O:$O,'[1]LISTA ETIQUETAS'!H:H,"",0)</f>
        <v>2</v>
      </c>
      <c r="T440" s="9">
        <f t="shared" si="20"/>
        <v>2</v>
      </c>
    </row>
    <row r="441" spans="1:20" x14ac:dyDescent="0.25">
      <c r="A441" s="5">
        <v>151236</v>
      </c>
      <c r="B441" t="str">
        <f>IFERROR((VLOOKUP(A441,'[1]LISTA ETIQUETAS'!O:X,3,0)),"PRODUTO SEM ESTOQUE")</f>
        <v>EST CADEIRA HELVETICA C/BRACO (CATUABA PU) TC 11202-249#02</v>
      </c>
      <c r="C441" s="10" t="s">
        <v>253</v>
      </c>
      <c r="D441" s="10" t="s">
        <v>298</v>
      </c>
      <c r="E441" s="11">
        <f>IF(VLOOKUP(A441,'[1]LISTA ETIQUETAS'!O:W,4,0)="",(VLOOKUP(A441,'[1]LISTA ETIQUETAS'!O:W,6,0)),(VLOOKUP(A441,'[1]LISTA ETIQUETAS'!O:W,4,0)))</f>
        <v>0.55000000000000004</v>
      </c>
      <c r="F441" s="11">
        <f>IF(VLOOKUP(A441,'[1]LISTA ETIQUETAS'!O:W,5,0)="",(VLOOKUP(A441,'[1]LISTA ETIQUETAS'!O:W,7,0)),(VLOOKUP(A441,'[1]LISTA ETIQUETAS'!O:W,5,0)))</f>
        <v>0.61</v>
      </c>
      <c r="G441" s="11">
        <f>IFERROR((VLOOKUP(A441,'[1]LISTA ETIQUETAS'!O:X,8,0)),"")</f>
        <v>0.84</v>
      </c>
      <c r="H441" s="11">
        <f>IFERROR((VLOOKUP(A441,'[1]LISTA ETIQUETAS'!O:X,9,0)),"")</f>
        <v>0</v>
      </c>
      <c r="I441" s="12">
        <f>IFERROR((VLOOKUP(A441,'[1]LISTA ETIQUETAS'!O:Y,11,0)),"")</f>
        <v>0</v>
      </c>
      <c r="J441" s="6">
        <v>0</v>
      </c>
      <c r="K441" s="12">
        <f t="shared" si="18"/>
        <v>0</v>
      </c>
      <c r="L441" s="7" t="str">
        <f>IF(VLOOKUP(A441,'[1]LISTA ETIQUETAS'!O:AB,14,0)="","",(VLOOKUP(A441,'[1]LISTA ETIQUETAS'!O:AB,14,0)))</f>
        <v/>
      </c>
      <c r="M441" s="8"/>
      <c r="N441" s="9">
        <f t="shared" si="19"/>
        <v>151236</v>
      </c>
      <c r="O441" s="2">
        <f>_xlfn.XLOOKUP($A441,'[1]LISTA ETIQUETAS'!$O:$O,'[1]LISTA ETIQUETAS'!C:C,"",0)</f>
        <v>0</v>
      </c>
      <c r="P441" s="2">
        <f>_xlfn.XLOOKUP($A441,'[1]LISTA ETIQUETAS'!$O:$O,'[1]LISTA ETIQUETAS'!D:D,"",0)</f>
        <v>0</v>
      </c>
      <c r="Q441" s="2">
        <f>_xlfn.XLOOKUP($A441,'[1]LISTA ETIQUETAS'!$O:$O,'[1]LISTA ETIQUETAS'!E:E,"",0)</f>
        <v>0</v>
      </c>
      <c r="R441" s="2">
        <f>_xlfn.XLOOKUP($A441,'[1]LISTA ETIQUETAS'!$O:$O,'[1]LISTA ETIQUETAS'!F:F,"",0)</f>
        <v>0</v>
      </c>
      <c r="S441" s="2">
        <f>_xlfn.XLOOKUP($A441,'[1]LISTA ETIQUETAS'!$O:$O,'[1]LISTA ETIQUETAS'!H:H,"",0)</f>
        <v>4</v>
      </c>
      <c r="T441" s="9">
        <f t="shared" si="20"/>
        <v>4</v>
      </c>
    </row>
    <row r="442" spans="1:20" x14ac:dyDescent="0.25">
      <c r="A442" s="5">
        <v>151210</v>
      </c>
      <c r="B442" t="str">
        <f>IFERROR((VLOOKUP(A442,'[1]LISTA ETIQUETAS'!O:X,3,0)),"PRODUTO SEM ESTOQUE")</f>
        <v>EST CADEIRA MR2 C/BRACO (JEQ TABACO) TC 4588/07</v>
      </c>
      <c r="C442" s="10" t="s">
        <v>253</v>
      </c>
      <c r="D442" s="10" t="s">
        <v>285</v>
      </c>
      <c r="E442" s="11">
        <f>IF(VLOOKUP(A442,'[1]LISTA ETIQUETAS'!O:W,4,0)="",(VLOOKUP(A442,'[1]LISTA ETIQUETAS'!O:W,6,0)),(VLOOKUP(A442,'[1]LISTA ETIQUETAS'!O:W,4,0)))</f>
        <v>0.52</v>
      </c>
      <c r="F442" s="11">
        <f>IF(VLOOKUP(A442,'[1]LISTA ETIQUETAS'!O:W,5,0)="",(VLOOKUP(A442,'[1]LISTA ETIQUETAS'!O:W,7,0)),(VLOOKUP(A442,'[1]LISTA ETIQUETAS'!O:W,5,0)))</f>
        <v>0.54</v>
      </c>
      <c r="G442" s="11">
        <f>IFERROR((VLOOKUP(A442,'[1]LISTA ETIQUETAS'!O:X,8,0)),"")</f>
        <v>0.86</v>
      </c>
      <c r="H442" s="11">
        <f>IFERROR((VLOOKUP(A442,'[1]LISTA ETIQUETAS'!O:X,9,0)),"")</f>
        <v>0</v>
      </c>
      <c r="I442" s="12">
        <f>IFERROR((VLOOKUP(A442,'[1]LISTA ETIQUETAS'!O:Y,11,0)),"")</f>
        <v>6442.24</v>
      </c>
      <c r="J442" s="6">
        <v>0</v>
      </c>
      <c r="K442" s="12">
        <f t="shared" si="18"/>
        <v>6442.24</v>
      </c>
      <c r="L442" s="7" t="str">
        <f>IF(VLOOKUP(A442,'[1]LISTA ETIQUETAS'!O:AB,14,0)="","",(VLOOKUP(A442,'[1]LISTA ETIQUETAS'!O:AB,14,0)))</f>
        <v/>
      </c>
      <c r="M442" s="8"/>
      <c r="N442" s="9">
        <f t="shared" si="19"/>
        <v>151210</v>
      </c>
      <c r="O442" s="2">
        <f>_xlfn.XLOOKUP($A442,'[1]LISTA ETIQUETAS'!$O:$O,'[1]LISTA ETIQUETAS'!C:C,"",0)</f>
        <v>0</v>
      </c>
      <c r="P442" s="2">
        <f>_xlfn.XLOOKUP($A442,'[1]LISTA ETIQUETAS'!$O:$O,'[1]LISTA ETIQUETAS'!D:D,"",0)</f>
        <v>0</v>
      </c>
      <c r="Q442" s="2">
        <f>_xlfn.XLOOKUP($A442,'[1]LISTA ETIQUETAS'!$O:$O,'[1]LISTA ETIQUETAS'!E:E,"",0)</f>
        <v>0</v>
      </c>
      <c r="R442" s="2">
        <f>_xlfn.XLOOKUP($A442,'[1]LISTA ETIQUETAS'!$O:$O,'[1]LISTA ETIQUETAS'!F:F,"",0)</f>
        <v>0</v>
      </c>
      <c r="S442" s="2">
        <f>_xlfn.XLOOKUP($A442,'[1]LISTA ETIQUETAS'!$O:$O,'[1]LISTA ETIQUETAS'!H:H,"",0)</f>
        <v>4</v>
      </c>
      <c r="T442" s="9">
        <f t="shared" si="20"/>
        <v>4</v>
      </c>
    </row>
    <row r="443" spans="1:20" x14ac:dyDescent="0.25">
      <c r="A443" s="5">
        <v>151242</v>
      </c>
      <c r="B443" t="str">
        <f>IFERROR((VLOOKUP(A443,'[1]LISTA ETIQUETAS'!O:X,3,0)),"PRODUTO SEM ESTOQUE")</f>
        <v>EST BANCO NINA (CATUABA AVELUDADA) TC 10839/12</v>
      </c>
      <c r="C443" s="10" t="s">
        <v>253</v>
      </c>
      <c r="D443" s="10" t="s">
        <v>299</v>
      </c>
      <c r="E443" s="11">
        <f>IF(VLOOKUP(A443,'[1]LISTA ETIQUETAS'!O:W,4,0)="",(VLOOKUP(A443,'[1]LISTA ETIQUETAS'!O:W,6,0)),(VLOOKUP(A443,'[1]LISTA ETIQUETAS'!O:W,4,0)))</f>
        <v>0.47</v>
      </c>
      <c r="F443" s="11">
        <f>IF(VLOOKUP(A443,'[1]LISTA ETIQUETAS'!O:W,5,0)="",(VLOOKUP(A443,'[1]LISTA ETIQUETAS'!O:W,7,0)),(VLOOKUP(A443,'[1]LISTA ETIQUETAS'!O:W,5,0)))</f>
        <v>0.48</v>
      </c>
      <c r="G443" s="11">
        <f>IFERROR((VLOOKUP(A443,'[1]LISTA ETIQUETAS'!O:X,8,0)),"")</f>
        <v>0.42</v>
      </c>
      <c r="H443" s="11">
        <f>IFERROR((VLOOKUP(A443,'[1]LISTA ETIQUETAS'!O:X,9,0)),"")</f>
        <v>0</v>
      </c>
      <c r="I443" s="12">
        <f>IFERROR((VLOOKUP(A443,'[1]LISTA ETIQUETAS'!O:Y,11,0)),"")</f>
        <v>0</v>
      </c>
      <c r="J443" s="6">
        <v>0</v>
      </c>
      <c r="K443" s="12">
        <f t="shared" si="18"/>
        <v>0</v>
      </c>
      <c r="L443" s="7" t="str">
        <f>IF(VLOOKUP(A443,'[1]LISTA ETIQUETAS'!O:AB,14,0)="","",(VLOOKUP(A443,'[1]LISTA ETIQUETAS'!O:AB,14,0)))</f>
        <v/>
      </c>
      <c r="M443" s="8"/>
      <c r="N443" s="9">
        <f t="shared" si="19"/>
        <v>151242</v>
      </c>
      <c r="O443" s="2">
        <f>_xlfn.XLOOKUP($A443,'[1]LISTA ETIQUETAS'!$O:$O,'[1]LISTA ETIQUETAS'!C:C,"",0)</f>
        <v>0</v>
      </c>
      <c r="P443" s="2">
        <f>_xlfn.XLOOKUP($A443,'[1]LISTA ETIQUETAS'!$O:$O,'[1]LISTA ETIQUETAS'!D:D,"",0)</f>
        <v>0</v>
      </c>
      <c r="Q443" s="2">
        <f>_xlfn.XLOOKUP($A443,'[1]LISTA ETIQUETAS'!$O:$O,'[1]LISTA ETIQUETAS'!E:E,"",0)</f>
        <v>0</v>
      </c>
      <c r="R443" s="2">
        <f>_xlfn.XLOOKUP($A443,'[1]LISTA ETIQUETAS'!$O:$O,'[1]LISTA ETIQUETAS'!F:F,"",0)</f>
        <v>0</v>
      </c>
      <c r="S443" s="2">
        <f>_xlfn.XLOOKUP($A443,'[1]LISTA ETIQUETAS'!$O:$O,'[1]LISTA ETIQUETAS'!H:H,"",0)</f>
        <v>3</v>
      </c>
      <c r="T443" s="9">
        <f t="shared" si="20"/>
        <v>3</v>
      </c>
    </row>
    <row r="444" spans="1:20" x14ac:dyDescent="0.25">
      <c r="A444" s="5">
        <v>151602</v>
      </c>
      <c r="B444" t="str">
        <f>IFERROR((VLOOKUP(A444,'[1]LISTA ETIQUETAS'!O:X,3,0)),"PRODUTO SEM ESTOQUE")</f>
        <v>EST CADEIRA NICK C/BRACO (ROTIN APUI NATURAL) (TC LINHO 505)</v>
      </c>
      <c r="C444" s="10" t="s">
        <v>253</v>
      </c>
      <c r="D444" s="10" t="s">
        <v>300</v>
      </c>
      <c r="E444" s="11">
        <f>IF(VLOOKUP(A444,'[1]LISTA ETIQUETAS'!O:W,4,0)="",(VLOOKUP(A444,'[1]LISTA ETIQUETAS'!O:W,6,0)),(VLOOKUP(A444,'[1]LISTA ETIQUETAS'!O:W,4,0)))</f>
        <v>0.56999999999999995</v>
      </c>
      <c r="F444" s="11">
        <f>IF(VLOOKUP(A444,'[1]LISTA ETIQUETAS'!O:W,5,0)="",(VLOOKUP(A444,'[1]LISTA ETIQUETAS'!O:W,7,0)),(VLOOKUP(A444,'[1]LISTA ETIQUETAS'!O:W,5,0)))</f>
        <v>0.6</v>
      </c>
      <c r="G444" s="11">
        <f>IFERROR((VLOOKUP(A444,'[1]LISTA ETIQUETAS'!O:X,8,0)),"")</f>
        <v>0.94</v>
      </c>
      <c r="H444" s="11">
        <f>IFERROR((VLOOKUP(A444,'[1]LISTA ETIQUETAS'!O:X,9,0)),"")</f>
        <v>0</v>
      </c>
      <c r="I444" s="12">
        <f>IFERROR((VLOOKUP(A444,'[1]LISTA ETIQUETAS'!O:Y,11,0)),"")</f>
        <v>6388.48</v>
      </c>
      <c r="J444" s="6">
        <v>0</v>
      </c>
      <c r="K444" s="12">
        <f t="shared" si="18"/>
        <v>6388.48</v>
      </c>
      <c r="L444" s="7" t="str">
        <f>IF(VLOOKUP(A444,'[1]LISTA ETIQUETAS'!O:AB,14,0)="","",(VLOOKUP(A444,'[1]LISTA ETIQUETAS'!O:AB,14,0)))</f>
        <v/>
      </c>
      <c r="M444" s="8"/>
      <c r="N444" s="9">
        <f t="shared" si="19"/>
        <v>151602</v>
      </c>
      <c r="O444" s="2">
        <f>_xlfn.XLOOKUP($A444,'[1]LISTA ETIQUETAS'!$O:$O,'[1]LISTA ETIQUETAS'!C:C,"",0)</f>
        <v>0</v>
      </c>
      <c r="P444" s="2">
        <f>_xlfn.XLOOKUP($A444,'[1]LISTA ETIQUETAS'!$O:$O,'[1]LISTA ETIQUETAS'!D:D,"",0)</f>
        <v>0</v>
      </c>
      <c r="Q444" s="2">
        <f>_xlfn.XLOOKUP($A444,'[1]LISTA ETIQUETAS'!$O:$O,'[1]LISTA ETIQUETAS'!E:E,"",0)</f>
        <v>0</v>
      </c>
      <c r="R444" s="2">
        <f>_xlfn.XLOOKUP($A444,'[1]LISTA ETIQUETAS'!$O:$O,'[1]LISTA ETIQUETAS'!F:F,"",0)</f>
        <v>0</v>
      </c>
      <c r="S444" s="2">
        <f>_xlfn.XLOOKUP($A444,'[1]LISTA ETIQUETAS'!$O:$O,'[1]LISTA ETIQUETAS'!H:H,"",0)</f>
        <v>2</v>
      </c>
      <c r="T444" s="9">
        <f t="shared" si="20"/>
        <v>2</v>
      </c>
    </row>
    <row r="445" spans="1:20" x14ac:dyDescent="0.25">
      <c r="A445" s="5">
        <v>151598</v>
      </c>
      <c r="B445" t="str">
        <f>IFERROR((VLOOKUP(A445,'[1]LISTA ETIQUETAS'!O:X,3,0)),"PRODUTO SEM ESTOQUE")</f>
        <v>EST CADEIRA BALI C/BRACO (TABOA TRANCADA NATURAL) TC 270</v>
      </c>
      <c r="C445" s="10" t="s">
        <v>253</v>
      </c>
      <c r="D445" s="10" t="s">
        <v>301</v>
      </c>
      <c r="E445" s="11">
        <f>IF(VLOOKUP(A445,'[1]LISTA ETIQUETAS'!O:W,4,0)="",(VLOOKUP(A445,'[1]LISTA ETIQUETAS'!O:W,6,0)),(VLOOKUP(A445,'[1]LISTA ETIQUETAS'!O:W,4,0)))</f>
        <v>0.55000000000000004</v>
      </c>
      <c r="F445" s="11">
        <f>IF(VLOOKUP(A445,'[1]LISTA ETIQUETAS'!O:W,5,0)="",(VLOOKUP(A445,'[1]LISTA ETIQUETAS'!O:W,7,0)),(VLOOKUP(A445,'[1]LISTA ETIQUETAS'!O:W,5,0)))</f>
        <v>0.6</v>
      </c>
      <c r="G445" s="11">
        <f>IFERROR((VLOOKUP(A445,'[1]LISTA ETIQUETAS'!O:X,8,0)),"")</f>
        <v>0.8</v>
      </c>
      <c r="H445" s="11">
        <f>IFERROR((VLOOKUP(A445,'[1]LISTA ETIQUETAS'!O:X,9,0)),"")</f>
        <v>0</v>
      </c>
      <c r="I445" s="12" t="str">
        <f>IFERROR((VLOOKUP(A445,'[1]LISTA ETIQUETAS'!O:Y,11,0)),"")</f>
        <v/>
      </c>
      <c r="J445" s="6">
        <v>0</v>
      </c>
      <c r="K445" s="12" t="str">
        <f t="shared" si="18"/>
        <v/>
      </c>
      <c r="L445" s="7" t="str">
        <f>IF(VLOOKUP(A445,'[1]LISTA ETIQUETAS'!O:AB,14,0)="","",(VLOOKUP(A445,'[1]LISTA ETIQUETAS'!O:AB,14,0)))</f>
        <v/>
      </c>
      <c r="M445" s="8"/>
      <c r="N445" s="9">
        <f t="shared" si="19"/>
        <v>151598</v>
      </c>
      <c r="O445" s="2">
        <f>_xlfn.XLOOKUP($A445,'[1]LISTA ETIQUETAS'!$O:$O,'[1]LISTA ETIQUETAS'!C:C,"",0)</f>
        <v>0</v>
      </c>
      <c r="P445" s="2">
        <f>_xlfn.XLOOKUP($A445,'[1]LISTA ETIQUETAS'!$O:$O,'[1]LISTA ETIQUETAS'!D:D,"",0)</f>
        <v>0</v>
      </c>
      <c r="Q445" s="2">
        <f>_xlfn.XLOOKUP($A445,'[1]LISTA ETIQUETAS'!$O:$O,'[1]LISTA ETIQUETAS'!E:E,"",0)</f>
        <v>0</v>
      </c>
      <c r="R445" s="2">
        <f>_xlfn.XLOOKUP($A445,'[1]LISTA ETIQUETAS'!$O:$O,'[1]LISTA ETIQUETAS'!F:F,"",0)</f>
        <v>0</v>
      </c>
      <c r="S445" s="2">
        <f>_xlfn.XLOOKUP($A445,'[1]LISTA ETIQUETAS'!$O:$O,'[1]LISTA ETIQUETAS'!H:H,"",0)</f>
        <v>4</v>
      </c>
      <c r="T445" s="9">
        <f t="shared" si="20"/>
        <v>4</v>
      </c>
    </row>
    <row r="446" spans="1:20" x14ac:dyDescent="0.25">
      <c r="A446" s="5">
        <v>151438</v>
      </c>
      <c r="B446" t="str">
        <f>IFERROR((VLOOKUP(A446,'[1]LISTA ETIQUETAS'!O:X,3,0)),"PRODUTO SEM ESTOQUE")</f>
        <v>EST CADEIRA 213 C/BRACO (MEL TABACO) TC 11632/007</v>
      </c>
      <c r="C446" s="10" t="s">
        <v>253</v>
      </c>
      <c r="D446" s="10" t="s">
        <v>302</v>
      </c>
      <c r="E446" s="11">
        <f>IF(VLOOKUP(A446,'[1]LISTA ETIQUETAS'!O:W,4,0)="",(VLOOKUP(A446,'[1]LISTA ETIQUETAS'!O:W,6,0)),(VLOOKUP(A446,'[1]LISTA ETIQUETAS'!O:W,4,0)))</f>
        <v>0.57999999999999996</v>
      </c>
      <c r="F446" s="11">
        <f>IF(VLOOKUP(A446,'[1]LISTA ETIQUETAS'!O:W,5,0)="",(VLOOKUP(A446,'[1]LISTA ETIQUETAS'!O:W,7,0)),(VLOOKUP(A446,'[1]LISTA ETIQUETAS'!O:W,5,0)))</f>
        <v>0.56000000000000005</v>
      </c>
      <c r="G446" s="11">
        <f>IFERROR((VLOOKUP(A446,'[1]LISTA ETIQUETAS'!O:X,8,0)),"")</f>
        <v>0.89</v>
      </c>
      <c r="H446" s="11">
        <f>IFERROR((VLOOKUP(A446,'[1]LISTA ETIQUETAS'!O:X,9,0)),"")</f>
        <v>0</v>
      </c>
      <c r="I446" s="12">
        <f>IFERROR((VLOOKUP(A446,'[1]LISTA ETIQUETAS'!O:Y,11,0)),"")</f>
        <v>0</v>
      </c>
      <c r="J446" s="6">
        <v>0</v>
      </c>
      <c r="K446" s="12">
        <f t="shared" si="18"/>
        <v>0</v>
      </c>
      <c r="L446" s="7" t="str">
        <f>IF(VLOOKUP(A446,'[1]LISTA ETIQUETAS'!O:AB,14,0)="","",(VLOOKUP(A446,'[1]LISTA ETIQUETAS'!O:AB,14,0)))</f>
        <v/>
      </c>
      <c r="M446" s="8"/>
      <c r="N446" s="9">
        <f t="shared" si="19"/>
        <v>151438</v>
      </c>
      <c r="O446" s="2">
        <f>_xlfn.XLOOKUP($A446,'[1]LISTA ETIQUETAS'!$O:$O,'[1]LISTA ETIQUETAS'!C:C,"",0)</f>
        <v>0</v>
      </c>
      <c r="P446" s="2">
        <f>_xlfn.XLOOKUP($A446,'[1]LISTA ETIQUETAS'!$O:$O,'[1]LISTA ETIQUETAS'!D:D,"",0)</f>
        <v>0</v>
      </c>
      <c r="Q446" s="2">
        <f>_xlfn.XLOOKUP($A446,'[1]LISTA ETIQUETAS'!$O:$O,'[1]LISTA ETIQUETAS'!E:E,"",0)</f>
        <v>0</v>
      </c>
      <c r="R446" s="2">
        <f>_xlfn.XLOOKUP($A446,'[1]LISTA ETIQUETAS'!$O:$O,'[1]LISTA ETIQUETAS'!F:F,"",0)</f>
        <v>0</v>
      </c>
      <c r="S446" s="2">
        <f>_xlfn.XLOOKUP($A446,'[1]LISTA ETIQUETAS'!$O:$O,'[1]LISTA ETIQUETAS'!H:H,"",0)</f>
        <v>2</v>
      </c>
      <c r="T446" s="9">
        <f t="shared" si="20"/>
        <v>2</v>
      </c>
    </row>
    <row r="447" spans="1:20" x14ac:dyDescent="0.25">
      <c r="A447" s="5">
        <v>151436</v>
      </c>
      <c r="B447" t="str">
        <f>IFERROR((VLOOKUP(A447,'[1]LISTA ETIQUETAS'!O:X,3,0)),"PRODUTO SEM ESTOQUE")</f>
        <v>EST CADEIRA DIX C/BRACO (NATURAL) (TELA NATURAL) TC621/A</v>
      </c>
      <c r="C447" s="10" t="s">
        <v>253</v>
      </c>
      <c r="D447" s="10" t="s">
        <v>291</v>
      </c>
      <c r="E447" s="11">
        <f>IF(VLOOKUP(A447,'[1]LISTA ETIQUETAS'!O:W,4,0)="",(VLOOKUP(A447,'[1]LISTA ETIQUETAS'!O:W,6,0)),(VLOOKUP(A447,'[1]LISTA ETIQUETAS'!O:W,4,0)))</f>
        <v>0.56000000000000005</v>
      </c>
      <c r="F447" s="11">
        <f>IF(VLOOKUP(A447,'[1]LISTA ETIQUETAS'!O:W,5,0)="",(VLOOKUP(A447,'[1]LISTA ETIQUETAS'!O:W,7,0)),(VLOOKUP(A447,'[1]LISTA ETIQUETAS'!O:W,5,0)))</f>
        <v>0.56999999999999995</v>
      </c>
      <c r="G447" s="11">
        <f>IFERROR((VLOOKUP(A447,'[1]LISTA ETIQUETAS'!O:X,8,0)),"")</f>
        <v>0.83</v>
      </c>
      <c r="H447" s="11">
        <f>IFERROR((VLOOKUP(A447,'[1]LISTA ETIQUETAS'!O:X,9,0)),"")</f>
        <v>0</v>
      </c>
      <c r="I447" s="12">
        <f>IFERROR((VLOOKUP(A447,'[1]LISTA ETIQUETAS'!O:Y,11,0)),"")</f>
        <v>0</v>
      </c>
      <c r="J447" s="6">
        <v>0</v>
      </c>
      <c r="K447" s="12">
        <f t="shared" si="18"/>
        <v>0</v>
      </c>
      <c r="L447" s="7" t="str">
        <f>IF(VLOOKUP(A447,'[1]LISTA ETIQUETAS'!O:AB,14,0)="","",(VLOOKUP(A447,'[1]LISTA ETIQUETAS'!O:AB,14,0)))</f>
        <v/>
      </c>
      <c r="M447" s="8"/>
      <c r="N447" s="9">
        <f t="shared" si="19"/>
        <v>151436</v>
      </c>
      <c r="O447" s="2">
        <f>_xlfn.XLOOKUP($A447,'[1]LISTA ETIQUETAS'!$O:$O,'[1]LISTA ETIQUETAS'!C:C,"",0)</f>
        <v>0</v>
      </c>
      <c r="P447" s="2">
        <f>_xlfn.XLOOKUP($A447,'[1]LISTA ETIQUETAS'!$O:$O,'[1]LISTA ETIQUETAS'!D:D,"",0)</f>
        <v>0</v>
      </c>
      <c r="Q447" s="2">
        <f>_xlfn.XLOOKUP($A447,'[1]LISTA ETIQUETAS'!$O:$O,'[1]LISTA ETIQUETAS'!E:E,"",0)</f>
        <v>0</v>
      </c>
      <c r="R447" s="2">
        <f>_xlfn.XLOOKUP($A447,'[1]LISTA ETIQUETAS'!$O:$O,'[1]LISTA ETIQUETAS'!F:F,"",0)</f>
        <v>0</v>
      </c>
      <c r="S447" s="2">
        <f>_xlfn.XLOOKUP($A447,'[1]LISTA ETIQUETAS'!$O:$O,'[1]LISTA ETIQUETAS'!H:H,"",0)</f>
        <v>1</v>
      </c>
      <c r="T447" s="9">
        <f t="shared" si="20"/>
        <v>1</v>
      </c>
    </row>
    <row r="448" spans="1:20" x14ac:dyDescent="0.25">
      <c r="A448" s="5">
        <v>151434</v>
      </c>
      <c r="B448" t="str">
        <f>IFERROR((VLOOKUP(A448,'[1]LISTA ETIQUETAS'!O:X,3,0)),"PRODUTO SEM ESTOQUE")</f>
        <v>EST CADEIRA ZAZ (TABACO) TC 507/B</v>
      </c>
      <c r="C448" s="10" t="s">
        <v>253</v>
      </c>
      <c r="D448" s="10" t="s">
        <v>303</v>
      </c>
      <c r="E448" s="11">
        <f>IF(VLOOKUP(A448,'[1]LISTA ETIQUETAS'!O:W,4,0)="",(VLOOKUP(A448,'[1]LISTA ETIQUETAS'!O:W,6,0)),(VLOOKUP(A448,'[1]LISTA ETIQUETAS'!O:W,4,0)))</f>
        <v>0.61</v>
      </c>
      <c r="F448" s="11">
        <f>IF(VLOOKUP(A448,'[1]LISTA ETIQUETAS'!O:W,5,0)="",(VLOOKUP(A448,'[1]LISTA ETIQUETAS'!O:W,7,0)),(VLOOKUP(A448,'[1]LISTA ETIQUETAS'!O:W,5,0)))</f>
        <v>0.62</v>
      </c>
      <c r="G448" s="11">
        <f>IFERROR((VLOOKUP(A448,'[1]LISTA ETIQUETAS'!O:X,8,0)),"")</f>
        <v>0.77</v>
      </c>
      <c r="H448" s="11">
        <f>IFERROR((VLOOKUP(A448,'[1]LISTA ETIQUETAS'!O:X,9,0)),"")</f>
        <v>0</v>
      </c>
      <c r="I448" s="12">
        <f>IFERROR((VLOOKUP(A448,'[1]LISTA ETIQUETAS'!O:Y,11,0)),"")</f>
        <v>0</v>
      </c>
      <c r="J448" s="6">
        <v>0</v>
      </c>
      <c r="K448" s="12">
        <f t="shared" si="18"/>
        <v>0</v>
      </c>
      <c r="L448" s="7" t="str">
        <f>IF(VLOOKUP(A448,'[1]LISTA ETIQUETAS'!O:AB,14,0)="","",(VLOOKUP(A448,'[1]LISTA ETIQUETAS'!O:AB,14,0)))</f>
        <v/>
      </c>
      <c r="M448" s="8"/>
      <c r="N448" s="9">
        <f t="shared" si="19"/>
        <v>151434</v>
      </c>
      <c r="O448" s="2">
        <f>_xlfn.XLOOKUP($A448,'[1]LISTA ETIQUETAS'!$O:$O,'[1]LISTA ETIQUETAS'!C:C,"",0)</f>
        <v>0</v>
      </c>
      <c r="P448" s="2">
        <f>_xlfn.XLOOKUP($A448,'[1]LISTA ETIQUETAS'!$O:$O,'[1]LISTA ETIQUETAS'!D:D,"",0)</f>
        <v>0</v>
      </c>
      <c r="Q448" s="2">
        <f>_xlfn.XLOOKUP($A448,'[1]LISTA ETIQUETAS'!$O:$O,'[1]LISTA ETIQUETAS'!E:E,"",0)</f>
        <v>0</v>
      </c>
      <c r="R448" s="2">
        <f>_xlfn.XLOOKUP($A448,'[1]LISTA ETIQUETAS'!$O:$O,'[1]LISTA ETIQUETAS'!F:F,"",0)</f>
        <v>0</v>
      </c>
      <c r="S448" s="2">
        <f>_xlfn.XLOOKUP($A448,'[1]LISTA ETIQUETAS'!$O:$O,'[1]LISTA ETIQUETAS'!H:H,"",0)</f>
        <v>4</v>
      </c>
      <c r="T448" s="9">
        <f t="shared" si="20"/>
        <v>4</v>
      </c>
    </row>
    <row r="449" spans="1:20" x14ac:dyDescent="0.25">
      <c r="A449" s="5">
        <v>151433</v>
      </c>
      <c r="B449" t="str">
        <f>IFERROR((VLOOKUP(A449,'[1]LISTA ETIQUETAS'!O:X,3,0)),"PRODUTO SEM ESTOQUE")</f>
        <v>EST CADEIRA 213 C/BRACO (MEL TABACO) TC 430A</v>
      </c>
      <c r="C449" s="10" t="s">
        <v>253</v>
      </c>
      <c r="D449" s="10" t="s">
        <v>304</v>
      </c>
      <c r="E449" s="11">
        <f>IF(VLOOKUP(A449,'[1]LISTA ETIQUETAS'!O:W,4,0)="",(VLOOKUP(A449,'[1]LISTA ETIQUETAS'!O:W,6,0)),(VLOOKUP(A449,'[1]LISTA ETIQUETAS'!O:W,4,0)))</f>
        <v>0.57999999999999996</v>
      </c>
      <c r="F449" s="11">
        <f>IF(VLOOKUP(A449,'[1]LISTA ETIQUETAS'!O:W,5,0)="",(VLOOKUP(A449,'[1]LISTA ETIQUETAS'!O:W,7,0)),(VLOOKUP(A449,'[1]LISTA ETIQUETAS'!O:W,5,0)))</f>
        <v>0.56000000000000005</v>
      </c>
      <c r="G449" s="11">
        <f>IFERROR((VLOOKUP(A449,'[1]LISTA ETIQUETAS'!O:X,8,0)),"")</f>
        <v>0.89</v>
      </c>
      <c r="H449" s="11">
        <f>IFERROR((VLOOKUP(A449,'[1]LISTA ETIQUETAS'!O:X,9,0)),"")</f>
        <v>0</v>
      </c>
      <c r="I449" s="12">
        <f>IFERROR((VLOOKUP(A449,'[1]LISTA ETIQUETAS'!O:Y,11,0)),"")</f>
        <v>0</v>
      </c>
      <c r="J449" s="6">
        <v>0</v>
      </c>
      <c r="K449" s="12">
        <f t="shared" si="18"/>
        <v>0</v>
      </c>
      <c r="L449" s="7" t="str">
        <f>IF(VLOOKUP(A449,'[1]LISTA ETIQUETAS'!O:AB,14,0)="","",(VLOOKUP(A449,'[1]LISTA ETIQUETAS'!O:AB,14,0)))</f>
        <v/>
      </c>
      <c r="M449" s="8"/>
      <c r="N449" s="9">
        <f t="shared" si="19"/>
        <v>151433</v>
      </c>
      <c r="O449" s="2">
        <f>_xlfn.XLOOKUP($A449,'[1]LISTA ETIQUETAS'!$O:$O,'[1]LISTA ETIQUETAS'!C:C,"",0)</f>
        <v>0</v>
      </c>
      <c r="P449" s="2">
        <f>_xlfn.XLOOKUP($A449,'[1]LISTA ETIQUETAS'!$O:$O,'[1]LISTA ETIQUETAS'!D:D,"",0)</f>
        <v>0</v>
      </c>
      <c r="Q449" s="2">
        <f>_xlfn.XLOOKUP($A449,'[1]LISTA ETIQUETAS'!$O:$O,'[1]LISTA ETIQUETAS'!E:E,"",0)</f>
        <v>0</v>
      </c>
      <c r="R449" s="2">
        <f>_xlfn.XLOOKUP($A449,'[1]LISTA ETIQUETAS'!$O:$O,'[1]LISTA ETIQUETAS'!F:F,"",0)</f>
        <v>0</v>
      </c>
      <c r="S449" s="2">
        <f>_xlfn.XLOOKUP($A449,'[1]LISTA ETIQUETAS'!$O:$O,'[1]LISTA ETIQUETAS'!H:H,"",0)</f>
        <v>2</v>
      </c>
      <c r="T449" s="9">
        <f t="shared" si="20"/>
        <v>2</v>
      </c>
    </row>
    <row r="450" spans="1:20" x14ac:dyDescent="0.25">
      <c r="A450" s="5">
        <v>145530</v>
      </c>
      <c r="B450" t="str">
        <f>IFERROR((VLOOKUP(A450,'[1]LISTA ETIQUETAS'!O:X,3,0)),"PRODUTO SEM ESTOQUE")</f>
        <v>EST CADEIRA SMALL (EBANIZADO) TC PATRIA BONE</v>
      </c>
      <c r="C450" s="10" t="s">
        <v>253</v>
      </c>
      <c r="D450" s="10" t="s">
        <v>305</v>
      </c>
      <c r="E450" s="11">
        <f>IF(VLOOKUP(A450,'[1]LISTA ETIQUETAS'!O:W,4,0)="",(VLOOKUP(A450,'[1]LISTA ETIQUETAS'!O:W,6,0)),(VLOOKUP(A450,'[1]LISTA ETIQUETAS'!O:W,4,0)))</f>
        <v>0.46</v>
      </c>
      <c r="F450" s="11">
        <f>IF(VLOOKUP(A450,'[1]LISTA ETIQUETAS'!O:W,5,0)="",(VLOOKUP(A450,'[1]LISTA ETIQUETAS'!O:W,7,0)),(VLOOKUP(A450,'[1]LISTA ETIQUETAS'!O:W,5,0)))</f>
        <v>0.56000000000000005</v>
      </c>
      <c r="G450" s="11">
        <f>IFERROR((VLOOKUP(A450,'[1]LISTA ETIQUETAS'!O:X,8,0)),"")</f>
        <v>0.86</v>
      </c>
      <c r="H450" s="11">
        <f>IFERROR((VLOOKUP(A450,'[1]LISTA ETIQUETAS'!O:X,9,0)),"")</f>
        <v>0</v>
      </c>
      <c r="I450" s="12">
        <f>IFERROR((VLOOKUP(A450,'[1]LISTA ETIQUETAS'!O:Y,11,0)),"")</f>
        <v>0</v>
      </c>
      <c r="J450" s="6">
        <v>0</v>
      </c>
      <c r="K450" s="12">
        <f t="shared" si="18"/>
        <v>0</v>
      </c>
      <c r="L450" s="7" t="str">
        <f>IF(VLOOKUP(A450,'[1]LISTA ETIQUETAS'!O:AB,14,0)="","",(VLOOKUP(A450,'[1]LISTA ETIQUETAS'!O:AB,14,0)))</f>
        <v/>
      </c>
      <c r="M450" s="8"/>
      <c r="N450" s="9">
        <f t="shared" si="19"/>
        <v>145530</v>
      </c>
      <c r="O450" s="2">
        <f>_xlfn.XLOOKUP($A450,'[1]LISTA ETIQUETAS'!$O:$O,'[1]LISTA ETIQUETAS'!C:C,"",0)</f>
        <v>0</v>
      </c>
      <c r="P450" s="2">
        <f>_xlfn.XLOOKUP($A450,'[1]LISTA ETIQUETAS'!$O:$O,'[1]LISTA ETIQUETAS'!D:D,"",0)</f>
        <v>0</v>
      </c>
      <c r="Q450" s="2">
        <f>_xlfn.XLOOKUP($A450,'[1]LISTA ETIQUETAS'!$O:$O,'[1]LISTA ETIQUETAS'!E:E,"",0)</f>
        <v>0</v>
      </c>
      <c r="R450" s="2">
        <f>_xlfn.XLOOKUP($A450,'[1]LISTA ETIQUETAS'!$O:$O,'[1]LISTA ETIQUETAS'!F:F,"",0)</f>
        <v>0</v>
      </c>
      <c r="S450" s="2">
        <f>_xlfn.XLOOKUP($A450,'[1]LISTA ETIQUETAS'!$O:$O,'[1]LISTA ETIQUETAS'!H:H,"",0)</f>
        <v>2</v>
      </c>
      <c r="T450" s="9">
        <f t="shared" si="20"/>
        <v>2</v>
      </c>
    </row>
    <row r="451" spans="1:20" x14ac:dyDescent="0.25">
      <c r="A451" s="5">
        <v>151533</v>
      </c>
      <c r="B451" t="str">
        <f>IFERROR((VLOOKUP(A451,'[1]LISTA ETIQUETAS'!O:X,3,0)),"PRODUTO SEM ESTOQUE")</f>
        <v>EST CADEIRA C/BARCO GIU (TC CHEVRON 11632/005)</v>
      </c>
      <c r="C451" s="10" t="s">
        <v>253</v>
      </c>
      <c r="D451" s="10" t="s">
        <v>293</v>
      </c>
      <c r="E451" s="11">
        <f>IF(VLOOKUP(A451,'[1]LISTA ETIQUETAS'!O:W,4,0)="",(VLOOKUP(A451,'[1]LISTA ETIQUETAS'!O:W,6,0)),(VLOOKUP(A451,'[1]LISTA ETIQUETAS'!O:W,4,0)))</f>
        <v>0.57999999999999996</v>
      </c>
      <c r="F451" s="11">
        <f>IF(VLOOKUP(A451,'[1]LISTA ETIQUETAS'!O:W,5,0)="",(VLOOKUP(A451,'[1]LISTA ETIQUETAS'!O:W,7,0)),(VLOOKUP(A451,'[1]LISTA ETIQUETAS'!O:W,5,0)))</f>
        <v>0.59</v>
      </c>
      <c r="G451" s="11">
        <f>IFERROR((VLOOKUP(A451,'[1]LISTA ETIQUETAS'!O:X,8,0)),"")</f>
        <v>0.85</v>
      </c>
      <c r="H451" s="11">
        <f>IFERROR((VLOOKUP(A451,'[1]LISTA ETIQUETAS'!O:X,9,0)),"")</f>
        <v>0</v>
      </c>
      <c r="I451" s="12">
        <f>IFERROR((VLOOKUP(A451,'[1]LISTA ETIQUETAS'!O:Y,11,0)),"")</f>
        <v>6205.38</v>
      </c>
      <c r="J451" s="6">
        <v>0</v>
      </c>
      <c r="K451" s="12">
        <f t="shared" ref="K451:K514" si="21">IFERROR(I451-I451*J451,"")</f>
        <v>6205.38</v>
      </c>
      <c r="L451" s="7" t="str">
        <f>IF(VLOOKUP(A451,'[1]LISTA ETIQUETAS'!O:AB,14,0)="","",(VLOOKUP(A451,'[1]LISTA ETIQUETAS'!O:AB,14,0)))</f>
        <v/>
      </c>
      <c r="M451" s="8"/>
      <c r="N451" s="9">
        <f t="shared" si="19"/>
        <v>151533</v>
      </c>
      <c r="O451" s="2">
        <f>_xlfn.XLOOKUP($A451,'[1]LISTA ETIQUETAS'!$O:$O,'[1]LISTA ETIQUETAS'!C:C,"",0)</f>
        <v>0</v>
      </c>
      <c r="P451" s="2">
        <f>_xlfn.XLOOKUP($A451,'[1]LISTA ETIQUETAS'!$O:$O,'[1]LISTA ETIQUETAS'!D:D,"",0)</f>
        <v>0</v>
      </c>
      <c r="Q451" s="2">
        <f>_xlfn.XLOOKUP($A451,'[1]LISTA ETIQUETAS'!$O:$O,'[1]LISTA ETIQUETAS'!E:E,"",0)</f>
        <v>0</v>
      </c>
      <c r="R451" s="2">
        <f>_xlfn.XLOOKUP($A451,'[1]LISTA ETIQUETAS'!$O:$O,'[1]LISTA ETIQUETAS'!F:F,"",0)</f>
        <v>0</v>
      </c>
      <c r="S451" s="2">
        <f>_xlfn.XLOOKUP($A451,'[1]LISTA ETIQUETAS'!$O:$O,'[1]LISTA ETIQUETAS'!H:H,"",0)</f>
        <v>2</v>
      </c>
      <c r="T451" s="9">
        <f t="shared" si="20"/>
        <v>2</v>
      </c>
    </row>
    <row r="452" spans="1:20" x14ac:dyDescent="0.25">
      <c r="A452" s="5">
        <v>151454</v>
      </c>
      <c r="B452" t="str">
        <f>IFERROR((VLOOKUP(A452,'[1]LISTA ETIQUETAS'!O:X,3,0)),"PRODUTO SEM ESTOQUE")</f>
        <v>EST CADEIRA CRIS (APUI COR 10) TC 47/C</v>
      </c>
      <c r="C452" s="10" t="s">
        <v>253</v>
      </c>
      <c r="D452" s="10" t="s">
        <v>306</v>
      </c>
      <c r="E452" s="11">
        <f>IF(VLOOKUP(A452,'[1]LISTA ETIQUETAS'!O:W,4,0)="",(VLOOKUP(A452,'[1]LISTA ETIQUETAS'!O:W,6,0)),(VLOOKUP(A452,'[1]LISTA ETIQUETAS'!O:W,4,0)))</f>
        <v>0.56999999999999995</v>
      </c>
      <c r="F452" s="11">
        <f>IF(VLOOKUP(A452,'[1]LISTA ETIQUETAS'!O:W,5,0)="",(VLOOKUP(A452,'[1]LISTA ETIQUETAS'!O:W,7,0)),(VLOOKUP(A452,'[1]LISTA ETIQUETAS'!O:W,5,0)))</f>
        <v>0.63</v>
      </c>
      <c r="G452" s="11">
        <f>IFERROR((VLOOKUP(A452,'[1]LISTA ETIQUETAS'!O:X,8,0)),"")</f>
        <v>0.95</v>
      </c>
      <c r="H452" s="11">
        <f>IFERROR((VLOOKUP(A452,'[1]LISTA ETIQUETAS'!O:X,9,0)),"")</f>
        <v>0</v>
      </c>
      <c r="I452" s="12">
        <f>IFERROR((VLOOKUP(A452,'[1]LISTA ETIQUETAS'!O:Y,11,0)),"")</f>
        <v>0</v>
      </c>
      <c r="J452" s="6">
        <v>0</v>
      </c>
      <c r="K452" s="12">
        <f t="shared" si="21"/>
        <v>0</v>
      </c>
      <c r="L452" s="7" t="str">
        <f>IF(VLOOKUP(A452,'[1]LISTA ETIQUETAS'!O:AB,14,0)="","",(VLOOKUP(A452,'[1]LISTA ETIQUETAS'!O:AB,14,0)))</f>
        <v/>
      </c>
      <c r="M452" s="8"/>
      <c r="N452" s="9">
        <f t="shared" ref="N452:N515" si="22">IF(M452="",A452,M452)</f>
        <v>151454</v>
      </c>
      <c r="O452" s="2">
        <f>_xlfn.XLOOKUP($A452,'[1]LISTA ETIQUETAS'!$O:$O,'[1]LISTA ETIQUETAS'!C:C,"",0)</f>
        <v>0</v>
      </c>
      <c r="P452" s="2">
        <f>_xlfn.XLOOKUP($A452,'[1]LISTA ETIQUETAS'!$O:$O,'[1]LISTA ETIQUETAS'!D:D,"",0)</f>
        <v>0</v>
      </c>
      <c r="Q452" s="2">
        <f>_xlfn.XLOOKUP($A452,'[1]LISTA ETIQUETAS'!$O:$O,'[1]LISTA ETIQUETAS'!E:E,"",0)</f>
        <v>0</v>
      </c>
      <c r="R452" s="2">
        <f>_xlfn.XLOOKUP($A452,'[1]LISTA ETIQUETAS'!$O:$O,'[1]LISTA ETIQUETAS'!F:F,"",0)</f>
        <v>0</v>
      </c>
      <c r="S452" s="2">
        <f>_xlfn.XLOOKUP($A452,'[1]LISTA ETIQUETAS'!$O:$O,'[1]LISTA ETIQUETAS'!H:H,"",0)</f>
        <v>4</v>
      </c>
      <c r="T452" s="9">
        <f t="shared" ref="T452:T515" si="23">SUM(O452:S452)</f>
        <v>4</v>
      </c>
    </row>
    <row r="453" spans="1:20" x14ac:dyDescent="0.25">
      <c r="A453" s="5">
        <v>145524</v>
      </c>
      <c r="B453" t="str">
        <f>IFERROR((VLOOKUP(A453,'[1]LISTA ETIQUETAS'!O:X,3,0)),"PRODUTO SEM ESTOQUE")</f>
        <v>EST CADEIRA SMALL (EBANIZADO) TC 3013</v>
      </c>
      <c r="C453" s="10" t="s">
        <v>253</v>
      </c>
      <c r="D453" s="10" t="s">
        <v>305</v>
      </c>
      <c r="E453" s="11">
        <f>IF(VLOOKUP(A453,'[1]LISTA ETIQUETAS'!O:W,4,0)="",(VLOOKUP(A453,'[1]LISTA ETIQUETAS'!O:W,6,0)),(VLOOKUP(A453,'[1]LISTA ETIQUETAS'!O:W,4,0)))</f>
        <v>0.46</v>
      </c>
      <c r="F453" s="11">
        <f>IF(VLOOKUP(A453,'[1]LISTA ETIQUETAS'!O:W,5,0)="",(VLOOKUP(A453,'[1]LISTA ETIQUETAS'!O:W,7,0)),(VLOOKUP(A453,'[1]LISTA ETIQUETAS'!O:W,5,0)))</f>
        <v>0.56000000000000005</v>
      </c>
      <c r="G453" s="11">
        <f>IFERROR((VLOOKUP(A453,'[1]LISTA ETIQUETAS'!O:X,8,0)),"")</f>
        <v>0.86</v>
      </c>
      <c r="H453" s="11">
        <f>IFERROR((VLOOKUP(A453,'[1]LISTA ETIQUETAS'!O:X,9,0)),"")</f>
        <v>0</v>
      </c>
      <c r="I453" s="12">
        <f>IFERROR((VLOOKUP(A453,'[1]LISTA ETIQUETAS'!O:Y,11,0)),"")</f>
        <v>0</v>
      </c>
      <c r="J453" s="6">
        <v>0</v>
      </c>
      <c r="K453" s="12">
        <f t="shared" si="21"/>
        <v>0</v>
      </c>
      <c r="L453" s="7" t="str">
        <f>IF(VLOOKUP(A453,'[1]LISTA ETIQUETAS'!O:AB,14,0)="","",(VLOOKUP(A453,'[1]LISTA ETIQUETAS'!O:AB,14,0)))</f>
        <v/>
      </c>
      <c r="M453" s="8"/>
      <c r="N453" s="9">
        <f t="shared" si="22"/>
        <v>145524</v>
      </c>
      <c r="O453" s="2">
        <f>_xlfn.XLOOKUP($A453,'[1]LISTA ETIQUETAS'!$O:$O,'[1]LISTA ETIQUETAS'!C:C,"",0)</f>
        <v>0</v>
      </c>
      <c r="P453" s="2">
        <f>_xlfn.XLOOKUP($A453,'[1]LISTA ETIQUETAS'!$O:$O,'[1]LISTA ETIQUETAS'!D:D,"",0)</f>
        <v>0</v>
      </c>
      <c r="Q453" s="2">
        <f>_xlfn.XLOOKUP($A453,'[1]LISTA ETIQUETAS'!$O:$O,'[1]LISTA ETIQUETAS'!E:E,"",0)</f>
        <v>0</v>
      </c>
      <c r="R453" s="2">
        <f>_xlfn.XLOOKUP($A453,'[1]LISTA ETIQUETAS'!$O:$O,'[1]LISTA ETIQUETAS'!F:F,"",0)</f>
        <v>0</v>
      </c>
      <c r="S453" s="2">
        <f>_xlfn.XLOOKUP($A453,'[1]LISTA ETIQUETAS'!$O:$O,'[1]LISTA ETIQUETAS'!H:H,"",0)</f>
        <v>2</v>
      </c>
      <c r="T453" s="9">
        <f t="shared" si="23"/>
        <v>2</v>
      </c>
    </row>
    <row r="454" spans="1:20" x14ac:dyDescent="0.25">
      <c r="A454" s="5">
        <v>146965</v>
      </c>
      <c r="B454" t="str">
        <f>IFERROR((VLOOKUP(A454,'[1]LISTA ETIQUETAS'!O:X,3,0)),"PRODUTO SEM ESTOQUE")</f>
        <v>EST CADEIRA CHICAGO C/B (TELA DUP) (CATUABA PU) FACTOR BR</v>
      </c>
      <c r="C454" s="10" t="s">
        <v>253</v>
      </c>
      <c r="D454" s="10" t="s">
        <v>290</v>
      </c>
      <c r="E454" s="11">
        <f>IF(VLOOKUP(A454,'[1]LISTA ETIQUETAS'!O:W,4,0)="",(VLOOKUP(A454,'[1]LISTA ETIQUETAS'!O:W,6,0)),(VLOOKUP(A454,'[1]LISTA ETIQUETAS'!O:W,4,0)))</f>
        <v>0.45</v>
      </c>
      <c r="F454" s="11">
        <f>IF(VLOOKUP(A454,'[1]LISTA ETIQUETAS'!O:W,5,0)="",(VLOOKUP(A454,'[1]LISTA ETIQUETAS'!O:W,7,0)),(VLOOKUP(A454,'[1]LISTA ETIQUETAS'!O:W,5,0)))</f>
        <v>0.52</v>
      </c>
      <c r="G454" s="11">
        <f>IFERROR((VLOOKUP(A454,'[1]LISTA ETIQUETAS'!O:X,8,0)),"")</f>
        <v>0.84</v>
      </c>
      <c r="H454" s="11">
        <f>IFERROR((VLOOKUP(A454,'[1]LISTA ETIQUETAS'!O:X,9,0)),"")</f>
        <v>0</v>
      </c>
      <c r="I454" s="12">
        <f>IFERROR((VLOOKUP(A454,'[1]LISTA ETIQUETAS'!O:Y,11,0)),"")</f>
        <v>4403.21</v>
      </c>
      <c r="J454" s="6">
        <v>0</v>
      </c>
      <c r="K454" s="12">
        <f t="shared" si="21"/>
        <v>4403.21</v>
      </c>
      <c r="L454" s="7" t="str">
        <f>IF(VLOOKUP(A454,'[1]LISTA ETIQUETAS'!O:AB,14,0)="","",(VLOOKUP(A454,'[1]LISTA ETIQUETAS'!O:AB,14,0)))</f>
        <v/>
      </c>
      <c r="M454" s="8"/>
      <c r="N454" s="9">
        <f t="shared" si="22"/>
        <v>146965</v>
      </c>
      <c r="O454" s="2">
        <f>_xlfn.XLOOKUP($A454,'[1]LISTA ETIQUETAS'!$O:$O,'[1]LISTA ETIQUETAS'!C:C,"",0)</f>
        <v>0</v>
      </c>
      <c r="P454" s="2">
        <f>_xlfn.XLOOKUP($A454,'[1]LISTA ETIQUETAS'!$O:$O,'[1]LISTA ETIQUETAS'!D:D,"",0)</f>
        <v>0</v>
      </c>
      <c r="Q454" s="2">
        <f>_xlfn.XLOOKUP($A454,'[1]LISTA ETIQUETAS'!$O:$O,'[1]LISTA ETIQUETAS'!E:E,"",0)</f>
        <v>0</v>
      </c>
      <c r="R454" s="2">
        <f>_xlfn.XLOOKUP($A454,'[1]LISTA ETIQUETAS'!$O:$O,'[1]LISTA ETIQUETAS'!F:F,"",0)</f>
        <v>0</v>
      </c>
      <c r="S454" s="2">
        <f>_xlfn.XLOOKUP($A454,'[1]LISTA ETIQUETAS'!$O:$O,'[1]LISTA ETIQUETAS'!H:H,"",0)</f>
        <v>1</v>
      </c>
      <c r="T454" s="9">
        <f t="shared" si="23"/>
        <v>1</v>
      </c>
    </row>
    <row r="455" spans="1:20" x14ac:dyDescent="0.25">
      <c r="A455" s="5">
        <v>151358</v>
      </c>
      <c r="B455" t="str">
        <f>IFERROR((VLOOKUP(A455,'[1]LISTA ETIQUETAS'!O:X,3,0)),"PRODUTO SEM ESTOQUE")</f>
        <v>EST CADEIRA TEREZA C/BRACO (IMBUIA MEL) TC 11630</v>
      </c>
      <c r="C455" s="10" t="s">
        <v>253</v>
      </c>
      <c r="D455" s="10" t="s">
        <v>307</v>
      </c>
      <c r="E455" s="11">
        <f>IF(VLOOKUP(A455,'[1]LISTA ETIQUETAS'!O:W,4,0)="",(VLOOKUP(A455,'[1]LISTA ETIQUETAS'!O:W,6,0)),(VLOOKUP(A455,'[1]LISTA ETIQUETAS'!O:W,4,0)))</f>
        <v>0.63</v>
      </c>
      <c r="F455" s="11">
        <f>IF(VLOOKUP(A455,'[1]LISTA ETIQUETAS'!O:W,5,0)="",(VLOOKUP(A455,'[1]LISTA ETIQUETAS'!O:W,7,0)),(VLOOKUP(A455,'[1]LISTA ETIQUETAS'!O:W,5,0)))</f>
        <v>0.52</v>
      </c>
      <c r="G455" s="11">
        <f>IFERROR((VLOOKUP(A455,'[1]LISTA ETIQUETAS'!O:X,8,0)),"")</f>
        <v>0.83</v>
      </c>
      <c r="H455" s="11">
        <f>IFERROR((VLOOKUP(A455,'[1]LISTA ETIQUETAS'!O:X,9,0)),"")</f>
        <v>0</v>
      </c>
      <c r="I455" s="12">
        <f>IFERROR((VLOOKUP(A455,'[1]LISTA ETIQUETAS'!O:Y,11,0)),"")</f>
        <v>0</v>
      </c>
      <c r="J455" s="6">
        <v>0</v>
      </c>
      <c r="K455" s="12">
        <f t="shared" si="21"/>
        <v>0</v>
      </c>
      <c r="L455" s="7" t="str">
        <f>IF(VLOOKUP(A455,'[1]LISTA ETIQUETAS'!O:AB,14,0)="","",(VLOOKUP(A455,'[1]LISTA ETIQUETAS'!O:AB,14,0)))</f>
        <v/>
      </c>
      <c r="M455" s="8"/>
      <c r="N455" s="9">
        <f t="shared" si="22"/>
        <v>151358</v>
      </c>
      <c r="O455" s="2">
        <f>_xlfn.XLOOKUP($A455,'[1]LISTA ETIQUETAS'!$O:$O,'[1]LISTA ETIQUETAS'!C:C,"",0)</f>
        <v>0</v>
      </c>
      <c r="P455" s="2">
        <f>_xlfn.XLOOKUP($A455,'[1]LISTA ETIQUETAS'!$O:$O,'[1]LISTA ETIQUETAS'!D:D,"",0)</f>
        <v>0</v>
      </c>
      <c r="Q455" s="2">
        <f>_xlfn.XLOOKUP($A455,'[1]LISTA ETIQUETAS'!$O:$O,'[1]LISTA ETIQUETAS'!E:E,"",0)</f>
        <v>0</v>
      </c>
      <c r="R455" s="2">
        <f>_xlfn.XLOOKUP($A455,'[1]LISTA ETIQUETAS'!$O:$O,'[1]LISTA ETIQUETAS'!F:F,"",0)</f>
        <v>0</v>
      </c>
      <c r="S455" s="2">
        <f>_xlfn.XLOOKUP($A455,'[1]LISTA ETIQUETAS'!$O:$O,'[1]LISTA ETIQUETAS'!H:H,"",0)</f>
        <v>2</v>
      </c>
      <c r="T455" s="9">
        <f t="shared" si="23"/>
        <v>2</v>
      </c>
    </row>
    <row r="456" spans="1:20" x14ac:dyDescent="0.25">
      <c r="A456" s="5">
        <v>151638</v>
      </c>
      <c r="B456" t="str">
        <f>IFERROR((VLOOKUP(A456,'[1]LISTA ETIQUETAS'!O:X,3,0)),"PRODUTO SEM ESTOQUE")</f>
        <v>EST CADEIRA MEDALHAO (ESTOFADA) (LACA PRETA) TC SEDA 9739</v>
      </c>
      <c r="C456" s="10" t="s">
        <v>253</v>
      </c>
      <c r="D456" s="10" t="s">
        <v>308</v>
      </c>
      <c r="E456" s="11">
        <f>IF(VLOOKUP(A456,'[1]LISTA ETIQUETAS'!O:W,4,0)="",(VLOOKUP(A456,'[1]LISTA ETIQUETAS'!O:W,6,0)),(VLOOKUP(A456,'[1]LISTA ETIQUETAS'!O:W,4,0)))</f>
        <v>0.51</v>
      </c>
      <c r="F456" s="11">
        <f>IF(VLOOKUP(A456,'[1]LISTA ETIQUETAS'!O:W,5,0)="",(VLOOKUP(A456,'[1]LISTA ETIQUETAS'!O:W,7,0)),(VLOOKUP(A456,'[1]LISTA ETIQUETAS'!O:W,5,0)))</f>
        <v>0.52</v>
      </c>
      <c r="G456" s="11">
        <f>IFERROR((VLOOKUP(A456,'[1]LISTA ETIQUETAS'!O:X,8,0)),"")</f>
        <v>0.95</v>
      </c>
      <c r="H456" s="11">
        <f>IFERROR((VLOOKUP(A456,'[1]LISTA ETIQUETAS'!O:X,9,0)),"")</f>
        <v>0</v>
      </c>
      <c r="I456" s="12">
        <f>IFERROR((VLOOKUP(A456,'[1]LISTA ETIQUETAS'!O:Y,11,0)),"")</f>
        <v>0</v>
      </c>
      <c r="J456" s="6">
        <v>0</v>
      </c>
      <c r="K456" s="12">
        <f t="shared" si="21"/>
        <v>0</v>
      </c>
      <c r="L456" s="7" t="str">
        <f>IF(VLOOKUP(A456,'[1]LISTA ETIQUETAS'!O:AB,14,0)="","",(VLOOKUP(A456,'[1]LISTA ETIQUETAS'!O:AB,14,0)))</f>
        <v/>
      </c>
      <c r="M456" s="8"/>
      <c r="N456" s="9">
        <f t="shared" si="22"/>
        <v>151638</v>
      </c>
      <c r="O456" s="2">
        <f>_xlfn.XLOOKUP($A456,'[1]LISTA ETIQUETAS'!$O:$O,'[1]LISTA ETIQUETAS'!C:C,"",0)</f>
        <v>0</v>
      </c>
      <c r="P456" s="2">
        <f>_xlfn.XLOOKUP($A456,'[1]LISTA ETIQUETAS'!$O:$O,'[1]LISTA ETIQUETAS'!D:D,"",0)</f>
        <v>0</v>
      </c>
      <c r="Q456" s="2">
        <f>_xlfn.XLOOKUP($A456,'[1]LISTA ETIQUETAS'!$O:$O,'[1]LISTA ETIQUETAS'!E:E,"",0)</f>
        <v>0</v>
      </c>
      <c r="R456" s="2">
        <f>_xlfn.XLOOKUP($A456,'[1]LISTA ETIQUETAS'!$O:$O,'[1]LISTA ETIQUETAS'!F:F,"",0)</f>
        <v>0</v>
      </c>
      <c r="S456" s="2">
        <f>_xlfn.XLOOKUP($A456,'[1]LISTA ETIQUETAS'!$O:$O,'[1]LISTA ETIQUETAS'!H:H,"",0)</f>
        <v>4</v>
      </c>
      <c r="T456" s="9">
        <f t="shared" si="23"/>
        <v>4</v>
      </c>
    </row>
    <row r="457" spans="1:20" x14ac:dyDescent="0.25">
      <c r="A457" s="5">
        <v>163757</v>
      </c>
      <c r="B457" t="str">
        <f>IFERROR((VLOOKUP(A457,'[1]LISTA ETIQUETAS'!O:X,3,0)),"PRODUTO SEM ESTOQUE")</f>
        <v>EST CADEIRA SMALL (ENVELHECIDO) TC 2008</v>
      </c>
      <c r="C457" s="10" t="s">
        <v>253</v>
      </c>
      <c r="D457" s="10" t="s">
        <v>305</v>
      </c>
      <c r="E457" s="11">
        <f>IF(VLOOKUP(A457,'[1]LISTA ETIQUETAS'!O:W,4,0)="",(VLOOKUP(A457,'[1]LISTA ETIQUETAS'!O:W,6,0)),(VLOOKUP(A457,'[1]LISTA ETIQUETAS'!O:W,4,0)))</f>
        <v>0.46</v>
      </c>
      <c r="F457" s="11">
        <f>IF(VLOOKUP(A457,'[1]LISTA ETIQUETAS'!O:W,5,0)="",(VLOOKUP(A457,'[1]LISTA ETIQUETAS'!O:W,7,0)),(VLOOKUP(A457,'[1]LISTA ETIQUETAS'!O:W,5,0)))</f>
        <v>0.56000000000000005</v>
      </c>
      <c r="G457" s="11">
        <f>IFERROR((VLOOKUP(A457,'[1]LISTA ETIQUETAS'!O:X,8,0)),"")</f>
        <v>0.86</v>
      </c>
      <c r="H457" s="11">
        <f>IFERROR((VLOOKUP(A457,'[1]LISTA ETIQUETAS'!O:X,9,0)),"")</f>
        <v>0</v>
      </c>
      <c r="I457" s="12">
        <f>IFERROR((VLOOKUP(A457,'[1]LISTA ETIQUETAS'!O:Y,11,0)),"")</f>
        <v>0</v>
      </c>
      <c r="J457" s="6">
        <v>0</v>
      </c>
      <c r="K457" s="12">
        <f t="shared" si="21"/>
        <v>0</v>
      </c>
      <c r="L457" s="7" t="str">
        <f>IF(VLOOKUP(A457,'[1]LISTA ETIQUETAS'!O:AB,14,0)="","",(VLOOKUP(A457,'[1]LISTA ETIQUETAS'!O:AB,14,0)))</f>
        <v/>
      </c>
      <c r="M457" s="8"/>
      <c r="N457" s="9">
        <f t="shared" si="22"/>
        <v>163757</v>
      </c>
      <c r="O457" s="2">
        <f>_xlfn.XLOOKUP($A457,'[1]LISTA ETIQUETAS'!$O:$O,'[1]LISTA ETIQUETAS'!C:C,"",0)</f>
        <v>0</v>
      </c>
      <c r="P457" s="2">
        <f>_xlfn.XLOOKUP($A457,'[1]LISTA ETIQUETAS'!$O:$O,'[1]LISTA ETIQUETAS'!D:D,"",0)</f>
        <v>0</v>
      </c>
      <c r="Q457" s="2">
        <f>_xlfn.XLOOKUP($A457,'[1]LISTA ETIQUETAS'!$O:$O,'[1]LISTA ETIQUETAS'!E:E,"",0)</f>
        <v>0</v>
      </c>
      <c r="R457" s="2">
        <f>_xlfn.XLOOKUP($A457,'[1]LISTA ETIQUETAS'!$O:$O,'[1]LISTA ETIQUETAS'!F:F,"",0)</f>
        <v>0</v>
      </c>
      <c r="S457" s="2">
        <f>_xlfn.XLOOKUP($A457,'[1]LISTA ETIQUETAS'!$O:$O,'[1]LISTA ETIQUETAS'!H:H,"",0)</f>
        <v>1</v>
      </c>
      <c r="T457" s="9">
        <f t="shared" si="23"/>
        <v>1</v>
      </c>
    </row>
    <row r="458" spans="1:20" x14ac:dyDescent="0.25">
      <c r="A458" s="5">
        <v>166756</v>
      </c>
      <c r="B458" t="str">
        <f>IFERROR((VLOOKUP(A458,'[1]LISTA ETIQUETAS'!O:X,3,0)),"PRODUTO SEM ESTOQUE")</f>
        <v>EST CADEIRA BASICA (ROCCO)</v>
      </c>
      <c r="C458" s="10" t="s">
        <v>253</v>
      </c>
      <c r="D458" s="10" t="s">
        <v>309</v>
      </c>
      <c r="E458" s="11">
        <f>IF(VLOOKUP(A458,'[1]LISTA ETIQUETAS'!O:W,4,0)="",(VLOOKUP(A458,'[1]LISTA ETIQUETAS'!O:W,6,0)),(VLOOKUP(A458,'[1]LISTA ETIQUETAS'!O:W,4,0)))</f>
        <v>0</v>
      </c>
      <c r="F458" s="11">
        <f>IF(VLOOKUP(A458,'[1]LISTA ETIQUETAS'!O:W,5,0)="",(VLOOKUP(A458,'[1]LISTA ETIQUETAS'!O:W,7,0)),(VLOOKUP(A458,'[1]LISTA ETIQUETAS'!O:W,5,0)))</f>
        <v>0</v>
      </c>
      <c r="G458" s="11">
        <f>IFERROR((VLOOKUP(A458,'[1]LISTA ETIQUETAS'!O:X,8,0)),"")</f>
        <v>0</v>
      </c>
      <c r="H458" s="11">
        <f>IFERROR((VLOOKUP(A458,'[1]LISTA ETIQUETAS'!O:X,9,0)),"")</f>
        <v>0</v>
      </c>
      <c r="I458" s="12">
        <f>IFERROR((VLOOKUP(A458,'[1]LISTA ETIQUETAS'!O:Y,11,0)),"")</f>
        <v>0</v>
      </c>
      <c r="J458" s="6">
        <v>0</v>
      </c>
      <c r="K458" s="12">
        <f t="shared" si="21"/>
        <v>0</v>
      </c>
      <c r="L458" s="7" t="str">
        <f>IF(VLOOKUP(A458,'[1]LISTA ETIQUETAS'!O:AB,14,0)="","",(VLOOKUP(A458,'[1]LISTA ETIQUETAS'!O:AB,14,0)))</f>
        <v/>
      </c>
      <c r="M458" s="8"/>
      <c r="N458" s="9">
        <f t="shared" si="22"/>
        <v>166756</v>
      </c>
      <c r="O458" s="2">
        <f>_xlfn.XLOOKUP($A458,'[1]LISTA ETIQUETAS'!$O:$O,'[1]LISTA ETIQUETAS'!C:C,"",0)</f>
        <v>0</v>
      </c>
      <c r="P458" s="2">
        <f>_xlfn.XLOOKUP($A458,'[1]LISTA ETIQUETAS'!$O:$O,'[1]LISTA ETIQUETAS'!D:D,"",0)</f>
        <v>0</v>
      </c>
      <c r="Q458" s="2">
        <f>_xlfn.XLOOKUP($A458,'[1]LISTA ETIQUETAS'!$O:$O,'[1]LISTA ETIQUETAS'!E:E,"",0)</f>
        <v>0</v>
      </c>
      <c r="R458" s="2">
        <f>_xlfn.XLOOKUP($A458,'[1]LISTA ETIQUETAS'!$O:$O,'[1]LISTA ETIQUETAS'!F:F,"",0)</f>
        <v>0</v>
      </c>
      <c r="S458" s="2">
        <f>_xlfn.XLOOKUP($A458,'[1]LISTA ETIQUETAS'!$O:$O,'[1]LISTA ETIQUETAS'!H:H,"",0)</f>
        <v>1</v>
      </c>
      <c r="T458" s="9">
        <f t="shared" si="23"/>
        <v>1</v>
      </c>
    </row>
    <row r="459" spans="1:20" x14ac:dyDescent="0.25">
      <c r="A459" s="5">
        <v>176795</v>
      </c>
      <c r="B459" t="str">
        <f>IFERROR((VLOOKUP(A459,'[1]LISTA ETIQUETAS'!O:X,3,0)),"PRODUTO SEM ESTOQUE")</f>
        <v>EST CADEIRA JOY (COR 01) TC LIBERTY WASHED LB-011</v>
      </c>
      <c r="C459" s="10" t="s">
        <v>253</v>
      </c>
      <c r="D459" s="10" t="s">
        <v>310</v>
      </c>
      <c r="E459" s="11">
        <f>IF(VLOOKUP(A459,'[1]LISTA ETIQUETAS'!O:W,4,0)="",(VLOOKUP(A459,'[1]LISTA ETIQUETAS'!O:W,6,0)),(VLOOKUP(A459,'[1]LISTA ETIQUETAS'!O:W,4,0)))</f>
        <v>0.45</v>
      </c>
      <c r="F459" s="11">
        <f>IF(VLOOKUP(A459,'[1]LISTA ETIQUETAS'!O:W,5,0)="",(VLOOKUP(A459,'[1]LISTA ETIQUETAS'!O:W,7,0)),(VLOOKUP(A459,'[1]LISTA ETIQUETAS'!O:W,5,0)))</f>
        <v>0.59</v>
      </c>
      <c r="G459" s="11">
        <f>IFERROR((VLOOKUP(A459,'[1]LISTA ETIQUETAS'!O:X,8,0)),"")</f>
        <v>0.8</v>
      </c>
      <c r="H459" s="11">
        <f>IFERROR((VLOOKUP(A459,'[1]LISTA ETIQUETAS'!O:X,9,0)),"")</f>
        <v>0</v>
      </c>
      <c r="I459" s="12" t="str">
        <f>IFERROR((VLOOKUP(A459,'[1]LISTA ETIQUETAS'!O:Y,11,0)),"")</f>
        <v/>
      </c>
      <c r="J459" s="6">
        <v>0</v>
      </c>
      <c r="K459" s="12" t="str">
        <f t="shared" si="21"/>
        <v/>
      </c>
      <c r="L459" s="7" t="str">
        <f>IF(VLOOKUP(A459,'[1]LISTA ETIQUETAS'!O:AB,14,0)="","",(VLOOKUP(A459,'[1]LISTA ETIQUETAS'!O:AB,14,0)))</f>
        <v/>
      </c>
      <c r="M459" s="8"/>
      <c r="N459" s="9">
        <f t="shared" si="22"/>
        <v>176795</v>
      </c>
      <c r="O459" s="2">
        <f>_xlfn.XLOOKUP($A459,'[1]LISTA ETIQUETAS'!$O:$O,'[1]LISTA ETIQUETAS'!C:C,"",0)</f>
        <v>0</v>
      </c>
      <c r="P459" s="2">
        <f>_xlfn.XLOOKUP($A459,'[1]LISTA ETIQUETAS'!$O:$O,'[1]LISTA ETIQUETAS'!D:D,"",0)</f>
        <v>0</v>
      </c>
      <c r="Q459" s="2">
        <f>_xlfn.XLOOKUP($A459,'[1]LISTA ETIQUETAS'!$O:$O,'[1]LISTA ETIQUETAS'!E:E,"",0)</f>
        <v>0</v>
      </c>
      <c r="R459" s="2">
        <f>_xlfn.XLOOKUP($A459,'[1]LISTA ETIQUETAS'!$O:$O,'[1]LISTA ETIQUETAS'!F:F,"",0)</f>
        <v>0</v>
      </c>
      <c r="S459" s="2">
        <f>_xlfn.XLOOKUP($A459,'[1]LISTA ETIQUETAS'!$O:$O,'[1]LISTA ETIQUETAS'!H:H,"",0)</f>
        <v>1</v>
      </c>
      <c r="T459" s="9">
        <f t="shared" si="23"/>
        <v>1</v>
      </c>
    </row>
    <row r="460" spans="1:20" x14ac:dyDescent="0.25">
      <c r="A460" s="5">
        <v>176793</v>
      </c>
      <c r="B460" t="str">
        <f>IFERROR((VLOOKUP(A460,'[1]LISTA ETIQUETAS'!O:X,3,0)),"PRODUTO SEM ESTOQUE")</f>
        <v>EST CADEIRA MILLA 160 C/BRACO (COR 01) (TELA) (TC LB-011)</v>
      </c>
      <c r="C460" s="10" t="s">
        <v>253</v>
      </c>
      <c r="D460" s="10" t="s">
        <v>284</v>
      </c>
      <c r="E460" s="11">
        <f>IF(VLOOKUP(A460,'[1]LISTA ETIQUETAS'!O:W,4,0)="",(VLOOKUP(A460,'[1]LISTA ETIQUETAS'!O:W,6,0)),(VLOOKUP(A460,'[1]LISTA ETIQUETAS'!O:W,4,0)))</f>
        <v>0.56999999999999995</v>
      </c>
      <c r="F460" s="11">
        <f>IF(VLOOKUP(A460,'[1]LISTA ETIQUETAS'!O:W,5,0)="",(VLOOKUP(A460,'[1]LISTA ETIQUETAS'!O:W,7,0)),(VLOOKUP(A460,'[1]LISTA ETIQUETAS'!O:W,5,0)))</f>
        <v>0.57999999999999996</v>
      </c>
      <c r="G460" s="11">
        <f>IFERROR((VLOOKUP(A460,'[1]LISTA ETIQUETAS'!O:X,8,0)),"")</f>
        <v>0.8</v>
      </c>
      <c r="H460" s="11">
        <f>IFERROR((VLOOKUP(A460,'[1]LISTA ETIQUETAS'!O:X,9,0)),"")</f>
        <v>0</v>
      </c>
      <c r="I460" s="12" t="str">
        <f>IFERROR((VLOOKUP(A460,'[1]LISTA ETIQUETAS'!O:Y,11,0)),"")</f>
        <v/>
      </c>
      <c r="J460" s="6">
        <v>0</v>
      </c>
      <c r="K460" s="12" t="str">
        <f t="shared" si="21"/>
        <v/>
      </c>
      <c r="L460" s="7" t="str">
        <f>IF(VLOOKUP(A460,'[1]LISTA ETIQUETAS'!O:AB,14,0)="","",(VLOOKUP(A460,'[1]LISTA ETIQUETAS'!O:AB,14,0)))</f>
        <v/>
      </c>
      <c r="M460" s="8"/>
      <c r="N460" s="9">
        <f t="shared" si="22"/>
        <v>176793</v>
      </c>
      <c r="O460" s="2">
        <f>_xlfn.XLOOKUP($A460,'[1]LISTA ETIQUETAS'!$O:$O,'[1]LISTA ETIQUETAS'!C:C,"",0)</f>
        <v>0</v>
      </c>
      <c r="P460" s="2">
        <f>_xlfn.XLOOKUP($A460,'[1]LISTA ETIQUETAS'!$O:$O,'[1]LISTA ETIQUETAS'!D:D,"",0)</f>
        <v>0</v>
      </c>
      <c r="Q460" s="2">
        <f>_xlfn.XLOOKUP($A460,'[1]LISTA ETIQUETAS'!$O:$O,'[1]LISTA ETIQUETAS'!E:E,"",0)</f>
        <v>0</v>
      </c>
      <c r="R460" s="2">
        <f>_xlfn.XLOOKUP($A460,'[1]LISTA ETIQUETAS'!$O:$O,'[1]LISTA ETIQUETAS'!F:F,"",0)</f>
        <v>0</v>
      </c>
      <c r="S460" s="2">
        <f>_xlfn.XLOOKUP($A460,'[1]LISTA ETIQUETAS'!$O:$O,'[1]LISTA ETIQUETAS'!H:H,"",0)</f>
        <v>1</v>
      </c>
      <c r="T460" s="9">
        <f t="shared" si="23"/>
        <v>1</v>
      </c>
    </row>
    <row r="461" spans="1:20" x14ac:dyDescent="0.25">
      <c r="A461" s="5">
        <v>176791</v>
      </c>
      <c r="B461" t="str">
        <f>IFERROR((VLOOKUP(A461,'[1]LISTA ETIQUETAS'!O:X,3,0)),"PRODUTO SEM ESTOQUE")</f>
        <v>EST CADEIRA MILLA 360 (TELA NT) (COR01/TC LIBERTY011)</v>
      </c>
      <c r="C461" s="10" t="s">
        <v>253</v>
      </c>
      <c r="D461" s="10" t="s">
        <v>284</v>
      </c>
      <c r="E461" s="11">
        <f>IF(VLOOKUP(A461,'[1]LISTA ETIQUETAS'!O:W,4,0)="",(VLOOKUP(A461,'[1]LISTA ETIQUETAS'!O:W,6,0)),(VLOOKUP(A461,'[1]LISTA ETIQUETAS'!O:W,4,0)))</f>
        <v>0.59</v>
      </c>
      <c r="F461" s="11">
        <f>IF(VLOOKUP(A461,'[1]LISTA ETIQUETAS'!O:W,5,0)="",(VLOOKUP(A461,'[1]LISTA ETIQUETAS'!O:W,7,0)),(VLOOKUP(A461,'[1]LISTA ETIQUETAS'!O:W,5,0)))</f>
        <v>0.53</v>
      </c>
      <c r="G461" s="11">
        <f>IFERROR((VLOOKUP(A461,'[1]LISTA ETIQUETAS'!O:X,8,0)),"")</f>
        <v>0.8</v>
      </c>
      <c r="H461" s="11">
        <f>IFERROR((VLOOKUP(A461,'[1]LISTA ETIQUETAS'!O:X,9,0)),"")</f>
        <v>0</v>
      </c>
      <c r="I461" s="12" t="str">
        <f>IFERROR((VLOOKUP(A461,'[1]LISTA ETIQUETAS'!O:Y,11,0)),"")</f>
        <v/>
      </c>
      <c r="J461" s="6">
        <v>0</v>
      </c>
      <c r="K461" s="12" t="str">
        <f t="shared" si="21"/>
        <v/>
      </c>
      <c r="L461" s="7" t="str">
        <f>IF(VLOOKUP(A461,'[1]LISTA ETIQUETAS'!O:AB,14,0)="","",(VLOOKUP(A461,'[1]LISTA ETIQUETAS'!O:AB,14,0)))</f>
        <v/>
      </c>
      <c r="M461" s="8"/>
      <c r="N461" s="9">
        <f t="shared" si="22"/>
        <v>176791</v>
      </c>
      <c r="O461" s="2">
        <f>_xlfn.XLOOKUP($A461,'[1]LISTA ETIQUETAS'!$O:$O,'[1]LISTA ETIQUETAS'!C:C,"",0)</f>
        <v>0</v>
      </c>
      <c r="P461" s="2">
        <f>_xlfn.XLOOKUP($A461,'[1]LISTA ETIQUETAS'!$O:$O,'[1]LISTA ETIQUETAS'!D:D,"",0)</f>
        <v>0</v>
      </c>
      <c r="Q461" s="2">
        <f>_xlfn.XLOOKUP($A461,'[1]LISTA ETIQUETAS'!$O:$O,'[1]LISTA ETIQUETAS'!E:E,"",0)</f>
        <v>0</v>
      </c>
      <c r="R461" s="2">
        <f>_xlfn.XLOOKUP($A461,'[1]LISTA ETIQUETAS'!$O:$O,'[1]LISTA ETIQUETAS'!F:F,"",0)</f>
        <v>0</v>
      </c>
      <c r="S461" s="2">
        <f>_xlfn.XLOOKUP($A461,'[1]LISTA ETIQUETAS'!$O:$O,'[1]LISTA ETIQUETAS'!H:H,"",0)</f>
        <v>1</v>
      </c>
      <c r="T461" s="9">
        <f t="shared" si="23"/>
        <v>1</v>
      </c>
    </row>
    <row r="462" spans="1:20" x14ac:dyDescent="0.25">
      <c r="A462" s="5">
        <v>176790</v>
      </c>
      <c r="B462" t="str">
        <f>IFERROR((VLOOKUP(A462,'[1]LISTA ETIQUETAS'!O:X,3,0)),"PRODUTO SEM ESTOQUE")</f>
        <v>EST CADEIRA MILLA 300 (ESTOFADA) (COR 01/TC LIBERTY011)</v>
      </c>
      <c r="C462" s="10" t="s">
        <v>253</v>
      </c>
      <c r="D462" s="10" t="s">
        <v>284</v>
      </c>
      <c r="E462" s="11">
        <f>IF(VLOOKUP(A462,'[1]LISTA ETIQUETAS'!O:W,4,0)="",(VLOOKUP(A462,'[1]LISTA ETIQUETAS'!O:W,6,0)),(VLOOKUP(A462,'[1]LISTA ETIQUETAS'!O:W,4,0)))</f>
        <v>0.59</v>
      </c>
      <c r="F462" s="11">
        <f>IF(VLOOKUP(A462,'[1]LISTA ETIQUETAS'!O:W,5,0)="",(VLOOKUP(A462,'[1]LISTA ETIQUETAS'!O:W,7,0)),(VLOOKUP(A462,'[1]LISTA ETIQUETAS'!O:W,5,0)))</f>
        <v>0.53</v>
      </c>
      <c r="G462" s="11">
        <f>IFERROR((VLOOKUP(A462,'[1]LISTA ETIQUETAS'!O:X,8,0)),"")</f>
        <v>0.8</v>
      </c>
      <c r="H462" s="11">
        <f>IFERROR((VLOOKUP(A462,'[1]LISTA ETIQUETAS'!O:X,9,0)),"")</f>
        <v>0</v>
      </c>
      <c r="I462" s="12" t="str">
        <f>IFERROR((VLOOKUP(A462,'[1]LISTA ETIQUETAS'!O:Y,11,0)),"")</f>
        <v/>
      </c>
      <c r="J462" s="6">
        <v>0</v>
      </c>
      <c r="K462" s="12" t="str">
        <f t="shared" si="21"/>
        <v/>
      </c>
      <c r="L462" s="7" t="str">
        <f>IF(VLOOKUP(A462,'[1]LISTA ETIQUETAS'!O:AB,14,0)="","",(VLOOKUP(A462,'[1]LISTA ETIQUETAS'!O:AB,14,0)))</f>
        <v/>
      </c>
      <c r="M462" s="8"/>
      <c r="N462" s="9">
        <f t="shared" si="22"/>
        <v>176790</v>
      </c>
      <c r="O462" s="2">
        <f>_xlfn.XLOOKUP($A462,'[1]LISTA ETIQUETAS'!$O:$O,'[1]LISTA ETIQUETAS'!C:C,"",0)</f>
        <v>0</v>
      </c>
      <c r="P462" s="2">
        <f>_xlfn.XLOOKUP($A462,'[1]LISTA ETIQUETAS'!$O:$O,'[1]LISTA ETIQUETAS'!D:D,"",0)</f>
        <v>0</v>
      </c>
      <c r="Q462" s="2">
        <f>_xlfn.XLOOKUP($A462,'[1]LISTA ETIQUETAS'!$O:$O,'[1]LISTA ETIQUETAS'!E:E,"",0)</f>
        <v>0</v>
      </c>
      <c r="R462" s="2">
        <f>_xlfn.XLOOKUP($A462,'[1]LISTA ETIQUETAS'!$O:$O,'[1]LISTA ETIQUETAS'!F:F,"",0)</f>
        <v>0</v>
      </c>
      <c r="S462" s="2">
        <f>_xlfn.XLOOKUP($A462,'[1]LISTA ETIQUETAS'!$O:$O,'[1]LISTA ETIQUETAS'!H:H,"",0)</f>
        <v>1</v>
      </c>
      <c r="T462" s="9">
        <f t="shared" si="23"/>
        <v>1</v>
      </c>
    </row>
    <row r="463" spans="1:20" x14ac:dyDescent="0.25">
      <c r="A463" s="5">
        <v>176789</v>
      </c>
      <c r="B463" t="str">
        <f>IFERROR((VLOOKUP(A463,'[1]LISTA ETIQUETAS'!O:X,3,0)),"PRODUTO SEM ESTOQUE")</f>
        <v>EST CADEIRA MILLA 520 C/BRACO (COR 01) (ESTOFADA TC LB-011)</v>
      </c>
      <c r="C463" s="10" t="s">
        <v>253</v>
      </c>
      <c r="D463" s="10" t="s">
        <v>284</v>
      </c>
      <c r="E463" s="11">
        <f>IF(VLOOKUP(A463,'[1]LISTA ETIQUETAS'!O:W,4,0)="",(VLOOKUP(A463,'[1]LISTA ETIQUETAS'!O:W,6,0)),(VLOOKUP(A463,'[1]LISTA ETIQUETAS'!O:W,4,0)))</f>
        <v>0.56999999999999995</v>
      </c>
      <c r="F463" s="11">
        <f>IF(VLOOKUP(A463,'[1]LISTA ETIQUETAS'!O:W,5,0)="",(VLOOKUP(A463,'[1]LISTA ETIQUETAS'!O:W,7,0)),(VLOOKUP(A463,'[1]LISTA ETIQUETAS'!O:W,5,0)))</f>
        <v>0.57999999999999996</v>
      </c>
      <c r="G463" s="11">
        <f>IFERROR((VLOOKUP(A463,'[1]LISTA ETIQUETAS'!O:X,8,0)),"")</f>
        <v>0.8</v>
      </c>
      <c r="H463" s="11">
        <f>IFERROR((VLOOKUP(A463,'[1]LISTA ETIQUETAS'!O:X,9,0)),"")</f>
        <v>0</v>
      </c>
      <c r="I463" s="12" t="str">
        <f>IFERROR((VLOOKUP(A463,'[1]LISTA ETIQUETAS'!O:Y,11,0)),"")</f>
        <v/>
      </c>
      <c r="J463" s="6">
        <v>0</v>
      </c>
      <c r="K463" s="12" t="str">
        <f t="shared" si="21"/>
        <v/>
      </c>
      <c r="L463" s="7" t="str">
        <f>IF(VLOOKUP(A463,'[1]LISTA ETIQUETAS'!O:AB,14,0)="","",(VLOOKUP(A463,'[1]LISTA ETIQUETAS'!O:AB,14,0)))</f>
        <v/>
      </c>
      <c r="M463" s="8"/>
      <c r="N463" s="9">
        <f t="shared" si="22"/>
        <v>176789</v>
      </c>
      <c r="O463" s="2">
        <f>_xlfn.XLOOKUP($A463,'[1]LISTA ETIQUETAS'!$O:$O,'[1]LISTA ETIQUETAS'!C:C,"",0)</f>
        <v>0</v>
      </c>
      <c r="P463" s="2">
        <f>_xlfn.XLOOKUP($A463,'[1]LISTA ETIQUETAS'!$O:$O,'[1]LISTA ETIQUETAS'!D:D,"",0)</f>
        <v>0</v>
      </c>
      <c r="Q463" s="2">
        <f>_xlfn.XLOOKUP($A463,'[1]LISTA ETIQUETAS'!$O:$O,'[1]LISTA ETIQUETAS'!E:E,"",0)</f>
        <v>0</v>
      </c>
      <c r="R463" s="2">
        <f>_xlfn.XLOOKUP($A463,'[1]LISTA ETIQUETAS'!$O:$O,'[1]LISTA ETIQUETAS'!F:F,"",0)</f>
        <v>0</v>
      </c>
      <c r="S463" s="2">
        <f>_xlfn.XLOOKUP($A463,'[1]LISTA ETIQUETAS'!$O:$O,'[1]LISTA ETIQUETAS'!H:H,"",0)</f>
        <v>1</v>
      </c>
      <c r="T463" s="9">
        <f t="shared" si="23"/>
        <v>1</v>
      </c>
    </row>
    <row r="464" spans="1:20" x14ac:dyDescent="0.25">
      <c r="A464" s="5">
        <v>174050</v>
      </c>
      <c r="B464" t="str">
        <f>IFERROR((VLOOKUP(A464,'[1]LISTA ETIQUETAS'!O:X,3,0)),"PRODUTO SEM ESTOQUE")</f>
        <v>EST CADEIRA GIO C/BRACO ESTOFADA (TAUARI COR 01) (TC 90#5)</v>
      </c>
      <c r="C464" s="10" t="s">
        <v>253</v>
      </c>
      <c r="D464" s="10" t="s">
        <v>311</v>
      </c>
      <c r="E464" s="11">
        <f>IF(VLOOKUP(A464,'[1]LISTA ETIQUETAS'!O:W,4,0)="",(VLOOKUP(A464,'[1]LISTA ETIQUETAS'!O:W,6,0)),(VLOOKUP(A464,'[1]LISTA ETIQUETAS'!O:W,4,0)))</f>
        <v>0.54</v>
      </c>
      <c r="F464" s="11">
        <f>IF(VLOOKUP(A464,'[1]LISTA ETIQUETAS'!O:W,5,0)="",(VLOOKUP(A464,'[1]LISTA ETIQUETAS'!O:W,7,0)),(VLOOKUP(A464,'[1]LISTA ETIQUETAS'!O:W,5,0)))</f>
        <v>0.6</v>
      </c>
      <c r="G464" s="11">
        <f>IFERROR((VLOOKUP(A464,'[1]LISTA ETIQUETAS'!O:X,8,0)),"")</f>
        <v>0.83</v>
      </c>
      <c r="H464" s="11">
        <f>IFERROR((VLOOKUP(A464,'[1]LISTA ETIQUETAS'!O:X,9,0)),"")</f>
        <v>0</v>
      </c>
      <c r="I464" s="12">
        <f>IFERROR((VLOOKUP(A464,'[1]LISTA ETIQUETAS'!O:Y,11,0)),"")</f>
        <v>5461.12</v>
      </c>
      <c r="J464" s="6">
        <v>0</v>
      </c>
      <c r="K464" s="12">
        <f t="shared" si="21"/>
        <v>5461.12</v>
      </c>
      <c r="L464" s="7" t="str">
        <f>IF(VLOOKUP(A464,'[1]LISTA ETIQUETAS'!O:AB,14,0)="","",(VLOOKUP(A464,'[1]LISTA ETIQUETAS'!O:AB,14,0)))</f>
        <v/>
      </c>
      <c r="M464" s="8"/>
      <c r="N464" s="9">
        <f t="shared" si="22"/>
        <v>174050</v>
      </c>
      <c r="O464" s="2">
        <f>_xlfn.XLOOKUP($A464,'[1]LISTA ETIQUETAS'!$O:$O,'[1]LISTA ETIQUETAS'!C:C,"",0)</f>
        <v>0</v>
      </c>
      <c r="P464" s="2">
        <f>_xlfn.XLOOKUP($A464,'[1]LISTA ETIQUETAS'!$O:$O,'[1]LISTA ETIQUETAS'!D:D,"",0)</f>
        <v>0</v>
      </c>
      <c r="Q464" s="2">
        <f>_xlfn.XLOOKUP($A464,'[1]LISTA ETIQUETAS'!$O:$O,'[1]LISTA ETIQUETAS'!E:E,"",0)</f>
        <v>0</v>
      </c>
      <c r="R464" s="2">
        <f>_xlfn.XLOOKUP($A464,'[1]LISTA ETIQUETAS'!$O:$O,'[1]LISTA ETIQUETAS'!F:F,"",0)</f>
        <v>0</v>
      </c>
      <c r="S464" s="2">
        <f>_xlfn.XLOOKUP($A464,'[1]LISTA ETIQUETAS'!$O:$O,'[1]LISTA ETIQUETAS'!H:H,"",0)</f>
        <v>2</v>
      </c>
      <c r="T464" s="9">
        <f t="shared" si="23"/>
        <v>2</v>
      </c>
    </row>
    <row r="465" spans="1:20" x14ac:dyDescent="0.25">
      <c r="A465" s="5">
        <v>174045</v>
      </c>
      <c r="B465" t="str">
        <f>IFERROR((VLOOKUP(A465,'[1]LISTA ETIQUETAS'!O:X,3,0)),"PRODUTO SEM ESTOQUE")</f>
        <v>EST CADEIRA JOY (COR 01) (COURO NUDE)</v>
      </c>
      <c r="C465" s="10" t="s">
        <v>253</v>
      </c>
      <c r="D465" s="10" t="s">
        <v>310</v>
      </c>
      <c r="E465" s="11">
        <f>IF(VLOOKUP(A465,'[1]LISTA ETIQUETAS'!O:W,4,0)="",(VLOOKUP(A465,'[1]LISTA ETIQUETAS'!O:W,6,0)),(VLOOKUP(A465,'[1]LISTA ETIQUETAS'!O:W,4,0)))</f>
        <v>0.44</v>
      </c>
      <c r="F465" s="11">
        <f>IF(VLOOKUP(A465,'[1]LISTA ETIQUETAS'!O:W,5,0)="",(VLOOKUP(A465,'[1]LISTA ETIQUETAS'!O:W,7,0)),(VLOOKUP(A465,'[1]LISTA ETIQUETAS'!O:W,5,0)))</f>
        <v>0.56999999999999995</v>
      </c>
      <c r="G465" s="11">
        <f>IFERROR((VLOOKUP(A465,'[1]LISTA ETIQUETAS'!O:X,8,0)),"")</f>
        <v>0.8</v>
      </c>
      <c r="H465" s="11">
        <f>IFERROR((VLOOKUP(A465,'[1]LISTA ETIQUETAS'!O:X,9,0)),"")</f>
        <v>0</v>
      </c>
      <c r="I465" s="12" t="str">
        <f>IFERROR((VLOOKUP(A465,'[1]LISTA ETIQUETAS'!O:Y,11,0)),"")</f>
        <v/>
      </c>
      <c r="J465" s="6">
        <v>0</v>
      </c>
      <c r="K465" s="12" t="str">
        <f t="shared" si="21"/>
        <v/>
      </c>
      <c r="L465" s="7" t="str">
        <f>IF(VLOOKUP(A465,'[1]LISTA ETIQUETAS'!O:AB,14,0)="","",(VLOOKUP(A465,'[1]LISTA ETIQUETAS'!O:AB,14,0)))</f>
        <v/>
      </c>
      <c r="M465" s="8"/>
      <c r="N465" s="9">
        <f t="shared" si="22"/>
        <v>174045</v>
      </c>
      <c r="O465" s="2">
        <f>_xlfn.XLOOKUP($A465,'[1]LISTA ETIQUETAS'!$O:$O,'[1]LISTA ETIQUETAS'!C:C,"",0)</f>
        <v>0</v>
      </c>
      <c r="P465" s="2">
        <f>_xlfn.XLOOKUP($A465,'[1]LISTA ETIQUETAS'!$O:$O,'[1]LISTA ETIQUETAS'!D:D,"",0)</f>
        <v>0</v>
      </c>
      <c r="Q465" s="2">
        <f>_xlfn.XLOOKUP($A465,'[1]LISTA ETIQUETAS'!$O:$O,'[1]LISTA ETIQUETAS'!E:E,"",0)</f>
        <v>0</v>
      </c>
      <c r="R465" s="2">
        <f>_xlfn.XLOOKUP($A465,'[1]LISTA ETIQUETAS'!$O:$O,'[1]LISTA ETIQUETAS'!F:F,"",0)</f>
        <v>0</v>
      </c>
      <c r="S465" s="2">
        <f>_xlfn.XLOOKUP($A465,'[1]LISTA ETIQUETAS'!$O:$O,'[1]LISTA ETIQUETAS'!H:H,"",0)</f>
        <v>1</v>
      </c>
      <c r="T465" s="9">
        <f t="shared" si="23"/>
        <v>1</v>
      </c>
    </row>
    <row r="466" spans="1:20" x14ac:dyDescent="0.25">
      <c r="A466" s="5">
        <v>163876</v>
      </c>
      <c r="B466" t="str">
        <f>IFERROR((VLOOKUP(A466,'[1]LISTA ETIQUETAS'!O:X,3,0)),"PRODUTO SEM ESTOQUE")</f>
        <v>EST CADEIRA PADAUNG (CATUABA PU) TC 11202-282 LINHO</v>
      </c>
      <c r="C466" s="10" t="s">
        <v>253</v>
      </c>
      <c r="D466" s="10" t="s">
        <v>312</v>
      </c>
      <c r="E466" s="11">
        <f>IF(VLOOKUP(A466,'[1]LISTA ETIQUETAS'!O:W,4,0)="",(VLOOKUP(A466,'[1]LISTA ETIQUETAS'!O:W,6,0)),(VLOOKUP(A466,'[1]LISTA ETIQUETAS'!O:W,4,0)))</f>
        <v>0.46</v>
      </c>
      <c r="F466" s="11">
        <f>IF(VLOOKUP(A466,'[1]LISTA ETIQUETAS'!O:W,5,0)="",(VLOOKUP(A466,'[1]LISTA ETIQUETAS'!O:W,7,0)),(VLOOKUP(A466,'[1]LISTA ETIQUETAS'!O:W,5,0)))</f>
        <v>0.6</v>
      </c>
      <c r="G466" s="11">
        <f>IFERROR((VLOOKUP(A466,'[1]LISTA ETIQUETAS'!O:X,8,0)),"")</f>
        <v>0.84</v>
      </c>
      <c r="H466" s="11">
        <f>IFERROR((VLOOKUP(A466,'[1]LISTA ETIQUETAS'!O:X,9,0)),"")</f>
        <v>0</v>
      </c>
      <c r="I466" s="12">
        <f>IFERROR((VLOOKUP(A466,'[1]LISTA ETIQUETAS'!O:Y,11,0)),"")</f>
        <v>0</v>
      </c>
      <c r="J466" s="6">
        <v>0</v>
      </c>
      <c r="K466" s="12">
        <f t="shared" si="21"/>
        <v>0</v>
      </c>
      <c r="L466" s="7" t="str">
        <f>IF(VLOOKUP(A466,'[1]LISTA ETIQUETAS'!O:AB,14,0)="","",(VLOOKUP(A466,'[1]LISTA ETIQUETAS'!O:AB,14,0)))</f>
        <v/>
      </c>
      <c r="M466" s="8"/>
      <c r="N466" s="9">
        <f t="shared" si="22"/>
        <v>163876</v>
      </c>
      <c r="O466" s="2">
        <f>_xlfn.XLOOKUP($A466,'[1]LISTA ETIQUETAS'!$O:$O,'[1]LISTA ETIQUETAS'!C:C,"",0)</f>
        <v>0</v>
      </c>
      <c r="P466" s="2">
        <f>_xlfn.XLOOKUP($A466,'[1]LISTA ETIQUETAS'!$O:$O,'[1]LISTA ETIQUETAS'!D:D,"",0)</f>
        <v>0</v>
      </c>
      <c r="Q466" s="2">
        <f>_xlfn.XLOOKUP($A466,'[1]LISTA ETIQUETAS'!$O:$O,'[1]LISTA ETIQUETAS'!E:E,"",0)</f>
        <v>0</v>
      </c>
      <c r="R466" s="2">
        <f>_xlfn.XLOOKUP($A466,'[1]LISTA ETIQUETAS'!$O:$O,'[1]LISTA ETIQUETAS'!F:F,"",0)</f>
        <v>0</v>
      </c>
      <c r="S466" s="2">
        <f>_xlfn.XLOOKUP($A466,'[1]LISTA ETIQUETAS'!$O:$O,'[1]LISTA ETIQUETAS'!H:H,"",0)</f>
        <v>3</v>
      </c>
      <c r="T466" s="9">
        <f t="shared" si="23"/>
        <v>3</v>
      </c>
    </row>
    <row r="467" spans="1:20" x14ac:dyDescent="0.25">
      <c r="A467" s="5">
        <v>183797</v>
      </c>
      <c r="B467" t="str">
        <f>IFERROR((VLOOKUP(A467,'[1]LISTA ETIQUETAS'!O:X,3,0)),"PRODUTO SEM ESTOQUE")</f>
        <v>EST CADEIRA MAIA SMALL (NOGUEIRA) TC G1 T012</v>
      </c>
      <c r="C467" s="10" t="s">
        <v>253</v>
      </c>
      <c r="D467" s="10" t="s">
        <v>313</v>
      </c>
      <c r="E467" s="11">
        <f>IF(VLOOKUP(A467,'[1]LISTA ETIQUETAS'!O:W,4,0)="",(VLOOKUP(A467,'[1]LISTA ETIQUETAS'!O:W,6,0)),(VLOOKUP(A467,'[1]LISTA ETIQUETAS'!O:W,4,0)))</f>
        <v>0.48</v>
      </c>
      <c r="F467" s="11">
        <f>IF(VLOOKUP(A467,'[1]LISTA ETIQUETAS'!O:W,5,0)="",(VLOOKUP(A467,'[1]LISTA ETIQUETAS'!O:W,7,0)),(VLOOKUP(A467,'[1]LISTA ETIQUETAS'!O:W,5,0)))</f>
        <v>0.54</v>
      </c>
      <c r="G467" s="11">
        <f>IFERROR((VLOOKUP(A467,'[1]LISTA ETIQUETAS'!O:X,8,0)),"")</f>
        <v>0.87</v>
      </c>
      <c r="H467" s="11">
        <f>IFERROR((VLOOKUP(A467,'[1]LISTA ETIQUETAS'!O:X,9,0)),"")</f>
        <v>0</v>
      </c>
      <c r="I467" s="12">
        <f>IFERROR((VLOOKUP(A467,'[1]LISTA ETIQUETAS'!O:Y,11,0)),"")</f>
        <v>3578.4</v>
      </c>
      <c r="J467" s="6">
        <v>0</v>
      </c>
      <c r="K467" s="12">
        <f t="shared" si="21"/>
        <v>3578.4</v>
      </c>
      <c r="L467" s="7" t="str">
        <f>IF(VLOOKUP(A467,'[1]LISTA ETIQUETAS'!O:AB,14,0)="","",(VLOOKUP(A467,'[1]LISTA ETIQUETAS'!O:AB,14,0)))</f>
        <v/>
      </c>
      <c r="M467" s="8"/>
      <c r="N467" s="9">
        <f t="shared" si="22"/>
        <v>183797</v>
      </c>
      <c r="O467" s="2">
        <f>_xlfn.XLOOKUP($A467,'[1]LISTA ETIQUETAS'!$O:$O,'[1]LISTA ETIQUETAS'!C:C,"",0)</f>
        <v>0</v>
      </c>
      <c r="P467" s="2">
        <f>_xlfn.XLOOKUP($A467,'[1]LISTA ETIQUETAS'!$O:$O,'[1]LISTA ETIQUETAS'!D:D,"",0)</f>
        <v>0</v>
      </c>
      <c r="Q467" s="2">
        <f>_xlfn.XLOOKUP($A467,'[1]LISTA ETIQUETAS'!$O:$O,'[1]LISTA ETIQUETAS'!E:E,"",0)</f>
        <v>0</v>
      </c>
      <c r="R467" s="2">
        <f>_xlfn.XLOOKUP($A467,'[1]LISTA ETIQUETAS'!$O:$O,'[1]LISTA ETIQUETAS'!F:F,"",0)</f>
        <v>0</v>
      </c>
      <c r="S467" s="2">
        <f>_xlfn.XLOOKUP($A467,'[1]LISTA ETIQUETAS'!$O:$O,'[1]LISTA ETIQUETAS'!H:H,"",0)</f>
        <v>2</v>
      </c>
      <c r="T467" s="9">
        <f t="shared" si="23"/>
        <v>2</v>
      </c>
    </row>
    <row r="468" spans="1:20" x14ac:dyDescent="0.25">
      <c r="A468" s="5">
        <v>179261</v>
      </c>
      <c r="B468" t="str">
        <f>IFERROR((VLOOKUP(A468,'[1]LISTA ETIQUETAS'!O:X,3,0)),"PRODUTO SEM ESTOQUE")</f>
        <v>EST CADEIRA MEDALHAO FUTURE (IMBUIA) TC LINHO CRU</v>
      </c>
      <c r="C468" s="10" t="s">
        <v>253</v>
      </c>
      <c r="D468" s="10" t="s">
        <v>308</v>
      </c>
      <c r="E468" s="11">
        <f>IF(VLOOKUP(A468,'[1]LISTA ETIQUETAS'!O:W,4,0)="",(VLOOKUP(A468,'[1]LISTA ETIQUETAS'!O:W,6,0)),(VLOOKUP(A468,'[1]LISTA ETIQUETAS'!O:W,4,0)))</f>
        <v>0</v>
      </c>
      <c r="F468" s="11">
        <f>IF(VLOOKUP(A468,'[1]LISTA ETIQUETAS'!O:W,5,0)="",(VLOOKUP(A468,'[1]LISTA ETIQUETAS'!O:W,7,0)),(VLOOKUP(A468,'[1]LISTA ETIQUETAS'!O:W,5,0)))</f>
        <v>0</v>
      </c>
      <c r="G468" s="11">
        <f>IFERROR((VLOOKUP(A468,'[1]LISTA ETIQUETAS'!O:X,8,0)),"")</f>
        <v>0</v>
      </c>
      <c r="H468" s="11">
        <f>IFERROR((VLOOKUP(A468,'[1]LISTA ETIQUETAS'!O:X,9,0)),"")</f>
        <v>0</v>
      </c>
      <c r="I468" s="12">
        <f>IFERROR((VLOOKUP(A468,'[1]LISTA ETIQUETAS'!O:Y,11,0)),"")</f>
        <v>0</v>
      </c>
      <c r="J468" s="6">
        <v>0</v>
      </c>
      <c r="K468" s="12">
        <f t="shared" si="21"/>
        <v>0</v>
      </c>
      <c r="L468" s="7" t="str">
        <f>IF(VLOOKUP(A468,'[1]LISTA ETIQUETAS'!O:AB,14,0)="","",(VLOOKUP(A468,'[1]LISTA ETIQUETAS'!O:AB,14,0)))</f>
        <v/>
      </c>
      <c r="M468" s="8"/>
      <c r="N468" s="9">
        <f t="shared" si="22"/>
        <v>179261</v>
      </c>
      <c r="O468" s="2">
        <f>_xlfn.XLOOKUP($A468,'[1]LISTA ETIQUETAS'!$O:$O,'[1]LISTA ETIQUETAS'!C:C,"",0)</f>
        <v>0</v>
      </c>
      <c r="P468" s="2">
        <f>_xlfn.XLOOKUP($A468,'[1]LISTA ETIQUETAS'!$O:$O,'[1]LISTA ETIQUETAS'!D:D,"",0)</f>
        <v>0</v>
      </c>
      <c r="Q468" s="2">
        <f>_xlfn.XLOOKUP($A468,'[1]LISTA ETIQUETAS'!$O:$O,'[1]LISTA ETIQUETAS'!E:E,"",0)</f>
        <v>0</v>
      </c>
      <c r="R468" s="2">
        <f>_xlfn.XLOOKUP($A468,'[1]LISTA ETIQUETAS'!$O:$O,'[1]LISTA ETIQUETAS'!F:F,"",0)</f>
        <v>0</v>
      </c>
      <c r="S468" s="2">
        <f>_xlfn.XLOOKUP($A468,'[1]LISTA ETIQUETAS'!$O:$O,'[1]LISTA ETIQUETAS'!H:H,"",0)</f>
        <v>1</v>
      </c>
      <c r="T468" s="9">
        <f t="shared" si="23"/>
        <v>1</v>
      </c>
    </row>
    <row r="469" spans="1:20" x14ac:dyDescent="0.25">
      <c r="A469" s="5">
        <v>178904</v>
      </c>
      <c r="B469" t="str">
        <f>IFERROR((VLOOKUP(A469,'[1]LISTA ETIQUETAS'!O:X,3,0)),"PRODUTO SEM ESTOQUE")</f>
        <v>EST CADEIRA WILL ()TAEDA MARROM CLARO)</v>
      </c>
      <c r="C469" s="10" t="s">
        <v>253</v>
      </c>
      <c r="D469" s="10" t="s">
        <v>314</v>
      </c>
      <c r="E469" s="11">
        <f>IF(VLOOKUP(A469,'[1]LISTA ETIQUETAS'!O:W,4,0)="",(VLOOKUP(A469,'[1]LISTA ETIQUETAS'!O:W,6,0)),(VLOOKUP(A469,'[1]LISTA ETIQUETAS'!O:W,4,0)))</f>
        <v>0.42</v>
      </c>
      <c r="F469" s="11">
        <f>IF(VLOOKUP(A469,'[1]LISTA ETIQUETAS'!O:W,5,0)="",(VLOOKUP(A469,'[1]LISTA ETIQUETAS'!O:W,7,0)),(VLOOKUP(A469,'[1]LISTA ETIQUETAS'!O:W,5,0)))</f>
        <v>0.55000000000000004</v>
      </c>
      <c r="G469" s="11">
        <f>IFERROR((VLOOKUP(A469,'[1]LISTA ETIQUETAS'!O:X,8,0)),"")</f>
        <v>0.79</v>
      </c>
      <c r="H469" s="11">
        <f>IFERROR((VLOOKUP(A469,'[1]LISTA ETIQUETAS'!O:X,9,0)),"")</f>
        <v>0</v>
      </c>
      <c r="I469" s="12">
        <f>IFERROR((VLOOKUP(A469,'[1]LISTA ETIQUETAS'!O:Y,11,0)),"")</f>
        <v>0</v>
      </c>
      <c r="J469" s="6">
        <v>0</v>
      </c>
      <c r="K469" s="12">
        <f t="shared" si="21"/>
        <v>0</v>
      </c>
      <c r="L469" s="7" t="str">
        <f>IF(VLOOKUP(A469,'[1]LISTA ETIQUETAS'!O:AB,14,0)="","",(VLOOKUP(A469,'[1]LISTA ETIQUETAS'!O:AB,14,0)))</f>
        <v/>
      </c>
      <c r="M469" s="8"/>
      <c r="N469" s="9">
        <f t="shared" si="22"/>
        <v>178904</v>
      </c>
      <c r="O469" s="2">
        <f>_xlfn.XLOOKUP($A469,'[1]LISTA ETIQUETAS'!$O:$O,'[1]LISTA ETIQUETAS'!C:C,"",0)</f>
        <v>0</v>
      </c>
      <c r="P469" s="2">
        <f>_xlfn.XLOOKUP($A469,'[1]LISTA ETIQUETAS'!$O:$O,'[1]LISTA ETIQUETAS'!D:D,"",0)</f>
        <v>0</v>
      </c>
      <c r="Q469" s="2">
        <f>_xlfn.XLOOKUP($A469,'[1]LISTA ETIQUETAS'!$O:$O,'[1]LISTA ETIQUETAS'!E:E,"",0)</f>
        <v>0</v>
      </c>
      <c r="R469" s="2">
        <f>_xlfn.XLOOKUP($A469,'[1]LISTA ETIQUETAS'!$O:$O,'[1]LISTA ETIQUETAS'!F:F,"",0)</f>
        <v>0</v>
      </c>
      <c r="S469" s="2">
        <f>_xlfn.XLOOKUP($A469,'[1]LISTA ETIQUETAS'!$O:$O,'[1]LISTA ETIQUETAS'!H:H,"",0)</f>
        <v>2</v>
      </c>
      <c r="T469" s="9">
        <f t="shared" si="23"/>
        <v>2</v>
      </c>
    </row>
    <row r="470" spans="1:20" x14ac:dyDescent="0.25">
      <c r="A470" s="5">
        <v>176833</v>
      </c>
      <c r="B470" t="str">
        <f>IFERROR((VLOOKUP(A470,'[1]LISTA ETIQUETAS'!O:X,3,0)),"PRODUTO SEM ESTOQUE")</f>
        <v>EST CADEIRA MAIA SMALL (NOGUEIRA) TC G1 T002</v>
      </c>
      <c r="C470" s="10" t="s">
        <v>253</v>
      </c>
      <c r="D470" s="10" t="s">
        <v>313</v>
      </c>
      <c r="E470" s="11">
        <f>IF(VLOOKUP(A470,'[1]LISTA ETIQUETAS'!O:W,4,0)="",(VLOOKUP(A470,'[1]LISTA ETIQUETAS'!O:W,6,0)),(VLOOKUP(A470,'[1]LISTA ETIQUETAS'!O:W,4,0)))</f>
        <v>0.48</v>
      </c>
      <c r="F470" s="11">
        <f>IF(VLOOKUP(A470,'[1]LISTA ETIQUETAS'!O:W,5,0)="",(VLOOKUP(A470,'[1]LISTA ETIQUETAS'!O:W,7,0)),(VLOOKUP(A470,'[1]LISTA ETIQUETAS'!O:W,5,0)))</f>
        <v>0.54</v>
      </c>
      <c r="G470" s="11">
        <f>IFERROR((VLOOKUP(A470,'[1]LISTA ETIQUETAS'!O:X,8,0)),"")</f>
        <v>0.87</v>
      </c>
      <c r="H470" s="11">
        <f>IFERROR((VLOOKUP(A470,'[1]LISTA ETIQUETAS'!O:X,9,0)),"")</f>
        <v>0</v>
      </c>
      <c r="I470" s="12">
        <f>IFERROR((VLOOKUP(A470,'[1]LISTA ETIQUETAS'!O:Y,11,0)),"")</f>
        <v>3578.4</v>
      </c>
      <c r="J470" s="6">
        <v>0</v>
      </c>
      <c r="K470" s="12">
        <f t="shared" si="21"/>
        <v>3578.4</v>
      </c>
      <c r="L470" s="7" t="str">
        <f>IF(VLOOKUP(A470,'[1]LISTA ETIQUETAS'!O:AB,14,0)="","",(VLOOKUP(A470,'[1]LISTA ETIQUETAS'!O:AB,14,0)))</f>
        <v/>
      </c>
      <c r="M470" s="8"/>
      <c r="N470" s="9">
        <f t="shared" si="22"/>
        <v>176833</v>
      </c>
      <c r="O470" s="2">
        <f>_xlfn.XLOOKUP($A470,'[1]LISTA ETIQUETAS'!$O:$O,'[1]LISTA ETIQUETAS'!C:C,"",0)</f>
        <v>0</v>
      </c>
      <c r="P470" s="2">
        <f>_xlfn.XLOOKUP($A470,'[1]LISTA ETIQUETAS'!$O:$O,'[1]LISTA ETIQUETAS'!D:D,"",0)</f>
        <v>0</v>
      </c>
      <c r="Q470" s="2">
        <f>_xlfn.XLOOKUP($A470,'[1]LISTA ETIQUETAS'!$O:$O,'[1]LISTA ETIQUETAS'!E:E,"",0)</f>
        <v>0</v>
      </c>
      <c r="R470" s="2">
        <f>_xlfn.XLOOKUP($A470,'[1]LISTA ETIQUETAS'!$O:$O,'[1]LISTA ETIQUETAS'!F:F,"",0)</f>
        <v>0</v>
      </c>
      <c r="S470" s="2">
        <f>_xlfn.XLOOKUP($A470,'[1]LISTA ETIQUETAS'!$O:$O,'[1]LISTA ETIQUETAS'!H:H,"",0)</f>
        <v>1</v>
      </c>
      <c r="T470" s="9">
        <f t="shared" si="23"/>
        <v>1</v>
      </c>
    </row>
    <row r="471" spans="1:20" x14ac:dyDescent="0.25">
      <c r="A471" s="5">
        <v>194033</v>
      </c>
      <c r="B471" t="str">
        <f>IFERROR((VLOOKUP(A471,'[1]LISTA ETIQUETAS'!O:X,3,0)),"PRODUTO SEM ESTOQUE")</f>
        <v>EST CADEIRA MIA (NOGUEIRA) TC FABRIK CROSSIBI</v>
      </c>
      <c r="C471" s="10" t="s">
        <v>253</v>
      </c>
      <c r="D471" s="10" t="s">
        <v>315</v>
      </c>
      <c r="E471" s="11">
        <f>IF(VLOOKUP(A471,'[1]LISTA ETIQUETAS'!O:W,4,0)="",(VLOOKUP(A471,'[1]LISTA ETIQUETAS'!O:W,6,0)),(VLOOKUP(A471,'[1]LISTA ETIQUETAS'!O:W,4,0)))</f>
        <v>0.5</v>
      </c>
      <c r="F471" s="11">
        <f>IF(VLOOKUP(A471,'[1]LISTA ETIQUETAS'!O:W,5,0)="",(VLOOKUP(A471,'[1]LISTA ETIQUETAS'!O:W,7,0)),(VLOOKUP(A471,'[1]LISTA ETIQUETAS'!O:W,5,0)))</f>
        <v>0.54</v>
      </c>
      <c r="G471" s="11">
        <f>IFERROR((VLOOKUP(A471,'[1]LISTA ETIQUETAS'!O:X,8,0)),"")</f>
        <v>0.83</v>
      </c>
      <c r="H471" s="11">
        <f>IFERROR((VLOOKUP(A471,'[1]LISTA ETIQUETAS'!O:X,9,0)),"")</f>
        <v>0</v>
      </c>
      <c r="I471" s="12" t="str">
        <f>IFERROR((VLOOKUP(A471,'[1]LISTA ETIQUETAS'!O:Y,11,0)),"")</f>
        <v/>
      </c>
      <c r="J471" s="6">
        <v>0</v>
      </c>
      <c r="K471" s="12" t="str">
        <f t="shared" si="21"/>
        <v/>
      </c>
      <c r="L471" s="7" t="str">
        <f>IF(VLOOKUP(A471,'[1]LISTA ETIQUETAS'!O:AB,14,0)="","",(VLOOKUP(A471,'[1]LISTA ETIQUETAS'!O:AB,14,0)))</f>
        <v/>
      </c>
      <c r="M471" s="8"/>
      <c r="N471" s="9">
        <f t="shared" si="22"/>
        <v>194033</v>
      </c>
      <c r="O471" s="2">
        <f>_xlfn.XLOOKUP($A471,'[1]LISTA ETIQUETAS'!$O:$O,'[1]LISTA ETIQUETAS'!C:C,"",0)</f>
        <v>0</v>
      </c>
      <c r="P471" s="2">
        <f>_xlfn.XLOOKUP($A471,'[1]LISTA ETIQUETAS'!$O:$O,'[1]LISTA ETIQUETAS'!D:D,"",0)</f>
        <v>0</v>
      </c>
      <c r="Q471" s="2">
        <f>_xlfn.XLOOKUP($A471,'[1]LISTA ETIQUETAS'!$O:$O,'[1]LISTA ETIQUETAS'!E:E,"",0)</f>
        <v>0</v>
      </c>
      <c r="R471" s="2">
        <f>_xlfn.XLOOKUP($A471,'[1]LISTA ETIQUETAS'!$O:$O,'[1]LISTA ETIQUETAS'!F:F,"",0)</f>
        <v>0</v>
      </c>
      <c r="S471" s="2">
        <f>_xlfn.XLOOKUP($A471,'[1]LISTA ETIQUETAS'!$O:$O,'[1]LISTA ETIQUETAS'!H:H,"",0)</f>
        <v>2</v>
      </c>
      <c r="T471" s="9">
        <f t="shared" si="23"/>
        <v>2</v>
      </c>
    </row>
    <row r="472" spans="1:20" x14ac:dyDescent="0.25">
      <c r="A472" s="5">
        <v>203135</v>
      </c>
      <c r="B472" t="str">
        <f>IFERROR((VLOOKUP(A472,'[1]LISTA ETIQUETAS'!O:X,3,0)),"PRODUTO SEM ESTOQUE")</f>
        <v>EST CADEIRA ZARA (MADEIRA IMBUIA MEL) TC P3339</v>
      </c>
      <c r="C472" s="10" t="s">
        <v>253</v>
      </c>
      <c r="D472" s="10" t="s">
        <v>316</v>
      </c>
      <c r="E472" s="11">
        <f>IF(VLOOKUP(A472,'[1]LISTA ETIQUETAS'!O:W,4,0)="",(VLOOKUP(A472,'[1]LISTA ETIQUETAS'!O:W,6,0)),(VLOOKUP(A472,'[1]LISTA ETIQUETAS'!O:W,4,0)))</f>
        <v>0.48</v>
      </c>
      <c r="F472" s="11">
        <f>IF(VLOOKUP(A472,'[1]LISTA ETIQUETAS'!O:W,5,0)="",(VLOOKUP(A472,'[1]LISTA ETIQUETAS'!O:W,7,0)),(VLOOKUP(A472,'[1]LISTA ETIQUETAS'!O:W,5,0)))</f>
        <v>0.53</v>
      </c>
      <c r="G472" s="11">
        <f>IFERROR((VLOOKUP(A472,'[1]LISTA ETIQUETAS'!O:X,8,0)),"")</f>
        <v>0.85</v>
      </c>
      <c r="H472" s="11">
        <f>IFERROR((VLOOKUP(A472,'[1]LISTA ETIQUETAS'!O:X,9,0)),"")</f>
        <v>0</v>
      </c>
      <c r="I472" s="12">
        <f>IFERROR((VLOOKUP(A472,'[1]LISTA ETIQUETAS'!O:Y,11,0)),"")</f>
        <v>0</v>
      </c>
      <c r="J472" s="6">
        <v>0</v>
      </c>
      <c r="K472" s="12">
        <f t="shared" si="21"/>
        <v>0</v>
      </c>
      <c r="L472" s="7" t="str">
        <f>IF(VLOOKUP(A472,'[1]LISTA ETIQUETAS'!O:AB,14,0)="","",(VLOOKUP(A472,'[1]LISTA ETIQUETAS'!O:AB,14,0)))</f>
        <v/>
      </c>
      <c r="M472" s="8"/>
      <c r="N472" s="9">
        <f t="shared" si="22"/>
        <v>203135</v>
      </c>
      <c r="O472" s="2">
        <f>_xlfn.XLOOKUP($A472,'[1]LISTA ETIQUETAS'!$O:$O,'[1]LISTA ETIQUETAS'!C:C,"",0)</f>
        <v>0</v>
      </c>
      <c r="P472" s="2">
        <f>_xlfn.XLOOKUP($A472,'[1]LISTA ETIQUETAS'!$O:$O,'[1]LISTA ETIQUETAS'!D:D,"",0)</f>
        <v>0</v>
      </c>
      <c r="Q472" s="2">
        <f>_xlfn.XLOOKUP($A472,'[1]LISTA ETIQUETAS'!$O:$O,'[1]LISTA ETIQUETAS'!E:E,"",0)</f>
        <v>0</v>
      </c>
      <c r="R472" s="2">
        <f>_xlfn.XLOOKUP($A472,'[1]LISTA ETIQUETAS'!$O:$O,'[1]LISTA ETIQUETAS'!F:F,"",0)</f>
        <v>0</v>
      </c>
      <c r="S472" s="2">
        <f>_xlfn.XLOOKUP($A472,'[1]LISTA ETIQUETAS'!$O:$O,'[1]LISTA ETIQUETAS'!H:H,"",0)</f>
        <v>1</v>
      </c>
      <c r="T472" s="9">
        <f t="shared" si="23"/>
        <v>1</v>
      </c>
    </row>
    <row r="473" spans="1:20" x14ac:dyDescent="0.25">
      <c r="A473" s="5">
        <v>203138</v>
      </c>
      <c r="B473" t="str">
        <f>IFERROR((VLOOKUP(A473,'[1]LISTA ETIQUETAS'!O:X,3,0)),"PRODUTO SEM ESTOQUE")</f>
        <v>EST CADEIRA PRADA MADEIRA MEL TC G2229</v>
      </c>
      <c r="C473" s="10" t="s">
        <v>253</v>
      </c>
      <c r="D473" s="10" t="s">
        <v>317</v>
      </c>
      <c r="E473" s="11">
        <f>IF(VLOOKUP(A473,'[1]LISTA ETIQUETAS'!O:W,4,0)="",(VLOOKUP(A473,'[1]LISTA ETIQUETAS'!O:W,6,0)),(VLOOKUP(A473,'[1]LISTA ETIQUETAS'!O:W,4,0)))</f>
        <v>0.44</v>
      </c>
      <c r="F473" s="11">
        <f>IF(VLOOKUP(A473,'[1]LISTA ETIQUETAS'!O:W,5,0)="",(VLOOKUP(A473,'[1]LISTA ETIQUETAS'!O:W,7,0)),(VLOOKUP(A473,'[1]LISTA ETIQUETAS'!O:W,5,0)))</f>
        <v>0.51</v>
      </c>
      <c r="G473" s="11">
        <f>IFERROR((VLOOKUP(A473,'[1]LISTA ETIQUETAS'!O:X,8,0)),"")</f>
        <v>0.86</v>
      </c>
      <c r="H473" s="11">
        <f>IFERROR((VLOOKUP(A473,'[1]LISTA ETIQUETAS'!O:X,9,0)),"")</f>
        <v>0</v>
      </c>
      <c r="I473" s="12">
        <f>IFERROR((VLOOKUP(A473,'[1]LISTA ETIQUETAS'!O:Y,11,0)),"")</f>
        <v>1704.1</v>
      </c>
      <c r="J473" s="6">
        <v>0</v>
      </c>
      <c r="K473" s="12">
        <f t="shared" si="21"/>
        <v>1704.1</v>
      </c>
      <c r="L473" s="7" t="str">
        <f>IF(VLOOKUP(A473,'[1]LISTA ETIQUETAS'!O:AB,14,0)="","",(VLOOKUP(A473,'[1]LISTA ETIQUETAS'!O:AB,14,0)))</f>
        <v/>
      </c>
      <c r="M473" s="8"/>
      <c r="N473" s="9">
        <f t="shared" si="22"/>
        <v>203138</v>
      </c>
      <c r="O473" s="2">
        <f>_xlfn.XLOOKUP($A473,'[1]LISTA ETIQUETAS'!$O:$O,'[1]LISTA ETIQUETAS'!C:C,"",0)</f>
        <v>0</v>
      </c>
      <c r="P473" s="2">
        <f>_xlfn.XLOOKUP($A473,'[1]LISTA ETIQUETAS'!$O:$O,'[1]LISTA ETIQUETAS'!D:D,"",0)</f>
        <v>0</v>
      </c>
      <c r="Q473" s="2">
        <f>_xlfn.XLOOKUP($A473,'[1]LISTA ETIQUETAS'!$O:$O,'[1]LISTA ETIQUETAS'!E:E,"",0)</f>
        <v>0</v>
      </c>
      <c r="R473" s="2">
        <f>_xlfn.XLOOKUP($A473,'[1]LISTA ETIQUETAS'!$O:$O,'[1]LISTA ETIQUETAS'!F:F,"",0)</f>
        <v>0</v>
      </c>
      <c r="S473" s="2">
        <f>_xlfn.XLOOKUP($A473,'[1]LISTA ETIQUETAS'!$O:$O,'[1]LISTA ETIQUETAS'!H:H,"",0)</f>
        <v>2</v>
      </c>
      <c r="T473" s="9">
        <f t="shared" si="23"/>
        <v>2</v>
      </c>
    </row>
    <row r="474" spans="1:20" x14ac:dyDescent="0.25">
      <c r="A474" s="5">
        <v>187636</v>
      </c>
      <c r="B474" t="str">
        <f>IFERROR((VLOOKUP(A474,'[1]LISTA ETIQUETAS'!O:X,3,0)),"PRODUTO SEM ESTOQUE")</f>
        <v>EST CADEIRA PLIS (CASTANHO) TC 7008 | TC 5343</v>
      </c>
      <c r="C474" s="10" t="s">
        <v>253</v>
      </c>
      <c r="D474" s="10" t="s">
        <v>292</v>
      </c>
      <c r="E474" s="11">
        <f>IF(VLOOKUP(A474,'[1]LISTA ETIQUETAS'!O:W,4,0)="",(VLOOKUP(A474,'[1]LISTA ETIQUETAS'!O:W,6,0)),(VLOOKUP(A474,'[1]LISTA ETIQUETAS'!O:W,4,0)))</f>
        <v>0.57999999999999996</v>
      </c>
      <c r="F474" s="11">
        <f>IF(VLOOKUP(A474,'[1]LISTA ETIQUETAS'!O:W,5,0)="",(VLOOKUP(A474,'[1]LISTA ETIQUETAS'!O:W,7,0)),(VLOOKUP(A474,'[1]LISTA ETIQUETAS'!O:W,5,0)))</f>
        <v>0.64</v>
      </c>
      <c r="G474" s="11">
        <f>IFERROR((VLOOKUP(A474,'[1]LISTA ETIQUETAS'!O:X,8,0)),"")</f>
        <v>0.94</v>
      </c>
      <c r="H474" s="11">
        <f>IFERROR((VLOOKUP(A474,'[1]LISTA ETIQUETAS'!O:X,9,0)),"")</f>
        <v>0</v>
      </c>
      <c r="I474" s="12" t="str">
        <f>IFERROR((VLOOKUP(A474,'[1]LISTA ETIQUETAS'!O:Y,11,0)),"")</f>
        <v>EST</v>
      </c>
      <c r="J474" s="6">
        <v>0</v>
      </c>
      <c r="K474" s="12" t="str">
        <f t="shared" si="21"/>
        <v/>
      </c>
      <c r="L474" s="7" t="str">
        <f>IF(VLOOKUP(A474,'[1]LISTA ETIQUETAS'!O:AB,14,0)="","",(VLOOKUP(A474,'[1]LISTA ETIQUETAS'!O:AB,14,0)))</f>
        <v/>
      </c>
      <c r="M474" s="8"/>
      <c r="N474" s="9">
        <f t="shared" si="22"/>
        <v>187636</v>
      </c>
      <c r="O474" s="2">
        <f>_xlfn.XLOOKUP($A474,'[1]LISTA ETIQUETAS'!$O:$O,'[1]LISTA ETIQUETAS'!C:C,"",0)</f>
        <v>0</v>
      </c>
      <c r="P474" s="2">
        <f>_xlfn.XLOOKUP($A474,'[1]LISTA ETIQUETAS'!$O:$O,'[1]LISTA ETIQUETAS'!D:D,"",0)</f>
        <v>0</v>
      </c>
      <c r="Q474" s="2">
        <f>_xlfn.XLOOKUP($A474,'[1]LISTA ETIQUETAS'!$O:$O,'[1]LISTA ETIQUETAS'!E:E,"",0)</f>
        <v>0</v>
      </c>
      <c r="R474" s="2">
        <f>_xlfn.XLOOKUP($A474,'[1]LISTA ETIQUETAS'!$O:$O,'[1]LISTA ETIQUETAS'!F:F,"",0)</f>
        <v>0</v>
      </c>
      <c r="S474" s="2">
        <f>_xlfn.XLOOKUP($A474,'[1]LISTA ETIQUETAS'!$O:$O,'[1]LISTA ETIQUETAS'!H:H,"",0)</f>
        <v>2</v>
      </c>
      <c r="T474" s="9">
        <f t="shared" si="23"/>
        <v>2</v>
      </c>
    </row>
    <row r="475" spans="1:20" x14ac:dyDescent="0.25">
      <c r="A475" s="5">
        <v>218640</v>
      </c>
      <c r="B475" t="str">
        <f>IFERROR((VLOOKUP(A475,'[1]LISTA ETIQUETAS'!O:X,3,0)),"PRODUTO SEM ESTOQUE")</f>
        <v>EST CADEIRA BOSSA PALHA (TAUARI COR 03) TELA NATURAL</v>
      </c>
      <c r="C475" s="10" t="s">
        <v>253</v>
      </c>
      <c r="D475" s="10" t="s">
        <v>278</v>
      </c>
      <c r="E475" s="11">
        <f>IF(VLOOKUP(A475,'[1]LISTA ETIQUETAS'!O:W,4,0)="",(VLOOKUP(A475,'[1]LISTA ETIQUETAS'!O:W,6,0)),(VLOOKUP(A475,'[1]LISTA ETIQUETAS'!O:W,4,0)))</f>
        <v>0.5</v>
      </c>
      <c r="F475" s="11">
        <f>IF(VLOOKUP(A475,'[1]LISTA ETIQUETAS'!O:W,5,0)="",(VLOOKUP(A475,'[1]LISTA ETIQUETAS'!O:W,7,0)),(VLOOKUP(A475,'[1]LISTA ETIQUETAS'!O:W,5,0)))</f>
        <v>0.52</v>
      </c>
      <c r="G475" s="11">
        <f>IFERROR((VLOOKUP(A475,'[1]LISTA ETIQUETAS'!O:X,8,0)),"")</f>
        <v>0.87</v>
      </c>
      <c r="H475" s="11">
        <f>IFERROR((VLOOKUP(A475,'[1]LISTA ETIQUETAS'!O:X,9,0)),"")</f>
        <v>0</v>
      </c>
      <c r="I475" s="12">
        <f>IFERROR((VLOOKUP(A475,'[1]LISTA ETIQUETAS'!O:Y,11,0)),"")</f>
        <v>6035.72</v>
      </c>
      <c r="J475" s="6">
        <v>0</v>
      </c>
      <c r="K475" s="12">
        <f t="shared" si="21"/>
        <v>6035.72</v>
      </c>
      <c r="L475" s="7" t="str">
        <f>IF(VLOOKUP(A475,'[1]LISTA ETIQUETAS'!O:AB,14,0)="","",(VLOOKUP(A475,'[1]LISTA ETIQUETAS'!O:AB,14,0)))</f>
        <v/>
      </c>
      <c r="M475" s="8"/>
      <c r="N475" s="9">
        <f t="shared" si="22"/>
        <v>218640</v>
      </c>
      <c r="O475" s="2">
        <f>_xlfn.XLOOKUP($A475,'[1]LISTA ETIQUETAS'!$O:$O,'[1]LISTA ETIQUETAS'!C:C,"",0)</f>
        <v>0</v>
      </c>
      <c r="P475" s="2">
        <f>_xlfn.XLOOKUP($A475,'[1]LISTA ETIQUETAS'!$O:$O,'[1]LISTA ETIQUETAS'!D:D,"",0)</f>
        <v>0</v>
      </c>
      <c r="Q475" s="2">
        <f>_xlfn.XLOOKUP($A475,'[1]LISTA ETIQUETAS'!$O:$O,'[1]LISTA ETIQUETAS'!E:E,"",0)</f>
        <v>0</v>
      </c>
      <c r="R475" s="2">
        <f>_xlfn.XLOOKUP($A475,'[1]LISTA ETIQUETAS'!$O:$O,'[1]LISTA ETIQUETAS'!F:F,"",0)</f>
        <v>0</v>
      </c>
      <c r="S475" s="2">
        <f>_xlfn.XLOOKUP($A475,'[1]LISTA ETIQUETAS'!$O:$O,'[1]LISTA ETIQUETAS'!H:H,"",0)</f>
        <v>1</v>
      </c>
      <c r="T475" s="9">
        <f t="shared" si="23"/>
        <v>1</v>
      </c>
    </row>
    <row r="476" spans="1:20" x14ac:dyDescent="0.25">
      <c r="A476" s="5">
        <v>212906</v>
      </c>
      <c r="B476" t="str">
        <f>IFERROR((VLOOKUP(A476,'[1]LISTA ETIQUETAS'!O:X,3,0)),"PRODUTO SEM ESTOQUE")</f>
        <v>EST CADEIRA 128 ASS TC120#4/LAMNINA NOGUEIRA</v>
      </c>
      <c r="C476" s="10" t="s">
        <v>253</v>
      </c>
      <c r="D476" s="10" t="s">
        <v>318</v>
      </c>
      <c r="E476" s="11">
        <f>IF(VLOOKUP(A476,'[1]LISTA ETIQUETAS'!O:W,4,0)="",(VLOOKUP(A476,'[1]LISTA ETIQUETAS'!O:W,6,0)),(VLOOKUP(A476,'[1]LISTA ETIQUETAS'!O:W,4,0)))</f>
        <v>0.59</v>
      </c>
      <c r="F476" s="11">
        <f>IF(VLOOKUP(A476,'[1]LISTA ETIQUETAS'!O:W,5,0)="",(VLOOKUP(A476,'[1]LISTA ETIQUETAS'!O:W,7,0)),(VLOOKUP(A476,'[1]LISTA ETIQUETAS'!O:W,5,0)))</f>
        <v>0.55000000000000004</v>
      </c>
      <c r="G476" s="11">
        <f>IFERROR((VLOOKUP(A476,'[1]LISTA ETIQUETAS'!O:X,8,0)),"")</f>
        <v>0.83</v>
      </c>
      <c r="H476" s="11">
        <f>IFERROR((VLOOKUP(A476,'[1]LISTA ETIQUETAS'!O:X,9,0)),"")</f>
        <v>0</v>
      </c>
      <c r="I476" s="12">
        <f>IFERROR((VLOOKUP(A476,'[1]LISTA ETIQUETAS'!O:Y,11,0)),"")</f>
        <v>4606.34</v>
      </c>
      <c r="J476" s="6">
        <v>0</v>
      </c>
      <c r="K476" s="12">
        <f t="shared" si="21"/>
        <v>4606.34</v>
      </c>
      <c r="L476" s="7" t="str">
        <f>IF(VLOOKUP(A476,'[1]LISTA ETIQUETAS'!O:AB,14,0)="","",(VLOOKUP(A476,'[1]LISTA ETIQUETAS'!O:AB,14,0)))</f>
        <v/>
      </c>
      <c r="M476" s="8"/>
      <c r="N476" s="9">
        <f t="shared" si="22"/>
        <v>212906</v>
      </c>
      <c r="O476" s="2">
        <f>_xlfn.XLOOKUP($A476,'[1]LISTA ETIQUETAS'!$O:$O,'[1]LISTA ETIQUETAS'!C:C,"",0)</f>
        <v>0</v>
      </c>
      <c r="P476" s="2">
        <f>_xlfn.XLOOKUP($A476,'[1]LISTA ETIQUETAS'!$O:$O,'[1]LISTA ETIQUETAS'!D:D,"",0)</f>
        <v>0</v>
      </c>
      <c r="Q476" s="2">
        <f>_xlfn.XLOOKUP($A476,'[1]LISTA ETIQUETAS'!$O:$O,'[1]LISTA ETIQUETAS'!E:E,"",0)</f>
        <v>0</v>
      </c>
      <c r="R476" s="2">
        <f>_xlfn.XLOOKUP($A476,'[1]LISTA ETIQUETAS'!$O:$O,'[1]LISTA ETIQUETAS'!F:F,"",0)</f>
        <v>0</v>
      </c>
      <c r="S476" s="2">
        <f>_xlfn.XLOOKUP($A476,'[1]LISTA ETIQUETAS'!$O:$O,'[1]LISTA ETIQUETAS'!H:H,"",0)</f>
        <v>2</v>
      </c>
      <c r="T476" s="9">
        <f t="shared" si="23"/>
        <v>2</v>
      </c>
    </row>
    <row r="477" spans="1:20" x14ac:dyDescent="0.25">
      <c r="A477" s="5">
        <v>207163</v>
      </c>
      <c r="B477" t="str">
        <f>IFERROR((VLOOKUP(A477,'[1]LISTA ETIQUETAS'!O:X,3,0)),"PRODUTO SEM ESTOQUE")</f>
        <v>EST CADEIRA MILLA 540 ( WHISKY) TELA NAT TC 244-01718</v>
      </c>
      <c r="C477" s="10" t="s">
        <v>253</v>
      </c>
      <c r="D477" s="10" t="s">
        <v>284</v>
      </c>
      <c r="E477" s="11">
        <f>IF(VLOOKUP(A477,'[1]LISTA ETIQUETAS'!O:W,4,0)="",(VLOOKUP(A477,'[1]LISTA ETIQUETAS'!O:W,6,0)),(VLOOKUP(A477,'[1]LISTA ETIQUETAS'!O:W,4,0)))</f>
        <v>0.59</v>
      </c>
      <c r="F477" s="11">
        <f>IF(VLOOKUP(A477,'[1]LISTA ETIQUETAS'!O:W,5,0)="",(VLOOKUP(A477,'[1]LISTA ETIQUETAS'!O:W,7,0)),(VLOOKUP(A477,'[1]LISTA ETIQUETAS'!O:W,5,0)))</f>
        <v>0.52</v>
      </c>
      <c r="G477" s="11">
        <f>IFERROR((VLOOKUP(A477,'[1]LISTA ETIQUETAS'!O:X,8,0)),"")</f>
        <v>0.84</v>
      </c>
      <c r="H477" s="11">
        <f>IFERROR((VLOOKUP(A477,'[1]LISTA ETIQUETAS'!O:X,9,0)),"")</f>
        <v>0</v>
      </c>
      <c r="I477" s="12" t="str">
        <f>IFERROR((VLOOKUP(A477,'[1]LISTA ETIQUETAS'!O:Y,11,0)),"")</f>
        <v/>
      </c>
      <c r="J477" s="6">
        <v>0</v>
      </c>
      <c r="K477" s="12" t="str">
        <f t="shared" si="21"/>
        <v/>
      </c>
      <c r="L477" s="7" t="str">
        <f>IF(VLOOKUP(A477,'[1]LISTA ETIQUETAS'!O:AB,14,0)="","",(VLOOKUP(A477,'[1]LISTA ETIQUETAS'!O:AB,14,0)))</f>
        <v/>
      </c>
      <c r="M477" s="8"/>
      <c r="N477" s="9">
        <f t="shared" si="22"/>
        <v>207163</v>
      </c>
      <c r="O477" s="2">
        <f>_xlfn.XLOOKUP($A477,'[1]LISTA ETIQUETAS'!$O:$O,'[1]LISTA ETIQUETAS'!C:C,"",0)</f>
        <v>0</v>
      </c>
      <c r="P477" s="2">
        <f>_xlfn.XLOOKUP($A477,'[1]LISTA ETIQUETAS'!$O:$O,'[1]LISTA ETIQUETAS'!D:D,"",0)</f>
        <v>0</v>
      </c>
      <c r="Q477" s="2">
        <f>_xlfn.XLOOKUP($A477,'[1]LISTA ETIQUETAS'!$O:$O,'[1]LISTA ETIQUETAS'!E:E,"",0)</f>
        <v>0</v>
      </c>
      <c r="R477" s="2">
        <f>_xlfn.XLOOKUP($A477,'[1]LISTA ETIQUETAS'!$O:$O,'[1]LISTA ETIQUETAS'!F:F,"",0)</f>
        <v>0</v>
      </c>
      <c r="S477" s="2">
        <f>_xlfn.XLOOKUP($A477,'[1]LISTA ETIQUETAS'!$O:$O,'[1]LISTA ETIQUETAS'!H:H,"",0)</f>
        <v>1</v>
      </c>
      <c r="T477" s="9">
        <f t="shared" si="23"/>
        <v>1</v>
      </c>
    </row>
    <row r="478" spans="1:20" x14ac:dyDescent="0.25">
      <c r="A478" s="5">
        <v>207167</v>
      </c>
      <c r="B478" t="str">
        <f>IFERROR((VLOOKUP(A478,'[1]LISTA ETIQUETAS'!O:X,3,0)),"PRODUTO SEM ESTOQUE")</f>
        <v>EST CADEIRA MILLA 160 C/BRACO (WHISKY) (TELA) (TC 24401718)</v>
      </c>
      <c r="C478" s="10" t="s">
        <v>253</v>
      </c>
      <c r="D478" s="10" t="s">
        <v>284</v>
      </c>
      <c r="E478" s="11">
        <f>IF(VLOOKUP(A478,'[1]LISTA ETIQUETAS'!O:W,4,0)="",(VLOOKUP(A478,'[1]LISTA ETIQUETAS'!O:W,6,0)),(VLOOKUP(A478,'[1]LISTA ETIQUETAS'!O:W,4,0)))</f>
        <v>0.57999999999999996</v>
      </c>
      <c r="F478" s="11">
        <f>IF(VLOOKUP(A478,'[1]LISTA ETIQUETAS'!O:W,5,0)="",(VLOOKUP(A478,'[1]LISTA ETIQUETAS'!O:W,7,0)),(VLOOKUP(A478,'[1]LISTA ETIQUETAS'!O:W,5,0)))</f>
        <v>0.56999999999999995</v>
      </c>
      <c r="G478" s="11">
        <f>IFERROR((VLOOKUP(A478,'[1]LISTA ETIQUETAS'!O:X,8,0)),"")</f>
        <v>0.8</v>
      </c>
      <c r="H478" s="11">
        <f>IFERROR((VLOOKUP(A478,'[1]LISTA ETIQUETAS'!O:X,9,0)),"")</f>
        <v>0</v>
      </c>
      <c r="I478" s="12" t="str">
        <f>IFERROR((VLOOKUP(A478,'[1]LISTA ETIQUETAS'!O:Y,11,0)),"")</f>
        <v/>
      </c>
      <c r="J478" s="6">
        <v>0</v>
      </c>
      <c r="K478" s="12" t="str">
        <f t="shared" si="21"/>
        <v/>
      </c>
      <c r="L478" s="7" t="str">
        <f>IF(VLOOKUP(A478,'[1]LISTA ETIQUETAS'!O:AB,14,0)="","",(VLOOKUP(A478,'[1]LISTA ETIQUETAS'!O:AB,14,0)))</f>
        <v/>
      </c>
      <c r="M478" s="8"/>
      <c r="N478" s="9">
        <f t="shared" si="22"/>
        <v>207167</v>
      </c>
      <c r="O478" s="2">
        <f>_xlfn.XLOOKUP($A478,'[1]LISTA ETIQUETAS'!$O:$O,'[1]LISTA ETIQUETAS'!C:C,"",0)</f>
        <v>0</v>
      </c>
      <c r="P478" s="2">
        <f>_xlfn.XLOOKUP($A478,'[1]LISTA ETIQUETAS'!$O:$O,'[1]LISTA ETIQUETAS'!D:D,"",0)</f>
        <v>0</v>
      </c>
      <c r="Q478" s="2">
        <f>_xlfn.XLOOKUP($A478,'[1]LISTA ETIQUETAS'!$O:$O,'[1]LISTA ETIQUETAS'!E:E,"",0)</f>
        <v>0</v>
      </c>
      <c r="R478" s="2">
        <f>_xlfn.XLOOKUP($A478,'[1]LISTA ETIQUETAS'!$O:$O,'[1]LISTA ETIQUETAS'!F:F,"",0)</f>
        <v>0</v>
      </c>
      <c r="S478" s="2">
        <f>_xlfn.XLOOKUP($A478,'[1]LISTA ETIQUETAS'!$O:$O,'[1]LISTA ETIQUETAS'!H:H,"",0)</f>
        <v>1</v>
      </c>
      <c r="T478" s="9">
        <f t="shared" si="23"/>
        <v>1</v>
      </c>
    </row>
    <row r="479" spans="1:20" x14ac:dyDescent="0.25">
      <c r="A479" s="5">
        <v>207166</v>
      </c>
      <c r="B479" t="str">
        <f>IFERROR((VLOOKUP(A479,'[1]LISTA ETIQUETAS'!O:X,3,0)),"PRODUTO SEM ESTOQUE")</f>
        <v>EST CADEIRA MILLA 360 C/BRACO (WHISKY) TELA NT TC 244-01718</v>
      </c>
      <c r="C479" s="10" t="s">
        <v>253</v>
      </c>
      <c r="D479" s="10" t="s">
        <v>284</v>
      </c>
      <c r="E479" s="11">
        <f>IF(VLOOKUP(A479,'[1]LISTA ETIQUETAS'!O:W,4,0)="",(VLOOKUP(A479,'[1]LISTA ETIQUETAS'!O:W,6,0)),(VLOOKUP(A479,'[1]LISTA ETIQUETAS'!O:W,4,0)))</f>
        <v>0</v>
      </c>
      <c r="F479" s="11">
        <f>IF(VLOOKUP(A479,'[1]LISTA ETIQUETAS'!O:W,5,0)="",(VLOOKUP(A479,'[1]LISTA ETIQUETAS'!O:W,7,0)),(VLOOKUP(A479,'[1]LISTA ETIQUETAS'!O:W,5,0)))</f>
        <v>0</v>
      </c>
      <c r="G479" s="11">
        <f>IFERROR((VLOOKUP(A479,'[1]LISTA ETIQUETAS'!O:X,8,0)),"")</f>
        <v>0</v>
      </c>
      <c r="H479" s="11">
        <f>IFERROR((VLOOKUP(A479,'[1]LISTA ETIQUETAS'!O:X,9,0)),"")</f>
        <v>0</v>
      </c>
      <c r="I479" s="12" t="str">
        <f>IFERROR((VLOOKUP(A479,'[1]LISTA ETIQUETAS'!O:Y,11,0)),"")</f>
        <v/>
      </c>
      <c r="J479" s="6">
        <v>0</v>
      </c>
      <c r="K479" s="12" t="str">
        <f t="shared" si="21"/>
        <v/>
      </c>
      <c r="L479" s="7" t="str">
        <f>IF(VLOOKUP(A479,'[1]LISTA ETIQUETAS'!O:AB,14,0)="","",(VLOOKUP(A479,'[1]LISTA ETIQUETAS'!O:AB,14,0)))</f>
        <v/>
      </c>
      <c r="M479" s="8"/>
      <c r="N479" s="9">
        <f t="shared" si="22"/>
        <v>207166</v>
      </c>
      <c r="O479" s="2">
        <f>_xlfn.XLOOKUP($A479,'[1]LISTA ETIQUETAS'!$O:$O,'[1]LISTA ETIQUETAS'!C:C,"",0)</f>
        <v>0</v>
      </c>
      <c r="P479" s="2">
        <f>_xlfn.XLOOKUP($A479,'[1]LISTA ETIQUETAS'!$O:$O,'[1]LISTA ETIQUETAS'!D:D,"",0)</f>
        <v>0</v>
      </c>
      <c r="Q479" s="2">
        <f>_xlfn.XLOOKUP($A479,'[1]LISTA ETIQUETAS'!$O:$O,'[1]LISTA ETIQUETAS'!E:E,"",0)</f>
        <v>0</v>
      </c>
      <c r="R479" s="2">
        <f>_xlfn.XLOOKUP($A479,'[1]LISTA ETIQUETAS'!$O:$O,'[1]LISTA ETIQUETAS'!F:F,"",0)</f>
        <v>0</v>
      </c>
      <c r="S479" s="2">
        <f>_xlfn.XLOOKUP($A479,'[1]LISTA ETIQUETAS'!$O:$O,'[1]LISTA ETIQUETAS'!H:H,"",0)</f>
        <v>1</v>
      </c>
      <c r="T479" s="9">
        <f t="shared" si="23"/>
        <v>1</v>
      </c>
    </row>
    <row r="480" spans="1:20" x14ac:dyDescent="0.25">
      <c r="A480" s="5">
        <v>207223</v>
      </c>
      <c r="B480" t="str">
        <f>IFERROR((VLOOKUP(A480,'[1]LISTA ETIQUETAS'!O:X,3,0)),"PRODUTO SEM ESTOQUE")</f>
        <v>EST CADEIRA FILO C/BRACO (IPE) COURO CAMURCA GRAFITE</v>
      </c>
      <c r="C480" s="10" t="s">
        <v>253</v>
      </c>
      <c r="D480" s="10" t="s">
        <v>319</v>
      </c>
      <c r="E480" s="11">
        <f>IF(VLOOKUP(A480,'[1]LISTA ETIQUETAS'!O:W,4,0)="",(VLOOKUP(A480,'[1]LISTA ETIQUETAS'!O:W,6,0)),(VLOOKUP(A480,'[1]LISTA ETIQUETAS'!O:W,4,0)))</f>
        <v>0.56000000000000005</v>
      </c>
      <c r="F480" s="11">
        <f>IF(VLOOKUP(A480,'[1]LISTA ETIQUETAS'!O:W,5,0)="",(VLOOKUP(A480,'[1]LISTA ETIQUETAS'!O:W,7,0)),(VLOOKUP(A480,'[1]LISTA ETIQUETAS'!O:W,5,0)))</f>
        <v>0.56000000000000005</v>
      </c>
      <c r="G480" s="11">
        <f>IFERROR((VLOOKUP(A480,'[1]LISTA ETIQUETAS'!O:X,8,0)),"")</f>
        <v>0.81</v>
      </c>
      <c r="H480" s="11">
        <f>IFERROR((VLOOKUP(A480,'[1]LISTA ETIQUETAS'!O:X,9,0)),"")</f>
        <v>0</v>
      </c>
      <c r="I480" s="12" t="str">
        <f>IFERROR((VLOOKUP(A480,'[1]LISTA ETIQUETAS'!O:Y,11,0)),"")</f>
        <v/>
      </c>
      <c r="J480" s="6">
        <v>0</v>
      </c>
      <c r="K480" s="12" t="str">
        <f t="shared" si="21"/>
        <v/>
      </c>
      <c r="L480" s="7" t="str">
        <f>IF(VLOOKUP(A480,'[1]LISTA ETIQUETAS'!O:AB,14,0)="","",(VLOOKUP(A480,'[1]LISTA ETIQUETAS'!O:AB,14,0)))</f>
        <v/>
      </c>
      <c r="M480" s="8"/>
      <c r="N480" s="9">
        <f t="shared" si="22"/>
        <v>207223</v>
      </c>
      <c r="O480" s="2">
        <f>_xlfn.XLOOKUP($A480,'[1]LISTA ETIQUETAS'!$O:$O,'[1]LISTA ETIQUETAS'!C:C,"",0)</f>
        <v>0</v>
      </c>
      <c r="P480" s="2">
        <f>_xlfn.XLOOKUP($A480,'[1]LISTA ETIQUETAS'!$O:$O,'[1]LISTA ETIQUETAS'!D:D,"",0)</f>
        <v>0</v>
      </c>
      <c r="Q480" s="2">
        <f>_xlfn.XLOOKUP($A480,'[1]LISTA ETIQUETAS'!$O:$O,'[1]LISTA ETIQUETAS'!E:E,"",0)</f>
        <v>0</v>
      </c>
      <c r="R480" s="2">
        <f>_xlfn.XLOOKUP($A480,'[1]LISTA ETIQUETAS'!$O:$O,'[1]LISTA ETIQUETAS'!F:F,"",0)</f>
        <v>0</v>
      </c>
      <c r="S480" s="2">
        <f>_xlfn.XLOOKUP($A480,'[1]LISTA ETIQUETAS'!$O:$O,'[1]LISTA ETIQUETAS'!H:H,"",0)</f>
        <v>2</v>
      </c>
      <c r="T480" s="9">
        <f t="shared" si="23"/>
        <v>2</v>
      </c>
    </row>
    <row r="481" spans="1:20" x14ac:dyDescent="0.25">
      <c r="A481" s="5">
        <v>208851</v>
      </c>
      <c r="B481" t="str">
        <f>IFERROR((VLOOKUP(A481,'[1]LISTA ETIQUETAS'!O:X,3,0)),"PRODUTO SEM ESTOQUE")</f>
        <v>EST CADEIRA DONNA (MEL CLARO) COURO GRAND CANYON 11</v>
      </c>
      <c r="C481" s="10" t="s">
        <v>253</v>
      </c>
      <c r="D481" s="10" t="s">
        <v>320</v>
      </c>
      <c r="E481" s="11">
        <f>IF(VLOOKUP(A481,'[1]LISTA ETIQUETAS'!O:W,4,0)="",(VLOOKUP(A481,'[1]LISTA ETIQUETAS'!O:W,6,0)),(VLOOKUP(A481,'[1]LISTA ETIQUETAS'!O:W,4,0)))</f>
        <v>0.52</v>
      </c>
      <c r="F481" s="11">
        <f>IF(VLOOKUP(A481,'[1]LISTA ETIQUETAS'!O:W,5,0)="",(VLOOKUP(A481,'[1]LISTA ETIQUETAS'!O:W,7,0)),(VLOOKUP(A481,'[1]LISTA ETIQUETAS'!O:W,5,0)))</f>
        <v>0.61</v>
      </c>
      <c r="G481" s="11">
        <f>IFERROR((VLOOKUP(A481,'[1]LISTA ETIQUETAS'!O:X,8,0)),"")</f>
        <v>0.75</v>
      </c>
      <c r="H481" s="11">
        <f>IFERROR((VLOOKUP(A481,'[1]LISTA ETIQUETAS'!O:X,9,0)),"")</f>
        <v>0</v>
      </c>
      <c r="I481" s="12">
        <f>IFERROR((VLOOKUP(A481,'[1]LISTA ETIQUETAS'!O:Y,11,0)),"")</f>
        <v>0</v>
      </c>
      <c r="J481" s="6">
        <v>0</v>
      </c>
      <c r="K481" s="12">
        <f t="shared" si="21"/>
        <v>0</v>
      </c>
      <c r="L481" s="7" t="str">
        <f>IF(VLOOKUP(A481,'[1]LISTA ETIQUETAS'!O:AB,14,0)="","",(VLOOKUP(A481,'[1]LISTA ETIQUETAS'!O:AB,14,0)))</f>
        <v/>
      </c>
      <c r="M481" s="8"/>
      <c r="N481" s="9">
        <f t="shared" si="22"/>
        <v>208851</v>
      </c>
      <c r="O481" s="2">
        <f>_xlfn.XLOOKUP($A481,'[1]LISTA ETIQUETAS'!$O:$O,'[1]LISTA ETIQUETAS'!C:C,"",0)</f>
        <v>0</v>
      </c>
      <c r="P481" s="2">
        <f>_xlfn.XLOOKUP($A481,'[1]LISTA ETIQUETAS'!$O:$O,'[1]LISTA ETIQUETAS'!D:D,"",0)</f>
        <v>0</v>
      </c>
      <c r="Q481" s="2">
        <f>_xlfn.XLOOKUP($A481,'[1]LISTA ETIQUETAS'!$O:$O,'[1]LISTA ETIQUETAS'!E:E,"",0)</f>
        <v>0</v>
      </c>
      <c r="R481" s="2">
        <f>_xlfn.XLOOKUP($A481,'[1]LISTA ETIQUETAS'!$O:$O,'[1]LISTA ETIQUETAS'!F:F,"",0)</f>
        <v>0</v>
      </c>
      <c r="S481" s="2">
        <f>_xlfn.XLOOKUP($A481,'[1]LISTA ETIQUETAS'!$O:$O,'[1]LISTA ETIQUETAS'!H:H,"",0)</f>
        <v>1</v>
      </c>
      <c r="T481" s="9">
        <f t="shared" si="23"/>
        <v>1</v>
      </c>
    </row>
    <row r="482" spans="1:20" x14ac:dyDescent="0.25">
      <c r="A482" s="5">
        <v>206588</v>
      </c>
      <c r="B482" t="str">
        <f>IFERROR((VLOOKUP(A482,'[1]LISTA ETIQUETAS'!O:X,3,0)),"PRODUTO SEM ESTOQUE")</f>
        <v>EST CADEIRA MADDA (ACO CARBONO LAMINADO NOGAL) TC 551</v>
      </c>
      <c r="C482" s="10" t="s">
        <v>253</v>
      </c>
      <c r="D482" s="10" t="s">
        <v>321</v>
      </c>
      <c r="E482" s="11">
        <f>IF(VLOOKUP(A482,'[1]LISTA ETIQUETAS'!O:W,4,0)="",(VLOOKUP(A482,'[1]LISTA ETIQUETAS'!O:W,6,0)),(VLOOKUP(A482,'[1]LISTA ETIQUETAS'!O:W,4,0)))</f>
        <v>0.64</v>
      </c>
      <c r="F482" s="11">
        <f>IF(VLOOKUP(A482,'[1]LISTA ETIQUETAS'!O:W,5,0)="",(VLOOKUP(A482,'[1]LISTA ETIQUETAS'!O:W,7,0)),(VLOOKUP(A482,'[1]LISTA ETIQUETAS'!O:W,5,0)))</f>
        <v>0.57999999999999996</v>
      </c>
      <c r="G482" s="11">
        <f>IFERROR((VLOOKUP(A482,'[1]LISTA ETIQUETAS'!O:X,8,0)),"")</f>
        <v>0.82</v>
      </c>
      <c r="H482" s="11">
        <f>IFERROR((VLOOKUP(A482,'[1]LISTA ETIQUETAS'!O:X,9,0)),"")</f>
        <v>0</v>
      </c>
      <c r="I482" s="12">
        <f>IFERROR((VLOOKUP(A482,'[1]LISTA ETIQUETAS'!O:Y,11,0)),"")</f>
        <v>0</v>
      </c>
      <c r="J482" s="6">
        <v>0</v>
      </c>
      <c r="K482" s="12">
        <f t="shared" si="21"/>
        <v>0</v>
      </c>
      <c r="L482" s="7" t="str">
        <f>IF(VLOOKUP(A482,'[1]LISTA ETIQUETAS'!O:AB,14,0)="","",(VLOOKUP(A482,'[1]LISTA ETIQUETAS'!O:AB,14,0)))</f>
        <v/>
      </c>
      <c r="M482" s="8"/>
      <c r="N482" s="9">
        <f t="shared" si="22"/>
        <v>206588</v>
      </c>
      <c r="O482" s="2">
        <f>_xlfn.XLOOKUP($A482,'[1]LISTA ETIQUETAS'!$O:$O,'[1]LISTA ETIQUETAS'!C:C,"",0)</f>
        <v>0</v>
      </c>
      <c r="P482" s="2">
        <f>_xlfn.XLOOKUP($A482,'[1]LISTA ETIQUETAS'!$O:$O,'[1]LISTA ETIQUETAS'!D:D,"",0)</f>
        <v>0</v>
      </c>
      <c r="Q482" s="2">
        <f>_xlfn.XLOOKUP($A482,'[1]LISTA ETIQUETAS'!$O:$O,'[1]LISTA ETIQUETAS'!E:E,"",0)</f>
        <v>0</v>
      </c>
      <c r="R482" s="2">
        <f>_xlfn.XLOOKUP($A482,'[1]LISTA ETIQUETAS'!$O:$O,'[1]LISTA ETIQUETAS'!F:F,"",0)</f>
        <v>0</v>
      </c>
      <c r="S482" s="2">
        <f>_xlfn.XLOOKUP($A482,'[1]LISTA ETIQUETAS'!$O:$O,'[1]LISTA ETIQUETAS'!H:H,"",0)</f>
        <v>1</v>
      </c>
      <c r="T482" s="9">
        <f t="shared" si="23"/>
        <v>1</v>
      </c>
    </row>
    <row r="483" spans="1:20" x14ac:dyDescent="0.25">
      <c r="A483" s="5">
        <v>210386</v>
      </c>
      <c r="B483" t="str">
        <f>IFERROR((VLOOKUP(A483,'[1]LISTA ETIQUETAS'!O:X,3,0)),"PRODUTO SEM ESTOQUE")</f>
        <v>EST CADEIRA GAVEA C/BRACO (MEL) COURO 20363</v>
      </c>
      <c r="C483" s="10" t="s">
        <v>253</v>
      </c>
      <c r="D483" s="10" t="s">
        <v>322</v>
      </c>
      <c r="E483" s="11">
        <f>IF(VLOOKUP(A483,'[1]LISTA ETIQUETAS'!O:W,4,0)="",(VLOOKUP(A483,'[1]LISTA ETIQUETAS'!O:W,6,0)),(VLOOKUP(A483,'[1]LISTA ETIQUETAS'!O:W,4,0)))</f>
        <v>0.5</v>
      </c>
      <c r="F483" s="11">
        <f>IF(VLOOKUP(A483,'[1]LISTA ETIQUETAS'!O:W,5,0)="",(VLOOKUP(A483,'[1]LISTA ETIQUETAS'!O:W,7,0)),(VLOOKUP(A483,'[1]LISTA ETIQUETAS'!O:W,5,0)))</f>
        <v>0.63</v>
      </c>
      <c r="G483" s="11">
        <f>IFERROR((VLOOKUP(A483,'[1]LISTA ETIQUETAS'!O:X,8,0)),"")</f>
        <v>0.87</v>
      </c>
      <c r="H483" s="11">
        <f>IFERROR((VLOOKUP(A483,'[1]LISTA ETIQUETAS'!O:X,9,0)),"")</f>
        <v>0</v>
      </c>
      <c r="I483" s="12">
        <f>IFERROR((VLOOKUP(A483,'[1]LISTA ETIQUETAS'!O:Y,11,0)),"")</f>
        <v>0</v>
      </c>
      <c r="J483" s="6">
        <v>0</v>
      </c>
      <c r="K483" s="12">
        <f t="shared" si="21"/>
        <v>0</v>
      </c>
      <c r="L483" s="7" t="str">
        <f>IF(VLOOKUP(A483,'[1]LISTA ETIQUETAS'!O:AB,14,0)="","",(VLOOKUP(A483,'[1]LISTA ETIQUETAS'!O:AB,14,0)))</f>
        <v/>
      </c>
      <c r="M483" s="8"/>
      <c r="N483" s="9">
        <f t="shared" si="22"/>
        <v>210386</v>
      </c>
      <c r="O483" s="2">
        <f>_xlfn.XLOOKUP($A483,'[1]LISTA ETIQUETAS'!$O:$O,'[1]LISTA ETIQUETAS'!C:C,"",0)</f>
        <v>0</v>
      </c>
      <c r="P483" s="2">
        <f>_xlfn.XLOOKUP($A483,'[1]LISTA ETIQUETAS'!$O:$O,'[1]LISTA ETIQUETAS'!D:D,"",0)</f>
        <v>0</v>
      </c>
      <c r="Q483" s="2">
        <f>_xlfn.XLOOKUP($A483,'[1]LISTA ETIQUETAS'!$O:$O,'[1]LISTA ETIQUETAS'!E:E,"",0)</f>
        <v>0</v>
      </c>
      <c r="R483" s="2">
        <f>_xlfn.XLOOKUP($A483,'[1]LISTA ETIQUETAS'!$O:$O,'[1]LISTA ETIQUETAS'!F:F,"",0)</f>
        <v>0</v>
      </c>
      <c r="S483" s="2">
        <f>_xlfn.XLOOKUP($A483,'[1]LISTA ETIQUETAS'!$O:$O,'[1]LISTA ETIQUETAS'!H:H,"",0)</f>
        <v>1</v>
      </c>
      <c r="T483" s="9">
        <f t="shared" si="23"/>
        <v>1</v>
      </c>
    </row>
    <row r="484" spans="1:20" x14ac:dyDescent="0.25">
      <c r="A484" s="5">
        <v>210373</v>
      </c>
      <c r="B484" t="str">
        <f>IFERROR((VLOOKUP(A484,'[1]LISTA ETIQUETAS'!O:X,3,0)),"PRODUTO SEM ESTOQUE")</f>
        <v>EST CADEIRA FLORA (ESTOFADA) TC 7008</v>
      </c>
      <c r="C484" s="10" t="s">
        <v>253</v>
      </c>
      <c r="D484" s="10" t="s">
        <v>323</v>
      </c>
      <c r="E484" s="11">
        <f>IF(VLOOKUP(A484,'[1]LISTA ETIQUETAS'!O:W,4,0)="",(VLOOKUP(A484,'[1]LISTA ETIQUETAS'!O:W,6,0)),(VLOOKUP(A484,'[1]LISTA ETIQUETAS'!O:W,4,0)))</f>
        <v>0.51</v>
      </c>
      <c r="F484" s="11">
        <f>IF(VLOOKUP(A484,'[1]LISTA ETIQUETAS'!O:W,5,0)="",(VLOOKUP(A484,'[1]LISTA ETIQUETAS'!O:W,7,0)),(VLOOKUP(A484,'[1]LISTA ETIQUETAS'!O:W,5,0)))</f>
        <v>0.65</v>
      </c>
      <c r="G484" s="11">
        <f>IFERROR((VLOOKUP(A484,'[1]LISTA ETIQUETAS'!O:X,8,0)),"")</f>
        <v>0.88</v>
      </c>
      <c r="H484" s="11">
        <f>IFERROR((VLOOKUP(A484,'[1]LISTA ETIQUETAS'!O:X,9,0)),"")</f>
        <v>0</v>
      </c>
      <c r="I484" s="12" t="str">
        <f>IFERROR((VLOOKUP(A484,'[1]LISTA ETIQUETAS'!O:Y,11,0)),"")</f>
        <v>EST</v>
      </c>
      <c r="J484" s="6">
        <v>0</v>
      </c>
      <c r="K484" s="12" t="str">
        <f t="shared" si="21"/>
        <v/>
      </c>
      <c r="L484" s="7" t="str">
        <f>IF(VLOOKUP(A484,'[1]LISTA ETIQUETAS'!O:AB,14,0)="","",(VLOOKUP(A484,'[1]LISTA ETIQUETAS'!O:AB,14,0)))</f>
        <v/>
      </c>
      <c r="M484" s="8"/>
      <c r="N484" s="9">
        <f t="shared" si="22"/>
        <v>210373</v>
      </c>
      <c r="O484" s="2">
        <f>_xlfn.XLOOKUP($A484,'[1]LISTA ETIQUETAS'!$O:$O,'[1]LISTA ETIQUETAS'!C:C,"",0)</f>
        <v>0</v>
      </c>
      <c r="P484" s="2">
        <f>_xlfn.XLOOKUP($A484,'[1]LISTA ETIQUETAS'!$O:$O,'[1]LISTA ETIQUETAS'!D:D,"",0)</f>
        <v>0</v>
      </c>
      <c r="Q484" s="2">
        <f>_xlfn.XLOOKUP($A484,'[1]LISTA ETIQUETAS'!$O:$O,'[1]LISTA ETIQUETAS'!E:E,"",0)</f>
        <v>0</v>
      </c>
      <c r="R484" s="2">
        <f>_xlfn.XLOOKUP($A484,'[1]LISTA ETIQUETAS'!$O:$O,'[1]LISTA ETIQUETAS'!F:F,"",0)</f>
        <v>0</v>
      </c>
      <c r="S484" s="2">
        <f>_xlfn.XLOOKUP($A484,'[1]LISTA ETIQUETAS'!$O:$O,'[1]LISTA ETIQUETAS'!H:H,"",0)</f>
        <v>4</v>
      </c>
      <c r="T484" s="9">
        <f t="shared" si="23"/>
        <v>4</v>
      </c>
    </row>
    <row r="485" spans="1:20" x14ac:dyDescent="0.25">
      <c r="A485" s="5">
        <v>224211</v>
      </c>
      <c r="B485" t="str">
        <f>IFERROR((VLOOKUP(A485,'[1]LISTA ETIQUETAS'!O:X,3,0)),"PRODUTO SEM ESTOQUE")</f>
        <v>EST CADEIRA DORA TC INTRICATE WHINTEL MIX TAUARI COR 01</v>
      </c>
      <c r="C485" s="10" t="s">
        <v>253</v>
      </c>
      <c r="D485" s="10" t="s">
        <v>324</v>
      </c>
      <c r="E485" s="11">
        <f>IF(VLOOKUP(A485,'[1]LISTA ETIQUETAS'!O:W,4,0)="",(VLOOKUP(A485,'[1]LISTA ETIQUETAS'!O:W,6,0)),(VLOOKUP(A485,'[1]LISTA ETIQUETAS'!O:W,4,0)))</f>
        <v>0.62</v>
      </c>
      <c r="F485" s="11">
        <f>IF(VLOOKUP(A485,'[1]LISTA ETIQUETAS'!O:W,5,0)="",(VLOOKUP(A485,'[1]LISTA ETIQUETAS'!O:W,7,0)),(VLOOKUP(A485,'[1]LISTA ETIQUETAS'!O:W,5,0)))</f>
        <v>0.7</v>
      </c>
      <c r="G485" s="11">
        <f>IFERROR((VLOOKUP(A485,'[1]LISTA ETIQUETAS'!O:X,8,0)),"")</f>
        <v>0.84</v>
      </c>
      <c r="H485" s="11">
        <f>IFERROR((VLOOKUP(A485,'[1]LISTA ETIQUETAS'!O:X,9,0)),"")</f>
        <v>0</v>
      </c>
      <c r="I485" s="12" t="str">
        <f>IFERROR((VLOOKUP(A485,'[1]LISTA ETIQUETAS'!O:Y,11,0)),"")</f>
        <v/>
      </c>
      <c r="J485" s="6">
        <v>0</v>
      </c>
      <c r="K485" s="12" t="str">
        <f t="shared" si="21"/>
        <v/>
      </c>
      <c r="L485" s="7" t="str">
        <f>IF(VLOOKUP(A485,'[1]LISTA ETIQUETAS'!O:AB,14,0)="","",(VLOOKUP(A485,'[1]LISTA ETIQUETAS'!O:AB,14,0)))</f>
        <v/>
      </c>
      <c r="M485" s="8"/>
      <c r="N485" s="9">
        <f t="shared" si="22"/>
        <v>224211</v>
      </c>
      <c r="O485" s="2">
        <f>_xlfn.XLOOKUP($A485,'[1]LISTA ETIQUETAS'!$O:$O,'[1]LISTA ETIQUETAS'!C:C,"",0)</f>
        <v>0</v>
      </c>
      <c r="P485" s="2">
        <f>_xlfn.XLOOKUP($A485,'[1]LISTA ETIQUETAS'!$O:$O,'[1]LISTA ETIQUETAS'!D:D,"",0)</f>
        <v>0</v>
      </c>
      <c r="Q485" s="2">
        <f>_xlfn.XLOOKUP($A485,'[1]LISTA ETIQUETAS'!$O:$O,'[1]LISTA ETIQUETAS'!E:E,"",0)</f>
        <v>0</v>
      </c>
      <c r="R485" s="2">
        <f>_xlfn.XLOOKUP($A485,'[1]LISTA ETIQUETAS'!$O:$O,'[1]LISTA ETIQUETAS'!F:F,"",0)</f>
        <v>0</v>
      </c>
      <c r="S485" s="2">
        <f>_xlfn.XLOOKUP($A485,'[1]LISTA ETIQUETAS'!$O:$O,'[1]LISTA ETIQUETAS'!H:H,"",0)</f>
        <v>1</v>
      </c>
      <c r="T485" s="9">
        <f t="shared" si="23"/>
        <v>1</v>
      </c>
    </row>
    <row r="486" spans="1:20" x14ac:dyDescent="0.25">
      <c r="A486" s="5">
        <v>231017</v>
      </c>
      <c r="B486" t="str">
        <f>IFERROR((VLOOKUP(A486,'[1]LISTA ETIQUETAS'!O:X,3,0)),"PRODUTO SEM ESTOQUE")</f>
        <v>EST CADEIRA FLORA C/BRACO (ESTOFADA) TC 7040</v>
      </c>
      <c r="C486" s="10" t="s">
        <v>253</v>
      </c>
      <c r="D486" s="10" t="s">
        <v>323</v>
      </c>
      <c r="E486" s="11">
        <f>IF(VLOOKUP(A486,'[1]LISTA ETIQUETAS'!O:W,4,0)="",(VLOOKUP(A486,'[1]LISTA ETIQUETAS'!O:W,6,0)),(VLOOKUP(A486,'[1]LISTA ETIQUETAS'!O:W,4,0)))</f>
        <v>0.63</v>
      </c>
      <c r="F486" s="11">
        <f>IF(VLOOKUP(A486,'[1]LISTA ETIQUETAS'!O:W,5,0)="",(VLOOKUP(A486,'[1]LISTA ETIQUETAS'!O:W,7,0)),(VLOOKUP(A486,'[1]LISTA ETIQUETAS'!O:W,5,0)))</f>
        <v>0.65</v>
      </c>
      <c r="G486" s="11">
        <f>IFERROR((VLOOKUP(A486,'[1]LISTA ETIQUETAS'!O:X,8,0)),"")</f>
        <v>0.88</v>
      </c>
      <c r="H486" s="11">
        <f>IFERROR((VLOOKUP(A486,'[1]LISTA ETIQUETAS'!O:X,9,0)),"")</f>
        <v>0</v>
      </c>
      <c r="I486" s="12" t="str">
        <f>IFERROR((VLOOKUP(A486,'[1]LISTA ETIQUETAS'!O:Y,11,0)),"")</f>
        <v>EST</v>
      </c>
      <c r="J486" s="6">
        <v>0</v>
      </c>
      <c r="K486" s="12" t="str">
        <f t="shared" si="21"/>
        <v/>
      </c>
      <c r="L486" s="7" t="str">
        <f>IF(VLOOKUP(A486,'[1]LISTA ETIQUETAS'!O:AB,14,0)="","",(VLOOKUP(A486,'[1]LISTA ETIQUETAS'!O:AB,14,0)))</f>
        <v/>
      </c>
      <c r="M486" s="8"/>
      <c r="N486" s="9">
        <f t="shared" si="22"/>
        <v>231017</v>
      </c>
      <c r="O486" s="2">
        <f>_xlfn.XLOOKUP($A486,'[1]LISTA ETIQUETAS'!$O:$O,'[1]LISTA ETIQUETAS'!C:C,"",0)</f>
        <v>0</v>
      </c>
      <c r="P486" s="2">
        <f>_xlfn.XLOOKUP($A486,'[1]LISTA ETIQUETAS'!$O:$O,'[1]LISTA ETIQUETAS'!D:D,"",0)</f>
        <v>0</v>
      </c>
      <c r="Q486" s="2">
        <f>_xlfn.XLOOKUP($A486,'[1]LISTA ETIQUETAS'!$O:$O,'[1]LISTA ETIQUETAS'!E:E,"",0)</f>
        <v>0</v>
      </c>
      <c r="R486" s="2">
        <f>_xlfn.XLOOKUP($A486,'[1]LISTA ETIQUETAS'!$O:$O,'[1]LISTA ETIQUETAS'!F:F,"",0)</f>
        <v>0</v>
      </c>
      <c r="S486" s="2">
        <f>_xlfn.XLOOKUP($A486,'[1]LISTA ETIQUETAS'!$O:$O,'[1]LISTA ETIQUETAS'!H:H,"",0)</f>
        <v>2</v>
      </c>
      <c r="T486" s="9">
        <f t="shared" si="23"/>
        <v>2</v>
      </c>
    </row>
    <row r="487" spans="1:20" x14ac:dyDescent="0.25">
      <c r="A487" s="5">
        <v>226719</v>
      </c>
      <c r="B487" t="str">
        <f>IFERROR((VLOOKUP(A487,'[1]LISTA ETIQUETAS'!O:X,3,0)),"PRODUTO SEM ESTOQUE")</f>
        <v>EST CADEIRA EVO C/BRACO (TAP DISTRESS 20363) MAD MEL CLARO</v>
      </c>
      <c r="C487" s="10" t="s">
        <v>253</v>
      </c>
      <c r="D487" s="10" t="s">
        <v>325</v>
      </c>
      <c r="E487" s="11">
        <f>IF(VLOOKUP(A487,'[1]LISTA ETIQUETAS'!O:W,4,0)="",(VLOOKUP(A487,'[1]LISTA ETIQUETAS'!O:W,6,0)),(VLOOKUP(A487,'[1]LISTA ETIQUETAS'!O:W,4,0)))</f>
        <v>0.53</v>
      </c>
      <c r="F487" s="11">
        <f>IF(VLOOKUP(A487,'[1]LISTA ETIQUETAS'!O:W,5,0)="",(VLOOKUP(A487,'[1]LISTA ETIQUETAS'!O:W,7,0)),(VLOOKUP(A487,'[1]LISTA ETIQUETAS'!O:W,5,0)))</f>
        <v>0.47</v>
      </c>
      <c r="G487" s="11">
        <f>IFERROR((VLOOKUP(A487,'[1]LISTA ETIQUETAS'!O:X,8,0)),"")</f>
        <v>0.82</v>
      </c>
      <c r="H487" s="11">
        <f>IFERROR((VLOOKUP(A487,'[1]LISTA ETIQUETAS'!O:X,9,0)),"")</f>
        <v>0</v>
      </c>
      <c r="I487" s="12">
        <f>IFERROR((VLOOKUP(A487,'[1]LISTA ETIQUETAS'!O:Y,11,0)),"")</f>
        <v>6988.67</v>
      </c>
      <c r="J487" s="6">
        <v>0</v>
      </c>
      <c r="K487" s="12">
        <f t="shared" si="21"/>
        <v>6988.67</v>
      </c>
      <c r="L487" s="7" t="str">
        <f>IF(VLOOKUP(A487,'[1]LISTA ETIQUETAS'!O:AB,14,0)="","",(VLOOKUP(A487,'[1]LISTA ETIQUETAS'!O:AB,14,0)))</f>
        <v/>
      </c>
      <c r="M487" s="8"/>
      <c r="N487" s="9">
        <f t="shared" si="22"/>
        <v>226719</v>
      </c>
      <c r="O487" s="2">
        <f>_xlfn.XLOOKUP($A487,'[1]LISTA ETIQUETAS'!$O:$O,'[1]LISTA ETIQUETAS'!C:C,"",0)</f>
        <v>0</v>
      </c>
      <c r="P487" s="2">
        <f>_xlfn.XLOOKUP($A487,'[1]LISTA ETIQUETAS'!$O:$O,'[1]LISTA ETIQUETAS'!D:D,"",0)</f>
        <v>0</v>
      </c>
      <c r="Q487" s="2">
        <f>_xlfn.XLOOKUP($A487,'[1]LISTA ETIQUETAS'!$O:$O,'[1]LISTA ETIQUETAS'!E:E,"",0)</f>
        <v>0</v>
      </c>
      <c r="R487" s="2">
        <f>_xlfn.XLOOKUP($A487,'[1]LISTA ETIQUETAS'!$O:$O,'[1]LISTA ETIQUETAS'!F:F,"",0)</f>
        <v>0</v>
      </c>
      <c r="S487" s="2">
        <f>_xlfn.XLOOKUP($A487,'[1]LISTA ETIQUETAS'!$O:$O,'[1]LISTA ETIQUETAS'!H:H,"",0)</f>
        <v>1</v>
      </c>
      <c r="T487" s="9">
        <f t="shared" si="23"/>
        <v>1</v>
      </c>
    </row>
    <row r="488" spans="1:20" x14ac:dyDescent="0.25">
      <c r="A488" s="5">
        <v>223318</v>
      </c>
      <c r="B488" t="str">
        <f>IFERROR((VLOOKUP(A488,'[1]LISTA ETIQUETAS'!O:X,3,0)),"PRODUTO SEM ESTOQUE")</f>
        <v>EST CADEIRA DIOR (TC 3321 MADEIRA MEL 110)</v>
      </c>
      <c r="C488" s="10" t="s">
        <v>253</v>
      </c>
      <c r="D488" s="10" t="s">
        <v>326</v>
      </c>
      <c r="E488" s="11">
        <f>IF(VLOOKUP(A488,'[1]LISTA ETIQUETAS'!O:W,4,0)="",(VLOOKUP(A488,'[1]LISTA ETIQUETAS'!O:W,6,0)),(VLOOKUP(A488,'[1]LISTA ETIQUETAS'!O:W,4,0)))</f>
        <v>0.49</v>
      </c>
      <c r="F488" s="11">
        <f>IF(VLOOKUP(A488,'[1]LISTA ETIQUETAS'!O:W,5,0)="",(VLOOKUP(A488,'[1]LISTA ETIQUETAS'!O:W,7,0)),(VLOOKUP(A488,'[1]LISTA ETIQUETAS'!O:W,5,0)))</f>
        <v>0.51</v>
      </c>
      <c r="G488" s="11">
        <f>IFERROR((VLOOKUP(A488,'[1]LISTA ETIQUETAS'!O:X,8,0)),"")</f>
        <v>0.83</v>
      </c>
      <c r="H488" s="11">
        <f>IFERROR((VLOOKUP(A488,'[1]LISTA ETIQUETAS'!O:X,9,0)),"")</f>
        <v>0</v>
      </c>
      <c r="I488" s="12">
        <f>IFERROR((VLOOKUP(A488,'[1]LISTA ETIQUETAS'!O:Y,11,0)),"")</f>
        <v>2122.04</v>
      </c>
      <c r="J488" s="6">
        <v>0</v>
      </c>
      <c r="K488" s="12">
        <f t="shared" si="21"/>
        <v>2122.04</v>
      </c>
      <c r="L488" s="7" t="str">
        <f>IF(VLOOKUP(A488,'[1]LISTA ETIQUETAS'!O:AB,14,0)="","",(VLOOKUP(A488,'[1]LISTA ETIQUETAS'!O:AB,14,0)))</f>
        <v/>
      </c>
      <c r="M488" s="8"/>
      <c r="N488" s="9">
        <f t="shared" si="22"/>
        <v>223318</v>
      </c>
      <c r="O488" s="2">
        <f>_xlfn.XLOOKUP($A488,'[1]LISTA ETIQUETAS'!$O:$O,'[1]LISTA ETIQUETAS'!C:C,"",0)</f>
        <v>0</v>
      </c>
      <c r="P488" s="2">
        <f>_xlfn.XLOOKUP($A488,'[1]LISTA ETIQUETAS'!$O:$O,'[1]LISTA ETIQUETAS'!D:D,"",0)</f>
        <v>0</v>
      </c>
      <c r="Q488" s="2">
        <f>_xlfn.XLOOKUP($A488,'[1]LISTA ETIQUETAS'!$O:$O,'[1]LISTA ETIQUETAS'!E:E,"",0)</f>
        <v>1</v>
      </c>
      <c r="R488" s="2">
        <f>_xlfn.XLOOKUP($A488,'[1]LISTA ETIQUETAS'!$O:$O,'[1]LISTA ETIQUETAS'!F:F,"",0)</f>
        <v>0</v>
      </c>
      <c r="S488" s="2">
        <f>_xlfn.XLOOKUP($A488,'[1]LISTA ETIQUETAS'!$O:$O,'[1]LISTA ETIQUETAS'!H:H,"",0)</f>
        <v>1</v>
      </c>
      <c r="T488" s="9">
        <f t="shared" si="23"/>
        <v>2</v>
      </c>
    </row>
    <row r="489" spans="1:20" x14ac:dyDescent="0.25">
      <c r="A489" s="5">
        <v>224131</v>
      </c>
      <c r="B489" t="str">
        <f>IFERROR((VLOOKUP(A489,'[1]LISTA ETIQUETAS'!O:X,3,0)),"PRODUTO SEM ESTOQUE")</f>
        <v>EST CADEIRA GAVEA (MEL CLARO) TC 310A</v>
      </c>
      <c r="C489" s="10" t="s">
        <v>253</v>
      </c>
      <c r="D489" s="10" t="s">
        <v>322</v>
      </c>
      <c r="E489" s="11">
        <f>IF(VLOOKUP(A489,'[1]LISTA ETIQUETAS'!O:W,4,0)="",(VLOOKUP(A489,'[1]LISTA ETIQUETAS'!O:W,6,0)),(VLOOKUP(A489,'[1]LISTA ETIQUETAS'!O:W,4,0)))</f>
        <v>0.51</v>
      </c>
      <c r="F489" s="11">
        <f>IF(VLOOKUP(A489,'[1]LISTA ETIQUETAS'!O:W,5,0)="",(VLOOKUP(A489,'[1]LISTA ETIQUETAS'!O:W,7,0)),(VLOOKUP(A489,'[1]LISTA ETIQUETAS'!O:W,5,0)))</f>
        <v>0.62</v>
      </c>
      <c r="G489" s="11">
        <f>IFERROR((VLOOKUP(A489,'[1]LISTA ETIQUETAS'!O:X,8,0)),"")</f>
        <v>0.87</v>
      </c>
      <c r="H489" s="11">
        <f>IFERROR((VLOOKUP(A489,'[1]LISTA ETIQUETAS'!O:X,9,0)),"")</f>
        <v>0</v>
      </c>
      <c r="I489" s="12">
        <f>IFERROR((VLOOKUP(A489,'[1]LISTA ETIQUETAS'!O:Y,11,0)),"")</f>
        <v>4928</v>
      </c>
      <c r="J489" s="6">
        <v>0</v>
      </c>
      <c r="K489" s="12">
        <f t="shared" si="21"/>
        <v>4928</v>
      </c>
      <c r="L489" s="7" t="str">
        <f>IF(VLOOKUP(A489,'[1]LISTA ETIQUETAS'!O:AB,14,0)="","",(VLOOKUP(A489,'[1]LISTA ETIQUETAS'!O:AB,14,0)))</f>
        <v/>
      </c>
      <c r="M489" s="8"/>
      <c r="N489" s="9">
        <f t="shared" si="22"/>
        <v>224131</v>
      </c>
      <c r="O489" s="2">
        <f>_xlfn.XLOOKUP($A489,'[1]LISTA ETIQUETAS'!$O:$O,'[1]LISTA ETIQUETAS'!C:C,"",0)</f>
        <v>0</v>
      </c>
      <c r="P489" s="2">
        <f>_xlfn.XLOOKUP($A489,'[1]LISTA ETIQUETAS'!$O:$O,'[1]LISTA ETIQUETAS'!D:D,"",0)</f>
        <v>0</v>
      </c>
      <c r="Q489" s="2">
        <f>_xlfn.XLOOKUP($A489,'[1]LISTA ETIQUETAS'!$O:$O,'[1]LISTA ETIQUETAS'!E:E,"",0)</f>
        <v>0</v>
      </c>
      <c r="R489" s="2">
        <f>_xlfn.XLOOKUP($A489,'[1]LISTA ETIQUETAS'!$O:$O,'[1]LISTA ETIQUETAS'!F:F,"",0)</f>
        <v>0</v>
      </c>
      <c r="S489" s="2">
        <f>_xlfn.XLOOKUP($A489,'[1]LISTA ETIQUETAS'!$O:$O,'[1]LISTA ETIQUETAS'!H:H,"",0)</f>
        <v>4</v>
      </c>
      <c r="T489" s="9">
        <f t="shared" si="23"/>
        <v>4</v>
      </c>
    </row>
    <row r="490" spans="1:20" x14ac:dyDescent="0.25">
      <c r="A490" s="5">
        <v>221148</v>
      </c>
      <c r="B490" t="str">
        <f>IFERROR((VLOOKUP(A490,'[1]LISTA ETIQUETAS'!O:X,3,0)),"PRODUTO SEM ESTOQUE")</f>
        <v>EST CADEIRA WING MISTA (TELA SEXTAVADA NT) TC 110</v>
      </c>
      <c r="C490" s="10" t="s">
        <v>253</v>
      </c>
      <c r="D490" s="10" t="s">
        <v>327</v>
      </c>
      <c r="E490" s="11">
        <f>IF(VLOOKUP(A490,'[1]LISTA ETIQUETAS'!O:W,4,0)="",(VLOOKUP(A490,'[1]LISTA ETIQUETAS'!O:W,6,0)),(VLOOKUP(A490,'[1]LISTA ETIQUETAS'!O:W,4,0)))</f>
        <v>0.56000000000000005</v>
      </c>
      <c r="F490" s="11">
        <f>IF(VLOOKUP(A490,'[1]LISTA ETIQUETAS'!O:W,5,0)="",(VLOOKUP(A490,'[1]LISTA ETIQUETAS'!O:W,7,0)),(VLOOKUP(A490,'[1]LISTA ETIQUETAS'!O:W,5,0)))</f>
        <v>0.54</v>
      </c>
      <c r="G490" s="11">
        <f>IFERROR((VLOOKUP(A490,'[1]LISTA ETIQUETAS'!O:X,8,0)),"")</f>
        <v>0.84</v>
      </c>
      <c r="H490" s="11">
        <f>IFERROR((VLOOKUP(A490,'[1]LISTA ETIQUETAS'!O:X,9,0)),"")</f>
        <v>0</v>
      </c>
      <c r="I490" s="12">
        <f>IFERROR((VLOOKUP(A490,'[1]LISTA ETIQUETAS'!O:Y,11,0)),"")</f>
        <v>3827.94</v>
      </c>
      <c r="J490" s="6">
        <v>0</v>
      </c>
      <c r="K490" s="12">
        <f t="shared" si="21"/>
        <v>3827.94</v>
      </c>
      <c r="L490" s="7" t="str">
        <f>IF(VLOOKUP(A490,'[1]LISTA ETIQUETAS'!O:AB,14,0)="","",(VLOOKUP(A490,'[1]LISTA ETIQUETAS'!O:AB,14,0)))</f>
        <v/>
      </c>
      <c r="M490" s="8"/>
      <c r="N490" s="9">
        <f t="shared" si="22"/>
        <v>221148</v>
      </c>
      <c r="O490" s="2">
        <f>_xlfn.XLOOKUP($A490,'[1]LISTA ETIQUETAS'!$O:$O,'[1]LISTA ETIQUETAS'!C:C,"",0)</f>
        <v>0</v>
      </c>
      <c r="P490" s="2">
        <f>_xlfn.XLOOKUP($A490,'[1]LISTA ETIQUETAS'!$O:$O,'[1]LISTA ETIQUETAS'!D:D,"",0)</f>
        <v>0</v>
      </c>
      <c r="Q490" s="2">
        <f>_xlfn.XLOOKUP($A490,'[1]LISTA ETIQUETAS'!$O:$O,'[1]LISTA ETIQUETAS'!E:E,"",0)</f>
        <v>0</v>
      </c>
      <c r="R490" s="2">
        <f>_xlfn.XLOOKUP($A490,'[1]LISTA ETIQUETAS'!$O:$O,'[1]LISTA ETIQUETAS'!F:F,"",0)</f>
        <v>0</v>
      </c>
      <c r="S490" s="2">
        <f>_xlfn.XLOOKUP($A490,'[1]LISTA ETIQUETAS'!$O:$O,'[1]LISTA ETIQUETAS'!H:H,"",0)</f>
        <v>2</v>
      </c>
      <c r="T490" s="9">
        <f t="shared" si="23"/>
        <v>2</v>
      </c>
    </row>
    <row r="491" spans="1:20" x14ac:dyDescent="0.25">
      <c r="A491" s="5">
        <v>221136</v>
      </c>
      <c r="B491" t="str">
        <f>IFERROR((VLOOKUP(A491,'[1]LISTA ETIQUETAS'!O:X,3,0)),"PRODUTO SEM ESTOQUE")</f>
        <v>EST CADEIRA JOY ESTOFADA (IMBUIA) (COURO 515 AZUL CLARO)</v>
      </c>
      <c r="C491" s="10" t="s">
        <v>253</v>
      </c>
      <c r="D491" s="10" t="s">
        <v>310</v>
      </c>
      <c r="E491" s="11">
        <f>IF(VLOOKUP(A491,'[1]LISTA ETIQUETAS'!O:W,4,0)="",(VLOOKUP(A491,'[1]LISTA ETIQUETAS'!O:W,6,0)),(VLOOKUP(A491,'[1]LISTA ETIQUETAS'!O:W,4,0)))</f>
        <v>0.44</v>
      </c>
      <c r="F491" s="11">
        <f>IF(VLOOKUP(A491,'[1]LISTA ETIQUETAS'!O:W,5,0)="",(VLOOKUP(A491,'[1]LISTA ETIQUETAS'!O:W,7,0)),(VLOOKUP(A491,'[1]LISTA ETIQUETAS'!O:W,5,0)))</f>
        <v>0.56999999999999995</v>
      </c>
      <c r="G491" s="11">
        <f>IFERROR((VLOOKUP(A491,'[1]LISTA ETIQUETAS'!O:X,8,0)),"")</f>
        <v>0.8</v>
      </c>
      <c r="H491" s="11">
        <f>IFERROR((VLOOKUP(A491,'[1]LISTA ETIQUETAS'!O:X,9,0)),"")</f>
        <v>0</v>
      </c>
      <c r="I491" s="12">
        <f>IFERROR((VLOOKUP(A491,'[1]LISTA ETIQUETAS'!O:Y,11,0)),"")</f>
        <v>7223.91</v>
      </c>
      <c r="J491" s="6">
        <v>0</v>
      </c>
      <c r="K491" s="12">
        <f t="shared" si="21"/>
        <v>7223.91</v>
      </c>
      <c r="L491" s="7" t="str">
        <f>IF(VLOOKUP(A491,'[1]LISTA ETIQUETAS'!O:AB,14,0)="","",(VLOOKUP(A491,'[1]LISTA ETIQUETAS'!O:AB,14,0)))</f>
        <v/>
      </c>
      <c r="M491" s="8"/>
      <c r="N491" s="9">
        <f t="shared" si="22"/>
        <v>221136</v>
      </c>
      <c r="O491" s="2">
        <f>_xlfn.XLOOKUP($A491,'[1]LISTA ETIQUETAS'!$O:$O,'[1]LISTA ETIQUETAS'!C:C,"",0)</f>
        <v>0</v>
      </c>
      <c r="P491" s="2">
        <f>_xlfn.XLOOKUP($A491,'[1]LISTA ETIQUETAS'!$O:$O,'[1]LISTA ETIQUETAS'!D:D,"",0)</f>
        <v>0</v>
      </c>
      <c r="Q491" s="2">
        <f>_xlfn.XLOOKUP($A491,'[1]LISTA ETIQUETAS'!$O:$O,'[1]LISTA ETIQUETAS'!E:E,"",0)</f>
        <v>0</v>
      </c>
      <c r="R491" s="2">
        <f>_xlfn.XLOOKUP($A491,'[1]LISTA ETIQUETAS'!$O:$O,'[1]LISTA ETIQUETAS'!F:F,"",0)</f>
        <v>0</v>
      </c>
      <c r="S491" s="2">
        <f>_xlfn.XLOOKUP($A491,'[1]LISTA ETIQUETAS'!$O:$O,'[1]LISTA ETIQUETAS'!H:H,"",0)</f>
        <v>4</v>
      </c>
      <c r="T491" s="9">
        <f t="shared" si="23"/>
        <v>4</v>
      </c>
    </row>
    <row r="492" spans="1:20" x14ac:dyDescent="0.25">
      <c r="A492" s="5">
        <v>234348</v>
      </c>
      <c r="B492" t="str">
        <f>IFERROR((VLOOKUP(A492,'[1]LISTA ETIQUETAS'!O:X,3,0)),"PRODUTO SEM ESTOQUE")</f>
        <v>EST CADEIRA ANNA (TAUARI TING 102) COURO 50019#7</v>
      </c>
      <c r="C492" s="10" t="s">
        <v>253</v>
      </c>
      <c r="D492" s="10" t="s">
        <v>328</v>
      </c>
      <c r="E492" s="11">
        <f>IF(VLOOKUP(A492,'[1]LISTA ETIQUETAS'!O:W,4,0)="",(VLOOKUP(A492,'[1]LISTA ETIQUETAS'!O:W,6,0)),(VLOOKUP(A492,'[1]LISTA ETIQUETAS'!O:W,4,0)))</f>
        <v>0.52</v>
      </c>
      <c r="F492" s="11">
        <f>IF(VLOOKUP(A492,'[1]LISTA ETIQUETAS'!O:W,5,0)="",(VLOOKUP(A492,'[1]LISTA ETIQUETAS'!O:W,7,0)),(VLOOKUP(A492,'[1]LISTA ETIQUETAS'!O:W,5,0)))</f>
        <v>0.62</v>
      </c>
      <c r="G492" s="11">
        <f>IFERROR((VLOOKUP(A492,'[1]LISTA ETIQUETAS'!O:X,8,0)),"")</f>
        <v>0.78</v>
      </c>
      <c r="H492" s="11">
        <f>IFERROR((VLOOKUP(A492,'[1]LISTA ETIQUETAS'!O:X,9,0)),"")</f>
        <v>0</v>
      </c>
      <c r="I492" s="12" t="str">
        <f>IFERROR((VLOOKUP(A492,'[1]LISTA ETIQUETAS'!O:Y,11,0)),"")</f>
        <v/>
      </c>
      <c r="J492" s="6">
        <v>0</v>
      </c>
      <c r="K492" s="12" t="str">
        <f t="shared" si="21"/>
        <v/>
      </c>
      <c r="L492" s="7" t="str">
        <f>IF(VLOOKUP(A492,'[1]LISTA ETIQUETAS'!O:AB,14,0)="","",(VLOOKUP(A492,'[1]LISTA ETIQUETAS'!O:AB,14,0)))</f>
        <v/>
      </c>
      <c r="M492" s="8"/>
      <c r="N492" s="9">
        <f t="shared" si="22"/>
        <v>234348</v>
      </c>
      <c r="O492" s="2">
        <f>_xlfn.XLOOKUP($A492,'[1]LISTA ETIQUETAS'!$O:$O,'[1]LISTA ETIQUETAS'!C:C,"",0)</f>
        <v>0</v>
      </c>
      <c r="P492" s="2">
        <f>_xlfn.XLOOKUP($A492,'[1]LISTA ETIQUETAS'!$O:$O,'[1]LISTA ETIQUETAS'!D:D,"",0)</f>
        <v>0</v>
      </c>
      <c r="Q492" s="2">
        <f>_xlfn.XLOOKUP($A492,'[1]LISTA ETIQUETAS'!$O:$O,'[1]LISTA ETIQUETAS'!E:E,"",0)</f>
        <v>0</v>
      </c>
      <c r="R492" s="2">
        <f>_xlfn.XLOOKUP($A492,'[1]LISTA ETIQUETAS'!$O:$O,'[1]LISTA ETIQUETAS'!F:F,"",0)</f>
        <v>0</v>
      </c>
      <c r="S492" s="2">
        <f>_xlfn.XLOOKUP($A492,'[1]LISTA ETIQUETAS'!$O:$O,'[1]LISTA ETIQUETAS'!H:H,"",0)</f>
        <v>2</v>
      </c>
      <c r="T492" s="9">
        <f t="shared" si="23"/>
        <v>2</v>
      </c>
    </row>
    <row r="493" spans="1:20" x14ac:dyDescent="0.25">
      <c r="A493" s="5">
        <v>234546</v>
      </c>
      <c r="B493" t="str">
        <f>IFERROR((VLOOKUP(A493,'[1]LISTA ETIQUETAS'!O:X,3,0)),"PRODUTO SEM ESTOQUE")</f>
        <v>EST CADEIRA ELLA MD1 (COU OXI#7) BANHO OXID TAUAR FEU 2</v>
      </c>
      <c r="C493" s="10" t="s">
        <v>253</v>
      </c>
      <c r="D493" s="10" t="s">
        <v>329</v>
      </c>
      <c r="E493" s="11">
        <f>IF(VLOOKUP(A493,'[1]LISTA ETIQUETAS'!O:W,4,0)="",(VLOOKUP(A493,'[1]LISTA ETIQUETAS'!O:W,6,0)),(VLOOKUP(A493,'[1]LISTA ETIQUETAS'!O:W,4,0)))</f>
        <v>0.6</v>
      </c>
      <c r="F493" s="11">
        <f>IF(VLOOKUP(A493,'[1]LISTA ETIQUETAS'!O:W,5,0)="",(VLOOKUP(A493,'[1]LISTA ETIQUETAS'!O:W,7,0)),(VLOOKUP(A493,'[1]LISTA ETIQUETAS'!O:W,5,0)))</f>
        <v>0.63</v>
      </c>
      <c r="G493" s="11">
        <f>IFERROR((VLOOKUP(A493,'[1]LISTA ETIQUETAS'!O:X,8,0)),"")</f>
        <v>0.76</v>
      </c>
      <c r="H493" s="11">
        <f>IFERROR((VLOOKUP(A493,'[1]LISTA ETIQUETAS'!O:X,9,0)),"")</f>
        <v>0</v>
      </c>
      <c r="I493" s="12">
        <f>IFERROR((VLOOKUP(A493,'[1]LISTA ETIQUETAS'!O:Y,11,0)),"")</f>
        <v>17691.52</v>
      </c>
      <c r="J493" s="6">
        <v>0</v>
      </c>
      <c r="K493" s="12">
        <f t="shared" si="21"/>
        <v>17691.52</v>
      </c>
      <c r="L493" s="7" t="str">
        <f>IF(VLOOKUP(A493,'[1]LISTA ETIQUETAS'!O:AB,14,0)="","",(VLOOKUP(A493,'[1]LISTA ETIQUETAS'!O:AB,14,0)))</f>
        <v/>
      </c>
      <c r="M493" s="8"/>
      <c r="N493" s="9">
        <f t="shared" si="22"/>
        <v>234546</v>
      </c>
      <c r="O493" s="2">
        <f>_xlfn.XLOOKUP($A493,'[1]LISTA ETIQUETAS'!$O:$O,'[1]LISTA ETIQUETAS'!C:C,"",0)</f>
        <v>0</v>
      </c>
      <c r="P493" s="2">
        <f>_xlfn.XLOOKUP($A493,'[1]LISTA ETIQUETAS'!$O:$O,'[1]LISTA ETIQUETAS'!D:D,"",0)</f>
        <v>0</v>
      </c>
      <c r="Q493" s="2">
        <f>_xlfn.XLOOKUP($A493,'[1]LISTA ETIQUETAS'!$O:$O,'[1]LISTA ETIQUETAS'!E:E,"",0)</f>
        <v>0</v>
      </c>
      <c r="R493" s="2">
        <f>_xlfn.XLOOKUP($A493,'[1]LISTA ETIQUETAS'!$O:$O,'[1]LISTA ETIQUETAS'!F:F,"",0)</f>
        <v>0</v>
      </c>
      <c r="S493" s="2">
        <f>_xlfn.XLOOKUP($A493,'[1]LISTA ETIQUETAS'!$O:$O,'[1]LISTA ETIQUETAS'!H:H,"",0)</f>
        <v>1</v>
      </c>
      <c r="T493" s="9">
        <f t="shared" si="23"/>
        <v>1</v>
      </c>
    </row>
    <row r="494" spans="1:20" x14ac:dyDescent="0.25">
      <c r="A494" s="5">
        <v>233531</v>
      </c>
      <c r="B494" t="str">
        <f>IFERROR((VLOOKUP(A494,'[1]LISTA ETIQUETAS'!O:X,3,0)),"PRODUTO SEM ESTOQUE")</f>
        <v>EST CADEIRA CLAD C/BRACO (TAUARI TINGIDO FROST)</v>
      </c>
      <c r="C494" s="10" t="s">
        <v>253</v>
      </c>
      <c r="D494" s="10" t="s">
        <v>330</v>
      </c>
      <c r="E494" s="11">
        <f>IF(VLOOKUP(A494,'[1]LISTA ETIQUETAS'!O:W,4,0)="",(VLOOKUP(A494,'[1]LISTA ETIQUETAS'!O:W,6,0)),(VLOOKUP(A494,'[1]LISTA ETIQUETAS'!O:W,4,0)))</f>
        <v>0.53</v>
      </c>
      <c r="F494" s="11">
        <f>IF(VLOOKUP(A494,'[1]LISTA ETIQUETAS'!O:W,5,0)="",(VLOOKUP(A494,'[1]LISTA ETIQUETAS'!O:W,7,0)),(VLOOKUP(A494,'[1]LISTA ETIQUETAS'!O:W,5,0)))</f>
        <v>0.56999999999999995</v>
      </c>
      <c r="G494" s="11">
        <f>IFERROR((VLOOKUP(A494,'[1]LISTA ETIQUETAS'!O:X,8,0)),"")</f>
        <v>0.77</v>
      </c>
      <c r="H494" s="11">
        <f>IFERROR((VLOOKUP(A494,'[1]LISTA ETIQUETAS'!O:X,9,0)),"")</f>
        <v>0</v>
      </c>
      <c r="I494" s="12">
        <f>IFERROR((VLOOKUP(A494,'[1]LISTA ETIQUETAS'!O:Y,11,0)),"")</f>
        <v>10315.83</v>
      </c>
      <c r="J494" s="6">
        <v>0</v>
      </c>
      <c r="K494" s="12">
        <f t="shared" si="21"/>
        <v>10315.83</v>
      </c>
      <c r="L494" s="7" t="str">
        <f>IF(VLOOKUP(A494,'[1]LISTA ETIQUETAS'!O:AB,14,0)="","",(VLOOKUP(A494,'[1]LISTA ETIQUETAS'!O:AB,14,0)))</f>
        <v/>
      </c>
      <c r="M494" s="8"/>
      <c r="N494" s="9">
        <f t="shared" si="22"/>
        <v>233531</v>
      </c>
      <c r="O494" s="2">
        <f>_xlfn.XLOOKUP($A494,'[1]LISTA ETIQUETAS'!$O:$O,'[1]LISTA ETIQUETAS'!C:C,"",0)</f>
        <v>0</v>
      </c>
      <c r="P494" s="2">
        <f>_xlfn.XLOOKUP($A494,'[1]LISTA ETIQUETAS'!$O:$O,'[1]LISTA ETIQUETAS'!D:D,"",0)</f>
        <v>0</v>
      </c>
      <c r="Q494" s="2">
        <f>_xlfn.XLOOKUP($A494,'[1]LISTA ETIQUETAS'!$O:$O,'[1]LISTA ETIQUETAS'!E:E,"",0)</f>
        <v>0</v>
      </c>
      <c r="R494" s="2">
        <f>_xlfn.XLOOKUP($A494,'[1]LISTA ETIQUETAS'!$O:$O,'[1]LISTA ETIQUETAS'!F:F,"",0)</f>
        <v>0</v>
      </c>
      <c r="S494" s="2">
        <f>_xlfn.XLOOKUP($A494,'[1]LISTA ETIQUETAS'!$O:$O,'[1]LISTA ETIQUETAS'!H:H,"",0)</f>
        <v>1</v>
      </c>
      <c r="T494" s="9">
        <f t="shared" si="23"/>
        <v>1</v>
      </c>
    </row>
    <row r="495" spans="1:20" x14ac:dyDescent="0.25">
      <c r="A495" s="5">
        <v>233552</v>
      </c>
      <c r="B495" t="str">
        <f>IFERROR((VLOOKUP(A495,'[1]LISTA ETIQUETAS'!O:X,3,0)),"PRODUTO SEM ESTOQUE")</f>
        <v>EST CADEIRA LIA (ASS/ENC EST) (TAUARI TING 2) TC ROCKYRO CHA</v>
      </c>
      <c r="C495" s="10" t="s">
        <v>253</v>
      </c>
      <c r="D495" s="10" t="s">
        <v>331</v>
      </c>
      <c r="E495" s="11">
        <f>IF(VLOOKUP(A495,'[1]LISTA ETIQUETAS'!O:W,4,0)="",(VLOOKUP(A495,'[1]LISTA ETIQUETAS'!O:W,6,0)),(VLOOKUP(A495,'[1]LISTA ETIQUETAS'!O:W,4,0)))</f>
        <v>0.46</v>
      </c>
      <c r="F495" s="11">
        <f>IF(VLOOKUP(A495,'[1]LISTA ETIQUETAS'!O:W,5,0)="",(VLOOKUP(A495,'[1]LISTA ETIQUETAS'!O:W,7,0)),(VLOOKUP(A495,'[1]LISTA ETIQUETAS'!O:W,5,0)))</f>
        <v>0.55000000000000004</v>
      </c>
      <c r="G495" s="11">
        <f>IFERROR((VLOOKUP(A495,'[1]LISTA ETIQUETAS'!O:X,8,0)),"")</f>
        <v>0.8</v>
      </c>
      <c r="H495" s="11">
        <f>IFERROR((VLOOKUP(A495,'[1]LISTA ETIQUETAS'!O:X,9,0)),"")</f>
        <v>0</v>
      </c>
      <c r="I495" s="12">
        <f>IFERROR((VLOOKUP(A495,'[1]LISTA ETIQUETAS'!O:Y,11,0)),"")</f>
        <v>4928</v>
      </c>
      <c r="J495" s="6">
        <v>0</v>
      </c>
      <c r="K495" s="12">
        <f t="shared" si="21"/>
        <v>4928</v>
      </c>
      <c r="L495" s="7" t="str">
        <f>IF(VLOOKUP(A495,'[1]LISTA ETIQUETAS'!O:AB,14,0)="","",(VLOOKUP(A495,'[1]LISTA ETIQUETAS'!O:AB,14,0)))</f>
        <v/>
      </c>
      <c r="M495" s="8"/>
      <c r="N495" s="9">
        <f t="shared" si="22"/>
        <v>233552</v>
      </c>
      <c r="O495" s="2">
        <f>_xlfn.XLOOKUP($A495,'[1]LISTA ETIQUETAS'!$O:$O,'[1]LISTA ETIQUETAS'!C:C,"",0)</f>
        <v>0</v>
      </c>
      <c r="P495" s="2">
        <f>_xlfn.XLOOKUP($A495,'[1]LISTA ETIQUETAS'!$O:$O,'[1]LISTA ETIQUETAS'!D:D,"",0)</f>
        <v>0</v>
      </c>
      <c r="Q495" s="2">
        <f>_xlfn.XLOOKUP($A495,'[1]LISTA ETIQUETAS'!$O:$O,'[1]LISTA ETIQUETAS'!E:E,"",0)</f>
        <v>0</v>
      </c>
      <c r="R495" s="2">
        <f>_xlfn.XLOOKUP($A495,'[1]LISTA ETIQUETAS'!$O:$O,'[1]LISTA ETIQUETAS'!F:F,"",0)</f>
        <v>0</v>
      </c>
      <c r="S495" s="2">
        <f>_xlfn.XLOOKUP($A495,'[1]LISTA ETIQUETAS'!$O:$O,'[1]LISTA ETIQUETAS'!H:H,"",0)</f>
        <v>2</v>
      </c>
      <c r="T495" s="9">
        <f t="shared" si="23"/>
        <v>2</v>
      </c>
    </row>
    <row r="496" spans="1:20" x14ac:dyDescent="0.25">
      <c r="A496" s="5">
        <v>232361</v>
      </c>
      <c r="B496" t="str">
        <f>IFERROR((VLOOKUP(A496,'[1]LISTA ETIQUETAS'!O:X,3,0)),"PRODUTO SEM ESTOQUE")</f>
        <v>EST CADEIRA ANNA (TAUARI TING 102) COURO 50019</v>
      </c>
      <c r="C496" s="10" t="s">
        <v>253</v>
      </c>
      <c r="D496" s="10" t="s">
        <v>328</v>
      </c>
      <c r="E496" s="11">
        <f>IF(VLOOKUP(A496,'[1]LISTA ETIQUETAS'!O:W,4,0)="",(VLOOKUP(A496,'[1]LISTA ETIQUETAS'!O:W,6,0)),(VLOOKUP(A496,'[1]LISTA ETIQUETAS'!O:W,4,0)))</f>
        <v>0.52</v>
      </c>
      <c r="F496" s="11">
        <f>IF(VLOOKUP(A496,'[1]LISTA ETIQUETAS'!O:W,5,0)="",(VLOOKUP(A496,'[1]LISTA ETIQUETAS'!O:W,7,0)),(VLOOKUP(A496,'[1]LISTA ETIQUETAS'!O:W,5,0)))</f>
        <v>0.62</v>
      </c>
      <c r="G496" s="11">
        <f>IFERROR((VLOOKUP(A496,'[1]LISTA ETIQUETAS'!O:X,8,0)),"")</f>
        <v>0.78</v>
      </c>
      <c r="H496" s="11">
        <f>IFERROR((VLOOKUP(A496,'[1]LISTA ETIQUETAS'!O:X,9,0)),"")</f>
        <v>0</v>
      </c>
      <c r="I496" s="12" t="str">
        <f>IFERROR((VLOOKUP(A496,'[1]LISTA ETIQUETAS'!O:Y,11,0)),"")</f>
        <v/>
      </c>
      <c r="J496" s="6">
        <v>0</v>
      </c>
      <c r="K496" s="12" t="str">
        <f t="shared" si="21"/>
        <v/>
      </c>
      <c r="L496" s="7" t="str">
        <f>IF(VLOOKUP(A496,'[1]LISTA ETIQUETAS'!O:AB,14,0)="","",(VLOOKUP(A496,'[1]LISTA ETIQUETAS'!O:AB,14,0)))</f>
        <v/>
      </c>
      <c r="M496" s="8"/>
      <c r="N496" s="9">
        <f t="shared" si="22"/>
        <v>232361</v>
      </c>
      <c r="O496" s="2">
        <f>_xlfn.XLOOKUP($A496,'[1]LISTA ETIQUETAS'!$O:$O,'[1]LISTA ETIQUETAS'!C:C,"",0)</f>
        <v>0</v>
      </c>
      <c r="P496" s="2">
        <f>_xlfn.XLOOKUP($A496,'[1]LISTA ETIQUETAS'!$O:$O,'[1]LISTA ETIQUETAS'!D:D,"",0)</f>
        <v>0</v>
      </c>
      <c r="Q496" s="2">
        <f>_xlfn.XLOOKUP($A496,'[1]LISTA ETIQUETAS'!$O:$O,'[1]LISTA ETIQUETAS'!E:E,"",0)</f>
        <v>0</v>
      </c>
      <c r="R496" s="2">
        <f>_xlfn.XLOOKUP($A496,'[1]LISTA ETIQUETAS'!$O:$O,'[1]LISTA ETIQUETAS'!F:F,"",0)</f>
        <v>0</v>
      </c>
      <c r="S496" s="2">
        <f>_xlfn.XLOOKUP($A496,'[1]LISTA ETIQUETAS'!$O:$O,'[1]LISTA ETIQUETAS'!H:H,"",0)</f>
        <v>2</v>
      </c>
      <c r="T496" s="9">
        <f t="shared" si="23"/>
        <v>2</v>
      </c>
    </row>
    <row r="497" spans="1:20" x14ac:dyDescent="0.25">
      <c r="A497" s="5">
        <v>253216</v>
      </c>
      <c r="B497" t="str">
        <f>IFERROR((VLOOKUP(A497,'[1]LISTA ETIQUETAS'!O:X,3,0)),"PRODUTO SEM ESTOQUE")</f>
        <v>EST CADEIRA MADRE TC F21/EST NOGUEIRA</v>
      </c>
      <c r="C497" s="10" t="s">
        <v>253</v>
      </c>
      <c r="D497" s="10" t="s">
        <v>332</v>
      </c>
      <c r="E497" s="11">
        <f>IF(VLOOKUP(A497,'[1]LISTA ETIQUETAS'!O:W,4,0)="",(VLOOKUP(A497,'[1]LISTA ETIQUETAS'!O:W,6,0)),(VLOOKUP(A497,'[1]LISTA ETIQUETAS'!O:W,4,0)))</f>
        <v>0.85</v>
      </c>
      <c r="F497" s="11">
        <f>IF(VLOOKUP(A497,'[1]LISTA ETIQUETAS'!O:W,5,0)="",(VLOOKUP(A497,'[1]LISTA ETIQUETAS'!O:W,7,0)),(VLOOKUP(A497,'[1]LISTA ETIQUETAS'!O:W,5,0)))</f>
        <v>0.54</v>
      </c>
      <c r="G497" s="11">
        <f>IFERROR((VLOOKUP(A497,'[1]LISTA ETIQUETAS'!O:X,8,0)),"")</f>
        <v>0.61</v>
      </c>
      <c r="H497" s="11">
        <f>IFERROR((VLOOKUP(A497,'[1]LISTA ETIQUETAS'!O:X,9,0)),"")</f>
        <v>0</v>
      </c>
      <c r="I497" s="12">
        <f>IFERROR((VLOOKUP(A497,'[1]LISTA ETIQUETAS'!O:Y,11,0)),"")</f>
        <v>4256</v>
      </c>
      <c r="J497" s="6">
        <v>0</v>
      </c>
      <c r="K497" s="12">
        <f t="shared" si="21"/>
        <v>4256</v>
      </c>
      <c r="L497" s="7" t="str">
        <f>IF(VLOOKUP(A497,'[1]LISTA ETIQUETAS'!O:AB,14,0)="","",(VLOOKUP(A497,'[1]LISTA ETIQUETAS'!O:AB,14,0)))</f>
        <v/>
      </c>
      <c r="M497" s="8"/>
      <c r="N497" s="9">
        <f t="shared" si="22"/>
        <v>253216</v>
      </c>
      <c r="O497" s="2">
        <f>_xlfn.XLOOKUP($A497,'[1]LISTA ETIQUETAS'!$O:$O,'[1]LISTA ETIQUETAS'!C:C,"",0)</f>
        <v>0</v>
      </c>
      <c r="P497" s="2">
        <f>_xlfn.XLOOKUP($A497,'[1]LISTA ETIQUETAS'!$O:$O,'[1]LISTA ETIQUETAS'!D:D,"",0)</f>
        <v>0</v>
      </c>
      <c r="Q497" s="2">
        <f>_xlfn.XLOOKUP($A497,'[1]LISTA ETIQUETAS'!$O:$O,'[1]LISTA ETIQUETAS'!E:E,"",0)</f>
        <v>0</v>
      </c>
      <c r="R497" s="2">
        <f>_xlfn.XLOOKUP($A497,'[1]LISTA ETIQUETAS'!$O:$O,'[1]LISTA ETIQUETAS'!F:F,"",0)</f>
        <v>0</v>
      </c>
      <c r="S497" s="2">
        <f>_xlfn.XLOOKUP($A497,'[1]LISTA ETIQUETAS'!$O:$O,'[1]LISTA ETIQUETAS'!H:H,"",0)</f>
        <v>3</v>
      </c>
      <c r="T497" s="9">
        <f t="shared" si="23"/>
        <v>3</v>
      </c>
    </row>
    <row r="498" spans="1:20" x14ac:dyDescent="0.25">
      <c r="A498" s="5">
        <v>250017</v>
      </c>
      <c r="B498" t="str">
        <f>IFERROR((VLOOKUP(A498,'[1]LISTA ETIQUETAS'!O:X,3,0)),"PRODUTO SEM ESTOQUE")</f>
        <v>EST CADEIRA COLLANA EST MEL/TC 396A</v>
      </c>
      <c r="C498" s="10" t="s">
        <v>253</v>
      </c>
      <c r="D498" s="10" t="s">
        <v>333</v>
      </c>
      <c r="E498" s="11">
        <f>IF(VLOOKUP(A498,'[1]LISTA ETIQUETAS'!O:W,4,0)="",(VLOOKUP(A498,'[1]LISTA ETIQUETAS'!O:W,6,0)),(VLOOKUP(A498,'[1]LISTA ETIQUETAS'!O:W,4,0)))</f>
        <v>0.7</v>
      </c>
      <c r="F498" s="11">
        <f>IF(VLOOKUP(A498,'[1]LISTA ETIQUETAS'!O:W,5,0)="",(VLOOKUP(A498,'[1]LISTA ETIQUETAS'!O:W,7,0)),(VLOOKUP(A498,'[1]LISTA ETIQUETAS'!O:W,5,0)))</f>
        <v>0.65</v>
      </c>
      <c r="G498" s="11">
        <f>IFERROR((VLOOKUP(A498,'[1]LISTA ETIQUETAS'!O:X,8,0)),"")</f>
        <v>0.81</v>
      </c>
      <c r="H498" s="11">
        <f>IFERROR((VLOOKUP(A498,'[1]LISTA ETIQUETAS'!O:X,9,0)),"")</f>
        <v>0</v>
      </c>
      <c r="I498" s="12">
        <f>IFERROR((VLOOKUP(A498,'[1]LISTA ETIQUETAS'!O:Y,11,0)),"")</f>
        <v>5630.42</v>
      </c>
      <c r="J498" s="6">
        <v>0</v>
      </c>
      <c r="K498" s="12">
        <f t="shared" si="21"/>
        <v>5630.42</v>
      </c>
      <c r="L498" s="7" t="str">
        <f>IF(VLOOKUP(A498,'[1]LISTA ETIQUETAS'!O:AB,14,0)="","",(VLOOKUP(A498,'[1]LISTA ETIQUETAS'!O:AB,14,0)))</f>
        <v/>
      </c>
      <c r="M498" s="8"/>
      <c r="N498" s="9">
        <f t="shared" si="22"/>
        <v>250017</v>
      </c>
      <c r="O498" s="2">
        <f>_xlfn.XLOOKUP($A498,'[1]LISTA ETIQUETAS'!$O:$O,'[1]LISTA ETIQUETAS'!C:C,"",0)</f>
        <v>0</v>
      </c>
      <c r="P498" s="2">
        <f>_xlfn.XLOOKUP($A498,'[1]LISTA ETIQUETAS'!$O:$O,'[1]LISTA ETIQUETAS'!D:D,"",0)</f>
        <v>0</v>
      </c>
      <c r="Q498" s="2">
        <f>_xlfn.XLOOKUP($A498,'[1]LISTA ETIQUETAS'!$O:$O,'[1]LISTA ETIQUETAS'!E:E,"",0)</f>
        <v>0</v>
      </c>
      <c r="R498" s="2">
        <f>_xlfn.XLOOKUP($A498,'[1]LISTA ETIQUETAS'!$O:$O,'[1]LISTA ETIQUETAS'!F:F,"",0)</f>
        <v>0</v>
      </c>
      <c r="S498" s="2">
        <f>_xlfn.XLOOKUP($A498,'[1]LISTA ETIQUETAS'!$O:$O,'[1]LISTA ETIQUETAS'!H:H,"",0)</f>
        <v>1</v>
      </c>
      <c r="T498" s="9">
        <f t="shared" si="23"/>
        <v>1</v>
      </c>
    </row>
    <row r="499" spans="1:20" x14ac:dyDescent="0.25">
      <c r="A499" s="5">
        <v>238325</v>
      </c>
      <c r="B499" t="str">
        <f>IFERROR((VLOOKUP(A499,'[1]LISTA ETIQUETAS'!O:X,3,0)),"PRODUTO SEM ESTOQUE")</f>
        <v>EST CADEIRA EVO (MADEIRA IMBUIA NEGRA)</v>
      </c>
      <c r="C499" s="10" t="s">
        <v>253</v>
      </c>
      <c r="D499" s="10" t="s">
        <v>325</v>
      </c>
      <c r="E499" s="11">
        <f>IF(VLOOKUP(A499,'[1]LISTA ETIQUETAS'!O:W,4,0)="",(VLOOKUP(A499,'[1]LISTA ETIQUETAS'!O:W,6,0)),(VLOOKUP(A499,'[1]LISTA ETIQUETAS'!O:W,4,0)))</f>
        <v>0.49</v>
      </c>
      <c r="F499" s="11">
        <f>IF(VLOOKUP(A499,'[1]LISTA ETIQUETAS'!O:W,5,0)="",(VLOOKUP(A499,'[1]LISTA ETIQUETAS'!O:W,7,0)),(VLOOKUP(A499,'[1]LISTA ETIQUETAS'!O:W,5,0)))</f>
        <v>0.47</v>
      </c>
      <c r="G499" s="11">
        <f>IFERROR((VLOOKUP(A499,'[1]LISTA ETIQUETAS'!O:X,8,0)),"")</f>
        <v>0.82</v>
      </c>
      <c r="H499" s="11">
        <f>IFERROR((VLOOKUP(A499,'[1]LISTA ETIQUETAS'!O:X,9,0)),"")</f>
        <v>0</v>
      </c>
      <c r="I499" s="12">
        <f>IFERROR((VLOOKUP(A499,'[1]LISTA ETIQUETAS'!O:Y,11,0)),"")</f>
        <v>5314.67</v>
      </c>
      <c r="J499" s="6">
        <v>0</v>
      </c>
      <c r="K499" s="12">
        <f t="shared" si="21"/>
        <v>5314.67</v>
      </c>
      <c r="L499" s="7" t="str">
        <f>IF(VLOOKUP(A499,'[1]LISTA ETIQUETAS'!O:AB,14,0)="","",(VLOOKUP(A499,'[1]LISTA ETIQUETAS'!O:AB,14,0)))</f>
        <v/>
      </c>
      <c r="M499" s="8"/>
      <c r="N499" s="9">
        <f t="shared" si="22"/>
        <v>238325</v>
      </c>
      <c r="O499" s="2">
        <f>_xlfn.XLOOKUP($A499,'[1]LISTA ETIQUETAS'!$O:$O,'[1]LISTA ETIQUETAS'!C:C,"",0)</f>
        <v>0</v>
      </c>
      <c r="P499" s="2">
        <f>_xlfn.XLOOKUP($A499,'[1]LISTA ETIQUETAS'!$O:$O,'[1]LISTA ETIQUETAS'!D:D,"",0)</f>
        <v>0</v>
      </c>
      <c r="Q499" s="2">
        <f>_xlfn.XLOOKUP($A499,'[1]LISTA ETIQUETAS'!$O:$O,'[1]LISTA ETIQUETAS'!E:E,"",0)</f>
        <v>0</v>
      </c>
      <c r="R499" s="2">
        <f>_xlfn.XLOOKUP($A499,'[1]LISTA ETIQUETAS'!$O:$O,'[1]LISTA ETIQUETAS'!F:F,"",0)</f>
        <v>0</v>
      </c>
      <c r="S499" s="2">
        <f>_xlfn.XLOOKUP($A499,'[1]LISTA ETIQUETAS'!$O:$O,'[1]LISTA ETIQUETAS'!H:H,"",0)</f>
        <v>1</v>
      </c>
      <c r="T499" s="9">
        <f t="shared" si="23"/>
        <v>1</v>
      </c>
    </row>
    <row r="500" spans="1:20" x14ac:dyDescent="0.25">
      <c r="A500" s="5">
        <v>234069</v>
      </c>
      <c r="B500" t="str">
        <f>IFERROR((VLOOKUP(A500,'[1]LISTA ETIQUETAS'!O:X,3,0)),"PRODUTO SEM ESTOQUE")</f>
        <v>EST CADEIRA GOLF (TING EBANIZ/TELA SEXT NAT) TC213</v>
      </c>
      <c r="C500" s="10" t="s">
        <v>253</v>
      </c>
      <c r="D500" s="10" t="s">
        <v>334</v>
      </c>
      <c r="E500" s="11">
        <f>IF(VLOOKUP(A500,'[1]LISTA ETIQUETAS'!O:W,4,0)="",(VLOOKUP(A500,'[1]LISTA ETIQUETAS'!O:W,6,0)),(VLOOKUP(A500,'[1]LISTA ETIQUETAS'!O:W,4,0)))</f>
        <v>0.51</v>
      </c>
      <c r="F500" s="11">
        <f>IF(VLOOKUP(A500,'[1]LISTA ETIQUETAS'!O:W,5,0)="",(VLOOKUP(A500,'[1]LISTA ETIQUETAS'!O:W,7,0)),(VLOOKUP(A500,'[1]LISTA ETIQUETAS'!O:W,5,0)))</f>
        <v>0.6</v>
      </c>
      <c r="G500" s="11">
        <f>IFERROR((VLOOKUP(A500,'[1]LISTA ETIQUETAS'!O:X,8,0)),"")</f>
        <v>0.9</v>
      </c>
      <c r="H500" s="11">
        <f>IFERROR((VLOOKUP(A500,'[1]LISTA ETIQUETAS'!O:X,9,0)),"")</f>
        <v>0</v>
      </c>
      <c r="I500" s="12">
        <f>IFERROR((VLOOKUP(A500,'[1]LISTA ETIQUETAS'!O:Y,11,0)),"")</f>
        <v>3953.96</v>
      </c>
      <c r="J500" s="6">
        <v>0</v>
      </c>
      <c r="K500" s="12">
        <f t="shared" si="21"/>
        <v>3953.96</v>
      </c>
      <c r="L500" s="7" t="str">
        <f>IF(VLOOKUP(A500,'[1]LISTA ETIQUETAS'!O:AB,14,0)="","",(VLOOKUP(A500,'[1]LISTA ETIQUETAS'!O:AB,14,0)))</f>
        <v/>
      </c>
      <c r="M500" s="8"/>
      <c r="N500" s="9">
        <f t="shared" si="22"/>
        <v>234069</v>
      </c>
      <c r="O500" s="2">
        <f>_xlfn.XLOOKUP($A500,'[1]LISTA ETIQUETAS'!$O:$O,'[1]LISTA ETIQUETAS'!C:C,"",0)</f>
        <v>0</v>
      </c>
      <c r="P500" s="2">
        <f>_xlfn.XLOOKUP($A500,'[1]LISTA ETIQUETAS'!$O:$O,'[1]LISTA ETIQUETAS'!D:D,"",0)</f>
        <v>0</v>
      </c>
      <c r="Q500" s="2">
        <f>_xlfn.XLOOKUP($A500,'[1]LISTA ETIQUETAS'!$O:$O,'[1]LISTA ETIQUETAS'!E:E,"",0)</f>
        <v>0</v>
      </c>
      <c r="R500" s="2">
        <f>_xlfn.XLOOKUP($A500,'[1]LISTA ETIQUETAS'!$O:$O,'[1]LISTA ETIQUETAS'!F:F,"",0)</f>
        <v>0</v>
      </c>
      <c r="S500" s="2">
        <f>_xlfn.XLOOKUP($A500,'[1]LISTA ETIQUETAS'!$O:$O,'[1]LISTA ETIQUETAS'!H:H,"",0)</f>
        <v>2</v>
      </c>
      <c r="T500" s="9">
        <f t="shared" si="23"/>
        <v>2</v>
      </c>
    </row>
    <row r="501" spans="1:20" x14ac:dyDescent="0.25">
      <c r="A501" s="5">
        <v>151513</v>
      </c>
      <c r="B501" t="str">
        <f>IFERROR((VLOOKUP(A501,'[1]LISTA ETIQUETAS'!O:X,3,0)),"PRODUTO SEM ESTOQUE")</f>
        <v>EST CADEIRA SINUET (FIBRA 03MM BRONZE)</v>
      </c>
      <c r="C501" s="10" t="s">
        <v>253</v>
      </c>
      <c r="D501" s="10" t="s">
        <v>335</v>
      </c>
      <c r="E501" s="11">
        <f>IF(VLOOKUP(A501,'[1]LISTA ETIQUETAS'!O:W,4,0)="",(VLOOKUP(A501,'[1]LISTA ETIQUETAS'!O:W,6,0)),(VLOOKUP(A501,'[1]LISTA ETIQUETAS'!O:W,4,0)))</f>
        <v>0.6</v>
      </c>
      <c r="F501" s="11">
        <f>IF(VLOOKUP(A501,'[1]LISTA ETIQUETAS'!O:W,5,0)="",(VLOOKUP(A501,'[1]LISTA ETIQUETAS'!O:W,7,0)),(VLOOKUP(A501,'[1]LISTA ETIQUETAS'!O:W,5,0)))</f>
        <v>0.5</v>
      </c>
      <c r="G501" s="11">
        <f>IFERROR((VLOOKUP(A501,'[1]LISTA ETIQUETAS'!O:X,8,0)),"")</f>
        <v>0.84</v>
      </c>
      <c r="H501" s="11">
        <f>IFERROR((VLOOKUP(A501,'[1]LISTA ETIQUETAS'!O:X,9,0)),"")</f>
        <v>0</v>
      </c>
      <c r="I501" s="12">
        <f>IFERROR((VLOOKUP(A501,'[1]LISTA ETIQUETAS'!O:Y,11,0)),"")</f>
        <v>0</v>
      </c>
      <c r="J501" s="6">
        <v>0</v>
      </c>
      <c r="K501" s="12">
        <f t="shared" si="21"/>
        <v>0</v>
      </c>
      <c r="L501" s="7" t="str">
        <f>IF(VLOOKUP(A501,'[1]LISTA ETIQUETAS'!O:AB,14,0)="","",(VLOOKUP(A501,'[1]LISTA ETIQUETAS'!O:AB,14,0)))</f>
        <v/>
      </c>
      <c r="M501" s="8"/>
      <c r="N501" s="9">
        <f t="shared" si="22"/>
        <v>151513</v>
      </c>
      <c r="O501" s="2">
        <f>_xlfn.XLOOKUP($A501,'[1]LISTA ETIQUETAS'!$O:$O,'[1]LISTA ETIQUETAS'!C:C,"",0)</f>
        <v>0</v>
      </c>
      <c r="P501" s="2">
        <f>_xlfn.XLOOKUP($A501,'[1]LISTA ETIQUETAS'!$O:$O,'[1]LISTA ETIQUETAS'!D:D,"",0)</f>
        <v>0</v>
      </c>
      <c r="Q501" s="2">
        <f>_xlfn.XLOOKUP($A501,'[1]LISTA ETIQUETAS'!$O:$O,'[1]LISTA ETIQUETAS'!E:E,"",0)</f>
        <v>0</v>
      </c>
      <c r="R501" s="2">
        <f>_xlfn.XLOOKUP($A501,'[1]LISTA ETIQUETAS'!$O:$O,'[1]LISTA ETIQUETAS'!F:F,"",0)</f>
        <v>0</v>
      </c>
      <c r="S501" s="2">
        <f>_xlfn.XLOOKUP($A501,'[1]LISTA ETIQUETAS'!$O:$O,'[1]LISTA ETIQUETAS'!H:H,"",0)</f>
        <v>2</v>
      </c>
      <c r="T501" s="9">
        <f t="shared" si="23"/>
        <v>2</v>
      </c>
    </row>
    <row r="502" spans="1:20" x14ac:dyDescent="0.25">
      <c r="A502" s="5">
        <v>151488</v>
      </c>
      <c r="B502" t="str">
        <f>IFERROR((VLOOKUP(A502,'[1]LISTA ETIQUETAS'!O:X,3,0)),"PRODUTO SEM ESTOQUE")</f>
        <v>EST CADEIRA DALLAS (ALUMINO BRANCO FSC) TC OBRAVIA CHAMPAGNE</v>
      </c>
      <c r="C502" s="10" t="s">
        <v>253</v>
      </c>
      <c r="D502" s="10" t="s">
        <v>336</v>
      </c>
      <c r="E502" s="11">
        <f>IF(VLOOKUP(A502,'[1]LISTA ETIQUETAS'!O:W,4,0)="",(VLOOKUP(A502,'[1]LISTA ETIQUETAS'!O:W,6,0)),(VLOOKUP(A502,'[1]LISTA ETIQUETAS'!O:W,4,0)))</f>
        <v>0.56999999999999995</v>
      </c>
      <c r="F502" s="11">
        <f>IF(VLOOKUP(A502,'[1]LISTA ETIQUETAS'!O:W,5,0)="",(VLOOKUP(A502,'[1]LISTA ETIQUETAS'!O:W,7,0)),(VLOOKUP(A502,'[1]LISTA ETIQUETAS'!O:W,5,0)))</f>
        <v>0.59</v>
      </c>
      <c r="G502" s="11">
        <f>IFERROR((VLOOKUP(A502,'[1]LISTA ETIQUETAS'!O:X,8,0)),"")</f>
        <v>0.82</v>
      </c>
      <c r="H502" s="11">
        <f>IFERROR((VLOOKUP(A502,'[1]LISTA ETIQUETAS'!O:X,9,0)),"")</f>
        <v>0</v>
      </c>
      <c r="I502" s="12">
        <f>IFERROR((VLOOKUP(A502,'[1]LISTA ETIQUETAS'!O:Y,11,0)),"")</f>
        <v>0</v>
      </c>
      <c r="J502" s="6">
        <v>0</v>
      </c>
      <c r="K502" s="12">
        <f t="shared" si="21"/>
        <v>0</v>
      </c>
      <c r="L502" s="7" t="str">
        <f>IF(VLOOKUP(A502,'[1]LISTA ETIQUETAS'!O:AB,14,0)="","",(VLOOKUP(A502,'[1]LISTA ETIQUETAS'!O:AB,14,0)))</f>
        <v/>
      </c>
      <c r="M502" s="8"/>
      <c r="N502" s="9">
        <f t="shared" si="22"/>
        <v>151488</v>
      </c>
      <c r="O502" s="2">
        <f>_xlfn.XLOOKUP($A502,'[1]LISTA ETIQUETAS'!$O:$O,'[1]LISTA ETIQUETAS'!C:C,"",0)</f>
        <v>0</v>
      </c>
      <c r="P502" s="2">
        <f>_xlfn.XLOOKUP($A502,'[1]LISTA ETIQUETAS'!$O:$O,'[1]LISTA ETIQUETAS'!D:D,"",0)</f>
        <v>0</v>
      </c>
      <c r="Q502" s="2">
        <f>_xlfn.XLOOKUP($A502,'[1]LISTA ETIQUETAS'!$O:$O,'[1]LISTA ETIQUETAS'!E:E,"",0)</f>
        <v>0</v>
      </c>
      <c r="R502" s="2">
        <f>_xlfn.XLOOKUP($A502,'[1]LISTA ETIQUETAS'!$O:$O,'[1]LISTA ETIQUETAS'!F:F,"",0)</f>
        <v>0</v>
      </c>
      <c r="S502" s="2">
        <f>_xlfn.XLOOKUP($A502,'[1]LISTA ETIQUETAS'!$O:$O,'[1]LISTA ETIQUETAS'!H:H,"",0)</f>
        <v>3</v>
      </c>
      <c r="T502" s="9">
        <f t="shared" si="23"/>
        <v>3</v>
      </c>
    </row>
    <row r="503" spans="1:20" x14ac:dyDescent="0.25">
      <c r="A503" s="5">
        <v>144647</v>
      </c>
      <c r="B503" t="str">
        <f>IFERROR((VLOOKUP(A503,'[1]LISTA ETIQUETAS'!O:X,3,0)),"PRODUTO SEM ESTOQUE")</f>
        <v>EST CADEIRA FLORA C/BRACO (CASTANHO) TC 6236</v>
      </c>
      <c r="C503" s="10" t="s">
        <v>253</v>
      </c>
      <c r="D503" s="10" t="s">
        <v>323</v>
      </c>
      <c r="E503" s="11">
        <f>IF(VLOOKUP(A503,'[1]LISTA ETIQUETAS'!O:W,4,0)="",(VLOOKUP(A503,'[1]LISTA ETIQUETAS'!O:W,6,0)),(VLOOKUP(A503,'[1]LISTA ETIQUETAS'!O:W,4,0)))</f>
        <v>0</v>
      </c>
      <c r="F503" s="11">
        <f>IF(VLOOKUP(A503,'[1]LISTA ETIQUETAS'!O:W,5,0)="",(VLOOKUP(A503,'[1]LISTA ETIQUETAS'!O:W,7,0)),(VLOOKUP(A503,'[1]LISTA ETIQUETAS'!O:W,5,0)))</f>
        <v>0</v>
      </c>
      <c r="G503" s="11">
        <f>IFERROR((VLOOKUP(A503,'[1]LISTA ETIQUETAS'!O:X,8,0)),"")</f>
        <v>0</v>
      </c>
      <c r="H503" s="11">
        <f>IFERROR((VLOOKUP(A503,'[1]LISTA ETIQUETAS'!O:X,9,0)),"")</f>
        <v>0</v>
      </c>
      <c r="I503" s="12" t="str">
        <f>IFERROR((VLOOKUP(A503,'[1]LISTA ETIQUETAS'!O:Y,11,0)),"")</f>
        <v>EST</v>
      </c>
      <c r="J503" s="6">
        <v>0</v>
      </c>
      <c r="K503" s="12" t="str">
        <f t="shared" si="21"/>
        <v/>
      </c>
      <c r="L503" s="7" t="str">
        <f>IF(VLOOKUP(A503,'[1]LISTA ETIQUETAS'!O:AB,14,0)="","",(VLOOKUP(A503,'[1]LISTA ETIQUETAS'!O:AB,14,0)))</f>
        <v/>
      </c>
      <c r="M503" s="8"/>
      <c r="N503" s="9">
        <f t="shared" si="22"/>
        <v>144647</v>
      </c>
      <c r="O503" s="2">
        <f>_xlfn.XLOOKUP($A503,'[1]LISTA ETIQUETAS'!$O:$O,'[1]LISTA ETIQUETAS'!C:C,"",0)</f>
        <v>0</v>
      </c>
      <c r="P503" s="2">
        <f>_xlfn.XLOOKUP($A503,'[1]LISTA ETIQUETAS'!$O:$O,'[1]LISTA ETIQUETAS'!D:D,"",0)</f>
        <v>0</v>
      </c>
      <c r="Q503" s="2">
        <f>_xlfn.XLOOKUP($A503,'[1]LISTA ETIQUETAS'!$O:$O,'[1]LISTA ETIQUETAS'!E:E,"",0)</f>
        <v>0</v>
      </c>
      <c r="R503" s="2">
        <f>_xlfn.XLOOKUP($A503,'[1]LISTA ETIQUETAS'!$O:$O,'[1]LISTA ETIQUETAS'!F:F,"",0)</f>
        <v>0</v>
      </c>
      <c r="S503" s="2">
        <f>_xlfn.XLOOKUP($A503,'[1]LISTA ETIQUETAS'!$O:$O,'[1]LISTA ETIQUETAS'!H:H,"",0)</f>
        <v>1</v>
      </c>
      <c r="T503" s="9">
        <f t="shared" si="23"/>
        <v>1</v>
      </c>
    </row>
    <row r="504" spans="1:20" x14ac:dyDescent="0.25">
      <c r="A504" s="5">
        <v>231876</v>
      </c>
      <c r="B504" t="str">
        <f>IFERROR((VLOOKUP(A504,'[1]LISTA ETIQUETAS'!O:X,3,0)),"PRODUTO SEM ESTOQUE")</f>
        <v>EST CADEIRA SMALL (EBANIZADO) TC 3006</v>
      </c>
      <c r="C504" s="10" t="s">
        <v>253</v>
      </c>
      <c r="D504" s="10" t="s">
        <v>305</v>
      </c>
      <c r="E504" s="11">
        <f>IF(VLOOKUP(A504,'[1]LISTA ETIQUETAS'!O:W,4,0)="",(VLOOKUP(A504,'[1]LISTA ETIQUETAS'!O:W,6,0)),(VLOOKUP(A504,'[1]LISTA ETIQUETAS'!O:W,4,0)))</f>
        <v>0.46</v>
      </c>
      <c r="F504" s="11">
        <f>IF(VLOOKUP(A504,'[1]LISTA ETIQUETAS'!O:W,5,0)="",(VLOOKUP(A504,'[1]LISTA ETIQUETAS'!O:W,7,0)),(VLOOKUP(A504,'[1]LISTA ETIQUETAS'!O:W,5,0)))</f>
        <v>0.56000000000000005</v>
      </c>
      <c r="G504" s="11">
        <f>IFERROR((VLOOKUP(A504,'[1]LISTA ETIQUETAS'!O:X,8,0)),"")</f>
        <v>0.86</v>
      </c>
      <c r="H504" s="11">
        <f>IFERROR((VLOOKUP(A504,'[1]LISTA ETIQUETAS'!O:X,9,0)),"")</f>
        <v>0</v>
      </c>
      <c r="I504" s="12">
        <f>IFERROR((VLOOKUP(A504,'[1]LISTA ETIQUETAS'!O:Y,11,0)),"")</f>
        <v>0</v>
      </c>
      <c r="J504" s="6">
        <v>0</v>
      </c>
      <c r="K504" s="12">
        <f t="shared" si="21"/>
        <v>0</v>
      </c>
      <c r="L504" s="7" t="str">
        <f>IF(VLOOKUP(A504,'[1]LISTA ETIQUETAS'!O:AB,14,0)="","",(VLOOKUP(A504,'[1]LISTA ETIQUETAS'!O:AB,14,0)))</f>
        <v/>
      </c>
      <c r="M504" s="8"/>
      <c r="N504" s="9">
        <f t="shared" si="22"/>
        <v>231876</v>
      </c>
      <c r="O504" s="2">
        <f>_xlfn.XLOOKUP($A504,'[1]LISTA ETIQUETAS'!$O:$O,'[1]LISTA ETIQUETAS'!C:C,"",0)</f>
        <v>0</v>
      </c>
      <c r="P504" s="2">
        <f>_xlfn.XLOOKUP($A504,'[1]LISTA ETIQUETAS'!$O:$O,'[1]LISTA ETIQUETAS'!D:D,"",0)</f>
        <v>0</v>
      </c>
      <c r="Q504" s="2">
        <f>_xlfn.XLOOKUP($A504,'[1]LISTA ETIQUETAS'!$O:$O,'[1]LISTA ETIQUETAS'!E:E,"",0)</f>
        <v>0</v>
      </c>
      <c r="R504" s="2">
        <f>_xlfn.XLOOKUP($A504,'[1]LISTA ETIQUETAS'!$O:$O,'[1]LISTA ETIQUETAS'!F:F,"",0)</f>
        <v>0</v>
      </c>
      <c r="S504" s="2">
        <f>_xlfn.XLOOKUP($A504,'[1]LISTA ETIQUETAS'!$O:$O,'[1]LISTA ETIQUETAS'!H:H,"",0)</f>
        <v>2</v>
      </c>
      <c r="T504" s="9">
        <f t="shared" si="23"/>
        <v>2</v>
      </c>
    </row>
    <row r="505" spans="1:20" x14ac:dyDescent="0.25">
      <c r="A505" s="5">
        <v>232126</v>
      </c>
      <c r="B505" t="str">
        <f>IFERROR((VLOOKUP(A505,'[1]LISTA ETIQUETAS'!O:X,3,0)),"PRODUTO SEM ESTOQUE")</f>
        <v>EST CADEIRA CHICAGO C/B (TELA DUP) (FREIJO NT) TC 11203353</v>
      </c>
      <c r="C505" s="10" t="s">
        <v>253</v>
      </c>
      <c r="D505" s="10" t="s">
        <v>290</v>
      </c>
      <c r="E505" s="11">
        <f>IF(VLOOKUP(A505,'[1]LISTA ETIQUETAS'!O:W,4,0)="",(VLOOKUP(A505,'[1]LISTA ETIQUETAS'!O:W,6,0)),(VLOOKUP(A505,'[1]LISTA ETIQUETAS'!O:W,4,0)))</f>
        <v>0.52</v>
      </c>
      <c r="F505" s="11">
        <f>IF(VLOOKUP(A505,'[1]LISTA ETIQUETAS'!O:W,5,0)="",(VLOOKUP(A505,'[1]LISTA ETIQUETAS'!O:W,7,0)),(VLOOKUP(A505,'[1]LISTA ETIQUETAS'!O:W,5,0)))</f>
        <v>0.53</v>
      </c>
      <c r="G505" s="11">
        <f>IFERROR((VLOOKUP(A505,'[1]LISTA ETIQUETAS'!O:X,8,0)),"")</f>
        <v>0.84</v>
      </c>
      <c r="H505" s="11">
        <f>IFERROR((VLOOKUP(A505,'[1]LISTA ETIQUETAS'!O:X,9,0)),"")</f>
        <v>0</v>
      </c>
      <c r="I505" s="12">
        <f>IFERROR((VLOOKUP(A505,'[1]LISTA ETIQUETAS'!O:Y,11,0)),"")</f>
        <v>6255.16</v>
      </c>
      <c r="J505" s="6">
        <v>0</v>
      </c>
      <c r="K505" s="12">
        <f t="shared" si="21"/>
        <v>6255.16</v>
      </c>
      <c r="L505" s="7" t="str">
        <f>IF(VLOOKUP(A505,'[1]LISTA ETIQUETAS'!O:AB,14,0)="","",(VLOOKUP(A505,'[1]LISTA ETIQUETAS'!O:AB,14,0)))</f>
        <v/>
      </c>
      <c r="M505" s="8"/>
      <c r="N505" s="9">
        <f t="shared" si="22"/>
        <v>232126</v>
      </c>
      <c r="O505" s="2">
        <f>_xlfn.XLOOKUP($A505,'[1]LISTA ETIQUETAS'!$O:$O,'[1]LISTA ETIQUETAS'!C:C,"",0)</f>
        <v>1</v>
      </c>
      <c r="P505" s="2">
        <f>_xlfn.XLOOKUP($A505,'[1]LISTA ETIQUETAS'!$O:$O,'[1]LISTA ETIQUETAS'!D:D,"",0)</f>
        <v>0</v>
      </c>
      <c r="Q505" s="2">
        <f>_xlfn.XLOOKUP($A505,'[1]LISTA ETIQUETAS'!$O:$O,'[1]LISTA ETIQUETAS'!E:E,"",0)</f>
        <v>0</v>
      </c>
      <c r="R505" s="2">
        <f>_xlfn.XLOOKUP($A505,'[1]LISTA ETIQUETAS'!$O:$O,'[1]LISTA ETIQUETAS'!F:F,"",0)</f>
        <v>0</v>
      </c>
      <c r="S505" s="2">
        <f>_xlfn.XLOOKUP($A505,'[1]LISTA ETIQUETAS'!$O:$O,'[1]LISTA ETIQUETAS'!H:H,"",0)</f>
        <v>1</v>
      </c>
      <c r="T505" s="9">
        <f t="shared" si="23"/>
        <v>2</v>
      </c>
    </row>
    <row r="506" spans="1:20" x14ac:dyDescent="0.25">
      <c r="A506" s="5">
        <v>204756</v>
      </c>
      <c r="B506" t="str">
        <f>IFERROR((VLOOKUP(A506,'[1]LISTA ETIQUETAS'!O:X,3,0)),"PRODUTO SEM ESTOQUE")</f>
        <v>EST CADEIRA ZAZ (MADEIRA NATURAL) (TELA NATURAL) (TC 402A)</v>
      </c>
      <c r="C506" s="10" t="s">
        <v>253</v>
      </c>
      <c r="D506" s="10" t="s">
        <v>303</v>
      </c>
      <c r="E506" s="11">
        <f>IF(VLOOKUP(A506,'[1]LISTA ETIQUETAS'!O:W,4,0)="",(VLOOKUP(A506,'[1]LISTA ETIQUETAS'!O:W,6,0)),(VLOOKUP(A506,'[1]LISTA ETIQUETAS'!O:W,4,0)))</f>
        <v>0.61</v>
      </c>
      <c r="F506" s="11">
        <f>IF(VLOOKUP(A506,'[1]LISTA ETIQUETAS'!O:W,5,0)="",(VLOOKUP(A506,'[1]LISTA ETIQUETAS'!O:W,7,0)),(VLOOKUP(A506,'[1]LISTA ETIQUETAS'!O:W,5,0)))</f>
        <v>0.62</v>
      </c>
      <c r="G506" s="11">
        <f>IFERROR((VLOOKUP(A506,'[1]LISTA ETIQUETAS'!O:X,8,0)),"")</f>
        <v>0.77</v>
      </c>
      <c r="H506" s="11">
        <f>IFERROR((VLOOKUP(A506,'[1]LISTA ETIQUETAS'!O:X,9,0)),"")</f>
        <v>0</v>
      </c>
      <c r="I506" s="12">
        <f>IFERROR((VLOOKUP(A506,'[1]LISTA ETIQUETAS'!O:Y,11,0)),"")</f>
        <v>3270.4</v>
      </c>
      <c r="J506" s="6">
        <v>0</v>
      </c>
      <c r="K506" s="12">
        <f t="shared" si="21"/>
        <v>3270.4</v>
      </c>
      <c r="L506" s="7" t="str">
        <f>IF(VLOOKUP(A506,'[1]LISTA ETIQUETAS'!O:AB,14,0)="","",(VLOOKUP(A506,'[1]LISTA ETIQUETAS'!O:AB,14,0)))</f>
        <v/>
      </c>
      <c r="M506" s="8"/>
      <c r="N506" s="9">
        <f t="shared" si="22"/>
        <v>204756</v>
      </c>
      <c r="O506" s="2">
        <f>_xlfn.XLOOKUP($A506,'[1]LISTA ETIQUETAS'!$O:$O,'[1]LISTA ETIQUETAS'!C:C,"",0)</f>
        <v>0</v>
      </c>
      <c r="P506" s="2">
        <f>_xlfn.XLOOKUP($A506,'[1]LISTA ETIQUETAS'!$O:$O,'[1]LISTA ETIQUETAS'!D:D,"",0)</f>
        <v>0</v>
      </c>
      <c r="Q506" s="2">
        <f>_xlfn.XLOOKUP($A506,'[1]LISTA ETIQUETAS'!$O:$O,'[1]LISTA ETIQUETAS'!E:E,"",0)</f>
        <v>0</v>
      </c>
      <c r="R506" s="2">
        <f>_xlfn.XLOOKUP($A506,'[1]LISTA ETIQUETAS'!$O:$O,'[1]LISTA ETIQUETAS'!F:F,"",0)</f>
        <v>0</v>
      </c>
      <c r="S506" s="2">
        <f>_xlfn.XLOOKUP($A506,'[1]LISTA ETIQUETAS'!$O:$O,'[1]LISTA ETIQUETAS'!H:H,"",0)</f>
        <v>2</v>
      </c>
      <c r="T506" s="9">
        <f t="shared" si="23"/>
        <v>2</v>
      </c>
    </row>
    <row r="507" spans="1:20" x14ac:dyDescent="0.25">
      <c r="A507" s="5">
        <v>159364</v>
      </c>
      <c r="B507" t="str">
        <f>IFERROR((VLOOKUP(A507,'[1]LISTA ETIQUETAS'!O:X,3,0)),"PRODUTO SEM ESTOQUE")</f>
        <v>EST CADEIRA SMALL (ENVELHECIDO) TC 3005</v>
      </c>
      <c r="C507" s="10" t="s">
        <v>253</v>
      </c>
      <c r="D507" s="10" t="s">
        <v>305</v>
      </c>
      <c r="E507" s="11">
        <f>IF(VLOOKUP(A507,'[1]LISTA ETIQUETAS'!O:W,4,0)="",(VLOOKUP(A507,'[1]LISTA ETIQUETAS'!O:W,6,0)),(VLOOKUP(A507,'[1]LISTA ETIQUETAS'!O:W,4,0)))</f>
        <v>0.46</v>
      </c>
      <c r="F507" s="11">
        <f>IF(VLOOKUP(A507,'[1]LISTA ETIQUETAS'!O:W,5,0)="",(VLOOKUP(A507,'[1]LISTA ETIQUETAS'!O:W,7,0)),(VLOOKUP(A507,'[1]LISTA ETIQUETAS'!O:W,5,0)))</f>
        <v>0.56000000000000005</v>
      </c>
      <c r="G507" s="11">
        <f>IFERROR((VLOOKUP(A507,'[1]LISTA ETIQUETAS'!O:X,8,0)),"")</f>
        <v>0.86</v>
      </c>
      <c r="H507" s="11">
        <f>IFERROR((VLOOKUP(A507,'[1]LISTA ETIQUETAS'!O:X,9,0)),"")</f>
        <v>0</v>
      </c>
      <c r="I507" s="12">
        <f>IFERROR((VLOOKUP(A507,'[1]LISTA ETIQUETAS'!O:Y,11,0)),"")</f>
        <v>0</v>
      </c>
      <c r="J507" s="6">
        <v>0</v>
      </c>
      <c r="K507" s="12">
        <f t="shared" si="21"/>
        <v>0</v>
      </c>
      <c r="L507" s="7" t="str">
        <f>IF(VLOOKUP(A507,'[1]LISTA ETIQUETAS'!O:AB,14,0)="","",(VLOOKUP(A507,'[1]LISTA ETIQUETAS'!O:AB,14,0)))</f>
        <v/>
      </c>
      <c r="M507" s="8"/>
      <c r="N507" s="9">
        <f t="shared" si="22"/>
        <v>159364</v>
      </c>
      <c r="O507" s="2">
        <f>_xlfn.XLOOKUP($A507,'[1]LISTA ETIQUETAS'!$O:$O,'[1]LISTA ETIQUETAS'!C:C,"",0)</f>
        <v>0</v>
      </c>
      <c r="P507" s="2">
        <f>_xlfn.XLOOKUP($A507,'[1]LISTA ETIQUETAS'!$O:$O,'[1]LISTA ETIQUETAS'!D:D,"",0)</f>
        <v>0</v>
      </c>
      <c r="Q507" s="2">
        <f>_xlfn.XLOOKUP($A507,'[1]LISTA ETIQUETAS'!$O:$O,'[1]LISTA ETIQUETAS'!E:E,"",0)</f>
        <v>0</v>
      </c>
      <c r="R507" s="2">
        <f>_xlfn.XLOOKUP($A507,'[1]LISTA ETIQUETAS'!$O:$O,'[1]LISTA ETIQUETAS'!F:F,"",0)</f>
        <v>0</v>
      </c>
      <c r="S507" s="2">
        <f>_xlfn.XLOOKUP($A507,'[1]LISTA ETIQUETAS'!$O:$O,'[1]LISTA ETIQUETAS'!H:H,"",0)</f>
        <v>2</v>
      </c>
      <c r="T507" s="9">
        <f t="shared" si="23"/>
        <v>2</v>
      </c>
    </row>
    <row r="508" spans="1:20" x14ac:dyDescent="0.25">
      <c r="A508" s="5">
        <v>217306</v>
      </c>
      <c r="B508" t="str">
        <f>IFERROR((VLOOKUP(A508,'[1]LISTA ETIQUETAS'!O:X,3,0)),"PRODUTO SEM ESTOQUE")</f>
        <v>EST CADEIRA MAIA SMALL (M005) TC T002</v>
      </c>
      <c r="C508" s="10" t="s">
        <v>253</v>
      </c>
      <c r="D508" s="10" t="s">
        <v>313</v>
      </c>
      <c r="E508" s="11">
        <f>IF(VLOOKUP(A508,'[1]LISTA ETIQUETAS'!O:W,4,0)="",(VLOOKUP(A508,'[1]LISTA ETIQUETAS'!O:W,6,0)),(VLOOKUP(A508,'[1]LISTA ETIQUETAS'!O:W,4,0)))</f>
        <v>0.48</v>
      </c>
      <c r="F508" s="11">
        <f>IF(VLOOKUP(A508,'[1]LISTA ETIQUETAS'!O:W,5,0)="",(VLOOKUP(A508,'[1]LISTA ETIQUETAS'!O:W,7,0)),(VLOOKUP(A508,'[1]LISTA ETIQUETAS'!O:W,5,0)))</f>
        <v>0.45</v>
      </c>
      <c r="G508" s="11">
        <f>IFERROR((VLOOKUP(A508,'[1]LISTA ETIQUETAS'!O:X,8,0)),"")</f>
        <v>0.87</v>
      </c>
      <c r="H508" s="11">
        <f>IFERROR((VLOOKUP(A508,'[1]LISTA ETIQUETAS'!O:X,9,0)),"")</f>
        <v>0</v>
      </c>
      <c r="I508" s="12">
        <f>IFERROR((VLOOKUP(A508,'[1]LISTA ETIQUETAS'!O:Y,11,0)),"")</f>
        <v>3578.4</v>
      </c>
      <c r="J508" s="6">
        <v>0</v>
      </c>
      <c r="K508" s="12">
        <f t="shared" si="21"/>
        <v>3578.4</v>
      </c>
      <c r="L508" s="7" t="str">
        <f>IF(VLOOKUP(A508,'[1]LISTA ETIQUETAS'!O:AB,14,0)="","",(VLOOKUP(A508,'[1]LISTA ETIQUETAS'!O:AB,14,0)))</f>
        <v/>
      </c>
      <c r="M508" s="8"/>
      <c r="N508" s="9">
        <f t="shared" si="22"/>
        <v>217306</v>
      </c>
      <c r="O508" s="2">
        <f>_xlfn.XLOOKUP($A508,'[1]LISTA ETIQUETAS'!$O:$O,'[1]LISTA ETIQUETAS'!C:C,"",0)</f>
        <v>0</v>
      </c>
      <c r="P508" s="2">
        <f>_xlfn.XLOOKUP($A508,'[1]LISTA ETIQUETAS'!$O:$O,'[1]LISTA ETIQUETAS'!D:D,"",0)</f>
        <v>0</v>
      </c>
      <c r="Q508" s="2">
        <f>_xlfn.XLOOKUP($A508,'[1]LISTA ETIQUETAS'!$O:$O,'[1]LISTA ETIQUETAS'!E:E,"",0)</f>
        <v>0</v>
      </c>
      <c r="R508" s="2">
        <f>_xlfn.XLOOKUP($A508,'[1]LISTA ETIQUETAS'!$O:$O,'[1]LISTA ETIQUETAS'!F:F,"",0)</f>
        <v>0</v>
      </c>
      <c r="S508" s="2">
        <f>_xlfn.XLOOKUP($A508,'[1]LISTA ETIQUETAS'!$O:$O,'[1]LISTA ETIQUETAS'!H:H,"",0)</f>
        <v>2</v>
      </c>
      <c r="T508" s="9">
        <f t="shared" si="23"/>
        <v>2</v>
      </c>
    </row>
    <row r="509" spans="1:20" x14ac:dyDescent="0.25">
      <c r="A509" s="5">
        <v>263760</v>
      </c>
      <c r="B509" t="str">
        <f>IFERROR((VLOOKUP(A509,'[1]LISTA ETIQUETAS'!O:X,3,0)),"PRODUTO SEM ESTOQUE")</f>
        <v>EST CADEIRA MILLA 560 C/BRACO (IMBUIA MEL TELA) (TC UMBER)</v>
      </c>
      <c r="C509" s="10" t="s">
        <v>253</v>
      </c>
      <c r="D509" s="10" t="s">
        <v>284</v>
      </c>
      <c r="E509" s="11">
        <f>IF(VLOOKUP(A509,'[1]LISTA ETIQUETAS'!O:W,4,0)="",(VLOOKUP(A509,'[1]LISTA ETIQUETAS'!O:W,6,0)),(VLOOKUP(A509,'[1]LISTA ETIQUETAS'!O:W,4,0)))</f>
        <v>0.59</v>
      </c>
      <c r="F509" s="11">
        <f>IF(VLOOKUP(A509,'[1]LISTA ETIQUETAS'!O:W,5,0)="",(VLOOKUP(A509,'[1]LISTA ETIQUETAS'!O:W,7,0)),(VLOOKUP(A509,'[1]LISTA ETIQUETAS'!O:W,5,0)))</f>
        <v>0.53</v>
      </c>
      <c r="G509" s="11">
        <f>IFERROR((VLOOKUP(A509,'[1]LISTA ETIQUETAS'!O:X,8,0)),"")</f>
        <v>0.85</v>
      </c>
      <c r="H509" s="11">
        <f>IFERROR((VLOOKUP(A509,'[1]LISTA ETIQUETAS'!O:X,9,0)),"")</f>
        <v>0</v>
      </c>
      <c r="I509" s="12" t="str">
        <f>IFERROR((VLOOKUP(A509,'[1]LISTA ETIQUETAS'!O:Y,11,0)),"")</f>
        <v/>
      </c>
      <c r="J509" s="6">
        <v>0</v>
      </c>
      <c r="K509" s="12" t="str">
        <f t="shared" si="21"/>
        <v/>
      </c>
      <c r="L509" s="7" t="str">
        <f>IF(VLOOKUP(A509,'[1]LISTA ETIQUETAS'!O:AB,14,0)="","",(VLOOKUP(A509,'[1]LISTA ETIQUETAS'!O:AB,14,0)))</f>
        <v/>
      </c>
      <c r="M509" s="8"/>
      <c r="N509" s="9">
        <f t="shared" si="22"/>
        <v>263760</v>
      </c>
      <c r="O509" s="2">
        <f>_xlfn.XLOOKUP($A509,'[1]LISTA ETIQUETAS'!$O:$O,'[1]LISTA ETIQUETAS'!C:C,"",0)</f>
        <v>0</v>
      </c>
      <c r="P509" s="2">
        <f>_xlfn.XLOOKUP($A509,'[1]LISTA ETIQUETAS'!$O:$O,'[1]LISTA ETIQUETAS'!D:D,"",0)</f>
        <v>0</v>
      </c>
      <c r="Q509" s="2">
        <f>_xlfn.XLOOKUP($A509,'[1]LISTA ETIQUETAS'!$O:$O,'[1]LISTA ETIQUETAS'!E:E,"",0)</f>
        <v>0</v>
      </c>
      <c r="R509" s="2">
        <f>_xlfn.XLOOKUP($A509,'[1]LISTA ETIQUETAS'!$O:$O,'[1]LISTA ETIQUETAS'!F:F,"",0)</f>
        <v>0</v>
      </c>
      <c r="S509" s="2">
        <f>_xlfn.XLOOKUP($A509,'[1]LISTA ETIQUETAS'!$O:$O,'[1]LISTA ETIQUETAS'!H:H,"",0)</f>
        <v>1</v>
      </c>
      <c r="T509" s="9">
        <f t="shared" si="23"/>
        <v>1</v>
      </c>
    </row>
    <row r="510" spans="1:20" x14ac:dyDescent="0.25">
      <c r="A510" s="5">
        <v>263759</v>
      </c>
      <c r="B510" t="str">
        <f>IFERROR((VLOOKUP(A510,'[1]LISTA ETIQUETAS'!O:X,3,0)),"PRODUTO SEM ESTOQUE")</f>
        <v>EST CADEIRA MILLA 540 (IMBUIA MEL) (TELA) (TC UMBER)</v>
      </c>
      <c r="C510" s="10" t="s">
        <v>253</v>
      </c>
      <c r="D510" s="10" t="s">
        <v>284</v>
      </c>
      <c r="E510" s="11">
        <f>IF(VLOOKUP(A510,'[1]LISTA ETIQUETAS'!O:W,4,0)="",(VLOOKUP(A510,'[1]LISTA ETIQUETAS'!O:W,6,0)),(VLOOKUP(A510,'[1]LISTA ETIQUETAS'!O:W,4,0)))</f>
        <v>0.55000000000000004</v>
      </c>
      <c r="F510" s="11">
        <f>IF(VLOOKUP(A510,'[1]LISTA ETIQUETAS'!O:W,5,0)="",(VLOOKUP(A510,'[1]LISTA ETIQUETAS'!O:W,7,0)),(VLOOKUP(A510,'[1]LISTA ETIQUETAS'!O:W,5,0)))</f>
        <v>0.53</v>
      </c>
      <c r="G510" s="11">
        <f>IFERROR((VLOOKUP(A510,'[1]LISTA ETIQUETAS'!O:X,8,0)),"")</f>
        <v>0.85</v>
      </c>
      <c r="H510" s="11">
        <f>IFERROR((VLOOKUP(A510,'[1]LISTA ETIQUETAS'!O:X,9,0)),"")</f>
        <v>0</v>
      </c>
      <c r="I510" s="12" t="str">
        <f>IFERROR((VLOOKUP(A510,'[1]LISTA ETIQUETAS'!O:Y,11,0)),"")</f>
        <v/>
      </c>
      <c r="J510" s="6">
        <v>0</v>
      </c>
      <c r="K510" s="12" t="str">
        <f t="shared" si="21"/>
        <v/>
      </c>
      <c r="L510" s="7" t="str">
        <f>IF(VLOOKUP(A510,'[1]LISTA ETIQUETAS'!O:AB,14,0)="","",(VLOOKUP(A510,'[1]LISTA ETIQUETAS'!O:AB,14,0)))</f>
        <v/>
      </c>
      <c r="M510" s="8"/>
      <c r="N510" s="9">
        <f t="shared" si="22"/>
        <v>263759</v>
      </c>
      <c r="O510" s="2">
        <f>_xlfn.XLOOKUP($A510,'[1]LISTA ETIQUETAS'!$O:$O,'[1]LISTA ETIQUETAS'!C:C,"",0)</f>
        <v>0</v>
      </c>
      <c r="P510" s="2">
        <f>_xlfn.XLOOKUP($A510,'[1]LISTA ETIQUETAS'!$O:$O,'[1]LISTA ETIQUETAS'!D:D,"",0)</f>
        <v>0</v>
      </c>
      <c r="Q510" s="2">
        <f>_xlfn.XLOOKUP($A510,'[1]LISTA ETIQUETAS'!$O:$O,'[1]LISTA ETIQUETAS'!E:E,"",0)</f>
        <v>0</v>
      </c>
      <c r="R510" s="2">
        <f>_xlfn.XLOOKUP($A510,'[1]LISTA ETIQUETAS'!$O:$O,'[1]LISTA ETIQUETAS'!F:F,"",0)</f>
        <v>0</v>
      </c>
      <c r="S510" s="2">
        <f>_xlfn.XLOOKUP($A510,'[1]LISTA ETIQUETAS'!$O:$O,'[1]LISTA ETIQUETAS'!H:H,"",0)</f>
        <v>1</v>
      </c>
      <c r="T510" s="9">
        <f t="shared" si="23"/>
        <v>1</v>
      </c>
    </row>
    <row r="511" spans="1:20" x14ac:dyDescent="0.25">
      <c r="A511" s="5">
        <v>263756</v>
      </c>
      <c r="B511" t="str">
        <f>IFERROR((VLOOKUP(A511,'[1]LISTA ETIQUETAS'!O:X,3,0)),"PRODUTO SEM ESTOQUE")</f>
        <v>EST CADEIRA MILLA 120 C/BRACO (IMB MEL) TC VILLA OLMO UMBER</v>
      </c>
      <c r="C511" s="10" t="s">
        <v>253</v>
      </c>
      <c r="D511" s="10" t="s">
        <v>284</v>
      </c>
      <c r="E511" s="11">
        <f>IF(VLOOKUP(A511,'[1]LISTA ETIQUETAS'!O:W,4,0)="",(VLOOKUP(A511,'[1]LISTA ETIQUETAS'!O:W,6,0)),(VLOOKUP(A511,'[1]LISTA ETIQUETAS'!O:W,4,0)))</f>
        <v>0.57999999999999996</v>
      </c>
      <c r="F511" s="11">
        <f>IF(VLOOKUP(A511,'[1]LISTA ETIQUETAS'!O:W,5,0)="",(VLOOKUP(A511,'[1]LISTA ETIQUETAS'!O:W,7,0)),(VLOOKUP(A511,'[1]LISTA ETIQUETAS'!O:W,5,0)))</f>
        <v>0.56000000000000005</v>
      </c>
      <c r="G511" s="11">
        <f>IFERROR((VLOOKUP(A511,'[1]LISTA ETIQUETAS'!O:X,8,0)),"")</f>
        <v>0.79</v>
      </c>
      <c r="H511" s="11">
        <f>IFERROR((VLOOKUP(A511,'[1]LISTA ETIQUETAS'!O:X,9,0)),"")</f>
        <v>0</v>
      </c>
      <c r="I511" s="12" t="str">
        <f>IFERROR((VLOOKUP(A511,'[1]LISTA ETIQUETAS'!O:Y,11,0)),"")</f>
        <v/>
      </c>
      <c r="J511" s="6">
        <v>0</v>
      </c>
      <c r="K511" s="12" t="str">
        <f t="shared" si="21"/>
        <v/>
      </c>
      <c r="L511" s="7" t="str">
        <f>IF(VLOOKUP(A511,'[1]LISTA ETIQUETAS'!O:AB,14,0)="","",(VLOOKUP(A511,'[1]LISTA ETIQUETAS'!O:AB,14,0)))</f>
        <v/>
      </c>
      <c r="M511" s="8"/>
      <c r="N511" s="9">
        <f t="shared" si="22"/>
        <v>263756</v>
      </c>
      <c r="O511" s="2">
        <f>_xlfn.XLOOKUP($A511,'[1]LISTA ETIQUETAS'!$O:$O,'[1]LISTA ETIQUETAS'!C:C,"",0)</f>
        <v>0</v>
      </c>
      <c r="P511" s="2">
        <f>_xlfn.XLOOKUP($A511,'[1]LISTA ETIQUETAS'!$O:$O,'[1]LISTA ETIQUETAS'!D:D,"",0)</f>
        <v>0</v>
      </c>
      <c r="Q511" s="2">
        <f>_xlfn.XLOOKUP($A511,'[1]LISTA ETIQUETAS'!$O:$O,'[1]LISTA ETIQUETAS'!E:E,"",0)</f>
        <v>0</v>
      </c>
      <c r="R511" s="2">
        <f>_xlfn.XLOOKUP($A511,'[1]LISTA ETIQUETAS'!$O:$O,'[1]LISTA ETIQUETAS'!F:F,"",0)</f>
        <v>0</v>
      </c>
      <c r="S511" s="2">
        <f>_xlfn.XLOOKUP($A511,'[1]LISTA ETIQUETAS'!$O:$O,'[1]LISTA ETIQUETAS'!H:H,"",0)</f>
        <v>1</v>
      </c>
      <c r="T511" s="9">
        <f t="shared" si="23"/>
        <v>1</v>
      </c>
    </row>
    <row r="512" spans="1:20" x14ac:dyDescent="0.25">
      <c r="A512" s="5">
        <v>266776</v>
      </c>
      <c r="B512" t="str">
        <f>IFERROR((VLOOKUP(A512,'[1]LISTA ETIQUETAS'!O:X,3,0)),"PRODUTO SEM ESTOQUE")</f>
        <v>EST CADEIRA MUNICK (TAUARI TING IMBUIA MEL 3) ( TC#8 SANDED)</v>
      </c>
      <c r="C512" s="10" t="s">
        <v>253</v>
      </c>
      <c r="D512" s="10" t="s">
        <v>337</v>
      </c>
      <c r="E512" s="11">
        <f>IF(VLOOKUP(A512,'[1]LISTA ETIQUETAS'!O:W,4,0)="",(VLOOKUP(A512,'[1]LISTA ETIQUETAS'!O:W,6,0)),(VLOOKUP(A512,'[1]LISTA ETIQUETAS'!O:W,4,0)))</f>
        <v>0.63</v>
      </c>
      <c r="F512" s="11">
        <f>IF(VLOOKUP(A512,'[1]LISTA ETIQUETAS'!O:W,5,0)="",(VLOOKUP(A512,'[1]LISTA ETIQUETAS'!O:W,7,0)),(VLOOKUP(A512,'[1]LISTA ETIQUETAS'!O:W,5,0)))</f>
        <v>0.65</v>
      </c>
      <c r="G512" s="11">
        <f>IFERROR((VLOOKUP(A512,'[1]LISTA ETIQUETAS'!O:X,8,0)),"")</f>
        <v>0.81</v>
      </c>
      <c r="H512" s="11">
        <f>IFERROR((VLOOKUP(A512,'[1]LISTA ETIQUETAS'!O:X,9,0)),"")</f>
        <v>0</v>
      </c>
      <c r="I512" s="12">
        <f>IFERROR((VLOOKUP(A512,'[1]LISTA ETIQUETAS'!O:Y,11,0)),"")</f>
        <v>20361.599999999999</v>
      </c>
      <c r="J512" s="6">
        <v>0</v>
      </c>
      <c r="K512" s="12">
        <f t="shared" si="21"/>
        <v>20361.599999999999</v>
      </c>
      <c r="L512" s="7" t="str">
        <f>IF(VLOOKUP(A512,'[1]LISTA ETIQUETAS'!O:AB,14,0)="","",(VLOOKUP(A512,'[1]LISTA ETIQUETAS'!O:AB,14,0)))</f>
        <v/>
      </c>
      <c r="M512" s="8"/>
      <c r="N512" s="9">
        <f t="shared" si="22"/>
        <v>266776</v>
      </c>
      <c r="O512" s="2">
        <f>_xlfn.XLOOKUP($A512,'[1]LISTA ETIQUETAS'!$O:$O,'[1]LISTA ETIQUETAS'!C:C,"",0)</f>
        <v>0</v>
      </c>
      <c r="P512" s="2">
        <f>_xlfn.XLOOKUP($A512,'[1]LISTA ETIQUETAS'!$O:$O,'[1]LISTA ETIQUETAS'!D:D,"",0)</f>
        <v>0</v>
      </c>
      <c r="Q512" s="2">
        <f>_xlfn.XLOOKUP($A512,'[1]LISTA ETIQUETAS'!$O:$O,'[1]LISTA ETIQUETAS'!E:E,"",0)</f>
        <v>0</v>
      </c>
      <c r="R512" s="2">
        <f>_xlfn.XLOOKUP($A512,'[1]LISTA ETIQUETAS'!$O:$O,'[1]LISTA ETIQUETAS'!F:F,"",0)</f>
        <v>0</v>
      </c>
      <c r="S512" s="2">
        <f>_xlfn.XLOOKUP($A512,'[1]LISTA ETIQUETAS'!$O:$O,'[1]LISTA ETIQUETAS'!H:H,"",0)</f>
        <v>3</v>
      </c>
      <c r="T512" s="9">
        <f t="shared" si="23"/>
        <v>3</v>
      </c>
    </row>
    <row r="513" spans="1:20" x14ac:dyDescent="0.25">
      <c r="A513" s="5">
        <v>261230</v>
      </c>
      <c r="B513" t="str">
        <f>IFERROR((VLOOKUP(A513,'[1]LISTA ETIQUETAS'!O:X,3,0)),"PRODUTO SEM ESTOQUE")</f>
        <v>EST CADEIRA ANNA (TAUARI WHISKY 02) TC #6</v>
      </c>
      <c r="C513" s="10" t="s">
        <v>253</v>
      </c>
      <c r="D513" s="10" t="s">
        <v>328</v>
      </c>
      <c r="E513" s="11">
        <f>IF(VLOOKUP(A513,'[1]LISTA ETIQUETAS'!O:W,4,0)="",(VLOOKUP(A513,'[1]LISTA ETIQUETAS'!O:W,6,0)),(VLOOKUP(A513,'[1]LISTA ETIQUETAS'!O:W,4,0)))</f>
        <v>0.52</v>
      </c>
      <c r="F513" s="11">
        <f>IF(VLOOKUP(A513,'[1]LISTA ETIQUETAS'!O:W,5,0)="",(VLOOKUP(A513,'[1]LISTA ETIQUETAS'!O:W,7,0)),(VLOOKUP(A513,'[1]LISTA ETIQUETAS'!O:W,5,0)))</f>
        <v>0.62</v>
      </c>
      <c r="G513" s="11">
        <f>IFERROR((VLOOKUP(A513,'[1]LISTA ETIQUETAS'!O:X,8,0)),"")</f>
        <v>0.78</v>
      </c>
      <c r="H513" s="11">
        <f>IFERROR((VLOOKUP(A513,'[1]LISTA ETIQUETAS'!O:X,9,0)),"")</f>
        <v>0</v>
      </c>
      <c r="I513" s="12" t="str">
        <f>IFERROR((VLOOKUP(A513,'[1]LISTA ETIQUETAS'!O:Y,11,0)),"")</f>
        <v/>
      </c>
      <c r="J513" s="6">
        <v>0</v>
      </c>
      <c r="K513" s="12" t="str">
        <f t="shared" si="21"/>
        <v/>
      </c>
      <c r="L513" s="7" t="str">
        <f>IF(VLOOKUP(A513,'[1]LISTA ETIQUETAS'!O:AB,14,0)="","",(VLOOKUP(A513,'[1]LISTA ETIQUETAS'!O:AB,14,0)))</f>
        <v/>
      </c>
      <c r="M513" s="8"/>
      <c r="N513" s="9">
        <f t="shared" si="22"/>
        <v>261230</v>
      </c>
      <c r="O513" s="2">
        <f>_xlfn.XLOOKUP($A513,'[1]LISTA ETIQUETAS'!$O:$O,'[1]LISTA ETIQUETAS'!C:C,"",0)</f>
        <v>0</v>
      </c>
      <c r="P513" s="2">
        <f>_xlfn.XLOOKUP($A513,'[1]LISTA ETIQUETAS'!$O:$O,'[1]LISTA ETIQUETAS'!D:D,"",0)</f>
        <v>0</v>
      </c>
      <c r="Q513" s="2">
        <f>_xlfn.XLOOKUP($A513,'[1]LISTA ETIQUETAS'!$O:$O,'[1]LISTA ETIQUETAS'!E:E,"",0)</f>
        <v>0</v>
      </c>
      <c r="R513" s="2">
        <f>_xlfn.XLOOKUP($A513,'[1]LISTA ETIQUETAS'!$O:$O,'[1]LISTA ETIQUETAS'!F:F,"",0)</f>
        <v>0</v>
      </c>
      <c r="S513" s="2">
        <f>_xlfn.XLOOKUP($A513,'[1]LISTA ETIQUETAS'!$O:$O,'[1]LISTA ETIQUETAS'!H:H,"",0)</f>
        <v>1</v>
      </c>
      <c r="T513" s="9">
        <f t="shared" si="23"/>
        <v>1</v>
      </c>
    </row>
    <row r="514" spans="1:20" x14ac:dyDescent="0.25">
      <c r="A514" s="5">
        <v>261229</v>
      </c>
      <c r="B514" t="str">
        <f>IFERROR((VLOOKUP(A514,'[1]LISTA ETIQUETAS'!O:X,3,0)),"PRODUTO SEM ESTOQUE")</f>
        <v>EST CADEIRA ANNA C/BRACO (TAUARI WHISKY 02) TC #6</v>
      </c>
      <c r="C514" s="10" t="s">
        <v>253</v>
      </c>
      <c r="D514" s="10" t="s">
        <v>328</v>
      </c>
      <c r="E514" s="11">
        <f>IF(VLOOKUP(A514,'[1]LISTA ETIQUETAS'!O:W,4,0)="",(VLOOKUP(A514,'[1]LISTA ETIQUETAS'!O:W,6,0)),(VLOOKUP(A514,'[1]LISTA ETIQUETAS'!O:W,4,0)))</f>
        <v>0.56000000000000005</v>
      </c>
      <c r="F514" s="11">
        <f>IF(VLOOKUP(A514,'[1]LISTA ETIQUETAS'!O:W,5,0)="",(VLOOKUP(A514,'[1]LISTA ETIQUETAS'!O:W,7,0)),(VLOOKUP(A514,'[1]LISTA ETIQUETAS'!O:W,5,0)))</f>
        <v>0.56999999999999995</v>
      </c>
      <c r="G514" s="11">
        <f>IFERROR((VLOOKUP(A514,'[1]LISTA ETIQUETAS'!O:X,8,0)),"")</f>
        <v>0.78</v>
      </c>
      <c r="H514" s="11">
        <f>IFERROR((VLOOKUP(A514,'[1]LISTA ETIQUETAS'!O:X,9,0)),"")</f>
        <v>0</v>
      </c>
      <c r="I514" s="12" t="str">
        <f>IFERROR((VLOOKUP(A514,'[1]LISTA ETIQUETAS'!O:Y,11,0)),"")</f>
        <v/>
      </c>
      <c r="J514" s="6">
        <v>0</v>
      </c>
      <c r="K514" s="12" t="str">
        <f t="shared" si="21"/>
        <v/>
      </c>
      <c r="L514" s="7" t="str">
        <f>IF(VLOOKUP(A514,'[1]LISTA ETIQUETAS'!O:AB,14,0)="","",(VLOOKUP(A514,'[1]LISTA ETIQUETAS'!O:AB,14,0)))</f>
        <v/>
      </c>
      <c r="M514" s="8"/>
      <c r="N514" s="9">
        <f t="shared" si="22"/>
        <v>261229</v>
      </c>
      <c r="O514" s="2">
        <f>_xlfn.XLOOKUP($A514,'[1]LISTA ETIQUETAS'!$O:$O,'[1]LISTA ETIQUETAS'!C:C,"",0)</f>
        <v>0</v>
      </c>
      <c r="P514" s="2">
        <f>_xlfn.XLOOKUP($A514,'[1]LISTA ETIQUETAS'!$O:$O,'[1]LISTA ETIQUETAS'!D:D,"",0)</f>
        <v>0</v>
      </c>
      <c r="Q514" s="2">
        <f>_xlfn.XLOOKUP($A514,'[1]LISTA ETIQUETAS'!$O:$O,'[1]LISTA ETIQUETAS'!E:E,"",0)</f>
        <v>0</v>
      </c>
      <c r="R514" s="2">
        <f>_xlfn.XLOOKUP($A514,'[1]LISTA ETIQUETAS'!$O:$O,'[1]LISTA ETIQUETAS'!F:F,"",0)</f>
        <v>0</v>
      </c>
      <c r="S514" s="2">
        <f>_xlfn.XLOOKUP($A514,'[1]LISTA ETIQUETAS'!$O:$O,'[1]LISTA ETIQUETAS'!H:H,"",0)</f>
        <v>1</v>
      </c>
      <c r="T514" s="9">
        <f t="shared" si="23"/>
        <v>1</v>
      </c>
    </row>
    <row r="515" spans="1:20" x14ac:dyDescent="0.25">
      <c r="A515" s="5">
        <v>261228</v>
      </c>
      <c r="B515" t="str">
        <f>IFERROR((VLOOKUP(A515,'[1]LISTA ETIQUETAS'!O:X,3,0)),"PRODUTO SEM ESTOQUE")</f>
        <v>EST CADEIRA ANNA C/BRACO (TAUARI WHISKY 02) TC #5</v>
      </c>
      <c r="C515" s="10" t="s">
        <v>253</v>
      </c>
      <c r="D515" s="10" t="s">
        <v>328</v>
      </c>
      <c r="E515" s="11">
        <f>IF(VLOOKUP(A515,'[1]LISTA ETIQUETAS'!O:W,4,0)="",(VLOOKUP(A515,'[1]LISTA ETIQUETAS'!O:W,6,0)),(VLOOKUP(A515,'[1]LISTA ETIQUETAS'!O:W,4,0)))</f>
        <v>0.56000000000000005</v>
      </c>
      <c r="F515" s="11">
        <f>IF(VLOOKUP(A515,'[1]LISTA ETIQUETAS'!O:W,5,0)="",(VLOOKUP(A515,'[1]LISTA ETIQUETAS'!O:W,7,0)),(VLOOKUP(A515,'[1]LISTA ETIQUETAS'!O:W,5,0)))</f>
        <v>0.56999999999999995</v>
      </c>
      <c r="G515" s="11">
        <f>IFERROR((VLOOKUP(A515,'[1]LISTA ETIQUETAS'!O:X,8,0)),"")</f>
        <v>0.78</v>
      </c>
      <c r="H515" s="11">
        <f>IFERROR((VLOOKUP(A515,'[1]LISTA ETIQUETAS'!O:X,9,0)),"")</f>
        <v>0</v>
      </c>
      <c r="I515" s="12" t="str">
        <f>IFERROR((VLOOKUP(A515,'[1]LISTA ETIQUETAS'!O:Y,11,0)),"")</f>
        <v/>
      </c>
      <c r="J515" s="6">
        <v>0</v>
      </c>
      <c r="K515" s="12" t="str">
        <f t="shared" ref="K515:K578" si="24">IFERROR(I515-I515*J515,"")</f>
        <v/>
      </c>
      <c r="L515" s="7" t="str">
        <f>IF(VLOOKUP(A515,'[1]LISTA ETIQUETAS'!O:AB,14,0)="","",(VLOOKUP(A515,'[1]LISTA ETIQUETAS'!O:AB,14,0)))</f>
        <v/>
      </c>
      <c r="M515" s="8"/>
      <c r="N515" s="9">
        <f t="shared" si="22"/>
        <v>261228</v>
      </c>
      <c r="O515" s="2">
        <f>_xlfn.XLOOKUP($A515,'[1]LISTA ETIQUETAS'!$O:$O,'[1]LISTA ETIQUETAS'!C:C,"",0)</f>
        <v>0</v>
      </c>
      <c r="P515" s="2">
        <f>_xlfn.XLOOKUP($A515,'[1]LISTA ETIQUETAS'!$O:$O,'[1]LISTA ETIQUETAS'!D:D,"",0)</f>
        <v>0</v>
      </c>
      <c r="Q515" s="2">
        <f>_xlfn.XLOOKUP($A515,'[1]LISTA ETIQUETAS'!$O:$O,'[1]LISTA ETIQUETAS'!E:E,"",0)</f>
        <v>0</v>
      </c>
      <c r="R515" s="2">
        <f>_xlfn.XLOOKUP($A515,'[1]LISTA ETIQUETAS'!$O:$O,'[1]LISTA ETIQUETAS'!F:F,"",0)</f>
        <v>0</v>
      </c>
      <c r="S515" s="2">
        <f>_xlfn.XLOOKUP($A515,'[1]LISTA ETIQUETAS'!$O:$O,'[1]LISTA ETIQUETAS'!H:H,"",0)</f>
        <v>1</v>
      </c>
      <c r="T515" s="9">
        <f t="shared" si="23"/>
        <v>1</v>
      </c>
    </row>
    <row r="516" spans="1:20" x14ac:dyDescent="0.25">
      <c r="A516" s="5">
        <v>261227</v>
      </c>
      <c r="B516" t="str">
        <f>IFERROR((VLOOKUP(A516,'[1]LISTA ETIQUETAS'!O:X,3,0)),"PRODUTO SEM ESTOQUE")</f>
        <v>EST CADEIRA ANNA (TAUARI WHISKY 02) TC SUMATRA SILVER</v>
      </c>
      <c r="C516" s="10" t="s">
        <v>253</v>
      </c>
      <c r="D516" s="10" t="s">
        <v>328</v>
      </c>
      <c r="E516" s="11">
        <f>IF(VLOOKUP(A516,'[1]LISTA ETIQUETAS'!O:W,4,0)="",(VLOOKUP(A516,'[1]LISTA ETIQUETAS'!O:W,6,0)),(VLOOKUP(A516,'[1]LISTA ETIQUETAS'!O:W,4,0)))</f>
        <v>0.52</v>
      </c>
      <c r="F516" s="11">
        <f>IF(VLOOKUP(A516,'[1]LISTA ETIQUETAS'!O:W,5,0)="",(VLOOKUP(A516,'[1]LISTA ETIQUETAS'!O:W,7,0)),(VLOOKUP(A516,'[1]LISTA ETIQUETAS'!O:W,5,0)))</f>
        <v>0.62</v>
      </c>
      <c r="G516" s="11">
        <f>IFERROR((VLOOKUP(A516,'[1]LISTA ETIQUETAS'!O:X,8,0)),"")</f>
        <v>0.78</v>
      </c>
      <c r="H516" s="11">
        <f>IFERROR((VLOOKUP(A516,'[1]LISTA ETIQUETAS'!O:X,9,0)),"")</f>
        <v>0</v>
      </c>
      <c r="I516" s="12" t="str">
        <f>IFERROR((VLOOKUP(A516,'[1]LISTA ETIQUETAS'!O:Y,11,0)),"")</f>
        <v/>
      </c>
      <c r="J516" s="6">
        <v>0</v>
      </c>
      <c r="K516" s="12" t="str">
        <f t="shared" si="24"/>
        <v/>
      </c>
      <c r="L516" s="7" t="str">
        <f>IF(VLOOKUP(A516,'[1]LISTA ETIQUETAS'!O:AB,14,0)="","",(VLOOKUP(A516,'[1]LISTA ETIQUETAS'!O:AB,14,0)))</f>
        <v/>
      </c>
      <c r="M516" s="8"/>
      <c r="N516" s="9">
        <f t="shared" ref="N516:N579" si="25">IF(M516="",A516,M516)</f>
        <v>261227</v>
      </c>
      <c r="O516" s="2">
        <f>_xlfn.XLOOKUP($A516,'[1]LISTA ETIQUETAS'!$O:$O,'[1]LISTA ETIQUETAS'!C:C,"",0)</f>
        <v>0</v>
      </c>
      <c r="P516" s="2">
        <f>_xlfn.XLOOKUP($A516,'[1]LISTA ETIQUETAS'!$O:$O,'[1]LISTA ETIQUETAS'!D:D,"",0)</f>
        <v>0</v>
      </c>
      <c r="Q516" s="2">
        <f>_xlfn.XLOOKUP($A516,'[1]LISTA ETIQUETAS'!$O:$O,'[1]LISTA ETIQUETAS'!E:E,"",0)</f>
        <v>0</v>
      </c>
      <c r="R516" s="2">
        <f>_xlfn.XLOOKUP($A516,'[1]LISTA ETIQUETAS'!$O:$O,'[1]LISTA ETIQUETAS'!F:F,"",0)</f>
        <v>0</v>
      </c>
      <c r="S516" s="2">
        <f>_xlfn.XLOOKUP($A516,'[1]LISTA ETIQUETAS'!$O:$O,'[1]LISTA ETIQUETAS'!H:H,"",0)</f>
        <v>1</v>
      </c>
      <c r="T516" s="9">
        <f t="shared" ref="T516:T579" si="26">SUM(O516:S516)</f>
        <v>1</v>
      </c>
    </row>
    <row r="517" spans="1:20" x14ac:dyDescent="0.25">
      <c r="A517" s="5">
        <v>325591</v>
      </c>
      <c r="B517" t="str">
        <f>IFERROR((VLOOKUP(A517,'[1]LISTA ETIQUETAS'!O:X,3,0)),"PRODUTO SEM ESTOQUE")</f>
        <v>EST CADEIRA MADRE TC FORN FAIRLEY DARKSTONE</v>
      </c>
      <c r="C517" s="10" t="s">
        <v>253</v>
      </c>
      <c r="D517" s="10" t="s">
        <v>332</v>
      </c>
      <c r="E517" s="11">
        <f>IF(VLOOKUP(A517,'[1]LISTA ETIQUETAS'!O:W,4,0)="",(VLOOKUP(A517,'[1]LISTA ETIQUETAS'!O:W,6,0)),(VLOOKUP(A517,'[1]LISTA ETIQUETAS'!O:W,4,0)))</f>
        <v>0.85</v>
      </c>
      <c r="F517" s="11">
        <f>IF(VLOOKUP(A517,'[1]LISTA ETIQUETAS'!O:W,5,0)="",(VLOOKUP(A517,'[1]LISTA ETIQUETAS'!O:W,7,0)),(VLOOKUP(A517,'[1]LISTA ETIQUETAS'!O:W,5,0)))</f>
        <v>0.54</v>
      </c>
      <c r="G517" s="11">
        <f>IFERROR((VLOOKUP(A517,'[1]LISTA ETIQUETAS'!O:X,8,0)),"")</f>
        <v>0.61</v>
      </c>
      <c r="H517" s="11">
        <f>IFERROR((VLOOKUP(A517,'[1]LISTA ETIQUETAS'!O:X,9,0)),"")</f>
        <v>0</v>
      </c>
      <c r="I517" s="12">
        <f>IFERROR((VLOOKUP(A517,'[1]LISTA ETIQUETAS'!O:Y,11,0)),"")</f>
        <v>4928</v>
      </c>
      <c r="J517" s="6">
        <v>0</v>
      </c>
      <c r="K517" s="12">
        <f t="shared" si="24"/>
        <v>4928</v>
      </c>
      <c r="L517" s="7" t="str">
        <f>IF(VLOOKUP(A517,'[1]LISTA ETIQUETAS'!O:AB,14,0)="","",(VLOOKUP(A517,'[1]LISTA ETIQUETAS'!O:AB,14,0)))</f>
        <v/>
      </c>
      <c r="M517" s="8"/>
      <c r="N517" s="9">
        <f t="shared" si="25"/>
        <v>325591</v>
      </c>
      <c r="O517" s="2">
        <f>_xlfn.XLOOKUP($A517,'[1]LISTA ETIQUETAS'!$O:$O,'[1]LISTA ETIQUETAS'!C:C,"",0)</f>
        <v>0</v>
      </c>
      <c r="P517" s="2">
        <f>_xlfn.XLOOKUP($A517,'[1]LISTA ETIQUETAS'!$O:$O,'[1]LISTA ETIQUETAS'!D:D,"",0)</f>
        <v>0</v>
      </c>
      <c r="Q517" s="2">
        <f>_xlfn.XLOOKUP($A517,'[1]LISTA ETIQUETAS'!$O:$O,'[1]LISTA ETIQUETAS'!E:E,"",0)</f>
        <v>0</v>
      </c>
      <c r="R517" s="2">
        <f>_xlfn.XLOOKUP($A517,'[1]LISTA ETIQUETAS'!$O:$O,'[1]LISTA ETIQUETAS'!F:F,"",0)</f>
        <v>0</v>
      </c>
      <c r="S517" s="2">
        <f>_xlfn.XLOOKUP($A517,'[1]LISTA ETIQUETAS'!$O:$O,'[1]LISTA ETIQUETAS'!H:H,"",0)</f>
        <v>2</v>
      </c>
      <c r="T517" s="9">
        <f t="shared" si="26"/>
        <v>2</v>
      </c>
    </row>
    <row r="518" spans="1:20" x14ac:dyDescent="0.25">
      <c r="A518" s="5">
        <v>270465</v>
      </c>
      <c r="B518" t="str">
        <f>IFERROR((VLOOKUP(A518,'[1]LISTA ETIQUETAS'!O:X,3,0)),"PRODUTO SEM ESTOQUE")</f>
        <v>EST CADEIRA TWIN C/BRACO (GIR) (ENVELHECIDO) TC4019</v>
      </c>
      <c r="C518" s="10" t="s">
        <v>253</v>
      </c>
      <c r="D518" s="10" t="s">
        <v>338</v>
      </c>
      <c r="E518" s="11">
        <f>IF(VLOOKUP(A518,'[1]LISTA ETIQUETAS'!O:W,4,0)="",(VLOOKUP(A518,'[1]LISTA ETIQUETAS'!O:W,6,0)),(VLOOKUP(A518,'[1]LISTA ETIQUETAS'!O:W,4,0)))</f>
        <v>0.51</v>
      </c>
      <c r="F518" s="11">
        <f>IF(VLOOKUP(A518,'[1]LISTA ETIQUETAS'!O:W,5,0)="",(VLOOKUP(A518,'[1]LISTA ETIQUETAS'!O:W,7,0)),(VLOOKUP(A518,'[1]LISTA ETIQUETAS'!O:W,5,0)))</f>
        <v>0.6</v>
      </c>
      <c r="G518" s="11">
        <f>IFERROR((VLOOKUP(A518,'[1]LISTA ETIQUETAS'!O:X,8,0)),"")</f>
        <v>0.83</v>
      </c>
      <c r="H518" s="11">
        <f>IFERROR((VLOOKUP(A518,'[1]LISTA ETIQUETAS'!O:X,9,0)),"")</f>
        <v>0</v>
      </c>
      <c r="I518" s="12">
        <f>IFERROR((VLOOKUP(A518,'[1]LISTA ETIQUETAS'!O:Y,11,0)),"")</f>
        <v>3776.66</v>
      </c>
      <c r="J518" s="6">
        <v>0</v>
      </c>
      <c r="K518" s="12">
        <f t="shared" si="24"/>
        <v>3776.66</v>
      </c>
      <c r="L518" s="7" t="str">
        <f>IF(VLOOKUP(A518,'[1]LISTA ETIQUETAS'!O:AB,14,0)="","",(VLOOKUP(A518,'[1]LISTA ETIQUETAS'!O:AB,14,0)))</f>
        <v/>
      </c>
      <c r="M518" s="8"/>
      <c r="N518" s="9">
        <f t="shared" si="25"/>
        <v>270465</v>
      </c>
      <c r="O518" s="2">
        <f>_xlfn.XLOOKUP($A518,'[1]LISTA ETIQUETAS'!$O:$O,'[1]LISTA ETIQUETAS'!C:C,"",0)</f>
        <v>0</v>
      </c>
      <c r="P518" s="2">
        <f>_xlfn.XLOOKUP($A518,'[1]LISTA ETIQUETAS'!$O:$O,'[1]LISTA ETIQUETAS'!D:D,"",0)</f>
        <v>0</v>
      </c>
      <c r="Q518" s="2">
        <f>_xlfn.XLOOKUP($A518,'[1]LISTA ETIQUETAS'!$O:$O,'[1]LISTA ETIQUETAS'!E:E,"",0)</f>
        <v>1</v>
      </c>
      <c r="R518" s="2">
        <f>_xlfn.XLOOKUP($A518,'[1]LISTA ETIQUETAS'!$O:$O,'[1]LISTA ETIQUETAS'!F:F,"",0)</f>
        <v>0</v>
      </c>
      <c r="S518" s="2">
        <f>_xlfn.XLOOKUP($A518,'[1]LISTA ETIQUETAS'!$O:$O,'[1]LISTA ETIQUETAS'!H:H,"",0)</f>
        <v>1</v>
      </c>
      <c r="T518" s="9">
        <f t="shared" si="26"/>
        <v>2</v>
      </c>
    </row>
    <row r="519" spans="1:20" x14ac:dyDescent="0.25">
      <c r="A519" s="5">
        <v>270463</v>
      </c>
      <c r="B519" t="str">
        <f>IFERROR((VLOOKUP(A519,'[1]LISTA ETIQUETAS'!O:X,3,0)),"PRODUTO SEM ESTOQUE")</f>
        <v>EST CADEIRA TWIN (GIR) (EBANIZADO) TC 4019</v>
      </c>
      <c r="C519" s="10" t="s">
        <v>253</v>
      </c>
      <c r="D519" s="10" t="s">
        <v>338</v>
      </c>
      <c r="E519" s="11">
        <f>IF(VLOOKUP(A519,'[1]LISTA ETIQUETAS'!O:W,4,0)="",(VLOOKUP(A519,'[1]LISTA ETIQUETAS'!O:W,6,0)),(VLOOKUP(A519,'[1]LISTA ETIQUETAS'!O:W,4,0)))</f>
        <v>0.51</v>
      </c>
      <c r="F519" s="11">
        <f>IF(VLOOKUP(A519,'[1]LISTA ETIQUETAS'!O:W,5,0)="",(VLOOKUP(A519,'[1]LISTA ETIQUETAS'!O:W,7,0)),(VLOOKUP(A519,'[1]LISTA ETIQUETAS'!O:W,5,0)))</f>
        <v>0.6</v>
      </c>
      <c r="G519" s="11">
        <f>IFERROR((VLOOKUP(A519,'[1]LISTA ETIQUETAS'!O:X,8,0)),"")</f>
        <v>0.83</v>
      </c>
      <c r="H519" s="11">
        <f>IFERROR((VLOOKUP(A519,'[1]LISTA ETIQUETAS'!O:X,9,0)),"")</f>
        <v>0</v>
      </c>
      <c r="I519" s="12">
        <f>IFERROR((VLOOKUP(A519,'[1]LISTA ETIQUETAS'!O:Y,11,0)),"")</f>
        <v>4002.66</v>
      </c>
      <c r="J519" s="6">
        <v>0</v>
      </c>
      <c r="K519" s="12">
        <f t="shared" si="24"/>
        <v>4002.66</v>
      </c>
      <c r="L519" s="7" t="str">
        <f>IF(VLOOKUP(A519,'[1]LISTA ETIQUETAS'!O:AB,14,0)="","",(VLOOKUP(A519,'[1]LISTA ETIQUETAS'!O:AB,14,0)))</f>
        <v/>
      </c>
      <c r="M519" s="8"/>
      <c r="N519" s="9">
        <f t="shared" si="25"/>
        <v>270463</v>
      </c>
      <c r="O519" s="2">
        <f>_xlfn.XLOOKUP($A519,'[1]LISTA ETIQUETAS'!$O:$O,'[1]LISTA ETIQUETAS'!C:C,"",0)</f>
        <v>0</v>
      </c>
      <c r="P519" s="2">
        <f>_xlfn.XLOOKUP($A519,'[1]LISTA ETIQUETAS'!$O:$O,'[1]LISTA ETIQUETAS'!D:D,"",0)</f>
        <v>0</v>
      </c>
      <c r="Q519" s="2">
        <f>_xlfn.XLOOKUP($A519,'[1]LISTA ETIQUETAS'!$O:$O,'[1]LISTA ETIQUETAS'!E:E,"",0)</f>
        <v>0</v>
      </c>
      <c r="R519" s="2">
        <f>_xlfn.XLOOKUP($A519,'[1]LISTA ETIQUETAS'!$O:$O,'[1]LISTA ETIQUETAS'!F:F,"",0)</f>
        <v>0</v>
      </c>
      <c r="S519" s="2">
        <f>_xlfn.XLOOKUP($A519,'[1]LISTA ETIQUETAS'!$O:$O,'[1]LISTA ETIQUETAS'!H:H,"",0)</f>
        <v>1</v>
      </c>
      <c r="T519" s="9">
        <f t="shared" si="26"/>
        <v>1</v>
      </c>
    </row>
    <row r="520" spans="1:20" x14ac:dyDescent="0.25">
      <c r="A520" s="5">
        <v>260259</v>
      </c>
      <c r="B520" t="str">
        <f>IFERROR((VLOOKUP(A520,'[1]LISTA ETIQUETAS'!O:X,3,0)),"PRODUTO SEM ESTOQUE")</f>
        <v>EST CADEIRA DIX (MSITA) (MEL) (TELA CRU) TC 310A</v>
      </c>
      <c r="C520" s="10" t="s">
        <v>253</v>
      </c>
      <c r="D520" s="10" t="s">
        <v>291</v>
      </c>
      <c r="E520" s="11">
        <f>IF(VLOOKUP(A520,'[1]LISTA ETIQUETAS'!O:W,4,0)="",(VLOOKUP(A520,'[1]LISTA ETIQUETAS'!O:W,6,0)),(VLOOKUP(A520,'[1]LISTA ETIQUETAS'!O:W,4,0)))</f>
        <v>0.56000000000000005</v>
      </c>
      <c r="F520" s="11">
        <f>IF(VLOOKUP(A520,'[1]LISTA ETIQUETAS'!O:W,5,0)="",(VLOOKUP(A520,'[1]LISTA ETIQUETAS'!O:W,7,0)),(VLOOKUP(A520,'[1]LISTA ETIQUETAS'!O:W,5,0)))</f>
        <v>0.56999999999999995</v>
      </c>
      <c r="G520" s="11">
        <f>IFERROR((VLOOKUP(A520,'[1]LISTA ETIQUETAS'!O:X,8,0)),"")</f>
        <v>0.81</v>
      </c>
      <c r="H520" s="11">
        <f>IFERROR((VLOOKUP(A520,'[1]LISTA ETIQUETAS'!O:X,9,0)),"")</f>
        <v>0</v>
      </c>
      <c r="I520" s="12">
        <f>IFERROR((VLOOKUP(A520,'[1]LISTA ETIQUETAS'!O:Y,11,0)),"")</f>
        <v>0</v>
      </c>
      <c r="J520" s="6">
        <v>0</v>
      </c>
      <c r="K520" s="12">
        <f t="shared" si="24"/>
        <v>0</v>
      </c>
      <c r="L520" s="7" t="str">
        <f>IF(VLOOKUP(A520,'[1]LISTA ETIQUETAS'!O:AB,14,0)="","",(VLOOKUP(A520,'[1]LISTA ETIQUETAS'!O:AB,14,0)))</f>
        <v/>
      </c>
      <c r="M520" s="8"/>
      <c r="N520" s="9">
        <f t="shared" si="25"/>
        <v>260259</v>
      </c>
      <c r="O520" s="2">
        <f>_xlfn.XLOOKUP($A520,'[1]LISTA ETIQUETAS'!$O:$O,'[1]LISTA ETIQUETAS'!C:C,"",0)</f>
        <v>0</v>
      </c>
      <c r="P520" s="2">
        <f>_xlfn.XLOOKUP($A520,'[1]LISTA ETIQUETAS'!$O:$O,'[1]LISTA ETIQUETAS'!D:D,"",0)</f>
        <v>0</v>
      </c>
      <c r="Q520" s="2">
        <f>_xlfn.XLOOKUP($A520,'[1]LISTA ETIQUETAS'!$O:$O,'[1]LISTA ETIQUETAS'!E:E,"",0)</f>
        <v>0</v>
      </c>
      <c r="R520" s="2">
        <f>_xlfn.XLOOKUP($A520,'[1]LISTA ETIQUETAS'!$O:$O,'[1]LISTA ETIQUETAS'!F:F,"",0)</f>
        <v>0</v>
      </c>
      <c r="S520" s="2">
        <f>_xlfn.XLOOKUP($A520,'[1]LISTA ETIQUETAS'!$O:$O,'[1]LISTA ETIQUETAS'!H:H,"",0)</f>
        <v>2</v>
      </c>
      <c r="T520" s="9">
        <f t="shared" si="26"/>
        <v>2</v>
      </c>
    </row>
    <row r="521" spans="1:20" x14ac:dyDescent="0.25">
      <c r="A521" s="5">
        <v>300479</v>
      </c>
      <c r="B521" t="str">
        <f>IFERROR((VLOOKUP(A521,'[1]LISTA ETIQUETAS'!O:X,3,0)),"PRODUTO SEM ESTOQUE")</f>
        <v>EST CADEIRA EVO (MADEIRA MEL CLARO)</v>
      </c>
      <c r="C521" s="10" t="s">
        <v>253</v>
      </c>
      <c r="D521" s="10" t="s">
        <v>325</v>
      </c>
      <c r="E521" s="11">
        <f>IF(VLOOKUP(A521,'[1]LISTA ETIQUETAS'!O:W,4,0)="",(VLOOKUP(A521,'[1]LISTA ETIQUETAS'!O:W,6,0)),(VLOOKUP(A521,'[1]LISTA ETIQUETAS'!O:W,4,0)))</f>
        <v>0.49</v>
      </c>
      <c r="F521" s="11">
        <f>IF(VLOOKUP(A521,'[1]LISTA ETIQUETAS'!O:W,5,0)="",(VLOOKUP(A521,'[1]LISTA ETIQUETAS'!O:W,7,0)),(VLOOKUP(A521,'[1]LISTA ETIQUETAS'!O:W,5,0)))</f>
        <v>0.47</v>
      </c>
      <c r="G521" s="11">
        <f>IFERROR((VLOOKUP(A521,'[1]LISTA ETIQUETAS'!O:X,8,0)),"")</f>
        <v>0.82</v>
      </c>
      <c r="H521" s="11">
        <f>IFERROR((VLOOKUP(A521,'[1]LISTA ETIQUETAS'!O:X,9,0)),"")</f>
        <v>0</v>
      </c>
      <c r="I521" s="12">
        <f>IFERROR((VLOOKUP(A521,'[1]LISTA ETIQUETAS'!O:Y,11,0)),"")</f>
        <v>5314.67</v>
      </c>
      <c r="J521" s="6">
        <v>0</v>
      </c>
      <c r="K521" s="12">
        <f t="shared" si="24"/>
        <v>5314.67</v>
      </c>
      <c r="L521" s="7" t="str">
        <f>IF(VLOOKUP(A521,'[1]LISTA ETIQUETAS'!O:AB,14,0)="","",(VLOOKUP(A521,'[1]LISTA ETIQUETAS'!O:AB,14,0)))</f>
        <v/>
      </c>
      <c r="M521" s="8"/>
      <c r="N521" s="9">
        <f t="shared" si="25"/>
        <v>300479</v>
      </c>
      <c r="O521" s="2">
        <f>_xlfn.XLOOKUP($A521,'[1]LISTA ETIQUETAS'!$O:$O,'[1]LISTA ETIQUETAS'!C:C,"",0)</f>
        <v>0</v>
      </c>
      <c r="P521" s="2">
        <f>_xlfn.XLOOKUP($A521,'[1]LISTA ETIQUETAS'!$O:$O,'[1]LISTA ETIQUETAS'!D:D,"",0)</f>
        <v>0</v>
      </c>
      <c r="Q521" s="2">
        <f>_xlfn.XLOOKUP($A521,'[1]LISTA ETIQUETAS'!$O:$O,'[1]LISTA ETIQUETAS'!E:E,"",0)</f>
        <v>0</v>
      </c>
      <c r="R521" s="2">
        <f>_xlfn.XLOOKUP($A521,'[1]LISTA ETIQUETAS'!$O:$O,'[1]LISTA ETIQUETAS'!F:F,"",0)</f>
        <v>0</v>
      </c>
      <c r="S521" s="2">
        <f>_xlfn.XLOOKUP($A521,'[1]LISTA ETIQUETAS'!$O:$O,'[1]LISTA ETIQUETAS'!H:H,"",0)</f>
        <v>4</v>
      </c>
      <c r="T521" s="9">
        <f t="shared" si="26"/>
        <v>4</v>
      </c>
    </row>
    <row r="522" spans="1:20" x14ac:dyDescent="0.25">
      <c r="A522" s="5">
        <v>274363</v>
      </c>
      <c r="B522" t="str">
        <f>IFERROR((VLOOKUP(A522,'[1]LISTA ETIQUETAS'!O:X,3,0)),"PRODUTO SEM ESTOQUE")</f>
        <v>EST CADEIRA MADRE TC1107/EST NOGUEIRA</v>
      </c>
      <c r="C522" s="10" t="s">
        <v>253</v>
      </c>
      <c r="D522" s="10" t="s">
        <v>332</v>
      </c>
      <c r="E522" s="11">
        <f>IF(VLOOKUP(A522,'[1]LISTA ETIQUETAS'!O:W,4,0)="",(VLOOKUP(A522,'[1]LISTA ETIQUETAS'!O:W,6,0)),(VLOOKUP(A522,'[1]LISTA ETIQUETAS'!O:W,4,0)))</f>
        <v>0.85</v>
      </c>
      <c r="F522" s="11">
        <f>IF(VLOOKUP(A522,'[1]LISTA ETIQUETAS'!O:W,5,0)="",(VLOOKUP(A522,'[1]LISTA ETIQUETAS'!O:W,7,0)),(VLOOKUP(A522,'[1]LISTA ETIQUETAS'!O:W,5,0)))</f>
        <v>0.54</v>
      </c>
      <c r="G522" s="11">
        <f>IFERROR((VLOOKUP(A522,'[1]LISTA ETIQUETAS'!O:X,8,0)),"")</f>
        <v>0.61</v>
      </c>
      <c r="H522" s="11">
        <f>IFERROR((VLOOKUP(A522,'[1]LISTA ETIQUETAS'!O:X,9,0)),"")</f>
        <v>0</v>
      </c>
      <c r="I522" s="12">
        <f>IFERROR((VLOOKUP(A522,'[1]LISTA ETIQUETAS'!O:Y,11,0)),"")</f>
        <v>4256</v>
      </c>
      <c r="J522" s="6">
        <v>0</v>
      </c>
      <c r="K522" s="12">
        <f t="shared" si="24"/>
        <v>4256</v>
      </c>
      <c r="L522" s="7" t="str">
        <f>IF(VLOOKUP(A522,'[1]LISTA ETIQUETAS'!O:AB,14,0)="","",(VLOOKUP(A522,'[1]LISTA ETIQUETAS'!O:AB,14,0)))</f>
        <v/>
      </c>
      <c r="M522" s="8"/>
      <c r="N522" s="9">
        <f t="shared" si="25"/>
        <v>274363</v>
      </c>
      <c r="O522" s="2">
        <f>_xlfn.XLOOKUP($A522,'[1]LISTA ETIQUETAS'!$O:$O,'[1]LISTA ETIQUETAS'!C:C,"",0)</f>
        <v>0</v>
      </c>
      <c r="P522" s="2">
        <f>_xlfn.XLOOKUP($A522,'[1]LISTA ETIQUETAS'!$O:$O,'[1]LISTA ETIQUETAS'!D:D,"",0)</f>
        <v>0</v>
      </c>
      <c r="Q522" s="2">
        <f>_xlfn.XLOOKUP($A522,'[1]LISTA ETIQUETAS'!$O:$O,'[1]LISTA ETIQUETAS'!E:E,"",0)</f>
        <v>0</v>
      </c>
      <c r="R522" s="2">
        <f>_xlfn.XLOOKUP($A522,'[1]LISTA ETIQUETAS'!$O:$O,'[1]LISTA ETIQUETAS'!F:F,"",0)</f>
        <v>0</v>
      </c>
      <c r="S522" s="2">
        <f>_xlfn.XLOOKUP($A522,'[1]LISTA ETIQUETAS'!$O:$O,'[1]LISTA ETIQUETAS'!H:H,"",0)</f>
        <v>3</v>
      </c>
      <c r="T522" s="9">
        <f t="shared" si="26"/>
        <v>3</v>
      </c>
    </row>
    <row r="523" spans="1:20" x14ac:dyDescent="0.25">
      <c r="A523" s="5">
        <v>274154</v>
      </c>
      <c r="B523" t="str">
        <f>IFERROR((VLOOKUP(A523,'[1]LISTA ETIQUETAS'!O:X,3,0)),"PRODUTO SEM ESTOQUE")</f>
        <v>EST CADEIRA GOLF (TING EBANIZ/TELA SEXT NAT) TC213</v>
      </c>
      <c r="C523" s="10" t="s">
        <v>253</v>
      </c>
      <c r="D523" s="10" t="s">
        <v>334</v>
      </c>
      <c r="E523" s="11">
        <f>IF(VLOOKUP(A523,'[1]LISTA ETIQUETAS'!O:W,4,0)="",(VLOOKUP(A523,'[1]LISTA ETIQUETAS'!O:W,6,0)),(VLOOKUP(A523,'[1]LISTA ETIQUETAS'!O:W,4,0)))</f>
        <v>0.59</v>
      </c>
      <c r="F523" s="11">
        <f>IF(VLOOKUP(A523,'[1]LISTA ETIQUETAS'!O:W,5,0)="",(VLOOKUP(A523,'[1]LISTA ETIQUETAS'!O:W,7,0)),(VLOOKUP(A523,'[1]LISTA ETIQUETAS'!O:W,5,0)))</f>
        <v>0.6</v>
      </c>
      <c r="G523" s="11">
        <f>IFERROR((VLOOKUP(A523,'[1]LISTA ETIQUETAS'!O:X,8,0)),"")</f>
        <v>0.9</v>
      </c>
      <c r="H523" s="11">
        <f>IFERROR((VLOOKUP(A523,'[1]LISTA ETIQUETAS'!O:X,9,0)),"")</f>
        <v>0</v>
      </c>
      <c r="I523" s="12">
        <f>IFERROR((VLOOKUP(A523,'[1]LISTA ETIQUETAS'!O:Y,11,0)),"")</f>
        <v>3953.96</v>
      </c>
      <c r="J523" s="6">
        <v>0</v>
      </c>
      <c r="K523" s="12">
        <f t="shared" si="24"/>
        <v>3953.96</v>
      </c>
      <c r="L523" s="7" t="str">
        <f>IF(VLOOKUP(A523,'[1]LISTA ETIQUETAS'!O:AB,14,0)="","",(VLOOKUP(A523,'[1]LISTA ETIQUETAS'!O:AB,14,0)))</f>
        <v/>
      </c>
      <c r="M523" s="8"/>
      <c r="N523" s="9">
        <f t="shared" si="25"/>
        <v>274154</v>
      </c>
      <c r="O523" s="2">
        <f>_xlfn.XLOOKUP($A523,'[1]LISTA ETIQUETAS'!$O:$O,'[1]LISTA ETIQUETAS'!C:C,"",0)</f>
        <v>0</v>
      </c>
      <c r="P523" s="2">
        <f>_xlfn.XLOOKUP($A523,'[1]LISTA ETIQUETAS'!$O:$O,'[1]LISTA ETIQUETAS'!D:D,"",0)</f>
        <v>0</v>
      </c>
      <c r="Q523" s="2">
        <f>_xlfn.XLOOKUP($A523,'[1]LISTA ETIQUETAS'!$O:$O,'[1]LISTA ETIQUETAS'!E:E,"",0)</f>
        <v>0</v>
      </c>
      <c r="R523" s="2">
        <f>_xlfn.XLOOKUP($A523,'[1]LISTA ETIQUETAS'!$O:$O,'[1]LISTA ETIQUETAS'!F:F,"",0)</f>
        <v>0</v>
      </c>
      <c r="S523" s="2">
        <f>_xlfn.XLOOKUP($A523,'[1]LISTA ETIQUETAS'!$O:$O,'[1]LISTA ETIQUETAS'!H:H,"",0)</f>
        <v>3</v>
      </c>
      <c r="T523" s="9">
        <f t="shared" si="26"/>
        <v>3</v>
      </c>
    </row>
    <row r="524" spans="1:20" x14ac:dyDescent="0.25">
      <c r="A524" s="5">
        <v>371053</v>
      </c>
      <c r="B524" t="str">
        <f>IFERROR((VLOOKUP(A524,'[1]LISTA ETIQUETAS'!O:X,3,0)),"PRODUTO SEM ESTOQUE")</f>
        <v>EST CADEIRA TWIN C/BRACO (GIR) (EBANIZADO) TC 1002</v>
      </c>
      <c r="C524" s="10" t="s">
        <v>253</v>
      </c>
      <c r="D524" s="10" t="s">
        <v>338</v>
      </c>
      <c r="E524" s="11">
        <f>IF(VLOOKUP(A524,'[1]LISTA ETIQUETAS'!O:W,4,0)="",(VLOOKUP(A524,'[1]LISTA ETIQUETAS'!O:W,6,0)),(VLOOKUP(A524,'[1]LISTA ETIQUETAS'!O:W,4,0)))</f>
        <v>0.51</v>
      </c>
      <c r="F524" s="11">
        <f>IF(VLOOKUP(A524,'[1]LISTA ETIQUETAS'!O:W,5,0)="",(VLOOKUP(A524,'[1]LISTA ETIQUETAS'!O:W,7,0)),(VLOOKUP(A524,'[1]LISTA ETIQUETAS'!O:W,5,0)))</f>
        <v>0.6</v>
      </c>
      <c r="G524" s="11">
        <f>IFERROR((VLOOKUP(A524,'[1]LISTA ETIQUETAS'!O:X,8,0)),"")</f>
        <v>0.83</v>
      </c>
      <c r="H524" s="11">
        <f>IFERROR((VLOOKUP(A524,'[1]LISTA ETIQUETAS'!O:X,9,0)),"")</f>
        <v>0</v>
      </c>
      <c r="I524" s="12">
        <f>IFERROR((VLOOKUP(A524,'[1]LISTA ETIQUETAS'!O:Y,11,0)),"")</f>
        <v>4343</v>
      </c>
      <c r="J524" s="6">
        <v>0</v>
      </c>
      <c r="K524" s="12">
        <f t="shared" si="24"/>
        <v>4343</v>
      </c>
      <c r="L524" s="7" t="str">
        <f>IF(VLOOKUP(A524,'[1]LISTA ETIQUETAS'!O:AB,14,0)="","",(VLOOKUP(A524,'[1]LISTA ETIQUETAS'!O:AB,14,0)))</f>
        <v/>
      </c>
      <c r="M524" s="8"/>
      <c r="N524" s="9">
        <f t="shared" si="25"/>
        <v>371053</v>
      </c>
      <c r="O524" s="2">
        <f>_xlfn.XLOOKUP($A524,'[1]LISTA ETIQUETAS'!$O:$O,'[1]LISTA ETIQUETAS'!C:C,"",0)</f>
        <v>0</v>
      </c>
      <c r="P524" s="2">
        <f>_xlfn.XLOOKUP($A524,'[1]LISTA ETIQUETAS'!$O:$O,'[1]LISTA ETIQUETAS'!D:D,"",0)</f>
        <v>0</v>
      </c>
      <c r="Q524" s="2">
        <f>_xlfn.XLOOKUP($A524,'[1]LISTA ETIQUETAS'!$O:$O,'[1]LISTA ETIQUETAS'!E:E,"",0)</f>
        <v>0</v>
      </c>
      <c r="R524" s="2">
        <f>_xlfn.XLOOKUP($A524,'[1]LISTA ETIQUETAS'!$O:$O,'[1]LISTA ETIQUETAS'!F:F,"",0)</f>
        <v>0</v>
      </c>
      <c r="S524" s="2">
        <f>_xlfn.XLOOKUP($A524,'[1]LISTA ETIQUETAS'!$O:$O,'[1]LISTA ETIQUETAS'!H:H,"",0)</f>
        <v>1</v>
      </c>
      <c r="T524" s="9">
        <f t="shared" si="26"/>
        <v>1</v>
      </c>
    </row>
    <row r="525" spans="1:20" x14ac:dyDescent="0.25">
      <c r="A525" s="5">
        <v>361510</v>
      </c>
      <c r="B525" t="str">
        <f>IFERROR((VLOOKUP(A525,'[1]LISTA ETIQUETAS'!O:X,3,0)),"PRODUTO SEM ESTOQUE")</f>
        <v>EST CADEIRA JOY LUX (TC2078/22TELA DUPLA) (SUP1 TING PRETO)</v>
      </c>
      <c r="C525" s="10" t="s">
        <v>253</v>
      </c>
      <c r="D525" s="10" t="s">
        <v>310</v>
      </c>
      <c r="E525" s="11">
        <f>IF(VLOOKUP(A525,'[1]LISTA ETIQUETAS'!O:W,4,0)="",(VLOOKUP(A525,'[1]LISTA ETIQUETAS'!O:W,6,0)),(VLOOKUP(A525,'[1]LISTA ETIQUETAS'!O:W,4,0)))</f>
        <v>0.52</v>
      </c>
      <c r="F525" s="11">
        <f>IF(VLOOKUP(A525,'[1]LISTA ETIQUETAS'!O:W,5,0)="",(VLOOKUP(A525,'[1]LISTA ETIQUETAS'!O:W,7,0)),(VLOOKUP(A525,'[1]LISTA ETIQUETAS'!O:W,5,0)))</f>
        <v>0.52</v>
      </c>
      <c r="G525" s="11">
        <f>IFERROR((VLOOKUP(A525,'[1]LISTA ETIQUETAS'!O:X,8,0)),"")</f>
        <v>0.75</v>
      </c>
      <c r="H525" s="11">
        <f>IFERROR((VLOOKUP(A525,'[1]LISTA ETIQUETAS'!O:X,9,0)),"")</f>
        <v>0</v>
      </c>
      <c r="I525" s="12">
        <f>IFERROR((VLOOKUP(A525,'[1]LISTA ETIQUETAS'!O:Y,11,0)),"")</f>
        <v>4522.72</v>
      </c>
      <c r="J525" s="6">
        <v>0</v>
      </c>
      <c r="K525" s="12">
        <f t="shared" si="24"/>
        <v>4522.72</v>
      </c>
      <c r="L525" s="7" t="str">
        <f>IF(VLOOKUP(A525,'[1]LISTA ETIQUETAS'!O:AB,14,0)="","",(VLOOKUP(A525,'[1]LISTA ETIQUETAS'!O:AB,14,0)))</f>
        <v/>
      </c>
      <c r="M525" s="8"/>
      <c r="N525" s="9">
        <f t="shared" si="25"/>
        <v>361510</v>
      </c>
      <c r="O525" s="2">
        <f>_xlfn.XLOOKUP($A525,'[1]LISTA ETIQUETAS'!$O:$O,'[1]LISTA ETIQUETAS'!C:C,"",0)</f>
        <v>0</v>
      </c>
      <c r="P525" s="2">
        <f>_xlfn.XLOOKUP($A525,'[1]LISTA ETIQUETAS'!$O:$O,'[1]LISTA ETIQUETAS'!D:D,"",0)</f>
        <v>0</v>
      </c>
      <c r="Q525" s="2">
        <f>_xlfn.XLOOKUP($A525,'[1]LISTA ETIQUETAS'!$O:$O,'[1]LISTA ETIQUETAS'!E:E,"",0)</f>
        <v>1</v>
      </c>
      <c r="R525" s="2">
        <f>_xlfn.XLOOKUP($A525,'[1]LISTA ETIQUETAS'!$O:$O,'[1]LISTA ETIQUETAS'!F:F,"",0)</f>
        <v>0</v>
      </c>
      <c r="S525" s="2">
        <f>_xlfn.XLOOKUP($A525,'[1]LISTA ETIQUETAS'!$O:$O,'[1]LISTA ETIQUETAS'!H:H,"",0)</f>
        <v>1</v>
      </c>
      <c r="T525" s="9">
        <f t="shared" si="26"/>
        <v>2</v>
      </c>
    </row>
    <row r="526" spans="1:20" x14ac:dyDescent="0.25">
      <c r="A526" s="5">
        <v>379017</v>
      </c>
      <c r="B526" t="str">
        <f>IFERROR((VLOOKUP(A526,'[1]LISTA ETIQUETAS'!O:X,3,0)),"PRODUTO SEM ESTOQUE")</f>
        <v>EST CADEIRA VIA (COURO TP2 PROMO GRANO SANDSTORM) CHAMPAGNE</v>
      </c>
      <c r="C526" s="10" t="s">
        <v>253</v>
      </c>
      <c r="D526" s="10" t="s">
        <v>339</v>
      </c>
      <c r="E526" s="11">
        <f>IF(VLOOKUP(A526,'[1]LISTA ETIQUETAS'!O:W,4,0)="",(VLOOKUP(A526,'[1]LISTA ETIQUETAS'!O:W,6,0)),(VLOOKUP(A526,'[1]LISTA ETIQUETAS'!O:W,4,0)))</f>
        <v>0.6</v>
      </c>
      <c r="F526" s="11">
        <f>IF(VLOOKUP(A526,'[1]LISTA ETIQUETAS'!O:W,5,0)="",(VLOOKUP(A526,'[1]LISTA ETIQUETAS'!O:W,7,0)),(VLOOKUP(A526,'[1]LISTA ETIQUETAS'!O:W,5,0)))</f>
        <v>0.53</v>
      </c>
      <c r="G526" s="11">
        <f>IFERROR((VLOOKUP(A526,'[1]LISTA ETIQUETAS'!O:X,8,0)),"")</f>
        <v>0.78</v>
      </c>
      <c r="H526" s="11">
        <f>IFERROR((VLOOKUP(A526,'[1]LISTA ETIQUETAS'!O:X,9,0)),"")</f>
        <v>0</v>
      </c>
      <c r="I526" s="12">
        <f>IFERROR((VLOOKUP(A526,'[1]LISTA ETIQUETAS'!O:Y,11,0)),"")</f>
        <v>11701.89</v>
      </c>
      <c r="J526" s="6">
        <v>0</v>
      </c>
      <c r="K526" s="12">
        <f t="shared" si="24"/>
        <v>11701.89</v>
      </c>
      <c r="L526" s="7" t="str">
        <f>IF(VLOOKUP(A526,'[1]LISTA ETIQUETAS'!O:AB,14,0)="","",(VLOOKUP(A526,'[1]LISTA ETIQUETAS'!O:AB,14,0)))</f>
        <v/>
      </c>
      <c r="M526" s="8"/>
      <c r="N526" s="9">
        <f t="shared" si="25"/>
        <v>379017</v>
      </c>
      <c r="O526" s="2">
        <f>_xlfn.XLOOKUP($A526,'[1]LISTA ETIQUETAS'!$O:$O,'[1]LISTA ETIQUETAS'!C:C,"",0)</f>
        <v>2</v>
      </c>
      <c r="P526" s="2">
        <f>_xlfn.XLOOKUP($A526,'[1]LISTA ETIQUETAS'!$O:$O,'[1]LISTA ETIQUETAS'!D:D,"",0)</f>
        <v>0</v>
      </c>
      <c r="Q526" s="2">
        <f>_xlfn.XLOOKUP($A526,'[1]LISTA ETIQUETAS'!$O:$O,'[1]LISTA ETIQUETAS'!E:E,"",0)</f>
        <v>0</v>
      </c>
      <c r="R526" s="2">
        <f>_xlfn.XLOOKUP($A526,'[1]LISTA ETIQUETAS'!$O:$O,'[1]LISTA ETIQUETAS'!F:F,"",0)</f>
        <v>0</v>
      </c>
      <c r="S526" s="2">
        <f>_xlfn.XLOOKUP($A526,'[1]LISTA ETIQUETAS'!$O:$O,'[1]LISTA ETIQUETAS'!H:H,"",0)</f>
        <v>4</v>
      </c>
      <c r="T526" s="9">
        <f t="shared" si="26"/>
        <v>6</v>
      </c>
    </row>
    <row r="527" spans="1:20" x14ac:dyDescent="0.25">
      <c r="A527" s="5">
        <v>379015</v>
      </c>
      <c r="B527" t="str">
        <f>IFERROR((VLOOKUP(A527,'[1]LISTA ETIQUETAS'!O:X,3,0)),"PRODUTO SEM ESTOQUE")</f>
        <v>EST CADEIRA VIA (COURO TP3 PROMO LA PAZ PRETO FSC) PRETO</v>
      </c>
      <c r="C527" s="10" t="s">
        <v>253</v>
      </c>
      <c r="D527" s="10" t="s">
        <v>339</v>
      </c>
      <c r="E527" s="11">
        <f>IF(VLOOKUP(A527,'[1]LISTA ETIQUETAS'!O:W,4,0)="",(VLOOKUP(A527,'[1]LISTA ETIQUETAS'!O:W,6,0)),(VLOOKUP(A527,'[1]LISTA ETIQUETAS'!O:W,4,0)))</f>
        <v>0.6</v>
      </c>
      <c r="F527" s="11">
        <f>IF(VLOOKUP(A527,'[1]LISTA ETIQUETAS'!O:W,5,0)="",(VLOOKUP(A527,'[1]LISTA ETIQUETAS'!O:W,7,0)),(VLOOKUP(A527,'[1]LISTA ETIQUETAS'!O:W,5,0)))</f>
        <v>0.53</v>
      </c>
      <c r="G527" s="11">
        <f>IFERROR((VLOOKUP(A527,'[1]LISTA ETIQUETAS'!O:X,8,0)),"")</f>
        <v>0.78</v>
      </c>
      <c r="H527" s="11">
        <f>IFERROR((VLOOKUP(A527,'[1]LISTA ETIQUETAS'!O:X,9,0)),"")</f>
        <v>0</v>
      </c>
      <c r="I527" s="12">
        <f>IFERROR((VLOOKUP(A527,'[1]LISTA ETIQUETAS'!O:Y,11,0)),"")</f>
        <v>11913.13</v>
      </c>
      <c r="J527" s="6">
        <v>0</v>
      </c>
      <c r="K527" s="12">
        <f t="shared" si="24"/>
        <v>11913.13</v>
      </c>
      <c r="L527" s="7" t="str">
        <f>IF(VLOOKUP(A527,'[1]LISTA ETIQUETAS'!O:AB,14,0)="","",(VLOOKUP(A527,'[1]LISTA ETIQUETAS'!O:AB,14,0)))</f>
        <v/>
      </c>
      <c r="M527" s="8"/>
      <c r="N527" s="9">
        <f t="shared" si="25"/>
        <v>379015</v>
      </c>
      <c r="O527" s="2">
        <f>_xlfn.XLOOKUP($A527,'[1]LISTA ETIQUETAS'!$O:$O,'[1]LISTA ETIQUETAS'!C:C,"",0)</f>
        <v>0</v>
      </c>
      <c r="P527" s="2">
        <f>_xlfn.XLOOKUP($A527,'[1]LISTA ETIQUETAS'!$O:$O,'[1]LISTA ETIQUETAS'!D:D,"",0)</f>
        <v>1</v>
      </c>
      <c r="Q527" s="2">
        <f>_xlfn.XLOOKUP($A527,'[1]LISTA ETIQUETAS'!$O:$O,'[1]LISTA ETIQUETAS'!E:E,"",0)</f>
        <v>0</v>
      </c>
      <c r="R527" s="2">
        <f>_xlfn.XLOOKUP($A527,'[1]LISTA ETIQUETAS'!$O:$O,'[1]LISTA ETIQUETAS'!F:F,"",0)</f>
        <v>0</v>
      </c>
      <c r="S527" s="2">
        <f>_xlfn.XLOOKUP($A527,'[1]LISTA ETIQUETAS'!$O:$O,'[1]LISTA ETIQUETAS'!H:H,"",0)</f>
        <v>5</v>
      </c>
      <c r="T527" s="9">
        <f t="shared" si="26"/>
        <v>6</v>
      </c>
    </row>
    <row r="528" spans="1:20" x14ac:dyDescent="0.25">
      <c r="A528" s="5">
        <v>336658</v>
      </c>
      <c r="B528" t="str">
        <f>IFERROR((VLOOKUP(A528,'[1]LISTA ETIQUETAS'!O:X,3,0)),"PRODUTO SEM ESTOQUE")</f>
        <v>EST CADEIRA NINA (MAD A CINAM NT) TC10 11202-331/SEXT TING</v>
      </c>
      <c r="C528" s="10" t="s">
        <v>253</v>
      </c>
      <c r="D528" s="10" t="s">
        <v>340</v>
      </c>
      <c r="E528" s="11">
        <f>IF(VLOOKUP(A528,'[1]LISTA ETIQUETAS'!O:W,4,0)="",(VLOOKUP(A528,'[1]LISTA ETIQUETAS'!O:W,6,0)),(VLOOKUP(A528,'[1]LISTA ETIQUETAS'!O:W,4,0)))</f>
        <v>0.5</v>
      </c>
      <c r="F528" s="11">
        <f>IF(VLOOKUP(A528,'[1]LISTA ETIQUETAS'!O:W,5,0)="",(VLOOKUP(A528,'[1]LISTA ETIQUETAS'!O:W,7,0)),(VLOOKUP(A528,'[1]LISTA ETIQUETAS'!O:W,5,0)))</f>
        <v>0.61</v>
      </c>
      <c r="G528" s="11">
        <f>IFERROR((VLOOKUP(A528,'[1]LISTA ETIQUETAS'!O:X,8,0)),"")</f>
        <v>0.88</v>
      </c>
      <c r="H528" s="11">
        <f>IFERROR((VLOOKUP(A528,'[1]LISTA ETIQUETAS'!O:X,9,0)),"")</f>
        <v>0</v>
      </c>
      <c r="I528" s="12">
        <f>IFERROR((VLOOKUP(A528,'[1]LISTA ETIQUETAS'!O:Y,11,0)),"")</f>
        <v>7742.6</v>
      </c>
      <c r="J528" s="6">
        <v>0</v>
      </c>
      <c r="K528" s="12">
        <f t="shared" si="24"/>
        <v>7742.6</v>
      </c>
      <c r="L528" s="7" t="str">
        <f>IF(VLOOKUP(A528,'[1]LISTA ETIQUETAS'!O:AB,14,0)="","",(VLOOKUP(A528,'[1]LISTA ETIQUETAS'!O:AB,14,0)))</f>
        <v/>
      </c>
      <c r="M528" s="8"/>
      <c r="N528" s="9">
        <f t="shared" si="25"/>
        <v>336658</v>
      </c>
      <c r="O528" s="2">
        <f>_xlfn.XLOOKUP($A528,'[1]LISTA ETIQUETAS'!$O:$O,'[1]LISTA ETIQUETAS'!C:C,"",0)</f>
        <v>0</v>
      </c>
      <c r="P528" s="2">
        <f>_xlfn.XLOOKUP($A528,'[1]LISTA ETIQUETAS'!$O:$O,'[1]LISTA ETIQUETAS'!D:D,"",0)</f>
        <v>0</v>
      </c>
      <c r="Q528" s="2">
        <f>_xlfn.XLOOKUP($A528,'[1]LISTA ETIQUETAS'!$O:$O,'[1]LISTA ETIQUETAS'!E:E,"",0)</f>
        <v>0</v>
      </c>
      <c r="R528" s="2">
        <f>_xlfn.XLOOKUP($A528,'[1]LISTA ETIQUETAS'!$O:$O,'[1]LISTA ETIQUETAS'!F:F,"",0)</f>
        <v>0</v>
      </c>
      <c r="S528" s="2">
        <f>_xlfn.XLOOKUP($A528,'[1]LISTA ETIQUETAS'!$O:$O,'[1]LISTA ETIQUETAS'!H:H,"",0)</f>
        <v>8</v>
      </c>
      <c r="T528" s="9">
        <f t="shared" si="26"/>
        <v>8</v>
      </c>
    </row>
    <row r="529" spans="1:20" x14ac:dyDescent="0.25">
      <c r="A529" s="5">
        <v>336728</v>
      </c>
      <c r="B529" t="str">
        <f>IFERROR((VLOOKUP(A529,'[1]LISTA ETIQUETAS'!O:X,3,0)),"PRODUTO SEM ESTOQUE")</f>
        <v>EST CADEIRA PLIE (MAD A TAUARI ENV) COURO 74 CAMEL</v>
      </c>
      <c r="C529" s="10" t="s">
        <v>253</v>
      </c>
      <c r="D529" s="10" t="s">
        <v>341</v>
      </c>
      <c r="E529" s="11">
        <f>IF(VLOOKUP(A529,'[1]LISTA ETIQUETAS'!O:W,4,0)="",(VLOOKUP(A529,'[1]LISTA ETIQUETAS'!O:W,6,0)),(VLOOKUP(A529,'[1]LISTA ETIQUETAS'!O:W,4,0)))</f>
        <v>0.47</v>
      </c>
      <c r="F529" s="11">
        <f>IF(VLOOKUP(A529,'[1]LISTA ETIQUETAS'!O:W,5,0)="",(VLOOKUP(A529,'[1]LISTA ETIQUETAS'!O:W,7,0)),(VLOOKUP(A529,'[1]LISTA ETIQUETAS'!O:W,5,0)))</f>
        <v>0.55000000000000004</v>
      </c>
      <c r="G529" s="11">
        <f>IFERROR((VLOOKUP(A529,'[1]LISTA ETIQUETAS'!O:X,8,0)),"")</f>
        <v>0.8</v>
      </c>
      <c r="H529" s="11">
        <f>IFERROR((VLOOKUP(A529,'[1]LISTA ETIQUETAS'!O:X,9,0)),"")</f>
        <v>0</v>
      </c>
      <c r="I529" s="12">
        <f>IFERROR((VLOOKUP(A529,'[1]LISTA ETIQUETAS'!O:Y,11,0)),"")</f>
        <v>13574.98</v>
      </c>
      <c r="J529" s="6">
        <v>0</v>
      </c>
      <c r="K529" s="12">
        <f t="shared" si="24"/>
        <v>13574.98</v>
      </c>
      <c r="L529" s="7" t="str">
        <f>IF(VLOOKUP(A529,'[1]LISTA ETIQUETAS'!O:AB,14,0)="","",(VLOOKUP(A529,'[1]LISTA ETIQUETAS'!O:AB,14,0)))</f>
        <v/>
      </c>
      <c r="M529" s="8"/>
      <c r="N529" s="9">
        <f t="shared" si="25"/>
        <v>336728</v>
      </c>
      <c r="O529" s="2">
        <f>_xlfn.XLOOKUP($A529,'[1]LISTA ETIQUETAS'!$O:$O,'[1]LISTA ETIQUETAS'!C:C,"",0)</f>
        <v>0</v>
      </c>
      <c r="P529" s="2">
        <f>_xlfn.XLOOKUP($A529,'[1]LISTA ETIQUETAS'!$O:$O,'[1]LISTA ETIQUETAS'!D:D,"",0)</f>
        <v>0</v>
      </c>
      <c r="Q529" s="2">
        <f>_xlfn.XLOOKUP($A529,'[1]LISTA ETIQUETAS'!$O:$O,'[1]LISTA ETIQUETAS'!E:E,"",0)</f>
        <v>1</v>
      </c>
      <c r="R529" s="2">
        <f>_xlfn.XLOOKUP($A529,'[1]LISTA ETIQUETAS'!$O:$O,'[1]LISTA ETIQUETAS'!F:F,"",0)</f>
        <v>0</v>
      </c>
      <c r="S529" s="2">
        <f>_xlfn.XLOOKUP($A529,'[1]LISTA ETIQUETAS'!$O:$O,'[1]LISTA ETIQUETAS'!H:H,"",0)</f>
        <v>5</v>
      </c>
      <c r="T529" s="9">
        <f t="shared" si="26"/>
        <v>6</v>
      </c>
    </row>
    <row r="530" spans="1:20" x14ac:dyDescent="0.25">
      <c r="A530" s="5">
        <v>336726</v>
      </c>
      <c r="B530" t="str">
        <f>IFERROR((VLOOKUP(A530,'[1]LISTA ETIQUETAS'!O:X,3,0)),"PRODUTO SEM ESTOQUE")</f>
        <v>EST CADEIRA NINA (MAD A CINAM CALRIF) 74 CAMEL/SEXT TING</v>
      </c>
      <c r="C530" s="10" t="s">
        <v>253</v>
      </c>
      <c r="D530" s="10" t="s">
        <v>340</v>
      </c>
      <c r="E530" s="11">
        <f>IF(VLOOKUP(A530,'[1]LISTA ETIQUETAS'!O:W,4,0)="",(VLOOKUP(A530,'[1]LISTA ETIQUETAS'!O:W,6,0)),(VLOOKUP(A530,'[1]LISTA ETIQUETAS'!O:W,4,0)))</f>
        <v>0.5</v>
      </c>
      <c r="F530" s="11">
        <f>IF(VLOOKUP(A530,'[1]LISTA ETIQUETAS'!O:W,5,0)="",(VLOOKUP(A530,'[1]LISTA ETIQUETAS'!O:W,7,0)),(VLOOKUP(A530,'[1]LISTA ETIQUETAS'!O:W,5,0)))</f>
        <v>0.61</v>
      </c>
      <c r="G530" s="11">
        <f>IFERROR((VLOOKUP(A530,'[1]LISTA ETIQUETAS'!O:X,8,0)),"")</f>
        <v>0.88</v>
      </c>
      <c r="H530" s="11">
        <f>IFERROR((VLOOKUP(A530,'[1]LISTA ETIQUETAS'!O:X,9,0)),"")</f>
        <v>0</v>
      </c>
      <c r="I530" s="12">
        <f>IFERROR((VLOOKUP(A530,'[1]LISTA ETIQUETAS'!O:Y,11,0)),"")</f>
        <v>9481.4500000000007</v>
      </c>
      <c r="J530" s="6">
        <v>0</v>
      </c>
      <c r="K530" s="12">
        <f t="shared" si="24"/>
        <v>9481.4500000000007</v>
      </c>
      <c r="L530" s="7" t="str">
        <f>IF(VLOOKUP(A530,'[1]LISTA ETIQUETAS'!O:AB,14,0)="","",(VLOOKUP(A530,'[1]LISTA ETIQUETAS'!O:AB,14,0)))</f>
        <v/>
      </c>
      <c r="M530" s="8"/>
      <c r="N530" s="9">
        <f t="shared" si="25"/>
        <v>336726</v>
      </c>
      <c r="O530" s="2">
        <f>_xlfn.XLOOKUP($A530,'[1]LISTA ETIQUETAS'!$O:$O,'[1]LISTA ETIQUETAS'!C:C,"",0)</f>
        <v>0</v>
      </c>
      <c r="P530" s="2">
        <f>_xlfn.XLOOKUP($A530,'[1]LISTA ETIQUETAS'!$O:$O,'[1]LISTA ETIQUETAS'!D:D,"",0)</f>
        <v>0</v>
      </c>
      <c r="Q530" s="2">
        <f>_xlfn.XLOOKUP($A530,'[1]LISTA ETIQUETAS'!$O:$O,'[1]LISTA ETIQUETAS'!E:E,"",0)</f>
        <v>1</v>
      </c>
      <c r="R530" s="2">
        <f>_xlfn.XLOOKUP($A530,'[1]LISTA ETIQUETAS'!$O:$O,'[1]LISTA ETIQUETAS'!F:F,"",0)</f>
        <v>0</v>
      </c>
      <c r="S530" s="2">
        <f>_xlfn.XLOOKUP($A530,'[1]LISTA ETIQUETAS'!$O:$O,'[1]LISTA ETIQUETAS'!H:H,"",0)</f>
        <v>3</v>
      </c>
      <c r="T530" s="9">
        <f t="shared" si="26"/>
        <v>4</v>
      </c>
    </row>
    <row r="531" spans="1:20" x14ac:dyDescent="0.25">
      <c r="A531" s="5">
        <v>336546</v>
      </c>
      <c r="B531" t="str">
        <f>IFERROR((VLOOKUP(A531,'[1]LISTA ETIQUETAS'!O:X,3,0)),"PRODUTO SEM ESTOQUE")</f>
        <v>EST CADEIRA NINA (MAD B LOURO ESP) 74 CAMEL/SEXT NAT</v>
      </c>
      <c r="C531" s="10" t="s">
        <v>253</v>
      </c>
      <c r="D531" s="10" t="s">
        <v>340</v>
      </c>
      <c r="E531" s="11">
        <f>IF(VLOOKUP(A531,'[1]LISTA ETIQUETAS'!O:W,4,0)="",(VLOOKUP(A531,'[1]LISTA ETIQUETAS'!O:W,6,0)),(VLOOKUP(A531,'[1]LISTA ETIQUETAS'!O:W,4,0)))</f>
        <v>0.5</v>
      </c>
      <c r="F531" s="11">
        <f>IF(VLOOKUP(A531,'[1]LISTA ETIQUETAS'!O:W,5,0)="",(VLOOKUP(A531,'[1]LISTA ETIQUETAS'!O:W,7,0)),(VLOOKUP(A531,'[1]LISTA ETIQUETAS'!O:W,5,0)))</f>
        <v>0.61</v>
      </c>
      <c r="G531" s="11">
        <f>IFERROR((VLOOKUP(A531,'[1]LISTA ETIQUETAS'!O:X,8,0)),"")</f>
        <v>0.88</v>
      </c>
      <c r="H531" s="11">
        <f>IFERROR((VLOOKUP(A531,'[1]LISTA ETIQUETAS'!O:X,9,0)),"")</f>
        <v>0</v>
      </c>
      <c r="I531" s="12">
        <f>IFERROR((VLOOKUP(A531,'[1]LISTA ETIQUETAS'!O:Y,11,0)),"")</f>
        <v>10068.620000000001</v>
      </c>
      <c r="J531" s="6">
        <v>0</v>
      </c>
      <c r="K531" s="12">
        <f t="shared" si="24"/>
        <v>10068.620000000001</v>
      </c>
      <c r="L531" s="7" t="str">
        <f>IF(VLOOKUP(A531,'[1]LISTA ETIQUETAS'!O:AB,14,0)="","",(VLOOKUP(A531,'[1]LISTA ETIQUETAS'!O:AB,14,0)))</f>
        <v/>
      </c>
      <c r="M531" s="8"/>
      <c r="N531" s="9">
        <f t="shared" si="25"/>
        <v>336546</v>
      </c>
      <c r="O531" s="2">
        <f>_xlfn.XLOOKUP($A531,'[1]LISTA ETIQUETAS'!$O:$O,'[1]LISTA ETIQUETAS'!C:C,"",0)</f>
        <v>0</v>
      </c>
      <c r="P531" s="2">
        <f>_xlfn.XLOOKUP($A531,'[1]LISTA ETIQUETAS'!$O:$O,'[1]LISTA ETIQUETAS'!D:D,"",0)</f>
        <v>0</v>
      </c>
      <c r="Q531" s="2">
        <f>_xlfn.XLOOKUP($A531,'[1]LISTA ETIQUETAS'!$O:$O,'[1]LISTA ETIQUETAS'!E:E,"",0)</f>
        <v>0</v>
      </c>
      <c r="R531" s="2">
        <f>_xlfn.XLOOKUP($A531,'[1]LISTA ETIQUETAS'!$O:$O,'[1]LISTA ETIQUETAS'!F:F,"",0)</f>
        <v>1</v>
      </c>
      <c r="S531" s="2">
        <f>_xlfn.XLOOKUP($A531,'[1]LISTA ETIQUETAS'!$O:$O,'[1]LISTA ETIQUETAS'!H:H,"",0)</f>
        <v>6</v>
      </c>
      <c r="T531" s="9">
        <f t="shared" si="26"/>
        <v>7</v>
      </c>
    </row>
    <row r="532" spans="1:20" x14ac:dyDescent="0.25">
      <c r="A532" s="5">
        <v>228451</v>
      </c>
      <c r="B532" t="str">
        <f>IFERROR((VLOOKUP(A532,'[1]LISTA ETIQUETAS'!O:X,3,0)),"PRODUTO SEM ESTOQUE")</f>
        <v>EST CARRINHO BAR CARRELLO (INOX ENV) (MAD A MUIRAC POA)</v>
      </c>
      <c r="C532" s="10" t="s">
        <v>342</v>
      </c>
      <c r="D532" s="10" t="s">
        <v>343</v>
      </c>
      <c r="E532" s="11">
        <f>IF(VLOOKUP(A532,'[1]LISTA ETIQUETAS'!O:W,4,0)="",(VLOOKUP(A532,'[1]LISTA ETIQUETAS'!O:W,6,0)),(VLOOKUP(A532,'[1]LISTA ETIQUETAS'!O:W,4,0)))</f>
        <v>0.8</v>
      </c>
      <c r="F532" s="11">
        <f>IF(VLOOKUP(A532,'[1]LISTA ETIQUETAS'!O:W,5,0)="",(VLOOKUP(A532,'[1]LISTA ETIQUETAS'!O:W,7,0)),(VLOOKUP(A532,'[1]LISTA ETIQUETAS'!O:W,5,0)))</f>
        <v>0.5</v>
      </c>
      <c r="G532" s="11">
        <f>IFERROR((VLOOKUP(A532,'[1]LISTA ETIQUETAS'!O:X,8,0)),"")</f>
        <v>0.7</v>
      </c>
      <c r="H532" s="11">
        <f>IFERROR((VLOOKUP(A532,'[1]LISTA ETIQUETAS'!O:X,9,0)),"")</f>
        <v>0</v>
      </c>
      <c r="I532" s="12">
        <f>IFERROR((VLOOKUP(A532,'[1]LISTA ETIQUETAS'!O:Y,11,0)),"")</f>
        <v>16817.25</v>
      </c>
      <c r="J532" s="6">
        <v>0</v>
      </c>
      <c r="K532" s="12">
        <f t="shared" si="24"/>
        <v>16817.25</v>
      </c>
      <c r="L532" s="7" t="str">
        <f>IF(VLOOKUP(A532,'[1]LISTA ETIQUETAS'!O:AB,14,0)="","",(VLOOKUP(A532,'[1]LISTA ETIQUETAS'!O:AB,14,0)))</f>
        <v/>
      </c>
      <c r="M532" s="8"/>
      <c r="N532" s="9">
        <f t="shared" si="25"/>
        <v>228451</v>
      </c>
      <c r="O532" s="2">
        <f>_xlfn.XLOOKUP($A532,'[1]LISTA ETIQUETAS'!$O:$O,'[1]LISTA ETIQUETAS'!C:C,"",0)</f>
        <v>0</v>
      </c>
      <c r="P532" s="2">
        <f>_xlfn.XLOOKUP($A532,'[1]LISTA ETIQUETAS'!$O:$O,'[1]LISTA ETIQUETAS'!D:D,"",0)</f>
        <v>0</v>
      </c>
      <c r="Q532" s="2">
        <f>_xlfn.XLOOKUP($A532,'[1]LISTA ETIQUETAS'!$O:$O,'[1]LISTA ETIQUETAS'!E:E,"",0)</f>
        <v>0</v>
      </c>
      <c r="R532" s="2">
        <f>_xlfn.XLOOKUP($A532,'[1]LISTA ETIQUETAS'!$O:$O,'[1]LISTA ETIQUETAS'!F:F,"",0)</f>
        <v>0</v>
      </c>
      <c r="S532" s="2">
        <f>_xlfn.XLOOKUP($A532,'[1]LISTA ETIQUETAS'!$O:$O,'[1]LISTA ETIQUETAS'!H:H,"",0)</f>
        <v>2</v>
      </c>
      <c r="T532" s="9">
        <f t="shared" si="26"/>
        <v>2</v>
      </c>
    </row>
    <row r="533" spans="1:20" x14ac:dyDescent="0.25">
      <c r="A533" s="5">
        <v>223617</v>
      </c>
      <c r="B533" t="str">
        <f>IFERROR((VLOOKUP(A533,'[1]LISTA ETIQUETAS'!O:X,3,0)),"PRODUTO SEM ESTOQUE")</f>
        <v>EST CARRINHO BAR CARRELLO (INOX ENV) (MAD A MUIRAC POA)</v>
      </c>
      <c r="C533" s="10" t="s">
        <v>342</v>
      </c>
      <c r="D533" s="10" t="s">
        <v>343</v>
      </c>
      <c r="E533" s="11">
        <f>IF(VLOOKUP(A533,'[1]LISTA ETIQUETAS'!O:W,4,0)="",(VLOOKUP(A533,'[1]LISTA ETIQUETAS'!O:W,6,0)),(VLOOKUP(A533,'[1]LISTA ETIQUETAS'!O:W,4,0)))</f>
        <v>0.8</v>
      </c>
      <c r="F533" s="11">
        <f>IF(VLOOKUP(A533,'[1]LISTA ETIQUETAS'!O:W,5,0)="",(VLOOKUP(A533,'[1]LISTA ETIQUETAS'!O:W,7,0)),(VLOOKUP(A533,'[1]LISTA ETIQUETAS'!O:W,5,0)))</f>
        <v>0.5</v>
      </c>
      <c r="G533" s="11">
        <f>IFERROR((VLOOKUP(A533,'[1]LISTA ETIQUETAS'!O:X,8,0)),"")</f>
        <v>0.7</v>
      </c>
      <c r="H533" s="11">
        <f>IFERROR((VLOOKUP(A533,'[1]LISTA ETIQUETAS'!O:X,9,0)),"")</f>
        <v>0</v>
      </c>
      <c r="I533" s="12">
        <f>IFERROR((VLOOKUP(A533,'[1]LISTA ETIQUETAS'!O:Y,11,0)),"")</f>
        <v>16817.25</v>
      </c>
      <c r="J533" s="6">
        <v>0</v>
      </c>
      <c r="K533" s="12">
        <f t="shared" si="24"/>
        <v>16817.25</v>
      </c>
      <c r="L533" s="7" t="str">
        <f>IF(VLOOKUP(A533,'[1]LISTA ETIQUETAS'!O:AB,14,0)="","",(VLOOKUP(A533,'[1]LISTA ETIQUETAS'!O:AB,14,0)))</f>
        <v/>
      </c>
      <c r="M533" s="8"/>
      <c r="N533" s="9">
        <f t="shared" si="25"/>
        <v>223617</v>
      </c>
      <c r="O533" s="2">
        <f>_xlfn.XLOOKUP($A533,'[1]LISTA ETIQUETAS'!$O:$O,'[1]LISTA ETIQUETAS'!C:C,"",0)</f>
        <v>0</v>
      </c>
      <c r="P533" s="2">
        <f>_xlfn.XLOOKUP($A533,'[1]LISTA ETIQUETAS'!$O:$O,'[1]LISTA ETIQUETAS'!D:D,"",0)</f>
        <v>0</v>
      </c>
      <c r="Q533" s="2">
        <f>_xlfn.XLOOKUP($A533,'[1]LISTA ETIQUETAS'!$O:$O,'[1]LISTA ETIQUETAS'!E:E,"",0)</f>
        <v>0</v>
      </c>
      <c r="R533" s="2">
        <f>_xlfn.XLOOKUP($A533,'[1]LISTA ETIQUETAS'!$O:$O,'[1]LISTA ETIQUETAS'!F:F,"",0)</f>
        <v>0</v>
      </c>
      <c r="S533" s="2">
        <f>_xlfn.XLOOKUP($A533,'[1]LISTA ETIQUETAS'!$O:$O,'[1]LISTA ETIQUETAS'!H:H,"",0)</f>
        <v>1</v>
      </c>
      <c r="T533" s="9">
        <f t="shared" si="26"/>
        <v>1</v>
      </c>
    </row>
    <row r="534" spans="1:20" x14ac:dyDescent="0.25">
      <c r="A534" s="5">
        <v>255073</v>
      </c>
      <c r="B534" t="str">
        <f>IFERROR((VLOOKUP(A534,'[1]LISTA ETIQUETAS'!O:X,3,0)),"PRODUTO SEM ESTOQUE")</f>
        <v>EST CARRINHO BAR MIMO FREIJO NAT/PT GAV LACA FENDI</v>
      </c>
      <c r="C534" s="10" t="s">
        <v>342</v>
      </c>
      <c r="D534" s="10" t="s">
        <v>344</v>
      </c>
      <c r="E534" s="11">
        <f>IF(VLOOKUP(A534,'[1]LISTA ETIQUETAS'!O:W,4,0)="",(VLOOKUP(A534,'[1]LISTA ETIQUETAS'!O:W,6,0)),(VLOOKUP(A534,'[1]LISTA ETIQUETAS'!O:W,4,0)))</f>
        <v>0.51</v>
      </c>
      <c r="F534" s="11">
        <f>IF(VLOOKUP(A534,'[1]LISTA ETIQUETAS'!O:W,5,0)="",(VLOOKUP(A534,'[1]LISTA ETIQUETAS'!O:W,7,0)),(VLOOKUP(A534,'[1]LISTA ETIQUETAS'!O:W,5,0)))</f>
        <v>0.4</v>
      </c>
      <c r="G534" s="11">
        <f>IFERROR((VLOOKUP(A534,'[1]LISTA ETIQUETAS'!O:X,8,0)),"")</f>
        <v>1.5</v>
      </c>
      <c r="H534" s="11">
        <f>IFERROR((VLOOKUP(A534,'[1]LISTA ETIQUETAS'!O:X,9,0)),"")</f>
        <v>0</v>
      </c>
      <c r="I534" s="12">
        <f>IFERROR((VLOOKUP(A534,'[1]LISTA ETIQUETAS'!O:Y,11,0)),"")</f>
        <v>23208.68</v>
      </c>
      <c r="J534" s="6">
        <v>0</v>
      </c>
      <c r="K534" s="12">
        <f t="shared" si="24"/>
        <v>23208.68</v>
      </c>
      <c r="L534" s="7" t="str">
        <f>IF(VLOOKUP(A534,'[1]LISTA ETIQUETAS'!O:AB,14,0)="","",(VLOOKUP(A534,'[1]LISTA ETIQUETAS'!O:AB,14,0)))</f>
        <v/>
      </c>
      <c r="M534" s="8"/>
      <c r="N534" s="9">
        <f t="shared" si="25"/>
        <v>255073</v>
      </c>
      <c r="O534" s="2">
        <f>_xlfn.XLOOKUP($A534,'[1]LISTA ETIQUETAS'!$O:$O,'[1]LISTA ETIQUETAS'!C:C,"",0)</f>
        <v>0</v>
      </c>
      <c r="P534" s="2">
        <f>_xlfn.XLOOKUP($A534,'[1]LISTA ETIQUETAS'!$O:$O,'[1]LISTA ETIQUETAS'!D:D,"",0)</f>
        <v>0</v>
      </c>
      <c r="Q534" s="2">
        <f>_xlfn.XLOOKUP($A534,'[1]LISTA ETIQUETAS'!$O:$O,'[1]LISTA ETIQUETAS'!E:E,"",0)</f>
        <v>0</v>
      </c>
      <c r="R534" s="2">
        <f>_xlfn.XLOOKUP($A534,'[1]LISTA ETIQUETAS'!$O:$O,'[1]LISTA ETIQUETAS'!F:F,"",0)</f>
        <v>0</v>
      </c>
      <c r="S534" s="2">
        <f>_xlfn.XLOOKUP($A534,'[1]LISTA ETIQUETAS'!$O:$O,'[1]LISTA ETIQUETAS'!H:H,"",0)</f>
        <v>2</v>
      </c>
      <c r="T534" s="9">
        <f t="shared" si="26"/>
        <v>2</v>
      </c>
    </row>
    <row r="535" spans="1:20" x14ac:dyDescent="0.25">
      <c r="A535" s="5">
        <v>308750</v>
      </c>
      <c r="B535" t="str">
        <f>IFERROR((VLOOKUP(A535,'[1]LISTA ETIQUETAS'!O:X,3,0)),"PRODUTO SEM ESTOQUE")</f>
        <v>EST CARRINHO BAR SAVASSI (LAMINADO NOGUEIRA/MTX PRETO)</v>
      </c>
      <c r="C535" s="10" t="s">
        <v>342</v>
      </c>
      <c r="D535" s="10" t="s">
        <v>345</v>
      </c>
      <c r="E535" s="11">
        <f>IF(VLOOKUP(A535,'[1]LISTA ETIQUETAS'!O:W,4,0)="",(VLOOKUP(A535,'[1]LISTA ETIQUETAS'!O:W,6,0)),(VLOOKUP(A535,'[1]LISTA ETIQUETAS'!O:W,4,0)))</f>
        <v>1.5</v>
      </c>
      <c r="F535" s="11">
        <f>IF(VLOOKUP(A535,'[1]LISTA ETIQUETAS'!O:W,5,0)="",(VLOOKUP(A535,'[1]LISTA ETIQUETAS'!O:W,7,0)),(VLOOKUP(A535,'[1]LISTA ETIQUETAS'!O:W,5,0)))</f>
        <v>0.45</v>
      </c>
      <c r="G535" s="11">
        <f>IFERROR((VLOOKUP(A535,'[1]LISTA ETIQUETAS'!O:X,8,0)),"")</f>
        <v>0.8</v>
      </c>
      <c r="H535" s="11">
        <f>IFERROR((VLOOKUP(A535,'[1]LISTA ETIQUETAS'!O:X,9,0)),"")</f>
        <v>0</v>
      </c>
      <c r="I535" s="12">
        <f>IFERROR((VLOOKUP(A535,'[1]LISTA ETIQUETAS'!O:Y,11,0)),"")</f>
        <v>28016.22</v>
      </c>
      <c r="J535" s="6">
        <v>0</v>
      </c>
      <c r="K535" s="12">
        <f t="shared" si="24"/>
        <v>28016.22</v>
      </c>
      <c r="L535" s="7" t="str">
        <f>IF(VLOOKUP(A535,'[1]LISTA ETIQUETAS'!O:AB,14,0)="","",(VLOOKUP(A535,'[1]LISTA ETIQUETAS'!O:AB,14,0)))</f>
        <v/>
      </c>
      <c r="M535" s="8"/>
      <c r="N535" s="9">
        <f t="shared" si="25"/>
        <v>308750</v>
      </c>
      <c r="O535" s="2">
        <f>_xlfn.XLOOKUP($A535,'[1]LISTA ETIQUETAS'!$O:$O,'[1]LISTA ETIQUETAS'!C:C,"",0)</f>
        <v>0</v>
      </c>
      <c r="P535" s="2">
        <f>_xlfn.XLOOKUP($A535,'[1]LISTA ETIQUETAS'!$O:$O,'[1]LISTA ETIQUETAS'!D:D,"",0)</f>
        <v>0</v>
      </c>
      <c r="Q535" s="2">
        <f>_xlfn.XLOOKUP($A535,'[1]LISTA ETIQUETAS'!$O:$O,'[1]LISTA ETIQUETAS'!E:E,"",0)</f>
        <v>0</v>
      </c>
      <c r="R535" s="2">
        <f>_xlfn.XLOOKUP($A535,'[1]LISTA ETIQUETAS'!$O:$O,'[1]LISTA ETIQUETAS'!F:F,"",0)</f>
        <v>0</v>
      </c>
      <c r="S535" s="2">
        <f>_xlfn.XLOOKUP($A535,'[1]LISTA ETIQUETAS'!$O:$O,'[1]LISTA ETIQUETAS'!H:H,"",0)</f>
        <v>1</v>
      </c>
      <c r="T535" s="9">
        <f t="shared" si="26"/>
        <v>1</v>
      </c>
    </row>
    <row r="536" spans="1:20" x14ac:dyDescent="0.25">
      <c r="A536" s="5">
        <v>374380</v>
      </c>
      <c r="B536" t="str">
        <f>IFERROR((VLOOKUP(A536,'[1]LISTA ETIQUETAS'!O:X,3,0)),"PRODUTO SEM ESTOQUE")</f>
        <v>EST CHAISE B/ESQ HIMALAYA (CLA) (C3008/DB3001) NOG</v>
      </c>
      <c r="C536" s="10" t="s">
        <v>24</v>
      </c>
      <c r="D536" s="10" t="s">
        <v>47</v>
      </c>
      <c r="E536" s="11">
        <f>IF(VLOOKUP(A536,'[1]LISTA ETIQUETAS'!O:W,4,0)="",(VLOOKUP(A536,'[1]LISTA ETIQUETAS'!O:W,6,0)),(VLOOKUP(A536,'[1]LISTA ETIQUETAS'!O:W,4,0)))</f>
        <v>1.1499999999999999</v>
      </c>
      <c r="F536" s="11">
        <f>IF(VLOOKUP(A536,'[1]LISTA ETIQUETAS'!O:W,5,0)="",(VLOOKUP(A536,'[1]LISTA ETIQUETAS'!O:W,7,0)),(VLOOKUP(A536,'[1]LISTA ETIQUETAS'!O:W,5,0)))</f>
        <v>1.7</v>
      </c>
      <c r="G536" s="11">
        <f>IFERROR((VLOOKUP(A536,'[1]LISTA ETIQUETAS'!O:X,8,0)),"")</f>
        <v>0.74</v>
      </c>
      <c r="H536" s="11">
        <f>IFERROR((VLOOKUP(A536,'[1]LISTA ETIQUETAS'!O:X,9,0)),"")</f>
        <v>0</v>
      </c>
      <c r="I536" s="12">
        <f>IFERROR((VLOOKUP(A536,'[1]LISTA ETIQUETAS'!O:Y,11,0)),"")</f>
        <v>42534.324000000001</v>
      </c>
      <c r="J536" s="6">
        <v>0</v>
      </c>
      <c r="K536" s="12">
        <f t="shared" si="24"/>
        <v>42534.324000000001</v>
      </c>
      <c r="L536" s="7" t="str">
        <f>IF(VLOOKUP(A536,'[1]LISTA ETIQUETAS'!O:AB,14,0)="","",(VLOOKUP(A536,'[1]LISTA ETIQUETAS'!O:AB,14,0)))</f>
        <v/>
      </c>
      <c r="M536" s="8"/>
      <c r="N536" s="9">
        <f t="shared" si="25"/>
        <v>374380</v>
      </c>
      <c r="O536" s="2">
        <f>_xlfn.XLOOKUP($A536,'[1]LISTA ETIQUETAS'!$O:$O,'[1]LISTA ETIQUETAS'!C:C,"",0)</f>
        <v>0</v>
      </c>
      <c r="P536" s="2">
        <f>_xlfn.XLOOKUP($A536,'[1]LISTA ETIQUETAS'!$O:$O,'[1]LISTA ETIQUETAS'!D:D,"",0)</f>
        <v>0</v>
      </c>
      <c r="Q536" s="2">
        <f>_xlfn.XLOOKUP($A536,'[1]LISTA ETIQUETAS'!$O:$O,'[1]LISTA ETIQUETAS'!E:E,"",0)</f>
        <v>0</v>
      </c>
      <c r="R536" s="2">
        <f>_xlfn.XLOOKUP($A536,'[1]LISTA ETIQUETAS'!$O:$O,'[1]LISTA ETIQUETAS'!F:F,"",0)</f>
        <v>0</v>
      </c>
      <c r="S536" s="2">
        <f>_xlfn.XLOOKUP($A536,'[1]LISTA ETIQUETAS'!$O:$O,'[1]LISTA ETIQUETAS'!H:H,"",0)</f>
        <v>1</v>
      </c>
      <c r="T536" s="9">
        <f t="shared" si="26"/>
        <v>1</v>
      </c>
    </row>
    <row r="537" spans="1:20" x14ac:dyDescent="0.25">
      <c r="A537" s="5">
        <v>374379</v>
      </c>
      <c r="B537" t="str">
        <f>IFERROR((VLOOKUP(A537,'[1]LISTA ETIQUETAS'!O:X,3,0)),"PRODUTO SEM ESTOQUE")</f>
        <v>EST CHAISE B/DIR HIMALAYA (CLA) (C3008/DB3001) NOG</v>
      </c>
      <c r="C537" s="10" t="s">
        <v>24</v>
      </c>
      <c r="D537" s="10" t="s">
        <v>47</v>
      </c>
      <c r="E537" s="11">
        <f>IF(VLOOKUP(A537,'[1]LISTA ETIQUETAS'!O:W,4,0)="",(VLOOKUP(A537,'[1]LISTA ETIQUETAS'!O:W,6,0)),(VLOOKUP(A537,'[1]LISTA ETIQUETAS'!O:W,4,0)))</f>
        <v>1.1499999999999999</v>
      </c>
      <c r="F537" s="11">
        <f>IF(VLOOKUP(A537,'[1]LISTA ETIQUETAS'!O:W,5,0)="",(VLOOKUP(A537,'[1]LISTA ETIQUETAS'!O:W,7,0)),(VLOOKUP(A537,'[1]LISTA ETIQUETAS'!O:W,5,0)))</f>
        <v>1.7</v>
      </c>
      <c r="G537" s="11">
        <f>IFERROR((VLOOKUP(A537,'[1]LISTA ETIQUETAS'!O:X,8,0)),"")</f>
        <v>0.74</v>
      </c>
      <c r="H537" s="11">
        <f>IFERROR((VLOOKUP(A537,'[1]LISTA ETIQUETAS'!O:X,9,0)),"")</f>
        <v>0</v>
      </c>
      <c r="I537" s="12">
        <f>IFERROR((VLOOKUP(A537,'[1]LISTA ETIQUETAS'!O:Y,11,0)),"")</f>
        <v>42534.324000000001</v>
      </c>
      <c r="J537" s="6">
        <v>0</v>
      </c>
      <c r="K537" s="12">
        <f t="shared" si="24"/>
        <v>42534.324000000001</v>
      </c>
      <c r="L537" s="7" t="str">
        <f>IF(VLOOKUP(A537,'[1]LISTA ETIQUETAS'!O:AB,14,0)="","",(VLOOKUP(A537,'[1]LISTA ETIQUETAS'!O:AB,14,0)))</f>
        <v/>
      </c>
      <c r="M537" s="8"/>
      <c r="N537" s="9">
        <f t="shared" si="25"/>
        <v>374379</v>
      </c>
      <c r="O537" s="2">
        <f>_xlfn.XLOOKUP($A537,'[1]LISTA ETIQUETAS'!$O:$O,'[1]LISTA ETIQUETAS'!C:C,"",0)</f>
        <v>0</v>
      </c>
      <c r="P537" s="2">
        <f>_xlfn.XLOOKUP($A537,'[1]LISTA ETIQUETAS'!$O:$O,'[1]LISTA ETIQUETAS'!D:D,"",0)</f>
        <v>0</v>
      </c>
      <c r="Q537" s="2">
        <f>_xlfn.XLOOKUP($A537,'[1]LISTA ETIQUETAS'!$O:$O,'[1]LISTA ETIQUETAS'!E:E,"",0)</f>
        <v>0</v>
      </c>
      <c r="R537" s="2">
        <f>_xlfn.XLOOKUP($A537,'[1]LISTA ETIQUETAS'!$O:$O,'[1]LISTA ETIQUETAS'!F:F,"",0)</f>
        <v>0</v>
      </c>
      <c r="S537" s="2">
        <f>_xlfn.XLOOKUP($A537,'[1]LISTA ETIQUETAS'!$O:$O,'[1]LISTA ETIQUETAS'!H:H,"",0)</f>
        <v>1</v>
      </c>
      <c r="T537" s="9">
        <f t="shared" si="26"/>
        <v>1</v>
      </c>
    </row>
    <row r="538" spans="1:20" x14ac:dyDescent="0.25">
      <c r="A538" s="5">
        <v>379862</v>
      </c>
      <c r="B538" t="str">
        <f>IFERROR((VLOOKUP(A538,'[1]LISTA ETIQUETAS'!O:X,3,0)),"PRODUTO SEM ESTOQUE")</f>
        <v>EST CHAISE B/ESQ MONDRIAN (LAM) (C1 SEPIA/NOG) (C1 SEPIA)</v>
      </c>
      <c r="C538" s="10" t="s">
        <v>24</v>
      </c>
      <c r="D538" s="10" t="s">
        <v>25</v>
      </c>
      <c r="E538" s="11">
        <f>IF(VLOOKUP(A538,'[1]LISTA ETIQUETAS'!O:W,4,0)="",(VLOOKUP(A538,'[1]LISTA ETIQUETAS'!O:W,6,0)),(VLOOKUP(A538,'[1]LISTA ETIQUETAS'!O:W,4,0)))</f>
        <v>0.94</v>
      </c>
      <c r="F538" s="11">
        <f>IF(VLOOKUP(A538,'[1]LISTA ETIQUETAS'!O:W,5,0)="",(VLOOKUP(A538,'[1]LISTA ETIQUETAS'!O:W,7,0)),(VLOOKUP(A538,'[1]LISTA ETIQUETAS'!O:W,5,0)))</f>
        <v>1.7</v>
      </c>
      <c r="G538" s="11">
        <f>IFERROR((VLOOKUP(A538,'[1]LISTA ETIQUETAS'!O:X,8,0)),"")</f>
        <v>0.71</v>
      </c>
      <c r="H538" s="11">
        <f>IFERROR((VLOOKUP(A538,'[1]LISTA ETIQUETAS'!O:X,9,0)),"")</f>
        <v>0</v>
      </c>
      <c r="I538" s="12">
        <f>IFERROR((VLOOKUP(A538,'[1]LISTA ETIQUETAS'!O:Y,11,0)),"")</f>
        <v>71279.08</v>
      </c>
      <c r="J538" s="6">
        <v>0</v>
      </c>
      <c r="K538" s="12">
        <f t="shared" si="24"/>
        <v>71279.08</v>
      </c>
      <c r="L538" s="7" t="str">
        <f>IF(VLOOKUP(A538,'[1]LISTA ETIQUETAS'!O:AB,14,0)="","",(VLOOKUP(A538,'[1]LISTA ETIQUETAS'!O:AB,14,0)))</f>
        <v/>
      </c>
      <c r="M538" s="8"/>
      <c r="N538" s="9">
        <f t="shared" si="25"/>
        <v>379862</v>
      </c>
      <c r="O538" s="2">
        <f>_xlfn.XLOOKUP($A538,'[1]LISTA ETIQUETAS'!$O:$O,'[1]LISTA ETIQUETAS'!C:C,"",0)</f>
        <v>0</v>
      </c>
      <c r="P538" s="2">
        <f>_xlfn.XLOOKUP($A538,'[1]LISTA ETIQUETAS'!$O:$O,'[1]LISTA ETIQUETAS'!D:D,"",0)</f>
        <v>0</v>
      </c>
      <c r="Q538" s="2">
        <f>_xlfn.XLOOKUP($A538,'[1]LISTA ETIQUETAS'!$O:$O,'[1]LISTA ETIQUETAS'!E:E,"",0)</f>
        <v>0</v>
      </c>
      <c r="R538" s="2">
        <f>_xlfn.XLOOKUP($A538,'[1]LISTA ETIQUETAS'!$O:$O,'[1]LISTA ETIQUETAS'!F:F,"",0)</f>
        <v>0</v>
      </c>
      <c r="S538" s="2">
        <f>_xlfn.XLOOKUP($A538,'[1]LISTA ETIQUETAS'!$O:$O,'[1]LISTA ETIQUETAS'!H:H,"",0)</f>
        <v>1</v>
      </c>
      <c r="T538" s="9">
        <f t="shared" si="26"/>
        <v>1</v>
      </c>
    </row>
    <row r="539" spans="1:20" x14ac:dyDescent="0.25">
      <c r="A539" s="5">
        <v>379532</v>
      </c>
      <c r="B539" t="str">
        <f>IFERROR((VLOOKUP(A539,'[1]LISTA ETIQUETAS'!O:X,3,0)),"PRODUTO SEM ESTOQUE")</f>
        <v>EST CHAISE B/DIR MONDRIAN (LAM) (C1 SEPIA/NOG) (C1 SEPIA)</v>
      </c>
      <c r="C539" s="10" t="s">
        <v>24</v>
      </c>
      <c r="D539" s="10" t="s">
        <v>25</v>
      </c>
      <c r="E539" s="11">
        <f>IF(VLOOKUP(A539,'[1]LISTA ETIQUETAS'!O:W,4,0)="",(VLOOKUP(A539,'[1]LISTA ETIQUETAS'!O:W,6,0)),(VLOOKUP(A539,'[1]LISTA ETIQUETAS'!O:W,4,0)))</f>
        <v>0.94</v>
      </c>
      <c r="F539" s="11">
        <f>IF(VLOOKUP(A539,'[1]LISTA ETIQUETAS'!O:W,5,0)="",(VLOOKUP(A539,'[1]LISTA ETIQUETAS'!O:W,7,0)),(VLOOKUP(A539,'[1]LISTA ETIQUETAS'!O:W,5,0)))</f>
        <v>1.7</v>
      </c>
      <c r="G539" s="11">
        <f>IFERROR((VLOOKUP(A539,'[1]LISTA ETIQUETAS'!O:X,8,0)),"")</f>
        <v>0.71</v>
      </c>
      <c r="H539" s="11">
        <f>IFERROR((VLOOKUP(A539,'[1]LISTA ETIQUETAS'!O:X,9,0)),"")</f>
        <v>0</v>
      </c>
      <c r="I539" s="12">
        <f>IFERROR((VLOOKUP(A539,'[1]LISTA ETIQUETAS'!O:Y,11,0)),"")</f>
        <v>71279.08</v>
      </c>
      <c r="J539" s="6">
        <v>0</v>
      </c>
      <c r="K539" s="12">
        <f t="shared" si="24"/>
        <v>71279.08</v>
      </c>
      <c r="L539" s="7" t="str">
        <f>IF(VLOOKUP(A539,'[1]LISTA ETIQUETAS'!O:AB,14,0)="","",(VLOOKUP(A539,'[1]LISTA ETIQUETAS'!O:AB,14,0)))</f>
        <v/>
      </c>
      <c r="M539" s="8"/>
      <c r="N539" s="9">
        <f t="shared" si="25"/>
        <v>379532</v>
      </c>
      <c r="O539" s="2">
        <f>_xlfn.XLOOKUP($A539,'[1]LISTA ETIQUETAS'!$O:$O,'[1]LISTA ETIQUETAS'!C:C,"",0)</f>
        <v>0</v>
      </c>
      <c r="P539" s="2">
        <f>_xlfn.XLOOKUP($A539,'[1]LISTA ETIQUETAS'!$O:$O,'[1]LISTA ETIQUETAS'!D:D,"",0)</f>
        <v>0</v>
      </c>
      <c r="Q539" s="2">
        <f>_xlfn.XLOOKUP($A539,'[1]LISTA ETIQUETAS'!$O:$O,'[1]LISTA ETIQUETAS'!E:E,"",0)</f>
        <v>0</v>
      </c>
      <c r="R539" s="2">
        <f>_xlfn.XLOOKUP($A539,'[1]LISTA ETIQUETAS'!$O:$O,'[1]LISTA ETIQUETAS'!F:F,"",0)</f>
        <v>0</v>
      </c>
      <c r="S539" s="2">
        <f>_xlfn.XLOOKUP($A539,'[1]LISTA ETIQUETAS'!$O:$O,'[1]LISTA ETIQUETAS'!H:H,"",0)</f>
        <v>1</v>
      </c>
      <c r="T539" s="9">
        <f t="shared" si="26"/>
        <v>1</v>
      </c>
    </row>
    <row r="540" spans="1:20" x14ac:dyDescent="0.25">
      <c r="A540" s="5">
        <v>334351</v>
      </c>
      <c r="B540" t="str">
        <f>IFERROR((VLOOKUP(A540,'[1]LISTA ETIQUETAS'!O:X,3,0)),"PRODUTO SEM ESTOQUE")</f>
        <v>EST CHAISE REGIA COURO VQ222/V8003/MTZ RB 02</v>
      </c>
      <c r="C540" s="10" t="s">
        <v>24</v>
      </c>
      <c r="D540" s="10" t="s">
        <v>346</v>
      </c>
      <c r="E540" s="11">
        <f>IF(VLOOKUP(A540,'[1]LISTA ETIQUETAS'!O:W,4,0)="",(VLOOKUP(A540,'[1]LISTA ETIQUETAS'!O:W,6,0)),(VLOOKUP(A540,'[1]LISTA ETIQUETAS'!O:W,4,0)))</f>
        <v>1.68</v>
      </c>
      <c r="F540" s="11">
        <f>IF(VLOOKUP(A540,'[1]LISTA ETIQUETAS'!O:W,5,0)="",(VLOOKUP(A540,'[1]LISTA ETIQUETAS'!O:W,7,0)),(VLOOKUP(A540,'[1]LISTA ETIQUETAS'!O:W,5,0)))</f>
        <v>1.65</v>
      </c>
      <c r="G540" s="11">
        <f>IFERROR((VLOOKUP(A540,'[1]LISTA ETIQUETAS'!O:X,8,0)),"")</f>
        <v>0.85</v>
      </c>
      <c r="H540" s="11">
        <f>IFERROR((VLOOKUP(A540,'[1]LISTA ETIQUETAS'!O:X,9,0)),"")</f>
        <v>0</v>
      </c>
      <c r="I540" s="12">
        <f>IFERROR((VLOOKUP(A540,'[1]LISTA ETIQUETAS'!O:Y,11,0)),"")</f>
        <v>60453.75</v>
      </c>
      <c r="J540" s="6">
        <v>0</v>
      </c>
      <c r="K540" s="12">
        <f t="shared" si="24"/>
        <v>60453.75</v>
      </c>
      <c r="L540" s="7" t="str">
        <f>IF(VLOOKUP(A540,'[1]LISTA ETIQUETAS'!O:AB,14,0)="","",(VLOOKUP(A540,'[1]LISTA ETIQUETAS'!O:AB,14,0)))</f>
        <v/>
      </c>
      <c r="M540" s="8"/>
      <c r="N540" s="9">
        <f t="shared" si="25"/>
        <v>334351</v>
      </c>
      <c r="O540" s="2">
        <f>_xlfn.XLOOKUP($A540,'[1]LISTA ETIQUETAS'!$O:$O,'[1]LISTA ETIQUETAS'!C:C,"",0)</f>
        <v>0</v>
      </c>
      <c r="P540" s="2">
        <f>_xlfn.XLOOKUP($A540,'[1]LISTA ETIQUETAS'!$O:$O,'[1]LISTA ETIQUETAS'!D:D,"",0)</f>
        <v>0</v>
      </c>
      <c r="Q540" s="2">
        <f>_xlfn.XLOOKUP($A540,'[1]LISTA ETIQUETAS'!$O:$O,'[1]LISTA ETIQUETAS'!E:E,"",0)</f>
        <v>0</v>
      </c>
      <c r="R540" s="2">
        <f>_xlfn.XLOOKUP($A540,'[1]LISTA ETIQUETAS'!$O:$O,'[1]LISTA ETIQUETAS'!F:F,"",0)</f>
        <v>0</v>
      </c>
      <c r="S540" s="2">
        <f>_xlfn.XLOOKUP($A540,'[1]LISTA ETIQUETAS'!$O:$O,'[1]LISTA ETIQUETAS'!H:H,"",0)</f>
        <v>1</v>
      </c>
      <c r="T540" s="9">
        <f t="shared" si="26"/>
        <v>1</v>
      </c>
    </row>
    <row r="541" spans="1:20" x14ac:dyDescent="0.25">
      <c r="A541" s="5">
        <v>308174</v>
      </c>
      <c r="B541" t="str">
        <f>IFERROR((VLOOKUP(A541,'[1]LISTA ETIQUETAS'!O:X,3,0)),"PRODUTO SEM ESTOQUE")</f>
        <v>EST CHAISE REGIA COURO ENC VQ570/ASS TC N2026/ALMF TC2025</v>
      </c>
      <c r="C541" s="10" t="s">
        <v>24</v>
      </c>
      <c r="D541" s="10" t="s">
        <v>346</v>
      </c>
      <c r="E541" s="11">
        <f>IF(VLOOKUP(A541,'[1]LISTA ETIQUETAS'!O:W,4,0)="",(VLOOKUP(A541,'[1]LISTA ETIQUETAS'!O:W,6,0)),(VLOOKUP(A541,'[1]LISTA ETIQUETAS'!O:W,4,0)))</f>
        <v>1.68</v>
      </c>
      <c r="F541" s="11">
        <f>IF(VLOOKUP(A541,'[1]LISTA ETIQUETAS'!O:W,5,0)="",(VLOOKUP(A541,'[1]LISTA ETIQUETAS'!O:W,7,0)),(VLOOKUP(A541,'[1]LISTA ETIQUETAS'!O:W,5,0)))</f>
        <v>1.65</v>
      </c>
      <c r="G541" s="11">
        <f>IFERROR((VLOOKUP(A541,'[1]LISTA ETIQUETAS'!O:X,8,0)),"")</f>
        <v>0.85</v>
      </c>
      <c r="H541" s="11">
        <f>IFERROR((VLOOKUP(A541,'[1]LISTA ETIQUETAS'!O:X,9,0)),"")</f>
        <v>0</v>
      </c>
      <c r="I541" s="12">
        <f>IFERROR((VLOOKUP(A541,'[1]LISTA ETIQUETAS'!O:Y,11,0)),"")</f>
        <v>59199.71</v>
      </c>
      <c r="J541" s="6">
        <v>0</v>
      </c>
      <c r="K541" s="12">
        <f t="shared" si="24"/>
        <v>59199.71</v>
      </c>
      <c r="L541" s="7" t="str">
        <f>IF(VLOOKUP(A541,'[1]LISTA ETIQUETAS'!O:AB,14,0)="","",(VLOOKUP(A541,'[1]LISTA ETIQUETAS'!O:AB,14,0)))</f>
        <v/>
      </c>
      <c r="M541" s="8"/>
      <c r="N541" s="9">
        <f t="shared" si="25"/>
        <v>308174</v>
      </c>
      <c r="O541" s="2">
        <f>_xlfn.XLOOKUP($A541,'[1]LISTA ETIQUETAS'!$O:$O,'[1]LISTA ETIQUETAS'!C:C,"",0)</f>
        <v>0</v>
      </c>
      <c r="P541" s="2">
        <f>_xlfn.XLOOKUP($A541,'[1]LISTA ETIQUETAS'!$O:$O,'[1]LISTA ETIQUETAS'!D:D,"",0)</f>
        <v>0</v>
      </c>
      <c r="Q541" s="2">
        <f>_xlfn.XLOOKUP($A541,'[1]LISTA ETIQUETAS'!$O:$O,'[1]LISTA ETIQUETAS'!E:E,"",0)</f>
        <v>0</v>
      </c>
      <c r="R541" s="2">
        <f>_xlfn.XLOOKUP($A541,'[1]LISTA ETIQUETAS'!$O:$O,'[1]LISTA ETIQUETAS'!F:F,"",0)</f>
        <v>0</v>
      </c>
      <c r="S541" s="2">
        <f>_xlfn.XLOOKUP($A541,'[1]LISTA ETIQUETAS'!$O:$O,'[1]LISTA ETIQUETAS'!H:H,"",0)</f>
        <v>1</v>
      </c>
      <c r="T541" s="9">
        <f t="shared" si="26"/>
        <v>1</v>
      </c>
    </row>
    <row r="542" spans="1:20" x14ac:dyDescent="0.25">
      <c r="A542" s="5">
        <v>308170</v>
      </c>
      <c r="B542" t="str">
        <f>IFERROR((VLOOKUP(A542,'[1]LISTA ETIQUETAS'!O:X,3,0)),"PRODUTO SEM ESTOQUE")</f>
        <v>EST CHAISE REGIA COURO VQ604/TC V8003/PES MTZ RB03</v>
      </c>
      <c r="C542" s="10" t="s">
        <v>24</v>
      </c>
      <c r="D542" s="10" t="s">
        <v>346</v>
      </c>
      <c r="E542" s="11">
        <f>IF(VLOOKUP(A542,'[1]LISTA ETIQUETAS'!O:W,4,0)="",(VLOOKUP(A542,'[1]LISTA ETIQUETAS'!O:W,6,0)),(VLOOKUP(A542,'[1]LISTA ETIQUETAS'!O:W,4,0)))</f>
        <v>1.68</v>
      </c>
      <c r="F542" s="11">
        <f>IF(VLOOKUP(A542,'[1]LISTA ETIQUETAS'!O:W,5,0)="",(VLOOKUP(A542,'[1]LISTA ETIQUETAS'!O:W,7,0)),(VLOOKUP(A542,'[1]LISTA ETIQUETAS'!O:W,5,0)))</f>
        <v>1.65</v>
      </c>
      <c r="G542" s="11">
        <f>IFERROR((VLOOKUP(A542,'[1]LISTA ETIQUETAS'!O:X,8,0)),"")</f>
        <v>0.85</v>
      </c>
      <c r="H542" s="11">
        <f>IFERROR((VLOOKUP(A542,'[1]LISTA ETIQUETAS'!O:X,9,0)),"")</f>
        <v>0</v>
      </c>
      <c r="I542" s="12">
        <f>IFERROR((VLOOKUP(A542,'[1]LISTA ETIQUETAS'!O:Y,11,0)),"")</f>
        <v>60453.75</v>
      </c>
      <c r="J542" s="6">
        <v>0</v>
      </c>
      <c r="K542" s="12">
        <f t="shared" si="24"/>
        <v>60453.75</v>
      </c>
      <c r="L542" s="7" t="str">
        <f>IF(VLOOKUP(A542,'[1]LISTA ETIQUETAS'!O:AB,14,0)="","",(VLOOKUP(A542,'[1]LISTA ETIQUETAS'!O:AB,14,0)))</f>
        <v/>
      </c>
      <c r="M542" s="8"/>
      <c r="N542" s="9">
        <f t="shared" si="25"/>
        <v>308170</v>
      </c>
      <c r="O542" s="2">
        <f>_xlfn.XLOOKUP($A542,'[1]LISTA ETIQUETAS'!$O:$O,'[1]LISTA ETIQUETAS'!C:C,"",0)</f>
        <v>0</v>
      </c>
      <c r="P542" s="2">
        <f>_xlfn.XLOOKUP($A542,'[1]LISTA ETIQUETAS'!$O:$O,'[1]LISTA ETIQUETAS'!D:D,"",0)</f>
        <v>0</v>
      </c>
      <c r="Q542" s="2">
        <f>_xlfn.XLOOKUP($A542,'[1]LISTA ETIQUETAS'!$O:$O,'[1]LISTA ETIQUETAS'!E:E,"",0)</f>
        <v>0</v>
      </c>
      <c r="R542" s="2">
        <f>_xlfn.XLOOKUP($A542,'[1]LISTA ETIQUETAS'!$O:$O,'[1]LISTA ETIQUETAS'!F:F,"",0)</f>
        <v>0</v>
      </c>
      <c r="S542" s="2">
        <f>_xlfn.XLOOKUP($A542,'[1]LISTA ETIQUETAS'!$O:$O,'[1]LISTA ETIQUETAS'!H:H,"",0)</f>
        <v>1</v>
      </c>
      <c r="T542" s="9">
        <f t="shared" si="26"/>
        <v>1</v>
      </c>
    </row>
    <row r="543" spans="1:20" x14ac:dyDescent="0.25">
      <c r="A543" s="5">
        <v>344055</v>
      </c>
      <c r="B543" t="str">
        <f>IFERROR((VLOOKUP(A543,'[1]LISTA ETIQUETAS'!O:X,3,0)),"PRODUTO SEM ESTOQUE")</f>
        <v>EST CHAISE NIGHT (FREIJO NT) TELA RATTAN/COURO TAUPE 138</v>
      </c>
      <c r="C543" s="10" t="s">
        <v>24</v>
      </c>
      <c r="D543" s="10" t="s">
        <v>347</v>
      </c>
      <c r="E543" s="11">
        <f>IF(VLOOKUP(A543,'[1]LISTA ETIQUETAS'!O:W,4,0)="",(VLOOKUP(A543,'[1]LISTA ETIQUETAS'!O:W,6,0)),(VLOOKUP(A543,'[1]LISTA ETIQUETAS'!O:W,4,0)))</f>
        <v>1.74</v>
      </c>
      <c r="F543" s="11">
        <f>IF(VLOOKUP(A543,'[1]LISTA ETIQUETAS'!O:W,5,0)="",(VLOOKUP(A543,'[1]LISTA ETIQUETAS'!O:W,7,0)),(VLOOKUP(A543,'[1]LISTA ETIQUETAS'!O:W,5,0)))</f>
        <v>0.65</v>
      </c>
      <c r="G543" s="11">
        <f>IFERROR((VLOOKUP(A543,'[1]LISTA ETIQUETAS'!O:X,8,0)),"")</f>
        <v>0.89</v>
      </c>
      <c r="H543" s="11">
        <f>IFERROR((VLOOKUP(A543,'[1]LISTA ETIQUETAS'!O:X,9,0)),"")</f>
        <v>0</v>
      </c>
      <c r="I543" s="12">
        <f>IFERROR((VLOOKUP(A543,'[1]LISTA ETIQUETAS'!O:Y,11,0)),"")</f>
        <v>38968.65</v>
      </c>
      <c r="J543" s="6">
        <v>0</v>
      </c>
      <c r="K543" s="12">
        <f t="shared" si="24"/>
        <v>38968.65</v>
      </c>
      <c r="L543" s="7" t="str">
        <f>IF(VLOOKUP(A543,'[1]LISTA ETIQUETAS'!O:AB,14,0)="","",(VLOOKUP(A543,'[1]LISTA ETIQUETAS'!O:AB,14,0)))</f>
        <v/>
      </c>
      <c r="M543" s="8"/>
      <c r="N543" s="9">
        <f t="shared" si="25"/>
        <v>344055</v>
      </c>
      <c r="O543" s="2">
        <f>_xlfn.XLOOKUP($A543,'[1]LISTA ETIQUETAS'!$O:$O,'[1]LISTA ETIQUETAS'!C:C,"",0)</f>
        <v>0</v>
      </c>
      <c r="P543" s="2">
        <f>_xlfn.XLOOKUP($A543,'[1]LISTA ETIQUETAS'!$O:$O,'[1]LISTA ETIQUETAS'!D:D,"",0)</f>
        <v>0</v>
      </c>
      <c r="Q543" s="2">
        <f>_xlfn.XLOOKUP($A543,'[1]LISTA ETIQUETAS'!$O:$O,'[1]LISTA ETIQUETAS'!E:E,"",0)</f>
        <v>0</v>
      </c>
      <c r="R543" s="2">
        <f>_xlfn.XLOOKUP($A543,'[1]LISTA ETIQUETAS'!$O:$O,'[1]LISTA ETIQUETAS'!F:F,"",0)</f>
        <v>0</v>
      </c>
      <c r="S543" s="2">
        <f>_xlfn.XLOOKUP($A543,'[1]LISTA ETIQUETAS'!$O:$O,'[1]LISTA ETIQUETAS'!H:H,"",0)</f>
        <v>1</v>
      </c>
      <c r="T543" s="9">
        <f t="shared" si="26"/>
        <v>1</v>
      </c>
    </row>
    <row r="544" spans="1:20" x14ac:dyDescent="0.25">
      <c r="A544" s="5">
        <v>273330</v>
      </c>
      <c r="B544" t="str">
        <f>IFERROR((VLOOKUP(A544,'[1]LISTA ETIQUETAS'!O:X,3,0)),"PRODUTO SEM ESTOQUE")</f>
        <v>EST CHAISE MARAIS TC LINHO C531/BS PRETO FSC</v>
      </c>
      <c r="C544" s="10" t="s">
        <v>24</v>
      </c>
      <c r="D544" s="10" t="s">
        <v>348</v>
      </c>
      <c r="E544" s="11">
        <f>IF(VLOOKUP(A544,'[1]LISTA ETIQUETAS'!O:W,4,0)="",(VLOOKUP(A544,'[1]LISTA ETIQUETAS'!O:W,6,0)),(VLOOKUP(A544,'[1]LISTA ETIQUETAS'!O:W,4,0)))</f>
        <v>2.02</v>
      </c>
      <c r="F544" s="11">
        <f>IF(VLOOKUP(A544,'[1]LISTA ETIQUETAS'!O:W,5,0)="",(VLOOKUP(A544,'[1]LISTA ETIQUETAS'!O:W,7,0)),(VLOOKUP(A544,'[1]LISTA ETIQUETAS'!O:W,5,0)))</f>
        <v>0.81</v>
      </c>
      <c r="G544" s="11">
        <f>IFERROR((VLOOKUP(A544,'[1]LISTA ETIQUETAS'!O:X,8,0)),"")</f>
        <v>0.57999999999999996</v>
      </c>
      <c r="H544" s="11">
        <f>IFERROR((VLOOKUP(A544,'[1]LISTA ETIQUETAS'!O:X,9,0)),"")</f>
        <v>0</v>
      </c>
      <c r="I544" s="12">
        <f>IFERROR((VLOOKUP(A544,'[1]LISTA ETIQUETAS'!O:Y,11,0)),"")</f>
        <v>27825.15</v>
      </c>
      <c r="J544" s="6">
        <v>0</v>
      </c>
      <c r="K544" s="12">
        <f t="shared" si="24"/>
        <v>27825.15</v>
      </c>
      <c r="L544" s="7" t="str">
        <f>IF(VLOOKUP(A544,'[1]LISTA ETIQUETAS'!O:AB,14,0)="","",(VLOOKUP(A544,'[1]LISTA ETIQUETAS'!O:AB,14,0)))</f>
        <v/>
      </c>
      <c r="M544" s="8"/>
      <c r="N544" s="9">
        <f t="shared" si="25"/>
        <v>273330</v>
      </c>
      <c r="O544" s="2">
        <f>_xlfn.XLOOKUP($A544,'[1]LISTA ETIQUETAS'!$O:$O,'[1]LISTA ETIQUETAS'!C:C,"",0)</f>
        <v>0</v>
      </c>
      <c r="P544" s="2">
        <f>_xlfn.XLOOKUP($A544,'[1]LISTA ETIQUETAS'!$O:$O,'[1]LISTA ETIQUETAS'!D:D,"",0)</f>
        <v>0</v>
      </c>
      <c r="Q544" s="2">
        <f>_xlfn.XLOOKUP($A544,'[1]LISTA ETIQUETAS'!$O:$O,'[1]LISTA ETIQUETAS'!E:E,"",0)</f>
        <v>0</v>
      </c>
      <c r="R544" s="2">
        <f>_xlfn.XLOOKUP($A544,'[1]LISTA ETIQUETAS'!$O:$O,'[1]LISTA ETIQUETAS'!F:F,"",0)</f>
        <v>0</v>
      </c>
      <c r="S544" s="2">
        <f>_xlfn.XLOOKUP($A544,'[1]LISTA ETIQUETAS'!$O:$O,'[1]LISTA ETIQUETAS'!H:H,"",0)</f>
        <v>1</v>
      </c>
      <c r="T544" s="9">
        <f t="shared" si="26"/>
        <v>1</v>
      </c>
    </row>
    <row r="545" spans="1:20" x14ac:dyDescent="0.25">
      <c r="A545" s="5">
        <v>273329</v>
      </c>
      <c r="B545" t="str">
        <f>IFERROR((VLOOKUP(A545,'[1]LISTA ETIQUETAS'!O:X,3,0)),"PRODUTO SEM ESTOQUE")</f>
        <v>EST CHAISE MARAIS TC CURATOR GALACTICA WHITE/BS PRETA FSC</v>
      </c>
      <c r="C545" s="10" t="s">
        <v>24</v>
      </c>
      <c r="D545" s="10" t="s">
        <v>348</v>
      </c>
      <c r="E545" s="11">
        <f>IF(VLOOKUP(A545,'[1]LISTA ETIQUETAS'!O:W,4,0)="",(VLOOKUP(A545,'[1]LISTA ETIQUETAS'!O:W,6,0)),(VLOOKUP(A545,'[1]LISTA ETIQUETAS'!O:W,4,0)))</f>
        <v>2.02</v>
      </c>
      <c r="F545" s="11">
        <f>IF(VLOOKUP(A545,'[1]LISTA ETIQUETAS'!O:W,5,0)="",(VLOOKUP(A545,'[1]LISTA ETIQUETAS'!O:W,7,0)),(VLOOKUP(A545,'[1]LISTA ETIQUETAS'!O:W,5,0)))</f>
        <v>0.81</v>
      </c>
      <c r="G545" s="11">
        <f>IFERROR((VLOOKUP(A545,'[1]LISTA ETIQUETAS'!O:X,8,0)),"")</f>
        <v>0.57999999999999996</v>
      </c>
      <c r="H545" s="11">
        <f>IFERROR((VLOOKUP(A545,'[1]LISTA ETIQUETAS'!O:X,9,0)),"")</f>
        <v>0</v>
      </c>
      <c r="I545" s="12">
        <f>IFERROR((VLOOKUP(A545,'[1]LISTA ETIQUETAS'!O:Y,11,0)),"")</f>
        <v>27825.15</v>
      </c>
      <c r="J545" s="6">
        <v>0</v>
      </c>
      <c r="K545" s="12">
        <f t="shared" si="24"/>
        <v>27825.15</v>
      </c>
      <c r="L545" s="7" t="str">
        <f>IF(VLOOKUP(A545,'[1]LISTA ETIQUETAS'!O:AB,14,0)="","",(VLOOKUP(A545,'[1]LISTA ETIQUETAS'!O:AB,14,0)))</f>
        <v/>
      </c>
      <c r="M545" s="8"/>
      <c r="N545" s="9">
        <f t="shared" si="25"/>
        <v>273329</v>
      </c>
      <c r="O545" s="2">
        <f>_xlfn.XLOOKUP($A545,'[1]LISTA ETIQUETAS'!$O:$O,'[1]LISTA ETIQUETAS'!C:C,"",0)</f>
        <v>0</v>
      </c>
      <c r="P545" s="2">
        <f>_xlfn.XLOOKUP($A545,'[1]LISTA ETIQUETAS'!$O:$O,'[1]LISTA ETIQUETAS'!D:D,"",0)</f>
        <v>0</v>
      </c>
      <c r="Q545" s="2">
        <f>_xlfn.XLOOKUP($A545,'[1]LISTA ETIQUETAS'!$O:$O,'[1]LISTA ETIQUETAS'!E:E,"",0)</f>
        <v>0</v>
      </c>
      <c r="R545" s="2">
        <f>_xlfn.XLOOKUP($A545,'[1]LISTA ETIQUETAS'!$O:$O,'[1]LISTA ETIQUETAS'!F:F,"",0)</f>
        <v>0</v>
      </c>
      <c r="S545" s="2">
        <f>_xlfn.XLOOKUP($A545,'[1]LISTA ETIQUETAS'!$O:$O,'[1]LISTA ETIQUETAS'!H:H,"",0)</f>
        <v>1</v>
      </c>
      <c r="T545" s="9">
        <f t="shared" si="26"/>
        <v>1</v>
      </c>
    </row>
    <row r="546" spans="1:20" x14ac:dyDescent="0.25">
      <c r="A546" s="5">
        <v>275443</v>
      </c>
      <c r="B546" t="str">
        <f>IFERROR((VLOOKUP(A546,'[1]LISTA ETIQUETAS'!O:X,3,0)),"PRODUTO SEM ESTOQUE")</f>
        <v>EST CHAISE ALF (BRACO ESQ) CURATOR LONA STONE 907</v>
      </c>
      <c r="C546" s="10" t="s">
        <v>24</v>
      </c>
      <c r="D546" s="10" t="s">
        <v>349</v>
      </c>
      <c r="E546" s="11">
        <f>IF(VLOOKUP(A546,'[1]LISTA ETIQUETAS'!O:W,4,0)="",(VLOOKUP(A546,'[1]LISTA ETIQUETAS'!O:W,6,0)),(VLOOKUP(A546,'[1]LISTA ETIQUETAS'!O:W,4,0)))</f>
        <v>2.02</v>
      </c>
      <c r="F546" s="11">
        <f>IF(VLOOKUP(A546,'[1]LISTA ETIQUETAS'!O:W,5,0)="",(VLOOKUP(A546,'[1]LISTA ETIQUETAS'!O:W,7,0)),(VLOOKUP(A546,'[1]LISTA ETIQUETAS'!O:W,5,0)))</f>
        <v>0.95</v>
      </c>
      <c r="G546" s="11">
        <f>IFERROR((VLOOKUP(A546,'[1]LISTA ETIQUETAS'!O:X,8,0)),"")</f>
        <v>0.8</v>
      </c>
      <c r="H546" s="11">
        <f>IFERROR((VLOOKUP(A546,'[1]LISTA ETIQUETAS'!O:X,9,0)),"")</f>
        <v>0</v>
      </c>
      <c r="I546" s="12">
        <f>IFERROR((VLOOKUP(A546,'[1]LISTA ETIQUETAS'!O:Y,11,0)),"")</f>
        <v>29323.21</v>
      </c>
      <c r="J546" s="6">
        <v>0</v>
      </c>
      <c r="K546" s="12">
        <f t="shared" si="24"/>
        <v>29323.21</v>
      </c>
      <c r="L546" s="7" t="str">
        <f>IF(VLOOKUP(A546,'[1]LISTA ETIQUETAS'!O:AB,14,0)="","",(VLOOKUP(A546,'[1]LISTA ETIQUETAS'!O:AB,14,0)))</f>
        <v/>
      </c>
      <c r="M546" s="8"/>
      <c r="N546" s="9">
        <f t="shared" si="25"/>
        <v>275443</v>
      </c>
      <c r="O546" s="2">
        <f>_xlfn.XLOOKUP($A546,'[1]LISTA ETIQUETAS'!$O:$O,'[1]LISTA ETIQUETAS'!C:C,"",0)</f>
        <v>0</v>
      </c>
      <c r="P546" s="2">
        <f>_xlfn.XLOOKUP($A546,'[1]LISTA ETIQUETAS'!$O:$O,'[1]LISTA ETIQUETAS'!D:D,"",0)</f>
        <v>0</v>
      </c>
      <c r="Q546" s="2">
        <f>_xlfn.XLOOKUP($A546,'[1]LISTA ETIQUETAS'!$O:$O,'[1]LISTA ETIQUETAS'!E:E,"",0)</f>
        <v>0</v>
      </c>
      <c r="R546" s="2">
        <f>_xlfn.XLOOKUP($A546,'[1]LISTA ETIQUETAS'!$O:$O,'[1]LISTA ETIQUETAS'!F:F,"",0)</f>
        <v>0</v>
      </c>
      <c r="S546" s="2">
        <f>_xlfn.XLOOKUP($A546,'[1]LISTA ETIQUETAS'!$O:$O,'[1]LISTA ETIQUETAS'!H:H,"",0)</f>
        <v>1</v>
      </c>
      <c r="T546" s="9">
        <f t="shared" si="26"/>
        <v>1</v>
      </c>
    </row>
    <row r="547" spans="1:20" x14ac:dyDescent="0.25">
      <c r="A547" s="5">
        <v>334270</v>
      </c>
      <c r="B547" t="str">
        <f>IFERROR((VLOOKUP(A547,'[1]LISTA ETIQUETAS'!O:X,3,0)),"PRODUTO SEM ESTOQUE")</f>
        <v>EST CHAISE SAN ANDRES (2B) (MTX MARROM) FX D4139/COUR EQUUS</v>
      </c>
      <c r="C547" s="10" t="s">
        <v>24</v>
      </c>
      <c r="D547" s="10" t="s">
        <v>350</v>
      </c>
      <c r="E547" s="11">
        <f>IF(VLOOKUP(A547,'[1]LISTA ETIQUETAS'!O:W,4,0)="",(VLOOKUP(A547,'[1]LISTA ETIQUETAS'!O:W,6,0)),(VLOOKUP(A547,'[1]LISTA ETIQUETAS'!O:W,4,0)))</f>
        <v>1.1000000000000001</v>
      </c>
      <c r="F547" s="11">
        <f>IF(VLOOKUP(A547,'[1]LISTA ETIQUETAS'!O:W,5,0)="",(VLOOKUP(A547,'[1]LISTA ETIQUETAS'!O:W,7,0)),(VLOOKUP(A547,'[1]LISTA ETIQUETAS'!O:W,5,0)))</f>
        <v>1.6</v>
      </c>
      <c r="G547" s="11">
        <f>IFERROR((VLOOKUP(A547,'[1]LISTA ETIQUETAS'!O:X,8,0)),"")</f>
        <v>0.82</v>
      </c>
      <c r="H547" s="11">
        <f>IFERROR((VLOOKUP(A547,'[1]LISTA ETIQUETAS'!O:X,9,0)),"")</f>
        <v>0</v>
      </c>
      <c r="I547" s="12">
        <f>IFERROR((VLOOKUP(A547,'[1]LISTA ETIQUETAS'!O:Y,11,0)),"")</f>
        <v>35362.480000000003</v>
      </c>
      <c r="J547" s="6">
        <v>0</v>
      </c>
      <c r="K547" s="12">
        <f t="shared" si="24"/>
        <v>35362.480000000003</v>
      </c>
      <c r="L547" s="7" t="str">
        <f>IF(VLOOKUP(A547,'[1]LISTA ETIQUETAS'!O:AB,14,0)="","",(VLOOKUP(A547,'[1]LISTA ETIQUETAS'!O:AB,14,0)))</f>
        <v/>
      </c>
      <c r="M547" s="8"/>
      <c r="N547" s="9">
        <f t="shared" si="25"/>
        <v>334270</v>
      </c>
      <c r="O547" s="2">
        <f>_xlfn.XLOOKUP($A547,'[1]LISTA ETIQUETAS'!$O:$O,'[1]LISTA ETIQUETAS'!C:C,"",0)</f>
        <v>0</v>
      </c>
      <c r="P547" s="2">
        <f>_xlfn.XLOOKUP($A547,'[1]LISTA ETIQUETAS'!$O:$O,'[1]LISTA ETIQUETAS'!D:D,"",0)</f>
        <v>0</v>
      </c>
      <c r="Q547" s="2">
        <f>_xlfn.XLOOKUP($A547,'[1]LISTA ETIQUETAS'!$O:$O,'[1]LISTA ETIQUETAS'!E:E,"",0)</f>
        <v>0</v>
      </c>
      <c r="R547" s="2">
        <f>_xlfn.XLOOKUP($A547,'[1]LISTA ETIQUETAS'!$O:$O,'[1]LISTA ETIQUETAS'!F:F,"",0)</f>
        <v>0</v>
      </c>
      <c r="S547" s="2">
        <f>_xlfn.XLOOKUP($A547,'[1]LISTA ETIQUETAS'!$O:$O,'[1]LISTA ETIQUETAS'!H:H,"",0)</f>
        <v>1</v>
      </c>
      <c r="T547" s="9">
        <f t="shared" si="26"/>
        <v>1</v>
      </c>
    </row>
    <row r="548" spans="1:20" x14ac:dyDescent="0.25">
      <c r="A548" s="5">
        <v>334228</v>
      </c>
      <c r="B548" t="str">
        <f>IFERROR((VLOOKUP(A548,'[1]LISTA ETIQUETAS'!O:X,3,0)),"PRODUTO SEM ESTOQUE")</f>
        <v>EST CHAISE ALF (BRACO ESQ) CURATOR 110115/910/CS 125</v>
      </c>
      <c r="C548" s="10" t="s">
        <v>24</v>
      </c>
      <c r="D548" s="10" t="s">
        <v>349</v>
      </c>
      <c r="E548" s="11">
        <f>IF(VLOOKUP(A548,'[1]LISTA ETIQUETAS'!O:W,4,0)="",(VLOOKUP(A548,'[1]LISTA ETIQUETAS'!O:W,6,0)),(VLOOKUP(A548,'[1]LISTA ETIQUETAS'!O:W,4,0)))</f>
        <v>1.6</v>
      </c>
      <c r="F548" s="11">
        <f>IF(VLOOKUP(A548,'[1]LISTA ETIQUETAS'!O:W,5,0)="",(VLOOKUP(A548,'[1]LISTA ETIQUETAS'!O:W,7,0)),(VLOOKUP(A548,'[1]LISTA ETIQUETAS'!O:W,5,0)))</f>
        <v>0.95</v>
      </c>
      <c r="G548" s="11">
        <f>IFERROR((VLOOKUP(A548,'[1]LISTA ETIQUETAS'!O:X,8,0)),"")</f>
        <v>0.8</v>
      </c>
      <c r="H548" s="11">
        <f>IFERROR((VLOOKUP(A548,'[1]LISTA ETIQUETAS'!O:X,9,0)),"")</f>
        <v>0</v>
      </c>
      <c r="I548" s="12">
        <f>IFERROR((VLOOKUP(A548,'[1]LISTA ETIQUETAS'!O:Y,11,0)),"")</f>
        <v>25862.86</v>
      </c>
      <c r="J548" s="6">
        <v>0</v>
      </c>
      <c r="K548" s="12">
        <f t="shared" si="24"/>
        <v>25862.86</v>
      </c>
      <c r="L548" s="7" t="str">
        <f>IF(VLOOKUP(A548,'[1]LISTA ETIQUETAS'!O:AB,14,0)="","",(VLOOKUP(A548,'[1]LISTA ETIQUETAS'!O:AB,14,0)))</f>
        <v/>
      </c>
      <c r="M548" s="8"/>
      <c r="N548" s="9">
        <f t="shared" si="25"/>
        <v>334228</v>
      </c>
      <c r="O548" s="2">
        <f>_xlfn.XLOOKUP($A548,'[1]LISTA ETIQUETAS'!$O:$O,'[1]LISTA ETIQUETAS'!C:C,"",0)</f>
        <v>0</v>
      </c>
      <c r="P548" s="2">
        <f>_xlfn.XLOOKUP($A548,'[1]LISTA ETIQUETAS'!$O:$O,'[1]LISTA ETIQUETAS'!D:D,"",0)</f>
        <v>0</v>
      </c>
      <c r="Q548" s="2">
        <f>_xlfn.XLOOKUP($A548,'[1]LISTA ETIQUETAS'!$O:$O,'[1]LISTA ETIQUETAS'!E:E,"",0)</f>
        <v>0</v>
      </c>
      <c r="R548" s="2">
        <f>_xlfn.XLOOKUP($A548,'[1]LISTA ETIQUETAS'!$O:$O,'[1]LISTA ETIQUETAS'!F:F,"",0)</f>
        <v>0</v>
      </c>
      <c r="S548" s="2">
        <f>_xlfn.XLOOKUP($A548,'[1]LISTA ETIQUETAS'!$O:$O,'[1]LISTA ETIQUETAS'!H:H,"",0)</f>
        <v>1</v>
      </c>
      <c r="T548" s="9">
        <f t="shared" si="26"/>
        <v>1</v>
      </c>
    </row>
    <row r="549" spans="1:20" x14ac:dyDescent="0.25">
      <c r="A549" s="5">
        <v>334217</v>
      </c>
      <c r="B549" t="str">
        <f>IFERROR((VLOOKUP(A549,'[1]LISTA ETIQUETAS'!O:X,3,0)),"PRODUTO SEM ESTOQUE")</f>
        <v>EST CHAISE MARAIS TC CURATOR 136195/003/BS CS125</v>
      </c>
      <c r="C549" s="10" t="s">
        <v>24</v>
      </c>
      <c r="D549" s="10" t="s">
        <v>348</v>
      </c>
      <c r="E549" s="11">
        <f>IF(VLOOKUP(A549,'[1]LISTA ETIQUETAS'!O:W,4,0)="",(VLOOKUP(A549,'[1]LISTA ETIQUETAS'!O:W,6,0)),(VLOOKUP(A549,'[1]LISTA ETIQUETAS'!O:W,4,0)))</f>
        <v>2.02</v>
      </c>
      <c r="F549" s="11">
        <f>IF(VLOOKUP(A549,'[1]LISTA ETIQUETAS'!O:W,5,0)="",(VLOOKUP(A549,'[1]LISTA ETIQUETAS'!O:W,7,0)),(VLOOKUP(A549,'[1]LISTA ETIQUETAS'!O:W,5,0)))</f>
        <v>0.81</v>
      </c>
      <c r="G549" s="11">
        <f>IFERROR((VLOOKUP(A549,'[1]LISTA ETIQUETAS'!O:X,8,0)),"")</f>
        <v>0.57999999999999996</v>
      </c>
      <c r="H549" s="11">
        <f>IFERROR((VLOOKUP(A549,'[1]LISTA ETIQUETAS'!O:X,9,0)),"")</f>
        <v>0</v>
      </c>
      <c r="I549" s="12">
        <f>IFERROR((VLOOKUP(A549,'[1]LISTA ETIQUETAS'!O:Y,11,0)),"")</f>
        <v>27825.15</v>
      </c>
      <c r="J549" s="6">
        <v>0</v>
      </c>
      <c r="K549" s="12">
        <f t="shared" si="24"/>
        <v>27825.15</v>
      </c>
      <c r="L549" s="7" t="str">
        <f>IF(VLOOKUP(A549,'[1]LISTA ETIQUETAS'!O:AB,14,0)="","",(VLOOKUP(A549,'[1]LISTA ETIQUETAS'!O:AB,14,0)))</f>
        <v/>
      </c>
      <c r="M549" s="8"/>
      <c r="N549" s="9">
        <f t="shared" si="25"/>
        <v>334217</v>
      </c>
      <c r="O549" s="2">
        <f>_xlfn.XLOOKUP($A549,'[1]LISTA ETIQUETAS'!$O:$O,'[1]LISTA ETIQUETAS'!C:C,"",0)</f>
        <v>0</v>
      </c>
      <c r="P549" s="2">
        <f>_xlfn.XLOOKUP($A549,'[1]LISTA ETIQUETAS'!$O:$O,'[1]LISTA ETIQUETAS'!D:D,"",0)</f>
        <v>0</v>
      </c>
      <c r="Q549" s="2">
        <f>_xlfn.XLOOKUP($A549,'[1]LISTA ETIQUETAS'!$O:$O,'[1]LISTA ETIQUETAS'!E:E,"",0)</f>
        <v>0</v>
      </c>
      <c r="R549" s="2">
        <f>_xlfn.XLOOKUP($A549,'[1]LISTA ETIQUETAS'!$O:$O,'[1]LISTA ETIQUETAS'!F:F,"",0)</f>
        <v>0</v>
      </c>
      <c r="S549" s="2">
        <f>_xlfn.XLOOKUP($A549,'[1]LISTA ETIQUETAS'!$O:$O,'[1]LISTA ETIQUETAS'!H:H,"",0)</f>
        <v>1</v>
      </c>
      <c r="T549" s="9">
        <f t="shared" si="26"/>
        <v>1</v>
      </c>
    </row>
    <row r="550" spans="1:20" x14ac:dyDescent="0.25">
      <c r="A550" s="5">
        <v>404833</v>
      </c>
      <c r="B550" t="str">
        <f>IFERROR((VLOOKUP(A550,'[1]LISTA ETIQUETAS'!O:X,3,0)),"PRODUTO SEM ESTOQUE")</f>
        <v>EST TAPETE SISAL CH (BARRA VIRADA)</v>
      </c>
      <c r="C550" s="10" t="s">
        <v>24</v>
      </c>
      <c r="D550" s="10" t="s">
        <v>351</v>
      </c>
      <c r="E550" s="11">
        <f>IF(VLOOKUP(A550,'[1]LISTA ETIQUETAS'!O:W,4,0)="",(VLOOKUP(A550,'[1]LISTA ETIQUETAS'!O:W,6,0)),(VLOOKUP(A550,'[1]LISTA ETIQUETAS'!O:W,4,0)))</f>
        <v>6</v>
      </c>
      <c r="F550" s="11">
        <f>IF(VLOOKUP(A550,'[1]LISTA ETIQUETAS'!O:W,5,0)="",(VLOOKUP(A550,'[1]LISTA ETIQUETAS'!O:W,7,0)),(VLOOKUP(A550,'[1]LISTA ETIQUETAS'!O:W,5,0)))</f>
        <v>4.5</v>
      </c>
      <c r="G550" s="11">
        <f>IFERROR((VLOOKUP(A550,'[1]LISTA ETIQUETAS'!O:X,8,0)),"")</f>
        <v>0</v>
      </c>
      <c r="H550" s="11">
        <f>IFERROR((VLOOKUP(A550,'[1]LISTA ETIQUETAS'!O:X,9,0)),"")</f>
        <v>0</v>
      </c>
      <c r="I550" s="12">
        <f>IFERROR((VLOOKUP(A550,'[1]LISTA ETIQUETAS'!O:Y,11,0)),"")</f>
        <v>19170.91</v>
      </c>
      <c r="J550" s="6">
        <v>0</v>
      </c>
      <c r="K550" s="12">
        <f t="shared" si="24"/>
        <v>19170.91</v>
      </c>
      <c r="L550" s="7" t="str">
        <f>IF(VLOOKUP(A550,'[1]LISTA ETIQUETAS'!O:AB,14,0)="","",(VLOOKUP(A550,'[1]LISTA ETIQUETAS'!O:AB,14,0)))</f>
        <v/>
      </c>
      <c r="M550" s="8"/>
      <c r="N550" s="9">
        <f t="shared" si="25"/>
        <v>404833</v>
      </c>
      <c r="O550" s="2">
        <f>_xlfn.XLOOKUP($A550,'[1]LISTA ETIQUETAS'!$O:$O,'[1]LISTA ETIQUETAS'!C:C,"",0)</f>
        <v>0</v>
      </c>
      <c r="P550" s="2">
        <f>_xlfn.XLOOKUP($A550,'[1]LISTA ETIQUETAS'!$O:$O,'[1]LISTA ETIQUETAS'!D:D,"",0)</f>
        <v>0</v>
      </c>
      <c r="Q550" s="2">
        <f>_xlfn.XLOOKUP($A550,'[1]LISTA ETIQUETAS'!$O:$O,'[1]LISTA ETIQUETAS'!E:E,"",0)</f>
        <v>0</v>
      </c>
      <c r="R550" s="2">
        <f>_xlfn.XLOOKUP($A550,'[1]LISTA ETIQUETAS'!$O:$O,'[1]LISTA ETIQUETAS'!F:F,"",0)</f>
        <v>0</v>
      </c>
      <c r="S550" s="2">
        <f>_xlfn.XLOOKUP($A550,'[1]LISTA ETIQUETAS'!$O:$O,'[1]LISTA ETIQUETAS'!H:H,"",0)</f>
        <v>1</v>
      </c>
      <c r="T550" s="9">
        <f t="shared" si="26"/>
        <v>1</v>
      </c>
    </row>
    <row r="551" spans="1:20" x14ac:dyDescent="0.25">
      <c r="A551" s="5">
        <v>163364</v>
      </c>
      <c r="B551" t="str">
        <f>IFERROR((VLOOKUP(A551,'[1]LISTA ETIQUETAS'!O:X,3,0)),"PRODUTO SEM ESTOQUE")</f>
        <v>EST COMODA MIXED (ROVERE NOGUEIRA) (GAVETA LACA BEGE)</v>
      </c>
      <c r="C551" s="10" t="s">
        <v>352</v>
      </c>
      <c r="D551" s="10" t="s">
        <v>353</v>
      </c>
      <c r="E551" s="11">
        <f>IF(VLOOKUP(A551,'[1]LISTA ETIQUETAS'!O:W,4,0)="",(VLOOKUP(A551,'[1]LISTA ETIQUETAS'!O:W,6,0)),(VLOOKUP(A551,'[1]LISTA ETIQUETAS'!O:W,4,0)))</f>
        <v>1</v>
      </c>
      <c r="F551" s="11">
        <f>IF(VLOOKUP(A551,'[1]LISTA ETIQUETAS'!O:W,5,0)="",(VLOOKUP(A551,'[1]LISTA ETIQUETAS'!O:W,7,0)),(VLOOKUP(A551,'[1]LISTA ETIQUETAS'!O:W,5,0)))</f>
        <v>0.5</v>
      </c>
      <c r="G551" s="11">
        <f>IFERROR((VLOOKUP(A551,'[1]LISTA ETIQUETAS'!O:X,8,0)),"")</f>
        <v>0.9</v>
      </c>
      <c r="H551" s="11">
        <f>IFERROR((VLOOKUP(A551,'[1]LISTA ETIQUETAS'!O:X,9,0)),"")</f>
        <v>0</v>
      </c>
      <c r="I551" s="12">
        <f>IFERROR((VLOOKUP(A551,'[1]LISTA ETIQUETAS'!O:Y,11,0)),"")</f>
        <v>0</v>
      </c>
      <c r="J551" s="6">
        <v>0</v>
      </c>
      <c r="K551" s="12">
        <f t="shared" si="24"/>
        <v>0</v>
      </c>
      <c r="L551" s="7" t="str">
        <f>IF(VLOOKUP(A551,'[1]LISTA ETIQUETAS'!O:AB,14,0)="","",(VLOOKUP(A551,'[1]LISTA ETIQUETAS'!O:AB,14,0)))</f>
        <v/>
      </c>
      <c r="M551" s="8"/>
      <c r="N551" s="9">
        <f t="shared" si="25"/>
        <v>163364</v>
      </c>
      <c r="O551" s="2">
        <f>_xlfn.XLOOKUP($A551,'[1]LISTA ETIQUETAS'!$O:$O,'[1]LISTA ETIQUETAS'!C:C,"",0)</f>
        <v>0</v>
      </c>
      <c r="P551" s="2">
        <f>_xlfn.XLOOKUP($A551,'[1]LISTA ETIQUETAS'!$O:$O,'[1]LISTA ETIQUETAS'!D:D,"",0)</f>
        <v>0</v>
      </c>
      <c r="Q551" s="2">
        <f>_xlfn.XLOOKUP($A551,'[1]LISTA ETIQUETAS'!$O:$O,'[1]LISTA ETIQUETAS'!E:E,"",0)</f>
        <v>0</v>
      </c>
      <c r="R551" s="2">
        <f>_xlfn.XLOOKUP($A551,'[1]LISTA ETIQUETAS'!$O:$O,'[1]LISTA ETIQUETAS'!F:F,"",0)</f>
        <v>0</v>
      </c>
      <c r="S551" s="2">
        <f>_xlfn.XLOOKUP($A551,'[1]LISTA ETIQUETAS'!$O:$O,'[1]LISTA ETIQUETAS'!H:H,"",0)</f>
        <v>1</v>
      </c>
      <c r="T551" s="9">
        <f t="shared" si="26"/>
        <v>1</v>
      </c>
    </row>
    <row r="552" spans="1:20" x14ac:dyDescent="0.25">
      <c r="A552" s="5">
        <v>374386</v>
      </c>
      <c r="B552" t="str">
        <f>IFERROR((VLOOKUP(A552,'[1]LISTA ETIQUETAS'!O:X,3,0)),"PRODUTO SEM ESTOQUE")</f>
        <v>EST ALMOFADA DECORATIVA HIMALAYA (PP) (SOFT) (C3008/DB3001)</v>
      </c>
      <c r="C552" s="10" t="s">
        <v>36</v>
      </c>
      <c r="D552" s="10" t="s">
        <v>354</v>
      </c>
      <c r="E552" s="11">
        <f>IF(VLOOKUP(A552,'[1]LISTA ETIQUETAS'!O:W,4,0)="",(VLOOKUP(A552,'[1]LISTA ETIQUETAS'!O:W,6,0)),(VLOOKUP(A552,'[1]LISTA ETIQUETAS'!O:W,4,0)))</f>
        <v>0.4</v>
      </c>
      <c r="F552" s="11">
        <f>IF(VLOOKUP(A552,'[1]LISTA ETIQUETAS'!O:W,5,0)="",(VLOOKUP(A552,'[1]LISTA ETIQUETAS'!O:W,7,0)),(VLOOKUP(A552,'[1]LISTA ETIQUETAS'!O:W,5,0)))</f>
        <v>0.33</v>
      </c>
      <c r="G552" s="11">
        <f>IFERROR((VLOOKUP(A552,'[1]LISTA ETIQUETAS'!O:X,8,0)),"")</f>
        <v>7.0000000000000007E-2</v>
      </c>
      <c r="H552" s="11">
        <f>IFERROR((VLOOKUP(A552,'[1]LISTA ETIQUETAS'!O:X,9,0)),"")</f>
        <v>0</v>
      </c>
      <c r="I552" s="12">
        <f>IFERROR((VLOOKUP(A552,'[1]LISTA ETIQUETAS'!O:Y,11,0)),"")</f>
        <v>2107.5284999999999</v>
      </c>
      <c r="J552" s="6">
        <v>0</v>
      </c>
      <c r="K552" s="12">
        <f t="shared" si="24"/>
        <v>2107.5284999999999</v>
      </c>
      <c r="L552" s="7" t="str">
        <f>IF(VLOOKUP(A552,'[1]LISTA ETIQUETAS'!O:AB,14,0)="","",(VLOOKUP(A552,'[1]LISTA ETIQUETAS'!O:AB,14,0)))</f>
        <v/>
      </c>
      <c r="M552" s="8"/>
      <c r="N552" s="9">
        <f t="shared" si="25"/>
        <v>374386</v>
      </c>
      <c r="O552" s="2">
        <f>_xlfn.XLOOKUP($A552,'[1]LISTA ETIQUETAS'!$O:$O,'[1]LISTA ETIQUETAS'!C:C,"",0)</f>
        <v>0</v>
      </c>
      <c r="P552" s="2">
        <f>_xlfn.XLOOKUP($A552,'[1]LISTA ETIQUETAS'!$O:$O,'[1]LISTA ETIQUETAS'!D:D,"",0)</f>
        <v>0</v>
      </c>
      <c r="Q552" s="2">
        <f>_xlfn.XLOOKUP($A552,'[1]LISTA ETIQUETAS'!$O:$O,'[1]LISTA ETIQUETAS'!E:E,"",0)</f>
        <v>2</v>
      </c>
      <c r="R552" s="2">
        <f>_xlfn.XLOOKUP($A552,'[1]LISTA ETIQUETAS'!$O:$O,'[1]LISTA ETIQUETAS'!F:F,"",0)</f>
        <v>0</v>
      </c>
      <c r="S552" s="2">
        <f>_xlfn.XLOOKUP($A552,'[1]LISTA ETIQUETAS'!$O:$O,'[1]LISTA ETIQUETAS'!H:H,"",0)</f>
        <v>1</v>
      </c>
      <c r="T552" s="9">
        <f t="shared" si="26"/>
        <v>3</v>
      </c>
    </row>
    <row r="553" spans="1:20" x14ac:dyDescent="0.25">
      <c r="A553" s="5">
        <v>383215</v>
      </c>
      <c r="B553" t="str">
        <f>IFERROR((VLOOKUP(A553,'[1]LISTA ETIQUETAS'!O:X,3,0)),"PRODUTO SEM ESTOQUE")</f>
        <v>EST ALMOFADA DECORATIVA HIMALAYA (G) (SOFT) (FX PET 01)</v>
      </c>
      <c r="C553" s="10" t="s">
        <v>36</v>
      </c>
      <c r="D553" s="10" t="s">
        <v>354</v>
      </c>
      <c r="E553" s="11">
        <f>IF(VLOOKUP(A553,'[1]LISTA ETIQUETAS'!O:W,4,0)="",(VLOOKUP(A553,'[1]LISTA ETIQUETAS'!O:W,6,0)),(VLOOKUP(A553,'[1]LISTA ETIQUETAS'!O:W,4,0)))</f>
        <v>0.9</v>
      </c>
      <c r="F553" s="11">
        <f>IF(VLOOKUP(A553,'[1]LISTA ETIQUETAS'!O:W,5,0)="",(VLOOKUP(A553,'[1]LISTA ETIQUETAS'!O:W,7,0)),(VLOOKUP(A553,'[1]LISTA ETIQUETAS'!O:W,5,0)))</f>
        <v>0.7</v>
      </c>
      <c r="G553" s="11">
        <f>IFERROR((VLOOKUP(A553,'[1]LISTA ETIQUETAS'!O:X,8,0)),"")</f>
        <v>0</v>
      </c>
      <c r="H553" s="11">
        <f>IFERROR((VLOOKUP(A553,'[1]LISTA ETIQUETAS'!O:X,9,0)),"")</f>
        <v>0</v>
      </c>
      <c r="I553" s="12">
        <f>IFERROR((VLOOKUP(A553,'[1]LISTA ETIQUETAS'!O:Y,11,0)),"")</f>
        <v>4907.53</v>
      </c>
      <c r="J553" s="6">
        <v>0</v>
      </c>
      <c r="K553" s="12">
        <f t="shared" si="24"/>
        <v>4907.53</v>
      </c>
      <c r="L553" s="7" t="str">
        <f>IF(VLOOKUP(A553,'[1]LISTA ETIQUETAS'!O:AB,14,0)="","",(VLOOKUP(A553,'[1]LISTA ETIQUETAS'!O:AB,14,0)))</f>
        <v/>
      </c>
      <c r="M553" s="8"/>
      <c r="N553" s="9">
        <f t="shared" si="25"/>
        <v>383215</v>
      </c>
      <c r="O553" s="2">
        <f>_xlfn.XLOOKUP($A553,'[1]LISTA ETIQUETAS'!$O:$O,'[1]LISTA ETIQUETAS'!C:C,"",0)</f>
        <v>0</v>
      </c>
      <c r="P553" s="2">
        <f>_xlfn.XLOOKUP($A553,'[1]LISTA ETIQUETAS'!$O:$O,'[1]LISTA ETIQUETAS'!D:D,"",0)</f>
        <v>0</v>
      </c>
      <c r="Q553" s="2">
        <f>_xlfn.XLOOKUP($A553,'[1]LISTA ETIQUETAS'!$O:$O,'[1]LISTA ETIQUETAS'!E:E,"",0)</f>
        <v>2</v>
      </c>
      <c r="R553" s="2">
        <f>_xlfn.XLOOKUP($A553,'[1]LISTA ETIQUETAS'!$O:$O,'[1]LISTA ETIQUETAS'!F:F,"",0)</f>
        <v>0</v>
      </c>
      <c r="S553" s="2">
        <f>_xlfn.XLOOKUP($A553,'[1]LISTA ETIQUETAS'!$O:$O,'[1]LISTA ETIQUETAS'!H:H,"",0)</f>
        <v>2</v>
      </c>
      <c r="T553" s="9">
        <f t="shared" si="26"/>
        <v>4</v>
      </c>
    </row>
    <row r="554" spans="1:20" x14ac:dyDescent="0.25">
      <c r="A554" s="5">
        <v>383214</v>
      </c>
      <c r="B554" t="str">
        <f>IFERROR((VLOOKUP(A554,'[1]LISTA ETIQUETAS'!O:X,3,0)),"PRODUTO SEM ESTOQUE")</f>
        <v>EST ALMOFADA DECORATIVA HIMALAYA (G) (SOFT) FIRENZE 12</v>
      </c>
      <c r="C554" s="10" t="s">
        <v>36</v>
      </c>
      <c r="D554" s="10" t="s">
        <v>354</v>
      </c>
      <c r="E554" s="11">
        <f>IF(VLOOKUP(A554,'[1]LISTA ETIQUETAS'!O:W,4,0)="",(VLOOKUP(A554,'[1]LISTA ETIQUETAS'!O:W,6,0)),(VLOOKUP(A554,'[1]LISTA ETIQUETAS'!O:W,4,0)))</f>
        <v>0.9</v>
      </c>
      <c r="F554" s="11">
        <f>IF(VLOOKUP(A554,'[1]LISTA ETIQUETAS'!O:W,5,0)="",(VLOOKUP(A554,'[1]LISTA ETIQUETAS'!O:W,7,0)),(VLOOKUP(A554,'[1]LISTA ETIQUETAS'!O:W,5,0)))</f>
        <v>0.7</v>
      </c>
      <c r="G554" s="11">
        <f>IFERROR((VLOOKUP(A554,'[1]LISTA ETIQUETAS'!O:X,8,0)),"")</f>
        <v>0</v>
      </c>
      <c r="H554" s="11">
        <f>IFERROR((VLOOKUP(A554,'[1]LISTA ETIQUETAS'!O:X,9,0)),"")</f>
        <v>0</v>
      </c>
      <c r="I554" s="12">
        <f>IFERROR((VLOOKUP(A554,'[1]LISTA ETIQUETAS'!O:Y,11,0)),"")</f>
        <v>4631.2439999999997</v>
      </c>
      <c r="J554" s="6">
        <v>0</v>
      </c>
      <c r="K554" s="12">
        <f t="shared" si="24"/>
        <v>4631.2439999999997</v>
      </c>
      <c r="L554" s="7" t="str">
        <f>IF(VLOOKUP(A554,'[1]LISTA ETIQUETAS'!O:AB,14,0)="","",(VLOOKUP(A554,'[1]LISTA ETIQUETAS'!O:AB,14,0)))</f>
        <v/>
      </c>
      <c r="M554" s="8"/>
      <c r="N554" s="9">
        <f t="shared" si="25"/>
        <v>383214</v>
      </c>
      <c r="O554" s="2">
        <f>_xlfn.XLOOKUP($A554,'[1]LISTA ETIQUETAS'!$O:$O,'[1]LISTA ETIQUETAS'!C:C,"",0)</f>
        <v>0</v>
      </c>
      <c r="P554" s="2">
        <f>_xlfn.XLOOKUP($A554,'[1]LISTA ETIQUETAS'!$O:$O,'[1]LISTA ETIQUETAS'!D:D,"",0)</f>
        <v>0</v>
      </c>
      <c r="Q554" s="2">
        <f>_xlfn.XLOOKUP($A554,'[1]LISTA ETIQUETAS'!$O:$O,'[1]LISTA ETIQUETAS'!E:E,"",0)</f>
        <v>0</v>
      </c>
      <c r="R554" s="2">
        <f>_xlfn.XLOOKUP($A554,'[1]LISTA ETIQUETAS'!$O:$O,'[1]LISTA ETIQUETAS'!F:F,"",0)</f>
        <v>0</v>
      </c>
      <c r="S554" s="2">
        <f>_xlfn.XLOOKUP($A554,'[1]LISTA ETIQUETAS'!$O:$O,'[1]LISTA ETIQUETAS'!H:H,"",0)</f>
        <v>4</v>
      </c>
      <c r="T554" s="9">
        <f t="shared" si="26"/>
        <v>4</v>
      </c>
    </row>
    <row r="555" spans="1:20" x14ac:dyDescent="0.25">
      <c r="A555" s="5">
        <v>379549</v>
      </c>
      <c r="B555" t="str">
        <f>IFERROR((VLOOKUP(A555,'[1]LISTA ETIQUETAS'!O:X,3,0)),"PRODUTO SEM ESTOQUE")</f>
        <v>EST ALMOFADA DECORATIVA HIMALAYA (P) (SOFT) (C3008/DB3001)</v>
      </c>
      <c r="C555" s="10" t="s">
        <v>36</v>
      </c>
      <c r="D555" s="10" t="s">
        <v>354</v>
      </c>
      <c r="E555" s="11">
        <f>IF(VLOOKUP(A555,'[1]LISTA ETIQUETAS'!O:W,4,0)="",(VLOOKUP(A555,'[1]LISTA ETIQUETAS'!O:W,6,0)),(VLOOKUP(A555,'[1]LISTA ETIQUETAS'!O:W,4,0)))</f>
        <v>0.5</v>
      </c>
      <c r="F555" s="11">
        <f>IF(VLOOKUP(A555,'[1]LISTA ETIQUETAS'!O:W,5,0)="",(VLOOKUP(A555,'[1]LISTA ETIQUETAS'!O:W,7,0)),(VLOOKUP(A555,'[1]LISTA ETIQUETAS'!O:W,5,0)))</f>
        <v>0.33</v>
      </c>
      <c r="G555" s="11">
        <f>IFERROR((VLOOKUP(A555,'[1]LISTA ETIQUETAS'!O:X,8,0)),"")</f>
        <v>7.0000000000000007E-2</v>
      </c>
      <c r="H555" s="11">
        <f>IFERROR((VLOOKUP(A555,'[1]LISTA ETIQUETAS'!O:X,9,0)),"")</f>
        <v>0</v>
      </c>
      <c r="I555" s="12">
        <f>IFERROR((VLOOKUP(A555,'[1]LISTA ETIQUETAS'!O:Y,11,0)),"")</f>
        <v>2339.4839999999999</v>
      </c>
      <c r="J555" s="6">
        <v>0</v>
      </c>
      <c r="K555" s="12">
        <f t="shared" si="24"/>
        <v>2339.4839999999999</v>
      </c>
      <c r="L555" s="7" t="str">
        <f>IF(VLOOKUP(A555,'[1]LISTA ETIQUETAS'!O:AB,14,0)="","",(VLOOKUP(A555,'[1]LISTA ETIQUETAS'!O:AB,14,0)))</f>
        <v/>
      </c>
      <c r="M555" s="8"/>
      <c r="N555" s="9">
        <f t="shared" si="25"/>
        <v>379549</v>
      </c>
      <c r="O555" s="2">
        <f>_xlfn.XLOOKUP($A555,'[1]LISTA ETIQUETAS'!$O:$O,'[1]LISTA ETIQUETAS'!C:C,"",0)</f>
        <v>0</v>
      </c>
      <c r="P555" s="2">
        <f>_xlfn.XLOOKUP($A555,'[1]LISTA ETIQUETAS'!$O:$O,'[1]LISTA ETIQUETAS'!D:D,"",0)</f>
        <v>0</v>
      </c>
      <c r="Q555" s="2">
        <f>_xlfn.XLOOKUP($A555,'[1]LISTA ETIQUETAS'!$O:$O,'[1]LISTA ETIQUETAS'!E:E,"",0)</f>
        <v>0</v>
      </c>
      <c r="R555" s="2">
        <f>_xlfn.XLOOKUP($A555,'[1]LISTA ETIQUETAS'!$O:$O,'[1]LISTA ETIQUETAS'!F:F,"",0)</f>
        <v>0</v>
      </c>
      <c r="S555" s="2">
        <f>_xlfn.XLOOKUP($A555,'[1]LISTA ETIQUETAS'!$O:$O,'[1]LISTA ETIQUETAS'!H:H,"",0)</f>
        <v>3</v>
      </c>
      <c r="T555" s="9">
        <f t="shared" si="26"/>
        <v>3</v>
      </c>
    </row>
    <row r="556" spans="1:20" x14ac:dyDescent="0.25">
      <c r="A556" s="5">
        <v>389957</v>
      </c>
      <c r="B556" t="str">
        <f>IFERROR((VLOOKUP(A556,'[1]LISTA ETIQUETAS'!O:X,3,0)),"PRODUTO SEM ESTOQUE")</f>
        <v>EST ALMOFADA DECORATIVA HIMALAYA (G) TC KEEPSAKE TAUPE</v>
      </c>
      <c r="C556" s="10" t="s">
        <v>36</v>
      </c>
      <c r="D556" s="10" t="s">
        <v>354</v>
      </c>
      <c r="E556" s="11">
        <f>IF(VLOOKUP(A556,'[1]LISTA ETIQUETAS'!O:W,4,0)="",(VLOOKUP(A556,'[1]LISTA ETIQUETAS'!O:W,6,0)),(VLOOKUP(A556,'[1]LISTA ETIQUETAS'!O:W,4,0)))</f>
        <v>0.9</v>
      </c>
      <c r="F556" s="11">
        <f>IF(VLOOKUP(A556,'[1]LISTA ETIQUETAS'!O:W,5,0)="",(VLOOKUP(A556,'[1]LISTA ETIQUETAS'!O:W,7,0)),(VLOOKUP(A556,'[1]LISTA ETIQUETAS'!O:W,5,0)))</f>
        <v>0.7</v>
      </c>
      <c r="G556" s="11">
        <f>IFERROR((VLOOKUP(A556,'[1]LISTA ETIQUETAS'!O:X,8,0)),"")</f>
        <v>0</v>
      </c>
      <c r="H556" s="11">
        <f>IFERROR((VLOOKUP(A556,'[1]LISTA ETIQUETAS'!O:X,9,0)),"")</f>
        <v>0</v>
      </c>
      <c r="I556" s="12">
        <f>IFERROR((VLOOKUP(A556,'[1]LISTA ETIQUETAS'!O:Y,11,0)),"")</f>
        <v>2778.5439400000005</v>
      </c>
      <c r="J556" s="6">
        <v>0</v>
      </c>
      <c r="K556" s="12">
        <f t="shared" si="24"/>
        <v>2778.5439400000005</v>
      </c>
      <c r="L556" s="7" t="str">
        <f>IF(VLOOKUP(A556,'[1]LISTA ETIQUETAS'!O:AB,14,0)="","",(VLOOKUP(A556,'[1]LISTA ETIQUETAS'!O:AB,14,0)))</f>
        <v/>
      </c>
      <c r="M556" s="8"/>
      <c r="N556" s="9">
        <f t="shared" si="25"/>
        <v>389957</v>
      </c>
      <c r="O556" s="2">
        <f>_xlfn.XLOOKUP($A556,'[1]LISTA ETIQUETAS'!$O:$O,'[1]LISTA ETIQUETAS'!C:C,"",0)</f>
        <v>1</v>
      </c>
      <c r="P556" s="2">
        <f>_xlfn.XLOOKUP($A556,'[1]LISTA ETIQUETAS'!$O:$O,'[1]LISTA ETIQUETAS'!D:D,"",0)</f>
        <v>0</v>
      </c>
      <c r="Q556" s="2">
        <f>_xlfn.XLOOKUP($A556,'[1]LISTA ETIQUETAS'!$O:$O,'[1]LISTA ETIQUETAS'!E:E,"",0)</f>
        <v>0</v>
      </c>
      <c r="R556" s="2">
        <f>_xlfn.XLOOKUP($A556,'[1]LISTA ETIQUETAS'!$O:$O,'[1]LISTA ETIQUETAS'!F:F,"",0)</f>
        <v>2</v>
      </c>
      <c r="S556" s="2">
        <f>_xlfn.XLOOKUP($A556,'[1]LISTA ETIQUETAS'!$O:$O,'[1]LISTA ETIQUETAS'!H:H,"",0)</f>
        <v>2</v>
      </c>
      <c r="T556" s="9">
        <f t="shared" si="26"/>
        <v>5</v>
      </c>
    </row>
    <row r="557" spans="1:20" x14ac:dyDescent="0.25">
      <c r="A557" s="5">
        <v>335133</v>
      </c>
      <c r="B557" t="str">
        <f>IFERROR((VLOOKUP(A557,'[1]LISTA ETIQUETAS'!O:X,3,0)),"PRODUTO SEM ESTOQUE")</f>
        <v>EST ALMOFADA ENCOSTO PARATY (FX 50043)</v>
      </c>
      <c r="C557" s="10" t="s">
        <v>36</v>
      </c>
      <c r="D557" s="10" t="s">
        <v>37</v>
      </c>
      <c r="E557" s="11">
        <f>IF(VLOOKUP(A557,'[1]LISTA ETIQUETAS'!O:W,4,0)="",(VLOOKUP(A557,'[1]LISTA ETIQUETAS'!O:W,6,0)),(VLOOKUP(A557,'[1]LISTA ETIQUETAS'!O:W,4,0)))</f>
        <v>0.65</v>
      </c>
      <c r="F557" s="11">
        <f>IF(VLOOKUP(A557,'[1]LISTA ETIQUETAS'!O:W,5,0)="",(VLOOKUP(A557,'[1]LISTA ETIQUETAS'!O:W,7,0)),(VLOOKUP(A557,'[1]LISTA ETIQUETAS'!O:W,5,0)))</f>
        <v>0.65</v>
      </c>
      <c r="G557" s="11">
        <f>IFERROR((VLOOKUP(A557,'[1]LISTA ETIQUETAS'!O:X,8,0)),"")</f>
        <v>0</v>
      </c>
      <c r="H557" s="11">
        <f>IFERROR((VLOOKUP(A557,'[1]LISTA ETIQUETAS'!O:X,9,0)),"")</f>
        <v>0</v>
      </c>
      <c r="I557" s="12">
        <f>IFERROR((VLOOKUP(A557,'[1]LISTA ETIQUETAS'!O:Y,11,0)),"")</f>
        <v>1730.89</v>
      </c>
      <c r="J557" s="6">
        <v>0</v>
      </c>
      <c r="K557" s="12">
        <f t="shared" si="24"/>
        <v>1730.89</v>
      </c>
      <c r="L557" s="7" t="str">
        <f>IF(VLOOKUP(A557,'[1]LISTA ETIQUETAS'!O:AB,14,0)="","",(VLOOKUP(A557,'[1]LISTA ETIQUETAS'!O:AB,14,0)))</f>
        <v/>
      </c>
      <c r="M557" s="8"/>
      <c r="N557" s="9">
        <f t="shared" si="25"/>
        <v>335133</v>
      </c>
      <c r="O557" s="2">
        <f>_xlfn.XLOOKUP($A557,'[1]LISTA ETIQUETAS'!$O:$O,'[1]LISTA ETIQUETAS'!C:C,"",0)</f>
        <v>0</v>
      </c>
      <c r="P557" s="2">
        <f>_xlfn.XLOOKUP($A557,'[1]LISTA ETIQUETAS'!$O:$O,'[1]LISTA ETIQUETAS'!D:D,"",0)</f>
        <v>0</v>
      </c>
      <c r="Q557" s="2">
        <f>_xlfn.XLOOKUP($A557,'[1]LISTA ETIQUETAS'!$O:$O,'[1]LISTA ETIQUETAS'!E:E,"",0)</f>
        <v>0</v>
      </c>
      <c r="R557" s="2">
        <f>_xlfn.XLOOKUP($A557,'[1]LISTA ETIQUETAS'!$O:$O,'[1]LISTA ETIQUETAS'!F:F,"",0)</f>
        <v>0</v>
      </c>
      <c r="S557" s="2">
        <f>_xlfn.XLOOKUP($A557,'[1]LISTA ETIQUETAS'!$O:$O,'[1]LISTA ETIQUETAS'!H:H,"",0)</f>
        <v>6</v>
      </c>
      <c r="T557" s="9">
        <f t="shared" si="26"/>
        <v>6</v>
      </c>
    </row>
    <row r="558" spans="1:20" x14ac:dyDescent="0.25">
      <c r="A558" s="5">
        <v>335132</v>
      </c>
      <c r="B558" t="str">
        <f>IFERROR((VLOOKUP(A558,'[1]LISTA ETIQUETAS'!O:X,3,0)),"PRODUTO SEM ESTOQUE")</f>
        <v>EST ALMOFADA BRACO PARATY (FX 50043) (WALNUT MATT)</v>
      </c>
      <c r="C558" s="10" t="s">
        <v>36</v>
      </c>
      <c r="D558" s="10" t="s">
        <v>37</v>
      </c>
      <c r="E558" s="11">
        <f>IF(VLOOKUP(A558,'[1]LISTA ETIQUETAS'!O:W,4,0)="",(VLOOKUP(A558,'[1]LISTA ETIQUETAS'!O:W,6,0)),(VLOOKUP(A558,'[1]LISTA ETIQUETAS'!O:W,4,0)))</f>
        <v>0.52</v>
      </c>
      <c r="F558" s="11">
        <f>IF(VLOOKUP(A558,'[1]LISTA ETIQUETAS'!O:W,5,0)="",(VLOOKUP(A558,'[1]LISTA ETIQUETAS'!O:W,7,0)),(VLOOKUP(A558,'[1]LISTA ETIQUETAS'!O:W,5,0)))</f>
        <v>0.23</v>
      </c>
      <c r="G558" s="11">
        <f>IFERROR((VLOOKUP(A558,'[1]LISTA ETIQUETAS'!O:X,8,0)),"")</f>
        <v>0.14000000000000001</v>
      </c>
      <c r="H558" s="11">
        <f>IFERROR((VLOOKUP(A558,'[1]LISTA ETIQUETAS'!O:X,9,0)),"")</f>
        <v>0</v>
      </c>
      <c r="I558" s="12">
        <f>IFERROR((VLOOKUP(A558,'[1]LISTA ETIQUETAS'!O:Y,11,0)),"")</f>
        <v>1564.28</v>
      </c>
      <c r="J558" s="6">
        <v>0</v>
      </c>
      <c r="K558" s="12">
        <f t="shared" si="24"/>
        <v>1564.28</v>
      </c>
      <c r="L558" s="7" t="str">
        <f>IF(VLOOKUP(A558,'[1]LISTA ETIQUETAS'!O:AB,14,0)="","",(VLOOKUP(A558,'[1]LISTA ETIQUETAS'!O:AB,14,0)))</f>
        <v/>
      </c>
      <c r="M558" s="8"/>
      <c r="N558" s="9">
        <f t="shared" si="25"/>
        <v>335132</v>
      </c>
      <c r="O558" s="2">
        <f>_xlfn.XLOOKUP($A558,'[1]LISTA ETIQUETAS'!$O:$O,'[1]LISTA ETIQUETAS'!C:C,"",0)</f>
        <v>0</v>
      </c>
      <c r="P558" s="2">
        <f>_xlfn.XLOOKUP($A558,'[1]LISTA ETIQUETAS'!$O:$O,'[1]LISTA ETIQUETAS'!D:D,"",0)</f>
        <v>0</v>
      </c>
      <c r="Q558" s="2">
        <f>_xlfn.XLOOKUP($A558,'[1]LISTA ETIQUETAS'!$O:$O,'[1]LISTA ETIQUETAS'!E:E,"",0)</f>
        <v>0</v>
      </c>
      <c r="R558" s="2">
        <f>_xlfn.XLOOKUP($A558,'[1]LISTA ETIQUETAS'!$O:$O,'[1]LISTA ETIQUETAS'!F:F,"",0)</f>
        <v>0</v>
      </c>
      <c r="S558" s="2">
        <f>_xlfn.XLOOKUP($A558,'[1]LISTA ETIQUETAS'!$O:$O,'[1]LISTA ETIQUETAS'!H:H,"",0)</f>
        <v>3</v>
      </c>
      <c r="T558" s="9">
        <f t="shared" si="26"/>
        <v>3</v>
      </c>
    </row>
    <row r="559" spans="1:20" x14ac:dyDescent="0.25">
      <c r="A559" s="5">
        <v>334250</v>
      </c>
      <c r="B559" t="str">
        <f>IFERROR((VLOOKUP(A559,'[1]LISTA ETIQUETAS'!O:X,3,0)),"PRODUTO SEM ESTOQUE")</f>
        <v>EST ALMOFADA BRACO PARATY (FX 40030) (COFFEE MATT)</v>
      </c>
      <c r="C559" s="10" t="s">
        <v>36</v>
      </c>
      <c r="D559" s="10" t="s">
        <v>37</v>
      </c>
      <c r="E559" s="11">
        <f>IF(VLOOKUP(A559,'[1]LISTA ETIQUETAS'!O:W,4,0)="",(VLOOKUP(A559,'[1]LISTA ETIQUETAS'!O:W,6,0)),(VLOOKUP(A559,'[1]LISTA ETIQUETAS'!O:W,4,0)))</f>
        <v>0.52</v>
      </c>
      <c r="F559" s="11">
        <f>IF(VLOOKUP(A559,'[1]LISTA ETIQUETAS'!O:W,5,0)="",(VLOOKUP(A559,'[1]LISTA ETIQUETAS'!O:W,7,0)),(VLOOKUP(A559,'[1]LISTA ETIQUETAS'!O:W,5,0)))</f>
        <v>0.23</v>
      </c>
      <c r="G559" s="11">
        <f>IFERROR((VLOOKUP(A559,'[1]LISTA ETIQUETAS'!O:X,8,0)),"")</f>
        <v>0.14000000000000001</v>
      </c>
      <c r="H559" s="11">
        <f>IFERROR((VLOOKUP(A559,'[1]LISTA ETIQUETAS'!O:X,9,0)),"")</f>
        <v>0</v>
      </c>
      <c r="I559" s="12">
        <f>IFERROR((VLOOKUP(A559,'[1]LISTA ETIQUETAS'!O:Y,11,0)),"")</f>
        <v>1513.39</v>
      </c>
      <c r="J559" s="6">
        <v>0</v>
      </c>
      <c r="K559" s="12">
        <f t="shared" si="24"/>
        <v>1513.39</v>
      </c>
      <c r="L559" s="7" t="str">
        <f>IF(VLOOKUP(A559,'[1]LISTA ETIQUETAS'!O:AB,14,0)="","",(VLOOKUP(A559,'[1]LISTA ETIQUETAS'!O:AB,14,0)))</f>
        <v/>
      </c>
      <c r="M559" s="8"/>
      <c r="N559" s="9">
        <f t="shared" si="25"/>
        <v>334250</v>
      </c>
      <c r="O559" s="2">
        <f>_xlfn.XLOOKUP($A559,'[1]LISTA ETIQUETAS'!$O:$O,'[1]LISTA ETIQUETAS'!C:C,"",0)</f>
        <v>0</v>
      </c>
      <c r="P559" s="2">
        <f>_xlfn.XLOOKUP($A559,'[1]LISTA ETIQUETAS'!$O:$O,'[1]LISTA ETIQUETAS'!D:D,"",0)</f>
        <v>0</v>
      </c>
      <c r="Q559" s="2">
        <f>_xlfn.XLOOKUP($A559,'[1]LISTA ETIQUETAS'!$O:$O,'[1]LISTA ETIQUETAS'!E:E,"",0)</f>
        <v>0</v>
      </c>
      <c r="R559" s="2">
        <f>_xlfn.XLOOKUP($A559,'[1]LISTA ETIQUETAS'!$O:$O,'[1]LISTA ETIQUETAS'!F:F,"",0)</f>
        <v>0</v>
      </c>
      <c r="S559" s="2">
        <f>_xlfn.XLOOKUP($A559,'[1]LISTA ETIQUETAS'!$O:$O,'[1]LISTA ETIQUETAS'!H:H,"",0)</f>
        <v>2</v>
      </c>
      <c r="T559" s="9">
        <f t="shared" si="26"/>
        <v>2</v>
      </c>
    </row>
    <row r="560" spans="1:20" x14ac:dyDescent="0.25">
      <c r="A560" s="5">
        <v>183816</v>
      </c>
      <c r="B560" t="str">
        <f>IFERROR((VLOOKUP(A560,'[1]LISTA ETIQUETAS'!O:X,3,0)),"PRODUTO SEM ESTOQUE")</f>
        <v>EST COMPONENTE FUTTON BANCO CLARICE (TC TA 200007)</v>
      </c>
      <c r="C560" s="10" t="s">
        <v>36</v>
      </c>
      <c r="D560" s="10" t="s">
        <v>355</v>
      </c>
      <c r="E560" s="11">
        <f>IF(VLOOKUP(A560,'[1]LISTA ETIQUETAS'!O:W,4,0)="",(VLOOKUP(A560,'[1]LISTA ETIQUETAS'!O:W,6,0)),(VLOOKUP(A560,'[1]LISTA ETIQUETAS'!O:W,4,0)))</f>
        <v>2.4700000000000002</v>
      </c>
      <c r="F560" s="11">
        <f>IF(VLOOKUP(A560,'[1]LISTA ETIQUETAS'!O:W,5,0)="",(VLOOKUP(A560,'[1]LISTA ETIQUETAS'!O:W,7,0)),(VLOOKUP(A560,'[1]LISTA ETIQUETAS'!O:W,5,0)))</f>
        <v>0.46</v>
      </c>
      <c r="G560" s="11">
        <f>IFERROR((VLOOKUP(A560,'[1]LISTA ETIQUETAS'!O:X,8,0)),"")</f>
        <v>7.0000000000000007E-2</v>
      </c>
      <c r="H560" s="11">
        <f>IFERROR((VLOOKUP(A560,'[1]LISTA ETIQUETAS'!O:X,9,0)),"")</f>
        <v>0</v>
      </c>
      <c r="I560" s="12" t="str">
        <f>IFERROR((VLOOKUP(A560,'[1]LISTA ETIQUETAS'!O:Y,11,0)),"")</f>
        <v/>
      </c>
      <c r="J560" s="6">
        <v>0</v>
      </c>
      <c r="K560" s="12" t="str">
        <f t="shared" si="24"/>
        <v/>
      </c>
      <c r="L560" s="7" t="str">
        <f>IF(VLOOKUP(A560,'[1]LISTA ETIQUETAS'!O:AB,14,0)="","",(VLOOKUP(A560,'[1]LISTA ETIQUETAS'!O:AB,14,0)))</f>
        <v/>
      </c>
      <c r="M560" s="8"/>
      <c r="N560" s="9">
        <f t="shared" si="25"/>
        <v>183816</v>
      </c>
      <c r="O560" s="2">
        <f>_xlfn.XLOOKUP($A560,'[1]LISTA ETIQUETAS'!$O:$O,'[1]LISTA ETIQUETAS'!C:C,"",0)</f>
        <v>0</v>
      </c>
      <c r="P560" s="2">
        <f>_xlfn.XLOOKUP($A560,'[1]LISTA ETIQUETAS'!$O:$O,'[1]LISTA ETIQUETAS'!D:D,"",0)</f>
        <v>0</v>
      </c>
      <c r="Q560" s="2">
        <f>_xlfn.XLOOKUP($A560,'[1]LISTA ETIQUETAS'!$O:$O,'[1]LISTA ETIQUETAS'!E:E,"",0)</f>
        <v>0</v>
      </c>
      <c r="R560" s="2">
        <f>_xlfn.XLOOKUP($A560,'[1]LISTA ETIQUETAS'!$O:$O,'[1]LISTA ETIQUETAS'!F:F,"",0)</f>
        <v>0</v>
      </c>
      <c r="S560" s="2">
        <f>_xlfn.XLOOKUP($A560,'[1]LISTA ETIQUETAS'!$O:$O,'[1]LISTA ETIQUETAS'!H:H,"",0)</f>
        <v>1</v>
      </c>
      <c r="T560" s="9">
        <f t="shared" si="26"/>
        <v>1</v>
      </c>
    </row>
    <row r="561" spans="1:20" x14ac:dyDescent="0.25">
      <c r="A561" s="5">
        <v>309862</v>
      </c>
      <c r="B561" t="str">
        <f>IFERROR((VLOOKUP(A561,'[1]LISTA ETIQUETAS'!O:X,3,0)),"PRODUTO SEM ESTOQUE")</f>
        <v>EST ESPELHO DESLIZE (WALNUT MATTE) (ESPELHO PRATA)</v>
      </c>
      <c r="C561" s="10" t="s">
        <v>356</v>
      </c>
      <c r="D561" s="10" t="s">
        <v>357</v>
      </c>
      <c r="E561" s="11">
        <f>IF(VLOOKUP(A561,'[1]LISTA ETIQUETAS'!O:W,4,0)="",(VLOOKUP(A561,'[1]LISTA ETIQUETAS'!O:W,6,0)),(VLOOKUP(A561,'[1]LISTA ETIQUETAS'!O:W,4,0)))</f>
        <v>0.43</v>
      </c>
      <c r="F561" s="11">
        <f>IF(VLOOKUP(A561,'[1]LISTA ETIQUETAS'!O:W,5,0)="",(VLOOKUP(A561,'[1]LISTA ETIQUETAS'!O:W,7,0)),(VLOOKUP(A561,'[1]LISTA ETIQUETAS'!O:W,5,0)))</f>
        <v>0.89</v>
      </c>
      <c r="G561" s="11">
        <f>IFERROR((VLOOKUP(A561,'[1]LISTA ETIQUETAS'!O:X,8,0)),"")</f>
        <v>0.03</v>
      </c>
      <c r="H561" s="11">
        <f>IFERROR((VLOOKUP(A561,'[1]LISTA ETIQUETAS'!O:X,9,0)),"")</f>
        <v>0</v>
      </c>
      <c r="I561" s="12">
        <f>IFERROR((VLOOKUP(A561,'[1]LISTA ETIQUETAS'!O:Y,11,0)),"")</f>
        <v>6265.82</v>
      </c>
      <c r="J561" s="6">
        <v>0</v>
      </c>
      <c r="K561" s="12">
        <f t="shared" si="24"/>
        <v>6265.82</v>
      </c>
      <c r="L561" s="7" t="str">
        <f>IF(VLOOKUP(A561,'[1]LISTA ETIQUETAS'!O:AB,14,0)="","",(VLOOKUP(A561,'[1]LISTA ETIQUETAS'!O:AB,14,0)))</f>
        <v/>
      </c>
      <c r="M561" s="8"/>
      <c r="N561" s="9">
        <f t="shared" si="25"/>
        <v>309862</v>
      </c>
      <c r="O561" s="2">
        <f>_xlfn.XLOOKUP($A561,'[1]LISTA ETIQUETAS'!$O:$O,'[1]LISTA ETIQUETAS'!C:C,"",0)</f>
        <v>0</v>
      </c>
      <c r="P561" s="2">
        <f>_xlfn.XLOOKUP($A561,'[1]LISTA ETIQUETAS'!$O:$O,'[1]LISTA ETIQUETAS'!D:D,"",0)</f>
        <v>0</v>
      </c>
      <c r="Q561" s="2">
        <f>_xlfn.XLOOKUP($A561,'[1]LISTA ETIQUETAS'!$O:$O,'[1]LISTA ETIQUETAS'!E:E,"",0)</f>
        <v>0</v>
      </c>
      <c r="R561" s="2">
        <f>_xlfn.XLOOKUP($A561,'[1]LISTA ETIQUETAS'!$O:$O,'[1]LISTA ETIQUETAS'!F:F,"",0)</f>
        <v>2</v>
      </c>
      <c r="S561" s="2">
        <f>_xlfn.XLOOKUP($A561,'[1]LISTA ETIQUETAS'!$O:$O,'[1]LISTA ETIQUETAS'!H:H,"",0)</f>
        <v>1</v>
      </c>
      <c r="T561" s="9">
        <f t="shared" si="26"/>
        <v>3</v>
      </c>
    </row>
    <row r="562" spans="1:20" x14ac:dyDescent="0.25">
      <c r="A562" s="5">
        <v>334461</v>
      </c>
      <c r="B562" t="str">
        <f>IFERROR((VLOOKUP(A562,'[1]LISTA ETIQUETAS'!O:X,3,0)),"PRODUTO SEM ESTOQUE")</f>
        <v>EST COMPONENTE PRATELEIRA ESTANTE VO (UNIAO) (LAM 3 LOURO P)</v>
      </c>
      <c r="C562" s="10" t="s">
        <v>49</v>
      </c>
      <c r="D562" s="10" t="s">
        <v>50</v>
      </c>
      <c r="E562" s="11">
        <f>IF(VLOOKUP(A562,'[1]LISTA ETIQUETAS'!O:W,4,0)="",(VLOOKUP(A562,'[1]LISTA ETIQUETAS'!O:W,6,0)),(VLOOKUP(A562,'[1]LISTA ETIQUETAS'!O:W,4,0)))</f>
        <v>0.6</v>
      </c>
      <c r="F562" s="11">
        <f>IF(VLOOKUP(A562,'[1]LISTA ETIQUETAS'!O:W,5,0)="",(VLOOKUP(A562,'[1]LISTA ETIQUETAS'!O:W,7,0)),(VLOOKUP(A562,'[1]LISTA ETIQUETAS'!O:W,5,0)))</f>
        <v>0.39</v>
      </c>
      <c r="G562" s="11">
        <f>IFERROR((VLOOKUP(A562,'[1]LISTA ETIQUETAS'!O:X,8,0)),"")</f>
        <v>0.03</v>
      </c>
      <c r="H562" s="11">
        <f>IFERROR((VLOOKUP(A562,'[1]LISTA ETIQUETAS'!O:X,9,0)),"")</f>
        <v>0</v>
      </c>
      <c r="I562" s="12">
        <f>IFERROR((VLOOKUP(A562,'[1]LISTA ETIQUETAS'!O:Y,11,0)),"")</f>
        <v>2825.8</v>
      </c>
      <c r="J562" s="6">
        <v>0</v>
      </c>
      <c r="K562" s="12">
        <f t="shared" si="24"/>
        <v>2825.8</v>
      </c>
      <c r="L562" s="7" t="str">
        <f>IF(VLOOKUP(A562,'[1]LISTA ETIQUETAS'!O:AB,14,0)="","",(VLOOKUP(A562,'[1]LISTA ETIQUETAS'!O:AB,14,0)))</f>
        <v/>
      </c>
      <c r="M562" s="8"/>
      <c r="N562" s="9">
        <f t="shared" si="25"/>
        <v>334461</v>
      </c>
      <c r="O562" s="2">
        <f>_xlfn.XLOOKUP($A562,'[1]LISTA ETIQUETAS'!$O:$O,'[1]LISTA ETIQUETAS'!C:C,"",0)</f>
        <v>6</v>
      </c>
      <c r="P562" s="2">
        <f>_xlfn.XLOOKUP($A562,'[1]LISTA ETIQUETAS'!$O:$O,'[1]LISTA ETIQUETAS'!D:D,"",0)</f>
        <v>0</v>
      </c>
      <c r="Q562" s="2">
        <f>_xlfn.XLOOKUP($A562,'[1]LISTA ETIQUETAS'!$O:$O,'[1]LISTA ETIQUETAS'!E:E,"",0)</f>
        <v>0</v>
      </c>
      <c r="R562" s="2">
        <f>_xlfn.XLOOKUP($A562,'[1]LISTA ETIQUETAS'!$O:$O,'[1]LISTA ETIQUETAS'!F:F,"",0)</f>
        <v>0</v>
      </c>
      <c r="S562" s="2">
        <f>_xlfn.XLOOKUP($A562,'[1]LISTA ETIQUETAS'!$O:$O,'[1]LISTA ETIQUETAS'!H:H,"",0)</f>
        <v>6</v>
      </c>
      <c r="T562" s="9">
        <f t="shared" si="26"/>
        <v>12</v>
      </c>
    </row>
    <row r="563" spans="1:20" x14ac:dyDescent="0.25">
      <c r="A563" s="5">
        <v>334460</v>
      </c>
      <c r="B563" t="str">
        <f>IFERROR((VLOOKUP(A563,'[1]LISTA ETIQUETAS'!O:X,3,0)),"PRODUTO SEM ESTOQUE")</f>
        <v>EST ESTANTE VO (C) (MTZ ONIX PRETO) (LAM 3 LOURO PRETO)</v>
      </c>
      <c r="C563" s="10" t="s">
        <v>49</v>
      </c>
      <c r="D563" s="10" t="s">
        <v>50</v>
      </c>
      <c r="E563" s="11">
        <f>IF(VLOOKUP(A563,'[1]LISTA ETIQUETAS'!O:W,4,0)="",(VLOOKUP(A563,'[1]LISTA ETIQUETAS'!O:W,6,0)),(VLOOKUP(A563,'[1]LISTA ETIQUETAS'!O:W,4,0)))</f>
        <v>1.04</v>
      </c>
      <c r="F563" s="11">
        <f>IF(VLOOKUP(A563,'[1]LISTA ETIQUETAS'!O:W,5,0)="",(VLOOKUP(A563,'[1]LISTA ETIQUETAS'!O:W,7,0)),(VLOOKUP(A563,'[1]LISTA ETIQUETAS'!O:W,5,0)))</f>
        <v>0.45</v>
      </c>
      <c r="G563" s="11">
        <f>IFERROR((VLOOKUP(A563,'[1]LISTA ETIQUETAS'!O:X,8,0)),"")</f>
        <v>2.11</v>
      </c>
      <c r="H563" s="11">
        <f>IFERROR((VLOOKUP(A563,'[1]LISTA ETIQUETAS'!O:X,9,0)),"")</f>
        <v>0</v>
      </c>
      <c r="I563" s="12">
        <f>IFERROR((VLOOKUP(A563,'[1]LISTA ETIQUETAS'!O:Y,11,0)),"")</f>
        <v>65765.279999999999</v>
      </c>
      <c r="J563" s="6">
        <v>0</v>
      </c>
      <c r="K563" s="12">
        <f t="shared" si="24"/>
        <v>65765.279999999999</v>
      </c>
      <c r="L563" s="7" t="str">
        <f>IF(VLOOKUP(A563,'[1]LISTA ETIQUETAS'!O:AB,14,0)="","",(VLOOKUP(A563,'[1]LISTA ETIQUETAS'!O:AB,14,0)))</f>
        <v/>
      </c>
      <c r="M563" s="8"/>
      <c r="N563" s="9">
        <f t="shared" si="25"/>
        <v>334460</v>
      </c>
      <c r="O563" s="2">
        <f>_xlfn.XLOOKUP($A563,'[1]LISTA ETIQUETAS'!$O:$O,'[1]LISTA ETIQUETAS'!C:C,"",0)</f>
        <v>0</v>
      </c>
      <c r="P563" s="2">
        <f>_xlfn.XLOOKUP($A563,'[1]LISTA ETIQUETAS'!$O:$O,'[1]LISTA ETIQUETAS'!D:D,"",0)</f>
        <v>0</v>
      </c>
      <c r="Q563" s="2">
        <f>_xlfn.XLOOKUP($A563,'[1]LISTA ETIQUETAS'!$O:$O,'[1]LISTA ETIQUETAS'!E:E,"",0)</f>
        <v>0</v>
      </c>
      <c r="R563" s="2">
        <f>_xlfn.XLOOKUP($A563,'[1]LISTA ETIQUETAS'!$O:$O,'[1]LISTA ETIQUETAS'!F:F,"",0)</f>
        <v>0</v>
      </c>
      <c r="S563" s="2">
        <f>_xlfn.XLOOKUP($A563,'[1]LISTA ETIQUETAS'!$O:$O,'[1]LISTA ETIQUETAS'!H:H,"",0)</f>
        <v>1</v>
      </c>
      <c r="T563" s="9">
        <f t="shared" si="26"/>
        <v>1</v>
      </c>
    </row>
    <row r="564" spans="1:20" x14ac:dyDescent="0.25">
      <c r="A564" s="5">
        <v>334459</v>
      </c>
      <c r="B564" t="str">
        <f>IFERROR((VLOOKUP(A564,'[1]LISTA ETIQUETAS'!O:X,3,0)),"PRODUTO SEM ESTOQUE")</f>
        <v>EST ESTANTE VO (B) (MTZ ONIX PRETO) (LAM 3 LOURO PRETO)</v>
      </c>
      <c r="C564" s="10" t="s">
        <v>49</v>
      </c>
      <c r="D564" s="10" t="s">
        <v>50</v>
      </c>
      <c r="E564" s="11">
        <f>IF(VLOOKUP(A564,'[1]LISTA ETIQUETAS'!O:W,4,0)="",(VLOOKUP(A564,'[1]LISTA ETIQUETAS'!O:W,6,0)),(VLOOKUP(A564,'[1]LISTA ETIQUETAS'!O:W,4,0)))</f>
        <v>1.04</v>
      </c>
      <c r="F564" s="11">
        <f>IF(VLOOKUP(A564,'[1]LISTA ETIQUETAS'!O:W,5,0)="",(VLOOKUP(A564,'[1]LISTA ETIQUETAS'!O:W,7,0)),(VLOOKUP(A564,'[1]LISTA ETIQUETAS'!O:W,5,0)))</f>
        <v>0.45</v>
      </c>
      <c r="G564" s="11">
        <f>IFERROR((VLOOKUP(A564,'[1]LISTA ETIQUETAS'!O:X,8,0)),"")</f>
        <v>2.11</v>
      </c>
      <c r="H564" s="11">
        <f>IFERROR((VLOOKUP(A564,'[1]LISTA ETIQUETAS'!O:X,9,0)),"")</f>
        <v>0</v>
      </c>
      <c r="I564" s="12">
        <f>IFERROR((VLOOKUP(A564,'[1]LISTA ETIQUETAS'!O:Y,11,0)),"")</f>
        <v>69966.850000000006</v>
      </c>
      <c r="J564" s="6">
        <v>0</v>
      </c>
      <c r="K564" s="12">
        <f t="shared" si="24"/>
        <v>69966.850000000006</v>
      </c>
      <c r="L564" s="7" t="str">
        <f>IF(VLOOKUP(A564,'[1]LISTA ETIQUETAS'!O:AB,14,0)="","",(VLOOKUP(A564,'[1]LISTA ETIQUETAS'!O:AB,14,0)))</f>
        <v/>
      </c>
      <c r="M564" s="8"/>
      <c r="N564" s="9">
        <f t="shared" si="25"/>
        <v>334459</v>
      </c>
      <c r="O564" s="2">
        <f>_xlfn.XLOOKUP($A564,'[1]LISTA ETIQUETAS'!$O:$O,'[1]LISTA ETIQUETAS'!C:C,"",0)</f>
        <v>0</v>
      </c>
      <c r="P564" s="2">
        <f>_xlfn.XLOOKUP($A564,'[1]LISTA ETIQUETAS'!$O:$O,'[1]LISTA ETIQUETAS'!D:D,"",0)</f>
        <v>0</v>
      </c>
      <c r="Q564" s="2">
        <f>_xlfn.XLOOKUP($A564,'[1]LISTA ETIQUETAS'!$O:$O,'[1]LISTA ETIQUETAS'!E:E,"",0)</f>
        <v>0</v>
      </c>
      <c r="R564" s="2">
        <f>_xlfn.XLOOKUP($A564,'[1]LISTA ETIQUETAS'!$O:$O,'[1]LISTA ETIQUETAS'!F:F,"",0)</f>
        <v>0</v>
      </c>
      <c r="S564" s="2">
        <f>_xlfn.XLOOKUP($A564,'[1]LISTA ETIQUETAS'!$O:$O,'[1]LISTA ETIQUETAS'!H:H,"",0)</f>
        <v>1</v>
      </c>
      <c r="T564" s="9">
        <f t="shared" si="26"/>
        <v>1</v>
      </c>
    </row>
    <row r="565" spans="1:20" x14ac:dyDescent="0.25">
      <c r="A565" s="5">
        <v>316571</v>
      </c>
      <c r="B565" t="str">
        <f>IFERROR((VLOOKUP(A565,'[1]LISTA ETIQUETAS'!O:X,3,0)),"PRODUTO SEM ESTOQUE")</f>
        <v>EST ESTANTE VO (A) (MTZ ONIX PRETO) (LAM 2 NOGUEIRA)</v>
      </c>
      <c r="C565" s="10" t="s">
        <v>49</v>
      </c>
      <c r="D565" s="10" t="s">
        <v>50</v>
      </c>
      <c r="E565" s="11">
        <f>IF(VLOOKUP(A565,'[1]LISTA ETIQUETAS'!O:W,4,0)="",(VLOOKUP(A565,'[1]LISTA ETIQUETAS'!O:W,6,0)),(VLOOKUP(A565,'[1]LISTA ETIQUETAS'!O:W,4,0)))</f>
        <v>1.04</v>
      </c>
      <c r="F565" s="11">
        <f>IF(VLOOKUP(A565,'[1]LISTA ETIQUETAS'!O:W,5,0)="",(VLOOKUP(A565,'[1]LISTA ETIQUETAS'!O:W,7,0)),(VLOOKUP(A565,'[1]LISTA ETIQUETAS'!O:W,5,0)))</f>
        <v>0.45</v>
      </c>
      <c r="G565" s="11">
        <f>IFERROR((VLOOKUP(A565,'[1]LISTA ETIQUETAS'!O:X,8,0)),"")</f>
        <v>2.11</v>
      </c>
      <c r="H565" s="11">
        <f>IFERROR((VLOOKUP(A565,'[1]LISTA ETIQUETAS'!O:X,9,0)),"")</f>
        <v>0</v>
      </c>
      <c r="I565" s="12">
        <f>IFERROR((VLOOKUP(A565,'[1]LISTA ETIQUETAS'!O:Y,11,0)),"")</f>
        <v>63617.43</v>
      </c>
      <c r="J565" s="6">
        <v>0</v>
      </c>
      <c r="K565" s="12">
        <f t="shared" si="24"/>
        <v>63617.43</v>
      </c>
      <c r="L565" s="7" t="str">
        <f>IF(VLOOKUP(A565,'[1]LISTA ETIQUETAS'!O:AB,14,0)="","",(VLOOKUP(A565,'[1]LISTA ETIQUETAS'!O:AB,14,0)))</f>
        <v/>
      </c>
      <c r="M565" s="8"/>
      <c r="N565" s="9">
        <f t="shared" si="25"/>
        <v>316571</v>
      </c>
      <c r="O565" s="2">
        <f>_xlfn.XLOOKUP($A565,'[1]LISTA ETIQUETAS'!$O:$O,'[1]LISTA ETIQUETAS'!C:C,"",0)</f>
        <v>0</v>
      </c>
      <c r="P565" s="2">
        <f>_xlfn.XLOOKUP($A565,'[1]LISTA ETIQUETAS'!$O:$O,'[1]LISTA ETIQUETAS'!D:D,"",0)</f>
        <v>0</v>
      </c>
      <c r="Q565" s="2">
        <f>_xlfn.XLOOKUP($A565,'[1]LISTA ETIQUETAS'!$O:$O,'[1]LISTA ETIQUETAS'!E:E,"",0)</f>
        <v>0</v>
      </c>
      <c r="R565" s="2">
        <f>_xlfn.XLOOKUP($A565,'[1]LISTA ETIQUETAS'!$O:$O,'[1]LISTA ETIQUETAS'!F:F,"",0)</f>
        <v>0</v>
      </c>
      <c r="S565" s="2">
        <f>_xlfn.XLOOKUP($A565,'[1]LISTA ETIQUETAS'!$O:$O,'[1]LISTA ETIQUETAS'!H:H,"",0)</f>
        <v>1</v>
      </c>
      <c r="T565" s="9">
        <f t="shared" si="26"/>
        <v>1</v>
      </c>
    </row>
    <row r="566" spans="1:20" x14ac:dyDescent="0.25">
      <c r="A566" s="5">
        <v>77581</v>
      </c>
      <c r="B566" t="str">
        <f>IFERROR((VLOOKUP(A566,'[1]LISTA ETIQUETAS'!O:X,3,0)),"PRODUTO SEM ESTOQUE")</f>
        <v>EST ESTANTE VENEZIA (4 MODULOS) (FREIJO CASTANHO)</v>
      </c>
      <c r="C566" s="10" t="s">
        <v>49</v>
      </c>
      <c r="D566" s="10" t="s">
        <v>358</v>
      </c>
      <c r="E566" s="11">
        <f>IF(VLOOKUP(A566,'[1]LISTA ETIQUETAS'!O:W,4,0)="",(VLOOKUP(A566,'[1]LISTA ETIQUETAS'!O:W,6,0)),(VLOOKUP(A566,'[1]LISTA ETIQUETAS'!O:W,4,0)))</f>
        <v>0</v>
      </c>
      <c r="F566" s="11">
        <f>IF(VLOOKUP(A566,'[1]LISTA ETIQUETAS'!O:W,5,0)="",(VLOOKUP(A566,'[1]LISTA ETIQUETAS'!O:W,7,0)),(VLOOKUP(A566,'[1]LISTA ETIQUETAS'!O:W,5,0)))</f>
        <v>0</v>
      </c>
      <c r="G566" s="11">
        <f>IFERROR((VLOOKUP(A566,'[1]LISTA ETIQUETAS'!O:X,8,0)),"")</f>
        <v>0</v>
      </c>
      <c r="H566" s="11">
        <f>IFERROR((VLOOKUP(A566,'[1]LISTA ETIQUETAS'!O:X,9,0)),"")</f>
        <v>0</v>
      </c>
      <c r="I566" s="12">
        <f>IFERROR((VLOOKUP(A566,'[1]LISTA ETIQUETAS'!O:Y,11,0)),"")</f>
        <v>0</v>
      </c>
      <c r="J566" s="6">
        <v>0</v>
      </c>
      <c r="K566" s="12">
        <f t="shared" si="24"/>
        <v>0</v>
      </c>
      <c r="L566" s="7" t="str">
        <f>IF(VLOOKUP(A566,'[1]LISTA ETIQUETAS'!O:AB,14,0)="","",(VLOOKUP(A566,'[1]LISTA ETIQUETAS'!O:AB,14,0)))</f>
        <v/>
      </c>
      <c r="M566" s="8"/>
      <c r="N566" s="9">
        <f t="shared" si="25"/>
        <v>77581</v>
      </c>
      <c r="O566" s="2">
        <f>_xlfn.XLOOKUP($A566,'[1]LISTA ETIQUETAS'!$O:$O,'[1]LISTA ETIQUETAS'!C:C,"",0)</f>
        <v>0</v>
      </c>
      <c r="P566" s="2">
        <f>_xlfn.XLOOKUP($A566,'[1]LISTA ETIQUETAS'!$O:$O,'[1]LISTA ETIQUETAS'!D:D,"",0)</f>
        <v>0</v>
      </c>
      <c r="Q566" s="2">
        <f>_xlfn.XLOOKUP($A566,'[1]LISTA ETIQUETAS'!$O:$O,'[1]LISTA ETIQUETAS'!E:E,"",0)</f>
        <v>0</v>
      </c>
      <c r="R566" s="2">
        <f>_xlfn.XLOOKUP($A566,'[1]LISTA ETIQUETAS'!$O:$O,'[1]LISTA ETIQUETAS'!F:F,"",0)</f>
        <v>0</v>
      </c>
      <c r="S566" s="2">
        <f>_xlfn.XLOOKUP($A566,'[1]LISTA ETIQUETAS'!$O:$O,'[1]LISTA ETIQUETAS'!H:H,"",0)</f>
        <v>2</v>
      </c>
      <c r="T566" s="9">
        <f t="shared" si="26"/>
        <v>2</v>
      </c>
    </row>
    <row r="567" spans="1:20" x14ac:dyDescent="0.25">
      <c r="A567" s="5">
        <v>123063</v>
      </c>
      <c r="B567" t="str">
        <f>IFERROR((VLOOKUP(A567,'[1]LISTA ETIQUETAS'!O:X,3,0)),"PRODUTO SEM ESTOQUE")</f>
        <v>EST ESTANTE BASIC (NOGUEIRA/LACA BRANCA) (COMPLETA)</v>
      </c>
      <c r="C567" s="10" t="s">
        <v>49</v>
      </c>
      <c r="D567" s="10" t="s">
        <v>359</v>
      </c>
      <c r="E567" s="11">
        <f>IF(VLOOKUP(A567,'[1]LISTA ETIQUETAS'!O:W,4,0)="",(VLOOKUP(A567,'[1]LISTA ETIQUETAS'!O:W,6,0)),(VLOOKUP(A567,'[1]LISTA ETIQUETAS'!O:W,4,0)))</f>
        <v>3.04</v>
      </c>
      <c r="F567" s="11">
        <f>IF(VLOOKUP(A567,'[1]LISTA ETIQUETAS'!O:W,5,0)="",(VLOOKUP(A567,'[1]LISTA ETIQUETAS'!O:W,7,0)),(VLOOKUP(A567,'[1]LISTA ETIQUETAS'!O:W,5,0)))</f>
        <v>2</v>
      </c>
      <c r="G567" s="11">
        <f>IFERROR((VLOOKUP(A567,'[1]LISTA ETIQUETAS'!O:X,8,0)),"")</f>
        <v>0</v>
      </c>
      <c r="H567" s="11">
        <f>IFERROR((VLOOKUP(A567,'[1]LISTA ETIQUETAS'!O:X,9,0)),"")</f>
        <v>0</v>
      </c>
      <c r="I567" s="12">
        <f>IFERROR((VLOOKUP(A567,'[1]LISTA ETIQUETAS'!O:Y,11,0)),"")</f>
        <v>27825.279999999999</v>
      </c>
      <c r="J567" s="6">
        <v>0</v>
      </c>
      <c r="K567" s="12">
        <f t="shared" si="24"/>
        <v>27825.279999999999</v>
      </c>
      <c r="L567" s="7" t="str">
        <f>IF(VLOOKUP(A567,'[1]LISTA ETIQUETAS'!O:AB,14,0)="","",(VLOOKUP(A567,'[1]LISTA ETIQUETAS'!O:AB,14,0)))</f>
        <v/>
      </c>
      <c r="M567" s="8"/>
      <c r="N567" s="9">
        <f t="shared" si="25"/>
        <v>123063</v>
      </c>
      <c r="O567" s="2">
        <f>_xlfn.XLOOKUP($A567,'[1]LISTA ETIQUETAS'!$O:$O,'[1]LISTA ETIQUETAS'!C:C,"",0)</f>
        <v>0</v>
      </c>
      <c r="P567" s="2">
        <f>_xlfn.XLOOKUP($A567,'[1]LISTA ETIQUETAS'!$O:$O,'[1]LISTA ETIQUETAS'!D:D,"",0)</f>
        <v>0</v>
      </c>
      <c r="Q567" s="2">
        <f>_xlfn.XLOOKUP($A567,'[1]LISTA ETIQUETAS'!$O:$O,'[1]LISTA ETIQUETAS'!E:E,"",0)</f>
        <v>0</v>
      </c>
      <c r="R567" s="2">
        <f>_xlfn.XLOOKUP($A567,'[1]LISTA ETIQUETAS'!$O:$O,'[1]LISTA ETIQUETAS'!F:F,"",0)</f>
        <v>0</v>
      </c>
      <c r="S567" s="2">
        <f>_xlfn.XLOOKUP($A567,'[1]LISTA ETIQUETAS'!$O:$O,'[1]LISTA ETIQUETAS'!H:H,"",0)</f>
        <v>1</v>
      </c>
      <c r="T567" s="9">
        <f t="shared" si="26"/>
        <v>1</v>
      </c>
    </row>
    <row r="568" spans="1:20" x14ac:dyDescent="0.25">
      <c r="A568" s="5">
        <v>142050</v>
      </c>
      <c r="B568" t="str">
        <f>IFERROR((VLOOKUP(A568,'[1]LISTA ETIQUETAS'!O:X,3,0)),"PRODUTO SEM ESTOQUE")</f>
        <v>EST ESTANTE VENEZIA (LACA FOSCA PRETA)</v>
      </c>
      <c r="C568" s="10" t="s">
        <v>49</v>
      </c>
      <c r="D568" s="10" t="s">
        <v>358</v>
      </c>
      <c r="E568" s="11">
        <f>IF(VLOOKUP(A568,'[1]LISTA ETIQUETAS'!O:W,4,0)="",(VLOOKUP(A568,'[1]LISTA ETIQUETAS'!O:W,6,0)),(VLOOKUP(A568,'[1]LISTA ETIQUETAS'!O:W,4,0)))</f>
        <v>0.35</v>
      </c>
      <c r="F568" s="11">
        <f>IF(VLOOKUP(A568,'[1]LISTA ETIQUETAS'!O:W,5,0)="",(VLOOKUP(A568,'[1]LISTA ETIQUETAS'!O:W,7,0)),(VLOOKUP(A568,'[1]LISTA ETIQUETAS'!O:W,5,0)))</f>
        <v>0.35</v>
      </c>
      <c r="G568" s="11">
        <f>IFERROR((VLOOKUP(A568,'[1]LISTA ETIQUETAS'!O:X,8,0)),"")</f>
        <v>0.52</v>
      </c>
      <c r="H568" s="11">
        <f>IFERROR((VLOOKUP(A568,'[1]LISTA ETIQUETAS'!O:X,9,0)),"")</f>
        <v>0</v>
      </c>
      <c r="I568" s="12">
        <f>IFERROR((VLOOKUP(A568,'[1]LISTA ETIQUETAS'!O:Y,11,0)),"")</f>
        <v>0</v>
      </c>
      <c r="J568" s="6">
        <v>0</v>
      </c>
      <c r="K568" s="12">
        <f t="shared" si="24"/>
        <v>0</v>
      </c>
      <c r="L568" s="7" t="str">
        <f>IF(VLOOKUP(A568,'[1]LISTA ETIQUETAS'!O:AB,14,0)="","",(VLOOKUP(A568,'[1]LISTA ETIQUETAS'!O:AB,14,0)))</f>
        <v/>
      </c>
      <c r="M568" s="8"/>
      <c r="N568" s="9">
        <f t="shared" si="25"/>
        <v>142050</v>
      </c>
      <c r="O568" s="2">
        <f>_xlfn.XLOOKUP($A568,'[1]LISTA ETIQUETAS'!$O:$O,'[1]LISTA ETIQUETAS'!C:C,"",0)</f>
        <v>0</v>
      </c>
      <c r="P568" s="2">
        <f>_xlfn.XLOOKUP($A568,'[1]LISTA ETIQUETAS'!$O:$O,'[1]LISTA ETIQUETAS'!D:D,"",0)</f>
        <v>0</v>
      </c>
      <c r="Q568" s="2">
        <f>_xlfn.XLOOKUP($A568,'[1]LISTA ETIQUETAS'!$O:$O,'[1]LISTA ETIQUETAS'!E:E,"",0)</f>
        <v>0</v>
      </c>
      <c r="R568" s="2">
        <f>_xlfn.XLOOKUP($A568,'[1]LISTA ETIQUETAS'!$O:$O,'[1]LISTA ETIQUETAS'!F:F,"",0)</f>
        <v>0</v>
      </c>
      <c r="S568" s="2">
        <f>_xlfn.XLOOKUP($A568,'[1]LISTA ETIQUETAS'!$O:$O,'[1]LISTA ETIQUETAS'!H:H,"",0)</f>
        <v>1</v>
      </c>
      <c r="T568" s="9">
        <f t="shared" si="26"/>
        <v>1</v>
      </c>
    </row>
    <row r="569" spans="1:20" x14ac:dyDescent="0.25">
      <c r="A569" s="5">
        <v>110724</v>
      </c>
      <c r="B569" t="str">
        <f>IFERROR((VLOOKUP(A569,'[1]LISTA ETIQUETAS'!O:X,3,0)),"PRODUTO SEM ESTOQUE")</f>
        <v>EST COMPONENTE PRATELEIRA CODE (C/ESPELHO) (NOGUEIRA)</v>
      </c>
      <c r="C569" s="10" t="s">
        <v>49</v>
      </c>
      <c r="D569" s="10" t="s">
        <v>360</v>
      </c>
      <c r="E569" s="11">
        <f>IF(VLOOKUP(A569,'[1]LISTA ETIQUETAS'!O:W,4,0)="",(VLOOKUP(A569,'[1]LISTA ETIQUETAS'!O:W,6,0)),(VLOOKUP(A569,'[1]LISTA ETIQUETAS'!O:W,4,0)))</f>
        <v>1.5</v>
      </c>
      <c r="F569" s="11">
        <f>IF(VLOOKUP(A569,'[1]LISTA ETIQUETAS'!O:W,5,0)="",(VLOOKUP(A569,'[1]LISTA ETIQUETAS'!O:W,7,0)),(VLOOKUP(A569,'[1]LISTA ETIQUETAS'!O:W,5,0)))</f>
        <v>0.3</v>
      </c>
      <c r="G569" s="11">
        <f>IFERROR((VLOOKUP(A569,'[1]LISTA ETIQUETAS'!O:X,8,0)),"")</f>
        <v>0.3</v>
      </c>
      <c r="H569" s="11">
        <f>IFERROR((VLOOKUP(A569,'[1]LISTA ETIQUETAS'!O:X,9,0)),"")</f>
        <v>0</v>
      </c>
      <c r="I569" s="12" t="str">
        <f>IFERROR((VLOOKUP(A569,'[1]LISTA ETIQUETAS'!O:Y,11,0)),"")</f>
        <v/>
      </c>
      <c r="J569" s="6">
        <v>0</v>
      </c>
      <c r="K569" s="12" t="str">
        <f t="shared" si="24"/>
        <v/>
      </c>
      <c r="L569" s="7" t="str">
        <f>IF(VLOOKUP(A569,'[1]LISTA ETIQUETAS'!O:AB,14,0)="","",(VLOOKUP(A569,'[1]LISTA ETIQUETAS'!O:AB,14,0)))</f>
        <v/>
      </c>
      <c r="M569" s="8"/>
      <c r="N569" s="9">
        <f t="shared" si="25"/>
        <v>110724</v>
      </c>
      <c r="O569" s="2">
        <f>_xlfn.XLOOKUP($A569,'[1]LISTA ETIQUETAS'!$O:$O,'[1]LISTA ETIQUETAS'!C:C,"",0)</f>
        <v>0</v>
      </c>
      <c r="P569" s="2">
        <f>_xlfn.XLOOKUP($A569,'[1]LISTA ETIQUETAS'!$O:$O,'[1]LISTA ETIQUETAS'!D:D,"",0)</f>
        <v>0</v>
      </c>
      <c r="Q569" s="2">
        <f>_xlfn.XLOOKUP($A569,'[1]LISTA ETIQUETAS'!$O:$O,'[1]LISTA ETIQUETAS'!E:E,"",0)</f>
        <v>0</v>
      </c>
      <c r="R569" s="2">
        <f>_xlfn.XLOOKUP($A569,'[1]LISTA ETIQUETAS'!$O:$O,'[1]LISTA ETIQUETAS'!F:F,"",0)</f>
        <v>0</v>
      </c>
      <c r="S569" s="2">
        <f>_xlfn.XLOOKUP($A569,'[1]LISTA ETIQUETAS'!$O:$O,'[1]LISTA ETIQUETAS'!H:H,"",0)</f>
        <v>1</v>
      </c>
      <c r="T569" s="9">
        <f t="shared" si="26"/>
        <v>1</v>
      </c>
    </row>
    <row r="570" spans="1:20" x14ac:dyDescent="0.25">
      <c r="A570" s="5">
        <v>210141</v>
      </c>
      <c r="B570" t="str">
        <f>IFERROR((VLOOKUP(A570,'[1]LISTA ETIQUETAS'!O:X,3,0)),"PRODUTO SEM ESTOQUE")</f>
        <v>EST ESTANTE CODE ESPECIAL COMPLETA (CARVALHO PINHO RIGA)</v>
      </c>
      <c r="C570" s="10" t="s">
        <v>49</v>
      </c>
      <c r="D570" s="10" t="s">
        <v>361</v>
      </c>
      <c r="E570" s="11">
        <f>IF(VLOOKUP(A570,'[1]LISTA ETIQUETAS'!O:W,4,0)="",(VLOOKUP(A570,'[1]LISTA ETIQUETAS'!O:W,6,0)),(VLOOKUP(A570,'[1]LISTA ETIQUETAS'!O:W,4,0)))</f>
        <v>5.6</v>
      </c>
      <c r="F570" s="11">
        <f>IF(VLOOKUP(A570,'[1]LISTA ETIQUETAS'!O:W,5,0)="",(VLOOKUP(A570,'[1]LISTA ETIQUETAS'!O:W,7,0)),(VLOOKUP(A570,'[1]LISTA ETIQUETAS'!O:W,5,0)))</f>
        <v>0.35</v>
      </c>
      <c r="G570" s="11">
        <f>IFERROR((VLOOKUP(A570,'[1]LISTA ETIQUETAS'!O:X,8,0)),"")</f>
        <v>2.4</v>
      </c>
      <c r="H570" s="11">
        <f>IFERROR((VLOOKUP(A570,'[1]LISTA ETIQUETAS'!O:X,9,0)),"")</f>
        <v>0</v>
      </c>
      <c r="I570" s="12" t="str">
        <f>IFERROR((VLOOKUP(A570,'[1]LISTA ETIQUETAS'!O:Y,11,0)),"")</f>
        <v/>
      </c>
      <c r="J570" s="6">
        <v>0</v>
      </c>
      <c r="K570" s="12" t="str">
        <f t="shared" si="24"/>
        <v/>
      </c>
      <c r="L570" s="7" t="str">
        <f>IF(VLOOKUP(A570,'[1]LISTA ETIQUETAS'!O:AB,14,0)="","",(VLOOKUP(A570,'[1]LISTA ETIQUETAS'!O:AB,14,0)))</f>
        <v/>
      </c>
      <c r="M570" s="8"/>
      <c r="N570" s="9">
        <f t="shared" si="25"/>
        <v>210141</v>
      </c>
      <c r="O570" s="2">
        <f>_xlfn.XLOOKUP($A570,'[1]LISTA ETIQUETAS'!$O:$O,'[1]LISTA ETIQUETAS'!C:C,"",0)</f>
        <v>0</v>
      </c>
      <c r="P570" s="2">
        <f>_xlfn.XLOOKUP($A570,'[1]LISTA ETIQUETAS'!$O:$O,'[1]LISTA ETIQUETAS'!D:D,"",0)</f>
        <v>0</v>
      </c>
      <c r="Q570" s="2">
        <f>_xlfn.XLOOKUP($A570,'[1]LISTA ETIQUETAS'!$O:$O,'[1]LISTA ETIQUETAS'!E:E,"",0)</f>
        <v>0</v>
      </c>
      <c r="R570" s="2">
        <f>_xlfn.XLOOKUP($A570,'[1]LISTA ETIQUETAS'!$O:$O,'[1]LISTA ETIQUETAS'!F:F,"",0)</f>
        <v>0</v>
      </c>
      <c r="S570" s="2">
        <f>_xlfn.XLOOKUP($A570,'[1]LISTA ETIQUETAS'!$O:$O,'[1]LISTA ETIQUETAS'!H:H,"",0)</f>
        <v>1</v>
      </c>
      <c r="T570" s="9">
        <f t="shared" si="26"/>
        <v>1</v>
      </c>
    </row>
    <row r="571" spans="1:20" x14ac:dyDescent="0.25">
      <c r="A571" s="5">
        <v>235963</v>
      </c>
      <c r="B571" t="str">
        <f>IFERROR((VLOOKUP(A571,'[1]LISTA ETIQUETAS'!O:X,3,0)),"PRODUTO SEM ESTOQUE")</f>
        <v>EST CRISTALEIRA TIME (PRATELEIRA VIDRO) (HASTE PRETA)</v>
      </c>
      <c r="C571" s="10" t="s">
        <v>49</v>
      </c>
      <c r="D571" s="10" t="s">
        <v>362</v>
      </c>
      <c r="E571" s="11">
        <f>IF(VLOOKUP(A571,'[1]LISTA ETIQUETAS'!O:W,4,0)="",(VLOOKUP(A571,'[1]LISTA ETIQUETAS'!O:W,6,0)),(VLOOKUP(A571,'[1]LISTA ETIQUETAS'!O:W,4,0)))</f>
        <v>1.2</v>
      </c>
      <c r="F571" s="11">
        <f>IF(VLOOKUP(A571,'[1]LISTA ETIQUETAS'!O:W,5,0)="",(VLOOKUP(A571,'[1]LISTA ETIQUETAS'!O:W,7,0)),(VLOOKUP(A571,'[1]LISTA ETIQUETAS'!O:W,5,0)))</f>
        <v>0.45</v>
      </c>
      <c r="G571" s="11">
        <f>IFERROR((VLOOKUP(A571,'[1]LISTA ETIQUETAS'!O:X,8,0)),"")</f>
        <v>1.7</v>
      </c>
      <c r="H571" s="11">
        <f>IFERROR((VLOOKUP(A571,'[1]LISTA ETIQUETAS'!O:X,9,0)),"")</f>
        <v>0</v>
      </c>
      <c r="I571" s="12" t="str">
        <f>IFERROR((VLOOKUP(A571,'[1]LISTA ETIQUETAS'!O:Y,11,0)),"")</f>
        <v/>
      </c>
      <c r="J571" s="6">
        <v>0</v>
      </c>
      <c r="K571" s="12" t="str">
        <f t="shared" si="24"/>
        <v/>
      </c>
      <c r="L571" s="7" t="str">
        <f>IF(VLOOKUP(A571,'[1]LISTA ETIQUETAS'!O:AB,14,0)="","",(VLOOKUP(A571,'[1]LISTA ETIQUETAS'!O:AB,14,0)))</f>
        <v/>
      </c>
      <c r="M571" s="8"/>
      <c r="N571" s="9">
        <f t="shared" si="25"/>
        <v>235963</v>
      </c>
      <c r="O571" s="2">
        <f>_xlfn.XLOOKUP($A571,'[1]LISTA ETIQUETAS'!$O:$O,'[1]LISTA ETIQUETAS'!C:C,"",0)</f>
        <v>0</v>
      </c>
      <c r="P571" s="2">
        <f>_xlfn.XLOOKUP($A571,'[1]LISTA ETIQUETAS'!$O:$O,'[1]LISTA ETIQUETAS'!D:D,"",0)</f>
        <v>0</v>
      </c>
      <c r="Q571" s="2">
        <f>_xlfn.XLOOKUP($A571,'[1]LISTA ETIQUETAS'!$O:$O,'[1]LISTA ETIQUETAS'!E:E,"",0)</f>
        <v>0</v>
      </c>
      <c r="R571" s="2">
        <f>_xlfn.XLOOKUP($A571,'[1]LISTA ETIQUETAS'!$O:$O,'[1]LISTA ETIQUETAS'!F:F,"",0)</f>
        <v>0</v>
      </c>
      <c r="S571" s="2">
        <f>_xlfn.XLOOKUP($A571,'[1]LISTA ETIQUETAS'!$O:$O,'[1]LISTA ETIQUETAS'!H:H,"",0)</f>
        <v>1</v>
      </c>
      <c r="T571" s="9">
        <f t="shared" si="26"/>
        <v>1</v>
      </c>
    </row>
    <row r="572" spans="1:20" x14ac:dyDescent="0.25">
      <c r="A572" s="5">
        <v>231408</v>
      </c>
      <c r="B572" t="str">
        <f>IFERROR((VLOOKUP(A572,'[1]LISTA ETIQUETAS'!O:X,3,0)),"PRODUTO SEM ESTOQUE")</f>
        <v>EST COMPONENTE HASTE ESTANTE ICON (EPOXI PRETO FOSCO)</v>
      </c>
      <c r="C572" s="10" t="s">
        <v>49</v>
      </c>
      <c r="D572" s="10" t="s">
        <v>363</v>
      </c>
      <c r="E572" s="11">
        <f>IF(VLOOKUP(A572,'[1]LISTA ETIQUETAS'!O:W,4,0)="",(VLOOKUP(A572,'[1]LISTA ETIQUETAS'!O:W,6,0)),(VLOOKUP(A572,'[1]LISTA ETIQUETAS'!O:W,4,0)))</f>
        <v>0</v>
      </c>
      <c r="F572" s="11">
        <f>IF(VLOOKUP(A572,'[1]LISTA ETIQUETAS'!O:W,5,0)="",(VLOOKUP(A572,'[1]LISTA ETIQUETAS'!O:W,7,0)),(VLOOKUP(A572,'[1]LISTA ETIQUETAS'!O:W,5,0)))</f>
        <v>0</v>
      </c>
      <c r="G572" s="11">
        <f>IFERROR((VLOOKUP(A572,'[1]LISTA ETIQUETAS'!O:X,8,0)),"")</f>
        <v>2.5</v>
      </c>
      <c r="H572" s="11">
        <f>IFERROR((VLOOKUP(A572,'[1]LISTA ETIQUETAS'!O:X,9,0)),"")</f>
        <v>0</v>
      </c>
      <c r="I572" s="12" t="str">
        <f>IFERROR((VLOOKUP(A572,'[1]LISTA ETIQUETAS'!O:Y,11,0)),"")</f>
        <v/>
      </c>
      <c r="J572" s="6">
        <v>0</v>
      </c>
      <c r="K572" s="12" t="str">
        <f t="shared" si="24"/>
        <v/>
      </c>
      <c r="L572" s="7" t="str">
        <f>IF(VLOOKUP(A572,'[1]LISTA ETIQUETAS'!O:AB,14,0)="","",(VLOOKUP(A572,'[1]LISTA ETIQUETAS'!O:AB,14,0)))</f>
        <v/>
      </c>
      <c r="M572" s="8"/>
      <c r="N572" s="9">
        <f t="shared" si="25"/>
        <v>231408</v>
      </c>
      <c r="O572" s="2">
        <f>_xlfn.XLOOKUP($A572,'[1]LISTA ETIQUETAS'!$O:$O,'[1]LISTA ETIQUETAS'!C:C,"",0)</f>
        <v>0</v>
      </c>
      <c r="P572" s="2">
        <f>_xlfn.XLOOKUP($A572,'[1]LISTA ETIQUETAS'!$O:$O,'[1]LISTA ETIQUETAS'!D:D,"",0)</f>
        <v>0</v>
      </c>
      <c r="Q572" s="2">
        <f>_xlfn.XLOOKUP($A572,'[1]LISTA ETIQUETAS'!$O:$O,'[1]LISTA ETIQUETAS'!E:E,"",0)</f>
        <v>0</v>
      </c>
      <c r="R572" s="2">
        <f>_xlfn.XLOOKUP($A572,'[1]LISTA ETIQUETAS'!$O:$O,'[1]LISTA ETIQUETAS'!F:F,"",0)</f>
        <v>0</v>
      </c>
      <c r="S572" s="2">
        <f>_xlfn.XLOOKUP($A572,'[1]LISTA ETIQUETAS'!$O:$O,'[1]LISTA ETIQUETAS'!H:H,"",0)</f>
        <v>3</v>
      </c>
      <c r="T572" s="9">
        <f t="shared" si="26"/>
        <v>3</v>
      </c>
    </row>
    <row r="573" spans="1:20" x14ac:dyDescent="0.25">
      <c r="A573" s="5">
        <v>231407</v>
      </c>
      <c r="B573" t="str">
        <f>IFERROR((VLOOKUP(A573,'[1]LISTA ETIQUETAS'!O:X,3,0)),"PRODUTO SEM ESTOQUE")</f>
        <v>EST COMPONENTE PRATELEIRA ESTANTE ICON (EPOXI PRETO FOSCO)</v>
      </c>
      <c r="C573" s="10" t="s">
        <v>49</v>
      </c>
      <c r="D573" s="10" t="s">
        <v>364</v>
      </c>
      <c r="E573" s="11">
        <f>IF(VLOOKUP(A573,'[1]LISTA ETIQUETAS'!O:W,4,0)="",(VLOOKUP(A573,'[1]LISTA ETIQUETAS'!O:W,6,0)),(VLOOKUP(A573,'[1]LISTA ETIQUETAS'!O:W,4,0)))</f>
        <v>0.7</v>
      </c>
      <c r="F573" s="11">
        <f>IF(VLOOKUP(A573,'[1]LISTA ETIQUETAS'!O:W,5,0)="",(VLOOKUP(A573,'[1]LISTA ETIQUETAS'!O:W,7,0)),(VLOOKUP(A573,'[1]LISTA ETIQUETAS'!O:W,5,0)))</f>
        <v>0.35</v>
      </c>
      <c r="G573" s="11">
        <f>IFERROR((VLOOKUP(A573,'[1]LISTA ETIQUETAS'!O:X,8,0)),"")</f>
        <v>0</v>
      </c>
      <c r="H573" s="11">
        <f>IFERROR((VLOOKUP(A573,'[1]LISTA ETIQUETAS'!O:X,9,0)),"")</f>
        <v>0</v>
      </c>
      <c r="I573" s="12" t="str">
        <f>IFERROR((VLOOKUP(A573,'[1]LISTA ETIQUETAS'!O:Y,11,0)),"")</f>
        <v/>
      </c>
      <c r="J573" s="6">
        <v>0</v>
      </c>
      <c r="K573" s="12" t="str">
        <f t="shared" si="24"/>
        <v/>
      </c>
      <c r="L573" s="7" t="str">
        <f>IF(VLOOKUP(A573,'[1]LISTA ETIQUETAS'!O:AB,14,0)="","",(VLOOKUP(A573,'[1]LISTA ETIQUETAS'!O:AB,14,0)))</f>
        <v/>
      </c>
      <c r="M573" s="8"/>
      <c r="N573" s="9">
        <f t="shared" si="25"/>
        <v>231407</v>
      </c>
      <c r="O573" s="2">
        <f>_xlfn.XLOOKUP($A573,'[1]LISTA ETIQUETAS'!$O:$O,'[1]LISTA ETIQUETAS'!C:C,"",0)</f>
        <v>0</v>
      </c>
      <c r="P573" s="2">
        <f>_xlfn.XLOOKUP($A573,'[1]LISTA ETIQUETAS'!$O:$O,'[1]LISTA ETIQUETAS'!D:D,"",0)</f>
        <v>0</v>
      </c>
      <c r="Q573" s="2">
        <f>_xlfn.XLOOKUP($A573,'[1]LISTA ETIQUETAS'!$O:$O,'[1]LISTA ETIQUETAS'!E:E,"",0)</f>
        <v>0</v>
      </c>
      <c r="R573" s="2">
        <f>_xlfn.XLOOKUP($A573,'[1]LISTA ETIQUETAS'!$O:$O,'[1]LISTA ETIQUETAS'!F:F,"",0)</f>
        <v>0</v>
      </c>
      <c r="S573" s="2">
        <f>_xlfn.XLOOKUP($A573,'[1]LISTA ETIQUETAS'!$O:$O,'[1]LISTA ETIQUETAS'!H:H,"",0)</f>
        <v>10</v>
      </c>
      <c r="T573" s="9">
        <f t="shared" si="26"/>
        <v>10</v>
      </c>
    </row>
    <row r="574" spans="1:20" x14ac:dyDescent="0.25">
      <c r="A574" s="5">
        <v>222848</v>
      </c>
      <c r="B574" t="str">
        <f>IFERROR((VLOOKUP(A574,'[1]LISTA ETIQUETAS'!O:X,3,0)),"PRODUTO SEM ESTOQUE")</f>
        <v>EST COMPONENTE PRATELEIRA ESTANTE ICON (CARVALHO NATURAL)</v>
      </c>
      <c r="C574" s="10" t="s">
        <v>49</v>
      </c>
      <c r="D574" s="10" t="s">
        <v>364</v>
      </c>
      <c r="E574" s="11">
        <f>IF(VLOOKUP(A574,'[1]LISTA ETIQUETAS'!O:W,4,0)="",(VLOOKUP(A574,'[1]LISTA ETIQUETAS'!O:W,6,0)),(VLOOKUP(A574,'[1]LISTA ETIQUETAS'!O:W,4,0)))</f>
        <v>0.9</v>
      </c>
      <c r="F574" s="11">
        <f>IF(VLOOKUP(A574,'[1]LISTA ETIQUETAS'!O:W,5,0)="",(VLOOKUP(A574,'[1]LISTA ETIQUETAS'!O:W,7,0)),(VLOOKUP(A574,'[1]LISTA ETIQUETAS'!O:W,5,0)))</f>
        <v>0.35</v>
      </c>
      <c r="G574" s="11">
        <f>IFERROR((VLOOKUP(A574,'[1]LISTA ETIQUETAS'!O:X,8,0)),"")</f>
        <v>0</v>
      </c>
      <c r="H574" s="11">
        <f>IFERROR((VLOOKUP(A574,'[1]LISTA ETIQUETAS'!O:X,9,0)),"")</f>
        <v>0</v>
      </c>
      <c r="I574" s="12" t="str">
        <f>IFERROR((VLOOKUP(A574,'[1]LISTA ETIQUETAS'!O:Y,11,0)),"")</f>
        <v/>
      </c>
      <c r="J574" s="6">
        <v>0</v>
      </c>
      <c r="K574" s="12" t="str">
        <f t="shared" si="24"/>
        <v/>
      </c>
      <c r="L574" s="7" t="str">
        <f>IF(VLOOKUP(A574,'[1]LISTA ETIQUETAS'!O:AB,14,0)="","",(VLOOKUP(A574,'[1]LISTA ETIQUETAS'!O:AB,14,0)))</f>
        <v/>
      </c>
      <c r="M574" s="8"/>
      <c r="N574" s="9">
        <f t="shared" si="25"/>
        <v>222848</v>
      </c>
      <c r="O574" s="2">
        <f>_xlfn.XLOOKUP($A574,'[1]LISTA ETIQUETAS'!$O:$O,'[1]LISTA ETIQUETAS'!C:C,"",0)</f>
        <v>0</v>
      </c>
      <c r="P574" s="2">
        <f>_xlfn.XLOOKUP($A574,'[1]LISTA ETIQUETAS'!$O:$O,'[1]LISTA ETIQUETAS'!D:D,"",0)</f>
        <v>0</v>
      </c>
      <c r="Q574" s="2">
        <f>_xlfn.XLOOKUP($A574,'[1]LISTA ETIQUETAS'!$O:$O,'[1]LISTA ETIQUETAS'!E:E,"",0)</f>
        <v>0</v>
      </c>
      <c r="R574" s="2">
        <f>_xlfn.XLOOKUP($A574,'[1]LISTA ETIQUETAS'!$O:$O,'[1]LISTA ETIQUETAS'!F:F,"",0)</f>
        <v>0</v>
      </c>
      <c r="S574" s="2">
        <f>_xlfn.XLOOKUP($A574,'[1]LISTA ETIQUETAS'!$O:$O,'[1]LISTA ETIQUETAS'!H:H,"",0)</f>
        <v>6</v>
      </c>
      <c r="T574" s="9">
        <f t="shared" si="26"/>
        <v>6</v>
      </c>
    </row>
    <row r="575" spans="1:20" x14ac:dyDescent="0.25">
      <c r="A575" s="5">
        <v>222847</v>
      </c>
      <c r="B575" t="str">
        <f>IFERROR((VLOOKUP(A575,'[1]LISTA ETIQUETAS'!O:X,3,0)),"PRODUTO SEM ESTOQUE")</f>
        <v>EST COMPONENTE PRATELEIRA ESTANTE ICON (CARVALHO NATURAL)</v>
      </c>
      <c r="C575" s="10" t="s">
        <v>49</v>
      </c>
      <c r="D575" s="10" t="s">
        <v>364</v>
      </c>
      <c r="E575" s="11">
        <f>IF(VLOOKUP(A575,'[1]LISTA ETIQUETAS'!O:W,4,0)="",(VLOOKUP(A575,'[1]LISTA ETIQUETAS'!O:W,6,0)),(VLOOKUP(A575,'[1]LISTA ETIQUETAS'!O:W,4,0)))</f>
        <v>1.2</v>
      </c>
      <c r="F575" s="11">
        <f>IF(VLOOKUP(A575,'[1]LISTA ETIQUETAS'!O:W,5,0)="",(VLOOKUP(A575,'[1]LISTA ETIQUETAS'!O:W,7,0)),(VLOOKUP(A575,'[1]LISTA ETIQUETAS'!O:W,5,0)))</f>
        <v>0.35</v>
      </c>
      <c r="G575" s="11">
        <f>IFERROR((VLOOKUP(A575,'[1]LISTA ETIQUETAS'!O:X,8,0)),"")</f>
        <v>0</v>
      </c>
      <c r="H575" s="11">
        <f>IFERROR((VLOOKUP(A575,'[1]LISTA ETIQUETAS'!O:X,9,0)),"")</f>
        <v>0</v>
      </c>
      <c r="I575" s="12" t="str">
        <f>IFERROR((VLOOKUP(A575,'[1]LISTA ETIQUETAS'!O:Y,11,0)),"")</f>
        <v/>
      </c>
      <c r="J575" s="6">
        <v>0</v>
      </c>
      <c r="K575" s="12" t="str">
        <f t="shared" si="24"/>
        <v/>
      </c>
      <c r="L575" s="7" t="str">
        <f>IF(VLOOKUP(A575,'[1]LISTA ETIQUETAS'!O:AB,14,0)="","",(VLOOKUP(A575,'[1]LISTA ETIQUETAS'!O:AB,14,0)))</f>
        <v/>
      </c>
      <c r="M575" s="8"/>
      <c r="N575" s="9">
        <f t="shared" si="25"/>
        <v>222847</v>
      </c>
      <c r="O575" s="2">
        <f>_xlfn.XLOOKUP($A575,'[1]LISTA ETIQUETAS'!$O:$O,'[1]LISTA ETIQUETAS'!C:C,"",0)</f>
        <v>0</v>
      </c>
      <c r="P575" s="2">
        <f>_xlfn.XLOOKUP($A575,'[1]LISTA ETIQUETAS'!$O:$O,'[1]LISTA ETIQUETAS'!D:D,"",0)</f>
        <v>0</v>
      </c>
      <c r="Q575" s="2">
        <f>_xlfn.XLOOKUP($A575,'[1]LISTA ETIQUETAS'!$O:$O,'[1]LISTA ETIQUETAS'!E:E,"",0)</f>
        <v>0</v>
      </c>
      <c r="R575" s="2">
        <f>_xlfn.XLOOKUP($A575,'[1]LISTA ETIQUETAS'!$O:$O,'[1]LISTA ETIQUETAS'!F:F,"",0)</f>
        <v>0</v>
      </c>
      <c r="S575" s="2">
        <f>_xlfn.XLOOKUP($A575,'[1]LISTA ETIQUETAS'!$O:$O,'[1]LISTA ETIQUETAS'!H:H,"",0)</f>
        <v>8</v>
      </c>
      <c r="T575" s="9">
        <f t="shared" si="26"/>
        <v>8</v>
      </c>
    </row>
    <row r="576" spans="1:20" x14ac:dyDescent="0.25">
      <c r="A576" s="5">
        <v>222842</v>
      </c>
      <c r="B576" t="str">
        <f>IFERROR((VLOOKUP(A576,'[1]LISTA ETIQUETAS'!O:X,3,0)),"PRODUTO SEM ESTOQUE")</f>
        <v>EST COMPONENTE HASTE ESTANTE ICON (CARVALHO NATURAL)</v>
      </c>
      <c r="C576" s="10" t="s">
        <v>49</v>
      </c>
      <c r="D576" s="10" t="s">
        <v>363</v>
      </c>
      <c r="E576" s="11">
        <f>IF(VLOOKUP(A576,'[1]LISTA ETIQUETAS'!O:W,4,0)="",(VLOOKUP(A576,'[1]LISTA ETIQUETAS'!O:W,6,0)),(VLOOKUP(A576,'[1]LISTA ETIQUETAS'!O:W,4,0)))</f>
        <v>0</v>
      </c>
      <c r="F576" s="11">
        <f>IF(VLOOKUP(A576,'[1]LISTA ETIQUETAS'!O:W,5,0)="",(VLOOKUP(A576,'[1]LISTA ETIQUETAS'!O:W,7,0)),(VLOOKUP(A576,'[1]LISTA ETIQUETAS'!O:W,5,0)))</f>
        <v>0</v>
      </c>
      <c r="G576" s="11">
        <f>IFERROR((VLOOKUP(A576,'[1]LISTA ETIQUETAS'!O:X,8,0)),"")</f>
        <v>2.75</v>
      </c>
      <c r="H576" s="11">
        <f>IFERROR((VLOOKUP(A576,'[1]LISTA ETIQUETAS'!O:X,9,0)),"")</f>
        <v>0</v>
      </c>
      <c r="I576" s="12" t="str">
        <f>IFERROR((VLOOKUP(A576,'[1]LISTA ETIQUETAS'!O:Y,11,0)),"")</f>
        <v/>
      </c>
      <c r="J576" s="6">
        <v>0</v>
      </c>
      <c r="K576" s="12" t="str">
        <f t="shared" si="24"/>
        <v/>
      </c>
      <c r="L576" s="7" t="str">
        <f>IF(VLOOKUP(A576,'[1]LISTA ETIQUETAS'!O:AB,14,0)="","",(VLOOKUP(A576,'[1]LISTA ETIQUETAS'!O:AB,14,0)))</f>
        <v/>
      </c>
      <c r="M576" s="8"/>
      <c r="N576" s="9">
        <f t="shared" si="25"/>
        <v>222842</v>
      </c>
      <c r="O576" s="2">
        <f>_xlfn.XLOOKUP($A576,'[1]LISTA ETIQUETAS'!$O:$O,'[1]LISTA ETIQUETAS'!C:C,"",0)</f>
        <v>0</v>
      </c>
      <c r="P576" s="2">
        <f>_xlfn.XLOOKUP($A576,'[1]LISTA ETIQUETAS'!$O:$O,'[1]LISTA ETIQUETAS'!D:D,"",0)</f>
        <v>0</v>
      </c>
      <c r="Q576" s="2">
        <f>_xlfn.XLOOKUP($A576,'[1]LISTA ETIQUETAS'!$O:$O,'[1]LISTA ETIQUETAS'!E:E,"",0)</f>
        <v>0</v>
      </c>
      <c r="R576" s="2">
        <f>_xlfn.XLOOKUP($A576,'[1]LISTA ETIQUETAS'!$O:$O,'[1]LISTA ETIQUETAS'!F:F,"",0)</f>
        <v>0</v>
      </c>
      <c r="S576" s="2">
        <f>_xlfn.XLOOKUP($A576,'[1]LISTA ETIQUETAS'!$O:$O,'[1]LISTA ETIQUETAS'!H:H,"",0)</f>
        <v>5</v>
      </c>
      <c r="T576" s="9">
        <f t="shared" si="26"/>
        <v>5</v>
      </c>
    </row>
    <row r="577" spans="1:20" x14ac:dyDescent="0.25">
      <c r="A577" s="5">
        <v>222841</v>
      </c>
      <c r="B577" t="str">
        <f>IFERROR((VLOOKUP(A577,'[1]LISTA ETIQUETAS'!O:X,3,0)),"PRODUTO SEM ESTOQUE")</f>
        <v>EST COMPONENTE HASTE ESTANTE ICON (EPOXI BRANCO FOSCO)</v>
      </c>
      <c r="C577" s="10" t="s">
        <v>49</v>
      </c>
      <c r="D577" s="10" t="s">
        <v>363</v>
      </c>
      <c r="E577" s="11">
        <f>IF(VLOOKUP(A577,'[1]LISTA ETIQUETAS'!O:W,4,0)="",(VLOOKUP(A577,'[1]LISTA ETIQUETAS'!O:W,6,0)),(VLOOKUP(A577,'[1]LISTA ETIQUETAS'!O:W,4,0)))</f>
        <v>0</v>
      </c>
      <c r="F577" s="11">
        <f>IF(VLOOKUP(A577,'[1]LISTA ETIQUETAS'!O:W,5,0)="",(VLOOKUP(A577,'[1]LISTA ETIQUETAS'!O:W,7,0)),(VLOOKUP(A577,'[1]LISTA ETIQUETAS'!O:W,5,0)))</f>
        <v>0</v>
      </c>
      <c r="G577" s="11">
        <f>IFERROR((VLOOKUP(A577,'[1]LISTA ETIQUETAS'!O:X,8,0)),"")</f>
        <v>2.2000000000000002</v>
      </c>
      <c r="H577" s="11">
        <f>IFERROR((VLOOKUP(A577,'[1]LISTA ETIQUETAS'!O:X,9,0)),"")</f>
        <v>0</v>
      </c>
      <c r="I577" s="12" t="str">
        <f>IFERROR((VLOOKUP(A577,'[1]LISTA ETIQUETAS'!O:Y,11,0)),"")</f>
        <v/>
      </c>
      <c r="J577" s="6">
        <v>0</v>
      </c>
      <c r="K577" s="12" t="str">
        <f t="shared" si="24"/>
        <v/>
      </c>
      <c r="L577" s="7" t="str">
        <f>IF(VLOOKUP(A577,'[1]LISTA ETIQUETAS'!O:AB,14,0)="","",(VLOOKUP(A577,'[1]LISTA ETIQUETAS'!O:AB,14,0)))</f>
        <v/>
      </c>
      <c r="M577" s="8"/>
      <c r="N577" s="9">
        <f t="shared" si="25"/>
        <v>222841</v>
      </c>
      <c r="O577" s="2">
        <f>_xlfn.XLOOKUP($A577,'[1]LISTA ETIQUETAS'!$O:$O,'[1]LISTA ETIQUETAS'!C:C,"",0)</f>
        <v>0</v>
      </c>
      <c r="P577" s="2">
        <f>_xlfn.XLOOKUP($A577,'[1]LISTA ETIQUETAS'!$O:$O,'[1]LISTA ETIQUETAS'!D:D,"",0)</f>
        <v>0</v>
      </c>
      <c r="Q577" s="2">
        <f>_xlfn.XLOOKUP($A577,'[1]LISTA ETIQUETAS'!$O:$O,'[1]LISTA ETIQUETAS'!E:E,"",0)</f>
        <v>0</v>
      </c>
      <c r="R577" s="2">
        <f>_xlfn.XLOOKUP($A577,'[1]LISTA ETIQUETAS'!$O:$O,'[1]LISTA ETIQUETAS'!F:F,"",0)</f>
        <v>0</v>
      </c>
      <c r="S577" s="2">
        <f>_xlfn.XLOOKUP($A577,'[1]LISTA ETIQUETAS'!$O:$O,'[1]LISTA ETIQUETAS'!H:H,"",0)</f>
        <v>2</v>
      </c>
      <c r="T577" s="9">
        <f t="shared" si="26"/>
        <v>2</v>
      </c>
    </row>
    <row r="578" spans="1:20" x14ac:dyDescent="0.25">
      <c r="A578" s="5">
        <v>222840</v>
      </c>
      <c r="B578" t="str">
        <f>IFERROR((VLOOKUP(A578,'[1]LISTA ETIQUETAS'!O:X,3,0)),"PRODUTO SEM ESTOQUE")</f>
        <v>EST COMPONENTE PRATELEIRA ESTANTE ICON (EPOXI BRANCO FOSCO)</v>
      </c>
      <c r="C578" s="10" t="s">
        <v>49</v>
      </c>
      <c r="D578" s="10" t="s">
        <v>364</v>
      </c>
      <c r="E578" s="11">
        <f>IF(VLOOKUP(A578,'[1]LISTA ETIQUETAS'!O:W,4,0)="",(VLOOKUP(A578,'[1]LISTA ETIQUETAS'!O:W,6,0)),(VLOOKUP(A578,'[1]LISTA ETIQUETAS'!O:W,4,0)))</f>
        <v>0.5</v>
      </c>
      <c r="F578" s="11">
        <f>IF(VLOOKUP(A578,'[1]LISTA ETIQUETAS'!O:W,5,0)="",(VLOOKUP(A578,'[1]LISTA ETIQUETAS'!O:W,7,0)),(VLOOKUP(A578,'[1]LISTA ETIQUETAS'!O:W,5,0)))</f>
        <v>0.35</v>
      </c>
      <c r="G578" s="11">
        <f>IFERROR((VLOOKUP(A578,'[1]LISTA ETIQUETAS'!O:X,8,0)),"")</f>
        <v>0</v>
      </c>
      <c r="H578" s="11">
        <f>IFERROR((VLOOKUP(A578,'[1]LISTA ETIQUETAS'!O:X,9,0)),"")</f>
        <v>0</v>
      </c>
      <c r="I578" s="12" t="str">
        <f>IFERROR((VLOOKUP(A578,'[1]LISTA ETIQUETAS'!O:Y,11,0)),"")</f>
        <v/>
      </c>
      <c r="J578" s="6">
        <v>0</v>
      </c>
      <c r="K578" s="12" t="str">
        <f t="shared" si="24"/>
        <v/>
      </c>
      <c r="L578" s="7" t="str">
        <f>IF(VLOOKUP(A578,'[1]LISTA ETIQUETAS'!O:AB,14,0)="","",(VLOOKUP(A578,'[1]LISTA ETIQUETAS'!O:AB,14,0)))</f>
        <v/>
      </c>
      <c r="M578" s="8"/>
      <c r="N578" s="9">
        <f t="shared" si="25"/>
        <v>222840</v>
      </c>
      <c r="O578" s="2">
        <f>_xlfn.XLOOKUP($A578,'[1]LISTA ETIQUETAS'!$O:$O,'[1]LISTA ETIQUETAS'!C:C,"",0)</f>
        <v>0</v>
      </c>
      <c r="P578" s="2">
        <f>_xlfn.XLOOKUP($A578,'[1]LISTA ETIQUETAS'!$O:$O,'[1]LISTA ETIQUETAS'!D:D,"",0)</f>
        <v>0</v>
      </c>
      <c r="Q578" s="2">
        <f>_xlfn.XLOOKUP($A578,'[1]LISTA ETIQUETAS'!$O:$O,'[1]LISTA ETIQUETAS'!E:E,"",0)</f>
        <v>0</v>
      </c>
      <c r="R578" s="2">
        <f>_xlfn.XLOOKUP($A578,'[1]LISTA ETIQUETAS'!$O:$O,'[1]LISTA ETIQUETAS'!F:F,"",0)</f>
        <v>0</v>
      </c>
      <c r="S578" s="2">
        <f>_xlfn.XLOOKUP($A578,'[1]LISTA ETIQUETAS'!$O:$O,'[1]LISTA ETIQUETAS'!H:H,"",0)</f>
        <v>23</v>
      </c>
      <c r="T578" s="9">
        <f t="shared" si="26"/>
        <v>23</v>
      </c>
    </row>
    <row r="579" spans="1:20" x14ac:dyDescent="0.25">
      <c r="A579" s="5">
        <v>222839</v>
      </c>
      <c r="B579" t="str">
        <f>IFERROR((VLOOKUP(A579,'[1]LISTA ETIQUETAS'!O:X,3,0)),"PRODUTO SEM ESTOQUE")</f>
        <v>EST COMPONENTE HASTE ESTANTE ICON (EPOXI BRANCO FOSCO)</v>
      </c>
      <c r="C579" s="10" t="s">
        <v>49</v>
      </c>
      <c r="D579" s="10" t="s">
        <v>363</v>
      </c>
      <c r="E579" s="11">
        <f>IF(VLOOKUP(A579,'[1]LISTA ETIQUETAS'!O:W,4,0)="",(VLOOKUP(A579,'[1]LISTA ETIQUETAS'!O:W,6,0)),(VLOOKUP(A579,'[1]LISTA ETIQUETAS'!O:W,4,0)))</f>
        <v>0</v>
      </c>
      <c r="F579" s="11">
        <f>IF(VLOOKUP(A579,'[1]LISTA ETIQUETAS'!O:W,5,0)="",(VLOOKUP(A579,'[1]LISTA ETIQUETAS'!O:W,7,0)),(VLOOKUP(A579,'[1]LISTA ETIQUETAS'!O:W,5,0)))</f>
        <v>0</v>
      </c>
      <c r="G579" s="11">
        <f>IFERROR((VLOOKUP(A579,'[1]LISTA ETIQUETAS'!O:X,8,0)),"")</f>
        <v>2.33</v>
      </c>
      <c r="H579" s="11">
        <f>IFERROR((VLOOKUP(A579,'[1]LISTA ETIQUETAS'!O:X,9,0)),"")</f>
        <v>0</v>
      </c>
      <c r="I579" s="12" t="str">
        <f>IFERROR((VLOOKUP(A579,'[1]LISTA ETIQUETAS'!O:Y,11,0)),"")</f>
        <v/>
      </c>
      <c r="J579" s="6">
        <v>0</v>
      </c>
      <c r="K579" s="12" t="str">
        <f t="shared" ref="K579:K642" si="27">IFERROR(I579-I579*J579,"")</f>
        <v/>
      </c>
      <c r="L579" s="7" t="str">
        <f>IF(VLOOKUP(A579,'[1]LISTA ETIQUETAS'!O:AB,14,0)="","",(VLOOKUP(A579,'[1]LISTA ETIQUETAS'!O:AB,14,0)))</f>
        <v/>
      </c>
      <c r="M579" s="8"/>
      <c r="N579" s="9">
        <f t="shared" si="25"/>
        <v>222839</v>
      </c>
      <c r="O579" s="2">
        <f>_xlfn.XLOOKUP($A579,'[1]LISTA ETIQUETAS'!$O:$O,'[1]LISTA ETIQUETAS'!C:C,"",0)</f>
        <v>0</v>
      </c>
      <c r="P579" s="2">
        <f>_xlfn.XLOOKUP($A579,'[1]LISTA ETIQUETAS'!$O:$O,'[1]LISTA ETIQUETAS'!D:D,"",0)</f>
        <v>0</v>
      </c>
      <c r="Q579" s="2">
        <f>_xlfn.XLOOKUP($A579,'[1]LISTA ETIQUETAS'!$O:$O,'[1]LISTA ETIQUETAS'!E:E,"",0)</f>
        <v>0</v>
      </c>
      <c r="R579" s="2">
        <f>_xlfn.XLOOKUP($A579,'[1]LISTA ETIQUETAS'!$O:$O,'[1]LISTA ETIQUETAS'!F:F,"",0)</f>
        <v>0</v>
      </c>
      <c r="S579" s="2">
        <f>_xlfn.XLOOKUP($A579,'[1]LISTA ETIQUETAS'!$O:$O,'[1]LISTA ETIQUETAS'!H:H,"",0)</f>
        <v>4</v>
      </c>
      <c r="T579" s="9">
        <f t="shared" si="26"/>
        <v>4</v>
      </c>
    </row>
    <row r="580" spans="1:20" x14ac:dyDescent="0.25">
      <c r="A580" s="5">
        <v>222846</v>
      </c>
      <c r="B580" t="str">
        <f>IFERROR((VLOOKUP(A580,'[1]LISTA ETIQUETAS'!O:X,3,0)),"PRODUTO SEM ESTOQUE")</f>
        <v>EST COMPONENTE PRATELEIRA ESTANTE ICON (CARVALHO NATURAL)</v>
      </c>
      <c r="C580" s="10" t="s">
        <v>49</v>
      </c>
      <c r="D580" s="10" t="s">
        <v>364</v>
      </c>
      <c r="E580" s="11">
        <f>IF(VLOOKUP(A580,'[1]LISTA ETIQUETAS'!O:W,4,0)="",(VLOOKUP(A580,'[1]LISTA ETIQUETAS'!O:W,6,0)),(VLOOKUP(A580,'[1]LISTA ETIQUETAS'!O:W,4,0)))</f>
        <v>1.5</v>
      </c>
      <c r="F580" s="11">
        <f>IF(VLOOKUP(A580,'[1]LISTA ETIQUETAS'!O:W,5,0)="",(VLOOKUP(A580,'[1]LISTA ETIQUETAS'!O:W,7,0)),(VLOOKUP(A580,'[1]LISTA ETIQUETAS'!O:W,5,0)))</f>
        <v>0.35</v>
      </c>
      <c r="G580" s="11">
        <f>IFERROR((VLOOKUP(A580,'[1]LISTA ETIQUETAS'!O:X,8,0)),"")</f>
        <v>0</v>
      </c>
      <c r="H580" s="11">
        <f>IFERROR((VLOOKUP(A580,'[1]LISTA ETIQUETAS'!O:X,9,0)),"")</f>
        <v>0</v>
      </c>
      <c r="I580" s="12" t="str">
        <f>IFERROR((VLOOKUP(A580,'[1]LISTA ETIQUETAS'!O:Y,11,0)),"")</f>
        <v/>
      </c>
      <c r="J580" s="6">
        <v>0</v>
      </c>
      <c r="K580" s="12" t="str">
        <f t="shared" si="27"/>
        <v/>
      </c>
      <c r="L580" s="7" t="str">
        <f>IF(VLOOKUP(A580,'[1]LISTA ETIQUETAS'!O:AB,14,0)="","",(VLOOKUP(A580,'[1]LISTA ETIQUETAS'!O:AB,14,0)))</f>
        <v/>
      </c>
      <c r="M580" s="8"/>
      <c r="N580" s="9">
        <f t="shared" ref="N580:N643" si="28">IF(M580="",A580,M580)</f>
        <v>222846</v>
      </c>
      <c r="O580" s="2">
        <f>_xlfn.XLOOKUP($A580,'[1]LISTA ETIQUETAS'!$O:$O,'[1]LISTA ETIQUETAS'!C:C,"",0)</f>
        <v>0</v>
      </c>
      <c r="P580" s="2">
        <f>_xlfn.XLOOKUP($A580,'[1]LISTA ETIQUETAS'!$O:$O,'[1]LISTA ETIQUETAS'!D:D,"",0)</f>
        <v>0</v>
      </c>
      <c r="Q580" s="2">
        <f>_xlfn.XLOOKUP($A580,'[1]LISTA ETIQUETAS'!$O:$O,'[1]LISTA ETIQUETAS'!E:E,"",0)</f>
        <v>0</v>
      </c>
      <c r="R580" s="2">
        <f>_xlfn.XLOOKUP($A580,'[1]LISTA ETIQUETAS'!$O:$O,'[1]LISTA ETIQUETAS'!F:F,"",0)</f>
        <v>0</v>
      </c>
      <c r="S580" s="2">
        <f>_xlfn.XLOOKUP($A580,'[1]LISTA ETIQUETAS'!$O:$O,'[1]LISTA ETIQUETAS'!H:H,"",0)</f>
        <v>4</v>
      </c>
      <c r="T580" s="9">
        <f t="shared" ref="T580:T643" si="29">SUM(O580:S580)</f>
        <v>4</v>
      </c>
    </row>
    <row r="581" spans="1:20" x14ac:dyDescent="0.25">
      <c r="A581" s="5">
        <v>232359</v>
      </c>
      <c r="B581" t="str">
        <f>IFERROR((VLOOKUP(A581,'[1]LISTA ETIQUETAS'!O:X,3,0)),"PRODUTO SEM ESTOQUE")</f>
        <v>EST ESTANTE MORE (LAM CARBO LISO ESTR FAKE BRONZE)</v>
      </c>
      <c r="C581" s="10" t="s">
        <v>49</v>
      </c>
      <c r="D581" s="10" t="s">
        <v>365</v>
      </c>
      <c r="E581" s="11">
        <f>IF(VLOOKUP(A581,'[1]LISTA ETIQUETAS'!O:W,4,0)="",(VLOOKUP(A581,'[1]LISTA ETIQUETAS'!O:W,6,0)),(VLOOKUP(A581,'[1]LISTA ETIQUETAS'!O:W,4,0)))</f>
        <v>1.2</v>
      </c>
      <c r="F581" s="11">
        <f>IF(VLOOKUP(A581,'[1]LISTA ETIQUETAS'!O:W,5,0)="",(VLOOKUP(A581,'[1]LISTA ETIQUETAS'!O:W,7,0)),(VLOOKUP(A581,'[1]LISTA ETIQUETAS'!O:W,5,0)))</f>
        <v>0.4</v>
      </c>
      <c r="G581" s="11">
        <f>IFERROR((VLOOKUP(A581,'[1]LISTA ETIQUETAS'!O:X,8,0)),"")</f>
        <v>1.6</v>
      </c>
      <c r="H581" s="11">
        <f>IFERROR((VLOOKUP(A581,'[1]LISTA ETIQUETAS'!O:X,9,0)),"")</f>
        <v>0</v>
      </c>
      <c r="I581" s="12">
        <f>IFERROR((VLOOKUP(A581,'[1]LISTA ETIQUETAS'!O:Y,11,0)),"")</f>
        <v>33137.129999999997</v>
      </c>
      <c r="J581" s="6">
        <v>0</v>
      </c>
      <c r="K581" s="12">
        <f t="shared" si="27"/>
        <v>33137.129999999997</v>
      </c>
      <c r="L581" s="7" t="str">
        <f>IF(VLOOKUP(A581,'[1]LISTA ETIQUETAS'!O:AB,14,0)="","",(VLOOKUP(A581,'[1]LISTA ETIQUETAS'!O:AB,14,0)))</f>
        <v/>
      </c>
      <c r="M581" s="8"/>
      <c r="N581" s="9">
        <f t="shared" si="28"/>
        <v>232359</v>
      </c>
      <c r="O581" s="2">
        <f>_xlfn.XLOOKUP($A581,'[1]LISTA ETIQUETAS'!$O:$O,'[1]LISTA ETIQUETAS'!C:C,"",0)</f>
        <v>0</v>
      </c>
      <c r="P581" s="2">
        <f>_xlfn.XLOOKUP($A581,'[1]LISTA ETIQUETAS'!$O:$O,'[1]LISTA ETIQUETAS'!D:D,"",0)</f>
        <v>0</v>
      </c>
      <c r="Q581" s="2">
        <f>_xlfn.XLOOKUP($A581,'[1]LISTA ETIQUETAS'!$O:$O,'[1]LISTA ETIQUETAS'!E:E,"",0)</f>
        <v>0</v>
      </c>
      <c r="R581" s="2">
        <f>_xlfn.XLOOKUP($A581,'[1]LISTA ETIQUETAS'!$O:$O,'[1]LISTA ETIQUETAS'!F:F,"",0)</f>
        <v>0</v>
      </c>
      <c r="S581" s="2">
        <f>_xlfn.XLOOKUP($A581,'[1]LISTA ETIQUETAS'!$O:$O,'[1]LISTA ETIQUETAS'!H:H,"",0)</f>
        <v>2</v>
      </c>
      <c r="T581" s="9">
        <f t="shared" si="29"/>
        <v>2</v>
      </c>
    </row>
    <row r="582" spans="1:20" x14ac:dyDescent="0.25">
      <c r="A582" s="5">
        <v>81474</v>
      </c>
      <c r="B582" t="str">
        <f>IFERROR((VLOOKUP(A582,'[1]LISTA ETIQUETAS'!O:X,3,0)),"PRODUTO SEM ESTOQUE")</f>
        <v>EST ESTANTE EIXO (MODULO F) (FREIJO ENVELHECIDO)</v>
      </c>
      <c r="C582" s="10" t="s">
        <v>49</v>
      </c>
      <c r="D582" s="10" t="s">
        <v>366</v>
      </c>
      <c r="E582" s="11">
        <f>IF(VLOOKUP(A582,'[1]LISTA ETIQUETAS'!O:W,4,0)="",(VLOOKUP(A582,'[1]LISTA ETIQUETAS'!O:W,6,0)),(VLOOKUP(A582,'[1]LISTA ETIQUETAS'!O:W,4,0)))</f>
        <v>0.3</v>
      </c>
      <c r="F582" s="11">
        <f>IF(VLOOKUP(A582,'[1]LISTA ETIQUETAS'!O:W,5,0)="",(VLOOKUP(A582,'[1]LISTA ETIQUETAS'!O:W,7,0)),(VLOOKUP(A582,'[1]LISTA ETIQUETAS'!O:W,5,0)))</f>
        <v>0.25</v>
      </c>
      <c r="G582" s="11">
        <f>IFERROR((VLOOKUP(A582,'[1]LISTA ETIQUETAS'!O:X,8,0)),"")</f>
        <v>0.35</v>
      </c>
      <c r="H582" s="11">
        <f>IFERROR((VLOOKUP(A582,'[1]LISTA ETIQUETAS'!O:X,9,0)),"")</f>
        <v>0</v>
      </c>
      <c r="I582" s="12">
        <f>IFERROR((VLOOKUP(A582,'[1]LISTA ETIQUETAS'!O:Y,11,0)),"")</f>
        <v>940.8</v>
      </c>
      <c r="J582" s="6">
        <v>0</v>
      </c>
      <c r="K582" s="12">
        <f t="shared" si="27"/>
        <v>940.8</v>
      </c>
      <c r="L582" s="7" t="str">
        <f>IF(VLOOKUP(A582,'[1]LISTA ETIQUETAS'!O:AB,14,0)="","",(VLOOKUP(A582,'[1]LISTA ETIQUETAS'!O:AB,14,0)))</f>
        <v/>
      </c>
      <c r="M582" s="8"/>
      <c r="N582" s="9">
        <f t="shared" si="28"/>
        <v>81474</v>
      </c>
      <c r="O582" s="2">
        <f>_xlfn.XLOOKUP($A582,'[1]LISTA ETIQUETAS'!$O:$O,'[1]LISTA ETIQUETAS'!C:C,"",0)</f>
        <v>0</v>
      </c>
      <c r="P582" s="2">
        <f>_xlfn.XLOOKUP($A582,'[1]LISTA ETIQUETAS'!$O:$O,'[1]LISTA ETIQUETAS'!D:D,"",0)</f>
        <v>0</v>
      </c>
      <c r="Q582" s="2">
        <f>_xlfn.XLOOKUP($A582,'[1]LISTA ETIQUETAS'!$O:$O,'[1]LISTA ETIQUETAS'!E:E,"",0)</f>
        <v>0</v>
      </c>
      <c r="R582" s="2">
        <f>_xlfn.XLOOKUP($A582,'[1]LISTA ETIQUETAS'!$O:$O,'[1]LISTA ETIQUETAS'!F:F,"",0)</f>
        <v>0</v>
      </c>
      <c r="S582" s="2">
        <f>_xlfn.XLOOKUP($A582,'[1]LISTA ETIQUETAS'!$O:$O,'[1]LISTA ETIQUETAS'!H:H,"",0)</f>
        <v>3</v>
      </c>
      <c r="T582" s="9">
        <f t="shared" si="29"/>
        <v>3</v>
      </c>
    </row>
    <row r="583" spans="1:20" x14ac:dyDescent="0.25">
      <c r="A583" s="5">
        <v>88622</v>
      </c>
      <c r="B583" t="str">
        <f>IFERROR((VLOOKUP(A583,'[1]LISTA ETIQUETAS'!O:X,3,0)),"PRODUTO SEM ESTOQUE")</f>
        <v>EST HOME CHAN MD 02 (LACA PRETA BRILHO)</v>
      </c>
      <c r="C583" s="10" t="s">
        <v>367</v>
      </c>
      <c r="D583" s="10" t="s">
        <v>368</v>
      </c>
      <c r="E583" s="11">
        <f>IF(VLOOKUP(A583,'[1]LISTA ETIQUETAS'!O:W,4,0)="",(VLOOKUP(A583,'[1]LISTA ETIQUETAS'!O:W,6,0)),(VLOOKUP(A583,'[1]LISTA ETIQUETAS'!O:W,4,0)))</f>
        <v>1.2</v>
      </c>
      <c r="F583" s="11">
        <f>IF(VLOOKUP(A583,'[1]LISTA ETIQUETAS'!O:W,5,0)="",(VLOOKUP(A583,'[1]LISTA ETIQUETAS'!O:W,7,0)),(VLOOKUP(A583,'[1]LISTA ETIQUETAS'!O:W,5,0)))</f>
        <v>0.55000000000000004</v>
      </c>
      <c r="G583" s="11">
        <f>IFERROR((VLOOKUP(A583,'[1]LISTA ETIQUETAS'!O:X,8,0)),"")</f>
        <v>0.55000000000000004</v>
      </c>
      <c r="H583" s="11">
        <f>IFERROR((VLOOKUP(A583,'[1]LISTA ETIQUETAS'!O:X,9,0)),"")</f>
        <v>0</v>
      </c>
      <c r="I583" s="12" t="str">
        <f>IFERROR((VLOOKUP(A583,'[1]LISTA ETIQUETAS'!O:Y,11,0)),"")</f>
        <v/>
      </c>
      <c r="J583" s="6">
        <v>0</v>
      </c>
      <c r="K583" s="12" t="str">
        <f t="shared" si="27"/>
        <v/>
      </c>
      <c r="L583" s="7" t="str">
        <f>IF(VLOOKUP(A583,'[1]LISTA ETIQUETAS'!O:AB,14,0)="","",(VLOOKUP(A583,'[1]LISTA ETIQUETAS'!O:AB,14,0)))</f>
        <v/>
      </c>
      <c r="M583" s="8"/>
      <c r="N583" s="9">
        <f t="shared" si="28"/>
        <v>88622</v>
      </c>
      <c r="O583" s="2">
        <f>_xlfn.XLOOKUP($A583,'[1]LISTA ETIQUETAS'!$O:$O,'[1]LISTA ETIQUETAS'!C:C,"",0)</f>
        <v>0</v>
      </c>
      <c r="P583" s="2">
        <f>_xlfn.XLOOKUP($A583,'[1]LISTA ETIQUETAS'!$O:$O,'[1]LISTA ETIQUETAS'!D:D,"",0)</f>
        <v>0</v>
      </c>
      <c r="Q583" s="2">
        <f>_xlfn.XLOOKUP($A583,'[1]LISTA ETIQUETAS'!$O:$O,'[1]LISTA ETIQUETAS'!E:E,"",0)</f>
        <v>0</v>
      </c>
      <c r="R583" s="2">
        <f>_xlfn.XLOOKUP($A583,'[1]LISTA ETIQUETAS'!$O:$O,'[1]LISTA ETIQUETAS'!F:F,"",0)</f>
        <v>0</v>
      </c>
      <c r="S583" s="2">
        <f>_xlfn.XLOOKUP($A583,'[1]LISTA ETIQUETAS'!$O:$O,'[1]LISTA ETIQUETAS'!H:H,"",0)</f>
        <v>1</v>
      </c>
      <c r="T583" s="9">
        <f t="shared" si="29"/>
        <v>1</v>
      </c>
    </row>
    <row r="584" spans="1:20" x14ac:dyDescent="0.25">
      <c r="A584" s="5">
        <v>94227</v>
      </c>
      <c r="B584" t="str">
        <f>IFERROR((VLOOKUP(A584,'[1]LISTA ETIQUETAS'!O:X,3,0)),"PRODUTO SEM ESTOQUE")</f>
        <v>EST HOME CODE C004 C/GAVETAS E PRAT (IMBUA NEGRA)</v>
      </c>
      <c r="C584" s="10" t="s">
        <v>367</v>
      </c>
      <c r="D584" s="10" t="s">
        <v>369</v>
      </c>
      <c r="E584" s="11">
        <f>IF(VLOOKUP(A584,'[1]LISTA ETIQUETAS'!O:W,4,0)="",(VLOOKUP(A584,'[1]LISTA ETIQUETAS'!O:W,6,0)),(VLOOKUP(A584,'[1]LISTA ETIQUETAS'!O:W,4,0)))</f>
        <v>0.62</v>
      </c>
      <c r="F584" s="11">
        <f>IF(VLOOKUP(A584,'[1]LISTA ETIQUETAS'!O:W,5,0)="",(VLOOKUP(A584,'[1]LISTA ETIQUETAS'!O:W,7,0)),(VLOOKUP(A584,'[1]LISTA ETIQUETAS'!O:W,5,0)))</f>
        <v>0.5</v>
      </c>
      <c r="G584" s="11">
        <f>IFERROR((VLOOKUP(A584,'[1]LISTA ETIQUETAS'!O:X,8,0)),"")</f>
        <v>0.55000000000000004</v>
      </c>
      <c r="H584" s="11">
        <f>IFERROR((VLOOKUP(A584,'[1]LISTA ETIQUETAS'!O:X,9,0)),"")</f>
        <v>0</v>
      </c>
      <c r="I584" s="12">
        <f>IFERROR((VLOOKUP(A584,'[1]LISTA ETIQUETAS'!O:Y,11,0)),"")</f>
        <v>5281.92</v>
      </c>
      <c r="J584" s="6">
        <v>0</v>
      </c>
      <c r="K584" s="12">
        <f t="shared" si="27"/>
        <v>5281.92</v>
      </c>
      <c r="L584" s="7" t="str">
        <f>IF(VLOOKUP(A584,'[1]LISTA ETIQUETAS'!O:AB,14,0)="","",(VLOOKUP(A584,'[1]LISTA ETIQUETAS'!O:AB,14,0)))</f>
        <v/>
      </c>
      <c r="M584" s="8"/>
      <c r="N584" s="9">
        <f t="shared" si="28"/>
        <v>94227</v>
      </c>
      <c r="O584" s="2">
        <f>_xlfn.XLOOKUP($A584,'[1]LISTA ETIQUETAS'!$O:$O,'[1]LISTA ETIQUETAS'!C:C,"",0)</f>
        <v>0</v>
      </c>
      <c r="P584" s="2">
        <f>_xlfn.XLOOKUP($A584,'[1]LISTA ETIQUETAS'!$O:$O,'[1]LISTA ETIQUETAS'!D:D,"",0)</f>
        <v>0</v>
      </c>
      <c r="Q584" s="2">
        <f>_xlfn.XLOOKUP($A584,'[1]LISTA ETIQUETAS'!$O:$O,'[1]LISTA ETIQUETAS'!E:E,"",0)</f>
        <v>0</v>
      </c>
      <c r="R584" s="2">
        <f>_xlfn.XLOOKUP($A584,'[1]LISTA ETIQUETAS'!$O:$O,'[1]LISTA ETIQUETAS'!F:F,"",0)</f>
        <v>0</v>
      </c>
      <c r="S584" s="2">
        <f>_xlfn.XLOOKUP($A584,'[1]LISTA ETIQUETAS'!$O:$O,'[1]LISTA ETIQUETAS'!H:H,"",0)</f>
        <v>1</v>
      </c>
      <c r="T584" s="9">
        <f t="shared" si="29"/>
        <v>1</v>
      </c>
    </row>
    <row r="585" spans="1:20" x14ac:dyDescent="0.25">
      <c r="A585" s="5">
        <v>146117</v>
      </c>
      <c r="B585" t="str">
        <f>IFERROR((VLOOKUP(A585,'[1]LISTA ETIQUETAS'!O:X,3,0)),"PRODUTO SEM ESTOQUE")</f>
        <v>EST HOME ELLE (LOURO FREIJO) (BRANCO FOSCO)</v>
      </c>
      <c r="C585" s="10" t="s">
        <v>367</v>
      </c>
      <c r="D585" s="10" t="s">
        <v>370</v>
      </c>
      <c r="E585" s="11">
        <f>IF(VLOOKUP(A585,'[1]LISTA ETIQUETAS'!O:W,4,0)="",(VLOOKUP(A585,'[1]LISTA ETIQUETAS'!O:W,6,0)),(VLOOKUP(A585,'[1]LISTA ETIQUETAS'!O:W,4,0)))</f>
        <v>1.52</v>
      </c>
      <c r="F585" s="11">
        <f>IF(VLOOKUP(A585,'[1]LISTA ETIQUETAS'!O:W,5,0)="",(VLOOKUP(A585,'[1]LISTA ETIQUETAS'!O:W,7,0)),(VLOOKUP(A585,'[1]LISTA ETIQUETAS'!O:W,5,0)))</f>
        <v>0.4</v>
      </c>
      <c r="G585" s="11">
        <f>IFERROR((VLOOKUP(A585,'[1]LISTA ETIQUETAS'!O:X,8,0)),"")</f>
        <v>0.45</v>
      </c>
      <c r="H585" s="11">
        <f>IFERROR((VLOOKUP(A585,'[1]LISTA ETIQUETAS'!O:X,9,0)),"")</f>
        <v>0</v>
      </c>
      <c r="I585" s="12" t="str">
        <f>IFERROR((VLOOKUP(A585,'[1]LISTA ETIQUETAS'!O:Y,11,0)),"")</f>
        <v/>
      </c>
      <c r="J585" s="6">
        <v>0</v>
      </c>
      <c r="K585" s="12" t="str">
        <f t="shared" si="27"/>
        <v/>
      </c>
      <c r="L585" s="7" t="str">
        <f>IF(VLOOKUP(A585,'[1]LISTA ETIQUETAS'!O:AB,14,0)="","",(VLOOKUP(A585,'[1]LISTA ETIQUETAS'!O:AB,14,0)))</f>
        <v/>
      </c>
      <c r="M585" s="8"/>
      <c r="N585" s="9">
        <f t="shared" si="28"/>
        <v>146117</v>
      </c>
      <c r="O585" s="2">
        <f>_xlfn.XLOOKUP($A585,'[1]LISTA ETIQUETAS'!$O:$O,'[1]LISTA ETIQUETAS'!C:C,"",0)</f>
        <v>0</v>
      </c>
      <c r="P585" s="2">
        <f>_xlfn.XLOOKUP($A585,'[1]LISTA ETIQUETAS'!$O:$O,'[1]LISTA ETIQUETAS'!D:D,"",0)</f>
        <v>0</v>
      </c>
      <c r="Q585" s="2">
        <f>_xlfn.XLOOKUP($A585,'[1]LISTA ETIQUETAS'!$O:$O,'[1]LISTA ETIQUETAS'!E:E,"",0)</f>
        <v>0</v>
      </c>
      <c r="R585" s="2">
        <f>_xlfn.XLOOKUP($A585,'[1]LISTA ETIQUETAS'!$O:$O,'[1]LISTA ETIQUETAS'!F:F,"",0)</f>
        <v>0</v>
      </c>
      <c r="S585" s="2">
        <f>_xlfn.XLOOKUP($A585,'[1]LISTA ETIQUETAS'!$O:$O,'[1]LISTA ETIQUETAS'!H:H,"",0)</f>
        <v>1</v>
      </c>
      <c r="T585" s="9">
        <f t="shared" si="29"/>
        <v>1</v>
      </c>
    </row>
    <row r="586" spans="1:20" x14ac:dyDescent="0.25">
      <c r="A586" s="5">
        <v>158312</v>
      </c>
      <c r="B586" t="str">
        <f>IFERROR((VLOOKUP(A586,'[1]LISTA ETIQUETAS'!O:X,3,0)),"PRODUTO SEM ESTOQUE")</f>
        <v>EST HOME CINE (LACA BRILHO J155) (CINAMOMO)</v>
      </c>
      <c r="C586" s="10" t="s">
        <v>367</v>
      </c>
      <c r="D586" s="10" t="s">
        <v>371</v>
      </c>
      <c r="E586" s="11">
        <f>IF(VLOOKUP(A586,'[1]LISTA ETIQUETAS'!O:W,4,0)="",(VLOOKUP(A586,'[1]LISTA ETIQUETAS'!O:W,6,0)),(VLOOKUP(A586,'[1]LISTA ETIQUETAS'!O:W,4,0)))</f>
        <v>2.6</v>
      </c>
      <c r="F586" s="11">
        <f>IF(VLOOKUP(A586,'[1]LISTA ETIQUETAS'!O:W,5,0)="",(VLOOKUP(A586,'[1]LISTA ETIQUETAS'!O:W,7,0)),(VLOOKUP(A586,'[1]LISTA ETIQUETAS'!O:W,5,0)))</f>
        <v>0.46</v>
      </c>
      <c r="G586" s="11">
        <f>IFERROR((VLOOKUP(A586,'[1]LISTA ETIQUETAS'!O:X,8,0)),"")</f>
        <v>0.55000000000000004</v>
      </c>
      <c r="H586" s="11">
        <f>IFERROR((VLOOKUP(A586,'[1]LISTA ETIQUETAS'!O:X,9,0)),"")</f>
        <v>0</v>
      </c>
      <c r="I586" s="12" t="str">
        <f>IFERROR((VLOOKUP(A586,'[1]LISTA ETIQUETAS'!O:Y,11,0)),"")</f>
        <v/>
      </c>
      <c r="J586" s="6">
        <v>0</v>
      </c>
      <c r="K586" s="12" t="str">
        <f t="shared" si="27"/>
        <v/>
      </c>
      <c r="L586" s="7" t="str">
        <f>IF(VLOOKUP(A586,'[1]LISTA ETIQUETAS'!O:AB,14,0)="","",(VLOOKUP(A586,'[1]LISTA ETIQUETAS'!O:AB,14,0)))</f>
        <v/>
      </c>
      <c r="M586" s="8"/>
      <c r="N586" s="9">
        <f t="shared" si="28"/>
        <v>158312</v>
      </c>
      <c r="O586" s="2">
        <f>_xlfn.XLOOKUP($A586,'[1]LISTA ETIQUETAS'!$O:$O,'[1]LISTA ETIQUETAS'!C:C,"",0)</f>
        <v>0</v>
      </c>
      <c r="P586" s="2">
        <f>_xlfn.XLOOKUP($A586,'[1]LISTA ETIQUETAS'!$O:$O,'[1]LISTA ETIQUETAS'!D:D,"",0)</f>
        <v>0</v>
      </c>
      <c r="Q586" s="2">
        <f>_xlfn.XLOOKUP($A586,'[1]LISTA ETIQUETAS'!$O:$O,'[1]LISTA ETIQUETAS'!E:E,"",0)</f>
        <v>0</v>
      </c>
      <c r="R586" s="2">
        <f>_xlfn.XLOOKUP($A586,'[1]LISTA ETIQUETAS'!$O:$O,'[1]LISTA ETIQUETAS'!F:F,"",0)</f>
        <v>0</v>
      </c>
      <c r="S586" s="2">
        <f>_xlfn.XLOOKUP($A586,'[1]LISTA ETIQUETAS'!$O:$O,'[1]LISTA ETIQUETAS'!H:H,"",0)</f>
        <v>1</v>
      </c>
      <c r="T586" s="9">
        <f t="shared" si="29"/>
        <v>1</v>
      </c>
    </row>
    <row r="587" spans="1:20" x14ac:dyDescent="0.25">
      <c r="A587" s="5">
        <v>350046</v>
      </c>
      <c r="B587" t="str">
        <f>IFERROR((VLOOKUP(A587,'[1]LISTA ETIQUETAS'!O:X,3,0)),"PRODUTO SEM ESTOQUE")</f>
        <v>EST LUMINARIA MATISSE ORGANICA DUPLA (VOIL BRANCO/ALG BRANC)</v>
      </c>
      <c r="C587" s="10" t="s">
        <v>372</v>
      </c>
      <c r="D587" s="10" t="s">
        <v>373</v>
      </c>
      <c r="E587" s="11">
        <f>IF(VLOOKUP(A587,'[1]LISTA ETIQUETAS'!O:W,4,0)="",(VLOOKUP(A587,'[1]LISTA ETIQUETAS'!O:W,6,0)),(VLOOKUP(A587,'[1]LISTA ETIQUETAS'!O:W,4,0)))</f>
        <v>0.6</v>
      </c>
      <c r="F587" s="11">
        <f>IF(VLOOKUP(A587,'[1]LISTA ETIQUETAS'!O:W,5,0)="",(VLOOKUP(A587,'[1]LISTA ETIQUETAS'!O:W,7,0)),(VLOOKUP(A587,'[1]LISTA ETIQUETAS'!O:W,5,0)))</f>
        <v>0.6</v>
      </c>
      <c r="G587" s="11">
        <f>IFERROR((VLOOKUP(A587,'[1]LISTA ETIQUETAS'!O:X,8,0)),"")</f>
        <v>0.4</v>
      </c>
      <c r="H587" s="11">
        <f>IFERROR((VLOOKUP(A587,'[1]LISTA ETIQUETAS'!O:X,9,0)),"")</f>
        <v>0</v>
      </c>
      <c r="I587" s="12" t="str">
        <f>IFERROR((VLOOKUP(A587,'[1]LISTA ETIQUETAS'!O:Y,11,0)),"")</f>
        <v/>
      </c>
      <c r="J587" s="6">
        <v>0</v>
      </c>
      <c r="K587" s="12" t="str">
        <f t="shared" si="27"/>
        <v/>
      </c>
      <c r="L587" s="7" t="str">
        <f>IF(VLOOKUP(A587,'[1]LISTA ETIQUETAS'!O:AB,14,0)="","",(VLOOKUP(A587,'[1]LISTA ETIQUETAS'!O:AB,14,0)))</f>
        <v/>
      </c>
      <c r="M587" s="8"/>
      <c r="N587" s="9">
        <f t="shared" si="28"/>
        <v>350046</v>
      </c>
      <c r="O587" s="2">
        <f>_xlfn.XLOOKUP($A587,'[1]LISTA ETIQUETAS'!$O:$O,'[1]LISTA ETIQUETAS'!C:C,"",0)</f>
        <v>1</v>
      </c>
      <c r="P587" s="2">
        <f>_xlfn.XLOOKUP($A587,'[1]LISTA ETIQUETAS'!$O:$O,'[1]LISTA ETIQUETAS'!D:D,"",0)</f>
        <v>0</v>
      </c>
      <c r="Q587" s="2">
        <f>_xlfn.XLOOKUP($A587,'[1]LISTA ETIQUETAS'!$O:$O,'[1]LISTA ETIQUETAS'!E:E,"",0)</f>
        <v>0</v>
      </c>
      <c r="R587" s="2">
        <f>_xlfn.XLOOKUP($A587,'[1]LISTA ETIQUETAS'!$O:$O,'[1]LISTA ETIQUETAS'!F:F,"",0)</f>
        <v>1</v>
      </c>
      <c r="S587" s="2">
        <f>_xlfn.XLOOKUP($A587,'[1]LISTA ETIQUETAS'!$O:$O,'[1]LISTA ETIQUETAS'!H:H,"",0)</f>
        <v>2</v>
      </c>
      <c r="T587" s="9">
        <f t="shared" si="29"/>
        <v>4</v>
      </c>
    </row>
    <row r="588" spans="1:20" x14ac:dyDescent="0.25">
      <c r="A588" s="5">
        <v>350048</v>
      </c>
      <c r="B588" t="str">
        <f>IFERROR((VLOOKUP(A588,'[1]LISTA ETIQUETAS'!O:X,3,0)),"PRODUTO SEM ESTOQUE")</f>
        <v>EST LUMINARIA MATISSE SIMPLES (ALG BRANCO)</v>
      </c>
      <c r="C588" s="10" t="s">
        <v>372</v>
      </c>
      <c r="D588" s="10" t="s">
        <v>373</v>
      </c>
      <c r="E588" s="11">
        <f>IF(VLOOKUP(A588,'[1]LISTA ETIQUETAS'!O:W,4,0)="",(VLOOKUP(A588,'[1]LISTA ETIQUETAS'!O:W,6,0)),(VLOOKUP(A588,'[1]LISTA ETIQUETAS'!O:W,4,0)))</f>
        <v>0.2</v>
      </c>
      <c r="F588" s="11">
        <f>IF(VLOOKUP(A588,'[1]LISTA ETIQUETAS'!O:W,5,0)="",(VLOOKUP(A588,'[1]LISTA ETIQUETAS'!O:W,7,0)),(VLOOKUP(A588,'[1]LISTA ETIQUETAS'!O:W,5,0)))</f>
        <v>0</v>
      </c>
      <c r="G588" s="11">
        <f>IFERROR((VLOOKUP(A588,'[1]LISTA ETIQUETAS'!O:X,8,0)),"")</f>
        <v>0.4</v>
      </c>
      <c r="H588" s="11">
        <f>IFERROR((VLOOKUP(A588,'[1]LISTA ETIQUETAS'!O:X,9,0)),"")</f>
        <v>0.35</v>
      </c>
      <c r="I588" s="12" t="str">
        <f>IFERROR((VLOOKUP(A588,'[1]LISTA ETIQUETAS'!O:Y,11,0)),"")</f>
        <v/>
      </c>
      <c r="J588" s="6">
        <v>0</v>
      </c>
      <c r="K588" s="12" t="str">
        <f t="shared" si="27"/>
        <v/>
      </c>
      <c r="L588" s="7" t="str">
        <f>IF(VLOOKUP(A588,'[1]LISTA ETIQUETAS'!O:AB,14,0)="","",(VLOOKUP(A588,'[1]LISTA ETIQUETAS'!O:AB,14,0)))</f>
        <v/>
      </c>
      <c r="M588" s="8"/>
      <c r="N588" s="9">
        <f t="shared" si="28"/>
        <v>350048</v>
      </c>
      <c r="O588" s="2">
        <f>_xlfn.XLOOKUP($A588,'[1]LISTA ETIQUETAS'!$O:$O,'[1]LISTA ETIQUETAS'!C:C,"",0)</f>
        <v>0</v>
      </c>
      <c r="P588" s="2">
        <f>_xlfn.XLOOKUP($A588,'[1]LISTA ETIQUETAS'!$O:$O,'[1]LISTA ETIQUETAS'!D:D,"",0)</f>
        <v>0</v>
      </c>
      <c r="Q588" s="2">
        <f>_xlfn.XLOOKUP($A588,'[1]LISTA ETIQUETAS'!$O:$O,'[1]LISTA ETIQUETAS'!E:E,"",0)</f>
        <v>0</v>
      </c>
      <c r="R588" s="2">
        <f>_xlfn.XLOOKUP($A588,'[1]LISTA ETIQUETAS'!$O:$O,'[1]LISTA ETIQUETAS'!F:F,"",0)</f>
        <v>1</v>
      </c>
      <c r="S588" s="2">
        <f>_xlfn.XLOOKUP($A588,'[1]LISTA ETIQUETAS'!$O:$O,'[1]LISTA ETIQUETAS'!H:H,"",0)</f>
        <v>3</v>
      </c>
      <c r="T588" s="9">
        <f t="shared" si="29"/>
        <v>4</v>
      </c>
    </row>
    <row r="589" spans="1:20" x14ac:dyDescent="0.25">
      <c r="A589" s="5">
        <v>350047</v>
      </c>
      <c r="B589" t="str">
        <f>IFERROR((VLOOKUP(A589,'[1]LISTA ETIQUETAS'!O:X,3,0)),"PRODUTO SEM ESTOQUE")</f>
        <v>EST LUMINARIA MATISSE DUPLA (VOIL BRANCO/ALG BRANCO)</v>
      </c>
      <c r="C589" s="10" t="s">
        <v>372</v>
      </c>
      <c r="D589" s="10" t="s">
        <v>373</v>
      </c>
      <c r="E589" s="11">
        <f>IF(VLOOKUP(A589,'[1]LISTA ETIQUETAS'!O:W,4,0)="",(VLOOKUP(A589,'[1]LISTA ETIQUETAS'!O:W,6,0)),(VLOOKUP(A589,'[1]LISTA ETIQUETAS'!O:W,4,0)))</f>
        <v>0.3</v>
      </c>
      <c r="F589" s="11">
        <f>IF(VLOOKUP(A589,'[1]LISTA ETIQUETAS'!O:W,5,0)="",(VLOOKUP(A589,'[1]LISTA ETIQUETAS'!O:W,7,0)),(VLOOKUP(A589,'[1]LISTA ETIQUETAS'!O:W,5,0)))</f>
        <v>0</v>
      </c>
      <c r="G589" s="11">
        <f>IFERROR((VLOOKUP(A589,'[1]LISTA ETIQUETAS'!O:X,8,0)),"")</f>
        <v>0.4</v>
      </c>
      <c r="H589" s="11">
        <f>IFERROR((VLOOKUP(A589,'[1]LISTA ETIQUETAS'!O:X,9,0)),"")</f>
        <v>0.4</v>
      </c>
      <c r="I589" s="12" t="str">
        <f>IFERROR((VLOOKUP(A589,'[1]LISTA ETIQUETAS'!O:Y,11,0)),"")</f>
        <v/>
      </c>
      <c r="J589" s="6">
        <v>0</v>
      </c>
      <c r="K589" s="12" t="str">
        <f t="shared" si="27"/>
        <v/>
      </c>
      <c r="L589" s="7" t="str">
        <f>IF(VLOOKUP(A589,'[1]LISTA ETIQUETAS'!O:AB,14,0)="","",(VLOOKUP(A589,'[1]LISTA ETIQUETAS'!O:AB,14,0)))</f>
        <v/>
      </c>
      <c r="M589" s="8"/>
      <c r="N589" s="9">
        <f t="shared" si="28"/>
        <v>350047</v>
      </c>
      <c r="O589" s="2">
        <f>_xlfn.XLOOKUP($A589,'[1]LISTA ETIQUETAS'!$O:$O,'[1]LISTA ETIQUETAS'!C:C,"",0)</f>
        <v>1</v>
      </c>
      <c r="P589" s="2">
        <f>_xlfn.XLOOKUP($A589,'[1]LISTA ETIQUETAS'!$O:$O,'[1]LISTA ETIQUETAS'!D:D,"",0)</f>
        <v>0</v>
      </c>
      <c r="Q589" s="2">
        <f>_xlfn.XLOOKUP($A589,'[1]LISTA ETIQUETAS'!$O:$O,'[1]LISTA ETIQUETAS'!E:E,"",0)</f>
        <v>0</v>
      </c>
      <c r="R589" s="2">
        <f>_xlfn.XLOOKUP($A589,'[1]LISTA ETIQUETAS'!$O:$O,'[1]LISTA ETIQUETAS'!F:F,"",0)</f>
        <v>0</v>
      </c>
      <c r="S589" s="2">
        <f>_xlfn.XLOOKUP($A589,'[1]LISTA ETIQUETAS'!$O:$O,'[1]LISTA ETIQUETAS'!H:H,"",0)</f>
        <v>3</v>
      </c>
      <c r="T589" s="9">
        <f t="shared" si="29"/>
        <v>4</v>
      </c>
    </row>
    <row r="590" spans="1:20" x14ac:dyDescent="0.25">
      <c r="A590" s="5">
        <v>88613</v>
      </c>
      <c r="B590" t="str">
        <f>IFERROR((VLOOKUP(A590,'[1]LISTA ETIQUETAS'!O:X,3,0)),"PRODUTO SEM ESTOQUE")</f>
        <v>EST LUMINARIA TOTO (LACA GRAY BRILHO)</v>
      </c>
      <c r="C590" s="10" t="s">
        <v>372</v>
      </c>
      <c r="D590" s="10" t="s">
        <v>374</v>
      </c>
      <c r="E590" s="11">
        <f>IF(VLOOKUP(A590,'[1]LISTA ETIQUETAS'!O:W,4,0)="",(VLOOKUP(A590,'[1]LISTA ETIQUETAS'!O:W,6,0)),(VLOOKUP(A590,'[1]LISTA ETIQUETAS'!O:W,4,0)))</f>
        <v>0.17</v>
      </c>
      <c r="F590" s="11">
        <f>IF(VLOOKUP(A590,'[1]LISTA ETIQUETAS'!O:W,5,0)="",(VLOOKUP(A590,'[1]LISTA ETIQUETAS'!O:W,7,0)),(VLOOKUP(A590,'[1]LISTA ETIQUETAS'!O:W,5,0)))</f>
        <v>0.17</v>
      </c>
      <c r="G590" s="11">
        <f>IFERROR((VLOOKUP(A590,'[1]LISTA ETIQUETAS'!O:X,8,0)),"")</f>
        <v>0.33</v>
      </c>
      <c r="H590" s="11">
        <f>IFERROR((VLOOKUP(A590,'[1]LISTA ETIQUETAS'!O:X,9,0)),"")</f>
        <v>0</v>
      </c>
      <c r="I590" s="12" t="str">
        <f>IFERROR((VLOOKUP(A590,'[1]LISTA ETIQUETAS'!O:Y,11,0)),"")</f>
        <v/>
      </c>
      <c r="J590" s="6">
        <v>0</v>
      </c>
      <c r="K590" s="12" t="str">
        <f t="shared" si="27"/>
        <v/>
      </c>
      <c r="L590" s="7" t="str">
        <f>IF(VLOOKUP(A590,'[1]LISTA ETIQUETAS'!O:AB,14,0)="","",(VLOOKUP(A590,'[1]LISTA ETIQUETAS'!O:AB,14,0)))</f>
        <v/>
      </c>
      <c r="M590" s="8"/>
      <c r="N590" s="9">
        <f t="shared" si="28"/>
        <v>88613</v>
      </c>
      <c r="O590" s="2">
        <f>_xlfn.XLOOKUP($A590,'[1]LISTA ETIQUETAS'!$O:$O,'[1]LISTA ETIQUETAS'!C:C,"",0)</f>
        <v>0</v>
      </c>
      <c r="P590" s="2">
        <f>_xlfn.XLOOKUP($A590,'[1]LISTA ETIQUETAS'!$O:$O,'[1]LISTA ETIQUETAS'!D:D,"",0)</f>
        <v>0</v>
      </c>
      <c r="Q590" s="2">
        <f>_xlfn.XLOOKUP($A590,'[1]LISTA ETIQUETAS'!$O:$O,'[1]LISTA ETIQUETAS'!E:E,"",0)</f>
        <v>0</v>
      </c>
      <c r="R590" s="2">
        <f>_xlfn.XLOOKUP($A590,'[1]LISTA ETIQUETAS'!$O:$O,'[1]LISTA ETIQUETAS'!F:F,"",0)</f>
        <v>0</v>
      </c>
      <c r="S590" s="2">
        <f>_xlfn.XLOOKUP($A590,'[1]LISTA ETIQUETAS'!$O:$O,'[1]LISTA ETIQUETAS'!H:H,"",0)</f>
        <v>1</v>
      </c>
      <c r="T590" s="9">
        <f t="shared" si="29"/>
        <v>1</v>
      </c>
    </row>
    <row r="591" spans="1:20" x14ac:dyDescent="0.25">
      <c r="A591" s="5">
        <v>179054</v>
      </c>
      <c r="B591" t="str">
        <f>IFERROR((VLOOKUP(A591,'[1]LISTA ETIQUETAS'!O:X,3,0)),"PRODUTO SEM ESTOQUE")</f>
        <v>EST LUMINARIA LUMIER (NOGUEIRA) (DET LATAO) (CUPULA CRU)</v>
      </c>
      <c r="C591" s="10" t="s">
        <v>372</v>
      </c>
      <c r="D591" s="10" t="s">
        <v>375</v>
      </c>
      <c r="E591" s="11">
        <f>IF(VLOOKUP(A591,'[1]LISTA ETIQUETAS'!O:W,4,0)="",(VLOOKUP(A591,'[1]LISTA ETIQUETAS'!O:W,6,0)),(VLOOKUP(A591,'[1]LISTA ETIQUETAS'!O:W,4,0)))</f>
        <v>0.45</v>
      </c>
      <c r="F591" s="11">
        <f>IF(VLOOKUP(A591,'[1]LISTA ETIQUETAS'!O:W,5,0)="",(VLOOKUP(A591,'[1]LISTA ETIQUETAS'!O:W,7,0)),(VLOOKUP(A591,'[1]LISTA ETIQUETAS'!O:W,5,0)))</f>
        <v>0</v>
      </c>
      <c r="G591" s="11">
        <f>IFERROR((VLOOKUP(A591,'[1]LISTA ETIQUETAS'!O:X,8,0)),"")</f>
        <v>1.7</v>
      </c>
      <c r="H591" s="11">
        <f>IFERROR((VLOOKUP(A591,'[1]LISTA ETIQUETAS'!O:X,9,0)),"")</f>
        <v>0.45</v>
      </c>
      <c r="I591" s="12">
        <f>IFERROR((VLOOKUP(A591,'[1]LISTA ETIQUETAS'!O:Y,11,0)),"")</f>
        <v>12544</v>
      </c>
      <c r="J591" s="6">
        <v>0</v>
      </c>
      <c r="K591" s="12">
        <f t="shared" si="27"/>
        <v>12544</v>
      </c>
      <c r="L591" s="7" t="str">
        <f>IF(VLOOKUP(A591,'[1]LISTA ETIQUETAS'!O:AB,14,0)="","",(VLOOKUP(A591,'[1]LISTA ETIQUETAS'!O:AB,14,0)))</f>
        <v/>
      </c>
      <c r="M591" s="8"/>
      <c r="N591" s="9">
        <f t="shared" si="28"/>
        <v>179054</v>
      </c>
      <c r="O591" s="2">
        <f>_xlfn.XLOOKUP($A591,'[1]LISTA ETIQUETAS'!$O:$O,'[1]LISTA ETIQUETAS'!C:C,"",0)</f>
        <v>0</v>
      </c>
      <c r="P591" s="2">
        <f>_xlfn.XLOOKUP($A591,'[1]LISTA ETIQUETAS'!$O:$O,'[1]LISTA ETIQUETAS'!D:D,"",0)</f>
        <v>0</v>
      </c>
      <c r="Q591" s="2">
        <f>_xlfn.XLOOKUP($A591,'[1]LISTA ETIQUETAS'!$O:$O,'[1]LISTA ETIQUETAS'!E:E,"",0)</f>
        <v>0</v>
      </c>
      <c r="R591" s="2">
        <f>_xlfn.XLOOKUP($A591,'[1]LISTA ETIQUETAS'!$O:$O,'[1]LISTA ETIQUETAS'!F:F,"",0)</f>
        <v>0</v>
      </c>
      <c r="S591" s="2">
        <f>_xlfn.XLOOKUP($A591,'[1]LISTA ETIQUETAS'!$O:$O,'[1]LISTA ETIQUETAS'!H:H,"",0)</f>
        <v>1</v>
      </c>
      <c r="T591" s="9">
        <f t="shared" si="29"/>
        <v>1</v>
      </c>
    </row>
    <row r="592" spans="1:20" x14ac:dyDescent="0.25">
      <c r="A592" s="5">
        <v>224170</v>
      </c>
      <c r="B592" t="str">
        <f>IFERROR((VLOOKUP(A592,'[1]LISTA ETIQUETAS'!O:X,3,0)),"PRODUTO SEM ESTOQUE")</f>
        <v>EST LUMINARIA PAREDE PINN (MOD 6) (PRETO TXT) (LEITOSO)</v>
      </c>
      <c r="C592" s="10" t="s">
        <v>372</v>
      </c>
      <c r="D592" s="10" t="s">
        <v>376</v>
      </c>
      <c r="E592" s="11">
        <f>IF(VLOOKUP(A592,'[1]LISTA ETIQUETAS'!O:W,4,0)="",(VLOOKUP(A592,'[1]LISTA ETIQUETAS'!O:W,6,0)),(VLOOKUP(A592,'[1]LISTA ETIQUETAS'!O:W,4,0)))</f>
        <v>1.01</v>
      </c>
      <c r="F592" s="11">
        <f>IF(VLOOKUP(A592,'[1]LISTA ETIQUETAS'!O:W,5,0)="",(VLOOKUP(A592,'[1]LISTA ETIQUETAS'!O:W,7,0)),(VLOOKUP(A592,'[1]LISTA ETIQUETAS'!O:W,5,0)))</f>
        <v>0.16</v>
      </c>
      <c r="G592" s="11">
        <f>IFERROR((VLOOKUP(A592,'[1]LISTA ETIQUETAS'!O:X,8,0)),"")</f>
        <v>1.1000000000000001</v>
      </c>
      <c r="H592" s="11">
        <f>IFERROR((VLOOKUP(A592,'[1]LISTA ETIQUETAS'!O:X,9,0)),"")</f>
        <v>0</v>
      </c>
      <c r="I592" s="12" t="str">
        <f>IFERROR((VLOOKUP(A592,'[1]LISTA ETIQUETAS'!O:Y,11,0)),"")</f>
        <v/>
      </c>
      <c r="J592" s="6">
        <v>0</v>
      </c>
      <c r="K592" s="12" t="str">
        <f t="shared" si="27"/>
        <v/>
      </c>
      <c r="L592" s="7" t="str">
        <f>IF(VLOOKUP(A592,'[1]LISTA ETIQUETAS'!O:AB,14,0)="","",(VLOOKUP(A592,'[1]LISTA ETIQUETAS'!O:AB,14,0)))</f>
        <v/>
      </c>
      <c r="M592" s="8"/>
      <c r="N592" s="9">
        <f t="shared" si="28"/>
        <v>224170</v>
      </c>
      <c r="O592" s="2">
        <f>_xlfn.XLOOKUP($A592,'[1]LISTA ETIQUETAS'!$O:$O,'[1]LISTA ETIQUETAS'!C:C,"",0)</f>
        <v>0</v>
      </c>
      <c r="P592" s="2">
        <f>_xlfn.XLOOKUP($A592,'[1]LISTA ETIQUETAS'!$O:$O,'[1]LISTA ETIQUETAS'!D:D,"",0)</f>
        <v>0</v>
      </c>
      <c r="Q592" s="2">
        <f>_xlfn.XLOOKUP($A592,'[1]LISTA ETIQUETAS'!$O:$O,'[1]LISTA ETIQUETAS'!E:E,"",0)</f>
        <v>0</v>
      </c>
      <c r="R592" s="2">
        <f>_xlfn.XLOOKUP($A592,'[1]LISTA ETIQUETAS'!$O:$O,'[1]LISTA ETIQUETAS'!F:F,"",0)</f>
        <v>0</v>
      </c>
      <c r="S592" s="2">
        <f>_xlfn.XLOOKUP($A592,'[1]LISTA ETIQUETAS'!$O:$O,'[1]LISTA ETIQUETAS'!H:H,"",0)</f>
        <v>1</v>
      </c>
      <c r="T592" s="9">
        <f t="shared" si="29"/>
        <v>1</v>
      </c>
    </row>
    <row r="593" spans="1:20" x14ac:dyDescent="0.25">
      <c r="A593" s="5">
        <v>312452</v>
      </c>
      <c r="B593" t="str">
        <f>IFERROR((VLOOKUP(A593,'[1]LISTA ETIQUETAS'!O:X,3,0)),"PRODUTO SEM ESTOQUE")</f>
        <v>EST LUMINARIA DE TETO STRETCH II (3112)</v>
      </c>
      <c r="C593" s="10" t="s">
        <v>372</v>
      </c>
      <c r="D593" s="10" t="s">
        <v>377</v>
      </c>
      <c r="E593" s="11">
        <f>IF(VLOOKUP(A593,'[1]LISTA ETIQUETAS'!O:W,4,0)="",(VLOOKUP(A593,'[1]LISTA ETIQUETAS'!O:W,6,0)),(VLOOKUP(A593,'[1]LISTA ETIQUETAS'!O:W,4,0)))</f>
        <v>0</v>
      </c>
      <c r="F593" s="11">
        <f>IF(VLOOKUP(A593,'[1]LISTA ETIQUETAS'!O:W,5,0)="",(VLOOKUP(A593,'[1]LISTA ETIQUETAS'!O:W,7,0)),(VLOOKUP(A593,'[1]LISTA ETIQUETAS'!O:W,5,0)))</f>
        <v>0</v>
      </c>
      <c r="G593" s="11">
        <f>IFERROR((VLOOKUP(A593,'[1]LISTA ETIQUETAS'!O:X,8,0)),"")</f>
        <v>0</v>
      </c>
      <c r="H593" s="11">
        <f>IFERROR((VLOOKUP(A593,'[1]LISTA ETIQUETAS'!O:X,9,0)),"")</f>
        <v>0</v>
      </c>
      <c r="I593" s="12">
        <f>IFERROR((VLOOKUP(A593,'[1]LISTA ETIQUETAS'!O:Y,11,0)),"")</f>
        <v>2352</v>
      </c>
      <c r="J593" s="6">
        <v>0</v>
      </c>
      <c r="K593" s="12">
        <f t="shared" si="27"/>
        <v>2352</v>
      </c>
      <c r="L593" s="7" t="str">
        <f>IF(VLOOKUP(A593,'[1]LISTA ETIQUETAS'!O:AB,14,0)="","",(VLOOKUP(A593,'[1]LISTA ETIQUETAS'!O:AB,14,0)))</f>
        <v/>
      </c>
      <c r="M593" s="8"/>
      <c r="N593" s="9">
        <f t="shared" si="28"/>
        <v>312452</v>
      </c>
      <c r="O593" s="2">
        <f>_xlfn.XLOOKUP($A593,'[1]LISTA ETIQUETAS'!$O:$O,'[1]LISTA ETIQUETAS'!C:C,"",0)</f>
        <v>0</v>
      </c>
      <c r="P593" s="2">
        <f>_xlfn.XLOOKUP($A593,'[1]LISTA ETIQUETAS'!$O:$O,'[1]LISTA ETIQUETAS'!D:D,"",0)</f>
        <v>2</v>
      </c>
      <c r="Q593" s="2">
        <f>_xlfn.XLOOKUP($A593,'[1]LISTA ETIQUETAS'!$O:$O,'[1]LISTA ETIQUETAS'!E:E,"",0)</f>
        <v>0</v>
      </c>
      <c r="R593" s="2">
        <f>_xlfn.XLOOKUP($A593,'[1]LISTA ETIQUETAS'!$O:$O,'[1]LISTA ETIQUETAS'!F:F,"",0)</f>
        <v>0</v>
      </c>
      <c r="S593" s="2">
        <f>_xlfn.XLOOKUP($A593,'[1]LISTA ETIQUETAS'!$O:$O,'[1]LISTA ETIQUETAS'!H:H,"",0)</f>
        <v>2</v>
      </c>
      <c r="T593" s="9">
        <f t="shared" si="29"/>
        <v>4</v>
      </c>
    </row>
    <row r="594" spans="1:20" x14ac:dyDescent="0.25">
      <c r="A594" s="5">
        <v>312451</v>
      </c>
      <c r="B594" t="str">
        <f>IFERROR((VLOOKUP(A594,'[1]LISTA ETIQUETAS'!O:X,3,0)),"PRODUTO SEM ESTOQUE")</f>
        <v>EST LUMINARIA DE TETO STRETCH I (3111)</v>
      </c>
      <c r="C594" s="10" t="s">
        <v>372</v>
      </c>
      <c r="D594" s="10" t="s">
        <v>377</v>
      </c>
      <c r="E594" s="11">
        <f>IF(VLOOKUP(A594,'[1]LISTA ETIQUETAS'!O:W,4,0)="",(VLOOKUP(A594,'[1]LISTA ETIQUETAS'!O:W,6,0)),(VLOOKUP(A594,'[1]LISTA ETIQUETAS'!O:W,4,0)))</f>
        <v>0</v>
      </c>
      <c r="F594" s="11">
        <f>IF(VLOOKUP(A594,'[1]LISTA ETIQUETAS'!O:W,5,0)="",(VLOOKUP(A594,'[1]LISTA ETIQUETAS'!O:W,7,0)),(VLOOKUP(A594,'[1]LISTA ETIQUETAS'!O:W,5,0)))</f>
        <v>0</v>
      </c>
      <c r="G594" s="11">
        <f>IFERROR((VLOOKUP(A594,'[1]LISTA ETIQUETAS'!O:X,8,0)),"")</f>
        <v>0</v>
      </c>
      <c r="H594" s="11">
        <f>IFERROR((VLOOKUP(A594,'[1]LISTA ETIQUETAS'!O:X,9,0)),"")</f>
        <v>0</v>
      </c>
      <c r="I594" s="12">
        <f>IFERROR((VLOOKUP(A594,'[1]LISTA ETIQUETAS'!O:Y,11,0)),"")</f>
        <v>2217.6</v>
      </c>
      <c r="J594" s="6">
        <v>0</v>
      </c>
      <c r="K594" s="12">
        <f t="shared" si="27"/>
        <v>2217.6</v>
      </c>
      <c r="L594" s="7" t="str">
        <f>IF(VLOOKUP(A594,'[1]LISTA ETIQUETAS'!O:AB,14,0)="","",(VLOOKUP(A594,'[1]LISTA ETIQUETAS'!O:AB,14,0)))</f>
        <v/>
      </c>
      <c r="M594" s="8"/>
      <c r="N594" s="9">
        <f t="shared" si="28"/>
        <v>312451</v>
      </c>
      <c r="O594" s="2">
        <f>_xlfn.XLOOKUP($A594,'[1]LISTA ETIQUETAS'!$O:$O,'[1]LISTA ETIQUETAS'!C:C,"",0)</f>
        <v>0</v>
      </c>
      <c r="P594" s="2">
        <f>_xlfn.XLOOKUP($A594,'[1]LISTA ETIQUETAS'!$O:$O,'[1]LISTA ETIQUETAS'!D:D,"",0)</f>
        <v>2</v>
      </c>
      <c r="Q594" s="2">
        <f>_xlfn.XLOOKUP($A594,'[1]LISTA ETIQUETAS'!$O:$O,'[1]LISTA ETIQUETAS'!E:E,"",0)</f>
        <v>0</v>
      </c>
      <c r="R594" s="2">
        <f>_xlfn.XLOOKUP($A594,'[1]LISTA ETIQUETAS'!$O:$O,'[1]LISTA ETIQUETAS'!F:F,"",0)</f>
        <v>0</v>
      </c>
      <c r="S594" s="2">
        <f>_xlfn.XLOOKUP($A594,'[1]LISTA ETIQUETAS'!$O:$O,'[1]LISTA ETIQUETAS'!H:H,"",0)</f>
        <v>2</v>
      </c>
      <c r="T594" s="9">
        <f t="shared" si="29"/>
        <v>4</v>
      </c>
    </row>
    <row r="595" spans="1:20" x14ac:dyDescent="0.25">
      <c r="A595" s="5">
        <v>335084</v>
      </c>
      <c r="B595" t="str">
        <f>IFERROR((VLOOKUP(A595,'[1]LISTA ETIQUETAS'!O:X,3,0)),"PRODUTO SEM ESTOQUE")</f>
        <v>EST LUMINARIA PISO TROY (2101) ACO/JEQ NT/CUP LIN OFF WHITE</v>
      </c>
      <c r="C595" s="10" t="s">
        <v>372</v>
      </c>
      <c r="D595" s="10" t="s">
        <v>378</v>
      </c>
      <c r="E595" s="11">
        <f>IF(VLOOKUP(A595,'[1]LISTA ETIQUETAS'!O:W,4,0)="",(VLOOKUP(A595,'[1]LISTA ETIQUETAS'!O:W,6,0)),(VLOOKUP(A595,'[1]LISTA ETIQUETAS'!O:W,4,0)))</f>
        <v>0</v>
      </c>
      <c r="F595" s="11">
        <f>IF(VLOOKUP(A595,'[1]LISTA ETIQUETAS'!O:W,5,0)="",(VLOOKUP(A595,'[1]LISTA ETIQUETAS'!O:W,7,0)),(VLOOKUP(A595,'[1]LISTA ETIQUETAS'!O:W,5,0)))</f>
        <v>0</v>
      </c>
      <c r="G595" s="11">
        <f>IFERROR((VLOOKUP(A595,'[1]LISTA ETIQUETAS'!O:X,8,0)),"")</f>
        <v>0</v>
      </c>
      <c r="H595" s="11">
        <f>IFERROR((VLOOKUP(A595,'[1]LISTA ETIQUETAS'!O:X,9,0)),"")</f>
        <v>0</v>
      </c>
      <c r="I595" s="12">
        <f>IFERROR((VLOOKUP(A595,'[1]LISTA ETIQUETAS'!O:Y,11,0)),"")</f>
        <v>5152</v>
      </c>
      <c r="J595" s="6">
        <v>0</v>
      </c>
      <c r="K595" s="12">
        <f t="shared" si="27"/>
        <v>5152</v>
      </c>
      <c r="L595" s="7" t="str">
        <f>IF(VLOOKUP(A595,'[1]LISTA ETIQUETAS'!O:AB,14,0)="","",(VLOOKUP(A595,'[1]LISTA ETIQUETAS'!O:AB,14,0)))</f>
        <v/>
      </c>
      <c r="M595" s="8"/>
      <c r="N595" s="9">
        <f t="shared" si="28"/>
        <v>335084</v>
      </c>
      <c r="O595" s="2">
        <f>_xlfn.XLOOKUP($A595,'[1]LISTA ETIQUETAS'!$O:$O,'[1]LISTA ETIQUETAS'!C:C,"",0)</f>
        <v>1</v>
      </c>
      <c r="P595" s="2">
        <f>_xlfn.XLOOKUP($A595,'[1]LISTA ETIQUETAS'!$O:$O,'[1]LISTA ETIQUETAS'!D:D,"",0)</f>
        <v>0</v>
      </c>
      <c r="Q595" s="2">
        <f>_xlfn.XLOOKUP($A595,'[1]LISTA ETIQUETAS'!$O:$O,'[1]LISTA ETIQUETAS'!E:E,"",0)</f>
        <v>1</v>
      </c>
      <c r="R595" s="2">
        <f>_xlfn.XLOOKUP($A595,'[1]LISTA ETIQUETAS'!$O:$O,'[1]LISTA ETIQUETAS'!F:F,"",0)</f>
        <v>0</v>
      </c>
      <c r="S595" s="2">
        <f>_xlfn.XLOOKUP($A595,'[1]LISTA ETIQUETAS'!$O:$O,'[1]LISTA ETIQUETAS'!H:H,"",0)</f>
        <v>1</v>
      </c>
      <c r="T595" s="9">
        <f t="shared" si="29"/>
        <v>3</v>
      </c>
    </row>
    <row r="596" spans="1:20" x14ac:dyDescent="0.25">
      <c r="A596" s="5">
        <v>274746</v>
      </c>
      <c r="B596" t="str">
        <f>IFERROR((VLOOKUP(A596,'[1]LISTA ETIQUETAS'!O:X,3,0)),"PRODUTO SEM ESTOQUE")</f>
        <v>EST MESA CENTRO PISAC (RED) (MTZ CAPUCCINO) (LAMINA WALNUT)</v>
      </c>
      <c r="C596" s="10" t="s">
        <v>21</v>
      </c>
      <c r="D596" s="10" t="s">
        <v>379</v>
      </c>
      <c r="E596" s="11">
        <f>IF(VLOOKUP(A596,'[1]LISTA ETIQUETAS'!O:W,4,0)="",(VLOOKUP(A596,'[1]LISTA ETIQUETAS'!O:W,6,0)),(VLOOKUP(A596,'[1]LISTA ETIQUETAS'!O:W,4,0)))</f>
        <v>0.9</v>
      </c>
      <c r="F596" s="11">
        <f>IF(VLOOKUP(A596,'[1]LISTA ETIQUETAS'!O:W,5,0)="",(VLOOKUP(A596,'[1]LISTA ETIQUETAS'!O:W,7,0)),(VLOOKUP(A596,'[1]LISTA ETIQUETAS'!O:W,5,0)))</f>
        <v>0</v>
      </c>
      <c r="G596" s="11">
        <f>IFERROR((VLOOKUP(A596,'[1]LISTA ETIQUETAS'!O:X,8,0)),"")</f>
        <v>0.3</v>
      </c>
      <c r="H596" s="11">
        <f>IFERROR((VLOOKUP(A596,'[1]LISTA ETIQUETAS'!O:X,9,0)),"")</f>
        <v>0.9</v>
      </c>
      <c r="I596" s="12">
        <f>IFERROR((VLOOKUP(A596,'[1]LISTA ETIQUETAS'!O:Y,11,0)),"")</f>
        <v>15007.73</v>
      </c>
      <c r="J596" s="6">
        <v>0</v>
      </c>
      <c r="K596" s="12">
        <f t="shared" si="27"/>
        <v>15007.73</v>
      </c>
      <c r="L596" s="7" t="str">
        <f>IF(VLOOKUP(A596,'[1]LISTA ETIQUETAS'!O:AB,14,0)="","",(VLOOKUP(A596,'[1]LISTA ETIQUETAS'!O:AB,14,0)))</f>
        <v/>
      </c>
      <c r="M596" s="8"/>
      <c r="N596" s="9">
        <f t="shared" si="28"/>
        <v>274746</v>
      </c>
      <c r="O596" s="2">
        <f>_xlfn.XLOOKUP($A596,'[1]LISTA ETIQUETAS'!$O:$O,'[1]LISTA ETIQUETAS'!C:C,"",0)</f>
        <v>0</v>
      </c>
      <c r="P596" s="2">
        <f>_xlfn.XLOOKUP($A596,'[1]LISTA ETIQUETAS'!$O:$O,'[1]LISTA ETIQUETAS'!D:D,"",0)</f>
        <v>1</v>
      </c>
      <c r="Q596" s="2">
        <f>_xlfn.XLOOKUP($A596,'[1]LISTA ETIQUETAS'!$O:$O,'[1]LISTA ETIQUETAS'!E:E,"",0)</f>
        <v>0</v>
      </c>
      <c r="R596" s="2">
        <f>_xlfn.XLOOKUP($A596,'[1]LISTA ETIQUETAS'!$O:$O,'[1]LISTA ETIQUETAS'!F:F,"",0)</f>
        <v>0</v>
      </c>
      <c r="S596" s="2">
        <f>_xlfn.XLOOKUP($A596,'[1]LISTA ETIQUETAS'!$O:$O,'[1]LISTA ETIQUETAS'!H:H,"",0)</f>
        <v>1</v>
      </c>
      <c r="T596" s="9">
        <f t="shared" si="29"/>
        <v>2</v>
      </c>
    </row>
    <row r="597" spans="1:20" x14ac:dyDescent="0.25">
      <c r="A597" s="5">
        <v>307934</v>
      </c>
      <c r="B597" t="str">
        <f>IFERROR((VLOOKUP(A597,'[1]LISTA ETIQUETAS'!O:X,3,0)),"PRODUTO SEM ESTOQUE")</f>
        <v>EST MESA CENTRO CRUX (DES) (LAM 2 FREIJO/OFF WHT) (BS LATAO)</v>
      </c>
      <c r="C597" s="10" t="s">
        <v>21</v>
      </c>
      <c r="D597" s="10" t="s">
        <v>380</v>
      </c>
      <c r="E597" s="11">
        <f>IF(VLOOKUP(A597,'[1]LISTA ETIQUETAS'!O:W,4,0)="",(VLOOKUP(A597,'[1]LISTA ETIQUETAS'!O:W,6,0)),(VLOOKUP(A597,'[1]LISTA ETIQUETAS'!O:W,4,0)))</f>
        <v>1.6</v>
      </c>
      <c r="F597" s="11">
        <f>IF(VLOOKUP(A597,'[1]LISTA ETIQUETAS'!O:W,5,0)="",(VLOOKUP(A597,'[1]LISTA ETIQUETAS'!O:W,7,0)),(VLOOKUP(A597,'[1]LISTA ETIQUETAS'!O:W,5,0)))</f>
        <v>1</v>
      </c>
      <c r="G597" s="11">
        <f>IFERROR((VLOOKUP(A597,'[1]LISTA ETIQUETAS'!O:X,8,0)),"")</f>
        <v>0.35</v>
      </c>
      <c r="H597" s="11">
        <f>IFERROR((VLOOKUP(A597,'[1]LISTA ETIQUETAS'!O:X,9,0)),"")</f>
        <v>0</v>
      </c>
      <c r="I597" s="12">
        <f>IFERROR((VLOOKUP(A597,'[1]LISTA ETIQUETAS'!O:Y,11,0)),"")</f>
        <v>16385.64</v>
      </c>
      <c r="J597" s="6">
        <v>0</v>
      </c>
      <c r="K597" s="12">
        <f t="shared" si="27"/>
        <v>16385.64</v>
      </c>
      <c r="L597" s="7" t="str">
        <f>IF(VLOOKUP(A597,'[1]LISTA ETIQUETAS'!O:AB,14,0)="","",(VLOOKUP(A597,'[1]LISTA ETIQUETAS'!O:AB,14,0)))</f>
        <v/>
      </c>
      <c r="M597" s="8"/>
      <c r="N597" s="9">
        <f t="shared" si="28"/>
        <v>307934</v>
      </c>
      <c r="O597" s="2">
        <f>_xlfn.XLOOKUP($A597,'[1]LISTA ETIQUETAS'!$O:$O,'[1]LISTA ETIQUETAS'!C:C,"",0)</f>
        <v>0</v>
      </c>
      <c r="P597" s="2">
        <f>_xlfn.XLOOKUP($A597,'[1]LISTA ETIQUETAS'!$O:$O,'[1]LISTA ETIQUETAS'!D:D,"",0)</f>
        <v>0</v>
      </c>
      <c r="Q597" s="2">
        <f>_xlfn.XLOOKUP($A597,'[1]LISTA ETIQUETAS'!$O:$O,'[1]LISTA ETIQUETAS'!E:E,"",0)</f>
        <v>0</v>
      </c>
      <c r="R597" s="2">
        <f>_xlfn.XLOOKUP($A597,'[1]LISTA ETIQUETAS'!$O:$O,'[1]LISTA ETIQUETAS'!F:F,"",0)</f>
        <v>0</v>
      </c>
      <c r="S597" s="2">
        <f>_xlfn.XLOOKUP($A597,'[1]LISTA ETIQUETAS'!$O:$O,'[1]LISTA ETIQUETAS'!H:H,"",0)</f>
        <v>1</v>
      </c>
      <c r="T597" s="9">
        <f t="shared" si="29"/>
        <v>1</v>
      </c>
    </row>
    <row r="598" spans="1:20" x14ac:dyDescent="0.25">
      <c r="A598" s="5">
        <v>276469</v>
      </c>
      <c r="B598" t="str">
        <f>IFERROR((VLOOKUP(A598,'[1]LISTA ETIQUETAS'!O:X,3,0)),"PRODUTO SEM ESTOQUE")</f>
        <v>EST MESA CENTRO CRUX (DES) (LAM 2 NOGUEIRA) (BS CHAMPAGNE)</v>
      </c>
      <c r="C598" s="10" t="s">
        <v>21</v>
      </c>
      <c r="D598" s="10" t="s">
        <v>380</v>
      </c>
      <c r="E598" s="11">
        <f>IF(VLOOKUP(A598,'[1]LISTA ETIQUETAS'!O:W,4,0)="",(VLOOKUP(A598,'[1]LISTA ETIQUETAS'!O:W,6,0)),(VLOOKUP(A598,'[1]LISTA ETIQUETAS'!O:W,4,0)))</f>
        <v>1.8</v>
      </c>
      <c r="F598" s="11">
        <f>IF(VLOOKUP(A598,'[1]LISTA ETIQUETAS'!O:W,5,0)="",(VLOOKUP(A598,'[1]LISTA ETIQUETAS'!O:W,7,0)),(VLOOKUP(A598,'[1]LISTA ETIQUETAS'!O:W,5,0)))</f>
        <v>1.1000000000000001</v>
      </c>
      <c r="G598" s="11">
        <f>IFERROR((VLOOKUP(A598,'[1]LISTA ETIQUETAS'!O:X,8,0)),"")</f>
        <v>0.3</v>
      </c>
      <c r="H598" s="11">
        <f>IFERROR((VLOOKUP(A598,'[1]LISTA ETIQUETAS'!O:X,9,0)),"")</f>
        <v>0</v>
      </c>
      <c r="I598" s="12">
        <f>IFERROR((VLOOKUP(A598,'[1]LISTA ETIQUETAS'!O:Y,11,0)),"")</f>
        <v>17835.64</v>
      </c>
      <c r="J598" s="6">
        <v>0</v>
      </c>
      <c r="K598" s="12">
        <f t="shared" si="27"/>
        <v>17835.64</v>
      </c>
      <c r="L598" s="7" t="str">
        <f>IF(VLOOKUP(A598,'[1]LISTA ETIQUETAS'!O:AB,14,0)="","",(VLOOKUP(A598,'[1]LISTA ETIQUETAS'!O:AB,14,0)))</f>
        <v/>
      </c>
      <c r="M598" s="8"/>
      <c r="N598" s="9">
        <f t="shared" si="28"/>
        <v>276469</v>
      </c>
      <c r="O598" s="2">
        <f>_xlfn.XLOOKUP($A598,'[1]LISTA ETIQUETAS'!$O:$O,'[1]LISTA ETIQUETAS'!C:C,"",0)</f>
        <v>0</v>
      </c>
      <c r="P598" s="2">
        <f>_xlfn.XLOOKUP($A598,'[1]LISTA ETIQUETAS'!$O:$O,'[1]LISTA ETIQUETAS'!D:D,"",0)</f>
        <v>0</v>
      </c>
      <c r="Q598" s="2">
        <f>_xlfn.XLOOKUP($A598,'[1]LISTA ETIQUETAS'!$O:$O,'[1]LISTA ETIQUETAS'!E:E,"",0)</f>
        <v>0</v>
      </c>
      <c r="R598" s="2">
        <f>_xlfn.XLOOKUP($A598,'[1]LISTA ETIQUETAS'!$O:$O,'[1]LISTA ETIQUETAS'!F:F,"",0)</f>
        <v>0</v>
      </c>
      <c r="S598" s="2">
        <f>_xlfn.XLOOKUP($A598,'[1]LISTA ETIQUETAS'!$O:$O,'[1]LISTA ETIQUETAS'!H:H,"",0)</f>
        <v>1</v>
      </c>
      <c r="T598" s="9">
        <f t="shared" si="29"/>
        <v>1</v>
      </c>
    </row>
    <row r="599" spans="1:20" x14ac:dyDescent="0.25">
      <c r="A599" s="5">
        <v>275008</v>
      </c>
      <c r="B599" t="str">
        <f>IFERROR((VLOOKUP(A599,'[1]LISTA ETIQUETAS'!O:X,3,0)),"PRODUTO SEM ESTOQUE")</f>
        <v>EST MESA CENTRO ARAL (TP FREIJO/BS MTX M BLANC)</v>
      </c>
      <c r="C599" s="10" t="s">
        <v>21</v>
      </c>
      <c r="D599" s="10" t="s">
        <v>381</v>
      </c>
      <c r="E599" s="11">
        <f>IF(VLOOKUP(A599,'[1]LISTA ETIQUETAS'!O:W,4,0)="",(VLOOKUP(A599,'[1]LISTA ETIQUETAS'!O:W,6,0)),(VLOOKUP(A599,'[1]LISTA ETIQUETAS'!O:W,4,0)))</f>
        <v>1.25</v>
      </c>
      <c r="F599" s="11">
        <f>IF(VLOOKUP(A599,'[1]LISTA ETIQUETAS'!O:W,5,0)="",(VLOOKUP(A599,'[1]LISTA ETIQUETAS'!O:W,7,0)),(VLOOKUP(A599,'[1]LISTA ETIQUETAS'!O:W,5,0)))</f>
        <v>1.1000000000000001</v>
      </c>
      <c r="G599" s="11">
        <f>IFERROR((VLOOKUP(A599,'[1]LISTA ETIQUETAS'!O:X,8,0)),"")</f>
        <v>0.27</v>
      </c>
      <c r="H599" s="11">
        <f>IFERROR((VLOOKUP(A599,'[1]LISTA ETIQUETAS'!O:X,9,0)),"")</f>
        <v>0</v>
      </c>
      <c r="I599" s="12">
        <f>IFERROR((VLOOKUP(A599,'[1]LISTA ETIQUETAS'!O:Y,11,0)),"")</f>
        <v>19842.86</v>
      </c>
      <c r="J599" s="6">
        <v>0</v>
      </c>
      <c r="K599" s="12">
        <f t="shared" si="27"/>
        <v>19842.86</v>
      </c>
      <c r="L599" s="7" t="str">
        <f>IF(VLOOKUP(A599,'[1]LISTA ETIQUETAS'!O:AB,14,0)="","",(VLOOKUP(A599,'[1]LISTA ETIQUETAS'!O:AB,14,0)))</f>
        <v/>
      </c>
      <c r="M599" s="8"/>
      <c r="N599" s="9">
        <f t="shared" si="28"/>
        <v>275008</v>
      </c>
      <c r="O599" s="2">
        <f>_xlfn.XLOOKUP($A599,'[1]LISTA ETIQUETAS'!$O:$O,'[1]LISTA ETIQUETAS'!C:C,"",0)</f>
        <v>0</v>
      </c>
      <c r="P599" s="2">
        <f>_xlfn.XLOOKUP($A599,'[1]LISTA ETIQUETAS'!$O:$O,'[1]LISTA ETIQUETAS'!D:D,"",0)</f>
        <v>0</v>
      </c>
      <c r="Q599" s="2">
        <f>_xlfn.XLOOKUP($A599,'[1]LISTA ETIQUETAS'!$O:$O,'[1]LISTA ETIQUETAS'!E:E,"",0)</f>
        <v>0</v>
      </c>
      <c r="R599" s="2">
        <f>_xlfn.XLOOKUP($A599,'[1]LISTA ETIQUETAS'!$O:$O,'[1]LISTA ETIQUETAS'!F:F,"",0)</f>
        <v>0</v>
      </c>
      <c r="S599" s="2">
        <f>_xlfn.XLOOKUP($A599,'[1]LISTA ETIQUETAS'!$O:$O,'[1]LISTA ETIQUETAS'!H:H,"",0)</f>
        <v>1</v>
      </c>
      <c r="T599" s="9">
        <f t="shared" si="29"/>
        <v>1</v>
      </c>
    </row>
    <row r="600" spans="1:20" x14ac:dyDescent="0.25">
      <c r="A600" s="5">
        <v>406929</v>
      </c>
      <c r="B600" t="str">
        <f>IFERROR((VLOOKUP(A600,'[1]LISTA ETIQUETAS'!O:X,3,0)),"PRODUTO SEM ESTOQUE")</f>
        <v>EST MESA CENTRO CRUX (DES) (LAM 2 FREIJO) (BS PTO FSC)</v>
      </c>
      <c r="C600" s="10" t="s">
        <v>21</v>
      </c>
      <c r="D600" s="10" t="s">
        <v>380</v>
      </c>
      <c r="E600" s="11">
        <f>IF(VLOOKUP(A600,'[1]LISTA ETIQUETAS'!O:W,4,0)="",(VLOOKUP(A600,'[1]LISTA ETIQUETAS'!O:W,6,0)),(VLOOKUP(A600,'[1]LISTA ETIQUETAS'!O:W,4,0)))</f>
        <v>1.8</v>
      </c>
      <c r="F600" s="11">
        <f>IF(VLOOKUP(A600,'[1]LISTA ETIQUETAS'!O:W,5,0)="",(VLOOKUP(A600,'[1]LISTA ETIQUETAS'!O:W,7,0)),(VLOOKUP(A600,'[1]LISTA ETIQUETAS'!O:W,5,0)))</f>
        <v>1.1000000000000001</v>
      </c>
      <c r="G600" s="11">
        <f>IFERROR((VLOOKUP(A600,'[1]LISTA ETIQUETAS'!O:X,8,0)),"")</f>
        <v>0.35</v>
      </c>
      <c r="H600" s="11">
        <f>IFERROR((VLOOKUP(A600,'[1]LISTA ETIQUETAS'!O:X,9,0)),"")</f>
        <v>0</v>
      </c>
      <c r="I600" s="12">
        <f>IFERROR((VLOOKUP(A600,'[1]LISTA ETIQUETAS'!O:Y,11,0)),"")</f>
        <v>17835.64</v>
      </c>
      <c r="J600" s="6">
        <v>0</v>
      </c>
      <c r="K600" s="12">
        <f t="shared" si="27"/>
        <v>17835.64</v>
      </c>
      <c r="L600" s="7" t="str">
        <f>IF(VLOOKUP(A600,'[1]LISTA ETIQUETAS'!O:AB,14,0)="","",(VLOOKUP(A600,'[1]LISTA ETIQUETAS'!O:AB,14,0)))</f>
        <v/>
      </c>
      <c r="M600" s="8"/>
      <c r="N600" s="9">
        <f t="shared" si="28"/>
        <v>406929</v>
      </c>
      <c r="O600" s="2">
        <f>_xlfn.XLOOKUP($A600,'[1]LISTA ETIQUETAS'!$O:$O,'[1]LISTA ETIQUETAS'!C:C,"",0)</f>
        <v>0</v>
      </c>
      <c r="P600" s="2">
        <f>_xlfn.XLOOKUP($A600,'[1]LISTA ETIQUETAS'!$O:$O,'[1]LISTA ETIQUETAS'!D:D,"",0)</f>
        <v>0</v>
      </c>
      <c r="Q600" s="2">
        <f>_xlfn.XLOOKUP($A600,'[1]LISTA ETIQUETAS'!$O:$O,'[1]LISTA ETIQUETAS'!E:E,"",0)</f>
        <v>0</v>
      </c>
      <c r="R600" s="2">
        <f>_xlfn.XLOOKUP($A600,'[1]LISTA ETIQUETAS'!$O:$O,'[1]LISTA ETIQUETAS'!F:F,"",0)</f>
        <v>0</v>
      </c>
      <c r="S600" s="2">
        <f>_xlfn.XLOOKUP($A600,'[1]LISTA ETIQUETAS'!$O:$O,'[1]LISTA ETIQUETAS'!H:H,"",0)</f>
        <v>1</v>
      </c>
      <c r="T600" s="9">
        <f t="shared" si="29"/>
        <v>1</v>
      </c>
    </row>
    <row r="601" spans="1:20" x14ac:dyDescent="0.25">
      <c r="A601" s="5">
        <v>394928</v>
      </c>
      <c r="B601" t="str">
        <f>IFERROR((VLOOKUP(A601,'[1]LISTA ETIQUETAS'!O:X,3,0)),"PRODUTO SEM ESTOQUE")</f>
        <v>EST MESA CENTRO ESSENCE OBLONGO (MTZ GOLDEN) CLEAR/ESP CARV</v>
      </c>
      <c r="C601" s="10" t="s">
        <v>21</v>
      </c>
      <c r="D601" s="10" t="s">
        <v>382</v>
      </c>
      <c r="E601" s="11">
        <f>IF(VLOOKUP(A601,'[1]LISTA ETIQUETAS'!O:W,4,0)="",(VLOOKUP(A601,'[1]LISTA ETIQUETAS'!O:W,6,0)),(VLOOKUP(A601,'[1]LISTA ETIQUETAS'!O:W,4,0)))</f>
        <v>1.58</v>
      </c>
      <c r="F601" s="11">
        <f>IF(VLOOKUP(A601,'[1]LISTA ETIQUETAS'!O:W,5,0)="",(VLOOKUP(A601,'[1]LISTA ETIQUETAS'!O:W,7,0)),(VLOOKUP(A601,'[1]LISTA ETIQUETAS'!O:W,5,0)))</f>
        <v>1.2</v>
      </c>
      <c r="G601" s="11">
        <f>IFERROR((VLOOKUP(A601,'[1]LISTA ETIQUETAS'!O:X,8,0)),"")</f>
        <v>0.3</v>
      </c>
      <c r="H601" s="11">
        <f>IFERROR((VLOOKUP(A601,'[1]LISTA ETIQUETAS'!O:X,9,0)),"")</f>
        <v>0</v>
      </c>
      <c r="I601" s="12">
        <f>IFERROR((VLOOKUP(A601,'[1]LISTA ETIQUETAS'!O:Y,11,0)),"")</f>
        <v>21664.34</v>
      </c>
      <c r="J601" s="6">
        <v>0</v>
      </c>
      <c r="K601" s="12">
        <f t="shared" si="27"/>
        <v>21664.34</v>
      </c>
      <c r="L601" s="7" t="str">
        <f>IF(VLOOKUP(A601,'[1]LISTA ETIQUETAS'!O:AB,14,0)="","",(VLOOKUP(A601,'[1]LISTA ETIQUETAS'!O:AB,14,0)))</f>
        <v/>
      </c>
      <c r="M601" s="8"/>
      <c r="N601" s="9">
        <f t="shared" si="28"/>
        <v>394928</v>
      </c>
      <c r="O601" s="2">
        <f>_xlfn.XLOOKUP($A601,'[1]LISTA ETIQUETAS'!$O:$O,'[1]LISTA ETIQUETAS'!C:C,"",0)</f>
        <v>0</v>
      </c>
      <c r="P601" s="2">
        <f>_xlfn.XLOOKUP($A601,'[1]LISTA ETIQUETAS'!$O:$O,'[1]LISTA ETIQUETAS'!D:D,"",0)</f>
        <v>0</v>
      </c>
      <c r="Q601" s="2">
        <f>_xlfn.XLOOKUP($A601,'[1]LISTA ETIQUETAS'!$O:$O,'[1]LISTA ETIQUETAS'!E:E,"",0)</f>
        <v>0</v>
      </c>
      <c r="R601" s="2">
        <f>_xlfn.XLOOKUP($A601,'[1]LISTA ETIQUETAS'!$O:$O,'[1]LISTA ETIQUETAS'!F:F,"",0)</f>
        <v>0</v>
      </c>
      <c r="S601" s="2">
        <f>_xlfn.XLOOKUP($A601,'[1]LISTA ETIQUETAS'!$O:$O,'[1]LISTA ETIQUETAS'!H:H,"",0)</f>
        <v>1</v>
      </c>
      <c r="T601" s="9">
        <f t="shared" si="29"/>
        <v>1</v>
      </c>
    </row>
    <row r="602" spans="1:20" x14ac:dyDescent="0.25">
      <c r="A602" s="5">
        <v>378477</v>
      </c>
      <c r="B602" t="str">
        <f>IFERROR((VLOOKUP(A602,'[1]LISTA ETIQUETAS'!O:X,3,0)),"PRODUTO SEM ESTOQUE")</f>
        <v>EST MESA CENTRO HIMALAYA (CLAS) (TP MARM NEW ROME) (WALNUT)</v>
      </c>
      <c r="C602" s="10" t="s">
        <v>21</v>
      </c>
      <c r="D602" s="10" t="s">
        <v>383</v>
      </c>
      <c r="E602" s="11">
        <f>IF(VLOOKUP(A602,'[1]LISTA ETIQUETAS'!O:W,4,0)="",(VLOOKUP(A602,'[1]LISTA ETIQUETAS'!O:W,6,0)),(VLOOKUP(A602,'[1]LISTA ETIQUETAS'!O:W,4,0)))</f>
        <v>1.2</v>
      </c>
      <c r="F602" s="11">
        <f>IF(VLOOKUP(A602,'[1]LISTA ETIQUETAS'!O:W,5,0)="",(VLOOKUP(A602,'[1]LISTA ETIQUETAS'!O:W,7,0)),(VLOOKUP(A602,'[1]LISTA ETIQUETAS'!O:W,5,0)))</f>
        <v>0</v>
      </c>
      <c r="G602" s="11">
        <f>IFERROR((VLOOKUP(A602,'[1]LISTA ETIQUETAS'!O:X,8,0)),"")</f>
        <v>0.35</v>
      </c>
      <c r="H602" s="11">
        <f>IFERROR((VLOOKUP(A602,'[1]LISTA ETIQUETAS'!O:X,9,0)),"")</f>
        <v>1.2</v>
      </c>
      <c r="I602" s="12">
        <f>IFERROR((VLOOKUP(A602,'[1]LISTA ETIQUETAS'!O:Y,11,0)),"")</f>
        <v>43885.41</v>
      </c>
      <c r="J602" s="6">
        <v>0</v>
      </c>
      <c r="K602" s="12">
        <f t="shared" si="27"/>
        <v>43885.41</v>
      </c>
      <c r="L602" s="7" t="str">
        <f>IF(VLOOKUP(A602,'[1]LISTA ETIQUETAS'!O:AB,14,0)="","",(VLOOKUP(A602,'[1]LISTA ETIQUETAS'!O:AB,14,0)))</f>
        <v/>
      </c>
      <c r="M602" s="8"/>
      <c r="N602" s="9">
        <f t="shared" si="28"/>
        <v>378477</v>
      </c>
      <c r="O602" s="2">
        <f>_xlfn.XLOOKUP($A602,'[1]LISTA ETIQUETAS'!$O:$O,'[1]LISTA ETIQUETAS'!C:C,"",0)</f>
        <v>0</v>
      </c>
      <c r="P602" s="2">
        <f>_xlfn.XLOOKUP($A602,'[1]LISTA ETIQUETAS'!$O:$O,'[1]LISTA ETIQUETAS'!D:D,"",0)</f>
        <v>0</v>
      </c>
      <c r="Q602" s="2">
        <f>_xlfn.XLOOKUP($A602,'[1]LISTA ETIQUETAS'!$O:$O,'[1]LISTA ETIQUETAS'!E:E,"",0)</f>
        <v>0</v>
      </c>
      <c r="R602" s="2">
        <f>_xlfn.XLOOKUP($A602,'[1]LISTA ETIQUETAS'!$O:$O,'[1]LISTA ETIQUETAS'!F:F,"",0)</f>
        <v>0</v>
      </c>
      <c r="S602" s="2">
        <f>_xlfn.XLOOKUP($A602,'[1]LISTA ETIQUETAS'!$O:$O,'[1]LISTA ETIQUETAS'!H:H,"",0)</f>
        <v>1</v>
      </c>
      <c r="T602" s="9">
        <f t="shared" si="29"/>
        <v>1</v>
      </c>
    </row>
    <row r="603" spans="1:20" x14ac:dyDescent="0.25">
      <c r="A603" s="5">
        <v>400396</v>
      </c>
      <c r="B603" t="str">
        <f>IFERROR((VLOOKUP(A603,'[1]LISTA ETIQUETAS'!O:X,3,0)),"PRODUTO SEM ESTOQUE")</f>
        <v>EST MESA CENTRO ECLIPSE (TPO LAMINA TABACO) (SUP BZE ARMANI)</v>
      </c>
      <c r="C603" s="10" t="s">
        <v>21</v>
      </c>
      <c r="D603" s="10" t="s">
        <v>384</v>
      </c>
      <c r="E603" s="11">
        <f>IF(VLOOKUP(A603,'[1]LISTA ETIQUETAS'!O:W,4,0)="",(VLOOKUP(A603,'[1]LISTA ETIQUETAS'!O:W,6,0)),(VLOOKUP(A603,'[1]LISTA ETIQUETAS'!O:W,4,0)))</f>
        <v>1.5</v>
      </c>
      <c r="F603" s="11">
        <f>IF(VLOOKUP(A603,'[1]LISTA ETIQUETAS'!O:W,5,0)="",(VLOOKUP(A603,'[1]LISTA ETIQUETAS'!O:W,7,0)),(VLOOKUP(A603,'[1]LISTA ETIQUETAS'!O:W,5,0)))</f>
        <v>1.1000000000000001</v>
      </c>
      <c r="G603" s="11">
        <f>IFERROR((VLOOKUP(A603,'[1]LISTA ETIQUETAS'!O:X,8,0)),"")</f>
        <v>0.35</v>
      </c>
      <c r="H603" s="11">
        <f>IFERROR((VLOOKUP(A603,'[1]LISTA ETIQUETAS'!O:X,9,0)),"")</f>
        <v>0</v>
      </c>
      <c r="I603" s="12">
        <f>IFERROR((VLOOKUP(A603,'[1]LISTA ETIQUETAS'!O:Y,11,0)),"")</f>
        <v>19514.66</v>
      </c>
      <c r="J603" s="6">
        <v>0</v>
      </c>
      <c r="K603" s="12">
        <f t="shared" si="27"/>
        <v>19514.66</v>
      </c>
      <c r="L603" s="7" t="str">
        <f>IF(VLOOKUP(A603,'[1]LISTA ETIQUETAS'!O:AB,14,0)="","",(VLOOKUP(A603,'[1]LISTA ETIQUETAS'!O:AB,14,0)))</f>
        <v/>
      </c>
      <c r="M603" s="8"/>
      <c r="N603" s="9">
        <f t="shared" si="28"/>
        <v>400396</v>
      </c>
      <c r="O603" s="2">
        <f>_xlfn.XLOOKUP($A603,'[1]LISTA ETIQUETAS'!$O:$O,'[1]LISTA ETIQUETAS'!C:C,"",0)</f>
        <v>0</v>
      </c>
      <c r="P603" s="2">
        <f>_xlfn.XLOOKUP($A603,'[1]LISTA ETIQUETAS'!$O:$O,'[1]LISTA ETIQUETAS'!D:D,"",0)</f>
        <v>0</v>
      </c>
      <c r="Q603" s="2">
        <f>_xlfn.XLOOKUP($A603,'[1]LISTA ETIQUETAS'!$O:$O,'[1]LISTA ETIQUETAS'!E:E,"",0)</f>
        <v>0</v>
      </c>
      <c r="R603" s="2">
        <f>_xlfn.XLOOKUP($A603,'[1]LISTA ETIQUETAS'!$O:$O,'[1]LISTA ETIQUETAS'!F:F,"",0)</f>
        <v>0</v>
      </c>
      <c r="S603" s="2">
        <f>_xlfn.XLOOKUP($A603,'[1]LISTA ETIQUETAS'!$O:$O,'[1]LISTA ETIQUETAS'!H:H,"",0)</f>
        <v>1</v>
      </c>
      <c r="T603" s="9">
        <f t="shared" si="29"/>
        <v>1</v>
      </c>
    </row>
    <row r="604" spans="1:20" x14ac:dyDescent="0.25">
      <c r="A604" s="5">
        <v>387708</v>
      </c>
      <c r="B604" t="str">
        <f>IFERROR((VLOOKUP(A604,'[1]LISTA ETIQUETAS'!O:X,3,0)),"PRODUTO SEM ESTOQUE")</f>
        <v>EST MESA CENTRO PLANALTO (TP LAM LOURO) BS SEMI CAPUCCINO</v>
      </c>
      <c r="C604" s="10" t="s">
        <v>21</v>
      </c>
      <c r="D604" s="10" t="s">
        <v>385</v>
      </c>
      <c r="E604" s="11">
        <f>IF(VLOOKUP(A604,'[1]LISTA ETIQUETAS'!O:W,4,0)="",(VLOOKUP(A604,'[1]LISTA ETIQUETAS'!O:W,6,0)),(VLOOKUP(A604,'[1]LISTA ETIQUETAS'!O:W,4,0)))</f>
        <v>1.1499999999999999</v>
      </c>
      <c r="F604" s="11">
        <f>IF(VLOOKUP(A604,'[1]LISTA ETIQUETAS'!O:W,5,0)="",(VLOOKUP(A604,'[1]LISTA ETIQUETAS'!O:W,7,0)),(VLOOKUP(A604,'[1]LISTA ETIQUETAS'!O:W,5,0)))</f>
        <v>1.1499999999999999</v>
      </c>
      <c r="G604" s="11">
        <f>IFERROR((VLOOKUP(A604,'[1]LISTA ETIQUETAS'!O:X,8,0)),"")</f>
        <v>0.25</v>
      </c>
      <c r="H604" s="11">
        <f>IFERROR((VLOOKUP(A604,'[1]LISTA ETIQUETAS'!O:X,9,0)),"")</f>
        <v>0</v>
      </c>
      <c r="I604" s="12">
        <f>IFERROR((VLOOKUP(A604,'[1]LISTA ETIQUETAS'!O:Y,11,0)),"")</f>
        <v>7551.08</v>
      </c>
      <c r="J604" s="6">
        <v>0</v>
      </c>
      <c r="K604" s="12">
        <f t="shared" si="27"/>
        <v>7551.08</v>
      </c>
      <c r="L604" s="7" t="str">
        <f>IF(VLOOKUP(A604,'[1]LISTA ETIQUETAS'!O:AB,14,0)="","",(VLOOKUP(A604,'[1]LISTA ETIQUETAS'!O:AB,14,0)))</f>
        <v/>
      </c>
      <c r="M604" s="8"/>
      <c r="N604" s="9">
        <f t="shared" si="28"/>
        <v>387708</v>
      </c>
      <c r="O604" s="2">
        <f>_xlfn.XLOOKUP($A604,'[1]LISTA ETIQUETAS'!$O:$O,'[1]LISTA ETIQUETAS'!C:C,"",0)</f>
        <v>0</v>
      </c>
      <c r="P604" s="2">
        <f>_xlfn.XLOOKUP($A604,'[1]LISTA ETIQUETAS'!$O:$O,'[1]LISTA ETIQUETAS'!D:D,"",0)</f>
        <v>0</v>
      </c>
      <c r="Q604" s="2">
        <f>_xlfn.XLOOKUP($A604,'[1]LISTA ETIQUETAS'!$O:$O,'[1]LISTA ETIQUETAS'!E:E,"",0)</f>
        <v>0</v>
      </c>
      <c r="R604" s="2">
        <f>_xlfn.XLOOKUP($A604,'[1]LISTA ETIQUETAS'!$O:$O,'[1]LISTA ETIQUETAS'!F:F,"",0)</f>
        <v>0</v>
      </c>
      <c r="S604" s="2">
        <f>_xlfn.XLOOKUP($A604,'[1]LISTA ETIQUETAS'!$O:$O,'[1]LISTA ETIQUETAS'!H:H,"",0)</f>
        <v>1</v>
      </c>
      <c r="T604" s="9">
        <f t="shared" si="29"/>
        <v>1</v>
      </c>
    </row>
    <row r="605" spans="1:20" x14ac:dyDescent="0.25">
      <c r="A605" s="5">
        <v>387702</v>
      </c>
      <c r="B605" t="str">
        <f>IFERROR((VLOOKUP(A605,'[1]LISTA ETIQUETAS'!O:X,3,0)),"PRODUTO SEM ESTOQUE")</f>
        <v>EST MESA CENTRO PLANALTO (TP LAM LOURO) BS SEMI CAPUCCINO</v>
      </c>
      <c r="C605" s="10" t="s">
        <v>21</v>
      </c>
      <c r="D605" s="10" t="s">
        <v>385</v>
      </c>
      <c r="E605" s="11">
        <f>IF(VLOOKUP(A605,'[1]LISTA ETIQUETAS'!O:W,4,0)="",(VLOOKUP(A605,'[1]LISTA ETIQUETAS'!O:W,6,0)),(VLOOKUP(A605,'[1]LISTA ETIQUETAS'!O:W,4,0)))</f>
        <v>0.95</v>
      </c>
      <c r="F605" s="11">
        <f>IF(VLOOKUP(A605,'[1]LISTA ETIQUETAS'!O:W,5,0)="",(VLOOKUP(A605,'[1]LISTA ETIQUETAS'!O:W,7,0)),(VLOOKUP(A605,'[1]LISTA ETIQUETAS'!O:W,5,0)))</f>
        <v>0.95</v>
      </c>
      <c r="G605" s="11">
        <f>IFERROR((VLOOKUP(A605,'[1]LISTA ETIQUETAS'!O:X,8,0)),"")</f>
        <v>0.3</v>
      </c>
      <c r="H605" s="11">
        <f>IFERROR((VLOOKUP(A605,'[1]LISTA ETIQUETAS'!O:X,9,0)),"")</f>
        <v>0</v>
      </c>
      <c r="I605" s="12">
        <f>IFERROR((VLOOKUP(A605,'[1]LISTA ETIQUETAS'!O:Y,11,0)),"")</f>
        <v>6913.98</v>
      </c>
      <c r="J605" s="6">
        <v>0</v>
      </c>
      <c r="K605" s="12">
        <f t="shared" si="27"/>
        <v>6913.98</v>
      </c>
      <c r="L605" s="7" t="str">
        <f>IF(VLOOKUP(A605,'[1]LISTA ETIQUETAS'!O:AB,14,0)="","",(VLOOKUP(A605,'[1]LISTA ETIQUETAS'!O:AB,14,0)))</f>
        <v/>
      </c>
      <c r="M605" s="8"/>
      <c r="N605" s="9">
        <f t="shared" si="28"/>
        <v>387702</v>
      </c>
      <c r="O605" s="2">
        <f>_xlfn.XLOOKUP($A605,'[1]LISTA ETIQUETAS'!$O:$O,'[1]LISTA ETIQUETAS'!C:C,"",0)</f>
        <v>0</v>
      </c>
      <c r="P605" s="2">
        <f>_xlfn.XLOOKUP($A605,'[1]LISTA ETIQUETAS'!$O:$O,'[1]LISTA ETIQUETAS'!D:D,"",0)</f>
        <v>0</v>
      </c>
      <c r="Q605" s="2">
        <f>_xlfn.XLOOKUP($A605,'[1]LISTA ETIQUETAS'!$O:$O,'[1]LISTA ETIQUETAS'!E:E,"",0)</f>
        <v>0</v>
      </c>
      <c r="R605" s="2">
        <f>_xlfn.XLOOKUP($A605,'[1]LISTA ETIQUETAS'!$O:$O,'[1]LISTA ETIQUETAS'!F:F,"",0)</f>
        <v>0</v>
      </c>
      <c r="S605" s="2">
        <f>_xlfn.XLOOKUP($A605,'[1]LISTA ETIQUETAS'!$O:$O,'[1]LISTA ETIQUETAS'!H:H,"",0)</f>
        <v>1</v>
      </c>
      <c r="T605" s="9">
        <f t="shared" si="29"/>
        <v>1</v>
      </c>
    </row>
    <row r="606" spans="1:20" x14ac:dyDescent="0.25">
      <c r="A606" s="5">
        <v>371595</v>
      </c>
      <c r="B606" t="str">
        <f>IFERROR((VLOOKUP(A606,'[1]LISTA ETIQUETAS'!O:X,3,0)),"PRODUTO SEM ESTOQUE")</f>
        <v>EST MESA CENTRO ECLIPSE (TP LAM NAT/LAM NAT) (MTZ CHAMP)</v>
      </c>
      <c r="C606" s="10" t="s">
        <v>21</v>
      </c>
      <c r="D606" s="10" t="s">
        <v>384</v>
      </c>
      <c r="E606" s="11">
        <f>IF(VLOOKUP(A606,'[1]LISTA ETIQUETAS'!O:W,4,0)="",(VLOOKUP(A606,'[1]LISTA ETIQUETAS'!O:W,6,0)),(VLOOKUP(A606,'[1]LISTA ETIQUETAS'!O:W,4,0)))</f>
        <v>1.6</v>
      </c>
      <c r="F606" s="11">
        <f>IF(VLOOKUP(A606,'[1]LISTA ETIQUETAS'!O:W,5,0)="",(VLOOKUP(A606,'[1]LISTA ETIQUETAS'!O:W,7,0)),(VLOOKUP(A606,'[1]LISTA ETIQUETAS'!O:W,5,0)))</f>
        <v>1.2</v>
      </c>
      <c r="G606" s="11">
        <f>IFERROR((VLOOKUP(A606,'[1]LISTA ETIQUETAS'!O:X,8,0)),"")</f>
        <v>0.35</v>
      </c>
      <c r="H606" s="11">
        <f>IFERROR((VLOOKUP(A606,'[1]LISTA ETIQUETAS'!O:X,9,0)),"")</f>
        <v>0</v>
      </c>
      <c r="I606" s="12">
        <f>IFERROR((VLOOKUP(A606,'[1]LISTA ETIQUETAS'!O:Y,11,0)),"")</f>
        <v>22094.33</v>
      </c>
      <c r="J606" s="6">
        <v>0</v>
      </c>
      <c r="K606" s="12">
        <f t="shared" si="27"/>
        <v>22094.33</v>
      </c>
      <c r="L606" s="7" t="str">
        <f>IF(VLOOKUP(A606,'[1]LISTA ETIQUETAS'!O:AB,14,0)="","",(VLOOKUP(A606,'[1]LISTA ETIQUETAS'!O:AB,14,0)))</f>
        <v/>
      </c>
      <c r="M606" s="8"/>
      <c r="N606" s="9">
        <f t="shared" si="28"/>
        <v>371595</v>
      </c>
      <c r="O606" s="2">
        <f>_xlfn.XLOOKUP($A606,'[1]LISTA ETIQUETAS'!$O:$O,'[1]LISTA ETIQUETAS'!C:C,"",0)</f>
        <v>0</v>
      </c>
      <c r="P606" s="2">
        <f>_xlfn.XLOOKUP($A606,'[1]LISTA ETIQUETAS'!$O:$O,'[1]LISTA ETIQUETAS'!D:D,"",0)</f>
        <v>0</v>
      </c>
      <c r="Q606" s="2">
        <f>_xlfn.XLOOKUP($A606,'[1]LISTA ETIQUETAS'!$O:$O,'[1]LISTA ETIQUETAS'!E:E,"",0)</f>
        <v>0</v>
      </c>
      <c r="R606" s="2">
        <f>_xlfn.XLOOKUP($A606,'[1]LISTA ETIQUETAS'!$O:$O,'[1]LISTA ETIQUETAS'!F:F,"",0)</f>
        <v>0</v>
      </c>
      <c r="S606" s="2">
        <f>_xlfn.XLOOKUP($A606,'[1]LISTA ETIQUETAS'!$O:$O,'[1]LISTA ETIQUETAS'!H:H,"",0)</f>
        <v>1</v>
      </c>
      <c r="T606" s="9">
        <f t="shared" si="29"/>
        <v>1</v>
      </c>
    </row>
    <row r="607" spans="1:20" x14ac:dyDescent="0.25">
      <c r="A607" s="5">
        <v>361332</v>
      </c>
      <c r="B607" t="str">
        <f>IFERROR((VLOOKUP(A607,'[1]LISTA ETIQUETAS'!O:X,3,0)),"PRODUTO SEM ESTOQUE")</f>
        <v>EST MESA CENTRO CACAU (BAND MARM 5 SCARLAT) (MTZ MARROM COB)</v>
      </c>
      <c r="C607" s="10" t="s">
        <v>21</v>
      </c>
      <c r="D607" s="10" t="s">
        <v>386</v>
      </c>
      <c r="E607" s="11">
        <f>IF(VLOOKUP(A607,'[1]LISTA ETIQUETAS'!O:W,4,0)="",(VLOOKUP(A607,'[1]LISTA ETIQUETAS'!O:W,6,0)),(VLOOKUP(A607,'[1]LISTA ETIQUETAS'!O:W,4,0)))</f>
        <v>1.3</v>
      </c>
      <c r="F607" s="11">
        <f>IF(VLOOKUP(A607,'[1]LISTA ETIQUETAS'!O:W,5,0)="",(VLOOKUP(A607,'[1]LISTA ETIQUETAS'!O:W,7,0)),(VLOOKUP(A607,'[1]LISTA ETIQUETAS'!O:W,5,0)))</f>
        <v>0.8</v>
      </c>
      <c r="G607" s="11">
        <f>IFERROR((VLOOKUP(A607,'[1]LISTA ETIQUETAS'!O:X,8,0)),"")</f>
        <v>0.3</v>
      </c>
      <c r="H607" s="11">
        <f>IFERROR((VLOOKUP(A607,'[1]LISTA ETIQUETAS'!O:X,9,0)),"")</f>
        <v>0</v>
      </c>
      <c r="I607" s="12">
        <f>IFERROR((VLOOKUP(A607,'[1]LISTA ETIQUETAS'!O:Y,11,0)),"")</f>
        <v>38764.36</v>
      </c>
      <c r="J607" s="6">
        <v>0</v>
      </c>
      <c r="K607" s="12">
        <f t="shared" si="27"/>
        <v>38764.36</v>
      </c>
      <c r="L607" s="7" t="str">
        <f>IF(VLOOKUP(A607,'[1]LISTA ETIQUETAS'!O:AB,14,0)="","",(VLOOKUP(A607,'[1]LISTA ETIQUETAS'!O:AB,14,0)))</f>
        <v/>
      </c>
      <c r="M607" s="8"/>
      <c r="N607" s="9">
        <f t="shared" si="28"/>
        <v>361332</v>
      </c>
      <c r="O607" s="2">
        <f>_xlfn.XLOOKUP($A607,'[1]LISTA ETIQUETAS'!$O:$O,'[1]LISTA ETIQUETAS'!C:C,"",0)</f>
        <v>0</v>
      </c>
      <c r="P607" s="2">
        <f>_xlfn.XLOOKUP($A607,'[1]LISTA ETIQUETAS'!$O:$O,'[1]LISTA ETIQUETAS'!D:D,"",0)</f>
        <v>0</v>
      </c>
      <c r="Q607" s="2">
        <f>_xlfn.XLOOKUP($A607,'[1]LISTA ETIQUETAS'!$O:$O,'[1]LISTA ETIQUETAS'!E:E,"",0)</f>
        <v>0</v>
      </c>
      <c r="R607" s="2">
        <f>_xlfn.XLOOKUP($A607,'[1]LISTA ETIQUETAS'!$O:$O,'[1]LISTA ETIQUETAS'!F:F,"",0)</f>
        <v>0</v>
      </c>
      <c r="S607" s="2">
        <f>_xlfn.XLOOKUP($A607,'[1]LISTA ETIQUETAS'!$O:$O,'[1]LISTA ETIQUETAS'!H:H,"",0)</f>
        <v>1</v>
      </c>
      <c r="T607" s="9">
        <f t="shared" si="29"/>
        <v>1</v>
      </c>
    </row>
    <row r="608" spans="1:20" x14ac:dyDescent="0.25">
      <c r="A608" s="5">
        <v>361818</v>
      </c>
      <c r="B608" t="str">
        <f>IFERROR((VLOOKUP(A608,'[1]LISTA ETIQUETAS'!O:X,3,0)),"PRODUTO SEM ESTOQUE")</f>
        <v>EST MESA CENTRO CACAU (MARMORE 3 JADORE) (MTZ ONIX COBREADO)</v>
      </c>
      <c r="C608" s="10" t="s">
        <v>21</v>
      </c>
      <c r="D608" s="10" t="s">
        <v>386</v>
      </c>
      <c r="E608" s="11">
        <f>IF(VLOOKUP(A608,'[1]LISTA ETIQUETAS'!O:W,4,0)="",(VLOOKUP(A608,'[1]LISTA ETIQUETAS'!O:W,6,0)),(VLOOKUP(A608,'[1]LISTA ETIQUETAS'!O:W,4,0)))</f>
        <v>1.3</v>
      </c>
      <c r="F608" s="11">
        <f>IF(VLOOKUP(A608,'[1]LISTA ETIQUETAS'!O:W,5,0)="",(VLOOKUP(A608,'[1]LISTA ETIQUETAS'!O:W,7,0)),(VLOOKUP(A608,'[1]LISTA ETIQUETAS'!O:W,5,0)))</f>
        <v>0.8</v>
      </c>
      <c r="G608" s="11">
        <f>IFERROR((VLOOKUP(A608,'[1]LISTA ETIQUETAS'!O:X,8,0)),"")</f>
        <v>0.3</v>
      </c>
      <c r="H608" s="11">
        <f>IFERROR((VLOOKUP(A608,'[1]LISTA ETIQUETAS'!O:X,9,0)),"")</f>
        <v>0</v>
      </c>
      <c r="I608" s="12">
        <f>IFERROR((VLOOKUP(A608,'[1]LISTA ETIQUETAS'!O:Y,11,0)),"")</f>
        <v>37546.92</v>
      </c>
      <c r="J608" s="6">
        <v>0</v>
      </c>
      <c r="K608" s="12">
        <f t="shared" si="27"/>
        <v>37546.92</v>
      </c>
      <c r="L608" s="7" t="str">
        <f>IF(VLOOKUP(A608,'[1]LISTA ETIQUETAS'!O:AB,14,0)="","",(VLOOKUP(A608,'[1]LISTA ETIQUETAS'!O:AB,14,0)))</f>
        <v/>
      </c>
      <c r="M608" s="8"/>
      <c r="N608" s="9">
        <f t="shared" si="28"/>
        <v>361818</v>
      </c>
      <c r="O608" s="2">
        <f>_xlfn.XLOOKUP($A608,'[1]LISTA ETIQUETAS'!$O:$O,'[1]LISTA ETIQUETAS'!C:C,"",0)</f>
        <v>0</v>
      </c>
      <c r="P608" s="2">
        <f>_xlfn.XLOOKUP($A608,'[1]LISTA ETIQUETAS'!$O:$O,'[1]LISTA ETIQUETAS'!D:D,"",0)</f>
        <v>0</v>
      </c>
      <c r="Q608" s="2">
        <f>_xlfn.XLOOKUP($A608,'[1]LISTA ETIQUETAS'!$O:$O,'[1]LISTA ETIQUETAS'!E:E,"",0)</f>
        <v>0</v>
      </c>
      <c r="R608" s="2">
        <f>_xlfn.XLOOKUP($A608,'[1]LISTA ETIQUETAS'!$O:$O,'[1]LISTA ETIQUETAS'!F:F,"",0)</f>
        <v>0</v>
      </c>
      <c r="S608" s="2">
        <f>_xlfn.XLOOKUP($A608,'[1]LISTA ETIQUETAS'!$O:$O,'[1]LISTA ETIQUETAS'!H:H,"",0)</f>
        <v>2</v>
      </c>
      <c r="T608" s="9">
        <f t="shared" si="29"/>
        <v>2</v>
      </c>
    </row>
    <row r="609" spans="1:20" x14ac:dyDescent="0.25">
      <c r="A609" s="5">
        <v>350007</v>
      </c>
      <c r="B609" t="str">
        <f>IFERROR((VLOOKUP(A609,'[1]LISTA ETIQUETAS'!O:X,3,0)),"PRODUTO SEM ESTOQUE")</f>
        <v>EST MESA CENTRO MATISSE (TP RIPADO GIOIA/NERO) (BS CINZA CH)</v>
      </c>
      <c r="C609" s="10" t="s">
        <v>21</v>
      </c>
      <c r="D609" s="10" t="s">
        <v>387</v>
      </c>
      <c r="E609" s="11">
        <f>IF(VLOOKUP(A609,'[1]LISTA ETIQUETAS'!O:W,4,0)="",(VLOOKUP(A609,'[1]LISTA ETIQUETAS'!O:W,6,0)),(VLOOKUP(A609,'[1]LISTA ETIQUETAS'!O:W,4,0)))</f>
        <v>1.5</v>
      </c>
      <c r="F609" s="11">
        <f>IF(VLOOKUP(A609,'[1]LISTA ETIQUETAS'!O:W,5,0)="",(VLOOKUP(A609,'[1]LISTA ETIQUETAS'!O:W,7,0)),(VLOOKUP(A609,'[1]LISTA ETIQUETAS'!O:W,5,0)))</f>
        <v>0</v>
      </c>
      <c r="G609" s="11">
        <f>IFERROR((VLOOKUP(A609,'[1]LISTA ETIQUETAS'!O:X,8,0)),"")</f>
        <v>0.2</v>
      </c>
      <c r="H609" s="11">
        <f>IFERROR((VLOOKUP(A609,'[1]LISTA ETIQUETAS'!O:X,9,0)),"")</f>
        <v>1.5</v>
      </c>
      <c r="I609" s="12">
        <f>IFERROR((VLOOKUP(A609,'[1]LISTA ETIQUETAS'!O:Y,11,0)),"")</f>
        <v>49671.51</v>
      </c>
      <c r="J609" s="6">
        <v>0</v>
      </c>
      <c r="K609" s="12">
        <f t="shared" si="27"/>
        <v>49671.51</v>
      </c>
      <c r="L609" s="7" t="str">
        <f>IF(VLOOKUP(A609,'[1]LISTA ETIQUETAS'!O:AB,14,0)="","",(VLOOKUP(A609,'[1]LISTA ETIQUETAS'!O:AB,14,0)))</f>
        <v/>
      </c>
      <c r="M609" s="8"/>
      <c r="N609" s="9">
        <f t="shared" si="28"/>
        <v>350007</v>
      </c>
      <c r="O609" s="2">
        <f>_xlfn.XLOOKUP($A609,'[1]LISTA ETIQUETAS'!$O:$O,'[1]LISTA ETIQUETAS'!C:C,"",0)</f>
        <v>0</v>
      </c>
      <c r="P609" s="2">
        <f>_xlfn.XLOOKUP($A609,'[1]LISTA ETIQUETAS'!$O:$O,'[1]LISTA ETIQUETAS'!D:D,"",0)</f>
        <v>0</v>
      </c>
      <c r="Q609" s="2">
        <f>_xlfn.XLOOKUP($A609,'[1]LISTA ETIQUETAS'!$O:$O,'[1]LISTA ETIQUETAS'!E:E,"",0)</f>
        <v>0</v>
      </c>
      <c r="R609" s="2">
        <f>_xlfn.XLOOKUP($A609,'[1]LISTA ETIQUETAS'!$O:$O,'[1]LISTA ETIQUETAS'!F:F,"",0)</f>
        <v>0</v>
      </c>
      <c r="S609" s="2">
        <f>_xlfn.XLOOKUP($A609,'[1]LISTA ETIQUETAS'!$O:$O,'[1]LISTA ETIQUETAS'!H:H,"",0)</f>
        <v>1</v>
      </c>
      <c r="T609" s="9">
        <f t="shared" si="29"/>
        <v>1</v>
      </c>
    </row>
    <row r="610" spans="1:20" x14ac:dyDescent="0.25">
      <c r="A610" s="5">
        <v>350005</v>
      </c>
      <c r="B610" t="str">
        <f>IFERROR((VLOOKUP(A610,'[1]LISTA ETIQUETAS'!O:X,3,0)),"PRODUTO SEM ESTOQUE")</f>
        <v>EST MESA CENTRO MATISSE ORGANICA (BS CARV GRI) (TP CARV GRI)</v>
      </c>
      <c r="C610" s="10" t="s">
        <v>21</v>
      </c>
      <c r="D610" s="10" t="s">
        <v>388</v>
      </c>
      <c r="E610" s="11">
        <f>IF(VLOOKUP(A610,'[1]LISTA ETIQUETAS'!O:W,4,0)="",(VLOOKUP(A610,'[1]LISTA ETIQUETAS'!O:W,6,0)),(VLOOKUP(A610,'[1]LISTA ETIQUETAS'!O:W,4,0)))</f>
        <v>1.9</v>
      </c>
      <c r="F610" s="11">
        <f>IF(VLOOKUP(A610,'[1]LISTA ETIQUETAS'!O:W,5,0)="",(VLOOKUP(A610,'[1]LISTA ETIQUETAS'!O:W,7,0)),(VLOOKUP(A610,'[1]LISTA ETIQUETAS'!O:W,5,0)))</f>
        <v>1.8</v>
      </c>
      <c r="G610" s="11">
        <f>IFERROR((VLOOKUP(A610,'[1]LISTA ETIQUETAS'!O:X,8,0)),"")</f>
        <v>0.3</v>
      </c>
      <c r="H610" s="11">
        <f>IFERROR((VLOOKUP(A610,'[1]LISTA ETIQUETAS'!O:X,9,0)),"")</f>
        <v>0</v>
      </c>
      <c r="I610" s="12">
        <f>IFERROR((VLOOKUP(A610,'[1]LISTA ETIQUETAS'!O:Y,11,0)),"")</f>
        <v>35157.29</v>
      </c>
      <c r="J610" s="6">
        <v>0</v>
      </c>
      <c r="K610" s="12">
        <f t="shared" si="27"/>
        <v>35157.29</v>
      </c>
      <c r="L610" s="7" t="str">
        <f>IF(VLOOKUP(A610,'[1]LISTA ETIQUETAS'!O:AB,14,0)="","",(VLOOKUP(A610,'[1]LISTA ETIQUETAS'!O:AB,14,0)))</f>
        <v/>
      </c>
      <c r="M610" s="8"/>
      <c r="N610" s="9">
        <f t="shared" si="28"/>
        <v>350005</v>
      </c>
      <c r="O610" s="2">
        <f>_xlfn.XLOOKUP($A610,'[1]LISTA ETIQUETAS'!$O:$O,'[1]LISTA ETIQUETAS'!C:C,"",0)</f>
        <v>0</v>
      </c>
      <c r="P610" s="2">
        <f>_xlfn.XLOOKUP($A610,'[1]LISTA ETIQUETAS'!$O:$O,'[1]LISTA ETIQUETAS'!D:D,"",0)</f>
        <v>0</v>
      </c>
      <c r="Q610" s="2">
        <f>_xlfn.XLOOKUP($A610,'[1]LISTA ETIQUETAS'!$O:$O,'[1]LISTA ETIQUETAS'!E:E,"",0)</f>
        <v>0</v>
      </c>
      <c r="R610" s="2">
        <f>_xlfn.XLOOKUP($A610,'[1]LISTA ETIQUETAS'!$O:$O,'[1]LISTA ETIQUETAS'!F:F,"",0)</f>
        <v>0</v>
      </c>
      <c r="S610" s="2">
        <f>_xlfn.XLOOKUP($A610,'[1]LISTA ETIQUETAS'!$O:$O,'[1]LISTA ETIQUETAS'!H:H,"",0)</f>
        <v>1</v>
      </c>
      <c r="T610" s="9">
        <f t="shared" si="29"/>
        <v>1</v>
      </c>
    </row>
    <row r="611" spans="1:20" x14ac:dyDescent="0.25">
      <c r="A611" s="5">
        <v>328889</v>
      </c>
      <c r="B611" t="str">
        <f>IFERROR((VLOOKUP(A611,'[1]LISTA ETIQUETAS'!O:X,3,0)),"PRODUTO SEM ESTOQUE")</f>
        <v>EST MESA CENTRO BALLET II (FX5 SAARA FSC) (AUT SAND)</v>
      </c>
      <c r="C611" s="10" t="s">
        <v>21</v>
      </c>
      <c r="D611" s="10" t="s">
        <v>389</v>
      </c>
      <c r="E611" s="11">
        <f>IF(VLOOKUP(A611,'[1]LISTA ETIQUETAS'!O:W,4,0)="",(VLOOKUP(A611,'[1]LISTA ETIQUETAS'!O:W,6,0)),(VLOOKUP(A611,'[1]LISTA ETIQUETAS'!O:W,4,0)))</f>
        <v>1</v>
      </c>
      <c r="F611" s="11">
        <f>IF(VLOOKUP(A611,'[1]LISTA ETIQUETAS'!O:W,5,0)="",(VLOOKUP(A611,'[1]LISTA ETIQUETAS'!O:W,7,0)),(VLOOKUP(A611,'[1]LISTA ETIQUETAS'!O:W,5,0)))</f>
        <v>0</v>
      </c>
      <c r="G611" s="11">
        <f>IFERROR((VLOOKUP(A611,'[1]LISTA ETIQUETAS'!O:X,8,0)),"")</f>
        <v>0.35</v>
      </c>
      <c r="H611" s="11">
        <f>IFERROR((VLOOKUP(A611,'[1]LISTA ETIQUETAS'!O:X,9,0)),"")</f>
        <v>1</v>
      </c>
      <c r="I611" s="12">
        <f>IFERROR((VLOOKUP(A611,'[1]LISTA ETIQUETAS'!O:Y,11,0)),"")</f>
        <v>56312.26</v>
      </c>
      <c r="J611" s="6">
        <v>0</v>
      </c>
      <c r="K611" s="12">
        <f t="shared" si="27"/>
        <v>56312.26</v>
      </c>
      <c r="L611" s="7" t="str">
        <f>IF(VLOOKUP(A611,'[1]LISTA ETIQUETAS'!O:AB,14,0)="","",(VLOOKUP(A611,'[1]LISTA ETIQUETAS'!O:AB,14,0)))</f>
        <v/>
      </c>
      <c r="M611" s="8"/>
      <c r="N611" s="9">
        <f t="shared" si="28"/>
        <v>328889</v>
      </c>
      <c r="O611" s="2">
        <f>_xlfn.XLOOKUP($A611,'[1]LISTA ETIQUETAS'!$O:$O,'[1]LISTA ETIQUETAS'!C:C,"",0)</f>
        <v>0</v>
      </c>
      <c r="P611" s="2">
        <f>_xlfn.XLOOKUP($A611,'[1]LISTA ETIQUETAS'!$O:$O,'[1]LISTA ETIQUETAS'!D:D,"",0)</f>
        <v>0</v>
      </c>
      <c r="Q611" s="2">
        <f>_xlfn.XLOOKUP($A611,'[1]LISTA ETIQUETAS'!$O:$O,'[1]LISTA ETIQUETAS'!E:E,"",0)</f>
        <v>0</v>
      </c>
      <c r="R611" s="2">
        <f>_xlfn.XLOOKUP($A611,'[1]LISTA ETIQUETAS'!$O:$O,'[1]LISTA ETIQUETAS'!F:F,"",0)</f>
        <v>0</v>
      </c>
      <c r="S611" s="2">
        <f>_xlfn.XLOOKUP($A611,'[1]LISTA ETIQUETAS'!$O:$O,'[1]LISTA ETIQUETAS'!H:H,"",0)</f>
        <v>1</v>
      </c>
      <c r="T611" s="9">
        <f t="shared" si="29"/>
        <v>1</v>
      </c>
    </row>
    <row r="612" spans="1:20" x14ac:dyDescent="0.25">
      <c r="A612" s="5">
        <v>329026</v>
      </c>
      <c r="B612" t="str">
        <f>IFERROR((VLOOKUP(A612,'[1]LISTA ETIQUETAS'!O:X,3,0)),"PRODUTO SEM ESTOQUE")</f>
        <v>EST MESA CENTRO BALLET II (TP MAD PINT AUT SAND) (AUT SAND)</v>
      </c>
      <c r="C612" s="10" t="s">
        <v>21</v>
      </c>
      <c r="D612" s="10" t="s">
        <v>389</v>
      </c>
      <c r="E612" s="11">
        <f>IF(VLOOKUP(A612,'[1]LISTA ETIQUETAS'!O:W,4,0)="",(VLOOKUP(A612,'[1]LISTA ETIQUETAS'!O:W,6,0)),(VLOOKUP(A612,'[1]LISTA ETIQUETAS'!O:W,4,0)))</f>
        <v>1</v>
      </c>
      <c r="F612" s="11">
        <f>IF(VLOOKUP(A612,'[1]LISTA ETIQUETAS'!O:W,5,0)="",(VLOOKUP(A612,'[1]LISTA ETIQUETAS'!O:W,7,0)),(VLOOKUP(A612,'[1]LISTA ETIQUETAS'!O:W,5,0)))</f>
        <v>1</v>
      </c>
      <c r="G612" s="11">
        <f>IFERROR((VLOOKUP(A612,'[1]LISTA ETIQUETAS'!O:X,8,0)),"")</f>
        <v>0.3</v>
      </c>
      <c r="H612" s="11">
        <f>IFERROR((VLOOKUP(A612,'[1]LISTA ETIQUETAS'!O:X,9,0)),"")</f>
        <v>0</v>
      </c>
      <c r="I612" s="12">
        <f>IFERROR((VLOOKUP(A612,'[1]LISTA ETIQUETAS'!O:Y,11,0)),"")</f>
        <v>32350.84</v>
      </c>
      <c r="J612" s="6">
        <v>0</v>
      </c>
      <c r="K612" s="12">
        <f t="shared" si="27"/>
        <v>32350.84</v>
      </c>
      <c r="L612" s="7" t="str">
        <f>IF(VLOOKUP(A612,'[1]LISTA ETIQUETAS'!O:AB,14,0)="","",(VLOOKUP(A612,'[1]LISTA ETIQUETAS'!O:AB,14,0)))</f>
        <v/>
      </c>
      <c r="M612" s="8"/>
      <c r="N612" s="9">
        <f t="shared" si="28"/>
        <v>329026</v>
      </c>
      <c r="O612" s="2">
        <f>_xlfn.XLOOKUP($A612,'[1]LISTA ETIQUETAS'!$O:$O,'[1]LISTA ETIQUETAS'!C:C,"",0)</f>
        <v>0</v>
      </c>
      <c r="P612" s="2">
        <f>_xlfn.XLOOKUP($A612,'[1]LISTA ETIQUETAS'!$O:$O,'[1]LISTA ETIQUETAS'!D:D,"",0)</f>
        <v>0</v>
      </c>
      <c r="Q612" s="2">
        <f>_xlfn.XLOOKUP($A612,'[1]LISTA ETIQUETAS'!$O:$O,'[1]LISTA ETIQUETAS'!E:E,"",0)</f>
        <v>0</v>
      </c>
      <c r="R612" s="2">
        <f>_xlfn.XLOOKUP($A612,'[1]LISTA ETIQUETAS'!$O:$O,'[1]LISTA ETIQUETAS'!F:F,"",0)</f>
        <v>0</v>
      </c>
      <c r="S612" s="2">
        <f>_xlfn.XLOOKUP($A612,'[1]LISTA ETIQUETAS'!$O:$O,'[1]LISTA ETIQUETAS'!H:H,"",0)</f>
        <v>1</v>
      </c>
      <c r="T612" s="9">
        <f t="shared" si="29"/>
        <v>1</v>
      </c>
    </row>
    <row r="613" spans="1:20" x14ac:dyDescent="0.25">
      <c r="A613" s="5">
        <v>334240</v>
      </c>
      <c r="B613" t="str">
        <f>IFERROR((VLOOKUP(A613,'[1]LISTA ETIQUETAS'!O:X,3,0)),"PRODUTO SEM ESTOQUE")</f>
        <v>EST MESA CENTRO CANCUN (FX4 ALPI BRI) (AUT BRONW)</v>
      </c>
      <c r="C613" s="10" t="s">
        <v>21</v>
      </c>
      <c r="D613" s="10" t="s">
        <v>390</v>
      </c>
      <c r="E613" s="11">
        <f>IF(VLOOKUP(A613,'[1]LISTA ETIQUETAS'!O:W,4,0)="",(VLOOKUP(A613,'[1]LISTA ETIQUETAS'!O:W,6,0)),(VLOOKUP(A613,'[1]LISTA ETIQUETAS'!O:W,4,0)))</f>
        <v>1.1000000000000001</v>
      </c>
      <c r="F613" s="11">
        <f>IF(VLOOKUP(A613,'[1]LISTA ETIQUETAS'!O:W,5,0)="",(VLOOKUP(A613,'[1]LISTA ETIQUETAS'!O:W,7,0)),(VLOOKUP(A613,'[1]LISTA ETIQUETAS'!O:W,5,0)))</f>
        <v>0</v>
      </c>
      <c r="G613" s="11">
        <f>IFERROR((VLOOKUP(A613,'[1]LISTA ETIQUETAS'!O:X,8,0)),"")</f>
        <v>0.32</v>
      </c>
      <c r="H613" s="11">
        <f>IFERROR((VLOOKUP(A613,'[1]LISTA ETIQUETAS'!O:X,9,0)),"")</f>
        <v>1.1000000000000001</v>
      </c>
      <c r="I613" s="12">
        <f>IFERROR((VLOOKUP(A613,'[1]LISTA ETIQUETAS'!O:Y,11,0)),"")</f>
        <v>30567.08</v>
      </c>
      <c r="J613" s="6">
        <v>0</v>
      </c>
      <c r="K613" s="12">
        <f t="shared" si="27"/>
        <v>30567.08</v>
      </c>
      <c r="L613" s="7" t="str">
        <f>IF(VLOOKUP(A613,'[1]LISTA ETIQUETAS'!O:AB,14,0)="","",(VLOOKUP(A613,'[1]LISTA ETIQUETAS'!O:AB,14,0)))</f>
        <v/>
      </c>
      <c r="M613" s="8"/>
      <c r="N613" s="9">
        <f t="shared" si="28"/>
        <v>334240</v>
      </c>
      <c r="O613" s="2">
        <f>_xlfn.XLOOKUP($A613,'[1]LISTA ETIQUETAS'!$O:$O,'[1]LISTA ETIQUETAS'!C:C,"",0)</f>
        <v>0</v>
      </c>
      <c r="P613" s="2">
        <f>_xlfn.XLOOKUP($A613,'[1]LISTA ETIQUETAS'!$O:$O,'[1]LISTA ETIQUETAS'!D:D,"",0)</f>
        <v>0</v>
      </c>
      <c r="Q613" s="2">
        <f>_xlfn.XLOOKUP($A613,'[1]LISTA ETIQUETAS'!$O:$O,'[1]LISTA ETIQUETAS'!E:E,"",0)</f>
        <v>0</v>
      </c>
      <c r="R613" s="2">
        <f>_xlfn.XLOOKUP($A613,'[1]LISTA ETIQUETAS'!$O:$O,'[1]LISTA ETIQUETAS'!F:F,"",0)</f>
        <v>0</v>
      </c>
      <c r="S613" s="2">
        <f>_xlfn.XLOOKUP($A613,'[1]LISTA ETIQUETAS'!$O:$O,'[1]LISTA ETIQUETAS'!H:H,"",0)</f>
        <v>1</v>
      </c>
      <c r="T613" s="9">
        <f t="shared" si="29"/>
        <v>1</v>
      </c>
    </row>
    <row r="614" spans="1:20" x14ac:dyDescent="0.25">
      <c r="A614" s="5">
        <v>335090</v>
      </c>
      <c r="B614" t="str">
        <f>IFERROR((VLOOKUP(A614,'[1]LISTA ETIQUETAS'!O:X,3,0)),"PRODUTO SEM ESTOQUE")</f>
        <v>EST MESA CENTRO ARGOLA (C) (CORTEN) (MAD A CINAM NOG)</v>
      </c>
      <c r="C614" s="10" t="s">
        <v>21</v>
      </c>
      <c r="D614" s="10" t="s">
        <v>391</v>
      </c>
      <c r="E614" s="11">
        <f>IF(VLOOKUP(A614,'[1]LISTA ETIQUETAS'!O:W,4,0)="",(VLOOKUP(A614,'[1]LISTA ETIQUETAS'!O:W,6,0)),(VLOOKUP(A614,'[1]LISTA ETIQUETAS'!O:W,4,0)))</f>
        <v>0.6</v>
      </c>
      <c r="F614" s="11">
        <f>IF(VLOOKUP(A614,'[1]LISTA ETIQUETAS'!O:W,5,0)="",(VLOOKUP(A614,'[1]LISTA ETIQUETAS'!O:W,7,0)),(VLOOKUP(A614,'[1]LISTA ETIQUETAS'!O:W,5,0)))</f>
        <v>0</v>
      </c>
      <c r="G614" s="11">
        <f>IFERROR((VLOOKUP(A614,'[1]LISTA ETIQUETAS'!O:X,8,0)),"")</f>
        <v>0.45</v>
      </c>
      <c r="H614" s="11">
        <f>IFERROR((VLOOKUP(A614,'[1]LISTA ETIQUETAS'!O:X,9,0)),"")</f>
        <v>0.6</v>
      </c>
      <c r="I614" s="12">
        <f>IFERROR((VLOOKUP(A614,'[1]LISTA ETIQUETAS'!O:Y,11,0)),"")</f>
        <v>12941.33</v>
      </c>
      <c r="J614" s="6">
        <v>0</v>
      </c>
      <c r="K614" s="12">
        <f t="shared" si="27"/>
        <v>12941.33</v>
      </c>
      <c r="L614" s="7" t="str">
        <f>IF(VLOOKUP(A614,'[1]LISTA ETIQUETAS'!O:AB,14,0)="","",(VLOOKUP(A614,'[1]LISTA ETIQUETAS'!O:AB,14,0)))</f>
        <v/>
      </c>
      <c r="M614" s="8"/>
      <c r="N614" s="9">
        <f t="shared" si="28"/>
        <v>335090</v>
      </c>
      <c r="O614" s="2">
        <f>_xlfn.XLOOKUP($A614,'[1]LISTA ETIQUETAS'!$O:$O,'[1]LISTA ETIQUETAS'!C:C,"",0)</f>
        <v>0</v>
      </c>
      <c r="P614" s="2">
        <f>_xlfn.XLOOKUP($A614,'[1]LISTA ETIQUETAS'!$O:$O,'[1]LISTA ETIQUETAS'!D:D,"",0)</f>
        <v>0</v>
      </c>
      <c r="Q614" s="2">
        <f>_xlfn.XLOOKUP($A614,'[1]LISTA ETIQUETAS'!$O:$O,'[1]LISTA ETIQUETAS'!E:E,"",0)</f>
        <v>0</v>
      </c>
      <c r="R614" s="2">
        <f>_xlfn.XLOOKUP($A614,'[1]LISTA ETIQUETAS'!$O:$O,'[1]LISTA ETIQUETAS'!F:F,"",0)</f>
        <v>0</v>
      </c>
      <c r="S614" s="2">
        <f>_xlfn.XLOOKUP($A614,'[1]LISTA ETIQUETAS'!$O:$O,'[1]LISTA ETIQUETAS'!H:H,"",0)</f>
        <v>1</v>
      </c>
      <c r="T614" s="9">
        <f t="shared" si="29"/>
        <v>1</v>
      </c>
    </row>
    <row r="615" spans="1:20" x14ac:dyDescent="0.25">
      <c r="A615" s="5">
        <v>334648</v>
      </c>
      <c r="B615" t="str">
        <f>IFERROR((VLOOKUP(A615,'[1]LISTA ETIQUETAS'!O:X,3,0)),"PRODUTO SEM ESTOQUE")</f>
        <v>EST MESA CENTRO BALLET II (FX4 CALACATA FSC) (AUT OXI)</v>
      </c>
      <c r="C615" s="10" t="s">
        <v>21</v>
      </c>
      <c r="D615" s="10" t="s">
        <v>389</v>
      </c>
      <c r="E615" s="11">
        <f>IF(VLOOKUP(A615,'[1]LISTA ETIQUETAS'!O:W,4,0)="",(VLOOKUP(A615,'[1]LISTA ETIQUETAS'!O:W,6,0)),(VLOOKUP(A615,'[1]LISTA ETIQUETAS'!O:W,4,0)))</f>
        <v>1.8</v>
      </c>
      <c r="F615" s="11">
        <f>IF(VLOOKUP(A615,'[1]LISTA ETIQUETAS'!O:W,5,0)="",(VLOOKUP(A615,'[1]LISTA ETIQUETAS'!O:W,7,0)),(VLOOKUP(A615,'[1]LISTA ETIQUETAS'!O:W,5,0)))</f>
        <v>0.8</v>
      </c>
      <c r="G615" s="11">
        <f>IFERROR((VLOOKUP(A615,'[1]LISTA ETIQUETAS'!O:X,8,0)),"")</f>
        <v>0.3</v>
      </c>
      <c r="H615" s="11">
        <f>IFERROR((VLOOKUP(A615,'[1]LISTA ETIQUETAS'!O:X,9,0)),"")</f>
        <v>0</v>
      </c>
      <c r="I615" s="12">
        <f>IFERROR((VLOOKUP(A615,'[1]LISTA ETIQUETAS'!O:Y,11,0)),"")</f>
        <v>56537.96</v>
      </c>
      <c r="J615" s="6">
        <v>0</v>
      </c>
      <c r="K615" s="12">
        <f t="shared" si="27"/>
        <v>56537.96</v>
      </c>
      <c r="L615" s="7" t="str">
        <f>IF(VLOOKUP(A615,'[1]LISTA ETIQUETAS'!O:AB,14,0)="","",(VLOOKUP(A615,'[1]LISTA ETIQUETAS'!O:AB,14,0)))</f>
        <v/>
      </c>
      <c r="M615" s="8"/>
      <c r="N615" s="9">
        <f t="shared" si="28"/>
        <v>334648</v>
      </c>
      <c r="O615" s="2">
        <f>_xlfn.XLOOKUP($A615,'[1]LISTA ETIQUETAS'!$O:$O,'[1]LISTA ETIQUETAS'!C:C,"",0)</f>
        <v>0</v>
      </c>
      <c r="P615" s="2">
        <f>_xlfn.XLOOKUP($A615,'[1]LISTA ETIQUETAS'!$O:$O,'[1]LISTA ETIQUETAS'!D:D,"",0)</f>
        <v>0</v>
      </c>
      <c r="Q615" s="2">
        <f>_xlfn.XLOOKUP($A615,'[1]LISTA ETIQUETAS'!$O:$O,'[1]LISTA ETIQUETAS'!E:E,"",0)</f>
        <v>0</v>
      </c>
      <c r="R615" s="2">
        <f>_xlfn.XLOOKUP($A615,'[1]LISTA ETIQUETAS'!$O:$O,'[1]LISTA ETIQUETAS'!F:F,"",0)</f>
        <v>0</v>
      </c>
      <c r="S615" s="2">
        <f>_xlfn.XLOOKUP($A615,'[1]LISTA ETIQUETAS'!$O:$O,'[1]LISTA ETIQUETAS'!H:H,"",0)</f>
        <v>1</v>
      </c>
      <c r="T615" s="9">
        <f t="shared" si="29"/>
        <v>1</v>
      </c>
    </row>
    <row r="616" spans="1:20" x14ac:dyDescent="0.25">
      <c r="A616" s="5">
        <v>334631</v>
      </c>
      <c r="B616" t="str">
        <f>IFERROR((VLOOKUP(A616,'[1]LISTA ETIQUETAS'!O:X,3,0)),"PRODUTO SEM ESTOQUE")</f>
        <v>EST MESA CENTRO PISAC (RET) (MTX PRETA) (LAMINA WALNUT)</v>
      </c>
      <c r="C616" s="10" t="s">
        <v>21</v>
      </c>
      <c r="D616" s="10" t="s">
        <v>379</v>
      </c>
      <c r="E616" s="11">
        <f>IF(VLOOKUP(A616,'[1]LISTA ETIQUETAS'!O:W,4,0)="",(VLOOKUP(A616,'[1]LISTA ETIQUETAS'!O:W,6,0)),(VLOOKUP(A616,'[1]LISTA ETIQUETAS'!O:W,4,0)))</f>
        <v>1.4</v>
      </c>
      <c r="F616" s="11">
        <f>IF(VLOOKUP(A616,'[1]LISTA ETIQUETAS'!O:W,5,0)="",(VLOOKUP(A616,'[1]LISTA ETIQUETAS'!O:W,7,0)),(VLOOKUP(A616,'[1]LISTA ETIQUETAS'!O:W,5,0)))</f>
        <v>0.7</v>
      </c>
      <c r="G616" s="11">
        <f>IFERROR((VLOOKUP(A616,'[1]LISTA ETIQUETAS'!O:X,8,0)),"")</f>
        <v>0.4</v>
      </c>
      <c r="H616" s="11">
        <f>IFERROR((VLOOKUP(A616,'[1]LISTA ETIQUETAS'!O:X,9,0)),"")</f>
        <v>0</v>
      </c>
      <c r="I616" s="12">
        <f>IFERROR((VLOOKUP(A616,'[1]LISTA ETIQUETAS'!O:Y,11,0)),"")</f>
        <v>16851.34</v>
      </c>
      <c r="J616" s="6">
        <v>0</v>
      </c>
      <c r="K616" s="12">
        <f t="shared" si="27"/>
        <v>16851.34</v>
      </c>
      <c r="L616" s="7" t="str">
        <f>IF(VLOOKUP(A616,'[1]LISTA ETIQUETAS'!O:AB,14,0)="","",(VLOOKUP(A616,'[1]LISTA ETIQUETAS'!O:AB,14,0)))</f>
        <v/>
      </c>
      <c r="M616" s="8"/>
      <c r="N616" s="9">
        <f t="shared" si="28"/>
        <v>334631</v>
      </c>
      <c r="O616" s="2">
        <f>_xlfn.XLOOKUP($A616,'[1]LISTA ETIQUETAS'!$O:$O,'[1]LISTA ETIQUETAS'!C:C,"",0)</f>
        <v>0</v>
      </c>
      <c r="P616" s="2">
        <f>_xlfn.XLOOKUP($A616,'[1]LISTA ETIQUETAS'!$O:$O,'[1]LISTA ETIQUETAS'!D:D,"",0)</f>
        <v>0</v>
      </c>
      <c r="Q616" s="2">
        <f>_xlfn.XLOOKUP($A616,'[1]LISTA ETIQUETAS'!$O:$O,'[1]LISTA ETIQUETAS'!E:E,"",0)</f>
        <v>0</v>
      </c>
      <c r="R616" s="2">
        <f>_xlfn.XLOOKUP($A616,'[1]LISTA ETIQUETAS'!$O:$O,'[1]LISTA ETIQUETAS'!F:F,"",0)</f>
        <v>0</v>
      </c>
      <c r="S616" s="2">
        <f>_xlfn.XLOOKUP($A616,'[1]LISTA ETIQUETAS'!$O:$O,'[1]LISTA ETIQUETAS'!H:H,"",0)</f>
        <v>1</v>
      </c>
      <c r="T616" s="9">
        <f t="shared" si="29"/>
        <v>1</v>
      </c>
    </row>
    <row r="617" spans="1:20" x14ac:dyDescent="0.25">
      <c r="A617" s="5">
        <v>334437</v>
      </c>
      <c r="B617" t="str">
        <f>IFERROR((VLOOKUP(A617,'[1]LISTA ETIQUETAS'!O:X,3,0)),"PRODUTO SEM ESTOQUE")</f>
        <v>EST MESA CENTRO SANTIAGO (TRI) (MTX MARROM) (MARM VERDE)</v>
      </c>
      <c r="C617" s="10" t="s">
        <v>21</v>
      </c>
      <c r="D617" s="10" t="s">
        <v>392</v>
      </c>
      <c r="E617" s="11">
        <f>IF(VLOOKUP(A617,'[1]LISTA ETIQUETAS'!O:W,4,0)="",(VLOOKUP(A617,'[1]LISTA ETIQUETAS'!O:W,6,0)),(VLOOKUP(A617,'[1]LISTA ETIQUETAS'!O:W,4,0)))</f>
        <v>1.4</v>
      </c>
      <c r="F617" s="11">
        <f>IF(VLOOKUP(A617,'[1]LISTA ETIQUETAS'!O:W,5,0)="",(VLOOKUP(A617,'[1]LISTA ETIQUETAS'!O:W,7,0)),(VLOOKUP(A617,'[1]LISTA ETIQUETAS'!O:W,5,0)))</f>
        <v>1.5</v>
      </c>
      <c r="G617" s="11">
        <f>IFERROR((VLOOKUP(A617,'[1]LISTA ETIQUETAS'!O:X,8,0)),"")</f>
        <v>0.32</v>
      </c>
      <c r="H617" s="11">
        <f>IFERROR((VLOOKUP(A617,'[1]LISTA ETIQUETAS'!O:X,9,0)),"")</f>
        <v>0</v>
      </c>
      <c r="I617" s="12">
        <f>IFERROR((VLOOKUP(A617,'[1]LISTA ETIQUETAS'!O:Y,11,0)),"")</f>
        <v>32531.19</v>
      </c>
      <c r="J617" s="6">
        <v>0</v>
      </c>
      <c r="K617" s="12">
        <f t="shared" si="27"/>
        <v>32531.19</v>
      </c>
      <c r="L617" s="7" t="str">
        <f>IF(VLOOKUP(A617,'[1]LISTA ETIQUETAS'!O:AB,14,0)="","",(VLOOKUP(A617,'[1]LISTA ETIQUETAS'!O:AB,14,0)))</f>
        <v/>
      </c>
      <c r="M617" s="8"/>
      <c r="N617" s="9">
        <f t="shared" si="28"/>
        <v>334437</v>
      </c>
      <c r="O617" s="2">
        <f>_xlfn.XLOOKUP($A617,'[1]LISTA ETIQUETAS'!$O:$O,'[1]LISTA ETIQUETAS'!C:C,"",0)</f>
        <v>0</v>
      </c>
      <c r="P617" s="2">
        <f>_xlfn.XLOOKUP($A617,'[1]LISTA ETIQUETAS'!$O:$O,'[1]LISTA ETIQUETAS'!D:D,"",0)</f>
        <v>0</v>
      </c>
      <c r="Q617" s="2">
        <f>_xlfn.XLOOKUP($A617,'[1]LISTA ETIQUETAS'!$O:$O,'[1]LISTA ETIQUETAS'!E:E,"",0)</f>
        <v>0</v>
      </c>
      <c r="R617" s="2">
        <f>_xlfn.XLOOKUP($A617,'[1]LISTA ETIQUETAS'!$O:$O,'[1]LISTA ETIQUETAS'!F:F,"",0)</f>
        <v>0</v>
      </c>
      <c r="S617" s="2">
        <f>_xlfn.XLOOKUP($A617,'[1]LISTA ETIQUETAS'!$O:$O,'[1]LISTA ETIQUETAS'!H:H,"",0)</f>
        <v>1</v>
      </c>
      <c r="T617" s="9">
        <f t="shared" si="29"/>
        <v>1</v>
      </c>
    </row>
    <row r="618" spans="1:20" x14ac:dyDescent="0.25">
      <c r="A618" s="5">
        <v>334174</v>
      </c>
      <c r="B618" t="str">
        <f>IFERROR((VLOOKUP(A618,'[1]LISTA ETIQUETAS'!O:X,3,0)),"PRODUTO SEM ESTOQUE")</f>
        <v>EST MESA CENTRO MATIZ (MOD 02) (MAD A CINAM 05) PT FSC</v>
      </c>
      <c r="C618" s="10" t="s">
        <v>21</v>
      </c>
      <c r="D618" s="10" t="s">
        <v>393</v>
      </c>
      <c r="E618" s="11">
        <f>IF(VLOOKUP(A618,'[1]LISTA ETIQUETAS'!O:W,4,0)="",(VLOOKUP(A618,'[1]LISTA ETIQUETAS'!O:W,6,0)),(VLOOKUP(A618,'[1]LISTA ETIQUETAS'!O:W,4,0)))</f>
        <v>1.63</v>
      </c>
      <c r="F618" s="11">
        <f>IF(VLOOKUP(A618,'[1]LISTA ETIQUETAS'!O:W,5,0)="",(VLOOKUP(A618,'[1]LISTA ETIQUETAS'!O:W,7,0)),(VLOOKUP(A618,'[1]LISTA ETIQUETAS'!O:W,5,0)))</f>
        <v>0.52</v>
      </c>
      <c r="G618" s="11">
        <f>IFERROR((VLOOKUP(A618,'[1]LISTA ETIQUETAS'!O:X,8,0)),"")</f>
        <v>0.25</v>
      </c>
      <c r="H618" s="11">
        <f>IFERROR((VLOOKUP(A618,'[1]LISTA ETIQUETAS'!O:X,9,0)),"")</f>
        <v>0</v>
      </c>
      <c r="I618" s="12">
        <f>IFERROR((VLOOKUP(A618,'[1]LISTA ETIQUETAS'!O:Y,11,0)),"")</f>
        <v>17104.009999999998</v>
      </c>
      <c r="J618" s="6">
        <v>0</v>
      </c>
      <c r="K618" s="12">
        <f t="shared" si="27"/>
        <v>17104.009999999998</v>
      </c>
      <c r="L618" s="7" t="str">
        <f>IF(VLOOKUP(A618,'[1]LISTA ETIQUETAS'!O:AB,14,0)="","",(VLOOKUP(A618,'[1]LISTA ETIQUETAS'!O:AB,14,0)))</f>
        <v/>
      </c>
      <c r="M618" s="8"/>
      <c r="N618" s="9">
        <f t="shared" si="28"/>
        <v>334174</v>
      </c>
      <c r="O618" s="2">
        <f>_xlfn.XLOOKUP($A618,'[1]LISTA ETIQUETAS'!$O:$O,'[1]LISTA ETIQUETAS'!C:C,"",0)</f>
        <v>0</v>
      </c>
      <c r="P618" s="2">
        <f>_xlfn.XLOOKUP($A618,'[1]LISTA ETIQUETAS'!$O:$O,'[1]LISTA ETIQUETAS'!D:D,"",0)</f>
        <v>0</v>
      </c>
      <c r="Q618" s="2">
        <f>_xlfn.XLOOKUP($A618,'[1]LISTA ETIQUETAS'!$O:$O,'[1]LISTA ETIQUETAS'!E:E,"",0)</f>
        <v>0</v>
      </c>
      <c r="R618" s="2">
        <f>_xlfn.XLOOKUP($A618,'[1]LISTA ETIQUETAS'!$O:$O,'[1]LISTA ETIQUETAS'!F:F,"",0)</f>
        <v>0</v>
      </c>
      <c r="S618" s="2">
        <f>_xlfn.XLOOKUP($A618,'[1]LISTA ETIQUETAS'!$O:$O,'[1]LISTA ETIQUETAS'!H:H,"",0)</f>
        <v>1</v>
      </c>
      <c r="T618" s="9">
        <f t="shared" si="29"/>
        <v>1</v>
      </c>
    </row>
    <row r="619" spans="1:20" x14ac:dyDescent="0.25">
      <c r="A619" s="5">
        <v>334173</v>
      </c>
      <c r="B619" t="str">
        <f>IFERROR((VLOOKUP(A619,'[1]LISTA ETIQUETAS'!O:X,3,0)),"PRODUTO SEM ESTOQUE")</f>
        <v>EST MESA CENTRO MATIZ (MOD 01) (CARRARA) (MAD A CINAM 05)</v>
      </c>
      <c r="C619" s="10" t="s">
        <v>21</v>
      </c>
      <c r="D619" s="10" t="s">
        <v>393</v>
      </c>
      <c r="E619" s="11">
        <f>IF(VLOOKUP(A619,'[1]LISTA ETIQUETAS'!O:W,4,0)="",(VLOOKUP(A619,'[1]LISTA ETIQUETAS'!O:W,6,0)),(VLOOKUP(A619,'[1]LISTA ETIQUETAS'!O:W,4,0)))</f>
        <v>1.63</v>
      </c>
      <c r="F619" s="11">
        <f>IF(VLOOKUP(A619,'[1]LISTA ETIQUETAS'!O:W,5,0)="",(VLOOKUP(A619,'[1]LISTA ETIQUETAS'!O:W,7,0)),(VLOOKUP(A619,'[1]LISTA ETIQUETAS'!O:W,5,0)))</f>
        <v>0.43</v>
      </c>
      <c r="G619" s="11">
        <f>IFERROR((VLOOKUP(A619,'[1]LISTA ETIQUETAS'!O:X,8,0)),"")</f>
        <v>0.25</v>
      </c>
      <c r="H619" s="11">
        <f>IFERROR((VLOOKUP(A619,'[1]LISTA ETIQUETAS'!O:X,9,0)),"")</f>
        <v>0</v>
      </c>
      <c r="I619" s="12">
        <f>IFERROR((VLOOKUP(A619,'[1]LISTA ETIQUETAS'!O:Y,11,0)),"")</f>
        <v>36511.370000000003</v>
      </c>
      <c r="J619" s="6">
        <v>0</v>
      </c>
      <c r="K619" s="12">
        <f t="shared" si="27"/>
        <v>36511.370000000003</v>
      </c>
      <c r="L619" s="7" t="str">
        <f>IF(VLOOKUP(A619,'[1]LISTA ETIQUETAS'!O:AB,14,0)="","",(VLOOKUP(A619,'[1]LISTA ETIQUETAS'!O:AB,14,0)))</f>
        <v/>
      </c>
      <c r="M619" s="8"/>
      <c r="N619" s="9">
        <f t="shared" si="28"/>
        <v>334173</v>
      </c>
      <c r="O619" s="2">
        <f>_xlfn.XLOOKUP($A619,'[1]LISTA ETIQUETAS'!$O:$O,'[1]LISTA ETIQUETAS'!C:C,"",0)</f>
        <v>0</v>
      </c>
      <c r="P619" s="2">
        <f>_xlfn.XLOOKUP($A619,'[1]LISTA ETIQUETAS'!$O:$O,'[1]LISTA ETIQUETAS'!D:D,"",0)</f>
        <v>0</v>
      </c>
      <c r="Q619" s="2">
        <f>_xlfn.XLOOKUP($A619,'[1]LISTA ETIQUETAS'!$O:$O,'[1]LISTA ETIQUETAS'!E:E,"",0)</f>
        <v>0</v>
      </c>
      <c r="R619" s="2">
        <f>_xlfn.XLOOKUP($A619,'[1]LISTA ETIQUETAS'!$O:$O,'[1]LISTA ETIQUETAS'!F:F,"",0)</f>
        <v>0</v>
      </c>
      <c r="S619" s="2">
        <f>_xlfn.XLOOKUP($A619,'[1]LISTA ETIQUETAS'!$O:$O,'[1]LISTA ETIQUETAS'!H:H,"",0)</f>
        <v>1</v>
      </c>
      <c r="T619" s="9">
        <f t="shared" si="29"/>
        <v>1</v>
      </c>
    </row>
    <row r="620" spans="1:20" x14ac:dyDescent="0.25">
      <c r="A620" s="5">
        <v>327118</v>
      </c>
      <c r="B620" t="str">
        <f>IFERROR((VLOOKUP(A620,'[1]LISTA ETIQUETAS'!O:X,3,0)),"PRODUTO SEM ESTOQUE")</f>
        <v>EST MESA CENTRO SANTIAGO (TRI) (MTX PRETO) (MARM VERDE)</v>
      </c>
      <c r="C620" s="10" t="s">
        <v>21</v>
      </c>
      <c r="D620" s="10" t="s">
        <v>392</v>
      </c>
      <c r="E620" s="11">
        <f>IF(VLOOKUP(A620,'[1]LISTA ETIQUETAS'!O:W,4,0)="",(VLOOKUP(A620,'[1]LISTA ETIQUETAS'!O:W,6,0)),(VLOOKUP(A620,'[1]LISTA ETIQUETAS'!O:W,4,0)))</f>
        <v>1.4</v>
      </c>
      <c r="F620" s="11">
        <f>IF(VLOOKUP(A620,'[1]LISTA ETIQUETAS'!O:W,5,0)="",(VLOOKUP(A620,'[1]LISTA ETIQUETAS'!O:W,7,0)),(VLOOKUP(A620,'[1]LISTA ETIQUETAS'!O:W,5,0)))</f>
        <v>1.5</v>
      </c>
      <c r="G620" s="11">
        <f>IFERROR((VLOOKUP(A620,'[1]LISTA ETIQUETAS'!O:X,8,0)),"")</f>
        <v>0.32</v>
      </c>
      <c r="H620" s="11">
        <f>IFERROR((VLOOKUP(A620,'[1]LISTA ETIQUETAS'!O:X,9,0)),"")</f>
        <v>0</v>
      </c>
      <c r="I620" s="12">
        <f>IFERROR((VLOOKUP(A620,'[1]LISTA ETIQUETAS'!O:Y,11,0)),"")</f>
        <v>32531.19</v>
      </c>
      <c r="J620" s="6">
        <v>0</v>
      </c>
      <c r="K620" s="12">
        <f t="shared" si="27"/>
        <v>32531.19</v>
      </c>
      <c r="L620" s="7" t="str">
        <f>IF(VLOOKUP(A620,'[1]LISTA ETIQUETAS'!O:AB,14,0)="","",(VLOOKUP(A620,'[1]LISTA ETIQUETAS'!O:AB,14,0)))</f>
        <v/>
      </c>
      <c r="M620" s="8"/>
      <c r="N620" s="9">
        <f t="shared" si="28"/>
        <v>327118</v>
      </c>
      <c r="O620" s="2">
        <f>_xlfn.XLOOKUP($A620,'[1]LISTA ETIQUETAS'!$O:$O,'[1]LISTA ETIQUETAS'!C:C,"",0)</f>
        <v>0</v>
      </c>
      <c r="P620" s="2">
        <f>_xlfn.XLOOKUP($A620,'[1]LISTA ETIQUETAS'!$O:$O,'[1]LISTA ETIQUETAS'!D:D,"",0)</f>
        <v>0</v>
      </c>
      <c r="Q620" s="2">
        <f>_xlfn.XLOOKUP($A620,'[1]LISTA ETIQUETAS'!$O:$O,'[1]LISTA ETIQUETAS'!E:E,"",0)</f>
        <v>0</v>
      </c>
      <c r="R620" s="2">
        <f>_xlfn.XLOOKUP($A620,'[1]LISTA ETIQUETAS'!$O:$O,'[1]LISTA ETIQUETAS'!F:F,"",0)</f>
        <v>0</v>
      </c>
      <c r="S620" s="2">
        <f>_xlfn.XLOOKUP($A620,'[1]LISTA ETIQUETAS'!$O:$O,'[1]LISTA ETIQUETAS'!H:H,"",0)</f>
        <v>1</v>
      </c>
      <c r="T620" s="9">
        <f t="shared" si="29"/>
        <v>1</v>
      </c>
    </row>
    <row r="621" spans="1:20" x14ac:dyDescent="0.25">
      <c r="A621" s="5">
        <v>320804</v>
      </c>
      <c r="B621" t="str">
        <f>IFERROR((VLOOKUP(A621,'[1]LISTA ETIQUETAS'!O:X,3,0)),"PRODUTO SEM ESTOQUE")</f>
        <v>EST MESA CENTRO PISAC (RET) (MTZ CAPUCCINO) (LAMINA WALNUT)</v>
      </c>
      <c r="C621" s="10" t="s">
        <v>21</v>
      </c>
      <c r="D621" s="10" t="s">
        <v>379</v>
      </c>
      <c r="E621" s="11">
        <f>IF(VLOOKUP(A621,'[1]LISTA ETIQUETAS'!O:W,4,0)="",(VLOOKUP(A621,'[1]LISTA ETIQUETAS'!O:W,6,0)),(VLOOKUP(A621,'[1]LISTA ETIQUETAS'!O:W,4,0)))</f>
        <v>1.4</v>
      </c>
      <c r="F621" s="11">
        <f>IF(VLOOKUP(A621,'[1]LISTA ETIQUETAS'!O:W,5,0)="",(VLOOKUP(A621,'[1]LISTA ETIQUETAS'!O:W,7,0)),(VLOOKUP(A621,'[1]LISTA ETIQUETAS'!O:W,5,0)))</f>
        <v>0.7</v>
      </c>
      <c r="G621" s="11">
        <f>IFERROR((VLOOKUP(A621,'[1]LISTA ETIQUETAS'!O:X,8,0)),"")</f>
        <v>0.4</v>
      </c>
      <c r="H621" s="11">
        <f>IFERROR((VLOOKUP(A621,'[1]LISTA ETIQUETAS'!O:X,9,0)),"")</f>
        <v>0</v>
      </c>
      <c r="I621" s="12">
        <f>IFERROR((VLOOKUP(A621,'[1]LISTA ETIQUETAS'!O:Y,11,0)),"")</f>
        <v>16851.34</v>
      </c>
      <c r="J621" s="6">
        <v>0</v>
      </c>
      <c r="K621" s="12">
        <f t="shared" si="27"/>
        <v>16851.34</v>
      </c>
      <c r="L621" s="7" t="str">
        <f>IF(VLOOKUP(A621,'[1]LISTA ETIQUETAS'!O:AB,14,0)="","",(VLOOKUP(A621,'[1]LISTA ETIQUETAS'!O:AB,14,0)))</f>
        <v/>
      </c>
      <c r="M621" s="8"/>
      <c r="N621" s="9">
        <f t="shared" si="28"/>
        <v>320804</v>
      </c>
      <c r="O621" s="2">
        <f>_xlfn.XLOOKUP($A621,'[1]LISTA ETIQUETAS'!$O:$O,'[1]LISTA ETIQUETAS'!C:C,"",0)</f>
        <v>0</v>
      </c>
      <c r="P621" s="2">
        <f>_xlfn.XLOOKUP($A621,'[1]LISTA ETIQUETAS'!$O:$O,'[1]LISTA ETIQUETAS'!D:D,"",0)</f>
        <v>0</v>
      </c>
      <c r="Q621" s="2">
        <f>_xlfn.XLOOKUP($A621,'[1]LISTA ETIQUETAS'!$O:$O,'[1]LISTA ETIQUETAS'!E:E,"",0)</f>
        <v>0</v>
      </c>
      <c r="R621" s="2">
        <f>_xlfn.XLOOKUP($A621,'[1]LISTA ETIQUETAS'!$O:$O,'[1]LISTA ETIQUETAS'!F:F,"",0)</f>
        <v>0</v>
      </c>
      <c r="S621" s="2">
        <f>_xlfn.XLOOKUP($A621,'[1]LISTA ETIQUETAS'!$O:$O,'[1]LISTA ETIQUETAS'!H:H,"",0)</f>
        <v>1</v>
      </c>
      <c r="T621" s="9">
        <f t="shared" si="29"/>
        <v>1</v>
      </c>
    </row>
    <row r="622" spans="1:20" x14ac:dyDescent="0.25">
      <c r="A622" s="5">
        <v>231142</v>
      </c>
      <c r="B622" t="str">
        <f>IFERROR((VLOOKUP(A622,'[1]LISTA ETIQUETAS'!O:X,3,0)),"PRODUTO SEM ESTOQUE")</f>
        <v>EST MESA CENTRO MATIZ (MOD 01) (NERO) (MAD B FREIJO NT)</v>
      </c>
      <c r="C622" s="10" t="s">
        <v>21</v>
      </c>
      <c r="D622" s="10" t="s">
        <v>393</v>
      </c>
      <c r="E622" s="11">
        <f>IF(VLOOKUP(A622,'[1]LISTA ETIQUETAS'!O:W,4,0)="",(VLOOKUP(A622,'[1]LISTA ETIQUETAS'!O:W,6,0)),(VLOOKUP(A622,'[1]LISTA ETIQUETAS'!O:W,4,0)))</f>
        <v>1.83</v>
      </c>
      <c r="F622" s="11">
        <f>IF(VLOOKUP(A622,'[1]LISTA ETIQUETAS'!O:W,5,0)="",(VLOOKUP(A622,'[1]LISTA ETIQUETAS'!O:W,7,0)),(VLOOKUP(A622,'[1]LISTA ETIQUETAS'!O:W,5,0)))</f>
        <v>0.43</v>
      </c>
      <c r="G622" s="11">
        <f>IFERROR((VLOOKUP(A622,'[1]LISTA ETIQUETAS'!O:X,8,0)),"")</f>
        <v>0.25</v>
      </c>
      <c r="H622" s="11">
        <f>IFERROR((VLOOKUP(A622,'[1]LISTA ETIQUETAS'!O:X,9,0)),"")</f>
        <v>0</v>
      </c>
      <c r="I622" s="12">
        <f>IFERROR((VLOOKUP(A622,'[1]LISTA ETIQUETAS'!O:Y,11,0)),"")</f>
        <v>43099.780500000001</v>
      </c>
      <c r="J622" s="6">
        <v>0</v>
      </c>
      <c r="K622" s="12">
        <f t="shared" si="27"/>
        <v>43099.780500000001</v>
      </c>
      <c r="L622" s="7" t="str">
        <f>IF(VLOOKUP(A622,'[1]LISTA ETIQUETAS'!O:AB,14,0)="","",(VLOOKUP(A622,'[1]LISTA ETIQUETAS'!O:AB,14,0)))</f>
        <v/>
      </c>
      <c r="M622" s="8"/>
      <c r="N622" s="9">
        <f t="shared" si="28"/>
        <v>231142</v>
      </c>
      <c r="O622" s="2">
        <f>_xlfn.XLOOKUP($A622,'[1]LISTA ETIQUETAS'!$O:$O,'[1]LISTA ETIQUETAS'!C:C,"",0)</f>
        <v>0</v>
      </c>
      <c r="P622" s="2">
        <f>_xlfn.XLOOKUP($A622,'[1]LISTA ETIQUETAS'!$O:$O,'[1]LISTA ETIQUETAS'!D:D,"",0)</f>
        <v>0</v>
      </c>
      <c r="Q622" s="2">
        <f>_xlfn.XLOOKUP($A622,'[1]LISTA ETIQUETAS'!$O:$O,'[1]LISTA ETIQUETAS'!E:E,"",0)</f>
        <v>0</v>
      </c>
      <c r="R622" s="2">
        <f>_xlfn.XLOOKUP($A622,'[1]LISTA ETIQUETAS'!$O:$O,'[1]LISTA ETIQUETAS'!F:F,"",0)</f>
        <v>0</v>
      </c>
      <c r="S622" s="2">
        <f>_xlfn.XLOOKUP($A622,'[1]LISTA ETIQUETAS'!$O:$O,'[1]LISTA ETIQUETAS'!H:H,"",0)</f>
        <v>1</v>
      </c>
      <c r="T622" s="9">
        <f t="shared" si="29"/>
        <v>1</v>
      </c>
    </row>
    <row r="623" spans="1:20" x14ac:dyDescent="0.25">
      <c r="A623" s="5">
        <v>361331</v>
      </c>
      <c r="B623" t="str">
        <f>IFERROR((VLOOKUP(A623,'[1]LISTA ETIQUETAS'!O:X,3,0)),"PRODUTO SEM ESTOQUE")</f>
        <v>EST MESA CENTRO CACAU (BAND MARM 5 SCARLAT) (MTZ CHAMP ACIN)</v>
      </c>
      <c r="C623" s="10" t="s">
        <v>21</v>
      </c>
      <c r="D623" s="10" t="s">
        <v>386</v>
      </c>
      <c r="E623" s="11">
        <f>IF(VLOOKUP(A623,'[1]LISTA ETIQUETAS'!O:W,4,0)="",(VLOOKUP(A623,'[1]LISTA ETIQUETAS'!O:W,6,0)),(VLOOKUP(A623,'[1]LISTA ETIQUETAS'!O:W,4,0)))</f>
        <v>1.3</v>
      </c>
      <c r="F623" s="11">
        <f>IF(VLOOKUP(A623,'[1]LISTA ETIQUETAS'!O:W,5,0)="",(VLOOKUP(A623,'[1]LISTA ETIQUETAS'!O:W,7,0)),(VLOOKUP(A623,'[1]LISTA ETIQUETAS'!O:W,5,0)))</f>
        <v>0.8</v>
      </c>
      <c r="G623" s="11">
        <f>IFERROR((VLOOKUP(A623,'[1]LISTA ETIQUETAS'!O:X,8,0)),"")</f>
        <v>0.3</v>
      </c>
      <c r="H623" s="11">
        <f>IFERROR((VLOOKUP(A623,'[1]LISTA ETIQUETAS'!O:X,9,0)),"")</f>
        <v>0</v>
      </c>
      <c r="I623" s="12">
        <f>IFERROR((VLOOKUP(A623,'[1]LISTA ETIQUETAS'!O:Y,11,0)),"")</f>
        <v>38764.36</v>
      </c>
      <c r="J623" s="6">
        <v>0</v>
      </c>
      <c r="K623" s="12">
        <f t="shared" si="27"/>
        <v>38764.36</v>
      </c>
      <c r="L623" s="7" t="str">
        <f>IF(VLOOKUP(A623,'[1]LISTA ETIQUETAS'!O:AB,14,0)="","",(VLOOKUP(A623,'[1]LISTA ETIQUETAS'!O:AB,14,0)))</f>
        <v/>
      </c>
      <c r="M623" s="8"/>
      <c r="N623" s="9">
        <f t="shared" si="28"/>
        <v>361331</v>
      </c>
      <c r="O623" s="2">
        <f>_xlfn.XLOOKUP($A623,'[1]LISTA ETIQUETAS'!$O:$O,'[1]LISTA ETIQUETAS'!C:C,"",0)</f>
        <v>0</v>
      </c>
      <c r="P623" s="2">
        <f>_xlfn.XLOOKUP($A623,'[1]LISTA ETIQUETAS'!$O:$O,'[1]LISTA ETIQUETAS'!D:D,"",0)</f>
        <v>0</v>
      </c>
      <c r="Q623" s="2">
        <f>_xlfn.XLOOKUP($A623,'[1]LISTA ETIQUETAS'!$O:$O,'[1]LISTA ETIQUETAS'!E:E,"",0)</f>
        <v>0</v>
      </c>
      <c r="R623" s="2">
        <f>_xlfn.XLOOKUP($A623,'[1]LISTA ETIQUETAS'!$O:$O,'[1]LISTA ETIQUETAS'!F:F,"",0)</f>
        <v>0</v>
      </c>
      <c r="S623" s="2">
        <f>_xlfn.XLOOKUP($A623,'[1]LISTA ETIQUETAS'!$O:$O,'[1]LISTA ETIQUETAS'!H:H,"",0)</f>
        <v>1</v>
      </c>
      <c r="T623" s="9">
        <f t="shared" si="29"/>
        <v>1</v>
      </c>
    </row>
    <row r="624" spans="1:20" x14ac:dyDescent="0.25">
      <c r="A624" s="5">
        <v>372714</v>
      </c>
      <c r="B624" t="str">
        <f>IFERROR((VLOOKUP(A624,'[1]LISTA ETIQUETAS'!O:X,3,0)),"PRODUTO SEM ESTOQUE")</f>
        <v>EST MESA CENTRO IPANEMA (LACA PRETO BRILHO C/CRISTAL)</v>
      </c>
      <c r="C624" s="10" t="s">
        <v>21</v>
      </c>
      <c r="D624" s="10" t="s">
        <v>394</v>
      </c>
      <c r="E624" s="11">
        <f>IF(VLOOKUP(A624,'[1]LISTA ETIQUETAS'!O:W,4,0)="",(VLOOKUP(A624,'[1]LISTA ETIQUETAS'!O:W,6,0)),(VLOOKUP(A624,'[1]LISTA ETIQUETAS'!O:W,4,0)))</f>
        <v>0.9</v>
      </c>
      <c r="F624" s="11">
        <f>IF(VLOOKUP(A624,'[1]LISTA ETIQUETAS'!O:W,5,0)="",(VLOOKUP(A624,'[1]LISTA ETIQUETAS'!O:W,7,0)),(VLOOKUP(A624,'[1]LISTA ETIQUETAS'!O:W,5,0)))</f>
        <v>0</v>
      </c>
      <c r="G624" s="11">
        <f>IFERROR((VLOOKUP(A624,'[1]LISTA ETIQUETAS'!O:X,8,0)),"")</f>
        <v>0.35</v>
      </c>
      <c r="H624" s="11">
        <f>IFERROR((VLOOKUP(A624,'[1]LISTA ETIQUETAS'!O:X,9,0)),"")</f>
        <v>0.9</v>
      </c>
      <c r="I624" s="12">
        <f>IFERROR((VLOOKUP(A624,'[1]LISTA ETIQUETAS'!O:Y,11,0)),"")</f>
        <v>10091.83</v>
      </c>
      <c r="J624" s="6">
        <v>0</v>
      </c>
      <c r="K624" s="12">
        <f t="shared" si="27"/>
        <v>10091.83</v>
      </c>
      <c r="L624" s="7" t="str">
        <f>IF(VLOOKUP(A624,'[1]LISTA ETIQUETAS'!O:AB,14,0)="","",(VLOOKUP(A624,'[1]LISTA ETIQUETAS'!O:AB,14,0)))</f>
        <v/>
      </c>
      <c r="M624" s="8"/>
      <c r="N624" s="9">
        <f t="shared" si="28"/>
        <v>372714</v>
      </c>
      <c r="O624" s="2">
        <f>_xlfn.XLOOKUP($A624,'[1]LISTA ETIQUETAS'!$O:$O,'[1]LISTA ETIQUETAS'!C:C,"",0)</f>
        <v>0</v>
      </c>
      <c r="P624" s="2">
        <f>_xlfn.XLOOKUP($A624,'[1]LISTA ETIQUETAS'!$O:$O,'[1]LISTA ETIQUETAS'!D:D,"",0)</f>
        <v>0</v>
      </c>
      <c r="Q624" s="2">
        <f>_xlfn.XLOOKUP($A624,'[1]LISTA ETIQUETAS'!$O:$O,'[1]LISTA ETIQUETAS'!E:E,"",0)</f>
        <v>0</v>
      </c>
      <c r="R624" s="2">
        <f>_xlfn.XLOOKUP($A624,'[1]LISTA ETIQUETAS'!$O:$O,'[1]LISTA ETIQUETAS'!F:F,"",0)</f>
        <v>0</v>
      </c>
      <c r="S624" s="2">
        <f>_xlfn.XLOOKUP($A624,'[1]LISTA ETIQUETAS'!$O:$O,'[1]LISTA ETIQUETAS'!H:H,"",0)</f>
        <v>1</v>
      </c>
      <c r="T624" s="9">
        <f t="shared" si="29"/>
        <v>1</v>
      </c>
    </row>
    <row r="625" spans="1:20" x14ac:dyDescent="0.25">
      <c r="A625" s="5">
        <v>274745</v>
      </c>
      <c r="B625" t="str">
        <f>IFERROR((VLOOKUP(A625,'[1]LISTA ETIQUETAS'!O:X,3,0)),"PRODUTO SEM ESTOQUE")</f>
        <v>EST MESA CENTRO PISAC (RED) (MTZ CAPUCCINO) (MARM IMPERADOR)</v>
      </c>
      <c r="C625" s="10" t="s">
        <v>21</v>
      </c>
      <c r="D625" s="10" t="s">
        <v>379</v>
      </c>
      <c r="E625" s="11">
        <f>IF(VLOOKUP(A625,'[1]LISTA ETIQUETAS'!O:W,4,0)="",(VLOOKUP(A625,'[1]LISTA ETIQUETAS'!O:W,6,0)),(VLOOKUP(A625,'[1]LISTA ETIQUETAS'!O:W,4,0)))</f>
        <v>0.9</v>
      </c>
      <c r="F625" s="11">
        <f>IF(VLOOKUP(A625,'[1]LISTA ETIQUETAS'!O:W,5,0)="",(VLOOKUP(A625,'[1]LISTA ETIQUETAS'!O:W,7,0)),(VLOOKUP(A625,'[1]LISTA ETIQUETAS'!O:W,5,0)))</f>
        <v>0</v>
      </c>
      <c r="G625" s="11">
        <f>IFERROR((VLOOKUP(A625,'[1]LISTA ETIQUETAS'!O:X,8,0)),"")</f>
        <v>0.4</v>
      </c>
      <c r="H625" s="11">
        <f>IFERROR((VLOOKUP(A625,'[1]LISTA ETIQUETAS'!O:X,9,0)),"")</f>
        <v>0.9</v>
      </c>
      <c r="I625" s="12">
        <f>IFERROR((VLOOKUP(A625,'[1]LISTA ETIQUETAS'!O:Y,11,0)),"")</f>
        <v>21627.599999999999</v>
      </c>
      <c r="J625" s="6">
        <v>0</v>
      </c>
      <c r="K625" s="12">
        <f t="shared" si="27"/>
        <v>21627.599999999999</v>
      </c>
      <c r="L625" s="7" t="str">
        <f>IF(VLOOKUP(A625,'[1]LISTA ETIQUETAS'!O:AB,14,0)="","",(VLOOKUP(A625,'[1]LISTA ETIQUETAS'!O:AB,14,0)))</f>
        <v/>
      </c>
      <c r="M625" s="8"/>
      <c r="N625" s="9">
        <f t="shared" si="28"/>
        <v>274745</v>
      </c>
      <c r="O625" s="2">
        <f>_xlfn.XLOOKUP($A625,'[1]LISTA ETIQUETAS'!$O:$O,'[1]LISTA ETIQUETAS'!C:C,"",0)</f>
        <v>0</v>
      </c>
      <c r="P625" s="2">
        <f>_xlfn.XLOOKUP($A625,'[1]LISTA ETIQUETAS'!$O:$O,'[1]LISTA ETIQUETAS'!D:D,"",0)</f>
        <v>0</v>
      </c>
      <c r="Q625" s="2">
        <f>_xlfn.XLOOKUP($A625,'[1]LISTA ETIQUETAS'!$O:$O,'[1]LISTA ETIQUETAS'!E:E,"",0)</f>
        <v>0</v>
      </c>
      <c r="R625" s="2">
        <f>_xlfn.XLOOKUP($A625,'[1]LISTA ETIQUETAS'!$O:$O,'[1]LISTA ETIQUETAS'!F:F,"",0)</f>
        <v>0</v>
      </c>
      <c r="S625" s="2">
        <f>_xlfn.XLOOKUP($A625,'[1]LISTA ETIQUETAS'!$O:$O,'[1]LISTA ETIQUETAS'!H:H,"",0)</f>
        <v>1</v>
      </c>
      <c r="T625" s="9">
        <f t="shared" si="29"/>
        <v>1</v>
      </c>
    </row>
    <row r="626" spans="1:20" x14ac:dyDescent="0.25">
      <c r="A626" s="5">
        <v>238167</v>
      </c>
      <c r="B626" t="str">
        <f>IFERROR((VLOOKUP(A626,'[1]LISTA ETIQUETAS'!O:X,3,0)),"PRODUTO SEM ESTOQUE")</f>
        <v>EST MESA CENTRO ARGOLA (B) (TP CAMEL) (CUMARU) INOX ENV</v>
      </c>
      <c r="C626" s="10" t="s">
        <v>21</v>
      </c>
      <c r="D626" s="10" t="s">
        <v>391</v>
      </c>
      <c r="E626" s="11">
        <f>IF(VLOOKUP(A626,'[1]LISTA ETIQUETAS'!O:W,4,0)="",(VLOOKUP(A626,'[1]LISTA ETIQUETAS'!O:W,6,0)),(VLOOKUP(A626,'[1]LISTA ETIQUETAS'!O:W,4,0)))</f>
        <v>1</v>
      </c>
      <c r="F626" s="11">
        <f>IF(VLOOKUP(A626,'[1]LISTA ETIQUETAS'!O:W,5,0)="",(VLOOKUP(A626,'[1]LISTA ETIQUETAS'!O:W,7,0)),(VLOOKUP(A626,'[1]LISTA ETIQUETAS'!O:W,5,0)))</f>
        <v>0</v>
      </c>
      <c r="G626" s="11">
        <f>IFERROR((VLOOKUP(A626,'[1]LISTA ETIQUETAS'!O:X,8,0)),"")</f>
        <v>0.35</v>
      </c>
      <c r="H626" s="11">
        <f>IFERROR((VLOOKUP(A626,'[1]LISTA ETIQUETAS'!O:X,9,0)),"")</f>
        <v>1</v>
      </c>
      <c r="I626" s="12">
        <f>IFERROR((VLOOKUP(A626,'[1]LISTA ETIQUETAS'!O:Y,11,0)),"")</f>
        <v>24626.92</v>
      </c>
      <c r="J626" s="6">
        <v>0</v>
      </c>
      <c r="K626" s="12">
        <f t="shared" si="27"/>
        <v>24626.92</v>
      </c>
      <c r="L626" s="7" t="str">
        <f>IF(VLOOKUP(A626,'[1]LISTA ETIQUETAS'!O:AB,14,0)="","",(VLOOKUP(A626,'[1]LISTA ETIQUETAS'!O:AB,14,0)))</f>
        <v/>
      </c>
      <c r="M626" s="8"/>
      <c r="N626" s="9">
        <f t="shared" si="28"/>
        <v>238167</v>
      </c>
      <c r="O626" s="2">
        <f>_xlfn.XLOOKUP($A626,'[1]LISTA ETIQUETAS'!$O:$O,'[1]LISTA ETIQUETAS'!C:C,"",0)</f>
        <v>0</v>
      </c>
      <c r="P626" s="2">
        <f>_xlfn.XLOOKUP($A626,'[1]LISTA ETIQUETAS'!$O:$O,'[1]LISTA ETIQUETAS'!D:D,"",0)</f>
        <v>0</v>
      </c>
      <c r="Q626" s="2">
        <f>_xlfn.XLOOKUP($A626,'[1]LISTA ETIQUETAS'!$O:$O,'[1]LISTA ETIQUETAS'!E:E,"",0)</f>
        <v>0</v>
      </c>
      <c r="R626" s="2">
        <f>_xlfn.XLOOKUP($A626,'[1]LISTA ETIQUETAS'!$O:$O,'[1]LISTA ETIQUETAS'!F:F,"",0)</f>
        <v>0</v>
      </c>
      <c r="S626" s="2">
        <f>_xlfn.XLOOKUP($A626,'[1]LISTA ETIQUETAS'!$O:$O,'[1]LISTA ETIQUETAS'!H:H,"",0)</f>
        <v>1</v>
      </c>
      <c r="T626" s="9">
        <f t="shared" si="29"/>
        <v>1</v>
      </c>
    </row>
    <row r="627" spans="1:20" x14ac:dyDescent="0.25">
      <c r="A627" s="5">
        <v>334565</v>
      </c>
      <c r="B627" t="str">
        <f>IFERROR((VLOOKUP(A627,'[1]LISTA ETIQUETAS'!O:X,3,0)),"PRODUTO SEM ESTOQUE")</f>
        <v>EST MESA CENTRO IPANEMA (LACA BRILHO PRETA C/CRISTAL PRETO)</v>
      </c>
      <c r="C627" s="10" t="s">
        <v>21</v>
      </c>
      <c r="D627" s="10" t="s">
        <v>394</v>
      </c>
      <c r="E627" s="11">
        <f>IF(VLOOKUP(A627,'[1]LISTA ETIQUETAS'!O:W,4,0)="",(VLOOKUP(A627,'[1]LISTA ETIQUETAS'!O:W,6,0)),(VLOOKUP(A627,'[1]LISTA ETIQUETAS'!O:W,4,0)))</f>
        <v>1</v>
      </c>
      <c r="F627" s="11">
        <f>IF(VLOOKUP(A627,'[1]LISTA ETIQUETAS'!O:W,5,0)="",(VLOOKUP(A627,'[1]LISTA ETIQUETAS'!O:W,7,0)),(VLOOKUP(A627,'[1]LISTA ETIQUETAS'!O:W,5,0)))</f>
        <v>0</v>
      </c>
      <c r="G627" s="11">
        <f>IFERROR((VLOOKUP(A627,'[1]LISTA ETIQUETAS'!O:X,8,0)),"")</f>
        <v>0.32</v>
      </c>
      <c r="H627" s="11">
        <f>IFERROR((VLOOKUP(A627,'[1]LISTA ETIQUETAS'!O:X,9,0)),"")</f>
        <v>1</v>
      </c>
      <c r="I627" s="12">
        <f>IFERROR((VLOOKUP(A627,'[1]LISTA ETIQUETAS'!O:Y,11,0)),"")</f>
        <v>11298.47</v>
      </c>
      <c r="J627" s="6">
        <v>0</v>
      </c>
      <c r="K627" s="12">
        <f t="shared" si="27"/>
        <v>11298.47</v>
      </c>
      <c r="L627" s="7" t="str">
        <f>IF(VLOOKUP(A627,'[1]LISTA ETIQUETAS'!O:AB,14,0)="","",(VLOOKUP(A627,'[1]LISTA ETIQUETAS'!O:AB,14,0)))</f>
        <v/>
      </c>
      <c r="M627" s="8"/>
      <c r="N627" s="9">
        <f t="shared" si="28"/>
        <v>334565</v>
      </c>
      <c r="O627" s="2">
        <f>_xlfn.XLOOKUP($A627,'[1]LISTA ETIQUETAS'!$O:$O,'[1]LISTA ETIQUETAS'!C:C,"",0)</f>
        <v>0</v>
      </c>
      <c r="P627" s="2">
        <f>_xlfn.XLOOKUP($A627,'[1]LISTA ETIQUETAS'!$O:$O,'[1]LISTA ETIQUETAS'!D:D,"",0)</f>
        <v>0</v>
      </c>
      <c r="Q627" s="2">
        <f>_xlfn.XLOOKUP($A627,'[1]LISTA ETIQUETAS'!$O:$O,'[1]LISTA ETIQUETAS'!E:E,"",0)</f>
        <v>0</v>
      </c>
      <c r="R627" s="2">
        <f>_xlfn.XLOOKUP($A627,'[1]LISTA ETIQUETAS'!$O:$O,'[1]LISTA ETIQUETAS'!F:F,"",0)</f>
        <v>0</v>
      </c>
      <c r="S627" s="2">
        <f>_xlfn.XLOOKUP($A627,'[1]LISTA ETIQUETAS'!$O:$O,'[1]LISTA ETIQUETAS'!H:H,"",0)</f>
        <v>1</v>
      </c>
      <c r="T627" s="9">
        <f t="shared" si="29"/>
        <v>1</v>
      </c>
    </row>
    <row r="628" spans="1:20" x14ac:dyDescent="0.25">
      <c r="A628" s="5">
        <v>327120</v>
      </c>
      <c r="B628" t="str">
        <f>IFERROR((VLOOKUP(A628,'[1]LISTA ETIQUETAS'!O:X,3,0)),"PRODUTO SEM ESTOQUE")</f>
        <v>EST MESA CENTRO SANTIAGO (TRI) (MTX MARROM) (MARM IMPERADOR)</v>
      </c>
      <c r="C628" s="10" t="s">
        <v>21</v>
      </c>
      <c r="D628" s="10" t="s">
        <v>392</v>
      </c>
      <c r="E628" s="11">
        <f>IF(VLOOKUP(A628,'[1]LISTA ETIQUETAS'!O:W,4,0)="",(VLOOKUP(A628,'[1]LISTA ETIQUETAS'!O:W,6,0)),(VLOOKUP(A628,'[1]LISTA ETIQUETAS'!O:W,4,0)))</f>
        <v>1.4</v>
      </c>
      <c r="F628" s="11">
        <f>IF(VLOOKUP(A628,'[1]LISTA ETIQUETAS'!O:W,5,0)="",(VLOOKUP(A628,'[1]LISTA ETIQUETAS'!O:W,7,0)),(VLOOKUP(A628,'[1]LISTA ETIQUETAS'!O:W,5,0)))</f>
        <v>1.5</v>
      </c>
      <c r="G628" s="11">
        <f>IFERROR((VLOOKUP(A628,'[1]LISTA ETIQUETAS'!O:X,8,0)),"")</f>
        <v>0.32</v>
      </c>
      <c r="H628" s="11">
        <f>IFERROR((VLOOKUP(A628,'[1]LISTA ETIQUETAS'!O:X,9,0)),"")</f>
        <v>0</v>
      </c>
      <c r="I628" s="12">
        <f>IFERROR((VLOOKUP(A628,'[1]LISTA ETIQUETAS'!O:Y,11,0)),"")</f>
        <v>32531.19</v>
      </c>
      <c r="J628" s="6">
        <v>0</v>
      </c>
      <c r="K628" s="12">
        <f t="shared" si="27"/>
        <v>32531.19</v>
      </c>
      <c r="L628" s="7" t="str">
        <f>IF(VLOOKUP(A628,'[1]LISTA ETIQUETAS'!O:AB,14,0)="","",(VLOOKUP(A628,'[1]LISTA ETIQUETAS'!O:AB,14,0)))</f>
        <v/>
      </c>
      <c r="M628" s="8"/>
      <c r="N628" s="9">
        <f t="shared" si="28"/>
        <v>327120</v>
      </c>
      <c r="O628" s="2">
        <f>_xlfn.XLOOKUP($A628,'[1]LISTA ETIQUETAS'!$O:$O,'[1]LISTA ETIQUETAS'!C:C,"",0)</f>
        <v>0</v>
      </c>
      <c r="P628" s="2">
        <f>_xlfn.XLOOKUP($A628,'[1]LISTA ETIQUETAS'!$O:$O,'[1]LISTA ETIQUETAS'!D:D,"",0)</f>
        <v>0</v>
      </c>
      <c r="Q628" s="2">
        <f>_xlfn.XLOOKUP($A628,'[1]LISTA ETIQUETAS'!$O:$O,'[1]LISTA ETIQUETAS'!E:E,"",0)</f>
        <v>0</v>
      </c>
      <c r="R628" s="2">
        <f>_xlfn.XLOOKUP($A628,'[1]LISTA ETIQUETAS'!$O:$O,'[1]LISTA ETIQUETAS'!F:F,"",0)</f>
        <v>0</v>
      </c>
      <c r="S628" s="2">
        <f>_xlfn.XLOOKUP($A628,'[1]LISTA ETIQUETAS'!$O:$O,'[1]LISTA ETIQUETAS'!H:H,"",0)</f>
        <v>1</v>
      </c>
      <c r="T628" s="9">
        <f t="shared" si="29"/>
        <v>1</v>
      </c>
    </row>
    <row r="629" spans="1:20" x14ac:dyDescent="0.25">
      <c r="A629" s="5">
        <v>406769</v>
      </c>
      <c r="B629" t="str">
        <f>IFERROR((VLOOKUP(A629,'[1]LISTA ETIQUETAS'!O:X,3,0)),"PRODUTO SEM ESTOQUE")</f>
        <v>EST MESA CENTRO CLASSICA (4 BASES)</v>
      </c>
      <c r="C629" s="10" t="s">
        <v>21</v>
      </c>
      <c r="D629" s="10" t="s">
        <v>395</v>
      </c>
      <c r="E629" s="11">
        <f>IF(VLOOKUP(A629,'[1]LISTA ETIQUETAS'!O:W,4,0)="",(VLOOKUP(A629,'[1]LISTA ETIQUETAS'!O:W,6,0)),(VLOOKUP(A629,'[1]LISTA ETIQUETAS'!O:W,4,0)))</f>
        <v>1.5</v>
      </c>
      <c r="F629" s="11">
        <f>IF(VLOOKUP(A629,'[1]LISTA ETIQUETAS'!O:W,5,0)="",(VLOOKUP(A629,'[1]LISTA ETIQUETAS'!O:W,7,0)),(VLOOKUP(A629,'[1]LISTA ETIQUETAS'!O:W,5,0)))</f>
        <v>1</v>
      </c>
      <c r="G629" s="11">
        <f>IFERROR((VLOOKUP(A629,'[1]LISTA ETIQUETAS'!O:X,8,0)),"")</f>
        <v>0.4</v>
      </c>
      <c r="H629" s="11">
        <f>IFERROR((VLOOKUP(A629,'[1]LISTA ETIQUETAS'!O:X,9,0)),"")</f>
        <v>0</v>
      </c>
      <c r="I629" s="12" t="str">
        <f>IFERROR((VLOOKUP(A629,'[1]LISTA ETIQUETAS'!O:Y,11,0)),"")</f>
        <v/>
      </c>
      <c r="J629" s="6">
        <v>0</v>
      </c>
      <c r="K629" s="12" t="str">
        <f t="shared" si="27"/>
        <v/>
      </c>
      <c r="L629" s="7" t="str">
        <f>IF(VLOOKUP(A629,'[1]LISTA ETIQUETAS'!O:AB,14,0)="","",(VLOOKUP(A629,'[1]LISTA ETIQUETAS'!O:AB,14,0)))</f>
        <v/>
      </c>
      <c r="M629" s="8"/>
      <c r="N629" s="9">
        <f t="shared" si="28"/>
        <v>406769</v>
      </c>
      <c r="O629" s="2">
        <f>_xlfn.XLOOKUP($A629,'[1]LISTA ETIQUETAS'!$O:$O,'[1]LISTA ETIQUETAS'!C:C,"",0)</f>
        <v>0</v>
      </c>
      <c r="P629" s="2">
        <f>_xlfn.XLOOKUP($A629,'[1]LISTA ETIQUETAS'!$O:$O,'[1]LISTA ETIQUETAS'!D:D,"",0)</f>
        <v>0</v>
      </c>
      <c r="Q629" s="2">
        <f>_xlfn.XLOOKUP($A629,'[1]LISTA ETIQUETAS'!$O:$O,'[1]LISTA ETIQUETAS'!E:E,"",0)</f>
        <v>0</v>
      </c>
      <c r="R629" s="2">
        <f>_xlfn.XLOOKUP($A629,'[1]LISTA ETIQUETAS'!$O:$O,'[1]LISTA ETIQUETAS'!F:F,"",0)</f>
        <v>0</v>
      </c>
      <c r="S629" s="2">
        <f>_xlfn.XLOOKUP($A629,'[1]LISTA ETIQUETAS'!$O:$O,'[1]LISTA ETIQUETAS'!H:H,"",0)</f>
        <v>1</v>
      </c>
      <c r="T629" s="9">
        <f t="shared" si="29"/>
        <v>1</v>
      </c>
    </row>
    <row r="630" spans="1:20" x14ac:dyDescent="0.25">
      <c r="A630" s="5">
        <v>404507</v>
      </c>
      <c r="B630" t="str">
        <f>IFERROR((VLOOKUP(A630,'[1]LISTA ETIQUETAS'!O:X,3,0)),"PRODUTO SEM ESTOQUE")</f>
        <v>EST GAVETEIRO ESPECIAL (CLASSICA)</v>
      </c>
      <c r="C630" s="10" t="s">
        <v>21</v>
      </c>
      <c r="D630" s="10" t="s">
        <v>396</v>
      </c>
      <c r="E630" s="11">
        <f>IF(VLOOKUP(A630,'[1]LISTA ETIQUETAS'!O:W,4,0)="",(VLOOKUP(A630,'[1]LISTA ETIQUETAS'!O:W,6,0)),(VLOOKUP(A630,'[1]LISTA ETIQUETAS'!O:W,4,0)))</f>
        <v>0</v>
      </c>
      <c r="F630" s="11">
        <f>IF(VLOOKUP(A630,'[1]LISTA ETIQUETAS'!O:W,5,0)="",(VLOOKUP(A630,'[1]LISTA ETIQUETAS'!O:W,7,0)),(VLOOKUP(A630,'[1]LISTA ETIQUETAS'!O:W,5,0)))</f>
        <v>0</v>
      </c>
      <c r="G630" s="11">
        <f>IFERROR((VLOOKUP(A630,'[1]LISTA ETIQUETAS'!O:X,8,0)),"")</f>
        <v>0</v>
      </c>
      <c r="H630" s="11">
        <f>IFERROR((VLOOKUP(A630,'[1]LISTA ETIQUETAS'!O:X,9,0)),"")</f>
        <v>0</v>
      </c>
      <c r="I630" s="12" t="str">
        <f>IFERROR((VLOOKUP(A630,'[1]LISTA ETIQUETAS'!O:Y,11,0)),"")</f>
        <v/>
      </c>
      <c r="J630" s="6">
        <v>0</v>
      </c>
      <c r="K630" s="12" t="str">
        <f t="shared" si="27"/>
        <v/>
      </c>
      <c r="L630" s="7" t="str">
        <f>IF(VLOOKUP(A630,'[1]LISTA ETIQUETAS'!O:AB,14,0)="","",(VLOOKUP(A630,'[1]LISTA ETIQUETAS'!O:AB,14,0)))</f>
        <v/>
      </c>
      <c r="M630" s="8"/>
      <c r="N630" s="9">
        <f t="shared" si="28"/>
        <v>404507</v>
      </c>
      <c r="O630" s="2">
        <f>_xlfn.XLOOKUP($A630,'[1]LISTA ETIQUETAS'!$O:$O,'[1]LISTA ETIQUETAS'!C:C,"",0)</f>
        <v>0</v>
      </c>
      <c r="P630" s="2">
        <f>_xlfn.XLOOKUP($A630,'[1]LISTA ETIQUETAS'!$O:$O,'[1]LISTA ETIQUETAS'!D:D,"",0)</f>
        <v>0</v>
      </c>
      <c r="Q630" s="2">
        <f>_xlfn.XLOOKUP($A630,'[1]LISTA ETIQUETAS'!$O:$O,'[1]LISTA ETIQUETAS'!E:E,"",0)</f>
        <v>0</v>
      </c>
      <c r="R630" s="2">
        <f>_xlfn.XLOOKUP($A630,'[1]LISTA ETIQUETAS'!$O:$O,'[1]LISTA ETIQUETAS'!F:F,"",0)</f>
        <v>0</v>
      </c>
      <c r="S630" s="2">
        <f>_xlfn.XLOOKUP($A630,'[1]LISTA ETIQUETAS'!$O:$O,'[1]LISTA ETIQUETAS'!H:H,"",0)</f>
        <v>1</v>
      </c>
      <c r="T630" s="9">
        <f t="shared" si="29"/>
        <v>1</v>
      </c>
    </row>
    <row r="631" spans="1:20" x14ac:dyDescent="0.25">
      <c r="A631" s="5">
        <v>404506</v>
      </c>
      <c r="B631" t="str">
        <f>IFERROR((VLOOKUP(A631,'[1]LISTA ETIQUETAS'!O:X,3,0)),"PRODUTO SEM ESTOQUE")</f>
        <v>EST MOVEL AUXILIAR ESPECIAL (CLASSICA)</v>
      </c>
      <c r="C631" s="10" t="s">
        <v>21</v>
      </c>
      <c r="D631" s="10" t="s">
        <v>397</v>
      </c>
      <c r="E631" s="11">
        <f>IF(VLOOKUP(A631,'[1]LISTA ETIQUETAS'!O:W,4,0)="",(VLOOKUP(A631,'[1]LISTA ETIQUETAS'!O:W,6,0)),(VLOOKUP(A631,'[1]LISTA ETIQUETAS'!O:W,4,0)))</f>
        <v>0</v>
      </c>
      <c r="F631" s="11">
        <f>IF(VLOOKUP(A631,'[1]LISTA ETIQUETAS'!O:W,5,0)="",(VLOOKUP(A631,'[1]LISTA ETIQUETAS'!O:W,7,0)),(VLOOKUP(A631,'[1]LISTA ETIQUETAS'!O:W,5,0)))</f>
        <v>0</v>
      </c>
      <c r="G631" s="11">
        <f>IFERROR((VLOOKUP(A631,'[1]LISTA ETIQUETAS'!O:X,8,0)),"")</f>
        <v>0</v>
      </c>
      <c r="H631" s="11">
        <f>IFERROR((VLOOKUP(A631,'[1]LISTA ETIQUETAS'!O:X,9,0)),"")</f>
        <v>0</v>
      </c>
      <c r="I631" s="12" t="str">
        <f>IFERROR((VLOOKUP(A631,'[1]LISTA ETIQUETAS'!O:Y,11,0)),"")</f>
        <v/>
      </c>
      <c r="J631" s="6">
        <v>0</v>
      </c>
      <c r="K631" s="12" t="str">
        <f t="shared" si="27"/>
        <v/>
      </c>
      <c r="L631" s="7" t="str">
        <f>IF(VLOOKUP(A631,'[1]LISTA ETIQUETAS'!O:AB,14,0)="","",(VLOOKUP(A631,'[1]LISTA ETIQUETAS'!O:AB,14,0)))</f>
        <v/>
      </c>
      <c r="M631" s="8"/>
      <c r="N631" s="9">
        <f t="shared" si="28"/>
        <v>404506</v>
      </c>
      <c r="O631" s="2">
        <f>_xlfn.XLOOKUP($A631,'[1]LISTA ETIQUETAS'!$O:$O,'[1]LISTA ETIQUETAS'!C:C,"",0)</f>
        <v>0</v>
      </c>
      <c r="P631" s="2">
        <f>_xlfn.XLOOKUP($A631,'[1]LISTA ETIQUETAS'!$O:$O,'[1]LISTA ETIQUETAS'!D:D,"",0)</f>
        <v>0</v>
      </c>
      <c r="Q631" s="2">
        <f>_xlfn.XLOOKUP($A631,'[1]LISTA ETIQUETAS'!$O:$O,'[1]LISTA ETIQUETAS'!E:E,"",0)</f>
        <v>0</v>
      </c>
      <c r="R631" s="2">
        <f>_xlfn.XLOOKUP($A631,'[1]LISTA ETIQUETAS'!$O:$O,'[1]LISTA ETIQUETAS'!F:F,"",0)</f>
        <v>0</v>
      </c>
      <c r="S631" s="2">
        <f>_xlfn.XLOOKUP($A631,'[1]LISTA ETIQUETAS'!$O:$O,'[1]LISTA ETIQUETAS'!H:H,"",0)</f>
        <v>1</v>
      </c>
      <c r="T631" s="9">
        <f t="shared" si="29"/>
        <v>1</v>
      </c>
    </row>
    <row r="632" spans="1:20" x14ac:dyDescent="0.25">
      <c r="A632" s="5">
        <v>88125</v>
      </c>
      <c r="B632" t="str">
        <f>IFERROR((VLOOKUP(A632,'[1]LISTA ETIQUETAS'!O:X,3,0)),"PRODUTO SEM ESTOQUE")</f>
        <v>EST MESA CENTRO LEE LACA BRANCA BRILHANTE</v>
      </c>
      <c r="C632" s="10" t="s">
        <v>21</v>
      </c>
      <c r="D632" s="10" t="s">
        <v>398</v>
      </c>
      <c r="E632" s="11">
        <f>IF(VLOOKUP(A632,'[1]LISTA ETIQUETAS'!O:W,4,0)="",(VLOOKUP(A632,'[1]LISTA ETIQUETAS'!O:W,6,0)),(VLOOKUP(A632,'[1]LISTA ETIQUETAS'!O:W,4,0)))</f>
        <v>1</v>
      </c>
      <c r="F632" s="11">
        <f>IF(VLOOKUP(A632,'[1]LISTA ETIQUETAS'!O:W,5,0)="",(VLOOKUP(A632,'[1]LISTA ETIQUETAS'!O:W,7,0)),(VLOOKUP(A632,'[1]LISTA ETIQUETAS'!O:W,5,0)))</f>
        <v>1</v>
      </c>
      <c r="G632" s="11">
        <f>IFERROR((VLOOKUP(A632,'[1]LISTA ETIQUETAS'!O:X,8,0)),"")</f>
        <v>0.24</v>
      </c>
      <c r="H632" s="11">
        <f>IFERROR((VLOOKUP(A632,'[1]LISTA ETIQUETAS'!O:X,9,0)),"")</f>
        <v>0</v>
      </c>
      <c r="I632" s="12">
        <f>IFERROR((VLOOKUP(A632,'[1]LISTA ETIQUETAS'!O:Y,11,0)),"")</f>
        <v>10890.07</v>
      </c>
      <c r="J632" s="6">
        <v>0</v>
      </c>
      <c r="K632" s="12">
        <f t="shared" si="27"/>
        <v>10890.07</v>
      </c>
      <c r="L632" s="7" t="str">
        <f>IF(VLOOKUP(A632,'[1]LISTA ETIQUETAS'!O:AB,14,0)="","",(VLOOKUP(A632,'[1]LISTA ETIQUETAS'!O:AB,14,0)))</f>
        <v/>
      </c>
      <c r="M632" s="8"/>
      <c r="N632" s="9">
        <f t="shared" si="28"/>
        <v>88125</v>
      </c>
      <c r="O632" s="2">
        <f>_xlfn.XLOOKUP($A632,'[1]LISTA ETIQUETAS'!$O:$O,'[1]LISTA ETIQUETAS'!C:C,"",0)</f>
        <v>0</v>
      </c>
      <c r="P632" s="2">
        <f>_xlfn.XLOOKUP($A632,'[1]LISTA ETIQUETAS'!$O:$O,'[1]LISTA ETIQUETAS'!D:D,"",0)</f>
        <v>0</v>
      </c>
      <c r="Q632" s="2">
        <f>_xlfn.XLOOKUP($A632,'[1]LISTA ETIQUETAS'!$O:$O,'[1]LISTA ETIQUETAS'!E:E,"",0)</f>
        <v>0</v>
      </c>
      <c r="R632" s="2">
        <f>_xlfn.XLOOKUP($A632,'[1]LISTA ETIQUETAS'!$O:$O,'[1]LISTA ETIQUETAS'!F:F,"",0)</f>
        <v>0</v>
      </c>
      <c r="S632" s="2">
        <f>_xlfn.XLOOKUP($A632,'[1]LISTA ETIQUETAS'!$O:$O,'[1]LISTA ETIQUETAS'!H:H,"",0)</f>
        <v>1</v>
      </c>
      <c r="T632" s="9">
        <f t="shared" si="29"/>
        <v>1</v>
      </c>
    </row>
    <row r="633" spans="1:20" x14ac:dyDescent="0.25">
      <c r="A633" s="5">
        <v>113267</v>
      </c>
      <c r="B633" t="str">
        <f>IFERROR((VLOOKUP(A633,'[1]LISTA ETIQUETAS'!O:X,3,0)),"PRODUTO SEM ESTOQUE")</f>
        <v>EST MESA CENTRO DINN (PES ACO CARB) (TP MAD ESP F100 BRILHO)</v>
      </c>
      <c r="C633" s="10" t="s">
        <v>21</v>
      </c>
      <c r="D633" s="10" t="s">
        <v>399</v>
      </c>
      <c r="E633" s="11">
        <f>IF(VLOOKUP(A633,'[1]LISTA ETIQUETAS'!O:W,4,0)="",(VLOOKUP(A633,'[1]LISTA ETIQUETAS'!O:W,6,0)),(VLOOKUP(A633,'[1]LISTA ETIQUETAS'!O:W,4,0)))</f>
        <v>1.5</v>
      </c>
      <c r="F633" s="11">
        <f>IF(VLOOKUP(A633,'[1]LISTA ETIQUETAS'!O:W,5,0)="",(VLOOKUP(A633,'[1]LISTA ETIQUETAS'!O:W,7,0)),(VLOOKUP(A633,'[1]LISTA ETIQUETAS'!O:W,5,0)))</f>
        <v>0.7</v>
      </c>
      <c r="G633" s="11">
        <f>IFERROR((VLOOKUP(A633,'[1]LISTA ETIQUETAS'!O:X,8,0)),"")</f>
        <v>0.25</v>
      </c>
      <c r="H633" s="11">
        <f>IFERROR((VLOOKUP(A633,'[1]LISTA ETIQUETAS'!O:X,9,0)),"")</f>
        <v>0</v>
      </c>
      <c r="I633" s="12">
        <f>IFERROR((VLOOKUP(A633,'[1]LISTA ETIQUETAS'!O:Y,11,0)),"")</f>
        <v>5817.28</v>
      </c>
      <c r="J633" s="6">
        <v>0</v>
      </c>
      <c r="K633" s="12">
        <f t="shared" si="27"/>
        <v>5817.28</v>
      </c>
      <c r="L633" s="7" t="str">
        <f>IF(VLOOKUP(A633,'[1]LISTA ETIQUETAS'!O:AB,14,0)="","",(VLOOKUP(A633,'[1]LISTA ETIQUETAS'!O:AB,14,0)))</f>
        <v/>
      </c>
      <c r="M633" s="8"/>
      <c r="N633" s="9">
        <f t="shared" si="28"/>
        <v>113267</v>
      </c>
      <c r="O633" s="2">
        <f>_xlfn.XLOOKUP($A633,'[1]LISTA ETIQUETAS'!$O:$O,'[1]LISTA ETIQUETAS'!C:C,"",0)</f>
        <v>0</v>
      </c>
      <c r="P633" s="2">
        <f>_xlfn.XLOOKUP($A633,'[1]LISTA ETIQUETAS'!$O:$O,'[1]LISTA ETIQUETAS'!D:D,"",0)</f>
        <v>0</v>
      </c>
      <c r="Q633" s="2">
        <f>_xlfn.XLOOKUP($A633,'[1]LISTA ETIQUETAS'!$O:$O,'[1]LISTA ETIQUETAS'!E:E,"",0)</f>
        <v>0</v>
      </c>
      <c r="R633" s="2">
        <f>_xlfn.XLOOKUP($A633,'[1]LISTA ETIQUETAS'!$O:$O,'[1]LISTA ETIQUETAS'!F:F,"",0)</f>
        <v>0</v>
      </c>
      <c r="S633" s="2">
        <f>_xlfn.XLOOKUP($A633,'[1]LISTA ETIQUETAS'!$O:$O,'[1]LISTA ETIQUETAS'!H:H,"",0)</f>
        <v>1</v>
      </c>
      <c r="T633" s="9">
        <f t="shared" si="29"/>
        <v>1</v>
      </c>
    </row>
    <row r="634" spans="1:20" x14ac:dyDescent="0.25">
      <c r="A634" s="5">
        <v>120998</v>
      </c>
      <c r="B634" t="str">
        <f>IFERROR((VLOOKUP(A634,'[1]LISTA ETIQUETAS'!O:X,3,0)),"PRODUTO SEM ESTOQUE")</f>
        <v>EST MESA CENTRO LEE (RESINA BRANCA)</v>
      </c>
      <c r="C634" s="10" t="s">
        <v>21</v>
      </c>
      <c r="D634" s="10" t="s">
        <v>398</v>
      </c>
      <c r="E634" s="11">
        <f>IF(VLOOKUP(A634,'[1]LISTA ETIQUETAS'!O:W,4,0)="",(VLOOKUP(A634,'[1]LISTA ETIQUETAS'!O:W,6,0)),(VLOOKUP(A634,'[1]LISTA ETIQUETAS'!O:W,4,0)))</f>
        <v>1.2</v>
      </c>
      <c r="F634" s="11">
        <f>IF(VLOOKUP(A634,'[1]LISTA ETIQUETAS'!O:W,5,0)="",(VLOOKUP(A634,'[1]LISTA ETIQUETAS'!O:W,7,0)),(VLOOKUP(A634,'[1]LISTA ETIQUETAS'!O:W,5,0)))</f>
        <v>1.2</v>
      </c>
      <c r="G634" s="11">
        <f>IFERROR((VLOOKUP(A634,'[1]LISTA ETIQUETAS'!O:X,8,0)),"")</f>
        <v>0.3</v>
      </c>
      <c r="H634" s="11">
        <f>IFERROR((VLOOKUP(A634,'[1]LISTA ETIQUETAS'!O:X,9,0)),"")</f>
        <v>0</v>
      </c>
      <c r="I634" s="12" t="str">
        <f>IFERROR((VLOOKUP(A634,'[1]LISTA ETIQUETAS'!O:Y,11,0)),"")</f>
        <v/>
      </c>
      <c r="J634" s="6">
        <v>0</v>
      </c>
      <c r="K634" s="12" t="str">
        <f t="shared" si="27"/>
        <v/>
      </c>
      <c r="L634" s="7" t="str">
        <f>IF(VLOOKUP(A634,'[1]LISTA ETIQUETAS'!O:AB,14,0)="","",(VLOOKUP(A634,'[1]LISTA ETIQUETAS'!O:AB,14,0)))</f>
        <v/>
      </c>
      <c r="M634" s="8"/>
      <c r="N634" s="9">
        <f t="shared" si="28"/>
        <v>120998</v>
      </c>
      <c r="O634" s="2">
        <f>_xlfn.XLOOKUP($A634,'[1]LISTA ETIQUETAS'!$O:$O,'[1]LISTA ETIQUETAS'!C:C,"",0)</f>
        <v>0</v>
      </c>
      <c r="P634" s="2">
        <f>_xlfn.XLOOKUP($A634,'[1]LISTA ETIQUETAS'!$O:$O,'[1]LISTA ETIQUETAS'!D:D,"",0)</f>
        <v>0</v>
      </c>
      <c r="Q634" s="2">
        <f>_xlfn.XLOOKUP($A634,'[1]LISTA ETIQUETAS'!$O:$O,'[1]LISTA ETIQUETAS'!E:E,"",0)</f>
        <v>0</v>
      </c>
      <c r="R634" s="2">
        <f>_xlfn.XLOOKUP($A634,'[1]LISTA ETIQUETAS'!$O:$O,'[1]LISTA ETIQUETAS'!F:F,"",0)</f>
        <v>0</v>
      </c>
      <c r="S634" s="2">
        <f>_xlfn.XLOOKUP($A634,'[1]LISTA ETIQUETAS'!$O:$O,'[1]LISTA ETIQUETAS'!H:H,"",0)</f>
        <v>1</v>
      </c>
      <c r="T634" s="9">
        <f t="shared" si="29"/>
        <v>1</v>
      </c>
    </row>
    <row r="635" spans="1:20" x14ac:dyDescent="0.25">
      <c r="A635" s="5">
        <v>64235</v>
      </c>
      <c r="B635" t="str">
        <f>IFERROR((VLOOKUP(A635,'[1]LISTA ETIQUETAS'!O:X,3,0)),"PRODUTO SEM ESTOQUE")</f>
        <v>EST MESA CENTRO VIENA (FIBRA) (MADEIRA)</v>
      </c>
      <c r="C635" s="10" t="s">
        <v>21</v>
      </c>
      <c r="D635" s="10" t="s">
        <v>400</v>
      </c>
      <c r="E635" s="11">
        <f>IF(VLOOKUP(A635,'[1]LISTA ETIQUETAS'!O:W,4,0)="",(VLOOKUP(A635,'[1]LISTA ETIQUETAS'!O:W,6,0)),(VLOOKUP(A635,'[1]LISTA ETIQUETAS'!O:W,4,0)))</f>
        <v>1.5</v>
      </c>
      <c r="F635" s="11">
        <f>IF(VLOOKUP(A635,'[1]LISTA ETIQUETAS'!O:W,5,0)="",(VLOOKUP(A635,'[1]LISTA ETIQUETAS'!O:W,7,0)),(VLOOKUP(A635,'[1]LISTA ETIQUETAS'!O:W,5,0)))</f>
        <v>0.5</v>
      </c>
      <c r="G635" s="11">
        <f>IFERROR((VLOOKUP(A635,'[1]LISTA ETIQUETAS'!O:X,8,0)),"")</f>
        <v>0</v>
      </c>
      <c r="H635" s="11">
        <f>IFERROR((VLOOKUP(A635,'[1]LISTA ETIQUETAS'!O:X,9,0)),"")</f>
        <v>0</v>
      </c>
      <c r="I635" s="12">
        <f>IFERROR((VLOOKUP(A635,'[1]LISTA ETIQUETAS'!O:Y,11,0)),"")</f>
        <v>0</v>
      </c>
      <c r="J635" s="6">
        <v>0</v>
      </c>
      <c r="K635" s="12">
        <f t="shared" si="27"/>
        <v>0</v>
      </c>
      <c r="L635" s="7" t="str">
        <f>IF(VLOOKUP(A635,'[1]LISTA ETIQUETAS'!O:AB,14,0)="","",(VLOOKUP(A635,'[1]LISTA ETIQUETAS'!O:AB,14,0)))</f>
        <v/>
      </c>
      <c r="M635" s="8"/>
      <c r="N635" s="9">
        <f t="shared" si="28"/>
        <v>64235</v>
      </c>
      <c r="O635" s="2">
        <f>_xlfn.XLOOKUP($A635,'[1]LISTA ETIQUETAS'!$O:$O,'[1]LISTA ETIQUETAS'!C:C,"",0)</f>
        <v>0</v>
      </c>
      <c r="P635" s="2">
        <f>_xlfn.XLOOKUP($A635,'[1]LISTA ETIQUETAS'!$O:$O,'[1]LISTA ETIQUETAS'!D:D,"",0)</f>
        <v>0</v>
      </c>
      <c r="Q635" s="2">
        <f>_xlfn.XLOOKUP($A635,'[1]LISTA ETIQUETAS'!$O:$O,'[1]LISTA ETIQUETAS'!E:E,"",0)</f>
        <v>0</v>
      </c>
      <c r="R635" s="2">
        <f>_xlfn.XLOOKUP($A635,'[1]LISTA ETIQUETAS'!$O:$O,'[1]LISTA ETIQUETAS'!F:F,"",0)</f>
        <v>0</v>
      </c>
      <c r="S635" s="2">
        <f>_xlfn.XLOOKUP($A635,'[1]LISTA ETIQUETAS'!$O:$O,'[1]LISTA ETIQUETAS'!H:H,"",0)</f>
        <v>1</v>
      </c>
      <c r="T635" s="9">
        <f t="shared" si="29"/>
        <v>1</v>
      </c>
    </row>
    <row r="636" spans="1:20" x14ac:dyDescent="0.25">
      <c r="A636" s="5">
        <v>63520</v>
      </c>
      <c r="B636" t="str">
        <f>IFERROR((VLOOKUP(A636,'[1]LISTA ETIQUETAS'!O:X,3,0)),"PRODUTO SEM ESTOQUE")</f>
        <v>EST MESA CENTRO PD 27 (CARVALHO CHOCOLATE)</v>
      </c>
      <c r="C636" s="10" t="s">
        <v>21</v>
      </c>
      <c r="D636" s="10" t="s">
        <v>401</v>
      </c>
      <c r="E636" s="11">
        <f>IF(VLOOKUP(A636,'[1]LISTA ETIQUETAS'!O:W,4,0)="",(VLOOKUP(A636,'[1]LISTA ETIQUETAS'!O:W,6,0)),(VLOOKUP(A636,'[1]LISTA ETIQUETAS'!O:W,4,0)))</f>
        <v>1.3</v>
      </c>
      <c r="F636" s="11">
        <f>IF(VLOOKUP(A636,'[1]LISTA ETIQUETAS'!O:W,5,0)="",(VLOOKUP(A636,'[1]LISTA ETIQUETAS'!O:W,7,0)),(VLOOKUP(A636,'[1]LISTA ETIQUETAS'!O:W,5,0)))</f>
        <v>0</v>
      </c>
      <c r="G636" s="11">
        <f>IFERROR((VLOOKUP(A636,'[1]LISTA ETIQUETAS'!O:X,8,0)),"")</f>
        <v>0.5</v>
      </c>
      <c r="H636" s="11">
        <f>IFERROR((VLOOKUP(A636,'[1]LISTA ETIQUETAS'!O:X,9,0)),"")</f>
        <v>1.3</v>
      </c>
      <c r="I636" s="12">
        <f>IFERROR((VLOOKUP(A636,'[1]LISTA ETIQUETAS'!O:Y,11,0)),"")</f>
        <v>9430.4</v>
      </c>
      <c r="J636" s="6">
        <v>0</v>
      </c>
      <c r="K636" s="12">
        <f t="shared" si="27"/>
        <v>9430.4</v>
      </c>
      <c r="L636" s="7" t="str">
        <f>IF(VLOOKUP(A636,'[1]LISTA ETIQUETAS'!O:AB,14,0)="","",(VLOOKUP(A636,'[1]LISTA ETIQUETAS'!O:AB,14,0)))</f>
        <v/>
      </c>
      <c r="M636" s="8"/>
      <c r="N636" s="9">
        <f t="shared" si="28"/>
        <v>63520</v>
      </c>
      <c r="O636" s="2">
        <f>_xlfn.XLOOKUP($A636,'[1]LISTA ETIQUETAS'!$O:$O,'[1]LISTA ETIQUETAS'!C:C,"",0)</f>
        <v>0</v>
      </c>
      <c r="P636" s="2">
        <f>_xlfn.XLOOKUP($A636,'[1]LISTA ETIQUETAS'!$O:$O,'[1]LISTA ETIQUETAS'!D:D,"",0)</f>
        <v>0</v>
      </c>
      <c r="Q636" s="2">
        <f>_xlfn.XLOOKUP($A636,'[1]LISTA ETIQUETAS'!$O:$O,'[1]LISTA ETIQUETAS'!E:E,"",0)</f>
        <v>0</v>
      </c>
      <c r="R636" s="2">
        <f>_xlfn.XLOOKUP($A636,'[1]LISTA ETIQUETAS'!$O:$O,'[1]LISTA ETIQUETAS'!F:F,"",0)</f>
        <v>0</v>
      </c>
      <c r="S636" s="2">
        <f>_xlfn.XLOOKUP($A636,'[1]LISTA ETIQUETAS'!$O:$O,'[1]LISTA ETIQUETAS'!H:H,"",0)</f>
        <v>1</v>
      </c>
      <c r="T636" s="9">
        <f t="shared" si="29"/>
        <v>1</v>
      </c>
    </row>
    <row r="637" spans="1:20" x14ac:dyDescent="0.25">
      <c r="A637" s="5">
        <v>64228</v>
      </c>
      <c r="B637" t="str">
        <f>IFERROR((VLOOKUP(A637,'[1]LISTA ETIQUETAS'!O:X,3,0)),"PRODUTO SEM ESTOQUE")</f>
        <v>EST MESA CENTRO PD27 (CARVALHO CHOCOLATE)</v>
      </c>
      <c r="C637" s="10" t="s">
        <v>21</v>
      </c>
      <c r="D637" s="10" t="s">
        <v>402</v>
      </c>
      <c r="E637" s="11">
        <f>IF(VLOOKUP(A637,'[1]LISTA ETIQUETAS'!O:W,4,0)="",(VLOOKUP(A637,'[1]LISTA ETIQUETAS'!O:W,6,0)),(VLOOKUP(A637,'[1]LISTA ETIQUETAS'!O:W,4,0)))</f>
        <v>1.5</v>
      </c>
      <c r="F637" s="11">
        <f>IF(VLOOKUP(A637,'[1]LISTA ETIQUETAS'!O:W,5,0)="",(VLOOKUP(A637,'[1]LISTA ETIQUETAS'!O:W,7,0)),(VLOOKUP(A637,'[1]LISTA ETIQUETAS'!O:W,5,0)))</f>
        <v>0.5</v>
      </c>
      <c r="G637" s="11">
        <f>IFERROR((VLOOKUP(A637,'[1]LISTA ETIQUETAS'!O:X,8,0)),"")</f>
        <v>0</v>
      </c>
      <c r="H637" s="11">
        <f>IFERROR((VLOOKUP(A637,'[1]LISTA ETIQUETAS'!O:X,9,0)),"")</f>
        <v>0</v>
      </c>
      <c r="I637" s="12">
        <f>IFERROR((VLOOKUP(A637,'[1]LISTA ETIQUETAS'!O:Y,11,0)),"")</f>
        <v>0</v>
      </c>
      <c r="J637" s="6">
        <v>0</v>
      </c>
      <c r="K637" s="12">
        <f t="shared" si="27"/>
        <v>0</v>
      </c>
      <c r="L637" s="7" t="str">
        <f>IF(VLOOKUP(A637,'[1]LISTA ETIQUETAS'!O:AB,14,0)="","",(VLOOKUP(A637,'[1]LISTA ETIQUETAS'!O:AB,14,0)))</f>
        <v/>
      </c>
      <c r="M637" s="8"/>
      <c r="N637" s="9">
        <f t="shared" si="28"/>
        <v>64228</v>
      </c>
      <c r="O637" s="2">
        <f>_xlfn.XLOOKUP($A637,'[1]LISTA ETIQUETAS'!$O:$O,'[1]LISTA ETIQUETAS'!C:C,"",0)</f>
        <v>0</v>
      </c>
      <c r="P637" s="2">
        <f>_xlfn.XLOOKUP($A637,'[1]LISTA ETIQUETAS'!$O:$O,'[1]LISTA ETIQUETAS'!D:D,"",0)</f>
        <v>0</v>
      </c>
      <c r="Q637" s="2">
        <f>_xlfn.XLOOKUP($A637,'[1]LISTA ETIQUETAS'!$O:$O,'[1]LISTA ETIQUETAS'!E:E,"",0)</f>
        <v>0</v>
      </c>
      <c r="R637" s="2">
        <f>_xlfn.XLOOKUP($A637,'[1]LISTA ETIQUETAS'!$O:$O,'[1]LISTA ETIQUETAS'!F:F,"",0)</f>
        <v>0</v>
      </c>
      <c r="S637" s="2">
        <f>_xlfn.XLOOKUP($A637,'[1]LISTA ETIQUETAS'!$O:$O,'[1]LISTA ETIQUETAS'!H:H,"",0)</f>
        <v>1</v>
      </c>
      <c r="T637" s="9">
        <f t="shared" si="29"/>
        <v>1</v>
      </c>
    </row>
    <row r="638" spans="1:20" x14ac:dyDescent="0.25">
      <c r="A638" s="5">
        <v>128967</v>
      </c>
      <c r="B638" t="str">
        <f>IFERROR((VLOOKUP(A638,'[1]LISTA ETIQUETAS'!O:X,3,0)),"PRODUTO SEM ESTOQUE")</f>
        <v>EST MESA CENTRO PASSAREDO (CRISTAL INCOLOR 12MM) (PRETO)</v>
      </c>
      <c r="C638" s="10" t="s">
        <v>21</v>
      </c>
      <c r="D638" s="10" t="s">
        <v>403</v>
      </c>
      <c r="E638" s="11">
        <f>IF(VLOOKUP(A638,'[1]LISTA ETIQUETAS'!O:W,4,0)="",(VLOOKUP(A638,'[1]LISTA ETIQUETAS'!O:W,6,0)),(VLOOKUP(A638,'[1]LISTA ETIQUETAS'!O:W,4,0)))</f>
        <v>1.4</v>
      </c>
      <c r="F638" s="11">
        <f>IF(VLOOKUP(A638,'[1]LISTA ETIQUETAS'!O:W,5,0)="",(VLOOKUP(A638,'[1]LISTA ETIQUETAS'!O:W,7,0)),(VLOOKUP(A638,'[1]LISTA ETIQUETAS'!O:W,5,0)))</f>
        <v>1.4</v>
      </c>
      <c r="G638" s="11">
        <f>IFERROR((VLOOKUP(A638,'[1]LISTA ETIQUETAS'!O:X,8,0)),"")</f>
        <v>0.32</v>
      </c>
      <c r="H638" s="11">
        <f>IFERROR((VLOOKUP(A638,'[1]LISTA ETIQUETAS'!O:X,9,0)),"")</f>
        <v>0</v>
      </c>
      <c r="I638" s="12">
        <f>IFERROR((VLOOKUP(A638,'[1]LISTA ETIQUETAS'!O:Y,11,0)),"")</f>
        <v>0</v>
      </c>
      <c r="J638" s="6">
        <v>0</v>
      </c>
      <c r="K638" s="12">
        <f t="shared" si="27"/>
        <v>0</v>
      </c>
      <c r="L638" s="7" t="str">
        <f>IF(VLOOKUP(A638,'[1]LISTA ETIQUETAS'!O:AB,14,0)="","",(VLOOKUP(A638,'[1]LISTA ETIQUETAS'!O:AB,14,0)))</f>
        <v/>
      </c>
      <c r="M638" s="8"/>
      <c r="N638" s="9">
        <f t="shared" si="28"/>
        <v>128967</v>
      </c>
      <c r="O638" s="2">
        <f>_xlfn.XLOOKUP($A638,'[1]LISTA ETIQUETAS'!$O:$O,'[1]LISTA ETIQUETAS'!C:C,"",0)</f>
        <v>0</v>
      </c>
      <c r="P638" s="2">
        <f>_xlfn.XLOOKUP($A638,'[1]LISTA ETIQUETAS'!$O:$O,'[1]LISTA ETIQUETAS'!D:D,"",0)</f>
        <v>0</v>
      </c>
      <c r="Q638" s="2">
        <f>_xlfn.XLOOKUP($A638,'[1]LISTA ETIQUETAS'!$O:$O,'[1]LISTA ETIQUETAS'!E:E,"",0)</f>
        <v>0</v>
      </c>
      <c r="R638" s="2">
        <f>_xlfn.XLOOKUP($A638,'[1]LISTA ETIQUETAS'!$O:$O,'[1]LISTA ETIQUETAS'!F:F,"",0)</f>
        <v>0</v>
      </c>
      <c r="S638" s="2">
        <f>_xlfn.XLOOKUP($A638,'[1]LISTA ETIQUETAS'!$O:$O,'[1]LISTA ETIQUETAS'!H:H,"",0)</f>
        <v>1</v>
      </c>
      <c r="T638" s="9">
        <f t="shared" si="29"/>
        <v>1</v>
      </c>
    </row>
    <row r="639" spans="1:20" x14ac:dyDescent="0.25">
      <c r="A639" s="5">
        <v>128450</v>
      </c>
      <c r="B639" t="str">
        <f>IFERROR((VLOOKUP(A639,'[1]LISTA ETIQUETAS'!O:X,3,0)),"PRODUTO SEM ESTOQUE")</f>
        <v>EST MESA CENTRO CASULO (LACA BRILHO AMARELA L272)</v>
      </c>
      <c r="C639" s="10" t="s">
        <v>21</v>
      </c>
      <c r="D639" s="10" t="s">
        <v>404</v>
      </c>
      <c r="E639" s="11">
        <f>IF(VLOOKUP(A639,'[1]LISTA ETIQUETAS'!O:W,4,0)="",(VLOOKUP(A639,'[1]LISTA ETIQUETAS'!O:W,6,0)),(VLOOKUP(A639,'[1]LISTA ETIQUETAS'!O:W,4,0)))</f>
        <v>1.63</v>
      </c>
      <c r="F639" s="11">
        <f>IF(VLOOKUP(A639,'[1]LISTA ETIQUETAS'!O:W,5,0)="",(VLOOKUP(A639,'[1]LISTA ETIQUETAS'!O:W,7,0)),(VLOOKUP(A639,'[1]LISTA ETIQUETAS'!O:W,5,0)))</f>
        <v>0.45</v>
      </c>
      <c r="G639" s="11">
        <f>IFERROR((VLOOKUP(A639,'[1]LISTA ETIQUETAS'!O:X,8,0)),"")</f>
        <v>0.28000000000000003</v>
      </c>
      <c r="H639" s="11">
        <f>IFERROR((VLOOKUP(A639,'[1]LISTA ETIQUETAS'!O:X,9,0)),"")</f>
        <v>0</v>
      </c>
      <c r="I639" s="12">
        <f>IFERROR((VLOOKUP(A639,'[1]LISTA ETIQUETAS'!O:Y,11,0)),"")</f>
        <v>0</v>
      </c>
      <c r="J639" s="6">
        <v>0</v>
      </c>
      <c r="K639" s="12">
        <f t="shared" si="27"/>
        <v>0</v>
      </c>
      <c r="L639" s="7" t="str">
        <f>IF(VLOOKUP(A639,'[1]LISTA ETIQUETAS'!O:AB,14,0)="","",(VLOOKUP(A639,'[1]LISTA ETIQUETAS'!O:AB,14,0)))</f>
        <v/>
      </c>
      <c r="M639" s="8"/>
      <c r="N639" s="9">
        <f t="shared" si="28"/>
        <v>128450</v>
      </c>
      <c r="O639" s="2">
        <f>_xlfn.XLOOKUP($A639,'[1]LISTA ETIQUETAS'!$O:$O,'[1]LISTA ETIQUETAS'!C:C,"",0)</f>
        <v>0</v>
      </c>
      <c r="P639" s="2">
        <f>_xlfn.XLOOKUP($A639,'[1]LISTA ETIQUETAS'!$O:$O,'[1]LISTA ETIQUETAS'!D:D,"",0)</f>
        <v>0</v>
      </c>
      <c r="Q639" s="2">
        <f>_xlfn.XLOOKUP($A639,'[1]LISTA ETIQUETAS'!$O:$O,'[1]LISTA ETIQUETAS'!E:E,"",0)</f>
        <v>0</v>
      </c>
      <c r="R639" s="2">
        <f>_xlfn.XLOOKUP($A639,'[1]LISTA ETIQUETAS'!$O:$O,'[1]LISTA ETIQUETAS'!F:F,"",0)</f>
        <v>0</v>
      </c>
      <c r="S639" s="2">
        <f>_xlfn.XLOOKUP($A639,'[1]LISTA ETIQUETAS'!$O:$O,'[1]LISTA ETIQUETAS'!H:H,"",0)</f>
        <v>1</v>
      </c>
      <c r="T639" s="9">
        <f t="shared" si="29"/>
        <v>1</v>
      </c>
    </row>
    <row r="640" spans="1:20" x14ac:dyDescent="0.25">
      <c r="A640" s="5">
        <v>128948</v>
      </c>
      <c r="B640" t="str">
        <f>IFERROR((VLOOKUP(A640,'[1]LISTA ETIQUETAS'!O:X,3,0)),"PRODUTO SEM ESTOQUE")</f>
        <v>EST MESA CENTRO MOENA (INOX) (ESPELHO PRATA)</v>
      </c>
      <c r="C640" s="10" t="s">
        <v>21</v>
      </c>
      <c r="D640" s="10" t="s">
        <v>405</v>
      </c>
      <c r="E640" s="11">
        <f>IF(VLOOKUP(A640,'[1]LISTA ETIQUETAS'!O:W,4,0)="",(VLOOKUP(A640,'[1]LISTA ETIQUETAS'!O:W,6,0)),(VLOOKUP(A640,'[1]LISTA ETIQUETAS'!O:W,4,0)))</f>
        <v>1.26</v>
      </c>
      <c r="F640" s="11">
        <f>IF(VLOOKUP(A640,'[1]LISTA ETIQUETAS'!O:W,5,0)="",(VLOOKUP(A640,'[1]LISTA ETIQUETAS'!O:W,7,0)),(VLOOKUP(A640,'[1]LISTA ETIQUETAS'!O:W,5,0)))</f>
        <v>1.1000000000000001</v>
      </c>
      <c r="G640" s="11">
        <f>IFERROR((VLOOKUP(A640,'[1]LISTA ETIQUETAS'!O:X,8,0)),"")</f>
        <v>0.3</v>
      </c>
      <c r="H640" s="11">
        <f>IFERROR((VLOOKUP(A640,'[1]LISTA ETIQUETAS'!O:X,9,0)),"")</f>
        <v>0</v>
      </c>
      <c r="I640" s="12">
        <f>IFERROR((VLOOKUP(A640,'[1]LISTA ETIQUETAS'!O:Y,11,0)),"")</f>
        <v>0</v>
      </c>
      <c r="J640" s="6">
        <v>0</v>
      </c>
      <c r="K640" s="12">
        <f t="shared" si="27"/>
        <v>0</v>
      </c>
      <c r="L640" s="7" t="str">
        <f>IF(VLOOKUP(A640,'[1]LISTA ETIQUETAS'!O:AB,14,0)="","",(VLOOKUP(A640,'[1]LISTA ETIQUETAS'!O:AB,14,0)))</f>
        <v/>
      </c>
      <c r="M640" s="8"/>
      <c r="N640" s="9">
        <f t="shared" si="28"/>
        <v>128948</v>
      </c>
      <c r="O640" s="2">
        <f>_xlfn.XLOOKUP($A640,'[1]LISTA ETIQUETAS'!$O:$O,'[1]LISTA ETIQUETAS'!C:C,"",0)</f>
        <v>0</v>
      </c>
      <c r="P640" s="2">
        <f>_xlfn.XLOOKUP($A640,'[1]LISTA ETIQUETAS'!$O:$O,'[1]LISTA ETIQUETAS'!D:D,"",0)</f>
        <v>0</v>
      </c>
      <c r="Q640" s="2">
        <f>_xlfn.XLOOKUP($A640,'[1]LISTA ETIQUETAS'!$O:$O,'[1]LISTA ETIQUETAS'!E:E,"",0)</f>
        <v>0</v>
      </c>
      <c r="R640" s="2">
        <f>_xlfn.XLOOKUP($A640,'[1]LISTA ETIQUETAS'!$O:$O,'[1]LISTA ETIQUETAS'!F:F,"",0)</f>
        <v>0</v>
      </c>
      <c r="S640" s="2">
        <f>_xlfn.XLOOKUP($A640,'[1]LISTA ETIQUETAS'!$O:$O,'[1]LISTA ETIQUETAS'!H:H,"",0)</f>
        <v>1</v>
      </c>
      <c r="T640" s="9">
        <f t="shared" si="29"/>
        <v>1</v>
      </c>
    </row>
    <row r="641" spans="1:20" x14ac:dyDescent="0.25">
      <c r="A641" s="5">
        <v>151267</v>
      </c>
      <c r="B641" t="str">
        <f>IFERROR((VLOOKUP(A641,'[1]LISTA ETIQUETAS'!O:X,3,0)),"PRODUTO SEM ESTOQUE")</f>
        <v>EST MESA CENTRO MOSS (LACA BRILHO ARGILA)</v>
      </c>
      <c r="C641" s="10" t="s">
        <v>21</v>
      </c>
      <c r="D641" s="10" t="s">
        <v>406</v>
      </c>
      <c r="E641" s="11">
        <f>IF(VLOOKUP(A641,'[1]LISTA ETIQUETAS'!O:W,4,0)="",(VLOOKUP(A641,'[1]LISTA ETIQUETAS'!O:W,6,0)),(VLOOKUP(A641,'[1]LISTA ETIQUETAS'!O:W,4,0)))</f>
        <v>2.25</v>
      </c>
      <c r="F641" s="11">
        <f>IF(VLOOKUP(A641,'[1]LISTA ETIQUETAS'!O:W,5,0)="",(VLOOKUP(A641,'[1]LISTA ETIQUETAS'!O:W,7,0)),(VLOOKUP(A641,'[1]LISTA ETIQUETAS'!O:W,5,0)))</f>
        <v>0.52</v>
      </c>
      <c r="G641" s="11">
        <f>IFERROR((VLOOKUP(A641,'[1]LISTA ETIQUETAS'!O:X,8,0)),"")</f>
        <v>0.25</v>
      </c>
      <c r="H641" s="11">
        <f>IFERROR((VLOOKUP(A641,'[1]LISTA ETIQUETAS'!O:X,9,0)),"")</f>
        <v>0</v>
      </c>
      <c r="I641" s="12">
        <f>IFERROR((VLOOKUP(A641,'[1]LISTA ETIQUETAS'!O:Y,11,0)),"")</f>
        <v>0</v>
      </c>
      <c r="J641" s="6">
        <v>0</v>
      </c>
      <c r="K641" s="12">
        <f t="shared" si="27"/>
        <v>0</v>
      </c>
      <c r="L641" s="7" t="str">
        <f>IF(VLOOKUP(A641,'[1]LISTA ETIQUETAS'!O:AB,14,0)="","",(VLOOKUP(A641,'[1]LISTA ETIQUETAS'!O:AB,14,0)))</f>
        <v/>
      </c>
      <c r="M641" s="8"/>
      <c r="N641" s="9">
        <f t="shared" si="28"/>
        <v>151267</v>
      </c>
      <c r="O641" s="2">
        <f>_xlfn.XLOOKUP($A641,'[1]LISTA ETIQUETAS'!$O:$O,'[1]LISTA ETIQUETAS'!C:C,"",0)</f>
        <v>0</v>
      </c>
      <c r="P641" s="2">
        <f>_xlfn.XLOOKUP($A641,'[1]LISTA ETIQUETAS'!$O:$O,'[1]LISTA ETIQUETAS'!D:D,"",0)</f>
        <v>0</v>
      </c>
      <c r="Q641" s="2">
        <f>_xlfn.XLOOKUP($A641,'[1]LISTA ETIQUETAS'!$O:$O,'[1]LISTA ETIQUETAS'!E:E,"",0)</f>
        <v>0</v>
      </c>
      <c r="R641" s="2">
        <f>_xlfn.XLOOKUP($A641,'[1]LISTA ETIQUETAS'!$O:$O,'[1]LISTA ETIQUETAS'!F:F,"",0)</f>
        <v>0</v>
      </c>
      <c r="S641" s="2">
        <f>_xlfn.XLOOKUP($A641,'[1]LISTA ETIQUETAS'!$O:$O,'[1]LISTA ETIQUETAS'!H:H,"",0)</f>
        <v>1</v>
      </c>
      <c r="T641" s="9">
        <f t="shared" si="29"/>
        <v>1</v>
      </c>
    </row>
    <row r="642" spans="1:20" x14ac:dyDescent="0.25">
      <c r="A642" s="5">
        <v>151374</v>
      </c>
      <c r="B642" t="str">
        <f>IFERROR((VLOOKUP(A642,'[1]LISTA ETIQUETAS'!O:X,3,0)),"PRODUTO SEM ESTOQUE")</f>
        <v>EST MESA CENTRO ODESSA MADEIRA CUMARU (BIPARTIDA)</v>
      </c>
      <c r="C642" s="10" t="s">
        <v>21</v>
      </c>
      <c r="D642" s="10" t="s">
        <v>407</v>
      </c>
      <c r="E642" s="11">
        <f>IF(VLOOKUP(A642,'[1]LISTA ETIQUETAS'!O:W,4,0)="",(VLOOKUP(A642,'[1]LISTA ETIQUETAS'!O:W,6,0)),(VLOOKUP(A642,'[1]LISTA ETIQUETAS'!O:W,4,0)))</f>
        <v>1</v>
      </c>
      <c r="F642" s="11">
        <f>IF(VLOOKUP(A642,'[1]LISTA ETIQUETAS'!O:W,5,0)="",(VLOOKUP(A642,'[1]LISTA ETIQUETAS'!O:W,7,0)),(VLOOKUP(A642,'[1]LISTA ETIQUETAS'!O:W,5,0)))</f>
        <v>1</v>
      </c>
      <c r="G642" s="11">
        <f>IFERROR((VLOOKUP(A642,'[1]LISTA ETIQUETAS'!O:X,8,0)),"")</f>
        <v>0.15</v>
      </c>
      <c r="H642" s="11">
        <f>IFERROR((VLOOKUP(A642,'[1]LISTA ETIQUETAS'!O:X,9,0)),"")</f>
        <v>0</v>
      </c>
      <c r="I642" s="12">
        <f>IFERROR((VLOOKUP(A642,'[1]LISTA ETIQUETAS'!O:Y,11,0)),"")</f>
        <v>7429</v>
      </c>
      <c r="J642" s="6">
        <v>0</v>
      </c>
      <c r="K642" s="12">
        <f t="shared" si="27"/>
        <v>7429</v>
      </c>
      <c r="L642" s="7" t="str">
        <f>IF(VLOOKUP(A642,'[1]LISTA ETIQUETAS'!O:AB,14,0)="","",(VLOOKUP(A642,'[1]LISTA ETIQUETAS'!O:AB,14,0)))</f>
        <v/>
      </c>
      <c r="M642" s="8"/>
      <c r="N642" s="9">
        <f t="shared" si="28"/>
        <v>151374</v>
      </c>
      <c r="O642" s="2">
        <f>_xlfn.XLOOKUP($A642,'[1]LISTA ETIQUETAS'!$O:$O,'[1]LISTA ETIQUETAS'!C:C,"",0)</f>
        <v>0</v>
      </c>
      <c r="P642" s="2">
        <f>_xlfn.XLOOKUP($A642,'[1]LISTA ETIQUETAS'!$O:$O,'[1]LISTA ETIQUETAS'!D:D,"",0)</f>
        <v>0</v>
      </c>
      <c r="Q642" s="2">
        <f>_xlfn.XLOOKUP($A642,'[1]LISTA ETIQUETAS'!$O:$O,'[1]LISTA ETIQUETAS'!E:E,"",0)</f>
        <v>0</v>
      </c>
      <c r="R642" s="2">
        <f>_xlfn.XLOOKUP($A642,'[1]LISTA ETIQUETAS'!$O:$O,'[1]LISTA ETIQUETAS'!F:F,"",0)</f>
        <v>0</v>
      </c>
      <c r="S642" s="2">
        <f>_xlfn.XLOOKUP($A642,'[1]LISTA ETIQUETAS'!$O:$O,'[1]LISTA ETIQUETAS'!H:H,"",0)</f>
        <v>4</v>
      </c>
      <c r="T642" s="9">
        <f t="shared" si="29"/>
        <v>4</v>
      </c>
    </row>
    <row r="643" spans="1:20" x14ac:dyDescent="0.25">
      <c r="A643" s="5">
        <v>151663</v>
      </c>
      <c r="B643" t="str">
        <f>IFERROR((VLOOKUP(A643,'[1]LISTA ETIQUETAS'!O:X,3,0)),"PRODUTO SEM ESTOQUE")</f>
        <v>EST MESA CENTRO GALDI (INOX POLIDO) (TRAVERTINO ROMANO)</v>
      </c>
      <c r="C643" s="10" t="s">
        <v>21</v>
      </c>
      <c r="D643" s="10" t="s">
        <v>408</v>
      </c>
      <c r="E643" s="11">
        <f>IF(VLOOKUP(A643,'[1]LISTA ETIQUETAS'!O:W,4,0)="",(VLOOKUP(A643,'[1]LISTA ETIQUETAS'!O:W,6,0)),(VLOOKUP(A643,'[1]LISTA ETIQUETAS'!O:W,4,0)))</f>
        <v>0.8</v>
      </c>
      <c r="F643" s="11">
        <f>IF(VLOOKUP(A643,'[1]LISTA ETIQUETAS'!O:W,5,0)="",(VLOOKUP(A643,'[1]LISTA ETIQUETAS'!O:W,7,0)),(VLOOKUP(A643,'[1]LISTA ETIQUETAS'!O:W,5,0)))</f>
        <v>0.8</v>
      </c>
      <c r="G643" s="11">
        <f>IFERROR((VLOOKUP(A643,'[1]LISTA ETIQUETAS'!O:X,8,0)),"")</f>
        <v>0.3</v>
      </c>
      <c r="H643" s="11">
        <f>IFERROR((VLOOKUP(A643,'[1]LISTA ETIQUETAS'!O:X,9,0)),"")</f>
        <v>0</v>
      </c>
      <c r="I643" s="12" t="str">
        <f>IFERROR((VLOOKUP(A643,'[1]LISTA ETIQUETAS'!O:Y,11,0)),"")</f>
        <v/>
      </c>
      <c r="J643" s="6">
        <v>0</v>
      </c>
      <c r="K643" s="12" t="str">
        <f t="shared" ref="K643:K706" si="30">IFERROR(I643-I643*J643,"")</f>
        <v/>
      </c>
      <c r="L643" s="7" t="str">
        <f>IF(VLOOKUP(A643,'[1]LISTA ETIQUETAS'!O:AB,14,0)="","",(VLOOKUP(A643,'[1]LISTA ETIQUETAS'!O:AB,14,0)))</f>
        <v/>
      </c>
      <c r="M643" s="8"/>
      <c r="N643" s="9">
        <f t="shared" si="28"/>
        <v>151663</v>
      </c>
      <c r="O643" s="2">
        <f>_xlfn.XLOOKUP($A643,'[1]LISTA ETIQUETAS'!$O:$O,'[1]LISTA ETIQUETAS'!C:C,"",0)</f>
        <v>0</v>
      </c>
      <c r="P643" s="2">
        <f>_xlfn.XLOOKUP($A643,'[1]LISTA ETIQUETAS'!$O:$O,'[1]LISTA ETIQUETAS'!D:D,"",0)</f>
        <v>0</v>
      </c>
      <c r="Q643" s="2">
        <f>_xlfn.XLOOKUP($A643,'[1]LISTA ETIQUETAS'!$O:$O,'[1]LISTA ETIQUETAS'!E:E,"",0)</f>
        <v>0</v>
      </c>
      <c r="R643" s="2">
        <f>_xlfn.XLOOKUP($A643,'[1]LISTA ETIQUETAS'!$O:$O,'[1]LISTA ETIQUETAS'!F:F,"",0)</f>
        <v>0</v>
      </c>
      <c r="S643" s="2">
        <f>_xlfn.XLOOKUP($A643,'[1]LISTA ETIQUETAS'!$O:$O,'[1]LISTA ETIQUETAS'!H:H,"",0)</f>
        <v>1</v>
      </c>
      <c r="T643" s="9">
        <f t="shared" si="29"/>
        <v>1</v>
      </c>
    </row>
    <row r="644" spans="1:20" x14ac:dyDescent="0.25">
      <c r="A644" s="5">
        <v>151430</v>
      </c>
      <c r="B644" t="str">
        <f>IFERROR((VLOOKUP(A644,'[1]LISTA ETIQUETAS'!O:X,3,0)),"PRODUTO SEM ESTOQUE")</f>
        <v>EST MESA CENTRO CATARINA (INOX) (LACA BRILHO PAINA)</v>
      </c>
      <c r="C644" s="10" t="s">
        <v>21</v>
      </c>
      <c r="D644" s="10" t="s">
        <v>409</v>
      </c>
      <c r="E644" s="11">
        <f>IF(VLOOKUP(A644,'[1]LISTA ETIQUETAS'!O:W,4,0)="",(VLOOKUP(A644,'[1]LISTA ETIQUETAS'!O:W,6,0)),(VLOOKUP(A644,'[1]LISTA ETIQUETAS'!O:W,4,0)))</f>
        <v>1.8</v>
      </c>
      <c r="F644" s="11">
        <f>IF(VLOOKUP(A644,'[1]LISTA ETIQUETAS'!O:W,5,0)="",(VLOOKUP(A644,'[1]LISTA ETIQUETAS'!O:W,7,0)),(VLOOKUP(A644,'[1]LISTA ETIQUETAS'!O:W,5,0)))</f>
        <v>0.9</v>
      </c>
      <c r="G644" s="11">
        <f>IFERROR((VLOOKUP(A644,'[1]LISTA ETIQUETAS'!O:X,8,0)),"")</f>
        <v>0.3</v>
      </c>
      <c r="H644" s="11">
        <f>IFERROR((VLOOKUP(A644,'[1]LISTA ETIQUETAS'!O:X,9,0)),"")</f>
        <v>0</v>
      </c>
      <c r="I644" s="12">
        <f>IFERROR((VLOOKUP(A644,'[1]LISTA ETIQUETAS'!O:Y,11,0)),"")</f>
        <v>0</v>
      </c>
      <c r="J644" s="6">
        <v>0</v>
      </c>
      <c r="K644" s="12">
        <f t="shared" si="30"/>
        <v>0</v>
      </c>
      <c r="L644" s="7" t="str">
        <f>IF(VLOOKUP(A644,'[1]LISTA ETIQUETAS'!O:AB,14,0)="","",(VLOOKUP(A644,'[1]LISTA ETIQUETAS'!O:AB,14,0)))</f>
        <v/>
      </c>
      <c r="M644" s="8"/>
      <c r="N644" s="9">
        <f t="shared" ref="N644:N707" si="31">IF(M644="",A644,M644)</f>
        <v>151430</v>
      </c>
      <c r="O644" s="2">
        <f>_xlfn.XLOOKUP($A644,'[1]LISTA ETIQUETAS'!$O:$O,'[1]LISTA ETIQUETAS'!C:C,"",0)</f>
        <v>0</v>
      </c>
      <c r="P644" s="2">
        <f>_xlfn.XLOOKUP($A644,'[1]LISTA ETIQUETAS'!$O:$O,'[1]LISTA ETIQUETAS'!D:D,"",0)</f>
        <v>0</v>
      </c>
      <c r="Q644" s="2">
        <f>_xlfn.XLOOKUP($A644,'[1]LISTA ETIQUETAS'!$O:$O,'[1]LISTA ETIQUETAS'!E:E,"",0)</f>
        <v>0</v>
      </c>
      <c r="R644" s="2">
        <f>_xlfn.XLOOKUP($A644,'[1]LISTA ETIQUETAS'!$O:$O,'[1]LISTA ETIQUETAS'!F:F,"",0)</f>
        <v>0</v>
      </c>
      <c r="S644" s="2">
        <f>_xlfn.XLOOKUP($A644,'[1]LISTA ETIQUETAS'!$O:$O,'[1]LISTA ETIQUETAS'!H:H,"",0)</f>
        <v>1</v>
      </c>
      <c r="T644" s="9">
        <f t="shared" ref="T644:T707" si="32">SUM(O644:S644)</f>
        <v>1</v>
      </c>
    </row>
    <row r="645" spans="1:20" x14ac:dyDescent="0.25">
      <c r="A645" s="5">
        <v>151361</v>
      </c>
      <c r="B645" t="str">
        <f>IFERROR((VLOOKUP(A645,'[1]LISTA ETIQUETAS'!O:X,3,0)),"PRODUTO SEM ESTOQUE")</f>
        <v>EST MESA CENTRO NEST (LC BRILHO OFFWHITE)</v>
      </c>
      <c r="C645" s="10" t="s">
        <v>21</v>
      </c>
      <c r="D645" s="10" t="s">
        <v>410</v>
      </c>
      <c r="E645" s="11">
        <f>IF(VLOOKUP(A645,'[1]LISTA ETIQUETAS'!O:W,4,0)="",(VLOOKUP(A645,'[1]LISTA ETIQUETAS'!O:W,6,0)),(VLOOKUP(A645,'[1]LISTA ETIQUETAS'!O:W,4,0)))</f>
        <v>1.63</v>
      </c>
      <c r="F645" s="11">
        <f>IF(VLOOKUP(A645,'[1]LISTA ETIQUETAS'!O:W,5,0)="",(VLOOKUP(A645,'[1]LISTA ETIQUETAS'!O:W,7,0)),(VLOOKUP(A645,'[1]LISTA ETIQUETAS'!O:W,5,0)))</f>
        <v>0.45</v>
      </c>
      <c r="G645" s="11">
        <f>IFERROR((VLOOKUP(A645,'[1]LISTA ETIQUETAS'!O:X,8,0)),"")</f>
        <v>0.28999999999999998</v>
      </c>
      <c r="H645" s="11">
        <f>IFERROR((VLOOKUP(A645,'[1]LISTA ETIQUETAS'!O:X,9,0)),"")</f>
        <v>0</v>
      </c>
      <c r="I645" s="12">
        <f>IFERROR((VLOOKUP(A645,'[1]LISTA ETIQUETAS'!O:Y,11,0)),"")</f>
        <v>5303.42</v>
      </c>
      <c r="J645" s="6">
        <v>0</v>
      </c>
      <c r="K645" s="12">
        <f t="shared" si="30"/>
        <v>5303.42</v>
      </c>
      <c r="L645" s="7" t="str">
        <f>IF(VLOOKUP(A645,'[1]LISTA ETIQUETAS'!O:AB,14,0)="","",(VLOOKUP(A645,'[1]LISTA ETIQUETAS'!O:AB,14,0)))</f>
        <v/>
      </c>
      <c r="M645" s="8"/>
      <c r="N645" s="9">
        <f t="shared" si="31"/>
        <v>151361</v>
      </c>
      <c r="O645" s="2">
        <f>_xlfn.XLOOKUP($A645,'[1]LISTA ETIQUETAS'!$O:$O,'[1]LISTA ETIQUETAS'!C:C,"",0)</f>
        <v>0</v>
      </c>
      <c r="P645" s="2">
        <f>_xlfn.XLOOKUP($A645,'[1]LISTA ETIQUETAS'!$O:$O,'[1]LISTA ETIQUETAS'!D:D,"",0)</f>
        <v>0</v>
      </c>
      <c r="Q645" s="2">
        <f>_xlfn.XLOOKUP($A645,'[1]LISTA ETIQUETAS'!$O:$O,'[1]LISTA ETIQUETAS'!E:E,"",0)</f>
        <v>0</v>
      </c>
      <c r="R645" s="2">
        <f>_xlfn.XLOOKUP($A645,'[1]LISTA ETIQUETAS'!$O:$O,'[1]LISTA ETIQUETAS'!F:F,"",0)</f>
        <v>0</v>
      </c>
      <c r="S645" s="2">
        <f>_xlfn.XLOOKUP($A645,'[1]LISTA ETIQUETAS'!$O:$O,'[1]LISTA ETIQUETAS'!H:H,"",0)</f>
        <v>1</v>
      </c>
      <c r="T645" s="9">
        <f t="shared" si="32"/>
        <v>1</v>
      </c>
    </row>
    <row r="646" spans="1:20" x14ac:dyDescent="0.25">
      <c r="A646" s="5">
        <v>171836</v>
      </c>
      <c r="B646" t="str">
        <f>IFERROR((VLOOKUP(A646,'[1]LISTA ETIQUETAS'!O:X,3,0)),"PRODUTO SEM ESTOQUE")</f>
        <v>EST MESA CENTRO MATRIZ (LAMINA MAPLE EBANIZADA)</v>
      </c>
      <c r="C646" s="10" t="s">
        <v>21</v>
      </c>
      <c r="D646" s="10" t="s">
        <v>399</v>
      </c>
      <c r="E646" s="11">
        <f>IF(VLOOKUP(A646,'[1]LISTA ETIQUETAS'!O:W,4,0)="",(VLOOKUP(A646,'[1]LISTA ETIQUETAS'!O:W,6,0)),(VLOOKUP(A646,'[1]LISTA ETIQUETAS'!O:W,4,0)))</f>
        <v>2.2999999999999998</v>
      </c>
      <c r="F646" s="11">
        <f>IF(VLOOKUP(A646,'[1]LISTA ETIQUETAS'!O:W,5,0)="",(VLOOKUP(A646,'[1]LISTA ETIQUETAS'!O:W,7,0)),(VLOOKUP(A646,'[1]LISTA ETIQUETAS'!O:W,5,0)))</f>
        <v>0.8</v>
      </c>
      <c r="G646" s="11">
        <f>IFERROR((VLOOKUP(A646,'[1]LISTA ETIQUETAS'!O:X,8,0)),"")</f>
        <v>0.3</v>
      </c>
      <c r="H646" s="11">
        <f>IFERROR((VLOOKUP(A646,'[1]LISTA ETIQUETAS'!O:X,9,0)),"")</f>
        <v>0</v>
      </c>
      <c r="I646" s="12" t="str">
        <f>IFERROR((VLOOKUP(A646,'[1]LISTA ETIQUETAS'!O:Y,11,0)),"")</f>
        <v/>
      </c>
      <c r="J646" s="6">
        <v>0</v>
      </c>
      <c r="K646" s="12" t="str">
        <f t="shared" si="30"/>
        <v/>
      </c>
      <c r="L646" s="7" t="str">
        <f>IF(VLOOKUP(A646,'[1]LISTA ETIQUETAS'!O:AB,14,0)="","",(VLOOKUP(A646,'[1]LISTA ETIQUETAS'!O:AB,14,0)))</f>
        <v/>
      </c>
      <c r="M646" s="8"/>
      <c r="N646" s="9">
        <f t="shared" si="31"/>
        <v>171836</v>
      </c>
      <c r="O646" s="2">
        <f>_xlfn.XLOOKUP($A646,'[1]LISTA ETIQUETAS'!$O:$O,'[1]LISTA ETIQUETAS'!C:C,"",0)</f>
        <v>0</v>
      </c>
      <c r="P646" s="2">
        <f>_xlfn.XLOOKUP($A646,'[1]LISTA ETIQUETAS'!$O:$O,'[1]LISTA ETIQUETAS'!D:D,"",0)</f>
        <v>0</v>
      </c>
      <c r="Q646" s="2">
        <f>_xlfn.XLOOKUP($A646,'[1]LISTA ETIQUETAS'!$O:$O,'[1]LISTA ETIQUETAS'!E:E,"",0)</f>
        <v>0</v>
      </c>
      <c r="R646" s="2">
        <f>_xlfn.XLOOKUP($A646,'[1]LISTA ETIQUETAS'!$O:$O,'[1]LISTA ETIQUETAS'!F:F,"",0)</f>
        <v>0</v>
      </c>
      <c r="S646" s="2">
        <f>_xlfn.XLOOKUP($A646,'[1]LISTA ETIQUETAS'!$O:$O,'[1]LISTA ETIQUETAS'!H:H,"",0)</f>
        <v>1</v>
      </c>
      <c r="T646" s="9">
        <f t="shared" si="32"/>
        <v>1</v>
      </c>
    </row>
    <row r="647" spans="1:20" x14ac:dyDescent="0.25">
      <c r="A647" s="5">
        <v>176448</v>
      </c>
      <c r="B647" t="str">
        <f>IFERROR((VLOOKUP(A647,'[1]LISTA ETIQUETAS'!O:X,3,0)),"PRODUTO SEM ESTOQUE")</f>
        <v>EST MESA CENTRO LODD TP 2 (CARVALHO NT) (LACA PRETA FOSCA)</v>
      </c>
      <c r="C647" s="10" t="s">
        <v>21</v>
      </c>
      <c r="D647" s="10" t="s">
        <v>411</v>
      </c>
      <c r="E647" s="11">
        <f>IF(VLOOKUP(A647,'[1]LISTA ETIQUETAS'!O:W,4,0)="",(VLOOKUP(A647,'[1]LISTA ETIQUETAS'!O:W,6,0)),(VLOOKUP(A647,'[1]LISTA ETIQUETAS'!O:W,4,0)))</f>
        <v>0.8</v>
      </c>
      <c r="F647" s="11">
        <f>IF(VLOOKUP(A647,'[1]LISTA ETIQUETAS'!O:W,5,0)="",(VLOOKUP(A647,'[1]LISTA ETIQUETAS'!O:W,7,0)),(VLOOKUP(A647,'[1]LISTA ETIQUETAS'!O:W,5,0)))</f>
        <v>0.8</v>
      </c>
      <c r="G647" s="11">
        <f>IFERROR((VLOOKUP(A647,'[1]LISTA ETIQUETAS'!O:X,8,0)),"")</f>
        <v>0.3</v>
      </c>
      <c r="H647" s="11">
        <f>IFERROR((VLOOKUP(A647,'[1]LISTA ETIQUETAS'!O:X,9,0)),"")</f>
        <v>0</v>
      </c>
      <c r="I647" s="12" t="str">
        <f>IFERROR((VLOOKUP(A647,'[1]LISTA ETIQUETAS'!O:Y,11,0)),"")</f>
        <v/>
      </c>
      <c r="J647" s="6">
        <v>0</v>
      </c>
      <c r="K647" s="12" t="str">
        <f t="shared" si="30"/>
        <v/>
      </c>
      <c r="L647" s="7" t="str">
        <f>IF(VLOOKUP(A647,'[1]LISTA ETIQUETAS'!O:AB,14,0)="","",(VLOOKUP(A647,'[1]LISTA ETIQUETAS'!O:AB,14,0)))</f>
        <v/>
      </c>
      <c r="M647" s="8"/>
      <c r="N647" s="9">
        <f t="shared" si="31"/>
        <v>176448</v>
      </c>
      <c r="O647" s="2">
        <f>_xlfn.XLOOKUP($A647,'[1]LISTA ETIQUETAS'!$O:$O,'[1]LISTA ETIQUETAS'!C:C,"",0)</f>
        <v>0</v>
      </c>
      <c r="P647" s="2">
        <f>_xlfn.XLOOKUP($A647,'[1]LISTA ETIQUETAS'!$O:$O,'[1]LISTA ETIQUETAS'!D:D,"",0)</f>
        <v>0</v>
      </c>
      <c r="Q647" s="2">
        <f>_xlfn.XLOOKUP($A647,'[1]LISTA ETIQUETAS'!$O:$O,'[1]LISTA ETIQUETAS'!E:E,"",0)</f>
        <v>0</v>
      </c>
      <c r="R647" s="2">
        <f>_xlfn.XLOOKUP($A647,'[1]LISTA ETIQUETAS'!$O:$O,'[1]LISTA ETIQUETAS'!F:F,"",0)</f>
        <v>0</v>
      </c>
      <c r="S647" s="2">
        <f>_xlfn.XLOOKUP($A647,'[1]LISTA ETIQUETAS'!$O:$O,'[1]LISTA ETIQUETAS'!H:H,"",0)</f>
        <v>1</v>
      </c>
      <c r="T647" s="9">
        <f t="shared" si="32"/>
        <v>1</v>
      </c>
    </row>
    <row r="648" spans="1:20" x14ac:dyDescent="0.25">
      <c r="A648" s="5">
        <v>180804</v>
      </c>
      <c r="B648" t="str">
        <f>IFERROR((VLOOKUP(A648,'[1]LISTA ETIQUETAS'!O:X,3,0)),"PRODUTO SEM ESTOQUE")</f>
        <v>EST MESA CENTRO CHINO MARROM CLARO</v>
      </c>
      <c r="C648" s="10" t="s">
        <v>21</v>
      </c>
      <c r="D648" s="10" t="s">
        <v>412</v>
      </c>
      <c r="E648" s="11">
        <f>IF(VLOOKUP(A648,'[1]LISTA ETIQUETAS'!O:W,4,0)="",(VLOOKUP(A648,'[1]LISTA ETIQUETAS'!O:W,6,0)),(VLOOKUP(A648,'[1]LISTA ETIQUETAS'!O:W,4,0)))</f>
        <v>1.6</v>
      </c>
      <c r="F648" s="11">
        <f>IF(VLOOKUP(A648,'[1]LISTA ETIQUETAS'!O:W,5,0)="",(VLOOKUP(A648,'[1]LISTA ETIQUETAS'!O:W,7,0)),(VLOOKUP(A648,'[1]LISTA ETIQUETAS'!O:W,5,0)))</f>
        <v>0.45</v>
      </c>
      <c r="G648" s="11">
        <f>IFERROR((VLOOKUP(A648,'[1]LISTA ETIQUETAS'!O:X,8,0)),"")</f>
        <v>0.35</v>
      </c>
      <c r="H648" s="11">
        <f>IFERROR((VLOOKUP(A648,'[1]LISTA ETIQUETAS'!O:X,9,0)),"")</f>
        <v>0</v>
      </c>
      <c r="I648" s="12">
        <f>IFERROR((VLOOKUP(A648,'[1]LISTA ETIQUETAS'!O:Y,11,0)),"")</f>
        <v>4206.18</v>
      </c>
      <c r="J648" s="6">
        <v>0</v>
      </c>
      <c r="K648" s="12">
        <f t="shared" si="30"/>
        <v>4206.18</v>
      </c>
      <c r="L648" s="7" t="str">
        <f>IF(VLOOKUP(A648,'[1]LISTA ETIQUETAS'!O:AB,14,0)="","",(VLOOKUP(A648,'[1]LISTA ETIQUETAS'!O:AB,14,0)))</f>
        <v/>
      </c>
      <c r="M648" s="8"/>
      <c r="N648" s="9">
        <f t="shared" si="31"/>
        <v>180804</v>
      </c>
      <c r="O648" s="2">
        <f>_xlfn.XLOOKUP($A648,'[1]LISTA ETIQUETAS'!$O:$O,'[1]LISTA ETIQUETAS'!C:C,"",0)</f>
        <v>0</v>
      </c>
      <c r="P648" s="2">
        <f>_xlfn.XLOOKUP($A648,'[1]LISTA ETIQUETAS'!$O:$O,'[1]LISTA ETIQUETAS'!D:D,"",0)</f>
        <v>0</v>
      </c>
      <c r="Q648" s="2">
        <f>_xlfn.XLOOKUP($A648,'[1]LISTA ETIQUETAS'!$O:$O,'[1]LISTA ETIQUETAS'!E:E,"",0)</f>
        <v>0</v>
      </c>
      <c r="R648" s="2">
        <f>_xlfn.XLOOKUP($A648,'[1]LISTA ETIQUETAS'!$O:$O,'[1]LISTA ETIQUETAS'!F:F,"",0)</f>
        <v>0</v>
      </c>
      <c r="S648" s="2">
        <f>_xlfn.XLOOKUP($A648,'[1]LISTA ETIQUETAS'!$O:$O,'[1]LISTA ETIQUETAS'!H:H,"",0)</f>
        <v>1</v>
      </c>
      <c r="T648" s="9">
        <f t="shared" si="32"/>
        <v>1</v>
      </c>
    </row>
    <row r="649" spans="1:20" x14ac:dyDescent="0.25">
      <c r="A649" s="5">
        <v>179052</v>
      </c>
      <c r="B649" t="str">
        <f>IFERROR((VLOOKUP(A649,'[1]LISTA ETIQUETAS'!O:X,3,0)),"PRODUTO SEM ESTOQUE")</f>
        <v>EST MESA CENTRO TOM (NOGUEIRA) (PONTEIRAS LATAO) (VD OURO)</v>
      </c>
      <c r="C649" s="10" t="s">
        <v>21</v>
      </c>
      <c r="D649" s="10" t="s">
        <v>413</v>
      </c>
      <c r="E649" s="11">
        <f>IF(VLOOKUP(A649,'[1]LISTA ETIQUETAS'!O:W,4,0)="",(VLOOKUP(A649,'[1]LISTA ETIQUETAS'!O:W,6,0)),(VLOOKUP(A649,'[1]LISTA ETIQUETAS'!O:W,4,0)))</f>
        <v>1.6</v>
      </c>
      <c r="F649" s="11">
        <f>IF(VLOOKUP(A649,'[1]LISTA ETIQUETAS'!O:W,5,0)="",(VLOOKUP(A649,'[1]LISTA ETIQUETAS'!O:W,7,0)),(VLOOKUP(A649,'[1]LISTA ETIQUETAS'!O:W,5,0)))</f>
        <v>0.6</v>
      </c>
      <c r="G649" s="11">
        <f>IFERROR((VLOOKUP(A649,'[1]LISTA ETIQUETAS'!O:X,8,0)),"")</f>
        <v>0.3</v>
      </c>
      <c r="H649" s="11">
        <f>IFERROR((VLOOKUP(A649,'[1]LISTA ETIQUETAS'!O:X,9,0)),"")</f>
        <v>0</v>
      </c>
      <c r="I649" s="12">
        <f>IFERROR((VLOOKUP(A649,'[1]LISTA ETIQUETAS'!O:Y,11,0)),"")</f>
        <v>0</v>
      </c>
      <c r="J649" s="6">
        <v>0</v>
      </c>
      <c r="K649" s="12">
        <f t="shared" si="30"/>
        <v>0</v>
      </c>
      <c r="L649" s="7" t="str">
        <f>IF(VLOOKUP(A649,'[1]LISTA ETIQUETAS'!O:AB,14,0)="","",(VLOOKUP(A649,'[1]LISTA ETIQUETAS'!O:AB,14,0)))</f>
        <v/>
      </c>
      <c r="M649" s="8"/>
      <c r="N649" s="9">
        <f t="shared" si="31"/>
        <v>179052</v>
      </c>
      <c r="O649" s="2">
        <f>_xlfn.XLOOKUP($A649,'[1]LISTA ETIQUETAS'!$O:$O,'[1]LISTA ETIQUETAS'!C:C,"",0)</f>
        <v>0</v>
      </c>
      <c r="P649" s="2">
        <f>_xlfn.XLOOKUP($A649,'[1]LISTA ETIQUETAS'!$O:$O,'[1]LISTA ETIQUETAS'!D:D,"",0)</f>
        <v>0</v>
      </c>
      <c r="Q649" s="2">
        <f>_xlfn.XLOOKUP($A649,'[1]LISTA ETIQUETAS'!$O:$O,'[1]LISTA ETIQUETAS'!E:E,"",0)</f>
        <v>0</v>
      </c>
      <c r="R649" s="2">
        <f>_xlfn.XLOOKUP($A649,'[1]LISTA ETIQUETAS'!$O:$O,'[1]LISTA ETIQUETAS'!F:F,"",0)</f>
        <v>0</v>
      </c>
      <c r="S649" s="2">
        <f>_xlfn.XLOOKUP($A649,'[1]LISTA ETIQUETAS'!$O:$O,'[1]LISTA ETIQUETAS'!H:H,"",0)</f>
        <v>1</v>
      </c>
      <c r="T649" s="9">
        <f t="shared" si="32"/>
        <v>1</v>
      </c>
    </row>
    <row r="650" spans="1:20" x14ac:dyDescent="0.25">
      <c r="A650" s="5">
        <v>164378</v>
      </c>
      <c r="B650" t="str">
        <f>IFERROR((VLOOKUP(A650,'[1]LISTA ETIQUETAS'!O:X,3,0)),"PRODUTO SEM ESTOQUE")</f>
        <v>EST MESA CENTRO TRAVES MAIOR (LACA BRILHO BEGE)</v>
      </c>
      <c r="C650" s="10" t="s">
        <v>21</v>
      </c>
      <c r="D650" s="10" t="s">
        <v>414</v>
      </c>
      <c r="E650" s="11">
        <f>IF(VLOOKUP(A650,'[1]LISTA ETIQUETAS'!O:W,4,0)="",(VLOOKUP(A650,'[1]LISTA ETIQUETAS'!O:W,6,0)),(VLOOKUP(A650,'[1]LISTA ETIQUETAS'!O:W,4,0)))</f>
        <v>2.4</v>
      </c>
      <c r="F650" s="11">
        <f>IF(VLOOKUP(A650,'[1]LISTA ETIQUETAS'!O:W,5,0)="",(VLOOKUP(A650,'[1]LISTA ETIQUETAS'!O:W,7,0)),(VLOOKUP(A650,'[1]LISTA ETIQUETAS'!O:W,5,0)))</f>
        <v>0.7</v>
      </c>
      <c r="G650" s="11">
        <f>IFERROR((VLOOKUP(A650,'[1]LISTA ETIQUETAS'!O:X,8,0)),"")</f>
        <v>0.26</v>
      </c>
      <c r="H650" s="11">
        <f>IFERROR((VLOOKUP(A650,'[1]LISTA ETIQUETAS'!O:X,9,0)),"")</f>
        <v>0</v>
      </c>
      <c r="I650" s="12">
        <f>IFERROR((VLOOKUP(A650,'[1]LISTA ETIQUETAS'!O:Y,11,0)),"")</f>
        <v>9856</v>
      </c>
      <c r="J650" s="6">
        <v>0</v>
      </c>
      <c r="K650" s="12">
        <f t="shared" si="30"/>
        <v>9856</v>
      </c>
      <c r="L650" s="7" t="str">
        <f>IF(VLOOKUP(A650,'[1]LISTA ETIQUETAS'!O:AB,14,0)="","",(VLOOKUP(A650,'[1]LISTA ETIQUETAS'!O:AB,14,0)))</f>
        <v/>
      </c>
      <c r="M650" s="8"/>
      <c r="N650" s="9">
        <f t="shared" si="31"/>
        <v>164378</v>
      </c>
      <c r="O650" s="2">
        <f>_xlfn.XLOOKUP($A650,'[1]LISTA ETIQUETAS'!$O:$O,'[1]LISTA ETIQUETAS'!C:C,"",0)</f>
        <v>0</v>
      </c>
      <c r="P650" s="2">
        <f>_xlfn.XLOOKUP($A650,'[1]LISTA ETIQUETAS'!$O:$O,'[1]LISTA ETIQUETAS'!D:D,"",0)</f>
        <v>0</v>
      </c>
      <c r="Q650" s="2">
        <f>_xlfn.XLOOKUP($A650,'[1]LISTA ETIQUETAS'!$O:$O,'[1]LISTA ETIQUETAS'!E:E,"",0)</f>
        <v>0</v>
      </c>
      <c r="R650" s="2">
        <f>_xlfn.XLOOKUP($A650,'[1]LISTA ETIQUETAS'!$O:$O,'[1]LISTA ETIQUETAS'!F:F,"",0)</f>
        <v>0</v>
      </c>
      <c r="S650" s="2">
        <f>_xlfn.XLOOKUP($A650,'[1]LISTA ETIQUETAS'!$O:$O,'[1]LISTA ETIQUETAS'!H:H,"",0)</f>
        <v>1</v>
      </c>
      <c r="T650" s="9">
        <f t="shared" si="32"/>
        <v>1</v>
      </c>
    </row>
    <row r="651" spans="1:20" x14ac:dyDescent="0.25">
      <c r="A651" s="5">
        <v>193067</v>
      </c>
      <c r="B651" t="str">
        <f>IFERROR((VLOOKUP(A651,'[1]LISTA ETIQUETAS'!O:X,3,0)),"PRODUTO SEM ESTOQUE")</f>
        <v>EST MESA CENTRO MOOVE (INOX) (FREIJO) (LACA K155)</v>
      </c>
      <c r="C651" s="10" t="s">
        <v>21</v>
      </c>
      <c r="D651" s="10" t="s">
        <v>415</v>
      </c>
      <c r="E651" s="11">
        <f>IF(VLOOKUP(A651,'[1]LISTA ETIQUETAS'!O:W,4,0)="",(VLOOKUP(A651,'[1]LISTA ETIQUETAS'!O:W,6,0)),(VLOOKUP(A651,'[1]LISTA ETIQUETAS'!O:W,4,0)))</f>
        <v>1.4</v>
      </c>
      <c r="F651" s="11">
        <f>IF(VLOOKUP(A651,'[1]LISTA ETIQUETAS'!O:W,5,0)="",(VLOOKUP(A651,'[1]LISTA ETIQUETAS'!O:W,7,0)),(VLOOKUP(A651,'[1]LISTA ETIQUETAS'!O:W,5,0)))</f>
        <v>1.4</v>
      </c>
      <c r="G651" s="11">
        <f>IFERROR((VLOOKUP(A651,'[1]LISTA ETIQUETAS'!O:X,8,0)),"")</f>
        <v>0.34</v>
      </c>
      <c r="H651" s="11">
        <f>IFERROR((VLOOKUP(A651,'[1]LISTA ETIQUETAS'!O:X,9,0)),"")</f>
        <v>0</v>
      </c>
      <c r="I651" s="12">
        <f>IFERROR((VLOOKUP(A651,'[1]LISTA ETIQUETAS'!O:Y,11,0)),"")</f>
        <v>0</v>
      </c>
      <c r="J651" s="6">
        <v>0</v>
      </c>
      <c r="K651" s="12">
        <f t="shared" si="30"/>
        <v>0</v>
      </c>
      <c r="L651" s="7" t="str">
        <f>IF(VLOOKUP(A651,'[1]LISTA ETIQUETAS'!O:AB,14,0)="","",(VLOOKUP(A651,'[1]LISTA ETIQUETAS'!O:AB,14,0)))</f>
        <v/>
      </c>
      <c r="M651" s="8"/>
      <c r="N651" s="9">
        <f t="shared" si="31"/>
        <v>193067</v>
      </c>
      <c r="O651" s="2">
        <f>_xlfn.XLOOKUP($A651,'[1]LISTA ETIQUETAS'!$O:$O,'[1]LISTA ETIQUETAS'!C:C,"",0)</f>
        <v>0</v>
      </c>
      <c r="P651" s="2">
        <f>_xlfn.XLOOKUP($A651,'[1]LISTA ETIQUETAS'!$O:$O,'[1]LISTA ETIQUETAS'!D:D,"",0)</f>
        <v>0</v>
      </c>
      <c r="Q651" s="2">
        <f>_xlfn.XLOOKUP($A651,'[1]LISTA ETIQUETAS'!$O:$O,'[1]LISTA ETIQUETAS'!E:E,"",0)</f>
        <v>0</v>
      </c>
      <c r="R651" s="2">
        <f>_xlfn.XLOOKUP($A651,'[1]LISTA ETIQUETAS'!$O:$O,'[1]LISTA ETIQUETAS'!F:F,"",0)</f>
        <v>0</v>
      </c>
      <c r="S651" s="2">
        <f>_xlfn.XLOOKUP($A651,'[1]LISTA ETIQUETAS'!$O:$O,'[1]LISTA ETIQUETAS'!H:H,"",0)</f>
        <v>1</v>
      </c>
      <c r="T651" s="9">
        <f t="shared" si="32"/>
        <v>1</v>
      </c>
    </row>
    <row r="652" spans="1:20" x14ac:dyDescent="0.25">
      <c r="A652" s="5">
        <v>219387</v>
      </c>
      <c r="B652" t="str">
        <f>IFERROR((VLOOKUP(A652,'[1]LISTA ETIQUETAS'!O:X,3,0)),"PRODUTO SEM ESTOQUE")</f>
        <v>EST MESA CENTRO CLOS (INOX JASPER) (LACA BRILHO H155)</v>
      </c>
      <c r="C652" s="10" t="s">
        <v>21</v>
      </c>
      <c r="D652" s="10" t="s">
        <v>416</v>
      </c>
      <c r="E652" s="11">
        <f>IF(VLOOKUP(A652,'[1]LISTA ETIQUETAS'!O:W,4,0)="",(VLOOKUP(A652,'[1]LISTA ETIQUETAS'!O:W,6,0)),(VLOOKUP(A652,'[1]LISTA ETIQUETAS'!O:W,4,0)))</f>
        <v>1.6</v>
      </c>
      <c r="F652" s="11">
        <f>IF(VLOOKUP(A652,'[1]LISTA ETIQUETAS'!O:W,5,0)="",(VLOOKUP(A652,'[1]LISTA ETIQUETAS'!O:W,7,0)),(VLOOKUP(A652,'[1]LISTA ETIQUETAS'!O:W,5,0)))</f>
        <v>0.45</v>
      </c>
      <c r="G652" s="11">
        <f>IFERROR((VLOOKUP(A652,'[1]LISTA ETIQUETAS'!O:X,8,0)),"")</f>
        <v>0.3</v>
      </c>
      <c r="H652" s="11">
        <f>IFERROR((VLOOKUP(A652,'[1]LISTA ETIQUETAS'!O:X,9,0)),"")</f>
        <v>0</v>
      </c>
      <c r="I652" s="12">
        <f>IFERROR((VLOOKUP(A652,'[1]LISTA ETIQUETAS'!O:Y,11,0)),"")</f>
        <v>0</v>
      </c>
      <c r="J652" s="6">
        <v>0</v>
      </c>
      <c r="K652" s="12">
        <f t="shared" si="30"/>
        <v>0</v>
      </c>
      <c r="L652" s="7" t="str">
        <f>IF(VLOOKUP(A652,'[1]LISTA ETIQUETAS'!O:AB,14,0)="","",(VLOOKUP(A652,'[1]LISTA ETIQUETAS'!O:AB,14,0)))</f>
        <v/>
      </c>
      <c r="M652" s="8"/>
      <c r="N652" s="9">
        <f t="shared" si="31"/>
        <v>219387</v>
      </c>
      <c r="O652" s="2">
        <f>_xlfn.XLOOKUP($A652,'[1]LISTA ETIQUETAS'!$O:$O,'[1]LISTA ETIQUETAS'!C:C,"",0)</f>
        <v>0</v>
      </c>
      <c r="P652" s="2">
        <f>_xlfn.XLOOKUP($A652,'[1]LISTA ETIQUETAS'!$O:$O,'[1]LISTA ETIQUETAS'!D:D,"",0)</f>
        <v>0</v>
      </c>
      <c r="Q652" s="2">
        <f>_xlfn.XLOOKUP($A652,'[1]LISTA ETIQUETAS'!$O:$O,'[1]LISTA ETIQUETAS'!E:E,"",0)</f>
        <v>0</v>
      </c>
      <c r="R652" s="2">
        <f>_xlfn.XLOOKUP($A652,'[1]LISTA ETIQUETAS'!$O:$O,'[1]LISTA ETIQUETAS'!F:F,"",0)</f>
        <v>0</v>
      </c>
      <c r="S652" s="2">
        <f>_xlfn.XLOOKUP($A652,'[1]LISTA ETIQUETAS'!$O:$O,'[1]LISTA ETIQUETAS'!H:H,"",0)</f>
        <v>1</v>
      </c>
      <c r="T652" s="9">
        <f t="shared" si="32"/>
        <v>1</v>
      </c>
    </row>
    <row r="653" spans="1:20" x14ac:dyDescent="0.25">
      <c r="A653" s="5">
        <v>205161</v>
      </c>
      <c r="B653" t="str">
        <f>IFERROR((VLOOKUP(A653,'[1]LISTA ETIQUETAS'!O:X,3,0)),"PRODUTO SEM ESTOQUE")</f>
        <v>EST MESA CENTRO KOBO (DUPLA) (LACA H155 | LEGNO)</v>
      </c>
      <c r="C653" s="10" t="s">
        <v>21</v>
      </c>
      <c r="D653" s="10" t="s">
        <v>417</v>
      </c>
      <c r="E653" s="11">
        <f>IF(VLOOKUP(A653,'[1]LISTA ETIQUETAS'!O:W,4,0)="",(VLOOKUP(A653,'[1]LISTA ETIQUETAS'!O:W,6,0)),(VLOOKUP(A653,'[1]LISTA ETIQUETAS'!O:W,4,0)))</f>
        <v>1.9</v>
      </c>
      <c r="F653" s="11">
        <f>IF(VLOOKUP(A653,'[1]LISTA ETIQUETAS'!O:W,5,0)="",(VLOOKUP(A653,'[1]LISTA ETIQUETAS'!O:W,7,0)),(VLOOKUP(A653,'[1]LISTA ETIQUETAS'!O:W,5,0)))</f>
        <v>1</v>
      </c>
      <c r="G653" s="11">
        <f>IFERROR((VLOOKUP(A653,'[1]LISTA ETIQUETAS'!O:X,8,0)),"")</f>
        <v>0.34</v>
      </c>
      <c r="H653" s="11">
        <f>IFERROR((VLOOKUP(A653,'[1]LISTA ETIQUETAS'!O:X,9,0)),"")</f>
        <v>0</v>
      </c>
      <c r="I653" s="12">
        <f>IFERROR((VLOOKUP(A653,'[1]LISTA ETIQUETAS'!O:Y,11,0)),"")</f>
        <v>0</v>
      </c>
      <c r="J653" s="6">
        <v>0</v>
      </c>
      <c r="K653" s="12">
        <f t="shared" si="30"/>
        <v>0</v>
      </c>
      <c r="L653" s="7" t="str">
        <f>IF(VLOOKUP(A653,'[1]LISTA ETIQUETAS'!O:AB,14,0)="","",(VLOOKUP(A653,'[1]LISTA ETIQUETAS'!O:AB,14,0)))</f>
        <v/>
      </c>
      <c r="M653" s="8"/>
      <c r="N653" s="9">
        <f t="shared" si="31"/>
        <v>205161</v>
      </c>
      <c r="O653" s="2">
        <f>_xlfn.XLOOKUP($A653,'[1]LISTA ETIQUETAS'!$O:$O,'[1]LISTA ETIQUETAS'!C:C,"",0)</f>
        <v>0</v>
      </c>
      <c r="P653" s="2">
        <f>_xlfn.XLOOKUP($A653,'[1]LISTA ETIQUETAS'!$O:$O,'[1]LISTA ETIQUETAS'!D:D,"",0)</f>
        <v>0</v>
      </c>
      <c r="Q653" s="2">
        <f>_xlfn.XLOOKUP($A653,'[1]LISTA ETIQUETAS'!$O:$O,'[1]LISTA ETIQUETAS'!E:E,"",0)</f>
        <v>0</v>
      </c>
      <c r="R653" s="2">
        <f>_xlfn.XLOOKUP($A653,'[1]LISTA ETIQUETAS'!$O:$O,'[1]LISTA ETIQUETAS'!F:F,"",0)</f>
        <v>0</v>
      </c>
      <c r="S653" s="2">
        <f>_xlfn.XLOOKUP($A653,'[1]LISTA ETIQUETAS'!$O:$O,'[1]LISTA ETIQUETAS'!H:H,"",0)</f>
        <v>1</v>
      </c>
      <c r="T653" s="9">
        <f t="shared" si="32"/>
        <v>1</v>
      </c>
    </row>
    <row r="654" spans="1:20" x14ac:dyDescent="0.25">
      <c r="A654" s="5">
        <v>191075</v>
      </c>
      <c r="B654" t="str">
        <f>IFERROR((VLOOKUP(A654,'[1]LISTA ETIQUETAS'!O:X,3,0)),"PRODUTO SEM ESTOQUE")</f>
        <v>EST MESA CENTRO PEAO BAND INF LAM NOGUEIR/MTX JH014</v>
      </c>
      <c r="C654" s="10" t="s">
        <v>21</v>
      </c>
      <c r="D654" s="10" t="s">
        <v>418</v>
      </c>
      <c r="E654" s="11">
        <f>IF(VLOOKUP(A654,'[1]LISTA ETIQUETAS'!O:W,4,0)="",(VLOOKUP(A654,'[1]LISTA ETIQUETAS'!O:W,6,0)),(VLOOKUP(A654,'[1]LISTA ETIQUETAS'!O:W,4,0)))</f>
        <v>0.59</v>
      </c>
      <c r="F654" s="11">
        <f>IF(VLOOKUP(A654,'[1]LISTA ETIQUETAS'!O:W,5,0)="",(VLOOKUP(A654,'[1]LISTA ETIQUETAS'!O:W,7,0)),(VLOOKUP(A654,'[1]LISTA ETIQUETAS'!O:W,5,0)))</f>
        <v>0.59</v>
      </c>
      <c r="G654" s="11">
        <f>IFERROR((VLOOKUP(A654,'[1]LISTA ETIQUETAS'!O:X,8,0)),"")</f>
        <v>0.32</v>
      </c>
      <c r="H654" s="11">
        <f>IFERROR((VLOOKUP(A654,'[1]LISTA ETIQUETAS'!O:X,9,0)),"")</f>
        <v>0</v>
      </c>
      <c r="I654" s="12">
        <f>IFERROR((VLOOKUP(A654,'[1]LISTA ETIQUETAS'!O:Y,11,0)),"")</f>
        <v>5532.8</v>
      </c>
      <c r="J654" s="6">
        <v>0</v>
      </c>
      <c r="K654" s="12">
        <f t="shared" si="30"/>
        <v>5532.8</v>
      </c>
      <c r="L654" s="7" t="str">
        <f>IF(VLOOKUP(A654,'[1]LISTA ETIQUETAS'!O:AB,14,0)="","",(VLOOKUP(A654,'[1]LISTA ETIQUETAS'!O:AB,14,0)))</f>
        <v/>
      </c>
      <c r="M654" s="8"/>
      <c r="N654" s="9">
        <f t="shared" si="31"/>
        <v>191075</v>
      </c>
      <c r="O654" s="2">
        <f>_xlfn.XLOOKUP($A654,'[1]LISTA ETIQUETAS'!$O:$O,'[1]LISTA ETIQUETAS'!C:C,"",0)</f>
        <v>0</v>
      </c>
      <c r="P654" s="2">
        <f>_xlfn.XLOOKUP($A654,'[1]LISTA ETIQUETAS'!$O:$O,'[1]LISTA ETIQUETAS'!D:D,"",0)</f>
        <v>0</v>
      </c>
      <c r="Q654" s="2">
        <f>_xlfn.XLOOKUP($A654,'[1]LISTA ETIQUETAS'!$O:$O,'[1]LISTA ETIQUETAS'!E:E,"",0)</f>
        <v>0</v>
      </c>
      <c r="R654" s="2">
        <f>_xlfn.XLOOKUP($A654,'[1]LISTA ETIQUETAS'!$O:$O,'[1]LISTA ETIQUETAS'!F:F,"",0)</f>
        <v>0</v>
      </c>
      <c r="S654" s="2">
        <f>_xlfn.XLOOKUP($A654,'[1]LISTA ETIQUETAS'!$O:$O,'[1]LISTA ETIQUETAS'!H:H,"",0)</f>
        <v>1</v>
      </c>
      <c r="T654" s="9">
        <f t="shared" si="32"/>
        <v>1</v>
      </c>
    </row>
    <row r="655" spans="1:20" x14ac:dyDescent="0.25">
      <c r="A655" s="5">
        <v>223874</v>
      </c>
      <c r="B655" t="str">
        <f>IFERROR((VLOOKUP(A655,'[1]LISTA ETIQUETAS'!O:X,3,0)),"PRODUTO SEM ESTOQUE")</f>
        <v>EST MESA CENTRO CLOS (INOX JASPER) (LACA BRILHO H155)</v>
      </c>
      <c r="C655" s="10" t="s">
        <v>21</v>
      </c>
      <c r="D655" s="10" t="s">
        <v>416</v>
      </c>
      <c r="E655" s="11">
        <f>IF(VLOOKUP(A655,'[1]LISTA ETIQUETAS'!O:W,4,0)="",(VLOOKUP(A655,'[1]LISTA ETIQUETAS'!O:W,6,0)),(VLOOKUP(A655,'[1]LISTA ETIQUETAS'!O:W,4,0)))</f>
        <v>1.8</v>
      </c>
      <c r="F655" s="11">
        <f>IF(VLOOKUP(A655,'[1]LISTA ETIQUETAS'!O:W,5,0)="",(VLOOKUP(A655,'[1]LISTA ETIQUETAS'!O:W,7,0)),(VLOOKUP(A655,'[1]LISTA ETIQUETAS'!O:W,5,0)))</f>
        <v>0.6</v>
      </c>
      <c r="G655" s="11">
        <f>IFERROR((VLOOKUP(A655,'[1]LISTA ETIQUETAS'!O:X,8,0)),"")</f>
        <v>0.3</v>
      </c>
      <c r="H655" s="11">
        <f>IFERROR((VLOOKUP(A655,'[1]LISTA ETIQUETAS'!O:X,9,0)),"")</f>
        <v>0</v>
      </c>
      <c r="I655" s="12">
        <f>IFERROR((VLOOKUP(A655,'[1]LISTA ETIQUETAS'!O:Y,11,0)),"")</f>
        <v>0</v>
      </c>
      <c r="J655" s="6">
        <v>0</v>
      </c>
      <c r="K655" s="12">
        <f t="shared" si="30"/>
        <v>0</v>
      </c>
      <c r="L655" s="7" t="str">
        <f>IF(VLOOKUP(A655,'[1]LISTA ETIQUETAS'!O:AB,14,0)="","",(VLOOKUP(A655,'[1]LISTA ETIQUETAS'!O:AB,14,0)))</f>
        <v/>
      </c>
      <c r="M655" s="8"/>
      <c r="N655" s="9">
        <f t="shared" si="31"/>
        <v>223874</v>
      </c>
      <c r="O655" s="2">
        <f>_xlfn.XLOOKUP($A655,'[1]LISTA ETIQUETAS'!$O:$O,'[1]LISTA ETIQUETAS'!C:C,"",0)</f>
        <v>0</v>
      </c>
      <c r="P655" s="2">
        <f>_xlfn.XLOOKUP($A655,'[1]LISTA ETIQUETAS'!$O:$O,'[1]LISTA ETIQUETAS'!D:D,"",0)</f>
        <v>0</v>
      </c>
      <c r="Q655" s="2">
        <f>_xlfn.XLOOKUP($A655,'[1]LISTA ETIQUETAS'!$O:$O,'[1]LISTA ETIQUETAS'!E:E,"",0)</f>
        <v>0</v>
      </c>
      <c r="R655" s="2">
        <f>_xlfn.XLOOKUP($A655,'[1]LISTA ETIQUETAS'!$O:$O,'[1]LISTA ETIQUETAS'!F:F,"",0)</f>
        <v>0</v>
      </c>
      <c r="S655" s="2">
        <f>_xlfn.XLOOKUP($A655,'[1]LISTA ETIQUETAS'!$O:$O,'[1]LISTA ETIQUETAS'!H:H,"",0)</f>
        <v>1</v>
      </c>
      <c r="T655" s="9">
        <f t="shared" si="32"/>
        <v>1</v>
      </c>
    </row>
    <row r="656" spans="1:20" x14ac:dyDescent="0.25">
      <c r="A656" s="5">
        <v>223394</v>
      </c>
      <c r="B656" t="str">
        <f>IFERROR((VLOOKUP(A656,'[1]LISTA ETIQUETAS'!O:X,3,0)),"PRODUTO SEM ESTOQUE")</f>
        <v>EST MESA CENTRO TUNIS (LACA POLIESTER BRILHO J155)</v>
      </c>
      <c r="C656" s="10" t="s">
        <v>21</v>
      </c>
      <c r="D656" s="10" t="s">
        <v>419</v>
      </c>
      <c r="E656" s="11">
        <f>IF(VLOOKUP(A656,'[1]LISTA ETIQUETAS'!O:W,4,0)="",(VLOOKUP(A656,'[1]LISTA ETIQUETAS'!O:W,6,0)),(VLOOKUP(A656,'[1]LISTA ETIQUETAS'!O:W,4,0)))</f>
        <v>1.8</v>
      </c>
      <c r="F656" s="11">
        <f>IF(VLOOKUP(A656,'[1]LISTA ETIQUETAS'!O:W,5,0)="",(VLOOKUP(A656,'[1]LISTA ETIQUETAS'!O:W,7,0)),(VLOOKUP(A656,'[1]LISTA ETIQUETAS'!O:W,5,0)))</f>
        <v>0.7</v>
      </c>
      <c r="G656" s="11">
        <f>IFERROR((VLOOKUP(A656,'[1]LISTA ETIQUETAS'!O:X,8,0)),"")</f>
        <v>0.23</v>
      </c>
      <c r="H656" s="11">
        <f>IFERROR((VLOOKUP(A656,'[1]LISTA ETIQUETAS'!O:X,9,0)),"")</f>
        <v>0</v>
      </c>
      <c r="I656" s="12">
        <f>IFERROR((VLOOKUP(A656,'[1]LISTA ETIQUETAS'!O:Y,11,0)),"")</f>
        <v>16035.13</v>
      </c>
      <c r="J656" s="6">
        <v>0</v>
      </c>
      <c r="K656" s="12">
        <f t="shared" si="30"/>
        <v>16035.13</v>
      </c>
      <c r="L656" s="7" t="str">
        <f>IF(VLOOKUP(A656,'[1]LISTA ETIQUETAS'!O:AB,14,0)="","",(VLOOKUP(A656,'[1]LISTA ETIQUETAS'!O:AB,14,0)))</f>
        <v/>
      </c>
      <c r="M656" s="8"/>
      <c r="N656" s="9">
        <f t="shared" si="31"/>
        <v>223394</v>
      </c>
      <c r="O656" s="2">
        <f>_xlfn.XLOOKUP($A656,'[1]LISTA ETIQUETAS'!$O:$O,'[1]LISTA ETIQUETAS'!C:C,"",0)</f>
        <v>0</v>
      </c>
      <c r="P656" s="2">
        <f>_xlfn.XLOOKUP($A656,'[1]LISTA ETIQUETAS'!$O:$O,'[1]LISTA ETIQUETAS'!D:D,"",0)</f>
        <v>0</v>
      </c>
      <c r="Q656" s="2">
        <f>_xlfn.XLOOKUP($A656,'[1]LISTA ETIQUETAS'!$O:$O,'[1]LISTA ETIQUETAS'!E:E,"",0)</f>
        <v>0</v>
      </c>
      <c r="R656" s="2">
        <f>_xlfn.XLOOKUP($A656,'[1]LISTA ETIQUETAS'!$O:$O,'[1]LISTA ETIQUETAS'!F:F,"",0)</f>
        <v>0</v>
      </c>
      <c r="S656" s="2">
        <f>_xlfn.XLOOKUP($A656,'[1]LISTA ETIQUETAS'!$O:$O,'[1]LISTA ETIQUETAS'!H:H,"",0)</f>
        <v>2</v>
      </c>
      <c r="T656" s="9">
        <f t="shared" si="32"/>
        <v>2</v>
      </c>
    </row>
    <row r="657" spans="1:20" x14ac:dyDescent="0.25">
      <c r="A657" s="5">
        <v>223328</v>
      </c>
      <c r="B657" t="str">
        <f>IFERROR((VLOOKUP(A657,'[1]LISTA ETIQUETAS'!O:X,3,0)),"PRODUTO SEM ESTOQUE")</f>
        <v>EST MESA CENTRO TUNIS (LACA POLIESTER BRILHO J155)</v>
      </c>
      <c r="C657" s="10" t="s">
        <v>21</v>
      </c>
      <c r="D657" s="10" t="s">
        <v>419</v>
      </c>
      <c r="E657" s="11">
        <f>IF(VLOOKUP(A657,'[1]LISTA ETIQUETAS'!O:W,4,0)="",(VLOOKUP(A657,'[1]LISTA ETIQUETAS'!O:W,6,0)),(VLOOKUP(A657,'[1]LISTA ETIQUETAS'!O:W,4,0)))</f>
        <v>2</v>
      </c>
      <c r="F657" s="11">
        <f>IF(VLOOKUP(A657,'[1]LISTA ETIQUETAS'!O:W,5,0)="",(VLOOKUP(A657,'[1]LISTA ETIQUETAS'!O:W,7,0)),(VLOOKUP(A657,'[1]LISTA ETIQUETAS'!O:W,5,0)))</f>
        <v>0.8</v>
      </c>
      <c r="G657" s="11">
        <f>IFERROR((VLOOKUP(A657,'[1]LISTA ETIQUETAS'!O:X,8,0)),"")</f>
        <v>0.23</v>
      </c>
      <c r="H657" s="11">
        <f>IFERROR((VLOOKUP(A657,'[1]LISTA ETIQUETAS'!O:X,9,0)),"")</f>
        <v>0</v>
      </c>
      <c r="I657" s="12">
        <f>IFERROR((VLOOKUP(A657,'[1]LISTA ETIQUETAS'!O:Y,11,0)),"")</f>
        <v>25452.63</v>
      </c>
      <c r="J657" s="6">
        <v>0</v>
      </c>
      <c r="K657" s="12">
        <f t="shared" si="30"/>
        <v>25452.63</v>
      </c>
      <c r="L657" s="7" t="str">
        <f>IF(VLOOKUP(A657,'[1]LISTA ETIQUETAS'!O:AB,14,0)="","",(VLOOKUP(A657,'[1]LISTA ETIQUETAS'!O:AB,14,0)))</f>
        <v/>
      </c>
      <c r="M657" s="8"/>
      <c r="N657" s="9">
        <f t="shared" si="31"/>
        <v>223328</v>
      </c>
      <c r="O657" s="2">
        <f>_xlfn.XLOOKUP($A657,'[1]LISTA ETIQUETAS'!$O:$O,'[1]LISTA ETIQUETAS'!C:C,"",0)</f>
        <v>0</v>
      </c>
      <c r="P657" s="2">
        <f>_xlfn.XLOOKUP($A657,'[1]LISTA ETIQUETAS'!$O:$O,'[1]LISTA ETIQUETAS'!D:D,"",0)</f>
        <v>0</v>
      </c>
      <c r="Q657" s="2">
        <f>_xlfn.XLOOKUP($A657,'[1]LISTA ETIQUETAS'!$O:$O,'[1]LISTA ETIQUETAS'!E:E,"",0)</f>
        <v>0</v>
      </c>
      <c r="R657" s="2">
        <f>_xlfn.XLOOKUP($A657,'[1]LISTA ETIQUETAS'!$O:$O,'[1]LISTA ETIQUETAS'!F:F,"",0)</f>
        <v>0</v>
      </c>
      <c r="S657" s="2">
        <f>_xlfn.XLOOKUP($A657,'[1]LISTA ETIQUETAS'!$O:$O,'[1]LISTA ETIQUETAS'!H:H,"",0)</f>
        <v>1</v>
      </c>
      <c r="T657" s="9">
        <f t="shared" si="32"/>
        <v>1</v>
      </c>
    </row>
    <row r="658" spans="1:20" x14ac:dyDescent="0.25">
      <c r="A658" s="5">
        <v>191078</v>
      </c>
      <c r="B658" t="str">
        <f>IFERROR((VLOOKUP(A658,'[1]LISTA ETIQUETAS'!O:X,3,0)),"PRODUTO SEM ESTOQUE")</f>
        <v>EST MESA CENTRO PEAO CUBO LAM NOGUEIR/MTX JH014</v>
      </c>
      <c r="C658" s="10" t="s">
        <v>21</v>
      </c>
      <c r="D658" s="10" t="s">
        <v>418</v>
      </c>
      <c r="E658" s="11">
        <f>IF(VLOOKUP(A658,'[1]LISTA ETIQUETAS'!O:W,4,0)="",(VLOOKUP(A658,'[1]LISTA ETIQUETAS'!O:W,6,0)),(VLOOKUP(A658,'[1]LISTA ETIQUETAS'!O:W,4,0)))</f>
        <v>0.6</v>
      </c>
      <c r="F658" s="11">
        <f>IF(VLOOKUP(A658,'[1]LISTA ETIQUETAS'!O:W,5,0)="",(VLOOKUP(A658,'[1]LISTA ETIQUETAS'!O:W,7,0)),(VLOOKUP(A658,'[1]LISTA ETIQUETAS'!O:W,5,0)))</f>
        <v>0.6</v>
      </c>
      <c r="G658" s="11">
        <f>IFERROR((VLOOKUP(A658,'[1]LISTA ETIQUETAS'!O:X,8,0)),"")</f>
        <v>0.32</v>
      </c>
      <c r="H658" s="11">
        <f>IFERROR((VLOOKUP(A658,'[1]LISTA ETIQUETAS'!O:X,9,0)),"")</f>
        <v>0</v>
      </c>
      <c r="I658" s="12">
        <f>IFERROR((VLOOKUP(A658,'[1]LISTA ETIQUETAS'!O:Y,11,0)),"")</f>
        <v>5640.32</v>
      </c>
      <c r="J658" s="6">
        <v>0</v>
      </c>
      <c r="K658" s="12">
        <f t="shared" si="30"/>
        <v>5640.32</v>
      </c>
      <c r="L658" s="7" t="str">
        <f>IF(VLOOKUP(A658,'[1]LISTA ETIQUETAS'!O:AB,14,0)="","",(VLOOKUP(A658,'[1]LISTA ETIQUETAS'!O:AB,14,0)))</f>
        <v/>
      </c>
      <c r="M658" s="8"/>
      <c r="N658" s="9">
        <f t="shared" si="31"/>
        <v>191078</v>
      </c>
      <c r="O658" s="2">
        <f>_xlfn.XLOOKUP($A658,'[1]LISTA ETIQUETAS'!$O:$O,'[1]LISTA ETIQUETAS'!C:C,"",0)</f>
        <v>0</v>
      </c>
      <c r="P658" s="2">
        <f>_xlfn.XLOOKUP($A658,'[1]LISTA ETIQUETAS'!$O:$O,'[1]LISTA ETIQUETAS'!D:D,"",0)</f>
        <v>0</v>
      </c>
      <c r="Q658" s="2">
        <f>_xlfn.XLOOKUP($A658,'[1]LISTA ETIQUETAS'!$O:$O,'[1]LISTA ETIQUETAS'!E:E,"",0)</f>
        <v>0</v>
      </c>
      <c r="R658" s="2">
        <f>_xlfn.XLOOKUP($A658,'[1]LISTA ETIQUETAS'!$O:$O,'[1]LISTA ETIQUETAS'!F:F,"",0)</f>
        <v>0</v>
      </c>
      <c r="S658" s="2">
        <f>_xlfn.XLOOKUP($A658,'[1]LISTA ETIQUETAS'!$O:$O,'[1]LISTA ETIQUETAS'!H:H,"",0)</f>
        <v>1</v>
      </c>
      <c r="T658" s="9">
        <f t="shared" si="32"/>
        <v>1</v>
      </c>
    </row>
    <row r="659" spans="1:20" x14ac:dyDescent="0.25">
      <c r="A659" s="5">
        <v>157469</v>
      </c>
      <c r="B659" t="str">
        <f>IFERROR((VLOOKUP(A659,'[1]LISTA ETIQUETAS'!O:X,3,0)),"PRODUTO SEM ESTOQUE")</f>
        <v>EST MESA CENTRO LEE (LACA BRILHO BRANCA)</v>
      </c>
      <c r="C659" s="10" t="s">
        <v>21</v>
      </c>
      <c r="D659" s="10" t="s">
        <v>398</v>
      </c>
      <c r="E659" s="11">
        <f>IF(VLOOKUP(A659,'[1]LISTA ETIQUETAS'!O:W,4,0)="",(VLOOKUP(A659,'[1]LISTA ETIQUETAS'!O:W,6,0)),(VLOOKUP(A659,'[1]LISTA ETIQUETAS'!O:W,4,0)))</f>
        <v>0.8</v>
      </c>
      <c r="F659" s="11">
        <f>IF(VLOOKUP(A659,'[1]LISTA ETIQUETAS'!O:W,5,0)="",(VLOOKUP(A659,'[1]LISTA ETIQUETAS'!O:W,7,0)),(VLOOKUP(A659,'[1]LISTA ETIQUETAS'!O:W,5,0)))</f>
        <v>0.8</v>
      </c>
      <c r="G659" s="11">
        <f>IFERROR((VLOOKUP(A659,'[1]LISTA ETIQUETAS'!O:X,8,0)),"")</f>
        <v>0.3</v>
      </c>
      <c r="H659" s="11">
        <f>IFERROR((VLOOKUP(A659,'[1]LISTA ETIQUETAS'!O:X,9,0)),"")</f>
        <v>0</v>
      </c>
      <c r="I659" s="12">
        <f>IFERROR((VLOOKUP(A659,'[1]LISTA ETIQUETAS'!O:Y,11,0)),"")</f>
        <v>0</v>
      </c>
      <c r="J659" s="6">
        <v>0</v>
      </c>
      <c r="K659" s="12">
        <f t="shared" si="30"/>
        <v>0</v>
      </c>
      <c r="L659" s="7" t="str">
        <f>IF(VLOOKUP(A659,'[1]LISTA ETIQUETAS'!O:AB,14,0)="","",(VLOOKUP(A659,'[1]LISTA ETIQUETAS'!O:AB,14,0)))</f>
        <v/>
      </c>
      <c r="M659" s="8"/>
      <c r="N659" s="9">
        <f t="shared" si="31"/>
        <v>157469</v>
      </c>
      <c r="O659" s="2">
        <f>_xlfn.XLOOKUP($A659,'[1]LISTA ETIQUETAS'!$O:$O,'[1]LISTA ETIQUETAS'!C:C,"",0)</f>
        <v>0</v>
      </c>
      <c r="P659" s="2">
        <f>_xlfn.XLOOKUP($A659,'[1]LISTA ETIQUETAS'!$O:$O,'[1]LISTA ETIQUETAS'!D:D,"",0)</f>
        <v>0</v>
      </c>
      <c r="Q659" s="2">
        <f>_xlfn.XLOOKUP($A659,'[1]LISTA ETIQUETAS'!$O:$O,'[1]LISTA ETIQUETAS'!E:E,"",0)</f>
        <v>0</v>
      </c>
      <c r="R659" s="2">
        <f>_xlfn.XLOOKUP($A659,'[1]LISTA ETIQUETAS'!$O:$O,'[1]LISTA ETIQUETAS'!F:F,"",0)</f>
        <v>0</v>
      </c>
      <c r="S659" s="2">
        <f>_xlfn.XLOOKUP($A659,'[1]LISTA ETIQUETAS'!$O:$O,'[1]LISTA ETIQUETAS'!H:H,"",0)</f>
        <v>1</v>
      </c>
      <c r="T659" s="9">
        <f t="shared" si="32"/>
        <v>1</v>
      </c>
    </row>
    <row r="660" spans="1:20" x14ac:dyDescent="0.25">
      <c r="A660" s="5">
        <v>255008</v>
      </c>
      <c r="B660" t="str">
        <f>IFERROR((VLOOKUP(A660,'[1]LISTA ETIQUETAS'!O:X,3,0)),"PRODUTO SEM ESTOQUE")</f>
        <v>EST MESA CENTRO MATRIZ (LACA BRANCA BRILHO)</v>
      </c>
      <c r="C660" s="10" t="s">
        <v>21</v>
      </c>
      <c r="D660" s="10" t="s">
        <v>420</v>
      </c>
      <c r="E660" s="11">
        <f>IF(VLOOKUP(A660,'[1]LISTA ETIQUETAS'!O:W,4,0)="",(VLOOKUP(A660,'[1]LISTA ETIQUETAS'!O:W,6,0)),(VLOOKUP(A660,'[1]LISTA ETIQUETAS'!O:W,4,0)))</f>
        <v>1.7</v>
      </c>
      <c r="F660" s="11">
        <f>IF(VLOOKUP(A660,'[1]LISTA ETIQUETAS'!O:W,5,0)="",(VLOOKUP(A660,'[1]LISTA ETIQUETAS'!O:W,7,0)),(VLOOKUP(A660,'[1]LISTA ETIQUETAS'!O:W,5,0)))</f>
        <v>0.5</v>
      </c>
      <c r="G660" s="11">
        <f>IFERROR((VLOOKUP(A660,'[1]LISTA ETIQUETAS'!O:X,8,0)),"")</f>
        <v>0.35</v>
      </c>
      <c r="H660" s="11">
        <f>IFERROR((VLOOKUP(A660,'[1]LISTA ETIQUETAS'!O:X,9,0)),"")</f>
        <v>0</v>
      </c>
      <c r="I660" s="12" t="str">
        <f>IFERROR((VLOOKUP(A660,'[1]LISTA ETIQUETAS'!O:Y,11,0)),"")</f>
        <v/>
      </c>
      <c r="J660" s="6">
        <v>0</v>
      </c>
      <c r="K660" s="12" t="str">
        <f t="shared" si="30"/>
        <v/>
      </c>
      <c r="L660" s="7" t="str">
        <f>IF(VLOOKUP(A660,'[1]LISTA ETIQUETAS'!O:AB,14,0)="","",(VLOOKUP(A660,'[1]LISTA ETIQUETAS'!O:AB,14,0)))</f>
        <v/>
      </c>
      <c r="M660" s="8"/>
      <c r="N660" s="9">
        <f t="shared" si="31"/>
        <v>255008</v>
      </c>
      <c r="O660" s="2">
        <f>_xlfn.XLOOKUP($A660,'[1]LISTA ETIQUETAS'!$O:$O,'[1]LISTA ETIQUETAS'!C:C,"",0)</f>
        <v>0</v>
      </c>
      <c r="P660" s="2">
        <f>_xlfn.XLOOKUP($A660,'[1]LISTA ETIQUETAS'!$O:$O,'[1]LISTA ETIQUETAS'!D:D,"",0)</f>
        <v>0</v>
      </c>
      <c r="Q660" s="2">
        <f>_xlfn.XLOOKUP($A660,'[1]LISTA ETIQUETAS'!$O:$O,'[1]LISTA ETIQUETAS'!E:E,"",0)</f>
        <v>0</v>
      </c>
      <c r="R660" s="2">
        <f>_xlfn.XLOOKUP($A660,'[1]LISTA ETIQUETAS'!$O:$O,'[1]LISTA ETIQUETAS'!F:F,"",0)</f>
        <v>0</v>
      </c>
      <c r="S660" s="2">
        <f>_xlfn.XLOOKUP($A660,'[1]LISTA ETIQUETAS'!$O:$O,'[1]LISTA ETIQUETAS'!H:H,"",0)</f>
        <v>1</v>
      </c>
      <c r="T660" s="9">
        <f t="shared" si="32"/>
        <v>1</v>
      </c>
    </row>
    <row r="661" spans="1:20" x14ac:dyDescent="0.25">
      <c r="A661" s="5">
        <v>234340</v>
      </c>
      <c r="B661" t="str">
        <f>IFERROR((VLOOKUP(A661,'[1]LISTA ETIQUETAS'!O:X,3,0)),"PRODUTO SEM ESTOQUE")</f>
        <v>EST MESA CENTRO LODD (MOD 4) TP VD FUME/HS/BS PRETO</v>
      </c>
      <c r="C661" s="10" t="s">
        <v>21</v>
      </c>
      <c r="D661" s="10" t="s">
        <v>411</v>
      </c>
      <c r="E661" s="11">
        <f>IF(VLOOKUP(A661,'[1]LISTA ETIQUETAS'!O:W,4,0)="",(VLOOKUP(A661,'[1]LISTA ETIQUETAS'!O:W,6,0)),(VLOOKUP(A661,'[1]LISTA ETIQUETAS'!O:W,4,0)))</f>
        <v>1</v>
      </c>
      <c r="F661" s="11">
        <f>IF(VLOOKUP(A661,'[1]LISTA ETIQUETAS'!O:W,5,0)="",(VLOOKUP(A661,'[1]LISTA ETIQUETAS'!O:W,7,0)),(VLOOKUP(A661,'[1]LISTA ETIQUETAS'!O:W,5,0)))</f>
        <v>0</v>
      </c>
      <c r="G661" s="11">
        <f>IFERROR((VLOOKUP(A661,'[1]LISTA ETIQUETAS'!O:X,8,0)),"")</f>
        <v>0.4</v>
      </c>
      <c r="H661" s="11">
        <f>IFERROR((VLOOKUP(A661,'[1]LISTA ETIQUETAS'!O:X,9,0)),"")</f>
        <v>1</v>
      </c>
      <c r="I661" s="12">
        <f>IFERROR((VLOOKUP(A661,'[1]LISTA ETIQUETAS'!O:Y,11,0)),"")</f>
        <v>19504.669999999998</v>
      </c>
      <c r="J661" s="6">
        <v>0</v>
      </c>
      <c r="K661" s="12">
        <f t="shared" si="30"/>
        <v>19504.669999999998</v>
      </c>
      <c r="L661" s="7" t="str">
        <f>IF(VLOOKUP(A661,'[1]LISTA ETIQUETAS'!O:AB,14,0)="","",(VLOOKUP(A661,'[1]LISTA ETIQUETAS'!O:AB,14,0)))</f>
        <v/>
      </c>
      <c r="M661" s="8"/>
      <c r="N661" s="9">
        <f t="shared" si="31"/>
        <v>234340</v>
      </c>
      <c r="O661" s="2">
        <f>_xlfn.XLOOKUP($A661,'[1]LISTA ETIQUETAS'!$O:$O,'[1]LISTA ETIQUETAS'!C:C,"",0)</f>
        <v>0</v>
      </c>
      <c r="P661" s="2">
        <f>_xlfn.XLOOKUP($A661,'[1]LISTA ETIQUETAS'!$O:$O,'[1]LISTA ETIQUETAS'!D:D,"",0)</f>
        <v>0</v>
      </c>
      <c r="Q661" s="2">
        <f>_xlfn.XLOOKUP($A661,'[1]LISTA ETIQUETAS'!$O:$O,'[1]LISTA ETIQUETAS'!E:E,"",0)</f>
        <v>0</v>
      </c>
      <c r="R661" s="2">
        <f>_xlfn.XLOOKUP($A661,'[1]LISTA ETIQUETAS'!$O:$O,'[1]LISTA ETIQUETAS'!F:F,"",0)</f>
        <v>0</v>
      </c>
      <c r="S661" s="2">
        <f>_xlfn.XLOOKUP($A661,'[1]LISTA ETIQUETAS'!$O:$O,'[1]LISTA ETIQUETAS'!H:H,"",0)</f>
        <v>1</v>
      </c>
      <c r="T661" s="9">
        <f t="shared" si="32"/>
        <v>1</v>
      </c>
    </row>
    <row r="662" spans="1:20" x14ac:dyDescent="0.25">
      <c r="A662" s="5">
        <v>233555</v>
      </c>
      <c r="B662" t="str">
        <f>IFERROR((VLOOKUP(A662,'[1]LISTA ETIQUETAS'!O:X,3,0)),"PRODUTO SEM ESTOQUE")</f>
        <v>EST MESA CENTRO RAIZ (EFEITO CORTEM)</v>
      </c>
      <c r="C662" s="10" t="s">
        <v>21</v>
      </c>
      <c r="D662" s="10" t="s">
        <v>399</v>
      </c>
      <c r="E662" s="11">
        <f>IF(VLOOKUP(A662,'[1]LISTA ETIQUETAS'!O:W,4,0)="",(VLOOKUP(A662,'[1]LISTA ETIQUETAS'!O:W,6,0)),(VLOOKUP(A662,'[1]LISTA ETIQUETAS'!O:W,4,0)))</f>
        <v>1.5</v>
      </c>
      <c r="F662" s="11">
        <f>IF(VLOOKUP(A662,'[1]LISTA ETIQUETAS'!O:W,5,0)="",(VLOOKUP(A662,'[1]LISTA ETIQUETAS'!O:W,7,0)),(VLOOKUP(A662,'[1]LISTA ETIQUETAS'!O:W,5,0)))</f>
        <v>0.5</v>
      </c>
      <c r="G662" s="11">
        <f>IFERROR((VLOOKUP(A662,'[1]LISTA ETIQUETAS'!O:X,8,0)),"")</f>
        <v>0.25</v>
      </c>
      <c r="H662" s="11">
        <f>IFERROR((VLOOKUP(A662,'[1]LISTA ETIQUETAS'!O:X,9,0)),"")</f>
        <v>0</v>
      </c>
      <c r="I662" s="12">
        <f>IFERROR((VLOOKUP(A662,'[1]LISTA ETIQUETAS'!O:Y,11,0)),"")</f>
        <v>25081.85</v>
      </c>
      <c r="J662" s="6">
        <v>0</v>
      </c>
      <c r="K662" s="12">
        <f t="shared" si="30"/>
        <v>25081.85</v>
      </c>
      <c r="L662" s="7" t="str">
        <f>IF(VLOOKUP(A662,'[1]LISTA ETIQUETAS'!O:AB,14,0)="","",(VLOOKUP(A662,'[1]LISTA ETIQUETAS'!O:AB,14,0)))</f>
        <v/>
      </c>
      <c r="M662" s="8"/>
      <c r="N662" s="9">
        <f t="shared" si="31"/>
        <v>233555</v>
      </c>
      <c r="O662" s="2">
        <f>_xlfn.XLOOKUP($A662,'[1]LISTA ETIQUETAS'!$O:$O,'[1]LISTA ETIQUETAS'!C:C,"",0)</f>
        <v>0</v>
      </c>
      <c r="P662" s="2">
        <f>_xlfn.XLOOKUP($A662,'[1]LISTA ETIQUETAS'!$O:$O,'[1]LISTA ETIQUETAS'!D:D,"",0)</f>
        <v>0</v>
      </c>
      <c r="Q662" s="2">
        <f>_xlfn.XLOOKUP($A662,'[1]LISTA ETIQUETAS'!$O:$O,'[1]LISTA ETIQUETAS'!E:E,"",0)</f>
        <v>0</v>
      </c>
      <c r="R662" s="2">
        <f>_xlfn.XLOOKUP($A662,'[1]LISTA ETIQUETAS'!$O:$O,'[1]LISTA ETIQUETAS'!F:F,"",0)</f>
        <v>0</v>
      </c>
      <c r="S662" s="2">
        <f>_xlfn.XLOOKUP($A662,'[1]LISTA ETIQUETAS'!$O:$O,'[1]LISTA ETIQUETAS'!H:H,"",0)</f>
        <v>1</v>
      </c>
      <c r="T662" s="9">
        <f t="shared" si="32"/>
        <v>1</v>
      </c>
    </row>
    <row r="663" spans="1:20" x14ac:dyDescent="0.25">
      <c r="A663" s="5">
        <v>255058</v>
      </c>
      <c r="B663" t="str">
        <f>IFERROR((VLOOKUP(A663,'[1]LISTA ETIQUETAS'!O:X,3,0)),"PRODUTO SEM ESTOQUE")</f>
        <v>EST MESA CENTRO NOMAN (TP LAM FAJO) (AUT FRAPE)</v>
      </c>
      <c r="C663" s="10" t="s">
        <v>21</v>
      </c>
      <c r="D663" s="10" t="s">
        <v>421</v>
      </c>
      <c r="E663" s="11">
        <f>IF(VLOOKUP(A663,'[1]LISTA ETIQUETAS'!O:W,4,0)="",(VLOOKUP(A663,'[1]LISTA ETIQUETAS'!O:W,6,0)),(VLOOKUP(A663,'[1]LISTA ETIQUETAS'!O:W,4,0)))</f>
        <v>1.04</v>
      </c>
      <c r="F663" s="11">
        <f>IF(VLOOKUP(A663,'[1]LISTA ETIQUETAS'!O:W,5,0)="",(VLOOKUP(A663,'[1]LISTA ETIQUETAS'!O:W,7,0)),(VLOOKUP(A663,'[1]LISTA ETIQUETAS'!O:W,5,0)))</f>
        <v>1.04</v>
      </c>
      <c r="G663" s="11">
        <f>IFERROR((VLOOKUP(A663,'[1]LISTA ETIQUETAS'!O:X,8,0)),"")</f>
        <v>0.3</v>
      </c>
      <c r="H663" s="11">
        <f>IFERROR((VLOOKUP(A663,'[1]LISTA ETIQUETAS'!O:X,9,0)),"")</f>
        <v>0</v>
      </c>
      <c r="I663" s="12">
        <f>IFERROR((VLOOKUP(A663,'[1]LISTA ETIQUETAS'!O:Y,11,0)),"")</f>
        <v>16339.34</v>
      </c>
      <c r="J663" s="6">
        <v>0</v>
      </c>
      <c r="K663" s="12">
        <f t="shared" si="30"/>
        <v>16339.34</v>
      </c>
      <c r="L663" s="7" t="str">
        <f>IF(VLOOKUP(A663,'[1]LISTA ETIQUETAS'!O:AB,14,0)="","",(VLOOKUP(A663,'[1]LISTA ETIQUETAS'!O:AB,14,0)))</f>
        <v/>
      </c>
      <c r="M663" s="8"/>
      <c r="N663" s="9">
        <f t="shared" si="31"/>
        <v>255058</v>
      </c>
      <c r="O663" s="2">
        <f>_xlfn.XLOOKUP($A663,'[1]LISTA ETIQUETAS'!$O:$O,'[1]LISTA ETIQUETAS'!C:C,"",0)</f>
        <v>0</v>
      </c>
      <c r="P663" s="2">
        <f>_xlfn.XLOOKUP($A663,'[1]LISTA ETIQUETAS'!$O:$O,'[1]LISTA ETIQUETAS'!D:D,"",0)</f>
        <v>1</v>
      </c>
      <c r="Q663" s="2">
        <f>_xlfn.XLOOKUP($A663,'[1]LISTA ETIQUETAS'!$O:$O,'[1]LISTA ETIQUETAS'!E:E,"",0)</f>
        <v>0</v>
      </c>
      <c r="R663" s="2">
        <f>_xlfn.XLOOKUP($A663,'[1]LISTA ETIQUETAS'!$O:$O,'[1]LISTA ETIQUETAS'!F:F,"",0)</f>
        <v>0</v>
      </c>
      <c r="S663" s="2">
        <f>_xlfn.XLOOKUP($A663,'[1]LISTA ETIQUETAS'!$O:$O,'[1]LISTA ETIQUETAS'!H:H,"",0)</f>
        <v>1</v>
      </c>
      <c r="T663" s="9">
        <f t="shared" si="32"/>
        <v>2</v>
      </c>
    </row>
    <row r="664" spans="1:20" x14ac:dyDescent="0.25">
      <c r="A664" s="5">
        <v>255059</v>
      </c>
      <c r="B664" t="str">
        <f>IFERROR((VLOOKUP(A664,'[1]LISTA ETIQUETAS'!O:X,3,0)),"PRODUTO SEM ESTOQUE")</f>
        <v>EST MESA CENTRO NOMAN (TP LAM FAJO) (AUT FRAPE)</v>
      </c>
      <c r="C664" s="10" t="s">
        <v>21</v>
      </c>
      <c r="D664" s="10" t="s">
        <v>421</v>
      </c>
      <c r="E664" s="11">
        <f>IF(VLOOKUP(A664,'[1]LISTA ETIQUETAS'!O:W,4,0)="",(VLOOKUP(A664,'[1]LISTA ETIQUETAS'!O:W,6,0)),(VLOOKUP(A664,'[1]LISTA ETIQUETAS'!O:W,4,0)))</f>
        <v>0.91</v>
      </c>
      <c r="F664" s="11">
        <f>IF(VLOOKUP(A664,'[1]LISTA ETIQUETAS'!O:W,5,0)="",(VLOOKUP(A664,'[1]LISTA ETIQUETAS'!O:W,7,0)),(VLOOKUP(A664,'[1]LISTA ETIQUETAS'!O:W,5,0)))</f>
        <v>0.91</v>
      </c>
      <c r="G664" s="11">
        <f>IFERROR((VLOOKUP(A664,'[1]LISTA ETIQUETAS'!O:X,8,0)),"")</f>
        <v>0.24</v>
      </c>
      <c r="H664" s="11">
        <f>IFERROR((VLOOKUP(A664,'[1]LISTA ETIQUETAS'!O:X,9,0)),"")</f>
        <v>0</v>
      </c>
      <c r="I664" s="12">
        <f>IFERROR((VLOOKUP(A664,'[1]LISTA ETIQUETAS'!O:Y,11,0)),"")</f>
        <v>14356.28</v>
      </c>
      <c r="J664" s="6">
        <v>0</v>
      </c>
      <c r="K664" s="12">
        <f t="shared" si="30"/>
        <v>14356.28</v>
      </c>
      <c r="L664" s="7" t="str">
        <f>IF(VLOOKUP(A664,'[1]LISTA ETIQUETAS'!O:AB,14,0)="","",(VLOOKUP(A664,'[1]LISTA ETIQUETAS'!O:AB,14,0)))</f>
        <v/>
      </c>
      <c r="M664" s="8"/>
      <c r="N664" s="9">
        <f t="shared" si="31"/>
        <v>255059</v>
      </c>
      <c r="O664" s="2">
        <f>_xlfn.XLOOKUP($A664,'[1]LISTA ETIQUETAS'!$O:$O,'[1]LISTA ETIQUETAS'!C:C,"",0)</f>
        <v>0</v>
      </c>
      <c r="P664" s="2">
        <f>_xlfn.XLOOKUP($A664,'[1]LISTA ETIQUETAS'!$O:$O,'[1]LISTA ETIQUETAS'!D:D,"",0)</f>
        <v>1</v>
      </c>
      <c r="Q664" s="2">
        <f>_xlfn.XLOOKUP($A664,'[1]LISTA ETIQUETAS'!$O:$O,'[1]LISTA ETIQUETAS'!E:E,"",0)</f>
        <v>0</v>
      </c>
      <c r="R664" s="2">
        <f>_xlfn.XLOOKUP($A664,'[1]LISTA ETIQUETAS'!$O:$O,'[1]LISTA ETIQUETAS'!F:F,"",0)</f>
        <v>0</v>
      </c>
      <c r="S664" s="2">
        <f>_xlfn.XLOOKUP($A664,'[1]LISTA ETIQUETAS'!$O:$O,'[1]LISTA ETIQUETAS'!H:H,"",0)</f>
        <v>1</v>
      </c>
      <c r="T664" s="9">
        <f t="shared" si="32"/>
        <v>2</v>
      </c>
    </row>
    <row r="665" spans="1:20" x14ac:dyDescent="0.25">
      <c r="A665" s="5">
        <v>234229</v>
      </c>
      <c r="B665" t="str">
        <f>IFERROR((VLOOKUP(A665,'[1]LISTA ETIQUETAS'!O:X,3,0)),"PRODUTO SEM ESTOQUE")</f>
        <v>EST MESA CENTRO VERSO (EBANIZADO) (PRETO FSC)</v>
      </c>
      <c r="C665" s="10" t="s">
        <v>21</v>
      </c>
      <c r="D665" s="10" t="s">
        <v>422</v>
      </c>
      <c r="E665" s="11">
        <f>IF(VLOOKUP(A665,'[1]LISTA ETIQUETAS'!O:W,4,0)="",(VLOOKUP(A665,'[1]LISTA ETIQUETAS'!O:W,6,0)),(VLOOKUP(A665,'[1]LISTA ETIQUETAS'!O:W,4,0)))</f>
        <v>1.2</v>
      </c>
      <c r="F665" s="11">
        <f>IF(VLOOKUP(A665,'[1]LISTA ETIQUETAS'!O:W,5,0)="",(VLOOKUP(A665,'[1]LISTA ETIQUETAS'!O:W,7,0)),(VLOOKUP(A665,'[1]LISTA ETIQUETAS'!O:W,5,0)))</f>
        <v>0.4</v>
      </c>
      <c r="G665" s="11">
        <f>IFERROR((VLOOKUP(A665,'[1]LISTA ETIQUETAS'!O:X,8,0)),"")</f>
        <v>0.3</v>
      </c>
      <c r="H665" s="11">
        <f>IFERROR((VLOOKUP(A665,'[1]LISTA ETIQUETAS'!O:X,9,0)),"")</f>
        <v>0</v>
      </c>
      <c r="I665" s="12">
        <f>IFERROR((VLOOKUP(A665,'[1]LISTA ETIQUETAS'!O:Y,11,0)),"")</f>
        <v>7526.4</v>
      </c>
      <c r="J665" s="6">
        <v>0</v>
      </c>
      <c r="K665" s="12">
        <f t="shared" si="30"/>
        <v>7526.4</v>
      </c>
      <c r="L665" s="7" t="str">
        <f>IF(VLOOKUP(A665,'[1]LISTA ETIQUETAS'!O:AB,14,0)="","",(VLOOKUP(A665,'[1]LISTA ETIQUETAS'!O:AB,14,0)))</f>
        <v/>
      </c>
      <c r="M665" s="8"/>
      <c r="N665" s="9">
        <f t="shared" si="31"/>
        <v>234229</v>
      </c>
      <c r="O665" s="2">
        <f>_xlfn.XLOOKUP($A665,'[1]LISTA ETIQUETAS'!$O:$O,'[1]LISTA ETIQUETAS'!C:C,"",0)</f>
        <v>0</v>
      </c>
      <c r="P665" s="2">
        <f>_xlfn.XLOOKUP($A665,'[1]LISTA ETIQUETAS'!$O:$O,'[1]LISTA ETIQUETAS'!D:D,"",0)</f>
        <v>0</v>
      </c>
      <c r="Q665" s="2">
        <f>_xlfn.XLOOKUP($A665,'[1]LISTA ETIQUETAS'!$O:$O,'[1]LISTA ETIQUETAS'!E:E,"",0)</f>
        <v>0</v>
      </c>
      <c r="R665" s="2">
        <f>_xlfn.XLOOKUP($A665,'[1]LISTA ETIQUETAS'!$O:$O,'[1]LISTA ETIQUETAS'!F:F,"",0)</f>
        <v>0</v>
      </c>
      <c r="S665" s="2">
        <f>_xlfn.XLOOKUP($A665,'[1]LISTA ETIQUETAS'!$O:$O,'[1]LISTA ETIQUETAS'!H:H,"",0)</f>
        <v>1</v>
      </c>
      <c r="T665" s="9">
        <f t="shared" si="32"/>
        <v>1</v>
      </c>
    </row>
    <row r="666" spans="1:20" x14ac:dyDescent="0.25">
      <c r="A666" s="5">
        <v>270491</v>
      </c>
      <c r="B666" t="str">
        <f>IFERROR((VLOOKUP(A666,'[1]LISTA ETIQUETAS'!O:X,3,0)),"PRODUTO SEM ESTOQUE")</f>
        <v>EST MESA CENTRO SMITH (PINT ELETRO MARROM CORTEN/TP VD FUME)</v>
      </c>
      <c r="C666" s="10" t="s">
        <v>21</v>
      </c>
      <c r="D666" s="10" t="s">
        <v>423</v>
      </c>
      <c r="E666" s="11">
        <f>IF(VLOOKUP(A666,'[1]LISTA ETIQUETAS'!O:W,4,0)="",(VLOOKUP(A666,'[1]LISTA ETIQUETAS'!O:W,6,0)),(VLOOKUP(A666,'[1]LISTA ETIQUETAS'!O:W,4,0)))</f>
        <v>0.9</v>
      </c>
      <c r="F666" s="11">
        <f>IF(VLOOKUP(A666,'[1]LISTA ETIQUETAS'!O:W,5,0)="",(VLOOKUP(A666,'[1]LISTA ETIQUETAS'!O:W,7,0)),(VLOOKUP(A666,'[1]LISTA ETIQUETAS'!O:W,5,0)))</f>
        <v>0</v>
      </c>
      <c r="G666" s="11">
        <f>IFERROR((VLOOKUP(A666,'[1]LISTA ETIQUETAS'!O:X,8,0)),"")</f>
        <v>0.32</v>
      </c>
      <c r="H666" s="11">
        <f>IFERROR((VLOOKUP(A666,'[1]LISTA ETIQUETAS'!O:X,9,0)),"")</f>
        <v>0.9</v>
      </c>
      <c r="I666" s="12">
        <f>IFERROR((VLOOKUP(A666,'[1]LISTA ETIQUETAS'!O:Y,11,0)),"")</f>
        <v>6182.4</v>
      </c>
      <c r="J666" s="6">
        <v>0</v>
      </c>
      <c r="K666" s="12">
        <f t="shared" si="30"/>
        <v>6182.4</v>
      </c>
      <c r="L666" s="7" t="str">
        <f>IF(VLOOKUP(A666,'[1]LISTA ETIQUETAS'!O:AB,14,0)="","",(VLOOKUP(A666,'[1]LISTA ETIQUETAS'!O:AB,14,0)))</f>
        <v/>
      </c>
      <c r="M666" s="8"/>
      <c r="N666" s="9">
        <f t="shared" si="31"/>
        <v>270491</v>
      </c>
      <c r="O666" s="2">
        <f>_xlfn.XLOOKUP($A666,'[1]LISTA ETIQUETAS'!$O:$O,'[1]LISTA ETIQUETAS'!C:C,"",0)</f>
        <v>0</v>
      </c>
      <c r="P666" s="2">
        <f>_xlfn.XLOOKUP($A666,'[1]LISTA ETIQUETAS'!$O:$O,'[1]LISTA ETIQUETAS'!D:D,"",0)</f>
        <v>0</v>
      </c>
      <c r="Q666" s="2">
        <f>_xlfn.XLOOKUP($A666,'[1]LISTA ETIQUETAS'!$O:$O,'[1]LISTA ETIQUETAS'!E:E,"",0)</f>
        <v>0</v>
      </c>
      <c r="R666" s="2">
        <f>_xlfn.XLOOKUP($A666,'[1]LISTA ETIQUETAS'!$O:$O,'[1]LISTA ETIQUETAS'!F:F,"",0)</f>
        <v>0</v>
      </c>
      <c r="S666" s="2">
        <f>_xlfn.XLOOKUP($A666,'[1]LISTA ETIQUETAS'!$O:$O,'[1]LISTA ETIQUETAS'!H:H,"",0)</f>
        <v>1</v>
      </c>
      <c r="T666" s="9">
        <f t="shared" si="32"/>
        <v>1</v>
      </c>
    </row>
    <row r="667" spans="1:20" x14ac:dyDescent="0.25">
      <c r="A667" s="5">
        <v>256188</v>
      </c>
      <c r="B667" t="str">
        <f>IFERROR((VLOOKUP(A667,'[1]LISTA ETIQUETAS'!O:X,3,0)),"PRODUTO SEM ESTOQUE")</f>
        <v>EST MESA CENTRO POSH BD NOCE/CARV LIGHT/C CAMEL</v>
      </c>
      <c r="C667" s="10" t="s">
        <v>21</v>
      </c>
      <c r="D667" s="10" t="s">
        <v>424</v>
      </c>
      <c r="E667" s="11">
        <f>IF(VLOOKUP(A667,'[1]LISTA ETIQUETAS'!O:W,4,0)="",(VLOOKUP(A667,'[1]LISTA ETIQUETAS'!O:W,6,0)),(VLOOKUP(A667,'[1]LISTA ETIQUETAS'!O:W,4,0)))</f>
        <v>2</v>
      </c>
      <c r="F667" s="11">
        <f>IF(VLOOKUP(A667,'[1]LISTA ETIQUETAS'!O:W,5,0)="",(VLOOKUP(A667,'[1]LISTA ETIQUETAS'!O:W,7,0)),(VLOOKUP(A667,'[1]LISTA ETIQUETAS'!O:W,5,0)))</f>
        <v>0.45</v>
      </c>
      <c r="G667" s="11">
        <f>IFERROR((VLOOKUP(A667,'[1]LISTA ETIQUETAS'!O:X,8,0)),"")</f>
        <v>0.49</v>
      </c>
      <c r="H667" s="11">
        <f>IFERROR((VLOOKUP(A667,'[1]LISTA ETIQUETAS'!O:X,9,0)),"")</f>
        <v>0</v>
      </c>
      <c r="I667" s="12">
        <f>IFERROR((VLOOKUP(A667,'[1]LISTA ETIQUETAS'!O:Y,11,0)),"")</f>
        <v>13872.14</v>
      </c>
      <c r="J667" s="6">
        <v>0</v>
      </c>
      <c r="K667" s="12">
        <f t="shared" si="30"/>
        <v>13872.14</v>
      </c>
      <c r="L667" s="7" t="str">
        <f>IF(VLOOKUP(A667,'[1]LISTA ETIQUETAS'!O:AB,14,0)="","",(VLOOKUP(A667,'[1]LISTA ETIQUETAS'!O:AB,14,0)))</f>
        <v/>
      </c>
      <c r="M667" s="8"/>
      <c r="N667" s="9">
        <f t="shared" si="31"/>
        <v>256188</v>
      </c>
      <c r="O667" s="2">
        <f>_xlfn.XLOOKUP($A667,'[1]LISTA ETIQUETAS'!$O:$O,'[1]LISTA ETIQUETAS'!C:C,"",0)</f>
        <v>0</v>
      </c>
      <c r="P667" s="2">
        <f>_xlfn.XLOOKUP($A667,'[1]LISTA ETIQUETAS'!$O:$O,'[1]LISTA ETIQUETAS'!D:D,"",0)</f>
        <v>0</v>
      </c>
      <c r="Q667" s="2">
        <f>_xlfn.XLOOKUP($A667,'[1]LISTA ETIQUETAS'!$O:$O,'[1]LISTA ETIQUETAS'!E:E,"",0)</f>
        <v>0</v>
      </c>
      <c r="R667" s="2">
        <f>_xlfn.XLOOKUP($A667,'[1]LISTA ETIQUETAS'!$O:$O,'[1]LISTA ETIQUETAS'!F:F,"",0)</f>
        <v>0</v>
      </c>
      <c r="S667" s="2">
        <f>_xlfn.XLOOKUP($A667,'[1]LISTA ETIQUETAS'!$O:$O,'[1]LISTA ETIQUETAS'!H:H,"",0)</f>
        <v>1</v>
      </c>
      <c r="T667" s="9">
        <f t="shared" si="32"/>
        <v>1</v>
      </c>
    </row>
    <row r="668" spans="1:20" x14ac:dyDescent="0.25">
      <c r="A668" s="5">
        <v>256184</v>
      </c>
      <c r="B668" t="str">
        <f>IFERROR((VLOOKUP(A668,'[1]LISTA ETIQUETAS'!O:X,3,0)),"PRODUTO SEM ESTOQUE")</f>
        <v>EST MESA CENTRO POSH BD MROM MSC/CARV PALH/C CAMEL</v>
      </c>
      <c r="C668" s="10" t="s">
        <v>21</v>
      </c>
      <c r="D668" s="10" t="s">
        <v>424</v>
      </c>
      <c r="E668" s="11">
        <f>IF(VLOOKUP(A668,'[1]LISTA ETIQUETAS'!O:W,4,0)="",(VLOOKUP(A668,'[1]LISTA ETIQUETAS'!O:W,6,0)),(VLOOKUP(A668,'[1]LISTA ETIQUETAS'!O:W,4,0)))</f>
        <v>2</v>
      </c>
      <c r="F668" s="11">
        <f>IF(VLOOKUP(A668,'[1]LISTA ETIQUETAS'!O:W,5,0)="",(VLOOKUP(A668,'[1]LISTA ETIQUETAS'!O:W,7,0)),(VLOOKUP(A668,'[1]LISTA ETIQUETAS'!O:W,5,0)))</f>
        <v>0.45</v>
      </c>
      <c r="G668" s="11">
        <f>IFERROR((VLOOKUP(A668,'[1]LISTA ETIQUETAS'!O:X,8,0)),"")</f>
        <v>0.49</v>
      </c>
      <c r="H668" s="11">
        <f>IFERROR((VLOOKUP(A668,'[1]LISTA ETIQUETAS'!O:X,9,0)),"")</f>
        <v>0</v>
      </c>
      <c r="I668" s="12">
        <f>IFERROR((VLOOKUP(A668,'[1]LISTA ETIQUETAS'!O:Y,11,0)),"")</f>
        <v>13180.16</v>
      </c>
      <c r="J668" s="6">
        <v>0</v>
      </c>
      <c r="K668" s="12">
        <f t="shared" si="30"/>
        <v>13180.16</v>
      </c>
      <c r="L668" s="7" t="str">
        <f>IF(VLOOKUP(A668,'[1]LISTA ETIQUETAS'!O:AB,14,0)="","",(VLOOKUP(A668,'[1]LISTA ETIQUETAS'!O:AB,14,0)))</f>
        <v/>
      </c>
      <c r="M668" s="8"/>
      <c r="N668" s="9">
        <f t="shared" si="31"/>
        <v>256184</v>
      </c>
      <c r="O668" s="2">
        <f>_xlfn.XLOOKUP($A668,'[1]LISTA ETIQUETAS'!$O:$O,'[1]LISTA ETIQUETAS'!C:C,"",0)</f>
        <v>0</v>
      </c>
      <c r="P668" s="2">
        <f>_xlfn.XLOOKUP($A668,'[1]LISTA ETIQUETAS'!$O:$O,'[1]LISTA ETIQUETAS'!D:D,"",0)</f>
        <v>0</v>
      </c>
      <c r="Q668" s="2">
        <f>_xlfn.XLOOKUP($A668,'[1]LISTA ETIQUETAS'!$O:$O,'[1]LISTA ETIQUETAS'!E:E,"",0)</f>
        <v>0</v>
      </c>
      <c r="R668" s="2">
        <f>_xlfn.XLOOKUP($A668,'[1]LISTA ETIQUETAS'!$O:$O,'[1]LISTA ETIQUETAS'!F:F,"",0)</f>
        <v>0</v>
      </c>
      <c r="S668" s="2">
        <f>_xlfn.XLOOKUP($A668,'[1]LISTA ETIQUETAS'!$O:$O,'[1]LISTA ETIQUETAS'!H:H,"",0)</f>
        <v>1</v>
      </c>
      <c r="T668" s="9">
        <f t="shared" si="32"/>
        <v>1</v>
      </c>
    </row>
    <row r="669" spans="1:20" x14ac:dyDescent="0.25">
      <c r="A669" s="5">
        <v>274941</v>
      </c>
      <c r="B669" t="str">
        <f>IFERROR((VLOOKUP(A669,'[1]LISTA ETIQUETAS'!O:X,3,0)),"PRODUTO SEM ESTOQUE")</f>
        <v>EST MESA CENTRO AYLA H35 (SUP1 PT) (TP CRV PT/TS CORTEN) LT</v>
      </c>
      <c r="C669" s="10" t="s">
        <v>21</v>
      </c>
      <c r="D669" s="10" t="s">
        <v>425</v>
      </c>
      <c r="E669" s="11">
        <f>IF(VLOOKUP(A669,'[1]LISTA ETIQUETAS'!O:W,4,0)="",(VLOOKUP(A669,'[1]LISTA ETIQUETAS'!O:W,6,0)),(VLOOKUP(A669,'[1]LISTA ETIQUETAS'!O:W,4,0)))</f>
        <v>1.6</v>
      </c>
      <c r="F669" s="11">
        <f>IF(VLOOKUP(A669,'[1]LISTA ETIQUETAS'!O:W,5,0)="",(VLOOKUP(A669,'[1]LISTA ETIQUETAS'!O:W,7,0)),(VLOOKUP(A669,'[1]LISTA ETIQUETAS'!O:W,5,0)))</f>
        <v>0.8</v>
      </c>
      <c r="G669" s="11">
        <f>IFERROR((VLOOKUP(A669,'[1]LISTA ETIQUETAS'!O:X,8,0)),"")</f>
        <v>0.35</v>
      </c>
      <c r="H669" s="11">
        <f>IFERROR((VLOOKUP(A669,'[1]LISTA ETIQUETAS'!O:X,9,0)),"")</f>
        <v>0</v>
      </c>
      <c r="I669" s="12">
        <f>IFERROR((VLOOKUP(A669,'[1]LISTA ETIQUETAS'!O:Y,11,0)),"")</f>
        <v>8653.17</v>
      </c>
      <c r="J669" s="6">
        <v>0</v>
      </c>
      <c r="K669" s="12">
        <f t="shared" si="30"/>
        <v>8653.17</v>
      </c>
      <c r="L669" s="7" t="str">
        <f>IF(VLOOKUP(A669,'[1]LISTA ETIQUETAS'!O:AB,14,0)="","",(VLOOKUP(A669,'[1]LISTA ETIQUETAS'!O:AB,14,0)))</f>
        <v/>
      </c>
      <c r="M669" s="8"/>
      <c r="N669" s="9">
        <f t="shared" si="31"/>
        <v>274941</v>
      </c>
      <c r="O669" s="2">
        <f>_xlfn.XLOOKUP($A669,'[1]LISTA ETIQUETAS'!$O:$O,'[1]LISTA ETIQUETAS'!C:C,"",0)</f>
        <v>0</v>
      </c>
      <c r="P669" s="2">
        <f>_xlfn.XLOOKUP($A669,'[1]LISTA ETIQUETAS'!$O:$O,'[1]LISTA ETIQUETAS'!D:D,"",0)</f>
        <v>1</v>
      </c>
      <c r="Q669" s="2">
        <f>_xlfn.XLOOKUP($A669,'[1]LISTA ETIQUETAS'!$O:$O,'[1]LISTA ETIQUETAS'!E:E,"",0)</f>
        <v>0</v>
      </c>
      <c r="R669" s="2">
        <f>_xlfn.XLOOKUP($A669,'[1]LISTA ETIQUETAS'!$O:$O,'[1]LISTA ETIQUETAS'!F:F,"",0)</f>
        <v>0</v>
      </c>
      <c r="S669" s="2">
        <f>_xlfn.XLOOKUP($A669,'[1]LISTA ETIQUETAS'!$O:$O,'[1]LISTA ETIQUETAS'!H:H,"",0)</f>
        <v>1</v>
      </c>
      <c r="T669" s="9">
        <f t="shared" si="32"/>
        <v>2</v>
      </c>
    </row>
    <row r="670" spans="1:20" x14ac:dyDescent="0.25">
      <c r="A670" s="5">
        <v>302827</v>
      </c>
      <c r="B670" t="str">
        <f>IFERROR((VLOOKUP(A670,'[1]LISTA ETIQUETAS'!O:X,3,0)),"PRODUTO SEM ESTOQUE")</f>
        <v>EST MESA CENTRO WHITE (PINT PX) (TC LISO LINHO PT) (TP CER)</v>
      </c>
      <c r="C670" s="10" t="s">
        <v>21</v>
      </c>
      <c r="D670" s="10" t="s">
        <v>426</v>
      </c>
      <c r="E670" s="11">
        <f>IF(VLOOKUP(A670,'[1]LISTA ETIQUETAS'!O:W,4,0)="",(VLOOKUP(A670,'[1]LISTA ETIQUETAS'!O:W,6,0)),(VLOOKUP(A670,'[1]LISTA ETIQUETAS'!O:W,4,0)))</f>
        <v>1.4</v>
      </c>
      <c r="F670" s="11">
        <f>IF(VLOOKUP(A670,'[1]LISTA ETIQUETAS'!O:W,5,0)="",(VLOOKUP(A670,'[1]LISTA ETIQUETAS'!O:W,7,0)),(VLOOKUP(A670,'[1]LISTA ETIQUETAS'!O:W,5,0)))</f>
        <v>0.95</v>
      </c>
      <c r="G670" s="11">
        <f>IFERROR((VLOOKUP(A670,'[1]LISTA ETIQUETAS'!O:X,8,0)),"")</f>
        <v>0.34</v>
      </c>
      <c r="H670" s="11">
        <f>IFERROR((VLOOKUP(A670,'[1]LISTA ETIQUETAS'!O:X,9,0)),"")</f>
        <v>0</v>
      </c>
      <c r="I670" s="12">
        <f>IFERROR((VLOOKUP(A670,'[1]LISTA ETIQUETAS'!O:Y,11,0)),"")</f>
        <v>15362.77</v>
      </c>
      <c r="J670" s="6">
        <v>0</v>
      </c>
      <c r="K670" s="12">
        <f t="shared" si="30"/>
        <v>15362.77</v>
      </c>
      <c r="L670" s="7" t="str">
        <f>IF(VLOOKUP(A670,'[1]LISTA ETIQUETAS'!O:AB,14,0)="","",(VLOOKUP(A670,'[1]LISTA ETIQUETAS'!O:AB,14,0)))</f>
        <v/>
      </c>
      <c r="M670" s="8"/>
      <c r="N670" s="9">
        <f t="shared" si="31"/>
        <v>302827</v>
      </c>
      <c r="O670" s="2">
        <f>_xlfn.XLOOKUP($A670,'[1]LISTA ETIQUETAS'!$O:$O,'[1]LISTA ETIQUETAS'!C:C,"",0)</f>
        <v>0</v>
      </c>
      <c r="P670" s="2">
        <f>_xlfn.XLOOKUP($A670,'[1]LISTA ETIQUETAS'!$O:$O,'[1]LISTA ETIQUETAS'!D:D,"",0)</f>
        <v>0</v>
      </c>
      <c r="Q670" s="2">
        <f>_xlfn.XLOOKUP($A670,'[1]LISTA ETIQUETAS'!$O:$O,'[1]LISTA ETIQUETAS'!E:E,"",0)</f>
        <v>0</v>
      </c>
      <c r="R670" s="2">
        <f>_xlfn.XLOOKUP($A670,'[1]LISTA ETIQUETAS'!$O:$O,'[1]LISTA ETIQUETAS'!F:F,"",0)</f>
        <v>0</v>
      </c>
      <c r="S670" s="2">
        <f>_xlfn.XLOOKUP($A670,'[1]LISTA ETIQUETAS'!$O:$O,'[1]LISTA ETIQUETAS'!H:H,"",0)</f>
        <v>1</v>
      </c>
      <c r="T670" s="9">
        <f t="shared" si="32"/>
        <v>1</v>
      </c>
    </row>
    <row r="671" spans="1:20" x14ac:dyDescent="0.25">
      <c r="A671" s="5">
        <v>275020</v>
      </c>
      <c r="B671" t="str">
        <f>IFERROR((VLOOKUP(A671,'[1]LISTA ETIQUETAS'!O:X,3,0)),"PRODUTO SEM ESTOQUE")</f>
        <v>EST MESA CENTRO ORGAN (TP MARMORE TRAVERTINO/PES FREIJO)</v>
      </c>
      <c r="C671" s="10" t="s">
        <v>21</v>
      </c>
      <c r="D671" s="10" t="s">
        <v>427</v>
      </c>
      <c r="E671" s="11">
        <f>IF(VLOOKUP(A671,'[1]LISTA ETIQUETAS'!O:W,4,0)="",(VLOOKUP(A671,'[1]LISTA ETIQUETAS'!O:W,6,0)),(VLOOKUP(A671,'[1]LISTA ETIQUETAS'!O:W,4,0)))</f>
        <v>1.1000000000000001</v>
      </c>
      <c r="F671" s="11">
        <f>IF(VLOOKUP(A671,'[1]LISTA ETIQUETAS'!O:W,5,0)="",(VLOOKUP(A671,'[1]LISTA ETIQUETAS'!O:W,7,0)),(VLOOKUP(A671,'[1]LISTA ETIQUETAS'!O:W,5,0)))</f>
        <v>1.1000000000000001</v>
      </c>
      <c r="G671" s="11">
        <f>IFERROR((VLOOKUP(A671,'[1]LISTA ETIQUETAS'!O:X,8,0)),"")</f>
        <v>0.27</v>
      </c>
      <c r="H671" s="11">
        <f>IFERROR((VLOOKUP(A671,'[1]LISTA ETIQUETAS'!O:X,9,0)),"")</f>
        <v>0</v>
      </c>
      <c r="I671" s="12">
        <f>IFERROR((VLOOKUP(A671,'[1]LISTA ETIQUETAS'!O:Y,11,0)),"")</f>
        <v>42642.879999999997</v>
      </c>
      <c r="J671" s="6">
        <v>0</v>
      </c>
      <c r="K671" s="12">
        <f t="shared" si="30"/>
        <v>42642.879999999997</v>
      </c>
      <c r="L671" s="7" t="str">
        <f>IF(VLOOKUP(A671,'[1]LISTA ETIQUETAS'!O:AB,14,0)="","",(VLOOKUP(A671,'[1]LISTA ETIQUETAS'!O:AB,14,0)))</f>
        <v/>
      </c>
      <c r="M671" s="8"/>
      <c r="N671" s="9">
        <f t="shared" si="31"/>
        <v>275020</v>
      </c>
      <c r="O671" s="2">
        <f>_xlfn.XLOOKUP($A671,'[1]LISTA ETIQUETAS'!$O:$O,'[1]LISTA ETIQUETAS'!C:C,"",0)</f>
        <v>0</v>
      </c>
      <c r="P671" s="2">
        <f>_xlfn.XLOOKUP($A671,'[1]LISTA ETIQUETAS'!$O:$O,'[1]LISTA ETIQUETAS'!D:D,"",0)</f>
        <v>0</v>
      </c>
      <c r="Q671" s="2">
        <f>_xlfn.XLOOKUP($A671,'[1]LISTA ETIQUETAS'!$O:$O,'[1]LISTA ETIQUETAS'!E:E,"",0)</f>
        <v>0</v>
      </c>
      <c r="R671" s="2">
        <f>_xlfn.XLOOKUP($A671,'[1]LISTA ETIQUETAS'!$O:$O,'[1]LISTA ETIQUETAS'!F:F,"",0)</f>
        <v>0</v>
      </c>
      <c r="S671" s="2">
        <f>_xlfn.XLOOKUP($A671,'[1]LISTA ETIQUETAS'!$O:$O,'[1]LISTA ETIQUETAS'!H:H,"",0)</f>
        <v>1</v>
      </c>
      <c r="T671" s="9">
        <f t="shared" si="32"/>
        <v>1</v>
      </c>
    </row>
    <row r="672" spans="1:20" x14ac:dyDescent="0.25">
      <c r="A672" s="5">
        <v>275019</v>
      </c>
      <c r="B672" t="str">
        <f>IFERROR((VLOOKUP(A672,'[1]LISTA ETIQUETAS'!O:X,3,0)),"PRODUTO SEM ESTOQUE")</f>
        <v>EST MESA CENTRO ORGAN (TP FREIJO MACICO/PES LAMINADO FREIJO)</v>
      </c>
      <c r="C672" s="10" t="s">
        <v>21</v>
      </c>
      <c r="D672" s="10" t="s">
        <v>427</v>
      </c>
      <c r="E672" s="11">
        <f>IF(VLOOKUP(A672,'[1]LISTA ETIQUETAS'!O:W,4,0)="",(VLOOKUP(A672,'[1]LISTA ETIQUETAS'!O:W,6,0)),(VLOOKUP(A672,'[1]LISTA ETIQUETAS'!O:W,4,0)))</f>
        <v>1.2</v>
      </c>
      <c r="F672" s="11">
        <f>IF(VLOOKUP(A672,'[1]LISTA ETIQUETAS'!O:W,5,0)="",(VLOOKUP(A672,'[1]LISTA ETIQUETAS'!O:W,7,0)),(VLOOKUP(A672,'[1]LISTA ETIQUETAS'!O:W,5,0)))</f>
        <v>1.2</v>
      </c>
      <c r="G672" s="11">
        <f>IFERROR((VLOOKUP(A672,'[1]LISTA ETIQUETAS'!O:X,8,0)),"")</f>
        <v>0.27</v>
      </c>
      <c r="H672" s="11">
        <f>IFERROR((VLOOKUP(A672,'[1]LISTA ETIQUETAS'!O:X,9,0)),"")</f>
        <v>0</v>
      </c>
      <c r="I672" s="12">
        <f>IFERROR((VLOOKUP(A672,'[1]LISTA ETIQUETAS'!O:Y,11,0)),"")</f>
        <v>27701.18</v>
      </c>
      <c r="J672" s="6">
        <v>0</v>
      </c>
      <c r="K672" s="12">
        <f t="shared" si="30"/>
        <v>27701.18</v>
      </c>
      <c r="L672" s="7" t="str">
        <f>IF(VLOOKUP(A672,'[1]LISTA ETIQUETAS'!O:AB,14,0)="","",(VLOOKUP(A672,'[1]LISTA ETIQUETAS'!O:AB,14,0)))</f>
        <v/>
      </c>
      <c r="M672" s="8"/>
      <c r="N672" s="9">
        <f t="shared" si="31"/>
        <v>275019</v>
      </c>
      <c r="O672" s="2">
        <f>_xlfn.XLOOKUP($A672,'[1]LISTA ETIQUETAS'!$O:$O,'[1]LISTA ETIQUETAS'!C:C,"",0)</f>
        <v>0</v>
      </c>
      <c r="P672" s="2">
        <f>_xlfn.XLOOKUP($A672,'[1]LISTA ETIQUETAS'!$O:$O,'[1]LISTA ETIQUETAS'!D:D,"",0)</f>
        <v>0</v>
      </c>
      <c r="Q672" s="2">
        <f>_xlfn.XLOOKUP($A672,'[1]LISTA ETIQUETAS'!$O:$O,'[1]LISTA ETIQUETAS'!E:E,"",0)</f>
        <v>0</v>
      </c>
      <c r="R672" s="2">
        <f>_xlfn.XLOOKUP($A672,'[1]LISTA ETIQUETAS'!$O:$O,'[1]LISTA ETIQUETAS'!F:F,"",0)</f>
        <v>0</v>
      </c>
      <c r="S672" s="2">
        <f>_xlfn.XLOOKUP($A672,'[1]LISTA ETIQUETAS'!$O:$O,'[1]LISTA ETIQUETAS'!H:H,"",0)</f>
        <v>2</v>
      </c>
      <c r="T672" s="9">
        <f t="shared" si="32"/>
        <v>2</v>
      </c>
    </row>
    <row r="673" spans="1:20" x14ac:dyDescent="0.25">
      <c r="A673" s="5">
        <v>325537</v>
      </c>
      <c r="B673" t="str">
        <f>IFERROR((VLOOKUP(A673,'[1]LISTA ETIQUETAS'!O:X,3,0)),"PRODUTO SEM ESTOQUE")</f>
        <v>EST MESA CENTRO ORGAN (TP FREIJO MACICO/PES LAMINADO FREIJO)</v>
      </c>
      <c r="C673" s="10" t="s">
        <v>21</v>
      </c>
      <c r="D673" s="10" t="s">
        <v>427</v>
      </c>
      <c r="E673" s="11">
        <f>IF(VLOOKUP(A673,'[1]LISTA ETIQUETAS'!O:W,4,0)="",(VLOOKUP(A673,'[1]LISTA ETIQUETAS'!O:W,6,0)),(VLOOKUP(A673,'[1]LISTA ETIQUETAS'!O:W,4,0)))</f>
        <v>1.1000000000000001</v>
      </c>
      <c r="F673" s="11">
        <f>IF(VLOOKUP(A673,'[1]LISTA ETIQUETAS'!O:W,5,0)="",(VLOOKUP(A673,'[1]LISTA ETIQUETAS'!O:W,7,0)),(VLOOKUP(A673,'[1]LISTA ETIQUETAS'!O:W,5,0)))</f>
        <v>1.1000000000000001</v>
      </c>
      <c r="G673" s="11">
        <f>IFERROR((VLOOKUP(A673,'[1]LISTA ETIQUETAS'!O:X,8,0)),"")</f>
        <v>0.27</v>
      </c>
      <c r="H673" s="11">
        <f>IFERROR((VLOOKUP(A673,'[1]LISTA ETIQUETAS'!O:X,9,0)),"")</f>
        <v>0</v>
      </c>
      <c r="I673" s="12">
        <f>IFERROR((VLOOKUP(A673,'[1]LISTA ETIQUETAS'!O:Y,11,0)),"")</f>
        <v>26589.25</v>
      </c>
      <c r="J673" s="6">
        <v>0</v>
      </c>
      <c r="K673" s="12">
        <f t="shared" si="30"/>
        <v>26589.25</v>
      </c>
      <c r="L673" s="7" t="str">
        <f>IF(VLOOKUP(A673,'[1]LISTA ETIQUETAS'!O:AB,14,0)="","",(VLOOKUP(A673,'[1]LISTA ETIQUETAS'!O:AB,14,0)))</f>
        <v/>
      </c>
      <c r="M673" s="8"/>
      <c r="N673" s="9">
        <f t="shared" si="31"/>
        <v>325537</v>
      </c>
      <c r="O673" s="2">
        <f>_xlfn.XLOOKUP($A673,'[1]LISTA ETIQUETAS'!$O:$O,'[1]LISTA ETIQUETAS'!C:C,"",0)</f>
        <v>0</v>
      </c>
      <c r="P673" s="2">
        <f>_xlfn.XLOOKUP($A673,'[1]LISTA ETIQUETAS'!$O:$O,'[1]LISTA ETIQUETAS'!D:D,"",0)</f>
        <v>0</v>
      </c>
      <c r="Q673" s="2">
        <f>_xlfn.XLOOKUP($A673,'[1]LISTA ETIQUETAS'!$O:$O,'[1]LISTA ETIQUETAS'!E:E,"",0)</f>
        <v>0</v>
      </c>
      <c r="R673" s="2">
        <f>_xlfn.XLOOKUP($A673,'[1]LISTA ETIQUETAS'!$O:$O,'[1]LISTA ETIQUETAS'!F:F,"",0)</f>
        <v>0</v>
      </c>
      <c r="S673" s="2">
        <f>_xlfn.XLOOKUP($A673,'[1]LISTA ETIQUETAS'!$O:$O,'[1]LISTA ETIQUETAS'!H:H,"",0)</f>
        <v>1</v>
      </c>
      <c r="T673" s="9">
        <f t="shared" si="32"/>
        <v>1</v>
      </c>
    </row>
    <row r="674" spans="1:20" x14ac:dyDescent="0.25">
      <c r="A674" s="5">
        <v>372434</v>
      </c>
      <c r="B674" t="str">
        <f>IFERROR((VLOOKUP(A674,'[1]LISTA ETIQUETAS'!O:X,3,0)),"PRODUTO SEM ESTOQUE")</f>
        <v>EST MESA CENTRO JABUTI (EXT LACA BARCA INT FORMICA BRA</v>
      </c>
      <c r="C674" s="10" t="s">
        <v>21</v>
      </c>
      <c r="D674" s="10" t="s">
        <v>428</v>
      </c>
      <c r="E674" s="11">
        <f>IF(VLOOKUP(A674,'[1]LISTA ETIQUETAS'!O:W,4,0)="",(VLOOKUP(A674,'[1]LISTA ETIQUETAS'!O:W,6,0)),(VLOOKUP(A674,'[1]LISTA ETIQUETAS'!O:W,4,0)))</f>
        <v>1.1000000000000001</v>
      </c>
      <c r="F674" s="11">
        <f>IF(VLOOKUP(A674,'[1]LISTA ETIQUETAS'!O:W,5,0)="",(VLOOKUP(A674,'[1]LISTA ETIQUETAS'!O:W,7,0)),(VLOOKUP(A674,'[1]LISTA ETIQUETAS'!O:W,5,0)))</f>
        <v>1.1000000000000001</v>
      </c>
      <c r="G674" s="11">
        <f>IFERROR((VLOOKUP(A674,'[1]LISTA ETIQUETAS'!O:X,8,0)),"")</f>
        <v>0.25</v>
      </c>
      <c r="H674" s="11">
        <f>IFERROR((VLOOKUP(A674,'[1]LISTA ETIQUETAS'!O:X,9,0)),"")</f>
        <v>0</v>
      </c>
      <c r="I674" s="12">
        <f>IFERROR((VLOOKUP(A674,'[1]LISTA ETIQUETAS'!O:Y,11,0)),"")</f>
        <v>17248</v>
      </c>
      <c r="J674" s="6">
        <v>0</v>
      </c>
      <c r="K674" s="12">
        <f t="shared" si="30"/>
        <v>17248</v>
      </c>
      <c r="L674" s="7" t="str">
        <f>IF(VLOOKUP(A674,'[1]LISTA ETIQUETAS'!O:AB,14,0)="","",(VLOOKUP(A674,'[1]LISTA ETIQUETAS'!O:AB,14,0)))</f>
        <v/>
      </c>
      <c r="M674" s="8"/>
      <c r="N674" s="9">
        <f t="shared" si="31"/>
        <v>372434</v>
      </c>
      <c r="O674" s="2">
        <f>_xlfn.XLOOKUP($A674,'[1]LISTA ETIQUETAS'!$O:$O,'[1]LISTA ETIQUETAS'!C:C,"",0)</f>
        <v>0</v>
      </c>
      <c r="P674" s="2">
        <f>_xlfn.XLOOKUP($A674,'[1]LISTA ETIQUETAS'!$O:$O,'[1]LISTA ETIQUETAS'!D:D,"",0)</f>
        <v>0</v>
      </c>
      <c r="Q674" s="2">
        <f>_xlfn.XLOOKUP($A674,'[1]LISTA ETIQUETAS'!$O:$O,'[1]LISTA ETIQUETAS'!E:E,"",0)</f>
        <v>0</v>
      </c>
      <c r="R674" s="2">
        <f>_xlfn.XLOOKUP($A674,'[1]LISTA ETIQUETAS'!$O:$O,'[1]LISTA ETIQUETAS'!F:F,"",0)</f>
        <v>0</v>
      </c>
      <c r="S674" s="2">
        <f>_xlfn.XLOOKUP($A674,'[1]LISTA ETIQUETAS'!$O:$O,'[1]LISTA ETIQUETAS'!H:H,"",0)</f>
        <v>2</v>
      </c>
      <c r="T674" s="9">
        <f t="shared" si="32"/>
        <v>2</v>
      </c>
    </row>
    <row r="675" spans="1:20" x14ac:dyDescent="0.25">
      <c r="A675" s="5">
        <v>369543</v>
      </c>
      <c r="B675" t="str">
        <f>IFERROR((VLOOKUP(A675,'[1]LISTA ETIQUETAS'!O:X,3,0)),"PRODUTO SEM ESTOQUE")</f>
        <v>EST MESA CENTRO RUSTICA TORA RUSTICA</v>
      </c>
      <c r="C675" s="10" t="s">
        <v>21</v>
      </c>
      <c r="D675" s="10" t="s">
        <v>429</v>
      </c>
      <c r="E675" s="11">
        <f>IF(VLOOKUP(A675,'[1]LISTA ETIQUETAS'!O:W,4,0)="",(VLOOKUP(A675,'[1]LISTA ETIQUETAS'!O:W,6,0)),(VLOOKUP(A675,'[1]LISTA ETIQUETAS'!O:W,4,0)))</f>
        <v>1.94</v>
      </c>
      <c r="F675" s="11">
        <f>IF(VLOOKUP(A675,'[1]LISTA ETIQUETAS'!O:W,5,0)="",(VLOOKUP(A675,'[1]LISTA ETIQUETAS'!O:W,7,0)),(VLOOKUP(A675,'[1]LISTA ETIQUETAS'!O:W,5,0)))</f>
        <v>0.45</v>
      </c>
      <c r="G675" s="11">
        <f>IFERROR((VLOOKUP(A675,'[1]LISTA ETIQUETAS'!O:X,8,0)),"")</f>
        <v>0.4</v>
      </c>
      <c r="H675" s="11">
        <f>IFERROR((VLOOKUP(A675,'[1]LISTA ETIQUETAS'!O:X,9,0)),"")</f>
        <v>0</v>
      </c>
      <c r="I675" s="12">
        <f>IFERROR((VLOOKUP(A675,'[1]LISTA ETIQUETAS'!O:Y,11,0)),"")</f>
        <v>11473.28</v>
      </c>
      <c r="J675" s="6">
        <v>0</v>
      </c>
      <c r="K675" s="12">
        <f t="shared" si="30"/>
        <v>11473.28</v>
      </c>
      <c r="L675" s="7" t="str">
        <f>IF(VLOOKUP(A675,'[1]LISTA ETIQUETAS'!O:AB,14,0)="","",(VLOOKUP(A675,'[1]LISTA ETIQUETAS'!O:AB,14,0)))</f>
        <v/>
      </c>
      <c r="M675" s="8"/>
      <c r="N675" s="9">
        <f t="shared" si="31"/>
        <v>369543</v>
      </c>
      <c r="O675" s="2">
        <f>_xlfn.XLOOKUP($A675,'[1]LISTA ETIQUETAS'!$O:$O,'[1]LISTA ETIQUETAS'!C:C,"",0)</f>
        <v>0</v>
      </c>
      <c r="P675" s="2">
        <f>_xlfn.XLOOKUP($A675,'[1]LISTA ETIQUETAS'!$O:$O,'[1]LISTA ETIQUETAS'!D:D,"",0)</f>
        <v>0</v>
      </c>
      <c r="Q675" s="2">
        <f>_xlfn.XLOOKUP($A675,'[1]LISTA ETIQUETAS'!$O:$O,'[1]LISTA ETIQUETAS'!E:E,"",0)</f>
        <v>0</v>
      </c>
      <c r="R675" s="2">
        <f>_xlfn.XLOOKUP($A675,'[1]LISTA ETIQUETAS'!$O:$O,'[1]LISTA ETIQUETAS'!F:F,"",0)</f>
        <v>0</v>
      </c>
      <c r="S675" s="2">
        <f>_xlfn.XLOOKUP($A675,'[1]LISTA ETIQUETAS'!$O:$O,'[1]LISTA ETIQUETAS'!H:H,"",0)</f>
        <v>1</v>
      </c>
      <c r="T675" s="9">
        <f t="shared" si="32"/>
        <v>1</v>
      </c>
    </row>
    <row r="676" spans="1:20" x14ac:dyDescent="0.25">
      <c r="A676" s="5">
        <v>390794</v>
      </c>
      <c r="B676" t="str">
        <f>IFERROR((VLOOKUP(A676,'[1]LISTA ETIQUETAS'!O:X,3,0)),"PRODUTO SEM ESTOQUE")</f>
        <v>EST MESA CENTRO ORGAN (TP MARMORE TRAVERTINO/PES FREIJO)</v>
      </c>
      <c r="C676" s="10" t="s">
        <v>21</v>
      </c>
      <c r="D676" s="10" t="s">
        <v>427</v>
      </c>
      <c r="E676" s="11">
        <f>IF(VLOOKUP(A676,'[1]LISTA ETIQUETAS'!O:W,4,0)="",(VLOOKUP(A676,'[1]LISTA ETIQUETAS'!O:W,6,0)),(VLOOKUP(A676,'[1]LISTA ETIQUETAS'!O:W,4,0)))</f>
        <v>1.1000000000000001</v>
      </c>
      <c r="F676" s="11">
        <f>IF(VLOOKUP(A676,'[1]LISTA ETIQUETAS'!O:W,5,0)="",(VLOOKUP(A676,'[1]LISTA ETIQUETAS'!O:W,7,0)),(VLOOKUP(A676,'[1]LISTA ETIQUETAS'!O:W,5,0)))</f>
        <v>1.1000000000000001</v>
      </c>
      <c r="G676" s="11">
        <f>IFERROR((VLOOKUP(A676,'[1]LISTA ETIQUETAS'!O:X,8,0)),"")</f>
        <v>0.27</v>
      </c>
      <c r="H676" s="11">
        <f>IFERROR((VLOOKUP(A676,'[1]LISTA ETIQUETAS'!O:X,9,0)),"")</f>
        <v>0</v>
      </c>
      <c r="I676" s="12">
        <f>IFERROR((VLOOKUP(A676,'[1]LISTA ETIQUETAS'!O:Y,11,0)),"")</f>
        <v>42642.879999999997</v>
      </c>
      <c r="J676" s="6">
        <v>0</v>
      </c>
      <c r="K676" s="12">
        <f t="shared" si="30"/>
        <v>42642.879999999997</v>
      </c>
      <c r="L676" s="7" t="str">
        <f>IF(VLOOKUP(A676,'[1]LISTA ETIQUETAS'!O:AB,14,0)="","",(VLOOKUP(A676,'[1]LISTA ETIQUETAS'!O:AB,14,0)))</f>
        <v/>
      </c>
      <c r="M676" s="8"/>
      <c r="N676" s="9">
        <f t="shared" si="31"/>
        <v>390794</v>
      </c>
      <c r="O676" s="2">
        <f>_xlfn.XLOOKUP($A676,'[1]LISTA ETIQUETAS'!$O:$O,'[1]LISTA ETIQUETAS'!C:C,"",0)</f>
        <v>0</v>
      </c>
      <c r="P676" s="2">
        <f>_xlfn.XLOOKUP($A676,'[1]LISTA ETIQUETAS'!$O:$O,'[1]LISTA ETIQUETAS'!D:D,"",0)</f>
        <v>0</v>
      </c>
      <c r="Q676" s="2">
        <f>_xlfn.XLOOKUP($A676,'[1]LISTA ETIQUETAS'!$O:$O,'[1]LISTA ETIQUETAS'!E:E,"",0)</f>
        <v>0</v>
      </c>
      <c r="R676" s="2">
        <f>_xlfn.XLOOKUP($A676,'[1]LISTA ETIQUETAS'!$O:$O,'[1]LISTA ETIQUETAS'!F:F,"",0)</f>
        <v>0</v>
      </c>
      <c r="S676" s="2">
        <f>_xlfn.XLOOKUP($A676,'[1]LISTA ETIQUETAS'!$O:$O,'[1]LISTA ETIQUETAS'!H:H,"",0)</f>
        <v>1</v>
      </c>
      <c r="T676" s="9">
        <f t="shared" si="32"/>
        <v>1</v>
      </c>
    </row>
    <row r="677" spans="1:20" x14ac:dyDescent="0.25">
      <c r="A677" s="5">
        <v>387536</v>
      </c>
      <c r="B677" t="str">
        <f>IFERROR((VLOOKUP(A677,'[1]LISTA ETIQUETAS'!O:X,3,0)),"PRODUTO SEM ESTOQUE")</f>
        <v>EST MESA CENTRO ESPECIAL (VIDRO INCOLOR 12MM)</v>
      </c>
      <c r="C677" s="10" t="s">
        <v>21</v>
      </c>
      <c r="D677" s="10" t="s">
        <v>395</v>
      </c>
      <c r="E677" s="11">
        <f>IF(VLOOKUP(A677,'[1]LISTA ETIQUETAS'!O:W,4,0)="",(VLOOKUP(A677,'[1]LISTA ETIQUETAS'!O:W,6,0)),(VLOOKUP(A677,'[1]LISTA ETIQUETAS'!O:W,4,0)))</f>
        <v>1.2</v>
      </c>
      <c r="F677" s="11">
        <f>IF(VLOOKUP(A677,'[1]LISTA ETIQUETAS'!O:W,5,0)="",(VLOOKUP(A677,'[1]LISTA ETIQUETAS'!O:W,7,0)),(VLOOKUP(A677,'[1]LISTA ETIQUETAS'!O:W,5,0)))</f>
        <v>0.8</v>
      </c>
      <c r="G677" s="11">
        <f>IFERROR((VLOOKUP(A677,'[1]LISTA ETIQUETAS'!O:X,8,0)),"")</f>
        <v>0.26</v>
      </c>
      <c r="H677" s="11">
        <f>IFERROR((VLOOKUP(A677,'[1]LISTA ETIQUETAS'!O:X,9,0)),"")</f>
        <v>0</v>
      </c>
      <c r="I677" s="12">
        <f>IFERROR((VLOOKUP(A677,'[1]LISTA ETIQUETAS'!O:Y,11,0)),"")</f>
        <v>8646.4</v>
      </c>
      <c r="J677" s="6">
        <v>0</v>
      </c>
      <c r="K677" s="12">
        <f t="shared" si="30"/>
        <v>8646.4</v>
      </c>
      <c r="L677" s="7" t="str">
        <f>IF(VLOOKUP(A677,'[1]LISTA ETIQUETAS'!O:AB,14,0)="","",(VLOOKUP(A677,'[1]LISTA ETIQUETAS'!O:AB,14,0)))</f>
        <v/>
      </c>
      <c r="M677" s="8"/>
      <c r="N677" s="9">
        <f t="shared" si="31"/>
        <v>387536</v>
      </c>
      <c r="O677" s="2">
        <f>_xlfn.XLOOKUP($A677,'[1]LISTA ETIQUETAS'!$O:$O,'[1]LISTA ETIQUETAS'!C:C,"",0)</f>
        <v>0</v>
      </c>
      <c r="P677" s="2">
        <f>_xlfn.XLOOKUP($A677,'[1]LISTA ETIQUETAS'!$O:$O,'[1]LISTA ETIQUETAS'!D:D,"",0)</f>
        <v>0</v>
      </c>
      <c r="Q677" s="2">
        <f>_xlfn.XLOOKUP($A677,'[1]LISTA ETIQUETAS'!$O:$O,'[1]LISTA ETIQUETAS'!E:E,"",0)</f>
        <v>0</v>
      </c>
      <c r="R677" s="2">
        <f>_xlfn.XLOOKUP($A677,'[1]LISTA ETIQUETAS'!$O:$O,'[1]LISTA ETIQUETAS'!F:F,"",0)</f>
        <v>0</v>
      </c>
      <c r="S677" s="2">
        <f>_xlfn.XLOOKUP($A677,'[1]LISTA ETIQUETAS'!$O:$O,'[1]LISTA ETIQUETAS'!H:H,"",0)</f>
        <v>1</v>
      </c>
      <c r="T677" s="9">
        <f t="shared" si="32"/>
        <v>1</v>
      </c>
    </row>
    <row r="678" spans="1:20" x14ac:dyDescent="0.25">
      <c r="A678" s="5">
        <v>334438</v>
      </c>
      <c r="B678" t="str">
        <f>IFERROR((VLOOKUP(A678,'[1]LISTA ETIQUETAS'!O:X,3,0)),"PRODUTO SEM ESTOQUE")</f>
        <v>EST MESA CENTRO WHITE (PINT PM) (PREMIUM MARROM) (TP CER)</v>
      </c>
      <c r="C678" s="10" t="s">
        <v>21</v>
      </c>
      <c r="D678" s="10" t="s">
        <v>426</v>
      </c>
      <c r="E678" s="11">
        <f>IF(VLOOKUP(A678,'[1]LISTA ETIQUETAS'!O:W,4,0)="",(VLOOKUP(A678,'[1]LISTA ETIQUETAS'!O:W,6,0)),(VLOOKUP(A678,'[1]LISTA ETIQUETAS'!O:W,4,0)))</f>
        <v>1.4</v>
      </c>
      <c r="F678" s="11">
        <f>IF(VLOOKUP(A678,'[1]LISTA ETIQUETAS'!O:W,5,0)="",(VLOOKUP(A678,'[1]LISTA ETIQUETAS'!O:W,7,0)),(VLOOKUP(A678,'[1]LISTA ETIQUETAS'!O:W,5,0)))</f>
        <v>0.95</v>
      </c>
      <c r="G678" s="11">
        <f>IFERROR((VLOOKUP(A678,'[1]LISTA ETIQUETAS'!O:X,8,0)),"")</f>
        <v>0.34</v>
      </c>
      <c r="H678" s="11">
        <f>IFERROR((VLOOKUP(A678,'[1]LISTA ETIQUETAS'!O:X,9,0)),"")</f>
        <v>0</v>
      </c>
      <c r="I678" s="12">
        <f>IFERROR((VLOOKUP(A678,'[1]LISTA ETIQUETAS'!O:Y,11,0)),"")</f>
        <v>18344.88</v>
      </c>
      <c r="J678" s="6">
        <v>0</v>
      </c>
      <c r="K678" s="12">
        <f t="shared" si="30"/>
        <v>18344.88</v>
      </c>
      <c r="L678" s="7" t="str">
        <f>IF(VLOOKUP(A678,'[1]LISTA ETIQUETAS'!O:AB,14,0)="","",(VLOOKUP(A678,'[1]LISTA ETIQUETAS'!O:AB,14,0)))</f>
        <v/>
      </c>
      <c r="M678" s="8"/>
      <c r="N678" s="9">
        <f t="shared" si="31"/>
        <v>334438</v>
      </c>
      <c r="O678" s="2">
        <f>_xlfn.XLOOKUP($A678,'[1]LISTA ETIQUETAS'!$O:$O,'[1]LISTA ETIQUETAS'!C:C,"",0)</f>
        <v>0</v>
      </c>
      <c r="P678" s="2">
        <f>_xlfn.XLOOKUP($A678,'[1]LISTA ETIQUETAS'!$O:$O,'[1]LISTA ETIQUETAS'!D:D,"",0)</f>
        <v>0</v>
      </c>
      <c r="Q678" s="2">
        <f>_xlfn.XLOOKUP($A678,'[1]LISTA ETIQUETAS'!$O:$O,'[1]LISTA ETIQUETAS'!E:E,"",0)</f>
        <v>0</v>
      </c>
      <c r="R678" s="2">
        <f>_xlfn.XLOOKUP($A678,'[1]LISTA ETIQUETAS'!$O:$O,'[1]LISTA ETIQUETAS'!F:F,"",0)</f>
        <v>0</v>
      </c>
      <c r="S678" s="2">
        <f>_xlfn.XLOOKUP($A678,'[1]LISTA ETIQUETAS'!$O:$O,'[1]LISTA ETIQUETAS'!H:H,"",0)</f>
        <v>1</v>
      </c>
      <c r="T678" s="9">
        <f t="shared" si="32"/>
        <v>1</v>
      </c>
    </row>
    <row r="679" spans="1:20" x14ac:dyDescent="0.25">
      <c r="A679" s="5">
        <v>334262</v>
      </c>
      <c r="B679" t="str">
        <f>IFERROR((VLOOKUP(A679,'[1]LISTA ETIQUETAS'!O:X,3,0)),"PRODUTO SEM ESTOQUE")</f>
        <v>EST MESA CENTRO ORGAN (TP/BS LAMINADO NOGUEIRA)</v>
      </c>
      <c r="C679" s="10" t="s">
        <v>21</v>
      </c>
      <c r="D679" s="10" t="s">
        <v>427</v>
      </c>
      <c r="E679" s="11">
        <f>IF(VLOOKUP(A679,'[1]LISTA ETIQUETAS'!O:W,4,0)="",(VLOOKUP(A679,'[1]LISTA ETIQUETAS'!O:W,6,0)),(VLOOKUP(A679,'[1]LISTA ETIQUETAS'!O:W,4,0)))</f>
        <v>1.1000000000000001</v>
      </c>
      <c r="F679" s="11">
        <f>IF(VLOOKUP(A679,'[1]LISTA ETIQUETAS'!O:W,5,0)="",(VLOOKUP(A679,'[1]LISTA ETIQUETAS'!O:W,7,0)),(VLOOKUP(A679,'[1]LISTA ETIQUETAS'!O:W,5,0)))</f>
        <v>1.1000000000000001</v>
      </c>
      <c r="G679" s="11">
        <f>IFERROR((VLOOKUP(A679,'[1]LISTA ETIQUETAS'!O:X,8,0)),"")</f>
        <v>0.27</v>
      </c>
      <c r="H679" s="11">
        <f>IFERROR((VLOOKUP(A679,'[1]LISTA ETIQUETAS'!O:X,9,0)),"")</f>
        <v>0</v>
      </c>
      <c r="I679" s="12">
        <f>IFERROR((VLOOKUP(A679,'[1]LISTA ETIQUETAS'!O:Y,11,0)),"")</f>
        <v>20501.38</v>
      </c>
      <c r="J679" s="6">
        <v>0</v>
      </c>
      <c r="K679" s="12">
        <f t="shared" si="30"/>
        <v>20501.38</v>
      </c>
      <c r="L679" s="7" t="str">
        <f>IF(VLOOKUP(A679,'[1]LISTA ETIQUETAS'!O:AB,14,0)="","",(VLOOKUP(A679,'[1]LISTA ETIQUETAS'!O:AB,14,0)))</f>
        <v/>
      </c>
      <c r="M679" s="8"/>
      <c r="N679" s="9">
        <f t="shared" si="31"/>
        <v>334262</v>
      </c>
      <c r="O679" s="2">
        <f>_xlfn.XLOOKUP($A679,'[1]LISTA ETIQUETAS'!$O:$O,'[1]LISTA ETIQUETAS'!C:C,"",0)</f>
        <v>0</v>
      </c>
      <c r="P679" s="2">
        <f>_xlfn.XLOOKUP($A679,'[1]LISTA ETIQUETAS'!$O:$O,'[1]LISTA ETIQUETAS'!D:D,"",0)</f>
        <v>0</v>
      </c>
      <c r="Q679" s="2">
        <f>_xlfn.XLOOKUP($A679,'[1]LISTA ETIQUETAS'!$O:$O,'[1]LISTA ETIQUETAS'!E:E,"",0)</f>
        <v>0</v>
      </c>
      <c r="R679" s="2">
        <f>_xlfn.XLOOKUP($A679,'[1]LISTA ETIQUETAS'!$O:$O,'[1]LISTA ETIQUETAS'!F:F,"",0)</f>
        <v>0</v>
      </c>
      <c r="S679" s="2">
        <f>_xlfn.XLOOKUP($A679,'[1]LISTA ETIQUETAS'!$O:$O,'[1]LISTA ETIQUETAS'!H:H,"",0)</f>
        <v>1</v>
      </c>
      <c r="T679" s="9">
        <f t="shared" si="32"/>
        <v>1</v>
      </c>
    </row>
    <row r="680" spans="1:20" x14ac:dyDescent="0.25">
      <c r="A680" s="5">
        <v>334261</v>
      </c>
      <c r="B680" t="str">
        <f>IFERROR((VLOOKUP(A680,'[1]LISTA ETIQUETAS'!O:X,3,0)),"PRODUTO SEM ESTOQUE")</f>
        <v>EST MESA CENTRO ORGAN (TP CALACATA/NOGUEIRA)</v>
      </c>
      <c r="C680" s="10" t="s">
        <v>21</v>
      </c>
      <c r="D680" s="10" t="s">
        <v>427</v>
      </c>
      <c r="E680" s="11">
        <f>IF(VLOOKUP(A680,'[1]LISTA ETIQUETAS'!O:W,4,0)="",(VLOOKUP(A680,'[1]LISTA ETIQUETAS'!O:W,6,0)),(VLOOKUP(A680,'[1]LISTA ETIQUETAS'!O:W,4,0)))</f>
        <v>1.1000000000000001</v>
      </c>
      <c r="F680" s="11">
        <f>IF(VLOOKUP(A680,'[1]LISTA ETIQUETAS'!O:W,5,0)="",(VLOOKUP(A680,'[1]LISTA ETIQUETAS'!O:W,7,0)),(VLOOKUP(A680,'[1]LISTA ETIQUETAS'!O:W,5,0)))</f>
        <v>1.1000000000000001</v>
      </c>
      <c r="G680" s="11">
        <f>IFERROR((VLOOKUP(A680,'[1]LISTA ETIQUETAS'!O:X,8,0)),"")</f>
        <v>0.27</v>
      </c>
      <c r="H680" s="11">
        <f>IFERROR((VLOOKUP(A680,'[1]LISTA ETIQUETAS'!O:X,9,0)),"")</f>
        <v>0</v>
      </c>
      <c r="I680" s="12">
        <f>IFERROR((VLOOKUP(A680,'[1]LISTA ETIQUETAS'!O:Y,11,0)),"")</f>
        <v>42642.879999999997</v>
      </c>
      <c r="J680" s="6">
        <v>0</v>
      </c>
      <c r="K680" s="12">
        <f t="shared" si="30"/>
        <v>42642.879999999997</v>
      </c>
      <c r="L680" s="7" t="str">
        <f>IF(VLOOKUP(A680,'[1]LISTA ETIQUETAS'!O:AB,14,0)="","",(VLOOKUP(A680,'[1]LISTA ETIQUETAS'!O:AB,14,0)))</f>
        <v/>
      </c>
      <c r="M680" s="8"/>
      <c r="N680" s="9">
        <f t="shared" si="31"/>
        <v>334261</v>
      </c>
      <c r="O680" s="2">
        <f>_xlfn.XLOOKUP($A680,'[1]LISTA ETIQUETAS'!$O:$O,'[1]LISTA ETIQUETAS'!C:C,"",0)</f>
        <v>0</v>
      </c>
      <c r="P680" s="2">
        <f>_xlfn.XLOOKUP($A680,'[1]LISTA ETIQUETAS'!$O:$O,'[1]LISTA ETIQUETAS'!D:D,"",0)</f>
        <v>0</v>
      </c>
      <c r="Q680" s="2">
        <f>_xlfn.XLOOKUP($A680,'[1]LISTA ETIQUETAS'!$O:$O,'[1]LISTA ETIQUETAS'!E:E,"",0)</f>
        <v>0</v>
      </c>
      <c r="R680" s="2">
        <f>_xlfn.XLOOKUP($A680,'[1]LISTA ETIQUETAS'!$O:$O,'[1]LISTA ETIQUETAS'!F:F,"",0)</f>
        <v>0</v>
      </c>
      <c r="S680" s="2">
        <f>_xlfn.XLOOKUP($A680,'[1]LISTA ETIQUETAS'!$O:$O,'[1]LISTA ETIQUETAS'!H:H,"",0)</f>
        <v>1</v>
      </c>
      <c r="T680" s="9">
        <f t="shared" si="32"/>
        <v>1</v>
      </c>
    </row>
    <row r="681" spans="1:20" x14ac:dyDescent="0.25">
      <c r="A681" s="5">
        <v>299532</v>
      </c>
      <c r="B681" t="str">
        <f>IFERROR((VLOOKUP(A681,'[1]LISTA ETIQUETAS'!O:X,3,0)),"PRODUTO SEM ESTOQUE")</f>
        <v>EST MESA JANTAR ABACATE (PINT FSC PRETO) (MARM 1 MAORI)</v>
      </c>
      <c r="C681" s="10" t="s">
        <v>52</v>
      </c>
      <c r="D681" s="10" t="s">
        <v>430</v>
      </c>
      <c r="E681" s="11">
        <f>IF(VLOOKUP(A681,'[1]LISTA ETIQUETAS'!O:W,4,0)="",(VLOOKUP(A681,'[1]LISTA ETIQUETAS'!O:W,6,0)),(VLOOKUP(A681,'[1]LISTA ETIQUETAS'!O:W,4,0)))</f>
        <v>2.7</v>
      </c>
      <c r="F681" s="11">
        <f>IF(VLOOKUP(A681,'[1]LISTA ETIQUETAS'!O:W,5,0)="",(VLOOKUP(A681,'[1]LISTA ETIQUETAS'!O:W,7,0)),(VLOOKUP(A681,'[1]LISTA ETIQUETAS'!O:W,5,0)))</f>
        <v>1.6</v>
      </c>
      <c r="G681" s="11">
        <f>IFERROR((VLOOKUP(A681,'[1]LISTA ETIQUETAS'!O:X,8,0)),"")</f>
        <v>0.75</v>
      </c>
      <c r="H681" s="11">
        <f>IFERROR((VLOOKUP(A681,'[1]LISTA ETIQUETAS'!O:X,9,0)),"")</f>
        <v>0</v>
      </c>
      <c r="I681" s="12">
        <f>IFERROR((VLOOKUP(A681,'[1]LISTA ETIQUETAS'!O:Y,11,0)),"")</f>
        <v>119379.77</v>
      </c>
      <c r="J681" s="6">
        <v>0</v>
      </c>
      <c r="K681" s="12">
        <f t="shared" si="30"/>
        <v>119379.77</v>
      </c>
      <c r="L681" s="7" t="str">
        <f>IF(VLOOKUP(A681,'[1]LISTA ETIQUETAS'!O:AB,14,0)="","",(VLOOKUP(A681,'[1]LISTA ETIQUETAS'!O:AB,14,0)))</f>
        <v/>
      </c>
      <c r="M681" s="8"/>
      <c r="N681" s="9">
        <f t="shared" si="31"/>
        <v>299532</v>
      </c>
      <c r="O681" s="2">
        <f>_xlfn.XLOOKUP($A681,'[1]LISTA ETIQUETAS'!$O:$O,'[1]LISTA ETIQUETAS'!C:C,"",0)</f>
        <v>0</v>
      </c>
      <c r="P681" s="2">
        <f>_xlfn.XLOOKUP($A681,'[1]LISTA ETIQUETAS'!$O:$O,'[1]LISTA ETIQUETAS'!D:D,"",0)</f>
        <v>0</v>
      </c>
      <c r="Q681" s="2">
        <f>_xlfn.XLOOKUP($A681,'[1]LISTA ETIQUETAS'!$O:$O,'[1]LISTA ETIQUETAS'!E:E,"",0)</f>
        <v>0</v>
      </c>
      <c r="R681" s="2">
        <f>_xlfn.XLOOKUP($A681,'[1]LISTA ETIQUETAS'!$O:$O,'[1]LISTA ETIQUETAS'!F:F,"",0)</f>
        <v>0</v>
      </c>
      <c r="S681" s="2">
        <f>_xlfn.XLOOKUP($A681,'[1]LISTA ETIQUETAS'!$O:$O,'[1]LISTA ETIQUETAS'!H:H,"",0)</f>
        <v>1</v>
      </c>
      <c r="T681" s="9">
        <f t="shared" si="32"/>
        <v>1</v>
      </c>
    </row>
    <row r="682" spans="1:20" x14ac:dyDescent="0.25">
      <c r="A682" s="5">
        <v>261383</v>
      </c>
      <c r="B682" t="str">
        <f>IFERROR((VLOOKUP(A682,'[1]LISTA ETIQUETAS'!O:X,3,0)),"PRODUTO SEM ESTOQUE")</f>
        <v>EST MESA JANTAR PREMIUM (LAMINA A3 P FERRO COMP) BS PRET FSC</v>
      </c>
      <c r="C682" s="10" t="s">
        <v>52</v>
      </c>
      <c r="D682" s="10" t="s">
        <v>119</v>
      </c>
      <c r="E682" s="11">
        <f>IF(VLOOKUP(A682,'[1]LISTA ETIQUETAS'!O:W,4,0)="",(VLOOKUP(A682,'[1]LISTA ETIQUETAS'!O:W,6,0)),(VLOOKUP(A682,'[1]LISTA ETIQUETAS'!O:W,4,0)))</f>
        <v>3</v>
      </c>
      <c r="F682" s="11">
        <f>IF(VLOOKUP(A682,'[1]LISTA ETIQUETAS'!O:W,5,0)="",(VLOOKUP(A682,'[1]LISTA ETIQUETAS'!O:W,7,0)),(VLOOKUP(A682,'[1]LISTA ETIQUETAS'!O:W,5,0)))</f>
        <v>1.2</v>
      </c>
      <c r="G682" s="11">
        <f>IFERROR((VLOOKUP(A682,'[1]LISTA ETIQUETAS'!O:X,8,0)),"")</f>
        <v>0.76</v>
      </c>
      <c r="H682" s="11">
        <f>IFERROR((VLOOKUP(A682,'[1]LISTA ETIQUETAS'!O:X,9,0)),"")</f>
        <v>0</v>
      </c>
      <c r="I682" s="12">
        <f>IFERROR((VLOOKUP(A682,'[1]LISTA ETIQUETAS'!O:Y,11,0)),"")</f>
        <v>59702.18</v>
      </c>
      <c r="J682" s="6">
        <v>0</v>
      </c>
      <c r="K682" s="12">
        <f t="shared" si="30"/>
        <v>59702.18</v>
      </c>
      <c r="L682" s="7" t="str">
        <f>IF(VLOOKUP(A682,'[1]LISTA ETIQUETAS'!O:AB,14,0)="","",(VLOOKUP(A682,'[1]LISTA ETIQUETAS'!O:AB,14,0)))</f>
        <v/>
      </c>
      <c r="M682" s="8"/>
      <c r="N682" s="9">
        <f t="shared" si="31"/>
        <v>261383</v>
      </c>
      <c r="O682" s="2">
        <f>_xlfn.XLOOKUP($A682,'[1]LISTA ETIQUETAS'!$O:$O,'[1]LISTA ETIQUETAS'!C:C,"",0)</f>
        <v>0</v>
      </c>
      <c r="P682" s="2">
        <f>_xlfn.XLOOKUP($A682,'[1]LISTA ETIQUETAS'!$O:$O,'[1]LISTA ETIQUETAS'!D:D,"",0)</f>
        <v>0</v>
      </c>
      <c r="Q682" s="2">
        <f>_xlfn.XLOOKUP($A682,'[1]LISTA ETIQUETAS'!$O:$O,'[1]LISTA ETIQUETAS'!E:E,"",0)</f>
        <v>0</v>
      </c>
      <c r="R682" s="2">
        <f>_xlfn.XLOOKUP($A682,'[1]LISTA ETIQUETAS'!$O:$O,'[1]LISTA ETIQUETAS'!F:F,"",0)</f>
        <v>0</v>
      </c>
      <c r="S682" s="2">
        <f>_xlfn.XLOOKUP($A682,'[1]LISTA ETIQUETAS'!$O:$O,'[1]LISTA ETIQUETAS'!H:H,"",0)</f>
        <v>1</v>
      </c>
      <c r="T682" s="9">
        <f t="shared" si="32"/>
        <v>1</v>
      </c>
    </row>
    <row r="683" spans="1:20" x14ac:dyDescent="0.25">
      <c r="A683" s="5">
        <v>387720</v>
      </c>
      <c r="B683" t="str">
        <f>IFERROR((VLOOKUP(A683,'[1]LISTA ETIQUETAS'!O:X,3,0)),"PRODUTO SEM ESTOQUE")</f>
        <v>EST MESA JANTAR ORIENTE TEKA (TP LAM NOG) BS NOG/MTZ PRETO</v>
      </c>
      <c r="C683" s="10" t="s">
        <v>52</v>
      </c>
      <c r="D683" s="10" t="s">
        <v>431</v>
      </c>
      <c r="E683" s="11">
        <f>IF(VLOOKUP(A683,'[1]LISTA ETIQUETAS'!O:W,4,0)="",(VLOOKUP(A683,'[1]LISTA ETIQUETAS'!O:W,6,0)),(VLOOKUP(A683,'[1]LISTA ETIQUETAS'!O:W,4,0)))</f>
        <v>2.78</v>
      </c>
      <c r="F683" s="11">
        <f>IF(VLOOKUP(A683,'[1]LISTA ETIQUETAS'!O:W,5,0)="",(VLOOKUP(A683,'[1]LISTA ETIQUETAS'!O:W,7,0)),(VLOOKUP(A683,'[1]LISTA ETIQUETAS'!O:W,5,0)))</f>
        <v>1.2</v>
      </c>
      <c r="G683" s="11">
        <f>IFERROR((VLOOKUP(A683,'[1]LISTA ETIQUETAS'!O:X,8,0)),"")</f>
        <v>0.76</v>
      </c>
      <c r="H683" s="11">
        <f>IFERROR((VLOOKUP(A683,'[1]LISTA ETIQUETAS'!O:X,9,0)),"")</f>
        <v>0</v>
      </c>
      <c r="I683" s="12">
        <f>IFERROR((VLOOKUP(A683,'[1]LISTA ETIQUETAS'!O:Y,11,0)),"")</f>
        <v>26717.200000000001</v>
      </c>
      <c r="J683" s="6">
        <v>0</v>
      </c>
      <c r="K683" s="12">
        <f t="shared" si="30"/>
        <v>26717.200000000001</v>
      </c>
      <c r="L683" s="7" t="str">
        <f>IF(VLOOKUP(A683,'[1]LISTA ETIQUETAS'!O:AB,14,0)="","",(VLOOKUP(A683,'[1]LISTA ETIQUETAS'!O:AB,14,0)))</f>
        <v/>
      </c>
      <c r="M683" s="8"/>
      <c r="N683" s="9">
        <f t="shared" si="31"/>
        <v>387720</v>
      </c>
      <c r="O683" s="2">
        <f>_xlfn.XLOOKUP($A683,'[1]LISTA ETIQUETAS'!$O:$O,'[1]LISTA ETIQUETAS'!C:C,"",0)</f>
        <v>0</v>
      </c>
      <c r="P683" s="2">
        <f>_xlfn.XLOOKUP($A683,'[1]LISTA ETIQUETAS'!$O:$O,'[1]LISTA ETIQUETAS'!D:D,"",0)</f>
        <v>0</v>
      </c>
      <c r="Q683" s="2">
        <f>_xlfn.XLOOKUP($A683,'[1]LISTA ETIQUETAS'!$O:$O,'[1]LISTA ETIQUETAS'!E:E,"",0)</f>
        <v>0</v>
      </c>
      <c r="R683" s="2">
        <f>_xlfn.XLOOKUP($A683,'[1]LISTA ETIQUETAS'!$O:$O,'[1]LISTA ETIQUETAS'!F:F,"",0)</f>
        <v>0</v>
      </c>
      <c r="S683" s="2">
        <f>_xlfn.XLOOKUP($A683,'[1]LISTA ETIQUETAS'!$O:$O,'[1]LISTA ETIQUETAS'!H:H,"",0)</f>
        <v>1</v>
      </c>
      <c r="T683" s="9">
        <f t="shared" si="32"/>
        <v>1</v>
      </c>
    </row>
    <row r="684" spans="1:20" x14ac:dyDescent="0.25">
      <c r="A684" s="5">
        <v>402443</v>
      </c>
      <c r="B684" t="str">
        <f>IFERROR((VLOOKUP(A684,'[1]LISTA ETIQUETAS'!O:X,3,0)),"PRODUTO SEM ESTOQUE")</f>
        <v>EST MESA JANTAR MONIZ (C/GIR) (ESPINHADA D) (LAM 3 FREIJO)</v>
      </c>
      <c r="C684" s="10" t="s">
        <v>52</v>
      </c>
      <c r="D684" s="10" t="s">
        <v>432</v>
      </c>
      <c r="E684" s="11">
        <f>IF(VLOOKUP(A684,'[1]LISTA ETIQUETAS'!O:W,4,0)="",(VLOOKUP(A684,'[1]LISTA ETIQUETAS'!O:W,6,0)),(VLOOKUP(A684,'[1]LISTA ETIQUETAS'!O:W,4,0)))</f>
        <v>1.8</v>
      </c>
      <c r="F684" s="11">
        <f>IF(VLOOKUP(A684,'[1]LISTA ETIQUETAS'!O:W,5,0)="",(VLOOKUP(A684,'[1]LISTA ETIQUETAS'!O:W,7,0)),(VLOOKUP(A684,'[1]LISTA ETIQUETAS'!O:W,5,0)))</f>
        <v>0</v>
      </c>
      <c r="G684" s="11">
        <f>IFERROR((VLOOKUP(A684,'[1]LISTA ETIQUETAS'!O:X,8,0)),"")</f>
        <v>0.75</v>
      </c>
      <c r="H684" s="11">
        <f>IFERROR((VLOOKUP(A684,'[1]LISTA ETIQUETAS'!O:X,9,0)),"")</f>
        <v>1.8</v>
      </c>
      <c r="I684" s="12">
        <f>IFERROR((VLOOKUP(A684,'[1]LISTA ETIQUETAS'!O:Y,11,0)),"")</f>
        <v>49371.53</v>
      </c>
      <c r="J684" s="6">
        <v>0</v>
      </c>
      <c r="K684" s="12">
        <f t="shared" si="30"/>
        <v>49371.53</v>
      </c>
      <c r="L684" s="7" t="str">
        <f>IF(VLOOKUP(A684,'[1]LISTA ETIQUETAS'!O:AB,14,0)="","",(VLOOKUP(A684,'[1]LISTA ETIQUETAS'!O:AB,14,0)))</f>
        <v/>
      </c>
      <c r="M684" s="8"/>
      <c r="N684" s="9">
        <f t="shared" si="31"/>
        <v>402443</v>
      </c>
      <c r="O684" s="2">
        <f>_xlfn.XLOOKUP($A684,'[1]LISTA ETIQUETAS'!$O:$O,'[1]LISTA ETIQUETAS'!C:C,"",0)</f>
        <v>0</v>
      </c>
      <c r="P684" s="2">
        <f>_xlfn.XLOOKUP($A684,'[1]LISTA ETIQUETAS'!$O:$O,'[1]LISTA ETIQUETAS'!D:D,"",0)</f>
        <v>0</v>
      </c>
      <c r="Q684" s="2">
        <f>_xlfn.XLOOKUP($A684,'[1]LISTA ETIQUETAS'!$O:$O,'[1]LISTA ETIQUETAS'!E:E,"",0)</f>
        <v>0</v>
      </c>
      <c r="R684" s="2">
        <f>_xlfn.XLOOKUP($A684,'[1]LISTA ETIQUETAS'!$O:$O,'[1]LISTA ETIQUETAS'!F:F,"",0)</f>
        <v>0</v>
      </c>
      <c r="S684" s="2">
        <f>_xlfn.XLOOKUP($A684,'[1]LISTA ETIQUETAS'!$O:$O,'[1]LISTA ETIQUETAS'!H:H,"",0)</f>
        <v>1</v>
      </c>
      <c r="T684" s="9">
        <f t="shared" si="32"/>
        <v>1</v>
      </c>
    </row>
    <row r="685" spans="1:20" x14ac:dyDescent="0.25">
      <c r="A685" s="5">
        <v>411118</v>
      </c>
      <c r="B685" t="str">
        <f>IFERROR((VLOOKUP(A685,'[1]LISTA ETIQUETAS'!O:X,3,0)),"PRODUTO SEM ESTOQUE")</f>
        <v>EST MESA JANTAR MONIZ (C/GIR) (ESPINHADA D) (LAM 2 NOGUEIRA)</v>
      </c>
      <c r="C685" s="10" t="s">
        <v>52</v>
      </c>
      <c r="D685" s="10" t="s">
        <v>432</v>
      </c>
      <c r="E685" s="11">
        <f>IF(VLOOKUP(A685,'[1]LISTA ETIQUETAS'!O:W,4,0)="",(VLOOKUP(A685,'[1]LISTA ETIQUETAS'!O:W,6,0)),(VLOOKUP(A685,'[1]LISTA ETIQUETAS'!O:W,4,0)))</f>
        <v>1.8</v>
      </c>
      <c r="F685" s="11">
        <f>IF(VLOOKUP(A685,'[1]LISTA ETIQUETAS'!O:W,5,0)="",(VLOOKUP(A685,'[1]LISTA ETIQUETAS'!O:W,7,0)),(VLOOKUP(A685,'[1]LISTA ETIQUETAS'!O:W,5,0)))</f>
        <v>0</v>
      </c>
      <c r="G685" s="11">
        <f>IFERROR((VLOOKUP(A685,'[1]LISTA ETIQUETAS'!O:X,8,0)),"")</f>
        <v>0.75</v>
      </c>
      <c r="H685" s="11">
        <f>IFERROR((VLOOKUP(A685,'[1]LISTA ETIQUETAS'!O:X,9,0)),"")</f>
        <v>1.8</v>
      </c>
      <c r="I685" s="12">
        <f>IFERROR((VLOOKUP(A685,'[1]LISTA ETIQUETAS'!O:Y,11,0)),"")</f>
        <v>44771.28</v>
      </c>
      <c r="J685" s="6">
        <v>0</v>
      </c>
      <c r="K685" s="12">
        <f t="shared" si="30"/>
        <v>44771.28</v>
      </c>
      <c r="L685" s="7" t="str">
        <f>IF(VLOOKUP(A685,'[1]LISTA ETIQUETAS'!O:AB,14,0)="","",(VLOOKUP(A685,'[1]LISTA ETIQUETAS'!O:AB,14,0)))</f>
        <v/>
      </c>
      <c r="M685" s="8"/>
      <c r="N685" s="9">
        <f t="shared" si="31"/>
        <v>411118</v>
      </c>
      <c r="O685" s="2">
        <f>_xlfn.XLOOKUP($A685,'[1]LISTA ETIQUETAS'!$O:$O,'[1]LISTA ETIQUETAS'!C:C,"",0)</f>
        <v>0</v>
      </c>
      <c r="P685" s="2">
        <f>_xlfn.XLOOKUP($A685,'[1]LISTA ETIQUETAS'!$O:$O,'[1]LISTA ETIQUETAS'!D:D,"",0)</f>
        <v>0</v>
      </c>
      <c r="Q685" s="2">
        <f>_xlfn.XLOOKUP($A685,'[1]LISTA ETIQUETAS'!$O:$O,'[1]LISTA ETIQUETAS'!E:E,"",0)</f>
        <v>0</v>
      </c>
      <c r="R685" s="2">
        <f>_xlfn.XLOOKUP($A685,'[1]LISTA ETIQUETAS'!$O:$O,'[1]LISTA ETIQUETAS'!F:F,"",0)</f>
        <v>0</v>
      </c>
      <c r="S685" s="2">
        <f>_xlfn.XLOOKUP($A685,'[1]LISTA ETIQUETAS'!$O:$O,'[1]LISTA ETIQUETAS'!H:H,"",0)</f>
        <v>1</v>
      </c>
      <c r="T685" s="9">
        <f t="shared" si="32"/>
        <v>1</v>
      </c>
    </row>
    <row r="686" spans="1:20" x14ac:dyDescent="0.25">
      <c r="A686" s="5">
        <v>388738</v>
      </c>
      <c r="B686" t="str">
        <f>IFERROR((VLOOKUP(A686,'[1]LISTA ETIQUETAS'!O:X,3,0)),"PRODUTO SEM ESTOQUE")</f>
        <v>EST MESA JANTAR TWINS (DET LAMINA DIF TECA 2) (MAD A JEQ 5)</v>
      </c>
      <c r="C686" s="10" t="s">
        <v>52</v>
      </c>
      <c r="D686" s="10" t="s">
        <v>433</v>
      </c>
      <c r="E686" s="11">
        <f>IF(VLOOKUP(A686,'[1]LISTA ETIQUETAS'!O:W,4,0)="",(VLOOKUP(A686,'[1]LISTA ETIQUETAS'!O:W,6,0)),(VLOOKUP(A686,'[1]LISTA ETIQUETAS'!O:W,4,0)))</f>
        <v>3</v>
      </c>
      <c r="F686" s="11">
        <f>IF(VLOOKUP(A686,'[1]LISTA ETIQUETAS'!O:W,5,0)="",(VLOOKUP(A686,'[1]LISTA ETIQUETAS'!O:W,7,0)),(VLOOKUP(A686,'[1]LISTA ETIQUETAS'!O:W,5,0)))</f>
        <v>1.1499999999999999</v>
      </c>
      <c r="G686" s="11">
        <f>IFERROR((VLOOKUP(A686,'[1]LISTA ETIQUETAS'!O:X,8,0)),"")</f>
        <v>0.75</v>
      </c>
      <c r="H686" s="11">
        <f>IFERROR((VLOOKUP(A686,'[1]LISTA ETIQUETAS'!O:X,9,0)),"")</f>
        <v>0</v>
      </c>
      <c r="I686" s="12">
        <f>IFERROR((VLOOKUP(A686,'[1]LISTA ETIQUETAS'!O:Y,11,0)),"")</f>
        <v>49249.22</v>
      </c>
      <c r="J686" s="6">
        <v>0</v>
      </c>
      <c r="K686" s="12">
        <f t="shared" si="30"/>
        <v>49249.22</v>
      </c>
      <c r="L686" s="7" t="str">
        <f>IF(VLOOKUP(A686,'[1]LISTA ETIQUETAS'!O:AB,14,0)="","",(VLOOKUP(A686,'[1]LISTA ETIQUETAS'!O:AB,14,0)))</f>
        <v/>
      </c>
      <c r="M686" s="8"/>
      <c r="N686" s="9">
        <f t="shared" si="31"/>
        <v>388738</v>
      </c>
      <c r="O686" s="2">
        <f>_xlfn.XLOOKUP($A686,'[1]LISTA ETIQUETAS'!$O:$O,'[1]LISTA ETIQUETAS'!C:C,"",0)</f>
        <v>0</v>
      </c>
      <c r="P686" s="2">
        <f>_xlfn.XLOOKUP($A686,'[1]LISTA ETIQUETAS'!$O:$O,'[1]LISTA ETIQUETAS'!D:D,"",0)</f>
        <v>0</v>
      </c>
      <c r="Q686" s="2">
        <f>_xlfn.XLOOKUP($A686,'[1]LISTA ETIQUETAS'!$O:$O,'[1]LISTA ETIQUETAS'!E:E,"",0)</f>
        <v>0</v>
      </c>
      <c r="R686" s="2">
        <f>_xlfn.XLOOKUP($A686,'[1]LISTA ETIQUETAS'!$O:$O,'[1]LISTA ETIQUETAS'!F:F,"",0)</f>
        <v>0</v>
      </c>
      <c r="S686" s="2">
        <f>_xlfn.XLOOKUP($A686,'[1]LISTA ETIQUETAS'!$O:$O,'[1]LISTA ETIQUETAS'!H:H,"",0)</f>
        <v>1</v>
      </c>
      <c r="T686" s="9">
        <f t="shared" si="32"/>
        <v>1</v>
      </c>
    </row>
    <row r="687" spans="1:20" x14ac:dyDescent="0.25">
      <c r="A687" s="5">
        <v>387722</v>
      </c>
      <c r="B687" t="str">
        <f>IFERROR((VLOOKUP(A687,'[1]LISTA ETIQUETAS'!O:X,3,0)),"PRODUTO SEM ESTOQUE")</f>
        <v>EST MESA JANTAR ORIENTE (TP/BS LAM CAST) SEMI CAFE</v>
      </c>
      <c r="C687" s="10" t="s">
        <v>52</v>
      </c>
      <c r="D687" s="10" t="s">
        <v>431</v>
      </c>
      <c r="E687" s="11">
        <f>IF(VLOOKUP(A687,'[1]LISTA ETIQUETAS'!O:W,4,0)="",(VLOOKUP(A687,'[1]LISTA ETIQUETAS'!O:W,6,0)),(VLOOKUP(A687,'[1]LISTA ETIQUETAS'!O:W,4,0)))</f>
        <v>2.78</v>
      </c>
      <c r="F687" s="11">
        <f>IF(VLOOKUP(A687,'[1]LISTA ETIQUETAS'!O:W,5,0)="",(VLOOKUP(A687,'[1]LISTA ETIQUETAS'!O:W,7,0)),(VLOOKUP(A687,'[1]LISTA ETIQUETAS'!O:W,5,0)))</f>
        <v>1.2</v>
      </c>
      <c r="G687" s="11">
        <f>IFERROR((VLOOKUP(A687,'[1]LISTA ETIQUETAS'!O:X,8,0)),"")</f>
        <v>0.76</v>
      </c>
      <c r="H687" s="11">
        <f>IFERROR((VLOOKUP(A687,'[1]LISTA ETIQUETAS'!O:X,9,0)),"")</f>
        <v>0</v>
      </c>
      <c r="I687" s="12">
        <f>IFERROR((VLOOKUP(A687,'[1]LISTA ETIQUETAS'!O:Y,11,0)),"")</f>
        <v>24289.4</v>
      </c>
      <c r="J687" s="6">
        <v>0</v>
      </c>
      <c r="K687" s="12">
        <f t="shared" si="30"/>
        <v>24289.4</v>
      </c>
      <c r="L687" s="7" t="str">
        <f>IF(VLOOKUP(A687,'[1]LISTA ETIQUETAS'!O:AB,14,0)="","",(VLOOKUP(A687,'[1]LISTA ETIQUETAS'!O:AB,14,0)))</f>
        <v/>
      </c>
      <c r="M687" s="8"/>
      <c r="N687" s="9">
        <f t="shared" si="31"/>
        <v>387722</v>
      </c>
      <c r="O687" s="2">
        <f>_xlfn.XLOOKUP($A687,'[1]LISTA ETIQUETAS'!$O:$O,'[1]LISTA ETIQUETAS'!C:C,"",0)</f>
        <v>0</v>
      </c>
      <c r="P687" s="2">
        <f>_xlfn.XLOOKUP($A687,'[1]LISTA ETIQUETAS'!$O:$O,'[1]LISTA ETIQUETAS'!D:D,"",0)</f>
        <v>0</v>
      </c>
      <c r="Q687" s="2">
        <f>_xlfn.XLOOKUP($A687,'[1]LISTA ETIQUETAS'!$O:$O,'[1]LISTA ETIQUETAS'!E:E,"",0)</f>
        <v>0</v>
      </c>
      <c r="R687" s="2">
        <f>_xlfn.XLOOKUP($A687,'[1]LISTA ETIQUETAS'!$O:$O,'[1]LISTA ETIQUETAS'!F:F,"",0)</f>
        <v>0</v>
      </c>
      <c r="S687" s="2">
        <f>_xlfn.XLOOKUP($A687,'[1]LISTA ETIQUETAS'!$O:$O,'[1]LISTA ETIQUETAS'!H:H,"",0)</f>
        <v>1</v>
      </c>
      <c r="T687" s="9">
        <f t="shared" si="32"/>
        <v>1</v>
      </c>
    </row>
    <row r="688" spans="1:20" x14ac:dyDescent="0.25">
      <c r="A688" s="5">
        <v>378493</v>
      </c>
      <c r="B688" t="str">
        <f>IFERROR((VLOOKUP(A688,'[1]LISTA ETIQUETAS'!O:X,3,0)),"PRODUTO SEM ESTOQUE")</f>
        <v>EST MESA JANTAR HIMALAYA (CONT) (TP MARM NUVOLA) (WALNUT)</v>
      </c>
      <c r="C688" s="10" t="s">
        <v>52</v>
      </c>
      <c r="D688" s="10" t="s">
        <v>434</v>
      </c>
      <c r="E688" s="11">
        <f>IF(VLOOKUP(A688,'[1]LISTA ETIQUETAS'!O:W,4,0)="",(VLOOKUP(A688,'[1]LISTA ETIQUETAS'!O:W,6,0)),(VLOOKUP(A688,'[1]LISTA ETIQUETAS'!O:W,4,0)))</f>
        <v>1.8</v>
      </c>
      <c r="F688" s="11">
        <f>IF(VLOOKUP(A688,'[1]LISTA ETIQUETAS'!O:W,5,0)="",(VLOOKUP(A688,'[1]LISTA ETIQUETAS'!O:W,7,0)),(VLOOKUP(A688,'[1]LISTA ETIQUETAS'!O:W,5,0)))</f>
        <v>0</v>
      </c>
      <c r="G688" s="11">
        <f>IFERROR((VLOOKUP(A688,'[1]LISTA ETIQUETAS'!O:X,8,0)),"")</f>
        <v>0.75</v>
      </c>
      <c r="H688" s="11">
        <f>IFERROR((VLOOKUP(A688,'[1]LISTA ETIQUETAS'!O:X,9,0)),"")</f>
        <v>1.8</v>
      </c>
      <c r="I688" s="12">
        <f>IFERROR((VLOOKUP(A688,'[1]LISTA ETIQUETAS'!O:Y,11,0)),"")</f>
        <v>97143.6</v>
      </c>
      <c r="J688" s="6">
        <v>0</v>
      </c>
      <c r="K688" s="12">
        <f t="shared" si="30"/>
        <v>97143.6</v>
      </c>
      <c r="L688" s="7" t="str">
        <f>IF(VLOOKUP(A688,'[1]LISTA ETIQUETAS'!O:AB,14,0)="","",(VLOOKUP(A688,'[1]LISTA ETIQUETAS'!O:AB,14,0)))</f>
        <v/>
      </c>
      <c r="M688" s="8"/>
      <c r="N688" s="9">
        <f t="shared" si="31"/>
        <v>378493</v>
      </c>
      <c r="O688" s="2">
        <f>_xlfn.XLOOKUP($A688,'[1]LISTA ETIQUETAS'!$O:$O,'[1]LISTA ETIQUETAS'!C:C,"",0)</f>
        <v>0</v>
      </c>
      <c r="P688" s="2">
        <f>_xlfn.XLOOKUP($A688,'[1]LISTA ETIQUETAS'!$O:$O,'[1]LISTA ETIQUETAS'!D:D,"",0)</f>
        <v>0</v>
      </c>
      <c r="Q688" s="2">
        <f>_xlfn.XLOOKUP($A688,'[1]LISTA ETIQUETAS'!$O:$O,'[1]LISTA ETIQUETAS'!E:E,"",0)</f>
        <v>0</v>
      </c>
      <c r="R688" s="2">
        <f>_xlfn.XLOOKUP($A688,'[1]LISTA ETIQUETAS'!$O:$O,'[1]LISTA ETIQUETAS'!F:F,"",0)</f>
        <v>0</v>
      </c>
      <c r="S688" s="2">
        <f>_xlfn.XLOOKUP($A688,'[1]LISTA ETIQUETAS'!$O:$O,'[1]LISTA ETIQUETAS'!H:H,"",0)</f>
        <v>1</v>
      </c>
      <c r="T688" s="9">
        <f t="shared" si="32"/>
        <v>1</v>
      </c>
    </row>
    <row r="689" spans="1:20" x14ac:dyDescent="0.25">
      <c r="A689" s="5">
        <v>384056</v>
      </c>
      <c r="B689" t="str">
        <f>IFERROR((VLOOKUP(A689,'[1]LISTA ETIQUETAS'!O:X,3,0)),"PRODUTO SEM ESTOQUE")</f>
        <v>EST MESA JANTAR HIMALAYA (CONT) (MARM 1 ARMANI) (WALNUT)</v>
      </c>
      <c r="C689" s="10" t="s">
        <v>52</v>
      </c>
      <c r="D689" s="10" t="s">
        <v>434</v>
      </c>
      <c r="E689" s="11">
        <f>IF(VLOOKUP(A689,'[1]LISTA ETIQUETAS'!O:W,4,0)="",(VLOOKUP(A689,'[1]LISTA ETIQUETAS'!O:W,6,0)),(VLOOKUP(A689,'[1]LISTA ETIQUETAS'!O:W,4,0)))</f>
        <v>1.4</v>
      </c>
      <c r="F689" s="11">
        <f>IF(VLOOKUP(A689,'[1]LISTA ETIQUETAS'!O:W,5,0)="",(VLOOKUP(A689,'[1]LISTA ETIQUETAS'!O:W,7,0)),(VLOOKUP(A689,'[1]LISTA ETIQUETAS'!O:W,5,0)))</f>
        <v>1.4</v>
      </c>
      <c r="G689" s="11">
        <f>IFERROR((VLOOKUP(A689,'[1]LISTA ETIQUETAS'!O:X,8,0)),"")</f>
        <v>0.75</v>
      </c>
      <c r="H689" s="11">
        <f>IFERROR((VLOOKUP(A689,'[1]LISTA ETIQUETAS'!O:X,9,0)),"")</f>
        <v>0</v>
      </c>
      <c r="I689" s="12">
        <f>IFERROR((VLOOKUP(A689,'[1]LISTA ETIQUETAS'!O:Y,11,0)),"")</f>
        <v>75250.47</v>
      </c>
      <c r="J689" s="6">
        <v>0</v>
      </c>
      <c r="K689" s="12">
        <f t="shared" si="30"/>
        <v>75250.47</v>
      </c>
      <c r="L689" s="7" t="str">
        <f>IF(VLOOKUP(A689,'[1]LISTA ETIQUETAS'!O:AB,14,0)="","",(VLOOKUP(A689,'[1]LISTA ETIQUETAS'!O:AB,14,0)))</f>
        <v/>
      </c>
      <c r="M689" s="8"/>
      <c r="N689" s="9">
        <f t="shared" si="31"/>
        <v>384056</v>
      </c>
      <c r="O689" s="2">
        <f>_xlfn.XLOOKUP($A689,'[1]LISTA ETIQUETAS'!$O:$O,'[1]LISTA ETIQUETAS'!C:C,"",0)</f>
        <v>0</v>
      </c>
      <c r="P689" s="2">
        <f>_xlfn.XLOOKUP($A689,'[1]LISTA ETIQUETAS'!$O:$O,'[1]LISTA ETIQUETAS'!D:D,"",0)</f>
        <v>0</v>
      </c>
      <c r="Q689" s="2">
        <f>_xlfn.XLOOKUP($A689,'[1]LISTA ETIQUETAS'!$O:$O,'[1]LISTA ETIQUETAS'!E:E,"",0)</f>
        <v>0</v>
      </c>
      <c r="R689" s="2">
        <f>_xlfn.XLOOKUP($A689,'[1]LISTA ETIQUETAS'!$O:$O,'[1]LISTA ETIQUETAS'!F:F,"",0)</f>
        <v>0</v>
      </c>
      <c r="S689" s="2">
        <f>_xlfn.XLOOKUP($A689,'[1]LISTA ETIQUETAS'!$O:$O,'[1]LISTA ETIQUETAS'!H:H,"",0)</f>
        <v>2</v>
      </c>
      <c r="T689" s="9">
        <f t="shared" si="32"/>
        <v>2</v>
      </c>
    </row>
    <row r="690" spans="1:20" x14ac:dyDescent="0.25">
      <c r="A690" s="5">
        <v>386032</v>
      </c>
      <c r="B690" t="str">
        <f>IFERROR((VLOOKUP(A690,'[1]LISTA ETIQUETAS'!O:X,3,0)),"PRODUTO SEM ESTOQUE")</f>
        <v>EST MESA JANTAR HIMALAYA (CONT) (TP MARM NUVOLA) (WALNUT)</v>
      </c>
      <c r="C690" s="10" t="s">
        <v>52</v>
      </c>
      <c r="D690" s="10" t="s">
        <v>434</v>
      </c>
      <c r="E690" s="11">
        <f>IF(VLOOKUP(A690,'[1]LISTA ETIQUETAS'!O:W,4,0)="",(VLOOKUP(A690,'[1]LISTA ETIQUETAS'!O:W,6,0)),(VLOOKUP(A690,'[1]LISTA ETIQUETAS'!O:W,4,0)))</f>
        <v>1.8</v>
      </c>
      <c r="F690" s="11">
        <f>IF(VLOOKUP(A690,'[1]LISTA ETIQUETAS'!O:W,5,0)="",(VLOOKUP(A690,'[1]LISTA ETIQUETAS'!O:W,7,0)),(VLOOKUP(A690,'[1]LISTA ETIQUETAS'!O:W,5,0)))</f>
        <v>0</v>
      </c>
      <c r="G690" s="11">
        <f>IFERROR((VLOOKUP(A690,'[1]LISTA ETIQUETAS'!O:X,8,0)),"")</f>
        <v>0.75</v>
      </c>
      <c r="H690" s="11">
        <f>IFERROR((VLOOKUP(A690,'[1]LISTA ETIQUETAS'!O:X,9,0)),"")</f>
        <v>1.8</v>
      </c>
      <c r="I690" s="12">
        <f>IFERROR((VLOOKUP(A690,'[1]LISTA ETIQUETAS'!O:Y,11,0)),"")</f>
        <v>97143.6</v>
      </c>
      <c r="J690" s="6">
        <v>0</v>
      </c>
      <c r="K690" s="12">
        <f t="shared" si="30"/>
        <v>97143.6</v>
      </c>
      <c r="L690" s="7" t="str">
        <f>IF(VLOOKUP(A690,'[1]LISTA ETIQUETAS'!O:AB,14,0)="","",(VLOOKUP(A690,'[1]LISTA ETIQUETAS'!O:AB,14,0)))</f>
        <v/>
      </c>
      <c r="M690" s="8"/>
      <c r="N690" s="9">
        <f t="shared" si="31"/>
        <v>386032</v>
      </c>
      <c r="O690" s="2">
        <f>_xlfn.XLOOKUP($A690,'[1]LISTA ETIQUETAS'!$O:$O,'[1]LISTA ETIQUETAS'!C:C,"",0)</f>
        <v>0</v>
      </c>
      <c r="P690" s="2">
        <f>_xlfn.XLOOKUP($A690,'[1]LISTA ETIQUETAS'!$O:$O,'[1]LISTA ETIQUETAS'!D:D,"",0)</f>
        <v>0</v>
      </c>
      <c r="Q690" s="2">
        <f>_xlfn.XLOOKUP($A690,'[1]LISTA ETIQUETAS'!$O:$O,'[1]LISTA ETIQUETAS'!E:E,"",0)</f>
        <v>0</v>
      </c>
      <c r="R690" s="2">
        <f>_xlfn.XLOOKUP($A690,'[1]LISTA ETIQUETAS'!$O:$O,'[1]LISTA ETIQUETAS'!F:F,"",0)</f>
        <v>0</v>
      </c>
      <c r="S690" s="2">
        <f>_xlfn.XLOOKUP($A690,'[1]LISTA ETIQUETAS'!$O:$O,'[1]LISTA ETIQUETAS'!H:H,"",0)</f>
        <v>1</v>
      </c>
      <c r="T690" s="9">
        <f t="shared" si="32"/>
        <v>1</v>
      </c>
    </row>
    <row r="691" spans="1:20" x14ac:dyDescent="0.25">
      <c r="A691" s="5">
        <v>370965</v>
      </c>
      <c r="B691" t="str">
        <f>IFERROR((VLOOKUP(A691,'[1]LISTA ETIQUETAS'!O:X,3,0)),"PRODUTO SEM ESTOQUE")</f>
        <v>EST MESA JANTAR BELIZE (MADEIRA) TP/BS LAMINA AMENDOA</v>
      </c>
      <c r="C691" s="10" t="s">
        <v>52</v>
      </c>
      <c r="D691" s="10" t="s">
        <v>435</v>
      </c>
      <c r="E691" s="11">
        <f>IF(VLOOKUP(A691,'[1]LISTA ETIQUETAS'!O:W,4,0)="",(VLOOKUP(A691,'[1]LISTA ETIQUETAS'!O:W,6,0)),(VLOOKUP(A691,'[1]LISTA ETIQUETAS'!O:W,4,0)))</f>
        <v>2.8</v>
      </c>
      <c r="F691" s="11">
        <f>IF(VLOOKUP(A691,'[1]LISTA ETIQUETAS'!O:W,5,0)="",(VLOOKUP(A691,'[1]LISTA ETIQUETAS'!O:W,7,0)),(VLOOKUP(A691,'[1]LISTA ETIQUETAS'!O:W,5,0)))</f>
        <v>1.4</v>
      </c>
      <c r="G691" s="11">
        <f>IFERROR((VLOOKUP(A691,'[1]LISTA ETIQUETAS'!O:X,8,0)),"")</f>
        <v>0.76</v>
      </c>
      <c r="H691" s="11">
        <f>IFERROR((VLOOKUP(A691,'[1]LISTA ETIQUETAS'!O:X,9,0)),"")</f>
        <v>0</v>
      </c>
      <c r="I691" s="12">
        <f>IFERROR((VLOOKUP(A691,'[1]LISTA ETIQUETAS'!O:Y,11,0)),"")</f>
        <v>26065</v>
      </c>
      <c r="J691" s="6">
        <v>0</v>
      </c>
      <c r="K691" s="12">
        <f t="shared" si="30"/>
        <v>26065</v>
      </c>
      <c r="L691" s="7" t="str">
        <f>IF(VLOOKUP(A691,'[1]LISTA ETIQUETAS'!O:AB,14,0)="","",(VLOOKUP(A691,'[1]LISTA ETIQUETAS'!O:AB,14,0)))</f>
        <v/>
      </c>
      <c r="M691" s="8"/>
      <c r="N691" s="9">
        <f t="shared" si="31"/>
        <v>370965</v>
      </c>
      <c r="O691" s="2">
        <f>_xlfn.XLOOKUP($A691,'[1]LISTA ETIQUETAS'!$O:$O,'[1]LISTA ETIQUETAS'!C:C,"",0)</f>
        <v>0</v>
      </c>
      <c r="P691" s="2">
        <f>_xlfn.XLOOKUP($A691,'[1]LISTA ETIQUETAS'!$O:$O,'[1]LISTA ETIQUETAS'!D:D,"",0)</f>
        <v>0</v>
      </c>
      <c r="Q691" s="2">
        <f>_xlfn.XLOOKUP($A691,'[1]LISTA ETIQUETAS'!$O:$O,'[1]LISTA ETIQUETAS'!E:E,"",0)</f>
        <v>0</v>
      </c>
      <c r="R691" s="2">
        <f>_xlfn.XLOOKUP($A691,'[1]LISTA ETIQUETAS'!$O:$O,'[1]LISTA ETIQUETAS'!F:F,"",0)</f>
        <v>0</v>
      </c>
      <c r="S691" s="2">
        <f>_xlfn.XLOOKUP($A691,'[1]LISTA ETIQUETAS'!$O:$O,'[1]LISTA ETIQUETAS'!H:H,"",0)</f>
        <v>1</v>
      </c>
      <c r="T691" s="9">
        <f t="shared" si="32"/>
        <v>1</v>
      </c>
    </row>
    <row r="692" spans="1:20" x14ac:dyDescent="0.25">
      <c r="A692" s="5">
        <v>371590</v>
      </c>
      <c r="B692" t="str">
        <f>IFERROR((VLOOKUP(A692,'[1]LISTA ETIQUETAS'!O:X,3,0)),"PRODUTO SEM ESTOQUE")</f>
        <v>EST MESA JANTAR PETRA (TP MARM 1 TRAVERTINO) (MTX FENDI)</v>
      </c>
      <c r="C692" s="10" t="s">
        <v>52</v>
      </c>
      <c r="D692" s="10" t="s">
        <v>436</v>
      </c>
      <c r="E692" s="11">
        <f>IF(VLOOKUP(A692,'[1]LISTA ETIQUETAS'!O:W,4,0)="",(VLOOKUP(A692,'[1]LISTA ETIQUETAS'!O:W,6,0)),(VLOOKUP(A692,'[1]LISTA ETIQUETAS'!O:W,4,0)))</f>
        <v>1.8</v>
      </c>
      <c r="F692" s="11">
        <f>IF(VLOOKUP(A692,'[1]LISTA ETIQUETAS'!O:W,5,0)="",(VLOOKUP(A692,'[1]LISTA ETIQUETAS'!O:W,7,0)),(VLOOKUP(A692,'[1]LISTA ETIQUETAS'!O:W,5,0)))</f>
        <v>0</v>
      </c>
      <c r="G692" s="11">
        <f>IFERROR((VLOOKUP(A692,'[1]LISTA ETIQUETAS'!O:X,8,0)),"")</f>
        <v>0.76</v>
      </c>
      <c r="H692" s="11">
        <f>IFERROR((VLOOKUP(A692,'[1]LISTA ETIQUETAS'!O:X,9,0)),"")</f>
        <v>1.8</v>
      </c>
      <c r="I692" s="12">
        <f>IFERROR((VLOOKUP(A692,'[1]LISTA ETIQUETAS'!O:Y,11,0)),"")</f>
        <v>100479.19</v>
      </c>
      <c r="J692" s="6">
        <v>0</v>
      </c>
      <c r="K692" s="12">
        <f t="shared" si="30"/>
        <v>100479.19</v>
      </c>
      <c r="L692" s="7" t="str">
        <f>IF(VLOOKUP(A692,'[1]LISTA ETIQUETAS'!O:AB,14,0)="","",(VLOOKUP(A692,'[1]LISTA ETIQUETAS'!O:AB,14,0)))</f>
        <v/>
      </c>
      <c r="M692" s="8"/>
      <c r="N692" s="9">
        <f t="shared" si="31"/>
        <v>371590</v>
      </c>
      <c r="O692" s="2">
        <f>_xlfn.XLOOKUP($A692,'[1]LISTA ETIQUETAS'!$O:$O,'[1]LISTA ETIQUETAS'!C:C,"",0)</f>
        <v>0</v>
      </c>
      <c r="P692" s="2">
        <f>_xlfn.XLOOKUP($A692,'[1]LISTA ETIQUETAS'!$O:$O,'[1]LISTA ETIQUETAS'!D:D,"",0)</f>
        <v>0</v>
      </c>
      <c r="Q692" s="2">
        <f>_xlfn.XLOOKUP($A692,'[1]LISTA ETIQUETAS'!$O:$O,'[1]LISTA ETIQUETAS'!E:E,"",0)</f>
        <v>0</v>
      </c>
      <c r="R692" s="2">
        <f>_xlfn.XLOOKUP($A692,'[1]LISTA ETIQUETAS'!$O:$O,'[1]LISTA ETIQUETAS'!F:F,"",0)</f>
        <v>0</v>
      </c>
      <c r="S692" s="2">
        <f>_xlfn.XLOOKUP($A692,'[1]LISTA ETIQUETAS'!$O:$O,'[1]LISTA ETIQUETAS'!H:H,"",0)</f>
        <v>1</v>
      </c>
      <c r="T692" s="9">
        <f t="shared" si="32"/>
        <v>1</v>
      </c>
    </row>
    <row r="693" spans="1:20" x14ac:dyDescent="0.25">
      <c r="A693" s="5">
        <v>350004</v>
      </c>
      <c r="B693" t="str">
        <f>IFERROR((VLOOKUP(A693,'[1]LISTA ETIQUETAS'!O:X,3,0)),"PRODUTO SEM ESTOQUE")</f>
        <v>EST MESA JANTAR MATISSE (TP CINZA CH C/DET) (BS CARV CRIS)</v>
      </c>
      <c r="C693" s="10" t="s">
        <v>52</v>
      </c>
      <c r="D693" s="10" t="s">
        <v>437</v>
      </c>
      <c r="E693" s="11">
        <f>IF(VLOOKUP(A693,'[1]LISTA ETIQUETAS'!O:W,4,0)="",(VLOOKUP(A693,'[1]LISTA ETIQUETAS'!O:W,6,0)),(VLOOKUP(A693,'[1]LISTA ETIQUETAS'!O:W,4,0)))</f>
        <v>1.83</v>
      </c>
      <c r="F693" s="11">
        <f>IF(VLOOKUP(A693,'[1]LISTA ETIQUETAS'!O:W,5,0)="",(VLOOKUP(A693,'[1]LISTA ETIQUETAS'!O:W,7,0)),(VLOOKUP(A693,'[1]LISTA ETIQUETAS'!O:W,5,0)))</f>
        <v>0</v>
      </c>
      <c r="G693" s="11">
        <f>IFERROR((VLOOKUP(A693,'[1]LISTA ETIQUETAS'!O:X,8,0)),"")</f>
        <v>0.75</v>
      </c>
      <c r="H693" s="11">
        <f>IFERROR((VLOOKUP(A693,'[1]LISTA ETIQUETAS'!O:X,9,0)),"")</f>
        <v>1.83</v>
      </c>
      <c r="I693" s="12">
        <f>IFERROR((VLOOKUP(A693,'[1]LISTA ETIQUETAS'!O:Y,11,0)),"")</f>
        <v>57574.85</v>
      </c>
      <c r="J693" s="6">
        <v>0</v>
      </c>
      <c r="K693" s="12">
        <f t="shared" si="30"/>
        <v>57574.85</v>
      </c>
      <c r="L693" s="7" t="str">
        <f>IF(VLOOKUP(A693,'[1]LISTA ETIQUETAS'!O:AB,14,0)="","",(VLOOKUP(A693,'[1]LISTA ETIQUETAS'!O:AB,14,0)))</f>
        <v/>
      </c>
      <c r="M693" s="8"/>
      <c r="N693" s="9">
        <f t="shared" si="31"/>
        <v>350004</v>
      </c>
      <c r="O693" s="2">
        <f>_xlfn.XLOOKUP($A693,'[1]LISTA ETIQUETAS'!$O:$O,'[1]LISTA ETIQUETAS'!C:C,"",0)</f>
        <v>0</v>
      </c>
      <c r="P693" s="2">
        <f>_xlfn.XLOOKUP($A693,'[1]LISTA ETIQUETAS'!$O:$O,'[1]LISTA ETIQUETAS'!D:D,"",0)</f>
        <v>0</v>
      </c>
      <c r="Q693" s="2">
        <f>_xlfn.XLOOKUP($A693,'[1]LISTA ETIQUETAS'!$O:$O,'[1]LISTA ETIQUETAS'!E:E,"",0)</f>
        <v>0</v>
      </c>
      <c r="R693" s="2">
        <f>_xlfn.XLOOKUP($A693,'[1]LISTA ETIQUETAS'!$O:$O,'[1]LISTA ETIQUETAS'!F:F,"",0)</f>
        <v>0</v>
      </c>
      <c r="S693" s="2">
        <f>_xlfn.XLOOKUP($A693,'[1]LISTA ETIQUETAS'!$O:$O,'[1]LISTA ETIQUETAS'!H:H,"",0)</f>
        <v>1</v>
      </c>
      <c r="T693" s="9">
        <f t="shared" si="32"/>
        <v>1</v>
      </c>
    </row>
    <row r="694" spans="1:20" x14ac:dyDescent="0.25">
      <c r="A694" s="5">
        <v>335248</v>
      </c>
      <c r="B694" t="str">
        <f>IFERROR((VLOOKUP(A694,'[1]LISTA ETIQUETAS'!O:X,3,0)),"PRODUTO SEM ESTOQUE")</f>
        <v>EST MESA JANTAR MAR ADENTRO (LAMINA 2 LOURO PARDO/BS CS125)</v>
      </c>
      <c r="C694" s="10" t="s">
        <v>52</v>
      </c>
      <c r="D694" s="10" t="s">
        <v>438</v>
      </c>
      <c r="E694" s="11">
        <f>IF(VLOOKUP(A694,'[1]LISTA ETIQUETAS'!O:W,4,0)="",(VLOOKUP(A694,'[1]LISTA ETIQUETAS'!O:W,6,0)),(VLOOKUP(A694,'[1]LISTA ETIQUETAS'!O:W,4,0)))</f>
        <v>3</v>
      </c>
      <c r="F694" s="11">
        <f>IF(VLOOKUP(A694,'[1]LISTA ETIQUETAS'!O:W,5,0)="",(VLOOKUP(A694,'[1]LISTA ETIQUETAS'!O:W,7,0)),(VLOOKUP(A694,'[1]LISTA ETIQUETAS'!O:W,5,0)))</f>
        <v>1.2</v>
      </c>
      <c r="G694" s="11">
        <f>IFERROR((VLOOKUP(A694,'[1]LISTA ETIQUETAS'!O:X,8,0)),"")</f>
        <v>0.75</v>
      </c>
      <c r="H694" s="11">
        <f>IFERROR((VLOOKUP(A694,'[1]LISTA ETIQUETAS'!O:X,9,0)),"")</f>
        <v>0</v>
      </c>
      <c r="I694" s="12">
        <f>IFERROR((VLOOKUP(A694,'[1]LISTA ETIQUETAS'!O:Y,11,0)),"")</f>
        <v>67216.62</v>
      </c>
      <c r="J694" s="6">
        <v>0</v>
      </c>
      <c r="K694" s="12">
        <f t="shared" si="30"/>
        <v>67216.62</v>
      </c>
      <c r="L694" s="7" t="str">
        <f>IF(VLOOKUP(A694,'[1]LISTA ETIQUETAS'!O:AB,14,0)="","",(VLOOKUP(A694,'[1]LISTA ETIQUETAS'!O:AB,14,0)))</f>
        <v/>
      </c>
      <c r="M694" s="8"/>
      <c r="N694" s="9">
        <f t="shared" si="31"/>
        <v>335248</v>
      </c>
      <c r="O694" s="2">
        <f>_xlfn.XLOOKUP($A694,'[1]LISTA ETIQUETAS'!$O:$O,'[1]LISTA ETIQUETAS'!C:C,"",0)</f>
        <v>0</v>
      </c>
      <c r="P694" s="2">
        <f>_xlfn.XLOOKUP($A694,'[1]LISTA ETIQUETAS'!$O:$O,'[1]LISTA ETIQUETAS'!D:D,"",0)</f>
        <v>0</v>
      </c>
      <c r="Q694" s="2">
        <f>_xlfn.XLOOKUP($A694,'[1]LISTA ETIQUETAS'!$O:$O,'[1]LISTA ETIQUETAS'!E:E,"",0)</f>
        <v>0</v>
      </c>
      <c r="R694" s="2">
        <f>_xlfn.XLOOKUP($A694,'[1]LISTA ETIQUETAS'!$O:$O,'[1]LISTA ETIQUETAS'!F:F,"",0)</f>
        <v>0</v>
      </c>
      <c r="S694" s="2">
        <f>_xlfn.XLOOKUP($A694,'[1]LISTA ETIQUETAS'!$O:$O,'[1]LISTA ETIQUETAS'!H:H,"",0)</f>
        <v>1</v>
      </c>
      <c r="T694" s="9">
        <f t="shared" si="32"/>
        <v>1</v>
      </c>
    </row>
    <row r="695" spans="1:20" x14ac:dyDescent="0.25">
      <c r="A695" s="5">
        <v>336563</v>
      </c>
      <c r="B695" t="str">
        <f>IFERROR((VLOOKUP(A695,'[1]LISTA ETIQUETAS'!O:X,3,0)),"PRODUTO SEM ESTOQUE")</f>
        <v>EST MESA JANTAR VELL (JEQ NOG) (TP CARV NOG) (MARROM PRZ)</v>
      </c>
      <c r="C695" s="10" t="s">
        <v>52</v>
      </c>
      <c r="D695" s="10" t="s">
        <v>439</v>
      </c>
      <c r="E695" s="11">
        <f>IF(VLOOKUP(A695,'[1]LISTA ETIQUETAS'!O:W,4,0)="",(VLOOKUP(A695,'[1]LISTA ETIQUETAS'!O:W,6,0)),(VLOOKUP(A695,'[1]LISTA ETIQUETAS'!O:W,4,0)))</f>
        <v>3</v>
      </c>
      <c r="F695" s="11">
        <f>IF(VLOOKUP(A695,'[1]LISTA ETIQUETAS'!O:W,5,0)="",(VLOOKUP(A695,'[1]LISTA ETIQUETAS'!O:W,7,0)),(VLOOKUP(A695,'[1]LISTA ETIQUETAS'!O:W,5,0)))</f>
        <v>1.2</v>
      </c>
      <c r="G695" s="11">
        <f>IFERROR((VLOOKUP(A695,'[1]LISTA ETIQUETAS'!O:X,8,0)),"")</f>
        <v>0.75</v>
      </c>
      <c r="H695" s="11">
        <f>IFERROR((VLOOKUP(A695,'[1]LISTA ETIQUETAS'!O:X,9,0)),"")</f>
        <v>0</v>
      </c>
      <c r="I695" s="12">
        <f>IFERROR((VLOOKUP(A695,'[1]LISTA ETIQUETAS'!O:Y,11,0)),"")</f>
        <v>47734.13</v>
      </c>
      <c r="J695" s="6">
        <v>0</v>
      </c>
      <c r="K695" s="12">
        <f t="shared" si="30"/>
        <v>47734.13</v>
      </c>
      <c r="L695" s="7" t="str">
        <f>IF(VLOOKUP(A695,'[1]LISTA ETIQUETAS'!O:AB,14,0)="","",(VLOOKUP(A695,'[1]LISTA ETIQUETAS'!O:AB,14,0)))</f>
        <v/>
      </c>
      <c r="M695" s="8"/>
      <c r="N695" s="9">
        <f t="shared" si="31"/>
        <v>336563</v>
      </c>
      <c r="O695" s="2">
        <f>_xlfn.XLOOKUP($A695,'[1]LISTA ETIQUETAS'!$O:$O,'[1]LISTA ETIQUETAS'!C:C,"",0)</f>
        <v>0</v>
      </c>
      <c r="P695" s="2">
        <f>_xlfn.XLOOKUP($A695,'[1]LISTA ETIQUETAS'!$O:$O,'[1]LISTA ETIQUETAS'!D:D,"",0)</f>
        <v>0</v>
      </c>
      <c r="Q695" s="2">
        <f>_xlfn.XLOOKUP($A695,'[1]LISTA ETIQUETAS'!$O:$O,'[1]LISTA ETIQUETAS'!E:E,"",0)</f>
        <v>0</v>
      </c>
      <c r="R695" s="2">
        <f>_xlfn.XLOOKUP($A695,'[1]LISTA ETIQUETAS'!$O:$O,'[1]LISTA ETIQUETAS'!F:F,"",0)</f>
        <v>0</v>
      </c>
      <c r="S695" s="2">
        <f>_xlfn.XLOOKUP($A695,'[1]LISTA ETIQUETAS'!$O:$O,'[1]LISTA ETIQUETAS'!H:H,"",0)</f>
        <v>1</v>
      </c>
      <c r="T695" s="9">
        <f t="shared" si="32"/>
        <v>1</v>
      </c>
    </row>
    <row r="696" spans="1:20" x14ac:dyDescent="0.25">
      <c r="A696" s="5">
        <v>274795</v>
      </c>
      <c r="B696" t="str">
        <f>IFERROR((VLOOKUP(A696,'[1]LISTA ETIQUETAS'!O:X,3,0)),"PRODUTO SEM ESTOQUE")</f>
        <v>EST MESA JANTAR ELISE (MTX OFF WHITE C/VD CLEAR 4MM/BS NOG)</v>
      </c>
      <c r="C696" s="10" t="s">
        <v>52</v>
      </c>
      <c r="D696" s="10" t="s">
        <v>440</v>
      </c>
      <c r="E696" s="11">
        <f>IF(VLOOKUP(A696,'[1]LISTA ETIQUETAS'!O:W,4,0)="",(VLOOKUP(A696,'[1]LISTA ETIQUETAS'!O:W,6,0)),(VLOOKUP(A696,'[1]LISTA ETIQUETAS'!O:W,4,0)))</f>
        <v>2.6</v>
      </c>
      <c r="F696" s="11">
        <f>IF(VLOOKUP(A696,'[1]LISTA ETIQUETAS'!O:W,5,0)="",(VLOOKUP(A696,'[1]LISTA ETIQUETAS'!O:W,7,0)),(VLOOKUP(A696,'[1]LISTA ETIQUETAS'!O:W,5,0)))</f>
        <v>1.2</v>
      </c>
      <c r="G696" s="11">
        <f>IFERROR((VLOOKUP(A696,'[1]LISTA ETIQUETAS'!O:X,8,0)),"")</f>
        <v>0.75</v>
      </c>
      <c r="H696" s="11">
        <f>IFERROR((VLOOKUP(A696,'[1]LISTA ETIQUETAS'!O:X,9,0)),"")</f>
        <v>0</v>
      </c>
      <c r="I696" s="12">
        <f>IFERROR((VLOOKUP(A696,'[1]LISTA ETIQUETAS'!O:Y,11,0)),"")</f>
        <v>40011.550000000003</v>
      </c>
      <c r="J696" s="6">
        <v>0</v>
      </c>
      <c r="K696" s="12">
        <f t="shared" si="30"/>
        <v>40011.550000000003</v>
      </c>
      <c r="L696" s="7" t="str">
        <f>IF(VLOOKUP(A696,'[1]LISTA ETIQUETAS'!O:AB,14,0)="","",(VLOOKUP(A696,'[1]LISTA ETIQUETAS'!O:AB,14,0)))</f>
        <v/>
      </c>
      <c r="M696" s="8"/>
      <c r="N696" s="9">
        <f t="shared" si="31"/>
        <v>274795</v>
      </c>
      <c r="O696" s="2">
        <f>_xlfn.XLOOKUP($A696,'[1]LISTA ETIQUETAS'!$O:$O,'[1]LISTA ETIQUETAS'!C:C,"",0)</f>
        <v>0</v>
      </c>
      <c r="P696" s="2">
        <f>_xlfn.XLOOKUP($A696,'[1]LISTA ETIQUETAS'!$O:$O,'[1]LISTA ETIQUETAS'!D:D,"",0)</f>
        <v>0</v>
      </c>
      <c r="Q696" s="2">
        <f>_xlfn.XLOOKUP($A696,'[1]LISTA ETIQUETAS'!$O:$O,'[1]LISTA ETIQUETAS'!E:E,"",0)</f>
        <v>0</v>
      </c>
      <c r="R696" s="2">
        <f>_xlfn.XLOOKUP($A696,'[1]LISTA ETIQUETAS'!$O:$O,'[1]LISTA ETIQUETAS'!F:F,"",0)</f>
        <v>0</v>
      </c>
      <c r="S696" s="2">
        <f>_xlfn.XLOOKUP($A696,'[1]LISTA ETIQUETAS'!$O:$O,'[1]LISTA ETIQUETAS'!H:H,"",0)</f>
        <v>2</v>
      </c>
      <c r="T696" s="9">
        <f t="shared" si="32"/>
        <v>2</v>
      </c>
    </row>
    <row r="697" spans="1:20" x14ac:dyDescent="0.25">
      <c r="A697" s="5">
        <v>334356</v>
      </c>
      <c r="B697" t="str">
        <f>IFERROR((VLOOKUP(A697,'[1]LISTA ETIQUETAS'!O:X,3,0)),"PRODUTO SEM ESTOQUE")</f>
        <v>EST MESA JANTAR MAR ADENTRO (LAMINA 1 EBANIZADO/BS PRETA)</v>
      </c>
      <c r="C697" s="10" t="s">
        <v>52</v>
      </c>
      <c r="D697" s="10" t="s">
        <v>438</v>
      </c>
      <c r="E697" s="11">
        <f>IF(VLOOKUP(A697,'[1]LISTA ETIQUETAS'!O:W,4,0)="",(VLOOKUP(A697,'[1]LISTA ETIQUETAS'!O:W,6,0)),(VLOOKUP(A697,'[1]LISTA ETIQUETAS'!O:W,4,0)))</f>
        <v>3.5</v>
      </c>
      <c r="F697" s="11">
        <f>IF(VLOOKUP(A697,'[1]LISTA ETIQUETAS'!O:W,5,0)="",(VLOOKUP(A697,'[1]LISTA ETIQUETAS'!O:W,7,0)),(VLOOKUP(A697,'[1]LISTA ETIQUETAS'!O:W,5,0)))</f>
        <v>1.2</v>
      </c>
      <c r="G697" s="11">
        <f>IFERROR((VLOOKUP(A697,'[1]LISTA ETIQUETAS'!O:X,8,0)),"")</f>
        <v>0.75</v>
      </c>
      <c r="H697" s="11">
        <f>IFERROR((VLOOKUP(A697,'[1]LISTA ETIQUETAS'!O:X,9,0)),"")</f>
        <v>0</v>
      </c>
      <c r="I697" s="12">
        <f>IFERROR((VLOOKUP(A697,'[1]LISTA ETIQUETAS'!O:Y,11,0)),"")</f>
        <v>71290.42</v>
      </c>
      <c r="J697" s="6">
        <v>0</v>
      </c>
      <c r="K697" s="12">
        <f t="shared" si="30"/>
        <v>71290.42</v>
      </c>
      <c r="L697" s="7" t="str">
        <f>IF(VLOOKUP(A697,'[1]LISTA ETIQUETAS'!O:AB,14,0)="","",(VLOOKUP(A697,'[1]LISTA ETIQUETAS'!O:AB,14,0)))</f>
        <v/>
      </c>
      <c r="M697" s="8"/>
      <c r="N697" s="9">
        <f t="shared" si="31"/>
        <v>334356</v>
      </c>
      <c r="O697" s="2">
        <f>_xlfn.XLOOKUP($A697,'[1]LISTA ETIQUETAS'!$O:$O,'[1]LISTA ETIQUETAS'!C:C,"",0)</f>
        <v>0</v>
      </c>
      <c r="P697" s="2">
        <f>_xlfn.XLOOKUP($A697,'[1]LISTA ETIQUETAS'!$O:$O,'[1]LISTA ETIQUETAS'!D:D,"",0)</f>
        <v>0</v>
      </c>
      <c r="Q697" s="2">
        <f>_xlfn.XLOOKUP($A697,'[1]LISTA ETIQUETAS'!$O:$O,'[1]LISTA ETIQUETAS'!E:E,"",0)</f>
        <v>0</v>
      </c>
      <c r="R697" s="2">
        <f>_xlfn.XLOOKUP($A697,'[1]LISTA ETIQUETAS'!$O:$O,'[1]LISTA ETIQUETAS'!F:F,"",0)</f>
        <v>0</v>
      </c>
      <c r="S697" s="2">
        <f>_xlfn.XLOOKUP($A697,'[1]LISTA ETIQUETAS'!$O:$O,'[1]LISTA ETIQUETAS'!H:H,"",0)</f>
        <v>1</v>
      </c>
      <c r="T697" s="9">
        <f t="shared" si="32"/>
        <v>1</v>
      </c>
    </row>
    <row r="698" spans="1:20" x14ac:dyDescent="0.25">
      <c r="A698" s="5">
        <v>350003</v>
      </c>
      <c r="B698" t="str">
        <f>IFERROR((VLOOKUP(A698,'[1]LISTA ETIQUETAS'!O:X,3,0)),"PRODUTO SEM ESTOQUE")</f>
        <v>EST MESA JANTAR MATISSE (TP CARV GRIS C/DET) (BS CINZA CH)</v>
      </c>
      <c r="C698" s="10" t="s">
        <v>52</v>
      </c>
      <c r="D698" s="10" t="s">
        <v>437</v>
      </c>
      <c r="E698" s="11">
        <f>IF(VLOOKUP(A698,'[1]LISTA ETIQUETAS'!O:W,4,0)="",(VLOOKUP(A698,'[1]LISTA ETIQUETAS'!O:W,6,0)),(VLOOKUP(A698,'[1]LISTA ETIQUETAS'!O:W,4,0)))</f>
        <v>1.83</v>
      </c>
      <c r="F698" s="11">
        <f>IF(VLOOKUP(A698,'[1]LISTA ETIQUETAS'!O:W,5,0)="",(VLOOKUP(A698,'[1]LISTA ETIQUETAS'!O:W,7,0)),(VLOOKUP(A698,'[1]LISTA ETIQUETAS'!O:W,5,0)))</f>
        <v>0</v>
      </c>
      <c r="G698" s="11">
        <f>IFERROR((VLOOKUP(A698,'[1]LISTA ETIQUETAS'!O:X,8,0)),"")</f>
        <v>0.75</v>
      </c>
      <c r="H698" s="11">
        <f>IFERROR((VLOOKUP(A698,'[1]LISTA ETIQUETAS'!O:X,9,0)),"")</f>
        <v>1.83</v>
      </c>
      <c r="I698" s="12">
        <f>IFERROR((VLOOKUP(A698,'[1]LISTA ETIQUETAS'!O:Y,11,0)),"")</f>
        <v>51369.11</v>
      </c>
      <c r="J698" s="6">
        <v>0</v>
      </c>
      <c r="K698" s="12">
        <f t="shared" si="30"/>
        <v>51369.11</v>
      </c>
      <c r="L698" s="7" t="str">
        <f>IF(VLOOKUP(A698,'[1]LISTA ETIQUETAS'!O:AB,14,0)="","",(VLOOKUP(A698,'[1]LISTA ETIQUETAS'!O:AB,14,0)))</f>
        <v/>
      </c>
      <c r="M698" s="8"/>
      <c r="N698" s="9">
        <f t="shared" si="31"/>
        <v>350003</v>
      </c>
      <c r="O698" s="2">
        <f>_xlfn.XLOOKUP($A698,'[1]LISTA ETIQUETAS'!$O:$O,'[1]LISTA ETIQUETAS'!C:C,"",0)</f>
        <v>0</v>
      </c>
      <c r="P698" s="2">
        <f>_xlfn.XLOOKUP($A698,'[1]LISTA ETIQUETAS'!$O:$O,'[1]LISTA ETIQUETAS'!D:D,"",0)</f>
        <v>0</v>
      </c>
      <c r="Q698" s="2">
        <f>_xlfn.XLOOKUP($A698,'[1]LISTA ETIQUETAS'!$O:$O,'[1]LISTA ETIQUETAS'!E:E,"",0)</f>
        <v>0</v>
      </c>
      <c r="R698" s="2">
        <f>_xlfn.XLOOKUP($A698,'[1]LISTA ETIQUETAS'!$O:$O,'[1]LISTA ETIQUETAS'!F:F,"",0)</f>
        <v>0</v>
      </c>
      <c r="S698" s="2">
        <f>_xlfn.XLOOKUP($A698,'[1]LISTA ETIQUETAS'!$O:$O,'[1]LISTA ETIQUETAS'!H:H,"",0)</f>
        <v>1</v>
      </c>
      <c r="T698" s="9">
        <f t="shared" si="32"/>
        <v>1</v>
      </c>
    </row>
    <row r="699" spans="1:20" x14ac:dyDescent="0.25">
      <c r="A699" s="5">
        <v>129366</v>
      </c>
      <c r="B699" t="str">
        <f>IFERROR((VLOOKUP(A699,'[1]LISTA ETIQUETAS'!O:X,3,0)),"PRODUTO SEM ESTOQUE")</f>
        <v>EST MESA JANTAR SAARINEN (MARMOME CARRARA GIOIA) PINT BRANCA</v>
      </c>
      <c r="C699" s="10" t="s">
        <v>52</v>
      </c>
      <c r="D699" s="10" t="s">
        <v>441</v>
      </c>
      <c r="E699" s="11">
        <f>IF(VLOOKUP(A699,'[1]LISTA ETIQUETAS'!O:W,4,0)="",(VLOOKUP(A699,'[1]LISTA ETIQUETAS'!O:W,6,0)),(VLOOKUP(A699,'[1]LISTA ETIQUETAS'!O:W,4,0)))</f>
        <v>0.9</v>
      </c>
      <c r="F699" s="11">
        <f>IF(VLOOKUP(A699,'[1]LISTA ETIQUETAS'!O:W,5,0)="",(VLOOKUP(A699,'[1]LISTA ETIQUETAS'!O:W,7,0)),(VLOOKUP(A699,'[1]LISTA ETIQUETAS'!O:W,5,0)))</f>
        <v>0</v>
      </c>
      <c r="G699" s="11">
        <f>IFERROR((VLOOKUP(A699,'[1]LISTA ETIQUETAS'!O:X,8,0)),"")</f>
        <v>0.75</v>
      </c>
      <c r="H699" s="11">
        <f>IFERROR((VLOOKUP(A699,'[1]LISTA ETIQUETAS'!O:X,9,0)),"")</f>
        <v>0.9</v>
      </c>
      <c r="I699" s="12">
        <f>IFERROR((VLOOKUP(A699,'[1]LISTA ETIQUETAS'!O:Y,11,0)),"")</f>
        <v>21610.799999999999</v>
      </c>
      <c r="J699" s="6">
        <v>0</v>
      </c>
      <c r="K699" s="12">
        <f t="shared" si="30"/>
        <v>21610.799999999999</v>
      </c>
      <c r="L699" s="7" t="str">
        <f>IF(VLOOKUP(A699,'[1]LISTA ETIQUETAS'!O:AB,14,0)="","",(VLOOKUP(A699,'[1]LISTA ETIQUETAS'!O:AB,14,0)))</f>
        <v/>
      </c>
      <c r="M699" s="8"/>
      <c r="N699" s="9">
        <f t="shared" si="31"/>
        <v>129366</v>
      </c>
      <c r="O699" s="2">
        <f>_xlfn.XLOOKUP($A699,'[1]LISTA ETIQUETAS'!$O:$O,'[1]LISTA ETIQUETAS'!C:C,"",0)</f>
        <v>0</v>
      </c>
      <c r="P699" s="2">
        <f>_xlfn.XLOOKUP($A699,'[1]LISTA ETIQUETAS'!$O:$O,'[1]LISTA ETIQUETAS'!D:D,"",0)</f>
        <v>0</v>
      </c>
      <c r="Q699" s="2">
        <f>_xlfn.XLOOKUP($A699,'[1]LISTA ETIQUETAS'!$O:$O,'[1]LISTA ETIQUETAS'!E:E,"",0)</f>
        <v>0</v>
      </c>
      <c r="R699" s="2">
        <f>_xlfn.XLOOKUP($A699,'[1]LISTA ETIQUETAS'!$O:$O,'[1]LISTA ETIQUETAS'!F:F,"",0)</f>
        <v>0</v>
      </c>
      <c r="S699" s="2">
        <f>_xlfn.XLOOKUP($A699,'[1]LISTA ETIQUETAS'!$O:$O,'[1]LISTA ETIQUETAS'!H:H,"",0)</f>
        <v>1</v>
      </c>
      <c r="T699" s="9">
        <f t="shared" si="32"/>
        <v>1</v>
      </c>
    </row>
    <row r="700" spans="1:20" x14ac:dyDescent="0.25">
      <c r="A700" s="5">
        <v>65039</v>
      </c>
      <c r="B700" t="str">
        <f>IFERROR((VLOOKUP(A700,'[1]LISTA ETIQUETAS'!O:X,3,0)),"PRODUTO SEM ESTOQUE")</f>
        <v>EST BASE JANTAR LEQUE (CARVALHO) (LACA BRILHO PRETA)</v>
      </c>
      <c r="C700" s="10" t="s">
        <v>52</v>
      </c>
      <c r="D700" s="10" t="s">
        <v>442</v>
      </c>
      <c r="E700" s="11">
        <f>IF(VLOOKUP(A700,'[1]LISTA ETIQUETAS'!O:W,4,0)="",(VLOOKUP(A700,'[1]LISTA ETIQUETAS'!O:W,6,0)),(VLOOKUP(A700,'[1]LISTA ETIQUETAS'!O:W,4,0)))</f>
        <v>1.1000000000000001</v>
      </c>
      <c r="F700" s="11">
        <f>IF(VLOOKUP(A700,'[1]LISTA ETIQUETAS'!O:W,5,0)="",(VLOOKUP(A700,'[1]LISTA ETIQUETAS'!O:W,7,0)),(VLOOKUP(A700,'[1]LISTA ETIQUETAS'!O:W,5,0)))</f>
        <v>0</v>
      </c>
      <c r="G700" s="11">
        <f>IFERROR((VLOOKUP(A700,'[1]LISTA ETIQUETAS'!O:X,8,0)),"")</f>
        <v>0.75</v>
      </c>
      <c r="H700" s="11">
        <f>IFERROR((VLOOKUP(A700,'[1]LISTA ETIQUETAS'!O:X,9,0)),"")</f>
        <v>1.1000000000000001</v>
      </c>
      <c r="I700" s="12">
        <f>IFERROR((VLOOKUP(A700,'[1]LISTA ETIQUETAS'!O:Y,11,0)),"")</f>
        <v>7127.23</v>
      </c>
      <c r="J700" s="6">
        <v>0</v>
      </c>
      <c r="K700" s="12">
        <f t="shared" si="30"/>
        <v>7127.23</v>
      </c>
      <c r="L700" s="7" t="str">
        <f>IF(VLOOKUP(A700,'[1]LISTA ETIQUETAS'!O:AB,14,0)="","",(VLOOKUP(A700,'[1]LISTA ETIQUETAS'!O:AB,14,0)))</f>
        <v/>
      </c>
      <c r="M700" s="8"/>
      <c r="N700" s="9">
        <f t="shared" si="31"/>
        <v>65039</v>
      </c>
      <c r="O700" s="2">
        <f>_xlfn.XLOOKUP($A700,'[1]LISTA ETIQUETAS'!$O:$O,'[1]LISTA ETIQUETAS'!C:C,"",0)</f>
        <v>0</v>
      </c>
      <c r="P700" s="2">
        <f>_xlfn.XLOOKUP($A700,'[1]LISTA ETIQUETAS'!$O:$O,'[1]LISTA ETIQUETAS'!D:D,"",0)</f>
        <v>0</v>
      </c>
      <c r="Q700" s="2">
        <f>_xlfn.XLOOKUP($A700,'[1]LISTA ETIQUETAS'!$O:$O,'[1]LISTA ETIQUETAS'!E:E,"",0)</f>
        <v>0</v>
      </c>
      <c r="R700" s="2">
        <f>_xlfn.XLOOKUP($A700,'[1]LISTA ETIQUETAS'!$O:$O,'[1]LISTA ETIQUETAS'!F:F,"",0)</f>
        <v>0</v>
      </c>
      <c r="S700" s="2">
        <f>_xlfn.XLOOKUP($A700,'[1]LISTA ETIQUETAS'!$O:$O,'[1]LISTA ETIQUETAS'!H:H,"",0)</f>
        <v>1</v>
      </c>
      <c r="T700" s="9">
        <f t="shared" si="32"/>
        <v>1</v>
      </c>
    </row>
    <row r="701" spans="1:20" x14ac:dyDescent="0.25">
      <c r="A701" s="5">
        <v>101791</v>
      </c>
      <c r="B701" t="str">
        <f>IFERROR((VLOOKUP(A701,'[1]LISTA ETIQUETAS'!O:X,3,0)),"PRODUTO SEM ESTOQUE")</f>
        <v>EST MESA JANTAR EIFFEL C/VIDRO (CUMARU)</v>
      </c>
      <c r="C701" s="10" t="s">
        <v>52</v>
      </c>
      <c r="D701" s="10" t="s">
        <v>443</v>
      </c>
      <c r="E701" s="11">
        <f>IF(VLOOKUP(A701,'[1]LISTA ETIQUETAS'!O:W,4,0)="",(VLOOKUP(A701,'[1]LISTA ETIQUETAS'!O:W,6,0)),(VLOOKUP(A701,'[1]LISTA ETIQUETAS'!O:W,4,0)))</f>
        <v>1.4</v>
      </c>
      <c r="F701" s="11">
        <f>IF(VLOOKUP(A701,'[1]LISTA ETIQUETAS'!O:W,5,0)="",(VLOOKUP(A701,'[1]LISTA ETIQUETAS'!O:W,7,0)),(VLOOKUP(A701,'[1]LISTA ETIQUETAS'!O:W,5,0)))</f>
        <v>1.4</v>
      </c>
      <c r="G701" s="11">
        <f>IFERROR((VLOOKUP(A701,'[1]LISTA ETIQUETAS'!O:X,8,0)),"")</f>
        <v>0.75</v>
      </c>
      <c r="H701" s="11">
        <f>IFERROR((VLOOKUP(A701,'[1]LISTA ETIQUETAS'!O:X,9,0)),"")</f>
        <v>0</v>
      </c>
      <c r="I701" s="12">
        <f>IFERROR((VLOOKUP(A701,'[1]LISTA ETIQUETAS'!O:Y,11,0)),"")</f>
        <v>13976.55</v>
      </c>
      <c r="J701" s="6">
        <v>0</v>
      </c>
      <c r="K701" s="12">
        <f t="shared" si="30"/>
        <v>13976.55</v>
      </c>
      <c r="L701" s="7" t="str">
        <f>IF(VLOOKUP(A701,'[1]LISTA ETIQUETAS'!O:AB,14,0)="","",(VLOOKUP(A701,'[1]LISTA ETIQUETAS'!O:AB,14,0)))</f>
        <v/>
      </c>
      <c r="M701" s="8"/>
      <c r="N701" s="9">
        <f t="shared" si="31"/>
        <v>101791</v>
      </c>
      <c r="O701" s="2">
        <f>_xlfn.XLOOKUP($A701,'[1]LISTA ETIQUETAS'!$O:$O,'[1]LISTA ETIQUETAS'!C:C,"",0)</f>
        <v>0</v>
      </c>
      <c r="P701" s="2">
        <f>_xlfn.XLOOKUP($A701,'[1]LISTA ETIQUETAS'!$O:$O,'[1]LISTA ETIQUETAS'!D:D,"",0)</f>
        <v>0</v>
      </c>
      <c r="Q701" s="2">
        <f>_xlfn.XLOOKUP($A701,'[1]LISTA ETIQUETAS'!$O:$O,'[1]LISTA ETIQUETAS'!E:E,"",0)</f>
        <v>0</v>
      </c>
      <c r="R701" s="2">
        <f>_xlfn.XLOOKUP($A701,'[1]LISTA ETIQUETAS'!$O:$O,'[1]LISTA ETIQUETAS'!F:F,"",0)</f>
        <v>0</v>
      </c>
      <c r="S701" s="2">
        <f>_xlfn.XLOOKUP($A701,'[1]LISTA ETIQUETAS'!$O:$O,'[1]LISTA ETIQUETAS'!H:H,"",0)</f>
        <v>1</v>
      </c>
      <c r="T701" s="9">
        <f t="shared" si="32"/>
        <v>1</v>
      </c>
    </row>
    <row r="702" spans="1:20" x14ac:dyDescent="0.25">
      <c r="A702" s="5">
        <v>88671</v>
      </c>
      <c r="B702" t="str">
        <f>IFERROR((VLOOKUP(A702,'[1]LISTA ETIQUETAS'!O:X,3,0)),"PRODUTO SEM ESTOQUE")</f>
        <v>EST TAMPO SAARINEN OVAL 160X90 FORN 116 PAU FERRO</v>
      </c>
      <c r="C702" s="10" t="s">
        <v>52</v>
      </c>
      <c r="D702" s="10" t="s">
        <v>444</v>
      </c>
      <c r="E702" s="11">
        <f>IF(VLOOKUP(A702,'[1]LISTA ETIQUETAS'!O:W,4,0)="",(VLOOKUP(A702,'[1]LISTA ETIQUETAS'!O:W,6,0)),(VLOOKUP(A702,'[1]LISTA ETIQUETAS'!O:W,4,0)))</f>
        <v>0</v>
      </c>
      <c r="F702" s="11">
        <f>IF(VLOOKUP(A702,'[1]LISTA ETIQUETAS'!O:W,5,0)="",(VLOOKUP(A702,'[1]LISTA ETIQUETAS'!O:W,7,0)),(VLOOKUP(A702,'[1]LISTA ETIQUETAS'!O:W,5,0)))</f>
        <v>0</v>
      </c>
      <c r="G702" s="11">
        <f>IFERROR((VLOOKUP(A702,'[1]LISTA ETIQUETAS'!O:X,8,0)),"")</f>
        <v>0</v>
      </c>
      <c r="H702" s="11">
        <f>IFERROR((VLOOKUP(A702,'[1]LISTA ETIQUETAS'!O:X,9,0)),"")</f>
        <v>0</v>
      </c>
      <c r="I702" s="12">
        <f>IFERROR((VLOOKUP(A702,'[1]LISTA ETIQUETAS'!O:Y,11,0)),"")</f>
        <v>0</v>
      </c>
      <c r="J702" s="6">
        <v>0</v>
      </c>
      <c r="K702" s="12">
        <f t="shared" si="30"/>
        <v>0</v>
      </c>
      <c r="L702" s="7" t="str">
        <f>IF(VLOOKUP(A702,'[1]LISTA ETIQUETAS'!O:AB,14,0)="","",(VLOOKUP(A702,'[1]LISTA ETIQUETAS'!O:AB,14,0)))</f>
        <v/>
      </c>
      <c r="M702" s="8"/>
      <c r="N702" s="9">
        <f t="shared" si="31"/>
        <v>88671</v>
      </c>
      <c r="O702" s="2">
        <f>_xlfn.XLOOKUP($A702,'[1]LISTA ETIQUETAS'!$O:$O,'[1]LISTA ETIQUETAS'!C:C,"",0)</f>
        <v>0</v>
      </c>
      <c r="P702" s="2">
        <f>_xlfn.XLOOKUP($A702,'[1]LISTA ETIQUETAS'!$O:$O,'[1]LISTA ETIQUETAS'!D:D,"",0)</f>
        <v>0</v>
      </c>
      <c r="Q702" s="2">
        <f>_xlfn.XLOOKUP($A702,'[1]LISTA ETIQUETAS'!$O:$O,'[1]LISTA ETIQUETAS'!E:E,"",0)</f>
        <v>0</v>
      </c>
      <c r="R702" s="2">
        <f>_xlfn.XLOOKUP($A702,'[1]LISTA ETIQUETAS'!$O:$O,'[1]LISTA ETIQUETAS'!F:F,"",0)</f>
        <v>0</v>
      </c>
      <c r="S702" s="2">
        <f>_xlfn.XLOOKUP($A702,'[1]LISTA ETIQUETAS'!$O:$O,'[1]LISTA ETIQUETAS'!H:H,"",0)</f>
        <v>1</v>
      </c>
      <c r="T702" s="9">
        <f t="shared" si="32"/>
        <v>1</v>
      </c>
    </row>
    <row r="703" spans="1:20" x14ac:dyDescent="0.25">
      <c r="A703" s="5">
        <v>76865</v>
      </c>
      <c r="B703" t="str">
        <f>IFERROR((VLOOKUP(A703,'[1]LISTA ETIQUETAS'!O:X,3,0)),"PRODUTO SEM ESTOQUE")</f>
        <v>EST BASE JANTAR MULTILAMINADA (FREIJO NATURAL)</v>
      </c>
      <c r="C703" s="10" t="s">
        <v>52</v>
      </c>
      <c r="D703" s="10" t="s">
        <v>445</v>
      </c>
      <c r="E703" s="11">
        <f>IF(VLOOKUP(A703,'[1]LISTA ETIQUETAS'!O:W,4,0)="",(VLOOKUP(A703,'[1]LISTA ETIQUETAS'!O:W,6,0)),(VLOOKUP(A703,'[1]LISTA ETIQUETAS'!O:W,4,0)))</f>
        <v>0.75</v>
      </c>
      <c r="F703" s="11">
        <f>IF(VLOOKUP(A703,'[1]LISTA ETIQUETAS'!O:W,5,0)="",(VLOOKUP(A703,'[1]LISTA ETIQUETAS'!O:W,7,0)),(VLOOKUP(A703,'[1]LISTA ETIQUETAS'!O:W,5,0)))</f>
        <v>0</v>
      </c>
      <c r="G703" s="11">
        <f>IFERROR((VLOOKUP(A703,'[1]LISTA ETIQUETAS'!O:X,8,0)),"")</f>
        <v>0.75</v>
      </c>
      <c r="H703" s="11">
        <f>IFERROR((VLOOKUP(A703,'[1]LISTA ETIQUETAS'!O:X,9,0)),"")</f>
        <v>0.75</v>
      </c>
      <c r="I703" s="12">
        <f>IFERROR((VLOOKUP(A703,'[1]LISTA ETIQUETAS'!O:Y,11,0)),"")</f>
        <v>4480</v>
      </c>
      <c r="J703" s="6">
        <v>0</v>
      </c>
      <c r="K703" s="12">
        <f t="shared" si="30"/>
        <v>4480</v>
      </c>
      <c r="L703" s="7" t="str">
        <f>IF(VLOOKUP(A703,'[1]LISTA ETIQUETAS'!O:AB,14,0)="","",(VLOOKUP(A703,'[1]LISTA ETIQUETAS'!O:AB,14,0)))</f>
        <v/>
      </c>
      <c r="M703" s="8"/>
      <c r="N703" s="9">
        <f t="shared" si="31"/>
        <v>76865</v>
      </c>
      <c r="O703" s="2">
        <f>_xlfn.XLOOKUP($A703,'[1]LISTA ETIQUETAS'!$O:$O,'[1]LISTA ETIQUETAS'!C:C,"",0)</f>
        <v>0</v>
      </c>
      <c r="P703" s="2">
        <f>_xlfn.XLOOKUP($A703,'[1]LISTA ETIQUETAS'!$O:$O,'[1]LISTA ETIQUETAS'!D:D,"",0)</f>
        <v>0</v>
      </c>
      <c r="Q703" s="2">
        <f>_xlfn.XLOOKUP($A703,'[1]LISTA ETIQUETAS'!$O:$O,'[1]LISTA ETIQUETAS'!E:E,"",0)</f>
        <v>0</v>
      </c>
      <c r="R703" s="2">
        <f>_xlfn.XLOOKUP($A703,'[1]LISTA ETIQUETAS'!$O:$O,'[1]LISTA ETIQUETAS'!F:F,"",0)</f>
        <v>0</v>
      </c>
      <c r="S703" s="2">
        <f>_xlfn.XLOOKUP($A703,'[1]LISTA ETIQUETAS'!$O:$O,'[1]LISTA ETIQUETAS'!H:H,"",0)</f>
        <v>1</v>
      </c>
      <c r="T703" s="9">
        <f t="shared" si="32"/>
        <v>1</v>
      </c>
    </row>
    <row r="704" spans="1:20" x14ac:dyDescent="0.25">
      <c r="A704" s="5">
        <v>128623</v>
      </c>
      <c r="B704" t="str">
        <f>IFERROR((VLOOKUP(A704,'[1]LISTA ETIQUETAS'!O:X,3,0)),"PRODUTO SEM ESTOQUE")</f>
        <v>EST MESA JANTAR ALTAMIRA (LACA BRILHO POLIESTER LARANJA Y021</v>
      </c>
      <c r="C704" s="10" t="s">
        <v>52</v>
      </c>
      <c r="D704" s="10" t="s">
        <v>446</v>
      </c>
      <c r="E704" s="11">
        <f>IF(VLOOKUP(A704,'[1]LISTA ETIQUETAS'!O:W,4,0)="",(VLOOKUP(A704,'[1]LISTA ETIQUETAS'!O:W,6,0)),(VLOOKUP(A704,'[1]LISTA ETIQUETAS'!O:W,4,0)))</f>
        <v>2.8</v>
      </c>
      <c r="F704" s="11">
        <f>IF(VLOOKUP(A704,'[1]LISTA ETIQUETAS'!O:W,5,0)="",(VLOOKUP(A704,'[1]LISTA ETIQUETAS'!O:W,7,0)),(VLOOKUP(A704,'[1]LISTA ETIQUETAS'!O:W,5,0)))</f>
        <v>1.3</v>
      </c>
      <c r="G704" s="11">
        <f>IFERROR((VLOOKUP(A704,'[1]LISTA ETIQUETAS'!O:X,8,0)),"")</f>
        <v>0.76</v>
      </c>
      <c r="H704" s="11">
        <f>IFERROR((VLOOKUP(A704,'[1]LISTA ETIQUETAS'!O:X,9,0)),"")</f>
        <v>0</v>
      </c>
      <c r="I704" s="12">
        <f>IFERROR((VLOOKUP(A704,'[1]LISTA ETIQUETAS'!O:Y,11,0)),"")</f>
        <v>43576.24</v>
      </c>
      <c r="J704" s="6">
        <v>0</v>
      </c>
      <c r="K704" s="12">
        <f t="shared" si="30"/>
        <v>43576.24</v>
      </c>
      <c r="L704" s="7" t="str">
        <f>IF(VLOOKUP(A704,'[1]LISTA ETIQUETAS'!O:AB,14,0)="","",(VLOOKUP(A704,'[1]LISTA ETIQUETAS'!O:AB,14,0)))</f>
        <v/>
      </c>
      <c r="M704" s="8"/>
      <c r="N704" s="9">
        <f t="shared" si="31"/>
        <v>128623</v>
      </c>
      <c r="O704" s="2">
        <f>_xlfn.XLOOKUP($A704,'[1]LISTA ETIQUETAS'!$O:$O,'[1]LISTA ETIQUETAS'!C:C,"",0)</f>
        <v>0</v>
      </c>
      <c r="P704" s="2">
        <f>_xlfn.XLOOKUP($A704,'[1]LISTA ETIQUETAS'!$O:$O,'[1]LISTA ETIQUETAS'!D:D,"",0)</f>
        <v>0</v>
      </c>
      <c r="Q704" s="2">
        <f>_xlfn.XLOOKUP($A704,'[1]LISTA ETIQUETAS'!$O:$O,'[1]LISTA ETIQUETAS'!E:E,"",0)</f>
        <v>0</v>
      </c>
      <c r="R704" s="2">
        <f>_xlfn.XLOOKUP($A704,'[1]LISTA ETIQUETAS'!$O:$O,'[1]LISTA ETIQUETAS'!F:F,"",0)</f>
        <v>0</v>
      </c>
      <c r="S704" s="2">
        <f>_xlfn.XLOOKUP($A704,'[1]LISTA ETIQUETAS'!$O:$O,'[1]LISTA ETIQUETAS'!H:H,"",0)</f>
        <v>1</v>
      </c>
      <c r="T704" s="9">
        <f t="shared" si="32"/>
        <v>1</v>
      </c>
    </row>
    <row r="705" spans="1:20" x14ac:dyDescent="0.25">
      <c r="A705" s="5">
        <v>146214</v>
      </c>
      <c r="B705" t="str">
        <f>IFERROR((VLOOKUP(A705,'[1]LISTA ETIQUETAS'!O:X,3,0)),"PRODUTO SEM ESTOQUE")</f>
        <v>EST MESA JANTAR TEV (VIDRO LACA BRACO BRILHO/TAUARI NOG)</v>
      </c>
      <c r="C705" s="10" t="s">
        <v>52</v>
      </c>
      <c r="D705" s="10" t="s">
        <v>447</v>
      </c>
      <c r="E705" s="11">
        <f>IF(VLOOKUP(A705,'[1]LISTA ETIQUETAS'!O:W,4,0)="",(VLOOKUP(A705,'[1]LISTA ETIQUETAS'!O:W,6,0)),(VLOOKUP(A705,'[1]LISTA ETIQUETAS'!O:W,4,0)))</f>
        <v>1.2</v>
      </c>
      <c r="F705" s="11">
        <f>IF(VLOOKUP(A705,'[1]LISTA ETIQUETAS'!O:W,5,0)="",(VLOOKUP(A705,'[1]LISTA ETIQUETAS'!O:W,7,0)),(VLOOKUP(A705,'[1]LISTA ETIQUETAS'!O:W,5,0)))</f>
        <v>1.2</v>
      </c>
      <c r="G705" s="11">
        <f>IFERROR((VLOOKUP(A705,'[1]LISTA ETIQUETAS'!O:X,8,0)),"")</f>
        <v>0.75</v>
      </c>
      <c r="H705" s="11">
        <f>IFERROR((VLOOKUP(A705,'[1]LISTA ETIQUETAS'!O:X,9,0)),"")</f>
        <v>0</v>
      </c>
      <c r="I705" s="12">
        <f>IFERROR((VLOOKUP(A705,'[1]LISTA ETIQUETAS'!O:Y,11,0)),"")</f>
        <v>26995.58</v>
      </c>
      <c r="J705" s="6">
        <v>0</v>
      </c>
      <c r="K705" s="12">
        <f t="shared" si="30"/>
        <v>26995.58</v>
      </c>
      <c r="L705" s="7" t="str">
        <f>IF(VLOOKUP(A705,'[1]LISTA ETIQUETAS'!O:AB,14,0)="","",(VLOOKUP(A705,'[1]LISTA ETIQUETAS'!O:AB,14,0)))</f>
        <v/>
      </c>
      <c r="M705" s="8"/>
      <c r="N705" s="9">
        <f t="shared" si="31"/>
        <v>146214</v>
      </c>
      <c r="O705" s="2">
        <f>_xlfn.XLOOKUP($A705,'[1]LISTA ETIQUETAS'!$O:$O,'[1]LISTA ETIQUETAS'!C:C,"",0)</f>
        <v>0</v>
      </c>
      <c r="P705" s="2">
        <f>_xlfn.XLOOKUP($A705,'[1]LISTA ETIQUETAS'!$O:$O,'[1]LISTA ETIQUETAS'!D:D,"",0)</f>
        <v>0</v>
      </c>
      <c r="Q705" s="2">
        <f>_xlfn.XLOOKUP($A705,'[1]LISTA ETIQUETAS'!$O:$O,'[1]LISTA ETIQUETAS'!E:E,"",0)</f>
        <v>0</v>
      </c>
      <c r="R705" s="2">
        <f>_xlfn.XLOOKUP($A705,'[1]LISTA ETIQUETAS'!$O:$O,'[1]LISTA ETIQUETAS'!F:F,"",0)</f>
        <v>0</v>
      </c>
      <c r="S705" s="2">
        <f>_xlfn.XLOOKUP($A705,'[1]LISTA ETIQUETAS'!$O:$O,'[1]LISTA ETIQUETAS'!H:H,"",0)</f>
        <v>1</v>
      </c>
      <c r="T705" s="9">
        <f t="shared" si="32"/>
        <v>1</v>
      </c>
    </row>
    <row r="706" spans="1:20" x14ac:dyDescent="0.25">
      <c r="A706" s="5">
        <v>154009</v>
      </c>
      <c r="B706" t="str">
        <f>IFERROR((VLOOKUP(A706,'[1]LISTA ETIQUETAS'!O:X,3,0)),"PRODUTO SEM ESTOQUE")</f>
        <v>EST MESA JANTAR RAIZES (CATUABA AVELUDADA) (PES LATAO)</v>
      </c>
      <c r="C706" s="10" t="s">
        <v>52</v>
      </c>
      <c r="D706" s="10" t="s">
        <v>448</v>
      </c>
      <c r="E706" s="11">
        <f>IF(VLOOKUP(A706,'[1]LISTA ETIQUETAS'!O:W,4,0)="",(VLOOKUP(A706,'[1]LISTA ETIQUETAS'!O:W,6,0)),(VLOOKUP(A706,'[1]LISTA ETIQUETAS'!O:W,4,0)))</f>
        <v>2.8</v>
      </c>
      <c r="F706" s="11">
        <f>IF(VLOOKUP(A706,'[1]LISTA ETIQUETAS'!O:W,5,0)="",(VLOOKUP(A706,'[1]LISTA ETIQUETAS'!O:W,7,0)),(VLOOKUP(A706,'[1]LISTA ETIQUETAS'!O:W,5,0)))</f>
        <v>1.2</v>
      </c>
      <c r="G706" s="11">
        <f>IFERROR((VLOOKUP(A706,'[1]LISTA ETIQUETAS'!O:X,8,0)),"")</f>
        <v>0.75</v>
      </c>
      <c r="H706" s="11">
        <f>IFERROR((VLOOKUP(A706,'[1]LISTA ETIQUETAS'!O:X,9,0)),"")</f>
        <v>0</v>
      </c>
      <c r="I706" s="12" t="str">
        <f>IFERROR((VLOOKUP(A706,'[1]LISTA ETIQUETAS'!O:Y,11,0)),"")</f>
        <v>EST</v>
      </c>
      <c r="J706" s="6">
        <v>0</v>
      </c>
      <c r="K706" s="12" t="str">
        <f t="shared" si="30"/>
        <v/>
      </c>
      <c r="L706" s="7" t="str">
        <f>IF(VLOOKUP(A706,'[1]LISTA ETIQUETAS'!O:AB,14,0)="","",(VLOOKUP(A706,'[1]LISTA ETIQUETAS'!O:AB,14,0)))</f>
        <v/>
      </c>
      <c r="M706" s="8"/>
      <c r="N706" s="9">
        <f t="shared" si="31"/>
        <v>154009</v>
      </c>
      <c r="O706" s="2">
        <f>_xlfn.XLOOKUP($A706,'[1]LISTA ETIQUETAS'!$O:$O,'[1]LISTA ETIQUETAS'!C:C,"",0)</f>
        <v>0</v>
      </c>
      <c r="P706" s="2">
        <f>_xlfn.XLOOKUP($A706,'[1]LISTA ETIQUETAS'!$O:$O,'[1]LISTA ETIQUETAS'!D:D,"",0)</f>
        <v>0</v>
      </c>
      <c r="Q706" s="2">
        <f>_xlfn.XLOOKUP($A706,'[1]LISTA ETIQUETAS'!$O:$O,'[1]LISTA ETIQUETAS'!E:E,"",0)</f>
        <v>0</v>
      </c>
      <c r="R706" s="2">
        <f>_xlfn.XLOOKUP($A706,'[1]LISTA ETIQUETAS'!$O:$O,'[1]LISTA ETIQUETAS'!F:F,"",0)</f>
        <v>0</v>
      </c>
      <c r="S706" s="2">
        <f>_xlfn.XLOOKUP($A706,'[1]LISTA ETIQUETAS'!$O:$O,'[1]LISTA ETIQUETAS'!H:H,"",0)</f>
        <v>1</v>
      </c>
      <c r="T706" s="9">
        <f t="shared" si="32"/>
        <v>1</v>
      </c>
    </row>
    <row r="707" spans="1:20" x14ac:dyDescent="0.25">
      <c r="A707" s="5">
        <v>151384</v>
      </c>
      <c r="B707" t="str">
        <f>IFERROR((VLOOKUP(A707,'[1]LISTA ETIQUETAS'!O:X,3,0)),"PRODUTO SEM ESTOQUE")</f>
        <v>EST MESA JANTAR VERMONT (FITA 10MM ARGILA RASPADO TP CUMARU)</v>
      </c>
      <c r="C707" s="10" t="s">
        <v>52</v>
      </c>
      <c r="D707" s="10" t="s">
        <v>449</v>
      </c>
      <c r="E707" s="11">
        <f>IF(VLOOKUP(A707,'[1]LISTA ETIQUETAS'!O:W,4,0)="",(VLOOKUP(A707,'[1]LISTA ETIQUETAS'!O:W,6,0)),(VLOOKUP(A707,'[1]LISTA ETIQUETAS'!O:W,4,0)))</f>
        <v>1.5</v>
      </c>
      <c r="F707" s="11">
        <f>IF(VLOOKUP(A707,'[1]LISTA ETIQUETAS'!O:W,5,0)="",(VLOOKUP(A707,'[1]LISTA ETIQUETAS'!O:W,7,0)),(VLOOKUP(A707,'[1]LISTA ETIQUETAS'!O:W,5,0)))</f>
        <v>1.5</v>
      </c>
      <c r="G707" s="11">
        <f>IFERROR((VLOOKUP(A707,'[1]LISTA ETIQUETAS'!O:X,8,0)),"")</f>
        <v>0.8</v>
      </c>
      <c r="H707" s="11">
        <f>IFERROR((VLOOKUP(A707,'[1]LISTA ETIQUETAS'!O:X,9,0)),"")</f>
        <v>0</v>
      </c>
      <c r="I707" s="12" t="str">
        <f>IFERROR((VLOOKUP(A707,'[1]LISTA ETIQUETAS'!O:Y,11,0)),"")</f>
        <v>EST</v>
      </c>
      <c r="J707" s="6">
        <v>0</v>
      </c>
      <c r="K707" s="12" t="str">
        <f t="shared" ref="K707:K770" si="33">IFERROR(I707-I707*J707,"")</f>
        <v/>
      </c>
      <c r="L707" s="7" t="str">
        <f>IF(VLOOKUP(A707,'[1]LISTA ETIQUETAS'!O:AB,14,0)="","",(VLOOKUP(A707,'[1]LISTA ETIQUETAS'!O:AB,14,0)))</f>
        <v/>
      </c>
      <c r="M707" s="8"/>
      <c r="N707" s="9">
        <f t="shared" si="31"/>
        <v>151384</v>
      </c>
      <c r="O707" s="2">
        <f>_xlfn.XLOOKUP($A707,'[1]LISTA ETIQUETAS'!$O:$O,'[1]LISTA ETIQUETAS'!C:C,"",0)</f>
        <v>0</v>
      </c>
      <c r="P707" s="2">
        <f>_xlfn.XLOOKUP($A707,'[1]LISTA ETIQUETAS'!$O:$O,'[1]LISTA ETIQUETAS'!D:D,"",0)</f>
        <v>0</v>
      </c>
      <c r="Q707" s="2">
        <f>_xlfn.XLOOKUP($A707,'[1]LISTA ETIQUETAS'!$O:$O,'[1]LISTA ETIQUETAS'!E:E,"",0)</f>
        <v>0</v>
      </c>
      <c r="R707" s="2">
        <f>_xlfn.XLOOKUP($A707,'[1]LISTA ETIQUETAS'!$O:$O,'[1]LISTA ETIQUETAS'!F:F,"",0)</f>
        <v>0</v>
      </c>
      <c r="S707" s="2">
        <f>_xlfn.XLOOKUP($A707,'[1]LISTA ETIQUETAS'!$O:$O,'[1]LISTA ETIQUETAS'!H:H,"",0)</f>
        <v>1</v>
      </c>
      <c r="T707" s="9">
        <f t="shared" si="32"/>
        <v>1</v>
      </c>
    </row>
    <row r="708" spans="1:20" x14ac:dyDescent="0.25">
      <c r="A708" s="5">
        <v>151722</v>
      </c>
      <c r="B708" t="str">
        <f>IFERROR((VLOOKUP(A708,'[1]LISTA ETIQUETAS'!O:X,3,0)),"PRODUTO SEM ESTOQUE")</f>
        <v>EST MESA JANTAR ALTAMIRA CARVALHO TITANIUM MTZ FOSCO</v>
      </c>
      <c r="C708" s="10" t="s">
        <v>52</v>
      </c>
      <c r="D708" s="10" t="s">
        <v>446</v>
      </c>
      <c r="E708" s="11">
        <f>IF(VLOOKUP(A708,'[1]LISTA ETIQUETAS'!O:W,4,0)="",(VLOOKUP(A708,'[1]LISTA ETIQUETAS'!O:W,6,0)),(VLOOKUP(A708,'[1]LISTA ETIQUETAS'!O:W,4,0)))</f>
        <v>2.6</v>
      </c>
      <c r="F708" s="11">
        <f>IF(VLOOKUP(A708,'[1]LISTA ETIQUETAS'!O:W,5,0)="",(VLOOKUP(A708,'[1]LISTA ETIQUETAS'!O:W,7,0)),(VLOOKUP(A708,'[1]LISTA ETIQUETAS'!O:W,5,0)))</f>
        <v>1.2</v>
      </c>
      <c r="G708" s="11">
        <f>IFERROR((VLOOKUP(A708,'[1]LISTA ETIQUETAS'!O:X,8,0)),"")</f>
        <v>0.76</v>
      </c>
      <c r="H708" s="11">
        <f>IFERROR((VLOOKUP(A708,'[1]LISTA ETIQUETAS'!O:X,9,0)),"")</f>
        <v>0</v>
      </c>
      <c r="I708" s="12">
        <f>IFERROR((VLOOKUP(A708,'[1]LISTA ETIQUETAS'!O:Y,11,0)),"")</f>
        <v>40096</v>
      </c>
      <c r="J708" s="6">
        <v>0</v>
      </c>
      <c r="K708" s="12">
        <f t="shared" si="33"/>
        <v>40096</v>
      </c>
      <c r="L708" s="7" t="str">
        <f>IF(VLOOKUP(A708,'[1]LISTA ETIQUETAS'!O:AB,14,0)="","",(VLOOKUP(A708,'[1]LISTA ETIQUETAS'!O:AB,14,0)))</f>
        <v/>
      </c>
      <c r="M708" s="8"/>
      <c r="N708" s="9">
        <f t="shared" ref="N708:N771" si="34">IF(M708="",A708,M708)</f>
        <v>151722</v>
      </c>
      <c r="O708" s="2">
        <f>_xlfn.XLOOKUP($A708,'[1]LISTA ETIQUETAS'!$O:$O,'[1]LISTA ETIQUETAS'!C:C,"",0)</f>
        <v>0</v>
      </c>
      <c r="P708" s="2">
        <f>_xlfn.XLOOKUP($A708,'[1]LISTA ETIQUETAS'!$O:$O,'[1]LISTA ETIQUETAS'!D:D,"",0)</f>
        <v>0</v>
      </c>
      <c r="Q708" s="2">
        <f>_xlfn.XLOOKUP($A708,'[1]LISTA ETIQUETAS'!$O:$O,'[1]LISTA ETIQUETAS'!E:E,"",0)</f>
        <v>0</v>
      </c>
      <c r="R708" s="2">
        <f>_xlfn.XLOOKUP($A708,'[1]LISTA ETIQUETAS'!$O:$O,'[1]LISTA ETIQUETAS'!F:F,"",0)</f>
        <v>0</v>
      </c>
      <c r="S708" s="2">
        <f>_xlfn.XLOOKUP($A708,'[1]LISTA ETIQUETAS'!$O:$O,'[1]LISTA ETIQUETAS'!H:H,"",0)</f>
        <v>2</v>
      </c>
      <c r="T708" s="9">
        <f t="shared" ref="T708:T771" si="35">SUM(O708:S708)</f>
        <v>2</v>
      </c>
    </row>
    <row r="709" spans="1:20" x14ac:dyDescent="0.25">
      <c r="A709" s="5">
        <v>179265</v>
      </c>
      <c r="B709" t="str">
        <f>IFERROR((VLOOKUP(A709,'[1]LISTA ETIQUETAS'!O:X,3,0)),"PRODUTO SEM ESTOQUE")</f>
        <v>EST MESA JANTAR REDE (BASE POLISTER F100)</v>
      </c>
      <c r="C709" s="10" t="s">
        <v>52</v>
      </c>
      <c r="D709" s="10" t="s">
        <v>450</v>
      </c>
      <c r="E709" s="11">
        <f>IF(VLOOKUP(A709,'[1]LISTA ETIQUETAS'!O:W,4,0)="",(VLOOKUP(A709,'[1]LISTA ETIQUETAS'!O:W,6,0)),(VLOOKUP(A709,'[1]LISTA ETIQUETAS'!O:W,4,0)))</f>
        <v>2.0499999999999998</v>
      </c>
      <c r="F709" s="11">
        <f>IF(VLOOKUP(A709,'[1]LISTA ETIQUETAS'!O:W,5,0)="",(VLOOKUP(A709,'[1]LISTA ETIQUETAS'!O:W,7,0)),(VLOOKUP(A709,'[1]LISTA ETIQUETAS'!O:W,5,0)))</f>
        <v>0.5</v>
      </c>
      <c r="G709" s="11">
        <f>IFERROR((VLOOKUP(A709,'[1]LISTA ETIQUETAS'!O:X,8,0)),"")</f>
        <v>0.76</v>
      </c>
      <c r="H709" s="11">
        <f>IFERROR((VLOOKUP(A709,'[1]LISTA ETIQUETAS'!O:X,9,0)),"")</f>
        <v>0</v>
      </c>
      <c r="I709" s="12" t="str">
        <f>IFERROR((VLOOKUP(A709,'[1]LISTA ETIQUETAS'!O:Y,11,0)),"")</f>
        <v>EST</v>
      </c>
      <c r="J709" s="6">
        <v>0</v>
      </c>
      <c r="K709" s="12" t="str">
        <f t="shared" si="33"/>
        <v/>
      </c>
      <c r="L709" s="7" t="str">
        <f>IF(VLOOKUP(A709,'[1]LISTA ETIQUETAS'!O:AB,14,0)="","",(VLOOKUP(A709,'[1]LISTA ETIQUETAS'!O:AB,14,0)))</f>
        <v/>
      </c>
      <c r="M709" s="8"/>
      <c r="N709" s="9">
        <f t="shared" si="34"/>
        <v>179265</v>
      </c>
      <c r="O709" s="2">
        <f>_xlfn.XLOOKUP($A709,'[1]LISTA ETIQUETAS'!$O:$O,'[1]LISTA ETIQUETAS'!C:C,"",0)</f>
        <v>0</v>
      </c>
      <c r="P709" s="2">
        <f>_xlfn.XLOOKUP($A709,'[1]LISTA ETIQUETAS'!$O:$O,'[1]LISTA ETIQUETAS'!D:D,"",0)</f>
        <v>0</v>
      </c>
      <c r="Q709" s="2">
        <f>_xlfn.XLOOKUP($A709,'[1]LISTA ETIQUETAS'!$O:$O,'[1]LISTA ETIQUETAS'!E:E,"",0)</f>
        <v>0</v>
      </c>
      <c r="R709" s="2">
        <f>_xlfn.XLOOKUP($A709,'[1]LISTA ETIQUETAS'!$O:$O,'[1]LISTA ETIQUETAS'!F:F,"",0)</f>
        <v>0</v>
      </c>
      <c r="S709" s="2">
        <f>_xlfn.XLOOKUP($A709,'[1]LISTA ETIQUETAS'!$O:$O,'[1]LISTA ETIQUETAS'!H:H,"",0)</f>
        <v>2</v>
      </c>
      <c r="T709" s="9">
        <f t="shared" si="35"/>
        <v>2</v>
      </c>
    </row>
    <row r="710" spans="1:20" x14ac:dyDescent="0.25">
      <c r="A710" s="5">
        <v>181594</v>
      </c>
      <c r="B710" t="str">
        <f>IFERROR((VLOOKUP(A710,'[1]LISTA ETIQUETAS'!O:X,3,0)),"PRODUTO SEM ESTOQUE")</f>
        <v>EST BASE JANTAR COPACABANA (PINTURA PRETA)</v>
      </c>
      <c r="C710" s="10" t="s">
        <v>52</v>
      </c>
      <c r="D710" s="10" t="s">
        <v>451</v>
      </c>
      <c r="E710" s="11">
        <f>IF(VLOOKUP(A710,'[1]LISTA ETIQUETAS'!O:W,4,0)="",(VLOOKUP(A710,'[1]LISTA ETIQUETAS'!O:W,6,0)),(VLOOKUP(A710,'[1]LISTA ETIQUETAS'!O:W,4,0)))</f>
        <v>1</v>
      </c>
      <c r="F710" s="11">
        <f>IF(VLOOKUP(A710,'[1]LISTA ETIQUETAS'!O:W,5,0)="",(VLOOKUP(A710,'[1]LISTA ETIQUETAS'!O:W,7,0)),(VLOOKUP(A710,'[1]LISTA ETIQUETAS'!O:W,5,0)))</f>
        <v>0.6</v>
      </c>
      <c r="G710" s="11">
        <f>IFERROR((VLOOKUP(A710,'[1]LISTA ETIQUETAS'!O:X,8,0)),"")</f>
        <v>0.7</v>
      </c>
      <c r="H710" s="11">
        <f>IFERROR((VLOOKUP(A710,'[1]LISTA ETIQUETAS'!O:X,9,0)),"")</f>
        <v>0</v>
      </c>
      <c r="I710" s="12">
        <f>IFERROR((VLOOKUP(A710,'[1]LISTA ETIQUETAS'!O:Y,11,0)),"")</f>
        <v>11248.12</v>
      </c>
      <c r="J710" s="6">
        <v>0</v>
      </c>
      <c r="K710" s="12">
        <f t="shared" si="33"/>
        <v>11248.12</v>
      </c>
      <c r="L710" s="7" t="str">
        <f>IF(VLOOKUP(A710,'[1]LISTA ETIQUETAS'!O:AB,14,0)="","",(VLOOKUP(A710,'[1]LISTA ETIQUETAS'!O:AB,14,0)))</f>
        <v/>
      </c>
      <c r="M710" s="8"/>
      <c r="N710" s="9">
        <f t="shared" si="34"/>
        <v>181594</v>
      </c>
      <c r="O710" s="2">
        <f>_xlfn.XLOOKUP($A710,'[1]LISTA ETIQUETAS'!$O:$O,'[1]LISTA ETIQUETAS'!C:C,"",0)</f>
        <v>0</v>
      </c>
      <c r="P710" s="2">
        <f>_xlfn.XLOOKUP($A710,'[1]LISTA ETIQUETAS'!$O:$O,'[1]LISTA ETIQUETAS'!D:D,"",0)</f>
        <v>0</v>
      </c>
      <c r="Q710" s="2">
        <f>_xlfn.XLOOKUP($A710,'[1]LISTA ETIQUETAS'!$O:$O,'[1]LISTA ETIQUETAS'!E:E,"",0)</f>
        <v>0</v>
      </c>
      <c r="R710" s="2">
        <f>_xlfn.XLOOKUP($A710,'[1]LISTA ETIQUETAS'!$O:$O,'[1]LISTA ETIQUETAS'!F:F,"",0)</f>
        <v>0</v>
      </c>
      <c r="S710" s="2">
        <f>_xlfn.XLOOKUP($A710,'[1]LISTA ETIQUETAS'!$O:$O,'[1]LISTA ETIQUETAS'!H:H,"",0)</f>
        <v>1</v>
      </c>
      <c r="T710" s="9">
        <f t="shared" si="35"/>
        <v>1</v>
      </c>
    </row>
    <row r="711" spans="1:20" x14ac:dyDescent="0.25">
      <c r="A711" s="5">
        <v>190044</v>
      </c>
      <c r="B711" t="str">
        <f>IFERROR((VLOOKUP(A711,'[1]LISTA ETIQUETAS'!O:X,3,0)),"PRODUTO SEM ESTOQUE")</f>
        <v>EST BASE JANTAR ESPLANADA (LOURO FREIJO ENV)</v>
      </c>
      <c r="C711" s="10" t="s">
        <v>52</v>
      </c>
      <c r="D711" s="10" t="s">
        <v>452</v>
      </c>
      <c r="E711" s="11">
        <f>IF(VLOOKUP(A711,'[1]LISTA ETIQUETAS'!O:W,4,0)="",(VLOOKUP(A711,'[1]LISTA ETIQUETAS'!O:W,6,0)),(VLOOKUP(A711,'[1]LISTA ETIQUETAS'!O:W,4,0)))</f>
        <v>1.69</v>
      </c>
      <c r="F711" s="11">
        <f>IF(VLOOKUP(A711,'[1]LISTA ETIQUETAS'!O:W,5,0)="",(VLOOKUP(A711,'[1]LISTA ETIQUETAS'!O:W,7,0)),(VLOOKUP(A711,'[1]LISTA ETIQUETAS'!O:W,5,0)))</f>
        <v>0.99</v>
      </c>
      <c r="G711" s="11">
        <f>IFERROR((VLOOKUP(A711,'[1]LISTA ETIQUETAS'!O:X,8,0)),"")</f>
        <v>0.73</v>
      </c>
      <c r="H711" s="11">
        <f>IFERROR((VLOOKUP(A711,'[1]LISTA ETIQUETAS'!O:X,9,0)),"")</f>
        <v>0</v>
      </c>
      <c r="I711" s="12">
        <f>IFERROR((VLOOKUP(A711,'[1]LISTA ETIQUETAS'!O:Y,11,0)),"")</f>
        <v>0</v>
      </c>
      <c r="J711" s="6">
        <v>0</v>
      </c>
      <c r="K711" s="12">
        <f t="shared" si="33"/>
        <v>0</v>
      </c>
      <c r="L711" s="7" t="str">
        <f>IF(VLOOKUP(A711,'[1]LISTA ETIQUETAS'!O:AB,14,0)="","",(VLOOKUP(A711,'[1]LISTA ETIQUETAS'!O:AB,14,0)))</f>
        <v/>
      </c>
      <c r="M711" s="8"/>
      <c r="N711" s="9">
        <f t="shared" si="34"/>
        <v>190044</v>
      </c>
      <c r="O711" s="2">
        <f>_xlfn.XLOOKUP($A711,'[1]LISTA ETIQUETAS'!$O:$O,'[1]LISTA ETIQUETAS'!C:C,"",0)</f>
        <v>0</v>
      </c>
      <c r="P711" s="2">
        <f>_xlfn.XLOOKUP($A711,'[1]LISTA ETIQUETAS'!$O:$O,'[1]LISTA ETIQUETAS'!D:D,"",0)</f>
        <v>0</v>
      </c>
      <c r="Q711" s="2">
        <f>_xlfn.XLOOKUP($A711,'[1]LISTA ETIQUETAS'!$O:$O,'[1]LISTA ETIQUETAS'!E:E,"",0)</f>
        <v>0</v>
      </c>
      <c r="R711" s="2">
        <f>_xlfn.XLOOKUP($A711,'[1]LISTA ETIQUETAS'!$O:$O,'[1]LISTA ETIQUETAS'!F:F,"",0)</f>
        <v>0</v>
      </c>
      <c r="S711" s="2">
        <f>_xlfn.XLOOKUP($A711,'[1]LISTA ETIQUETAS'!$O:$O,'[1]LISTA ETIQUETAS'!H:H,"",0)</f>
        <v>1</v>
      </c>
      <c r="T711" s="9">
        <f t="shared" si="35"/>
        <v>1</v>
      </c>
    </row>
    <row r="712" spans="1:20" x14ac:dyDescent="0.25">
      <c r="A712" s="5">
        <v>217873</v>
      </c>
      <c r="B712" t="str">
        <f>IFERROR((VLOOKUP(A712,'[1]LISTA ETIQUETAS'!O:X,3,0)),"PRODUTO SEM ESTOQUE")</f>
        <v>EST MESA JANTAR MATRIZ (INT LAMIANA NOGUEIRA) (EXT ACO CRU)</v>
      </c>
      <c r="C712" s="10" t="s">
        <v>52</v>
      </c>
      <c r="D712" s="10" t="s">
        <v>447</v>
      </c>
      <c r="E712" s="11">
        <f>IF(VLOOKUP(A712,'[1]LISTA ETIQUETAS'!O:W,4,0)="",(VLOOKUP(A712,'[1]LISTA ETIQUETAS'!O:W,6,0)),(VLOOKUP(A712,'[1]LISTA ETIQUETAS'!O:W,4,0)))</f>
        <v>1.9</v>
      </c>
      <c r="F712" s="11">
        <f>IF(VLOOKUP(A712,'[1]LISTA ETIQUETAS'!O:W,5,0)="",(VLOOKUP(A712,'[1]LISTA ETIQUETAS'!O:W,7,0)),(VLOOKUP(A712,'[1]LISTA ETIQUETAS'!O:W,5,0)))</f>
        <v>0.7</v>
      </c>
      <c r="G712" s="11">
        <f>IFERROR((VLOOKUP(A712,'[1]LISTA ETIQUETAS'!O:X,8,0)),"")</f>
        <v>0.75</v>
      </c>
      <c r="H712" s="11">
        <f>IFERROR((VLOOKUP(A712,'[1]LISTA ETIQUETAS'!O:X,9,0)),"")</f>
        <v>0</v>
      </c>
      <c r="I712" s="12">
        <f>IFERROR((VLOOKUP(A712,'[1]LISTA ETIQUETAS'!O:Y,11,0)),"")</f>
        <v>34496</v>
      </c>
      <c r="J712" s="6">
        <v>0</v>
      </c>
      <c r="K712" s="12">
        <f t="shared" si="33"/>
        <v>34496</v>
      </c>
      <c r="L712" s="7" t="str">
        <f>IF(VLOOKUP(A712,'[1]LISTA ETIQUETAS'!O:AB,14,0)="","",(VLOOKUP(A712,'[1]LISTA ETIQUETAS'!O:AB,14,0)))</f>
        <v/>
      </c>
      <c r="M712" s="8"/>
      <c r="N712" s="9">
        <f t="shared" si="34"/>
        <v>217873</v>
      </c>
      <c r="O712" s="2">
        <f>_xlfn.XLOOKUP($A712,'[1]LISTA ETIQUETAS'!$O:$O,'[1]LISTA ETIQUETAS'!C:C,"",0)</f>
        <v>0</v>
      </c>
      <c r="P712" s="2">
        <f>_xlfn.XLOOKUP($A712,'[1]LISTA ETIQUETAS'!$O:$O,'[1]LISTA ETIQUETAS'!D:D,"",0)</f>
        <v>0</v>
      </c>
      <c r="Q712" s="2">
        <f>_xlfn.XLOOKUP($A712,'[1]LISTA ETIQUETAS'!$O:$O,'[1]LISTA ETIQUETAS'!E:E,"",0)</f>
        <v>0</v>
      </c>
      <c r="R712" s="2">
        <f>_xlfn.XLOOKUP($A712,'[1]LISTA ETIQUETAS'!$O:$O,'[1]LISTA ETIQUETAS'!F:F,"",0)</f>
        <v>0</v>
      </c>
      <c r="S712" s="2">
        <f>_xlfn.XLOOKUP($A712,'[1]LISTA ETIQUETAS'!$O:$O,'[1]LISTA ETIQUETAS'!H:H,"",0)</f>
        <v>1</v>
      </c>
      <c r="T712" s="9">
        <f t="shared" si="35"/>
        <v>1</v>
      </c>
    </row>
    <row r="713" spans="1:20" x14ac:dyDescent="0.25">
      <c r="A713" s="5">
        <v>224528</v>
      </c>
      <c r="B713" t="str">
        <f>IFERROR((VLOOKUP(A713,'[1]LISTA ETIQUETAS'!O:X,3,0)),"PRODUTO SEM ESTOQUE")</f>
        <v>EST MESA JANTAR MANZANA (TP/BS LOURO PRETO/PILAR MTX PRETO)</v>
      </c>
      <c r="C713" s="10" t="s">
        <v>52</v>
      </c>
      <c r="D713" s="10" t="s">
        <v>453</v>
      </c>
      <c r="E713" s="11">
        <f>IF(VLOOKUP(A713,'[1]LISTA ETIQUETAS'!O:W,4,0)="",(VLOOKUP(A713,'[1]LISTA ETIQUETAS'!O:W,6,0)),(VLOOKUP(A713,'[1]LISTA ETIQUETAS'!O:W,4,0)))</f>
        <v>2.97</v>
      </c>
      <c r="F713" s="11">
        <f>IF(VLOOKUP(A713,'[1]LISTA ETIQUETAS'!O:W,5,0)="",(VLOOKUP(A713,'[1]LISTA ETIQUETAS'!O:W,7,0)),(VLOOKUP(A713,'[1]LISTA ETIQUETAS'!O:W,5,0)))</f>
        <v>1.18</v>
      </c>
      <c r="G713" s="11">
        <f>IFERROR((VLOOKUP(A713,'[1]LISTA ETIQUETAS'!O:X,8,0)),"")</f>
        <v>0.75</v>
      </c>
      <c r="H713" s="11">
        <f>IFERROR((VLOOKUP(A713,'[1]LISTA ETIQUETAS'!O:X,9,0)),"")</f>
        <v>0</v>
      </c>
      <c r="I713" s="12">
        <f>IFERROR((VLOOKUP(A713,'[1]LISTA ETIQUETAS'!O:Y,11,0)),"")</f>
        <v>53516.74</v>
      </c>
      <c r="J713" s="6">
        <v>0</v>
      </c>
      <c r="K713" s="12">
        <f t="shared" si="33"/>
        <v>53516.74</v>
      </c>
      <c r="L713" s="7" t="str">
        <f>IF(VLOOKUP(A713,'[1]LISTA ETIQUETAS'!O:AB,14,0)="","",(VLOOKUP(A713,'[1]LISTA ETIQUETAS'!O:AB,14,0)))</f>
        <v/>
      </c>
      <c r="M713" s="8"/>
      <c r="N713" s="9">
        <f t="shared" si="34"/>
        <v>224528</v>
      </c>
      <c r="O713" s="2">
        <f>_xlfn.XLOOKUP($A713,'[1]LISTA ETIQUETAS'!$O:$O,'[1]LISTA ETIQUETAS'!C:C,"",0)</f>
        <v>0</v>
      </c>
      <c r="P713" s="2">
        <f>_xlfn.XLOOKUP($A713,'[1]LISTA ETIQUETAS'!$O:$O,'[1]LISTA ETIQUETAS'!D:D,"",0)</f>
        <v>0</v>
      </c>
      <c r="Q713" s="2">
        <f>_xlfn.XLOOKUP($A713,'[1]LISTA ETIQUETAS'!$O:$O,'[1]LISTA ETIQUETAS'!E:E,"",0)</f>
        <v>0</v>
      </c>
      <c r="R713" s="2">
        <f>_xlfn.XLOOKUP($A713,'[1]LISTA ETIQUETAS'!$O:$O,'[1]LISTA ETIQUETAS'!F:F,"",0)</f>
        <v>0</v>
      </c>
      <c r="S713" s="2">
        <f>_xlfn.XLOOKUP($A713,'[1]LISTA ETIQUETAS'!$O:$O,'[1]LISTA ETIQUETAS'!H:H,"",0)</f>
        <v>1</v>
      </c>
      <c r="T713" s="9">
        <f t="shared" si="35"/>
        <v>1</v>
      </c>
    </row>
    <row r="714" spans="1:20" x14ac:dyDescent="0.25">
      <c r="A714" s="5">
        <v>234544</v>
      </c>
      <c r="B714" t="str">
        <f>IFERROR((VLOOKUP(A714,'[1]LISTA ETIQUETAS'!O:X,3,0)),"PRODUTO SEM ESTOQUE")</f>
        <v>EST MESA JANTAR ARIS (MARMORE NERO MARQUINA) (TAUARI)</v>
      </c>
      <c r="C714" s="10" t="s">
        <v>52</v>
      </c>
      <c r="D714" s="10" t="s">
        <v>454</v>
      </c>
      <c r="E714" s="11">
        <f>IF(VLOOKUP(A714,'[1]LISTA ETIQUETAS'!O:W,4,0)="",(VLOOKUP(A714,'[1]LISTA ETIQUETAS'!O:W,6,0)),(VLOOKUP(A714,'[1]LISTA ETIQUETAS'!O:W,4,0)))</f>
        <v>1.3</v>
      </c>
      <c r="F714" s="11">
        <f>IF(VLOOKUP(A714,'[1]LISTA ETIQUETAS'!O:W,5,0)="",(VLOOKUP(A714,'[1]LISTA ETIQUETAS'!O:W,7,0)),(VLOOKUP(A714,'[1]LISTA ETIQUETAS'!O:W,5,0)))</f>
        <v>0</v>
      </c>
      <c r="G714" s="11">
        <f>IFERROR((VLOOKUP(A714,'[1]LISTA ETIQUETAS'!O:X,8,0)),"")</f>
        <v>0.75</v>
      </c>
      <c r="H714" s="11">
        <f>IFERROR((VLOOKUP(A714,'[1]LISTA ETIQUETAS'!O:X,9,0)),"")</f>
        <v>1.3</v>
      </c>
      <c r="I714" s="12" t="str">
        <f>IFERROR((VLOOKUP(A714,'[1]LISTA ETIQUETAS'!O:Y,11,0)),"")</f>
        <v/>
      </c>
      <c r="J714" s="6">
        <v>0</v>
      </c>
      <c r="K714" s="12" t="str">
        <f t="shared" si="33"/>
        <v/>
      </c>
      <c r="L714" s="7" t="str">
        <f>IF(VLOOKUP(A714,'[1]LISTA ETIQUETAS'!O:AB,14,0)="","",(VLOOKUP(A714,'[1]LISTA ETIQUETAS'!O:AB,14,0)))</f>
        <v/>
      </c>
      <c r="M714" s="8"/>
      <c r="N714" s="9">
        <f t="shared" si="34"/>
        <v>234544</v>
      </c>
      <c r="O714" s="2">
        <f>_xlfn.XLOOKUP($A714,'[1]LISTA ETIQUETAS'!$O:$O,'[1]LISTA ETIQUETAS'!C:C,"",0)</f>
        <v>0</v>
      </c>
      <c r="P714" s="2">
        <f>_xlfn.XLOOKUP($A714,'[1]LISTA ETIQUETAS'!$O:$O,'[1]LISTA ETIQUETAS'!D:D,"",0)</f>
        <v>0</v>
      </c>
      <c r="Q714" s="2">
        <f>_xlfn.XLOOKUP($A714,'[1]LISTA ETIQUETAS'!$O:$O,'[1]LISTA ETIQUETAS'!E:E,"",0)</f>
        <v>0</v>
      </c>
      <c r="R714" s="2">
        <f>_xlfn.XLOOKUP($A714,'[1]LISTA ETIQUETAS'!$O:$O,'[1]LISTA ETIQUETAS'!F:F,"",0)</f>
        <v>0</v>
      </c>
      <c r="S714" s="2">
        <f>_xlfn.XLOOKUP($A714,'[1]LISTA ETIQUETAS'!$O:$O,'[1]LISTA ETIQUETAS'!H:H,"",0)</f>
        <v>1</v>
      </c>
      <c r="T714" s="9">
        <f t="shared" si="35"/>
        <v>1</v>
      </c>
    </row>
    <row r="715" spans="1:20" x14ac:dyDescent="0.25">
      <c r="A715" s="5">
        <v>254880</v>
      </c>
      <c r="B715" t="str">
        <f>IFERROR((VLOOKUP(A715,'[1]LISTA ETIQUETAS'!O:X,3,0)),"PRODUTO SEM ESTOQUE")</f>
        <v>EST MESA JANTAR MANZANA LIGHT (VD CLEAR OXI/BS NOG/MTZ OXI)</v>
      </c>
      <c r="C715" s="10" t="s">
        <v>52</v>
      </c>
      <c r="D715" s="10" t="s">
        <v>453</v>
      </c>
      <c r="E715" s="11">
        <f>IF(VLOOKUP(A715,'[1]LISTA ETIQUETAS'!O:W,4,0)="",(VLOOKUP(A715,'[1]LISTA ETIQUETAS'!O:W,6,0)),(VLOOKUP(A715,'[1]LISTA ETIQUETAS'!O:W,4,0)))</f>
        <v>2.69</v>
      </c>
      <c r="F715" s="11">
        <f>IF(VLOOKUP(A715,'[1]LISTA ETIQUETAS'!O:W,5,0)="",(VLOOKUP(A715,'[1]LISTA ETIQUETAS'!O:W,7,0)),(VLOOKUP(A715,'[1]LISTA ETIQUETAS'!O:W,5,0)))</f>
        <v>1.18</v>
      </c>
      <c r="G715" s="11">
        <f>IFERROR((VLOOKUP(A715,'[1]LISTA ETIQUETAS'!O:X,8,0)),"")</f>
        <v>0.75</v>
      </c>
      <c r="H715" s="11">
        <f>IFERROR((VLOOKUP(A715,'[1]LISTA ETIQUETAS'!O:X,9,0)),"")</f>
        <v>0</v>
      </c>
      <c r="I715" s="12">
        <f>IFERROR((VLOOKUP(A715,'[1]LISTA ETIQUETAS'!O:Y,11,0)),"")</f>
        <v>51913.66</v>
      </c>
      <c r="J715" s="6">
        <v>0</v>
      </c>
      <c r="K715" s="12">
        <f t="shared" si="33"/>
        <v>51913.66</v>
      </c>
      <c r="L715" s="7" t="str">
        <f>IF(VLOOKUP(A715,'[1]LISTA ETIQUETAS'!O:AB,14,0)="","",(VLOOKUP(A715,'[1]LISTA ETIQUETAS'!O:AB,14,0)))</f>
        <v/>
      </c>
      <c r="M715" s="8"/>
      <c r="N715" s="9">
        <f t="shared" si="34"/>
        <v>254880</v>
      </c>
      <c r="O715" s="2">
        <f>_xlfn.XLOOKUP($A715,'[1]LISTA ETIQUETAS'!$O:$O,'[1]LISTA ETIQUETAS'!C:C,"",0)</f>
        <v>0</v>
      </c>
      <c r="P715" s="2">
        <f>_xlfn.XLOOKUP($A715,'[1]LISTA ETIQUETAS'!$O:$O,'[1]LISTA ETIQUETAS'!D:D,"",0)</f>
        <v>0</v>
      </c>
      <c r="Q715" s="2">
        <f>_xlfn.XLOOKUP($A715,'[1]LISTA ETIQUETAS'!$O:$O,'[1]LISTA ETIQUETAS'!E:E,"",0)</f>
        <v>0</v>
      </c>
      <c r="R715" s="2">
        <f>_xlfn.XLOOKUP($A715,'[1]LISTA ETIQUETAS'!$O:$O,'[1]LISTA ETIQUETAS'!F:F,"",0)</f>
        <v>0</v>
      </c>
      <c r="S715" s="2">
        <f>_xlfn.XLOOKUP($A715,'[1]LISTA ETIQUETAS'!$O:$O,'[1]LISTA ETIQUETAS'!H:H,"",0)</f>
        <v>2</v>
      </c>
      <c r="T715" s="9">
        <f t="shared" si="35"/>
        <v>2</v>
      </c>
    </row>
    <row r="716" spans="1:20" x14ac:dyDescent="0.25">
      <c r="A716" s="5">
        <v>270375</v>
      </c>
      <c r="B716" t="str">
        <f>IFERROR((VLOOKUP(A716,'[1]LISTA ETIQUETAS'!O:X,3,0)),"PRODUTO SEM ESTOQUE")</f>
        <v>EST MESA JANTAR BANK (INTEIRA LAMINA FREIJO NATURAL)</v>
      </c>
      <c r="C716" s="10" t="s">
        <v>52</v>
      </c>
      <c r="D716" s="10" t="s">
        <v>455</v>
      </c>
      <c r="E716" s="11">
        <f>IF(VLOOKUP(A716,'[1]LISTA ETIQUETAS'!O:W,4,0)="",(VLOOKUP(A716,'[1]LISTA ETIQUETAS'!O:W,6,0)),(VLOOKUP(A716,'[1]LISTA ETIQUETAS'!O:W,4,0)))</f>
        <v>3</v>
      </c>
      <c r="F716" s="11">
        <f>IF(VLOOKUP(A716,'[1]LISTA ETIQUETAS'!O:W,5,0)="",(VLOOKUP(A716,'[1]LISTA ETIQUETAS'!O:W,7,0)),(VLOOKUP(A716,'[1]LISTA ETIQUETAS'!O:W,5,0)))</f>
        <v>1.1000000000000001</v>
      </c>
      <c r="G716" s="11">
        <f>IFERROR((VLOOKUP(A716,'[1]LISTA ETIQUETAS'!O:X,8,0)),"")</f>
        <v>0.75</v>
      </c>
      <c r="H716" s="11">
        <f>IFERROR((VLOOKUP(A716,'[1]LISTA ETIQUETAS'!O:X,9,0)),"")</f>
        <v>0</v>
      </c>
      <c r="I716" s="12">
        <f>IFERROR((VLOOKUP(A716,'[1]LISTA ETIQUETAS'!O:Y,11,0)),"")</f>
        <v>86775.54</v>
      </c>
      <c r="J716" s="6">
        <v>0</v>
      </c>
      <c r="K716" s="12">
        <f t="shared" si="33"/>
        <v>86775.54</v>
      </c>
      <c r="L716" s="7" t="str">
        <f>IF(VLOOKUP(A716,'[1]LISTA ETIQUETAS'!O:AB,14,0)="","",(VLOOKUP(A716,'[1]LISTA ETIQUETAS'!O:AB,14,0)))</f>
        <v/>
      </c>
      <c r="M716" s="8"/>
      <c r="N716" s="9">
        <f t="shared" si="34"/>
        <v>270375</v>
      </c>
      <c r="O716" s="2">
        <f>_xlfn.XLOOKUP($A716,'[1]LISTA ETIQUETAS'!$O:$O,'[1]LISTA ETIQUETAS'!C:C,"",0)</f>
        <v>0</v>
      </c>
      <c r="P716" s="2">
        <f>_xlfn.XLOOKUP($A716,'[1]LISTA ETIQUETAS'!$O:$O,'[1]LISTA ETIQUETAS'!D:D,"",0)</f>
        <v>0</v>
      </c>
      <c r="Q716" s="2">
        <f>_xlfn.XLOOKUP($A716,'[1]LISTA ETIQUETAS'!$O:$O,'[1]LISTA ETIQUETAS'!E:E,"",0)</f>
        <v>0</v>
      </c>
      <c r="R716" s="2">
        <f>_xlfn.XLOOKUP($A716,'[1]LISTA ETIQUETAS'!$O:$O,'[1]LISTA ETIQUETAS'!F:F,"",0)</f>
        <v>0</v>
      </c>
      <c r="S716" s="2">
        <f>_xlfn.XLOOKUP($A716,'[1]LISTA ETIQUETAS'!$O:$O,'[1]LISTA ETIQUETAS'!H:H,"",0)</f>
        <v>1</v>
      </c>
      <c r="T716" s="9">
        <f t="shared" si="35"/>
        <v>1</v>
      </c>
    </row>
    <row r="717" spans="1:20" x14ac:dyDescent="0.25">
      <c r="A717" s="5">
        <v>260823</v>
      </c>
      <c r="B717" t="str">
        <f>IFERROR((VLOOKUP(A717,'[1]LISTA ETIQUETAS'!O:X,3,0)),"PRODUTO SEM ESTOQUE")</f>
        <v>EST MESA JANTAR MANZANA LIGHT (VD COMUM OXI/BS NOG/MTZ OXI)</v>
      </c>
      <c r="C717" s="10" t="s">
        <v>52</v>
      </c>
      <c r="D717" s="10" t="s">
        <v>453</v>
      </c>
      <c r="E717" s="11">
        <f>IF(VLOOKUP(A717,'[1]LISTA ETIQUETAS'!O:W,4,0)="",(VLOOKUP(A717,'[1]LISTA ETIQUETAS'!O:W,6,0)),(VLOOKUP(A717,'[1]LISTA ETIQUETAS'!O:W,4,0)))</f>
        <v>2.69</v>
      </c>
      <c r="F717" s="11">
        <f>IF(VLOOKUP(A717,'[1]LISTA ETIQUETAS'!O:W,5,0)="",(VLOOKUP(A717,'[1]LISTA ETIQUETAS'!O:W,7,0)),(VLOOKUP(A717,'[1]LISTA ETIQUETAS'!O:W,5,0)))</f>
        <v>1.18</v>
      </c>
      <c r="G717" s="11">
        <f>IFERROR((VLOOKUP(A717,'[1]LISTA ETIQUETAS'!O:X,8,0)),"")</f>
        <v>0.75</v>
      </c>
      <c r="H717" s="11">
        <f>IFERROR((VLOOKUP(A717,'[1]LISTA ETIQUETAS'!O:X,9,0)),"")</f>
        <v>0</v>
      </c>
      <c r="I717" s="12">
        <f>IFERROR((VLOOKUP(A717,'[1]LISTA ETIQUETAS'!O:Y,11,0)),"")</f>
        <v>51913.66</v>
      </c>
      <c r="J717" s="6">
        <v>0</v>
      </c>
      <c r="K717" s="12">
        <f t="shared" si="33"/>
        <v>51913.66</v>
      </c>
      <c r="L717" s="7" t="str">
        <f>IF(VLOOKUP(A717,'[1]LISTA ETIQUETAS'!O:AB,14,0)="","",(VLOOKUP(A717,'[1]LISTA ETIQUETAS'!O:AB,14,0)))</f>
        <v/>
      </c>
      <c r="M717" s="8"/>
      <c r="N717" s="9">
        <f t="shared" si="34"/>
        <v>260823</v>
      </c>
      <c r="O717" s="2">
        <f>_xlfn.XLOOKUP($A717,'[1]LISTA ETIQUETAS'!$O:$O,'[1]LISTA ETIQUETAS'!C:C,"",0)</f>
        <v>0</v>
      </c>
      <c r="P717" s="2">
        <f>_xlfn.XLOOKUP($A717,'[1]LISTA ETIQUETAS'!$O:$O,'[1]LISTA ETIQUETAS'!D:D,"",0)</f>
        <v>0</v>
      </c>
      <c r="Q717" s="2">
        <f>_xlfn.XLOOKUP($A717,'[1]LISTA ETIQUETAS'!$O:$O,'[1]LISTA ETIQUETAS'!E:E,"",0)</f>
        <v>0</v>
      </c>
      <c r="R717" s="2">
        <f>_xlfn.XLOOKUP($A717,'[1]LISTA ETIQUETAS'!$O:$O,'[1]LISTA ETIQUETAS'!F:F,"",0)</f>
        <v>0</v>
      </c>
      <c r="S717" s="2">
        <f>_xlfn.XLOOKUP($A717,'[1]LISTA ETIQUETAS'!$O:$O,'[1]LISTA ETIQUETAS'!H:H,"",0)</f>
        <v>1</v>
      </c>
      <c r="T717" s="9">
        <f t="shared" si="35"/>
        <v>1</v>
      </c>
    </row>
    <row r="718" spans="1:20" x14ac:dyDescent="0.25">
      <c r="A718" s="5">
        <v>276135</v>
      </c>
      <c r="B718" t="str">
        <f>IFERROR((VLOOKUP(A718,'[1]LISTA ETIQUETAS'!O:X,3,0)),"PRODUTO SEM ESTOQUE")</f>
        <v>EST BASE JANTAR GRAZ (MAD B FREIJO TING ENV) (INOX FSC)</v>
      </c>
      <c r="C718" s="10" t="s">
        <v>52</v>
      </c>
      <c r="D718" s="10" t="s">
        <v>109</v>
      </c>
      <c r="E718" s="11">
        <f>IF(VLOOKUP(A718,'[1]LISTA ETIQUETAS'!O:W,4,0)="",(VLOOKUP(A718,'[1]LISTA ETIQUETAS'!O:W,6,0)),(VLOOKUP(A718,'[1]LISTA ETIQUETAS'!O:W,4,0)))</f>
        <v>1.6</v>
      </c>
      <c r="F718" s="11">
        <f>IF(VLOOKUP(A718,'[1]LISTA ETIQUETAS'!O:W,5,0)="",(VLOOKUP(A718,'[1]LISTA ETIQUETAS'!O:W,7,0)),(VLOOKUP(A718,'[1]LISTA ETIQUETAS'!O:W,5,0)))</f>
        <v>1.6</v>
      </c>
      <c r="G718" s="11">
        <f>IFERROR((VLOOKUP(A718,'[1]LISTA ETIQUETAS'!O:X,8,0)),"")</f>
        <v>0.73</v>
      </c>
      <c r="H718" s="11">
        <f>IFERROR((VLOOKUP(A718,'[1]LISTA ETIQUETAS'!O:X,9,0)),"")</f>
        <v>0</v>
      </c>
      <c r="I718" s="12">
        <f>IFERROR((VLOOKUP(A718,'[1]LISTA ETIQUETAS'!O:Y,11,0)),"")</f>
        <v>35313.47</v>
      </c>
      <c r="J718" s="6">
        <v>0</v>
      </c>
      <c r="K718" s="12">
        <f t="shared" si="33"/>
        <v>35313.47</v>
      </c>
      <c r="L718" s="7" t="str">
        <f>IF(VLOOKUP(A718,'[1]LISTA ETIQUETAS'!O:AB,14,0)="","",(VLOOKUP(A718,'[1]LISTA ETIQUETAS'!O:AB,14,0)))</f>
        <v/>
      </c>
      <c r="M718" s="8"/>
      <c r="N718" s="9">
        <f t="shared" si="34"/>
        <v>276135</v>
      </c>
      <c r="O718" s="2">
        <f>_xlfn.XLOOKUP($A718,'[1]LISTA ETIQUETAS'!$O:$O,'[1]LISTA ETIQUETAS'!C:C,"",0)</f>
        <v>0</v>
      </c>
      <c r="P718" s="2">
        <f>_xlfn.XLOOKUP($A718,'[1]LISTA ETIQUETAS'!$O:$O,'[1]LISTA ETIQUETAS'!D:D,"",0)</f>
        <v>0</v>
      </c>
      <c r="Q718" s="2">
        <f>_xlfn.XLOOKUP($A718,'[1]LISTA ETIQUETAS'!$O:$O,'[1]LISTA ETIQUETAS'!E:E,"",0)</f>
        <v>0</v>
      </c>
      <c r="R718" s="2">
        <f>_xlfn.XLOOKUP($A718,'[1]LISTA ETIQUETAS'!$O:$O,'[1]LISTA ETIQUETAS'!F:F,"",0)</f>
        <v>0</v>
      </c>
      <c r="S718" s="2">
        <f>_xlfn.XLOOKUP($A718,'[1]LISTA ETIQUETAS'!$O:$O,'[1]LISTA ETIQUETAS'!H:H,"",0)</f>
        <v>1</v>
      </c>
      <c r="T718" s="9">
        <f t="shared" si="35"/>
        <v>1</v>
      </c>
    </row>
    <row r="719" spans="1:20" x14ac:dyDescent="0.25">
      <c r="A719" s="5">
        <v>275022</v>
      </c>
      <c r="B719" t="str">
        <f>IFERROR((VLOOKUP(A719,'[1]LISTA ETIQUETAS'!O:X,3,0)),"PRODUTO SEM ESTOQUE")</f>
        <v>EST MESA JANTAR TRIBECA (TP/BASE FREIJO NAT) DET MTX M BLANC</v>
      </c>
      <c r="C719" s="10" t="s">
        <v>52</v>
      </c>
      <c r="D719" s="10" t="s">
        <v>456</v>
      </c>
      <c r="E719" s="11">
        <f>IF(VLOOKUP(A719,'[1]LISTA ETIQUETAS'!O:W,4,0)="",(VLOOKUP(A719,'[1]LISTA ETIQUETAS'!O:W,6,0)),(VLOOKUP(A719,'[1]LISTA ETIQUETAS'!O:W,4,0)))</f>
        <v>2.7</v>
      </c>
      <c r="F719" s="11">
        <f>IF(VLOOKUP(A719,'[1]LISTA ETIQUETAS'!O:W,5,0)="",(VLOOKUP(A719,'[1]LISTA ETIQUETAS'!O:W,7,0)),(VLOOKUP(A719,'[1]LISTA ETIQUETAS'!O:W,5,0)))</f>
        <v>1.2</v>
      </c>
      <c r="G719" s="11">
        <f>IFERROR((VLOOKUP(A719,'[1]LISTA ETIQUETAS'!O:X,8,0)),"")</f>
        <v>0.75</v>
      </c>
      <c r="H719" s="11">
        <f>IFERROR((VLOOKUP(A719,'[1]LISTA ETIQUETAS'!O:X,9,0)),"")</f>
        <v>0</v>
      </c>
      <c r="I719" s="12">
        <f>IFERROR((VLOOKUP(A719,'[1]LISTA ETIQUETAS'!O:Y,11,0)),"")</f>
        <v>53412.44</v>
      </c>
      <c r="J719" s="6">
        <v>0</v>
      </c>
      <c r="K719" s="12">
        <f t="shared" si="33"/>
        <v>53412.44</v>
      </c>
      <c r="L719" s="7" t="str">
        <f>IF(VLOOKUP(A719,'[1]LISTA ETIQUETAS'!O:AB,14,0)="","",(VLOOKUP(A719,'[1]LISTA ETIQUETAS'!O:AB,14,0)))</f>
        <v/>
      </c>
      <c r="M719" s="8"/>
      <c r="N719" s="9">
        <f t="shared" si="34"/>
        <v>275022</v>
      </c>
      <c r="O719" s="2">
        <f>_xlfn.XLOOKUP($A719,'[1]LISTA ETIQUETAS'!$O:$O,'[1]LISTA ETIQUETAS'!C:C,"",0)</f>
        <v>0</v>
      </c>
      <c r="P719" s="2">
        <f>_xlfn.XLOOKUP($A719,'[1]LISTA ETIQUETAS'!$O:$O,'[1]LISTA ETIQUETAS'!D:D,"",0)</f>
        <v>0</v>
      </c>
      <c r="Q719" s="2">
        <f>_xlfn.XLOOKUP($A719,'[1]LISTA ETIQUETAS'!$O:$O,'[1]LISTA ETIQUETAS'!E:E,"",0)</f>
        <v>0</v>
      </c>
      <c r="R719" s="2">
        <f>_xlfn.XLOOKUP($A719,'[1]LISTA ETIQUETAS'!$O:$O,'[1]LISTA ETIQUETAS'!F:F,"",0)</f>
        <v>0</v>
      </c>
      <c r="S719" s="2">
        <f>_xlfn.XLOOKUP($A719,'[1]LISTA ETIQUETAS'!$O:$O,'[1]LISTA ETIQUETAS'!H:H,"",0)</f>
        <v>1</v>
      </c>
      <c r="T719" s="9">
        <f t="shared" si="35"/>
        <v>1</v>
      </c>
    </row>
    <row r="720" spans="1:20" x14ac:dyDescent="0.25">
      <c r="A720" s="5">
        <v>275021</v>
      </c>
      <c r="B720" t="str">
        <f>IFERROR((VLOOKUP(A720,'[1]LISTA ETIQUETAS'!O:X,3,0)),"PRODUTO SEM ESTOQUE")</f>
        <v>EST MESA JANTAR TRIBECA (TP/BS NOGUEIRA) DETALHE MTZ OXI</v>
      </c>
      <c r="C720" s="10" t="s">
        <v>52</v>
      </c>
      <c r="D720" s="10" t="s">
        <v>456</v>
      </c>
      <c r="E720" s="11">
        <f>IF(VLOOKUP(A720,'[1]LISTA ETIQUETAS'!O:W,4,0)="",(VLOOKUP(A720,'[1]LISTA ETIQUETAS'!O:W,6,0)),(VLOOKUP(A720,'[1]LISTA ETIQUETAS'!O:W,4,0)))</f>
        <v>2.7</v>
      </c>
      <c r="F720" s="11">
        <f>IF(VLOOKUP(A720,'[1]LISTA ETIQUETAS'!O:W,5,0)="",(VLOOKUP(A720,'[1]LISTA ETIQUETAS'!O:W,7,0)),(VLOOKUP(A720,'[1]LISTA ETIQUETAS'!O:W,5,0)))</f>
        <v>1.2</v>
      </c>
      <c r="G720" s="11">
        <f>IFERROR((VLOOKUP(A720,'[1]LISTA ETIQUETAS'!O:X,8,0)),"")</f>
        <v>0.75</v>
      </c>
      <c r="H720" s="11">
        <f>IFERROR((VLOOKUP(A720,'[1]LISTA ETIQUETAS'!O:X,9,0)),"")</f>
        <v>0</v>
      </c>
      <c r="I720" s="12">
        <f>IFERROR((VLOOKUP(A720,'[1]LISTA ETIQUETAS'!O:Y,11,0)),"")</f>
        <v>53412.44</v>
      </c>
      <c r="J720" s="6">
        <v>0</v>
      </c>
      <c r="K720" s="12">
        <f t="shared" si="33"/>
        <v>53412.44</v>
      </c>
      <c r="L720" s="7" t="str">
        <f>IF(VLOOKUP(A720,'[1]LISTA ETIQUETAS'!O:AB,14,0)="","",(VLOOKUP(A720,'[1]LISTA ETIQUETAS'!O:AB,14,0)))</f>
        <v/>
      </c>
      <c r="M720" s="8"/>
      <c r="N720" s="9">
        <f t="shared" si="34"/>
        <v>275021</v>
      </c>
      <c r="O720" s="2">
        <f>_xlfn.XLOOKUP($A720,'[1]LISTA ETIQUETAS'!$O:$O,'[1]LISTA ETIQUETAS'!C:C,"",0)</f>
        <v>1</v>
      </c>
      <c r="P720" s="2">
        <f>_xlfn.XLOOKUP($A720,'[1]LISTA ETIQUETAS'!$O:$O,'[1]LISTA ETIQUETAS'!D:D,"",0)</f>
        <v>0</v>
      </c>
      <c r="Q720" s="2">
        <f>_xlfn.XLOOKUP($A720,'[1]LISTA ETIQUETAS'!$O:$O,'[1]LISTA ETIQUETAS'!E:E,"",0)</f>
        <v>0</v>
      </c>
      <c r="R720" s="2">
        <f>_xlfn.XLOOKUP($A720,'[1]LISTA ETIQUETAS'!$O:$O,'[1]LISTA ETIQUETAS'!F:F,"",0)</f>
        <v>0</v>
      </c>
      <c r="S720" s="2">
        <f>_xlfn.XLOOKUP($A720,'[1]LISTA ETIQUETAS'!$O:$O,'[1]LISTA ETIQUETAS'!H:H,"",0)</f>
        <v>1</v>
      </c>
      <c r="T720" s="9">
        <f t="shared" si="35"/>
        <v>2</v>
      </c>
    </row>
    <row r="721" spans="1:20" x14ac:dyDescent="0.25">
      <c r="A721" s="5">
        <v>250714</v>
      </c>
      <c r="B721" t="str">
        <f>IFERROR((VLOOKUP(A721,'[1]LISTA ETIQUETAS'!O:X,3,0)),"PRODUTO SEM ESTOQUE")</f>
        <v>EST MESA JANTAR BARCELONA (SAY JO20.7666.913H C/VD LOW IRON)</v>
      </c>
      <c r="C721" s="10" t="s">
        <v>52</v>
      </c>
      <c r="D721" s="10" t="s">
        <v>457</v>
      </c>
      <c r="E721" s="11">
        <f>IF(VLOOKUP(A721,'[1]LISTA ETIQUETAS'!O:W,4,0)="",(VLOOKUP(A721,'[1]LISTA ETIQUETAS'!O:W,6,0)),(VLOOKUP(A721,'[1]LISTA ETIQUETAS'!O:W,4,0)))</f>
        <v>2.2000000000000002</v>
      </c>
      <c r="F721" s="11">
        <f>IF(VLOOKUP(A721,'[1]LISTA ETIQUETAS'!O:W,5,0)="",(VLOOKUP(A721,'[1]LISTA ETIQUETAS'!O:W,7,0)),(VLOOKUP(A721,'[1]LISTA ETIQUETAS'!O:W,5,0)))</f>
        <v>0</v>
      </c>
      <c r="G721" s="11">
        <f>IFERROR((VLOOKUP(A721,'[1]LISTA ETIQUETAS'!O:X,8,0)),"")</f>
        <v>0.75</v>
      </c>
      <c r="H721" s="11">
        <f>IFERROR((VLOOKUP(A721,'[1]LISTA ETIQUETAS'!O:X,9,0)),"")</f>
        <v>2.2000000000000002</v>
      </c>
      <c r="I721" s="12" t="str">
        <f>IFERROR((VLOOKUP(A721,'[1]LISTA ETIQUETAS'!O:Y,11,0)),"")</f>
        <v/>
      </c>
      <c r="J721" s="6">
        <v>0</v>
      </c>
      <c r="K721" s="12" t="str">
        <f t="shared" si="33"/>
        <v/>
      </c>
      <c r="L721" s="7" t="str">
        <f>IF(VLOOKUP(A721,'[1]LISTA ETIQUETAS'!O:AB,14,0)="","",(VLOOKUP(A721,'[1]LISTA ETIQUETAS'!O:AB,14,0)))</f>
        <v/>
      </c>
      <c r="M721" s="8"/>
      <c r="N721" s="9">
        <f t="shared" si="34"/>
        <v>250714</v>
      </c>
      <c r="O721" s="2">
        <f>_xlfn.XLOOKUP($A721,'[1]LISTA ETIQUETAS'!$O:$O,'[1]LISTA ETIQUETAS'!C:C,"",0)</f>
        <v>0</v>
      </c>
      <c r="P721" s="2">
        <f>_xlfn.XLOOKUP($A721,'[1]LISTA ETIQUETAS'!$O:$O,'[1]LISTA ETIQUETAS'!D:D,"",0)</f>
        <v>0</v>
      </c>
      <c r="Q721" s="2">
        <f>_xlfn.XLOOKUP($A721,'[1]LISTA ETIQUETAS'!$O:$O,'[1]LISTA ETIQUETAS'!E:E,"",0)</f>
        <v>0</v>
      </c>
      <c r="R721" s="2">
        <f>_xlfn.XLOOKUP($A721,'[1]LISTA ETIQUETAS'!$O:$O,'[1]LISTA ETIQUETAS'!F:F,"",0)</f>
        <v>0</v>
      </c>
      <c r="S721" s="2">
        <f>_xlfn.XLOOKUP($A721,'[1]LISTA ETIQUETAS'!$O:$O,'[1]LISTA ETIQUETAS'!H:H,"",0)</f>
        <v>1</v>
      </c>
      <c r="T721" s="9">
        <f t="shared" si="35"/>
        <v>1</v>
      </c>
    </row>
    <row r="722" spans="1:20" x14ac:dyDescent="0.25">
      <c r="A722" s="5">
        <v>343998</v>
      </c>
      <c r="B722" t="str">
        <f>IFERROR((VLOOKUP(A722,'[1]LISTA ETIQUETAS'!O:X,3,0)),"PRODUTO SEM ESTOQUE")</f>
        <v>EST MESA JANTAR COOLER (TP LAM MATT BLACK) (PRETO FSC)</v>
      </c>
      <c r="C722" s="10" t="s">
        <v>52</v>
      </c>
      <c r="D722" s="10" t="s">
        <v>458</v>
      </c>
      <c r="E722" s="11">
        <f>IF(VLOOKUP(A722,'[1]LISTA ETIQUETAS'!O:W,4,0)="",(VLOOKUP(A722,'[1]LISTA ETIQUETAS'!O:W,6,0)),(VLOOKUP(A722,'[1]LISTA ETIQUETAS'!O:W,4,0)))</f>
        <v>4</v>
      </c>
      <c r="F722" s="11">
        <f>IF(VLOOKUP(A722,'[1]LISTA ETIQUETAS'!O:W,5,0)="",(VLOOKUP(A722,'[1]LISTA ETIQUETAS'!O:W,7,0)),(VLOOKUP(A722,'[1]LISTA ETIQUETAS'!O:W,5,0)))</f>
        <v>1.2</v>
      </c>
      <c r="G722" s="11">
        <f>IFERROR((VLOOKUP(A722,'[1]LISTA ETIQUETAS'!O:X,8,0)),"")</f>
        <v>0.75</v>
      </c>
      <c r="H722" s="11">
        <f>IFERROR((VLOOKUP(A722,'[1]LISTA ETIQUETAS'!O:X,9,0)),"")</f>
        <v>0</v>
      </c>
      <c r="I722" s="12">
        <f>IFERROR((VLOOKUP(A722,'[1]LISTA ETIQUETAS'!O:Y,11,0)),"")</f>
        <v>37479.68</v>
      </c>
      <c r="J722" s="6">
        <v>0</v>
      </c>
      <c r="K722" s="12">
        <f t="shared" si="33"/>
        <v>37479.68</v>
      </c>
      <c r="L722" s="7" t="str">
        <f>IF(VLOOKUP(A722,'[1]LISTA ETIQUETAS'!O:AB,14,0)="","",(VLOOKUP(A722,'[1]LISTA ETIQUETAS'!O:AB,14,0)))</f>
        <v/>
      </c>
      <c r="M722" s="8"/>
      <c r="N722" s="9">
        <f t="shared" si="34"/>
        <v>343998</v>
      </c>
      <c r="O722" s="2">
        <f>_xlfn.XLOOKUP($A722,'[1]LISTA ETIQUETAS'!$O:$O,'[1]LISTA ETIQUETAS'!C:C,"",0)</f>
        <v>0</v>
      </c>
      <c r="P722" s="2">
        <f>_xlfn.XLOOKUP($A722,'[1]LISTA ETIQUETAS'!$O:$O,'[1]LISTA ETIQUETAS'!D:D,"",0)</f>
        <v>0</v>
      </c>
      <c r="Q722" s="2">
        <f>_xlfn.XLOOKUP($A722,'[1]LISTA ETIQUETAS'!$O:$O,'[1]LISTA ETIQUETAS'!E:E,"",0)</f>
        <v>0</v>
      </c>
      <c r="R722" s="2">
        <f>_xlfn.XLOOKUP($A722,'[1]LISTA ETIQUETAS'!$O:$O,'[1]LISTA ETIQUETAS'!F:F,"",0)</f>
        <v>0</v>
      </c>
      <c r="S722" s="2">
        <f>_xlfn.XLOOKUP($A722,'[1]LISTA ETIQUETAS'!$O:$O,'[1]LISTA ETIQUETAS'!H:H,"",0)</f>
        <v>1</v>
      </c>
      <c r="T722" s="9">
        <f t="shared" si="35"/>
        <v>1</v>
      </c>
    </row>
    <row r="723" spans="1:20" x14ac:dyDescent="0.25">
      <c r="A723" s="5">
        <v>370332</v>
      </c>
      <c r="B723" t="str">
        <f>IFERROR((VLOOKUP(A723,'[1]LISTA ETIQUETAS'!O:X,3,0)),"PRODUTO SEM ESTOQUE")</f>
        <v>EST MESA JANTAR AYLA (SUP2 ROSE NAT) (TP CARV ROSE NT) LATAO</v>
      </c>
      <c r="C723" s="10" t="s">
        <v>52</v>
      </c>
      <c r="D723" s="10" t="s">
        <v>459</v>
      </c>
      <c r="E723" s="11">
        <f>IF(VLOOKUP(A723,'[1]LISTA ETIQUETAS'!O:W,4,0)="",(VLOOKUP(A723,'[1]LISTA ETIQUETAS'!O:W,6,0)),(VLOOKUP(A723,'[1]LISTA ETIQUETAS'!O:W,4,0)))</f>
        <v>3</v>
      </c>
      <c r="F723" s="11">
        <f>IF(VLOOKUP(A723,'[1]LISTA ETIQUETAS'!O:W,5,0)="",(VLOOKUP(A723,'[1]LISTA ETIQUETAS'!O:W,7,0)),(VLOOKUP(A723,'[1]LISTA ETIQUETAS'!O:W,5,0)))</f>
        <v>1.24</v>
      </c>
      <c r="G723" s="11">
        <f>IFERROR((VLOOKUP(A723,'[1]LISTA ETIQUETAS'!O:X,8,0)),"")</f>
        <v>0.76</v>
      </c>
      <c r="H723" s="11">
        <f>IFERROR((VLOOKUP(A723,'[1]LISTA ETIQUETAS'!O:X,9,0)),"")</f>
        <v>0</v>
      </c>
      <c r="I723" s="12">
        <f>IFERROR((VLOOKUP(A723,'[1]LISTA ETIQUETAS'!O:Y,11,0)),"")</f>
        <v>21781.040000000001</v>
      </c>
      <c r="J723" s="6">
        <v>0</v>
      </c>
      <c r="K723" s="12">
        <f t="shared" si="33"/>
        <v>21781.040000000001</v>
      </c>
      <c r="L723" s="7" t="str">
        <f>IF(VLOOKUP(A723,'[1]LISTA ETIQUETAS'!O:AB,14,0)="","",(VLOOKUP(A723,'[1]LISTA ETIQUETAS'!O:AB,14,0)))</f>
        <v/>
      </c>
      <c r="M723" s="8"/>
      <c r="N723" s="9">
        <f t="shared" si="34"/>
        <v>370332</v>
      </c>
      <c r="O723" s="2">
        <f>_xlfn.XLOOKUP($A723,'[1]LISTA ETIQUETAS'!$O:$O,'[1]LISTA ETIQUETAS'!C:C,"",0)</f>
        <v>0</v>
      </c>
      <c r="P723" s="2">
        <f>_xlfn.XLOOKUP($A723,'[1]LISTA ETIQUETAS'!$O:$O,'[1]LISTA ETIQUETAS'!D:D,"",0)</f>
        <v>0</v>
      </c>
      <c r="Q723" s="2">
        <f>_xlfn.XLOOKUP($A723,'[1]LISTA ETIQUETAS'!$O:$O,'[1]LISTA ETIQUETAS'!E:E,"",0)</f>
        <v>0</v>
      </c>
      <c r="R723" s="2">
        <f>_xlfn.XLOOKUP($A723,'[1]LISTA ETIQUETAS'!$O:$O,'[1]LISTA ETIQUETAS'!F:F,"",0)</f>
        <v>0</v>
      </c>
      <c r="S723" s="2">
        <f>_xlfn.XLOOKUP($A723,'[1]LISTA ETIQUETAS'!$O:$O,'[1]LISTA ETIQUETAS'!H:H,"",0)</f>
        <v>1</v>
      </c>
      <c r="T723" s="9">
        <f t="shared" si="35"/>
        <v>1</v>
      </c>
    </row>
    <row r="724" spans="1:20" x14ac:dyDescent="0.25">
      <c r="A724" s="5">
        <v>217341</v>
      </c>
      <c r="B724" t="str">
        <f>IFERROR((VLOOKUP(A724,'[1]LISTA ETIQUETAS'!O:X,3,0)),"PRODUTO SEM ESTOQUE")</f>
        <v>EST TAMPO MESA JANTAR QUADRATTA (MAD A CINAMOMO 03)</v>
      </c>
      <c r="C724" s="10" t="s">
        <v>52</v>
      </c>
      <c r="D724" s="10" t="s">
        <v>460</v>
      </c>
      <c r="E724" s="11">
        <f>IF(VLOOKUP(A724,'[1]LISTA ETIQUETAS'!O:W,4,0)="",(VLOOKUP(A724,'[1]LISTA ETIQUETAS'!O:W,6,0)),(VLOOKUP(A724,'[1]LISTA ETIQUETAS'!O:W,4,0)))</f>
        <v>1</v>
      </c>
      <c r="F724" s="11">
        <f>IF(VLOOKUP(A724,'[1]LISTA ETIQUETAS'!O:W,5,0)="",(VLOOKUP(A724,'[1]LISTA ETIQUETAS'!O:W,7,0)),(VLOOKUP(A724,'[1]LISTA ETIQUETAS'!O:W,5,0)))</f>
        <v>0</v>
      </c>
      <c r="G724" s="11">
        <f>IFERROR((VLOOKUP(A724,'[1]LISTA ETIQUETAS'!O:X,8,0)),"")</f>
        <v>0</v>
      </c>
      <c r="H724" s="11">
        <f>IFERROR((VLOOKUP(A724,'[1]LISTA ETIQUETAS'!O:X,9,0)),"")</f>
        <v>1</v>
      </c>
      <c r="I724" s="12">
        <f>IFERROR((VLOOKUP(A724,'[1]LISTA ETIQUETAS'!O:Y,11,0)),"")</f>
        <v>0</v>
      </c>
      <c r="J724" s="6">
        <v>0</v>
      </c>
      <c r="K724" s="12">
        <f t="shared" si="33"/>
        <v>0</v>
      </c>
      <c r="L724" s="7" t="str">
        <f>IF(VLOOKUP(A724,'[1]LISTA ETIQUETAS'!O:AB,14,0)="","",(VLOOKUP(A724,'[1]LISTA ETIQUETAS'!O:AB,14,0)))</f>
        <v/>
      </c>
      <c r="M724" s="8"/>
      <c r="N724" s="9">
        <f t="shared" si="34"/>
        <v>217341</v>
      </c>
      <c r="O724" s="2">
        <f>_xlfn.XLOOKUP($A724,'[1]LISTA ETIQUETAS'!$O:$O,'[1]LISTA ETIQUETAS'!C:C,"",0)</f>
        <v>0</v>
      </c>
      <c r="P724" s="2">
        <f>_xlfn.XLOOKUP($A724,'[1]LISTA ETIQUETAS'!$O:$O,'[1]LISTA ETIQUETAS'!D:D,"",0)</f>
        <v>0</v>
      </c>
      <c r="Q724" s="2">
        <f>_xlfn.XLOOKUP($A724,'[1]LISTA ETIQUETAS'!$O:$O,'[1]LISTA ETIQUETAS'!E:E,"",0)</f>
        <v>0</v>
      </c>
      <c r="R724" s="2">
        <f>_xlfn.XLOOKUP($A724,'[1]LISTA ETIQUETAS'!$O:$O,'[1]LISTA ETIQUETAS'!F:F,"",0)</f>
        <v>0</v>
      </c>
      <c r="S724" s="2">
        <f>_xlfn.XLOOKUP($A724,'[1]LISTA ETIQUETAS'!$O:$O,'[1]LISTA ETIQUETAS'!H:H,"",0)</f>
        <v>1</v>
      </c>
      <c r="T724" s="9">
        <f t="shared" si="35"/>
        <v>1</v>
      </c>
    </row>
    <row r="725" spans="1:20" x14ac:dyDescent="0.25">
      <c r="A725" s="5">
        <v>377302</v>
      </c>
      <c r="B725" t="str">
        <f>IFERROR((VLOOKUP(A725,'[1]LISTA ETIQUETAS'!O:X,3,0)),"PRODUTO SEM ESTOQUE")</f>
        <v>EST MESA JANTAR LISBOA (MAD A TAUARI ENV) INOX ENV</v>
      </c>
      <c r="C725" s="10" t="s">
        <v>52</v>
      </c>
      <c r="D725" s="10" t="s">
        <v>461</v>
      </c>
      <c r="E725" s="11">
        <f>IF(VLOOKUP(A725,'[1]LISTA ETIQUETAS'!O:W,4,0)="",(VLOOKUP(A725,'[1]LISTA ETIQUETAS'!O:W,6,0)),(VLOOKUP(A725,'[1]LISTA ETIQUETAS'!O:W,4,0)))</f>
        <v>3</v>
      </c>
      <c r="F725" s="11">
        <f>IF(VLOOKUP(A725,'[1]LISTA ETIQUETAS'!O:W,5,0)="",(VLOOKUP(A725,'[1]LISTA ETIQUETAS'!O:W,7,0)),(VLOOKUP(A725,'[1]LISTA ETIQUETAS'!O:W,5,0)))</f>
        <v>1.2</v>
      </c>
      <c r="G725" s="11">
        <f>IFERROR((VLOOKUP(A725,'[1]LISTA ETIQUETAS'!O:X,8,0)),"")</f>
        <v>0.75</v>
      </c>
      <c r="H725" s="11">
        <f>IFERROR((VLOOKUP(A725,'[1]LISTA ETIQUETAS'!O:X,9,0)),"")</f>
        <v>0</v>
      </c>
      <c r="I725" s="12">
        <f>IFERROR((VLOOKUP(A725,'[1]LISTA ETIQUETAS'!O:Y,11,0)),"")</f>
        <v>51922.57</v>
      </c>
      <c r="J725" s="6">
        <v>0</v>
      </c>
      <c r="K725" s="12">
        <f t="shared" si="33"/>
        <v>51922.57</v>
      </c>
      <c r="L725" s="7" t="str">
        <f>IF(VLOOKUP(A725,'[1]LISTA ETIQUETAS'!O:AB,14,0)="","",(VLOOKUP(A725,'[1]LISTA ETIQUETAS'!O:AB,14,0)))</f>
        <v/>
      </c>
      <c r="M725" s="8"/>
      <c r="N725" s="9">
        <f t="shared" si="34"/>
        <v>377302</v>
      </c>
      <c r="O725" s="2">
        <f>_xlfn.XLOOKUP($A725,'[1]LISTA ETIQUETAS'!$O:$O,'[1]LISTA ETIQUETAS'!C:C,"",0)</f>
        <v>0</v>
      </c>
      <c r="P725" s="2">
        <f>_xlfn.XLOOKUP($A725,'[1]LISTA ETIQUETAS'!$O:$O,'[1]LISTA ETIQUETAS'!D:D,"",0)</f>
        <v>0</v>
      </c>
      <c r="Q725" s="2">
        <f>_xlfn.XLOOKUP($A725,'[1]LISTA ETIQUETAS'!$O:$O,'[1]LISTA ETIQUETAS'!E:E,"",0)</f>
        <v>0</v>
      </c>
      <c r="R725" s="2">
        <f>_xlfn.XLOOKUP($A725,'[1]LISTA ETIQUETAS'!$O:$O,'[1]LISTA ETIQUETAS'!F:F,"",0)</f>
        <v>0</v>
      </c>
      <c r="S725" s="2">
        <f>_xlfn.XLOOKUP($A725,'[1]LISTA ETIQUETAS'!$O:$O,'[1]LISTA ETIQUETAS'!H:H,"",0)</f>
        <v>1</v>
      </c>
      <c r="T725" s="9">
        <f t="shared" si="35"/>
        <v>1</v>
      </c>
    </row>
    <row r="726" spans="1:20" x14ac:dyDescent="0.25">
      <c r="A726" s="5">
        <v>336697</v>
      </c>
      <c r="B726" t="str">
        <f>IFERROR((VLOOKUP(A726,'[1]LISTA ETIQUETAS'!O:X,3,0)),"PRODUTO SEM ESTOQUE")</f>
        <v>EST MESA JANTAR LISBOA (MAD A CINAM NOG) INOX ENVELHECIDO</v>
      </c>
      <c r="C726" s="10" t="s">
        <v>52</v>
      </c>
      <c r="D726" s="10" t="s">
        <v>461</v>
      </c>
      <c r="E726" s="11">
        <f>IF(VLOOKUP(A726,'[1]LISTA ETIQUETAS'!O:W,4,0)="",(VLOOKUP(A726,'[1]LISTA ETIQUETAS'!O:W,6,0)),(VLOOKUP(A726,'[1]LISTA ETIQUETAS'!O:W,4,0)))</f>
        <v>3</v>
      </c>
      <c r="F726" s="11">
        <f>IF(VLOOKUP(A726,'[1]LISTA ETIQUETAS'!O:W,5,0)="",(VLOOKUP(A726,'[1]LISTA ETIQUETAS'!O:W,7,0)),(VLOOKUP(A726,'[1]LISTA ETIQUETAS'!O:W,5,0)))</f>
        <v>1.2</v>
      </c>
      <c r="G726" s="11">
        <f>IFERROR((VLOOKUP(A726,'[1]LISTA ETIQUETAS'!O:X,8,0)),"")</f>
        <v>0.75</v>
      </c>
      <c r="H726" s="11">
        <f>IFERROR((VLOOKUP(A726,'[1]LISTA ETIQUETAS'!O:X,9,0)),"")</f>
        <v>0</v>
      </c>
      <c r="I726" s="12">
        <f>IFERROR((VLOOKUP(A726,'[1]LISTA ETIQUETAS'!O:Y,11,0)),"")</f>
        <v>51922.57</v>
      </c>
      <c r="J726" s="6">
        <v>0</v>
      </c>
      <c r="K726" s="12">
        <f t="shared" si="33"/>
        <v>51922.57</v>
      </c>
      <c r="L726" s="7" t="str">
        <f>IF(VLOOKUP(A726,'[1]LISTA ETIQUETAS'!O:AB,14,0)="","",(VLOOKUP(A726,'[1]LISTA ETIQUETAS'!O:AB,14,0)))</f>
        <v/>
      </c>
      <c r="M726" s="8"/>
      <c r="N726" s="9">
        <f t="shared" si="34"/>
        <v>336697</v>
      </c>
      <c r="O726" s="2">
        <f>_xlfn.XLOOKUP($A726,'[1]LISTA ETIQUETAS'!$O:$O,'[1]LISTA ETIQUETAS'!C:C,"",0)</f>
        <v>0</v>
      </c>
      <c r="P726" s="2">
        <f>_xlfn.XLOOKUP($A726,'[1]LISTA ETIQUETAS'!$O:$O,'[1]LISTA ETIQUETAS'!D:D,"",0)</f>
        <v>0</v>
      </c>
      <c r="Q726" s="2">
        <f>_xlfn.XLOOKUP($A726,'[1]LISTA ETIQUETAS'!$O:$O,'[1]LISTA ETIQUETAS'!E:E,"",0)</f>
        <v>0</v>
      </c>
      <c r="R726" s="2">
        <f>_xlfn.XLOOKUP($A726,'[1]LISTA ETIQUETAS'!$O:$O,'[1]LISTA ETIQUETAS'!F:F,"",0)</f>
        <v>0</v>
      </c>
      <c r="S726" s="2">
        <f>_xlfn.XLOOKUP($A726,'[1]LISTA ETIQUETAS'!$O:$O,'[1]LISTA ETIQUETAS'!H:H,"",0)</f>
        <v>1</v>
      </c>
      <c r="T726" s="9">
        <f t="shared" si="35"/>
        <v>1</v>
      </c>
    </row>
    <row r="727" spans="1:20" x14ac:dyDescent="0.25">
      <c r="A727" s="5">
        <v>335334</v>
      </c>
      <c r="B727" t="str">
        <f>IFERROR((VLOOKUP(A727,'[1]LISTA ETIQUETAS'!O:X,3,0)),"PRODUTO SEM ESTOQUE")</f>
        <v>EST MESA JANTAR LISBOA (MAD A CINAM NOG) INOX ENVELHECIDO</v>
      </c>
      <c r="C727" s="10" t="s">
        <v>52</v>
      </c>
      <c r="D727" s="10" t="s">
        <v>461</v>
      </c>
      <c r="E727" s="11">
        <f>IF(VLOOKUP(A727,'[1]LISTA ETIQUETAS'!O:W,4,0)="",(VLOOKUP(A727,'[1]LISTA ETIQUETAS'!O:W,6,0)),(VLOOKUP(A727,'[1]LISTA ETIQUETAS'!O:W,4,0)))</f>
        <v>2.8</v>
      </c>
      <c r="F727" s="11">
        <f>IF(VLOOKUP(A727,'[1]LISTA ETIQUETAS'!O:W,5,0)="",(VLOOKUP(A727,'[1]LISTA ETIQUETAS'!O:W,7,0)),(VLOOKUP(A727,'[1]LISTA ETIQUETAS'!O:W,5,0)))</f>
        <v>1.2</v>
      </c>
      <c r="G727" s="11">
        <f>IFERROR((VLOOKUP(A727,'[1]LISTA ETIQUETAS'!O:X,8,0)),"")</f>
        <v>0.75</v>
      </c>
      <c r="H727" s="11">
        <f>IFERROR((VLOOKUP(A727,'[1]LISTA ETIQUETAS'!O:X,9,0)),"")</f>
        <v>0</v>
      </c>
      <c r="I727" s="12">
        <f>IFERROR((VLOOKUP(A727,'[1]LISTA ETIQUETAS'!O:Y,11,0)),"")</f>
        <v>48074.43</v>
      </c>
      <c r="J727" s="6">
        <v>0</v>
      </c>
      <c r="K727" s="12">
        <f t="shared" si="33"/>
        <v>48074.43</v>
      </c>
      <c r="L727" s="7" t="str">
        <f>IF(VLOOKUP(A727,'[1]LISTA ETIQUETAS'!O:AB,14,0)="","",(VLOOKUP(A727,'[1]LISTA ETIQUETAS'!O:AB,14,0)))</f>
        <v/>
      </c>
      <c r="M727" s="8"/>
      <c r="N727" s="9">
        <f t="shared" si="34"/>
        <v>335334</v>
      </c>
      <c r="O727" s="2">
        <f>_xlfn.XLOOKUP($A727,'[1]LISTA ETIQUETAS'!$O:$O,'[1]LISTA ETIQUETAS'!C:C,"",0)</f>
        <v>0</v>
      </c>
      <c r="P727" s="2">
        <f>_xlfn.XLOOKUP($A727,'[1]LISTA ETIQUETAS'!$O:$O,'[1]LISTA ETIQUETAS'!D:D,"",0)</f>
        <v>0</v>
      </c>
      <c r="Q727" s="2">
        <f>_xlfn.XLOOKUP($A727,'[1]LISTA ETIQUETAS'!$O:$O,'[1]LISTA ETIQUETAS'!E:E,"",0)</f>
        <v>0</v>
      </c>
      <c r="R727" s="2">
        <f>_xlfn.XLOOKUP($A727,'[1]LISTA ETIQUETAS'!$O:$O,'[1]LISTA ETIQUETAS'!F:F,"",0)</f>
        <v>0</v>
      </c>
      <c r="S727" s="2">
        <f>_xlfn.XLOOKUP($A727,'[1]LISTA ETIQUETAS'!$O:$O,'[1]LISTA ETIQUETAS'!H:H,"",0)</f>
        <v>1</v>
      </c>
      <c r="T727" s="9">
        <f t="shared" si="35"/>
        <v>1</v>
      </c>
    </row>
    <row r="728" spans="1:20" x14ac:dyDescent="0.25">
      <c r="A728" s="5">
        <v>278070</v>
      </c>
      <c r="B728" t="str">
        <f>IFERROR((VLOOKUP(A728,'[1]LISTA ETIQUETAS'!O:X,3,0)),"PRODUTO SEM ESTOQUE")</f>
        <v>EST MESA LATERAL PIN (NATURE MATT) (DET PINT CORTEN)</v>
      </c>
      <c r="C728" s="10" t="s">
        <v>83</v>
      </c>
      <c r="D728" s="10" t="s">
        <v>462</v>
      </c>
      <c r="E728" s="11">
        <f>IF(VLOOKUP(A728,'[1]LISTA ETIQUETAS'!O:W,4,0)="",(VLOOKUP(A728,'[1]LISTA ETIQUETAS'!O:W,6,0)),(VLOOKUP(A728,'[1]LISTA ETIQUETAS'!O:W,4,0)))</f>
        <v>0.35</v>
      </c>
      <c r="F728" s="11">
        <f>IF(VLOOKUP(A728,'[1]LISTA ETIQUETAS'!O:W,5,0)="",(VLOOKUP(A728,'[1]LISTA ETIQUETAS'!O:W,7,0)),(VLOOKUP(A728,'[1]LISTA ETIQUETAS'!O:W,5,0)))</f>
        <v>0</v>
      </c>
      <c r="G728" s="11">
        <f>IFERROR((VLOOKUP(A728,'[1]LISTA ETIQUETAS'!O:X,8,0)),"")</f>
        <v>0.52</v>
      </c>
      <c r="H728" s="11">
        <f>IFERROR((VLOOKUP(A728,'[1]LISTA ETIQUETAS'!O:X,9,0)),"")</f>
        <v>0.35</v>
      </c>
      <c r="I728" s="12">
        <f>IFERROR((VLOOKUP(A728,'[1]LISTA ETIQUETAS'!O:Y,11,0)),"")</f>
        <v>5384.51</v>
      </c>
      <c r="J728" s="6">
        <v>0</v>
      </c>
      <c r="K728" s="12">
        <f t="shared" si="33"/>
        <v>5384.51</v>
      </c>
      <c r="L728" s="7" t="str">
        <f>IF(VLOOKUP(A728,'[1]LISTA ETIQUETAS'!O:AB,14,0)="","",(VLOOKUP(A728,'[1]LISTA ETIQUETAS'!O:AB,14,0)))</f>
        <v/>
      </c>
      <c r="M728" s="8"/>
      <c r="N728" s="9">
        <f t="shared" si="34"/>
        <v>278070</v>
      </c>
      <c r="O728" s="2">
        <f>_xlfn.XLOOKUP($A728,'[1]LISTA ETIQUETAS'!$O:$O,'[1]LISTA ETIQUETAS'!C:C,"",0)</f>
        <v>0</v>
      </c>
      <c r="P728" s="2">
        <f>_xlfn.XLOOKUP($A728,'[1]LISTA ETIQUETAS'!$O:$O,'[1]LISTA ETIQUETAS'!D:D,"",0)</f>
        <v>0</v>
      </c>
      <c r="Q728" s="2">
        <f>_xlfn.XLOOKUP($A728,'[1]LISTA ETIQUETAS'!$O:$O,'[1]LISTA ETIQUETAS'!E:E,"",0)</f>
        <v>0</v>
      </c>
      <c r="R728" s="2">
        <f>_xlfn.XLOOKUP($A728,'[1]LISTA ETIQUETAS'!$O:$O,'[1]LISTA ETIQUETAS'!F:F,"",0)</f>
        <v>0</v>
      </c>
      <c r="S728" s="2">
        <f>_xlfn.XLOOKUP($A728,'[1]LISTA ETIQUETAS'!$O:$O,'[1]LISTA ETIQUETAS'!H:H,"",0)</f>
        <v>1</v>
      </c>
      <c r="T728" s="9">
        <f t="shared" si="35"/>
        <v>1</v>
      </c>
    </row>
    <row r="729" spans="1:20" x14ac:dyDescent="0.25">
      <c r="A729" s="5">
        <v>378924</v>
      </c>
      <c r="B729" t="str">
        <f>IFERROR((VLOOKUP(A729,'[1]LISTA ETIQUETAS'!O:X,3,0)),"PRODUTO SEM ESTOQUE")</f>
        <v>EST MESA CENTRO HIMALAYA VITRINE (CLEAR) (LAM2 PFERRO) NOGAL</v>
      </c>
      <c r="C729" s="10" t="s">
        <v>83</v>
      </c>
      <c r="D729" s="10" t="s">
        <v>463</v>
      </c>
      <c r="E729" s="11">
        <f>IF(VLOOKUP(A729,'[1]LISTA ETIQUETAS'!O:W,4,0)="",(VLOOKUP(A729,'[1]LISTA ETIQUETAS'!O:W,6,0)),(VLOOKUP(A729,'[1]LISTA ETIQUETAS'!O:W,4,0)))</f>
        <v>1.05</v>
      </c>
      <c r="F729" s="11">
        <f>IF(VLOOKUP(A729,'[1]LISTA ETIQUETAS'!O:W,5,0)="",(VLOOKUP(A729,'[1]LISTA ETIQUETAS'!O:W,7,0)),(VLOOKUP(A729,'[1]LISTA ETIQUETAS'!O:W,5,0)))</f>
        <v>1.05</v>
      </c>
      <c r="G729" s="11">
        <f>IFERROR((VLOOKUP(A729,'[1]LISTA ETIQUETAS'!O:X,8,0)),"")</f>
        <v>0.31</v>
      </c>
      <c r="H729" s="11">
        <f>IFERROR((VLOOKUP(A729,'[1]LISTA ETIQUETAS'!O:X,9,0)),"")</f>
        <v>0</v>
      </c>
      <c r="I729" s="12">
        <f>IFERROR((VLOOKUP(A729,'[1]LISTA ETIQUETAS'!O:Y,11,0)),"")</f>
        <v>39278.04</v>
      </c>
      <c r="J729" s="6">
        <v>0</v>
      </c>
      <c r="K729" s="12">
        <f t="shared" si="33"/>
        <v>39278.04</v>
      </c>
      <c r="L729" s="7" t="str">
        <f>IF(VLOOKUP(A729,'[1]LISTA ETIQUETAS'!O:AB,14,0)="","",(VLOOKUP(A729,'[1]LISTA ETIQUETAS'!O:AB,14,0)))</f>
        <v/>
      </c>
      <c r="M729" s="8"/>
      <c r="N729" s="9">
        <f t="shared" si="34"/>
        <v>378924</v>
      </c>
      <c r="O729" s="2">
        <f>_xlfn.XLOOKUP($A729,'[1]LISTA ETIQUETAS'!$O:$O,'[1]LISTA ETIQUETAS'!C:C,"",0)</f>
        <v>0</v>
      </c>
      <c r="P729" s="2">
        <f>_xlfn.XLOOKUP($A729,'[1]LISTA ETIQUETAS'!$O:$O,'[1]LISTA ETIQUETAS'!D:D,"",0)</f>
        <v>0</v>
      </c>
      <c r="Q729" s="2">
        <f>_xlfn.XLOOKUP($A729,'[1]LISTA ETIQUETAS'!$O:$O,'[1]LISTA ETIQUETAS'!E:E,"",0)</f>
        <v>0</v>
      </c>
      <c r="R729" s="2">
        <f>_xlfn.XLOOKUP($A729,'[1]LISTA ETIQUETAS'!$O:$O,'[1]LISTA ETIQUETAS'!F:F,"",0)</f>
        <v>0</v>
      </c>
      <c r="S729" s="2">
        <f>_xlfn.XLOOKUP($A729,'[1]LISTA ETIQUETAS'!$O:$O,'[1]LISTA ETIQUETAS'!H:H,"",0)</f>
        <v>1</v>
      </c>
      <c r="T729" s="9">
        <f t="shared" si="35"/>
        <v>1</v>
      </c>
    </row>
    <row r="730" spans="1:20" x14ac:dyDescent="0.25">
      <c r="A730" s="5">
        <v>378923</v>
      </c>
      <c r="B730" t="str">
        <f>IFERROR((VLOOKUP(A730,'[1]LISTA ETIQUETAS'!O:X,3,0)),"PRODUTO SEM ESTOQUE")</f>
        <v>EST MESA CENTRO HIMALAYA VITRINE (CLEAR) (LAM1 EBANIZ) NOGAL</v>
      </c>
      <c r="C730" s="10" t="s">
        <v>83</v>
      </c>
      <c r="D730" s="10" t="s">
        <v>463</v>
      </c>
      <c r="E730" s="11">
        <f>IF(VLOOKUP(A730,'[1]LISTA ETIQUETAS'!O:W,4,0)="",(VLOOKUP(A730,'[1]LISTA ETIQUETAS'!O:W,6,0)),(VLOOKUP(A730,'[1]LISTA ETIQUETAS'!O:W,4,0)))</f>
        <v>1.05</v>
      </c>
      <c r="F730" s="11">
        <f>IF(VLOOKUP(A730,'[1]LISTA ETIQUETAS'!O:W,5,0)="",(VLOOKUP(A730,'[1]LISTA ETIQUETAS'!O:W,7,0)),(VLOOKUP(A730,'[1]LISTA ETIQUETAS'!O:W,5,0)))</f>
        <v>1.05</v>
      </c>
      <c r="G730" s="11">
        <f>IFERROR((VLOOKUP(A730,'[1]LISTA ETIQUETAS'!O:X,8,0)),"")</f>
        <v>0.31</v>
      </c>
      <c r="H730" s="11">
        <f>IFERROR((VLOOKUP(A730,'[1]LISTA ETIQUETAS'!O:X,9,0)),"")</f>
        <v>0</v>
      </c>
      <c r="I730" s="12">
        <f>IFERROR((VLOOKUP(A730,'[1]LISTA ETIQUETAS'!O:Y,11,0)),"")</f>
        <v>37340.35</v>
      </c>
      <c r="J730" s="6">
        <v>0</v>
      </c>
      <c r="K730" s="12">
        <f t="shared" si="33"/>
        <v>37340.35</v>
      </c>
      <c r="L730" s="7" t="str">
        <f>IF(VLOOKUP(A730,'[1]LISTA ETIQUETAS'!O:AB,14,0)="","",(VLOOKUP(A730,'[1]LISTA ETIQUETAS'!O:AB,14,0)))</f>
        <v/>
      </c>
      <c r="M730" s="8"/>
      <c r="N730" s="9">
        <f t="shared" si="34"/>
        <v>378923</v>
      </c>
      <c r="O730" s="2">
        <f>_xlfn.XLOOKUP($A730,'[1]LISTA ETIQUETAS'!$O:$O,'[1]LISTA ETIQUETAS'!C:C,"",0)</f>
        <v>0</v>
      </c>
      <c r="P730" s="2">
        <f>_xlfn.XLOOKUP($A730,'[1]LISTA ETIQUETAS'!$O:$O,'[1]LISTA ETIQUETAS'!D:D,"",0)</f>
        <v>0</v>
      </c>
      <c r="Q730" s="2">
        <f>_xlfn.XLOOKUP($A730,'[1]LISTA ETIQUETAS'!$O:$O,'[1]LISTA ETIQUETAS'!E:E,"",0)</f>
        <v>0</v>
      </c>
      <c r="R730" s="2">
        <f>_xlfn.XLOOKUP($A730,'[1]LISTA ETIQUETAS'!$O:$O,'[1]LISTA ETIQUETAS'!F:F,"",0)</f>
        <v>0</v>
      </c>
      <c r="S730" s="2">
        <f>_xlfn.XLOOKUP($A730,'[1]LISTA ETIQUETAS'!$O:$O,'[1]LISTA ETIQUETAS'!H:H,"",0)</f>
        <v>1</v>
      </c>
      <c r="T730" s="9">
        <f t="shared" si="35"/>
        <v>1</v>
      </c>
    </row>
    <row r="731" spans="1:20" x14ac:dyDescent="0.25">
      <c r="A731" s="5">
        <v>336702</v>
      </c>
      <c r="B731" t="str">
        <f>IFERROR((VLOOKUP(A731,'[1]LISTA ETIQUETAS'!O:X,3,0)),"PRODUTO SEM ESTOQUE")</f>
        <v>EST MESA LATERAL LUSA (RED CER BEGE) (FREIJO NT) HAST ENV</v>
      </c>
      <c r="C731" s="10" t="s">
        <v>83</v>
      </c>
      <c r="D731" s="10" t="s">
        <v>464</v>
      </c>
      <c r="E731" s="11">
        <f>IF(VLOOKUP(A731,'[1]LISTA ETIQUETAS'!O:W,4,0)="",(VLOOKUP(A731,'[1]LISTA ETIQUETAS'!O:W,6,0)),(VLOOKUP(A731,'[1]LISTA ETIQUETAS'!O:W,4,0)))</f>
        <v>0.4</v>
      </c>
      <c r="F731" s="11">
        <f>IF(VLOOKUP(A731,'[1]LISTA ETIQUETAS'!O:W,5,0)="",(VLOOKUP(A731,'[1]LISTA ETIQUETAS'!O:W,7,0)),(VLOOKUP(A731,'[1]LISTA ETIQUETAS'!O:W,5,0)))</f>
        <v>0.45</v>
      </c>
      <c r="G731" s="11">
        <f>IFERROR((VLOOKUP(A731,'[1]LISTA ETIQUETAS'!O:X,8,0)),"")</f>
        <v>0.67</v>
      </c>
      <c r="H731" s="11">
        <f>IFERROR((VLOOKUP(A731,'[1]LISTA ETIQUETAS'!O:X,9,0)),"")</f>
        <v>0</v>
      </c>
      <c r="I731" s="12" t="str">
        <f>IFERROR((VLOOKUP(A731,'[1]LISTA ETIQUETAS'!O:Y,11,0)),"")</f>
        <v/>
      </c>
      <c r="J731" s="6">
        <v>0</v>
      </c>
      <c r="K731" s="12" t="str">
        <f t="shared" si="33"/>
        <v/>
      </c>
      <c r="L731" s="7" t="str">
        <f>IF(VLOOKUP(A731,'[1]LISTA ETIQUETAS'!O:AB,14,0)="","",(VLOOKUP(A731,'[1]LISTA ETIQUETAS'!O:AB,14,0)))</f>
        <v/>
      </c>
      <c r="M731" s="8"/>
      <c r="N731" s="9">
        <f t="shared" si="34"/>
        <v>336702</v>
      </c>
      <c r="O731" s="2">
        <f>_xlfn.XLOOKUP($A731,'[1]LISTA ETIQUETAS'!$O:$O,'[1]LISTA ETIQUETAS'!C:C,"",0)</f>
        <v>0</v>
      </c>
      <c r="P731" s="2">
        <f>_xlfn.XLOOKUP($A731,'[1]LISTA ETIQUETAS'!$O:$O,'[1]LISTA ETIQUETAS'!D:D,"",0)</f>
        <v>0</v>
      </c>
      <c r="Q731" s="2">
        <f>_xlfn.XLOOKUP($A731,'[1]LISTA ETIQUETAS'!$O:$O,'[1]LISTA ETIQUETAS'!E:E,"",0)</f>
        <v>0</v>
      </c>
      <c r="R731" s="2">
        <f>_xlfn.XLOOKUP($A731,'[1]LISTA ETIQUETAS'!$O:$O,'[1]LISTA ETIQUETAS'!F:F,"",0)</f>
        <v>0</v>
      </c>
      <c r="S731" s="2">
        <f>_xlfn.XLOOKUP($A731,'[1]LISTA ETIQUETAS'!$O:$O,'[1]LISTA ETIQUETAS'!H:H,"",0)</f>
        <v>1</v>
      </c>
      <c r="T731" s="9">
        <f t="shared" si="35"/>
        <v>1</v>
      </c>
    </row>
    <row r="732" spans="1:20" x14ac:dyDescent="0.25">
      <c r="A732" s="5">
        <v>336701</v>
      </c>
      <c r="B732" t="str">
        <f>IFERROR((VLOOKUP(A732,'[1]LISTA ETIQUETAS'!O:X,3,0)),"PRODUTO SEM ESTOQUE")</f>
        <v>EST MESA LATERAL LUSA (RED CER AZUL) (MAD B FREIJO NT)</v>
      </c>
      <c r="C732" s="10" t="s">
        <v>83</v>
      </c>
      <c r="D732" s="10" t="s">
        <v>464</v>
      </c>
      <c r="E732" s="11">
        <f>IF(VLOOKUP(A732,'[1]LISTA ETIQUETAS'!O:W,4,0)="",(VLOOKUP(A732,'[1]LISTA ETIQUETAS'!O:W,6,0)),(VLOOKUP(A732,'[1]LISTA ETIQUETAS'!O:W,4,0)))</f>
        <v>0.4</v>
      </c>
      <c r="F732" s="11">
        <f>IF(VLOOKUP(A732,'[1]LISTA ETIQUETAS'!O:W,5,0)="",(VLOOKUP(A732,'[1]LISTA ETIQUETAS'!O:W,7,0)),(VLOOKUP(A732,'[1]LISTA ETIQUETAS'!O:W,5,0)))</f>
        <v>0.45</v>
      </c>
      <c r="G732" s="11">
        <f>IFERROR((VLOOKUP(A732,'[1]LISTA ETIQUETAS'!O:X,8,0)),"")</f>
        <v>0.72</v>
      </c>
      <c r="H732" s="11">
        <f>IFERROR((VLOOKUP(A732,'[1]LISTA ETIQUETAS'!O:X,9,0)),"")</f>
        <v>0</v>
      </c>
      <c r="I732" s="12">
        <f>IFERROR((VLOOKUP(A732,'[1]LISTA ETIQUETAS'!O:Y,11,0)),"")</f>
        <v>15254.865</v>
      </c>
      <c r="J732" s="6">
        <v>0</v>
      </c>
      <c r="K732" s="12">
        <f t="shared" si="33"/>
        <v>15254.865</v>
      </c>
      <c r="L732" s="7" t="str">
        <f>IF(VLOOKUP(A732,'[1]LISTA ETIQUETAS'!O:AB,14,0)="","",(VLOOKUP(A732,'[1]LISTA ETIQUETAS'!O:AB,14,0)))</f>
        <v/>
      </c>
      <c r="M732" s="8"/>
      <c r="N732" s="9">
        <f t="shared" si="34"/>
        <v>336701</v>
      </c>
      <c r="O732" s="2">
        <f>_xlfn.XLOOKUP($A732,'[1]LISTA ETIQUETAS'!$O:$O,'[1]LISTA ETIQUETAS'!C:C,"",0)</f>
        <v>0</v>
      </c>
      <c r="P732" s="2">
        <f>_xlfn.XLOOKUP($A732,'[1]LISTA ETIQUETAS'!$O:$O,'[1]LISTA ETIQUETAS'!D:D,"",0)</f>
        <v>0</v>
      </c>
      <c r="Q732" s="2">
        <f>_xlfn.XLOOKUP($A732,'[1]LISTA ETIQUETAS'!$O:$O,'[1]LISTA ETIQUETAS'!E:E,"",0)</f>
        <v>0</v>
      </c>
      <c r="R732" s="2">
        <f>_xlfn.XLOOKUP($A732,'[1]LISTA ETIQUETAS'!$O:$O,'[1]LISTA ETIQUETAS'!F:F,"",0)</f>
        <v>0</v>
      </c>
      <c r="S732" s="2">
        <f>_xlfn.XLOOKUP($A732,'[1]LISTA ETIQUETAS'!$O:$O,'[1]LISTA ETIQUETAS'!H:H,"",0)</f>
        <v>1</v>
      </c>
      <c r="T732" s="9">
        <f t="shared" si="35"/>
        <v>1</v>
      </c>
    </row>
    <row r="733" spans="1:20" x14ac:dyDescent="0.25">
      <c r="A733" s="5">
        <v>336699</v>
      </c>
      <c r="B733" t="str">
        <f>IFERROR((VLOOKUP(A733,'[1]LISTA ETIQUETAS'!O:X,3,0)),"PRODUTO SEM ESTOQUE")</f>
        <v>EST MESA LATERAL LUSA (OBL CER BEGE) (MAD B FREIJO NT)</v>
      </c>
      <c r="C733" s="10" t="s">
        <v>83</v>
      </c>
      <c r="D733" s="10" t="s">
        <v>464</v>
      </c>
      <c r="E733" s="11">
        <f>IF(VLOOKUP(A733,'[1]LISTA ETIQUETAS'!O:W,4,0)="",(VLOOKUP(A733,'[1]LISTA ETIQUETAS'!O:W,6,0)),(VLOOKUP(A733,'[1]LISTA ETIQUETAS'!O:W,4,0)))</f>
        <v>0.51</v>
      </c>
      <c r="F733" s="11">
        <f>IF(VLOOKUP(A733,'[1]LISTA ETIQUETAS'!O:W,5,0)="",(VLOOKUP(A733,'[1]LISTA ETIQUETAS'!O:W,7,0)),(VLOOKUP(A733,'[1]LISTA ETIQUETAS'!O:W,5,0)))</f>
        <v>0.28000000000000003</v>
      </c>
      <c r="G733" s="11">
        <f>IFERROR((VLOOKUP(A733,'[1]LISTA ETIQUETAS'!O:X,8,0)),"")</f>
        <v>0.62</v>
      </c>
      <c r="H733" s="11">
        <f>IFERROR((VLOOKUP(A733,'[1]LISTA ETIQUETAS'!O:X,9,0)),"")</f>
        <v>0</v>
      </c>
      <c r="I733" s="12">
        <f>IFERROR((VLOOKUP(A733,'[1]LISTA ETIQUETAS'!O:Y,11,0)),"")</f>
        <v>14419.781000000001</v>
      </c>
      <c r="J733" s="6">
        <v>0</v>
      </c>
      <c r="K733" s="12">
        <f t="shared" si="33"/>
        <v>14419.781000000001</v>
      </c>
      <c r="L733" s="7" t="str">
        <f>IF(VLOOKUP(A733,'[1]LISTA ETIQUETAS'!O:AB,14,0)="","",(VLOOKUP(A733,'[1]LISTA ETIQUETAS'!O:AB,14,0)))</f>
        <v/>
      </c>
      <c r="M733" s="8"/>
      <c r="N733" s="9">
        <f t="shared" si="34"/>
        <v>336699</v>
      </c>
      <c r="O733" s="2">
        <f>_xlfn.XLOOKUP($A733,'[1]LISTA ETIQUETAS'!$O:$O,'[1]LISTA ETIQUETAS'!C:C,"",0)</f>
        <v>0</v>
      </c>
      <c r="P733" s="2">
        <f>_xlfn.XLOOKUP($A733,'[1]LISTA ETIQUETAS'!$O:$O,'[1]LISTA ETIQUETAS'!D:D,"",0)</f>
        <v>0</v>
      </c>
      <c r="Q733" s="2">
        <f>_xlfn.XLOOKUP($A733,'[1]LISTA ETIQUETAS'!$O:$O,'[1]LISTA ETIQUETAS'!E:E,"",0)</f>
        <v>0</v>
      </c>
      <c r="R733" s="2">
        <f>_xlfn.XLOOKUP($A733,'[1]LISTA ETIQUETAS'!$O:$O,'[1]LISTA ETIQUETAS'!F:F,"",0)</f>
        <v>0</v>
      </c>
      <c r="S733" s="2">
        <f>_xlfn.XLOOKUP($A733,'[1]LISTA ETIQUETAS'!$O:$O,'[1]LISTA ETIQUETAS'!H:H,"",0)</f>
        <v>1</v>
      </c>
      <c r="T733" s="9">
        <f t="shared" si="35"/>
        <v>1</v>
      </c>
    </row>
    <row r="734" spans="1:20" x14ac:dyDescent="0.25">
      <c r="A734" s="5">
        <v>335343</v>
      </c>
      <c r="B734" t="str">
        <f>IFERROR((VLOOKUP(A734,'[1]LISTA ETIQUETAS'!O:X,3,0)),"PRODUTO SEM ESTOQUE")</f>
        <v>EST MESA LATERAL LUSA (OBL CER AZUL) (MAD A CINAM NOG)</v>
      </c>
      <c r="C734" s="10" t="s">
        <v>83</v>
      </c>
      <c r="D734" s="10" t="s">
        <v>464</v>
      </c>
      <c r="E734" s="11">
        <f>IF(VLOOKUP(A734,'[1]LISTA ETIQUETAS'!O:W,4,0)="",(VLOOKUP(A734,'[1]LISTA ETIQUETAS'!O:W,6,0)),(VLOOKUP(A734,'[1]LISTA ETIQUETAS'!O:W,4,0)))</f>
        <v>0.45</v>
      </c>
      <c r="F734" s="11">
        <f>IF(VLOOKUP(A734,'[1]LISTA ETIQUETAS'!O:W,5,0)="",(VLOOKUP(A734,'[1]LISTA ETIQUETAS'!O:W,7,0)),(VLOOKUP(A734,'[1]LISTA ETIQUETAS'!O:W,5,0)))</f>
        <v>0.28000000000000003</v>
      </c>
      <c r="G734" s="11">
        <f>IFERROR((VLOOKUP(A734,'[1]LISTA ETIQUETAS'!O:X,8,0)),"")</f>
        <v>0.62</v>
      </c>
      <c r="H734" s="11">
        <f>IFERROR((VLOOKUP(A734,'[1]LISTA ETIQUETAS'!O:X,9,0)),"")</f>
        <v>0</v>
      </c>
      <c r="I734" s="12">
        <f>IFERROR((VLOOKUP(A734,'[1]LISTA ETIQUETAS'!O:Y,11,0)),"")</f>
        <v>12538.94</v>
      </c>
      <c r="J734" s="6">
        <v>0</v>
      </c>
      <c r="K734" s="12">
        <f t="shared" si="33"/>
        <v>12538.94</v>
      </c>
      <c r="L734" s="7" t="str">
        <f>IF(VLOOKUP(A734,'[1]LISTA ETIQUETAS'!O:AB,14,0)="","",(VLOOKUP(A734,'[1]LISTA ETIQUETAS'!O:AB,14,0)))</f>
        <v/>
      </c>
      <c r="M734" s="8"/>
      <c r="N734" s="9">
        <f t="shared" si="34"/>
        <v>335343</v>
      </c>
      <c r="O734" s="2">
        <f>_xlfn.XLOOKUP($A734,'[1]LISTA ETIQUETAS'!$O:$O,'[1]LISTA ETIQUETAS'!C:C,"",0)</f>
        <v>0</v>
      </c>
      <c r="P734" s="2">
        <f>_xlfn.XLOOKUP($A734,'[1]LISTA ETIQUETAS'!$O:$O,'[1]LISTA ETIQUETAS'!D:D,"",0)</f>
        <v>0</v>
      </c>
      <c r="Q734" s="2">
        <f>_xlfn.XLOOKUP($A734,'[1]LISTA ETIQUETAS'!$O:$O,'[1]LISTA ETIQUETAS'!E:E,"",0)</f>
        <v>0</v>
      </c>
      <c r="R734" s="2">
        <f>_xlfn.XLOOKUP($A734,'[1]LISTA ETIQUETAS'!$O:$O,'[1]LISTA ETIQUETAS'!F:F,"",0)</f>
        <v>0</v>
      </c>
      <c r="S734" s="2">
        <f>_xlfn.XLOOKUP($A734,'[1]LISTA ETIQUETAS'!$O:$O,'[1]LISTA ETIQUETAS'!H:H,"",0)</f>
        <v>1</v>
      </c>
      <c r="T734" s="9">
        <f t="shared" si="35"/>
        <v>1</v>
      </c>
    </row>
    <row r="735" spans="1:20" x14ac:dyDescent="0.25">
      <c r="A735" s="5">
        <v>335342</v>
      </c>
      <c r="B735" t="str">
        <f>IFERROR((VLOOKUP(A735,'[1]LISTA ETIQUETAS'!O:X,3,0)),"PRODUTO SEM ESTOQUE")</f>
        <v>EST MESA LATERAL LUSA (OBL CER BEGE) (MAD A CINAM NOG)</v>
      </c>
      <c r="C735" s="10" t="s">
        <v>83</v>
      </c>
      <c r="D735" s="10" t="s">
        <v>464</v>
      </c>
      <c r="E735" s="11">
        <f>IF(VLOOKUP(A735,'[1]LISTA ETIQUETAS'!O:W,4,0)="",(VLOOKUP(A735,'[1]LISTA ETIQUETAS'!O:W,6,0)),(VLOOKUP(A735,'[1]LISTA ETIQUETAS'!O:W,4,0)))</f>
        <v>0.45</v>
      </c>
      <c r="F735" s="11">
        <f>IF(VLOOKUP(A735,'[1]LISTA ETIQUETAS'!O:W,5,0)="",(VLOOKUP(A735,'[1]LISTA ETIQUETAS'!O:W,7,0)),(VLOOKUP(A735,'[1]LISTA ETIQUETAS'!O:W,5,0)))</f>
        <v>0.28000000000000003</v>
      </c>
      <c r="G735" s="11">
        <f>IFERROR((VLOOKUP(A735,'[1]LISTA ETIQUETAS'!O:X,8,0)),"")</f>
        <v>0.62</v>
      </c>
      <c r="H735" s="11">
        <f>IFERROR((VLOOKUP(A735,'[1]LISTA ETIQUETAS'!O:X,9,0)),"")</f>
        <v>0</v>
      </c>
      <c r="I735" s="12">
        <f>IFERROR((VLOOKUP(A735,'[1]LISTA ETIQUETAS'!O:Y,11,0)),"")</f>
        <v>12538.94</v>
      </c>
      <c r="J735" s="6">
        <v>0</v>
      </c>
      <c r="K735" s="12">
        <f t="shared" si="33"/>
        <v>12538.94</v>
      </c>
      <c r="L735" s="7" t="str">
        <f>IF(VLOOKUP(A735,'[1]LISTA ETIQUETAS'!O:AB,14,0)="","",(VLOOKUP(A735,'[1]LISTA ETIQUETAS'!O:AB,14,0)))</f>
        <v/>
      </c>
      <c r="M735" s="8"/>
      <c r="N735" s="9">
        <f t="shared" si="34"/>
        <v>335342</v>
      </c>
      <c r="O735" s="2">
        <f>_xlfn.XLOOKUP($A735,'[1]LISTA ETIQUETAS'!$O:$O,'[1]LISTA ETIQUETAS'!C:C,"",0)</f>
        <v>0</v>
      </c>
      <c r="P735" s="2">
        <f>_xlfn.XLOOKUP($A735,'[1]LISTA ETIQUETAS'!$O:$O,'[1]LISTA ETIQUETAS'!D:D,"",0)</f>
        <v>0</v>
      </c>
      <c r="Q735" s="2">
        <f>_xlfn.XLOOKUP($A735,'[1]LISTA ETIQUETAS'!$O:$O,'[1]LISTA ETIQUETAS'!E:E,"",0)</f>
        <v>0</v>
      </c>
      <c r="R735" s="2">
        <f>_xlfn.XLOOKUP($A735,'[1]LISTA ETIQUETAS'!$O:$O,'[1]LISTA ETIQUETAS'!F:F,"",0)</f>
        <v>0</v>
      </c>
      <c r="S735" s="2">
        <f>_xlfn.XLOOKUP($A735,'[1]LISTA ETIQUETAS'!$O:$O,'[1]LISTA ETIQUETAS'!H:H,"",0)</f>
        <v>1</v>
      </c>
      <c r="T735" s="9">
        <f t="shared" si="35"/>
        <v>1</v>
      </c>
    </row>
    <row r="736" spans="1:20" x14ac:dyDescent="0.25">
      <c r="A736" s="5">
        <v>335340</v>
      </c>
      <c r="B736" t="str">
        <f>IFERROR((VLOOKUP(A736,'[1]LISTA ETIQUETAS'!O:X,3,0)),"PRODUTO SEM ESTOQUE")</f>
        <v>EST MESA LATERAL LUSA (RED CER AZUL) (MAD A CINAM NOG)</v>
      </c>
      <c r="C736" s="10" t="s">
        <v>83</v>
      </c>
      <c r="D736" s="10" t="s">
        <v>464</v>
      </c>
      <c r="E736" s="11">
        <f>IF(VLOOKUP(A736,'[1]LISTA ETIQUETAS'!O:W,4,0)="",(VLOOKUP(A736,'[1]LISTA ETIQUETAS'!O:W,6,0)),(VLOOKUP(A736,'[1]LISTA ETIQUETAS'!O:W,4,0)))</f>
        <v>0.4</v>
      </c>
      <c r="F736" s="11">
        <f>IF(VLOOKUP(A736,'[1]LISTA ETIQUETAS'!O:W,5,0)="",(VLOOKUP(A736,'[1]LISTA ETIQUETAS'!O:W,7,0)),(VLOOKUP(A736,'[1]LISTA ETIQUETAS'!O:W,5,0)))</f>
        <v>0</v>
      </c>
      <c r="G736" s="11">
        <f>IFERROR((VLOOKUP(A736,'[1]LISTA ETIQUETAS'!O:X,8,0)),"")</f>
        <v>0.72</v>
      </c>
      <c r="H736" s="11">
        <f>IFERROR((VLOOKUP(A736,'[1]LISTA ETIQUETAS'!O:X,9,0)),"")</f>
        <v>0.4</v>
      </c>
      <c r="I736" s="12">
        <f>IFERROR((VLOOKUP(A736,'[1]LISTA ETIQUETAS'!O:Y,11,0)),"")</f>
        <v>13265.1</v>
      </c>
      <c r="J736" s="6">
        <v>0</v>
      </c>
      <c r="K736" s="12">
        <f t="shared" si="33"/>
        <v>13265.1</v>
      </c>
      <c r="L736" s="7" t="str">
        <f>IF(VLOOKUP(A736,'[1]LISTA ETIQUETAS'!O:AB,14,0)="","",(VLOOKUP(A736,'[1]LISTA ETIQUETAS'!O:AB,14,0)))</f>
        <v/>
      </c>
      <c r="M736" s="8"/>
      <c r="N736" s="9">
        <f t="shared" si="34"/>
        <v>335340</v>
      </c>
      <c r="O736" s="2">
        <f>_xlfn.XLOOKUP($A736,'[1]LISTA ETIQUETAS'!$O:$O,'[1]LISTA ETIQUETAS'!C:C,"",0)</f>
        <v>0</v>
      </c>
      <c r="P736" s="2">
        <f>_xlfn.XLOOKUP($A736,'[1]LISTA ETIQUETAS'!$O:$O,'[1]LISTA ETIQUETAS'!D:D,"",0)</f>
        <v>0</v>
      </c>
      <c r="Q736" s="2">
        <f>_xlfn.XLOOKUP($A736,'[1]LISTA ETIQUETAS'!$O:$O,'[1]LISTA ETIQUETAS'!E:E,"",0)</f>
        <v>0</v>
      </c>
      <c r="R736" s="2">
        <f>_xlfn.XLOOKUP($A736,'[1]LISTA ETIQUETAS'!$O:$O,'[1]LISTA ETIQUETAS'!F:F,"",0)</f>
        <v>0</v>
      </c>
      <c r="S736" s="2">
        <f>_xlfn.XLOOKUP($A736,'[1]LISTA ETIQUETAS'!$O:$O,'[1]LISTA ETIQUETAS'!H:H,"",0)</f>
        <v>1</v>
      </c>
      <c r="T736" s="9">
        <f t="shared" si="35"/>
        <v>1</v>
      </c>
    </row>
    <row r="737" spans="1:20" x14ac:dyDescent="0.25">
      <c r="A737" s="5">
        <v>336619</v>
      </c>
      <c r="B737" t="str">
        <f>IFERROR((VLOOKUP(A737,'[1]LISTA ETIQUETAS'!O:X,3,0)),"PRODUTO SEM ESTOQUE")</f>
        <v>EST MESA LATERAL LUSA (RED CER BEGE) (MAD A TAUAR ENV)</v>
      </c>
      <c r="C737" s="10" t="s">
        <v>83</v>
      </c>
      <c r="D737" s="10" t="s">
        <v>464</v>
      </c>
      <c r="E737" s="11">
        <f>IF(VLOOKUP(A737,'[1]LISTA ETIQUETAS'!O:W,4,0)="",(VLOOKUP(A737,'[1]LISTA ETIQUETAS'!O:W,6,0)),(VLOOKUP(A737,'[1]LISTA ETIQUETAS'!O:W,4,0)))</f>
        <v>0.4</v>
      </c>
      <c r="F737" s="11">
        <f>IF(VLOOKUP(A737,'[1]LISTA ETIQUETAS'!O:W,5,0)="",(VLOOKUP(A737,'[1]LISTA ETIQUETAS'!O:W,7,0)),(VLOOKUP(A737,'[1]LISTA ETIQUETAS'!O:W,5,0)))</f>
        <v>0.45</v>
      </c>
      <c r="G737" s="11">
        <f>IFERROR((VLOOKUP(A737,'[1]LISTA ETIQUETAS'!O:X,8,0)),"")</f>
        <v>0.67</v>
      </c>
      <c r="H737" s="11">
        <f>IFERROR((VLOOKUP(A737,'[1]LISTA ETIQUETAS'!O:X,9,0)),"")</f>
        <v>0</v>
      </c>
      <c r="I737" s="12">
        <f>IFERROR((VLOOKUP(A737,'[1]LISTA ETIQUETAS'!O:Y,11,0)),"")</f>
        <v>12723.96</v>
      </c>
      <c r="J737" s="6">
        <v>0</v>
      </c>
      <c r="K737" s="12">
        <f t="shared" si="33"/>
        <v>12723.96</v>
      </c>
      <c r="L737" s="7" t="str">
        <f>IF(VLOOKUP(A737,'[1]LISTA ETIQUETAS'!O:AB,14,0)="","",(VLOOKUP(A737,'[1]LISTA ETIQUETAS'!O:AB,14,0)))</f>
        <v/>
      </c>
      <c r="M737" s="8"/>
      <c r="N737" s="9">
        <f t="shared" si="34"/>
        <v>336619</v>
      </c>
      <c r="O737" s="2">
        <f>_xlfn.XLOOKUP($A737,'[1]LISTA ETIQUETAS'!$O:$O,'[1]LISTA ETIQUETAS'!C:C,"",0)</f>
        <v>0</v>
      </c>
      <c r="P737" s="2">
        <f>_xlfn.XLOOKUP($A737,'[1]LISTA ETIQUETAS'!$O:$O,'[1]LISTA ETIQUETAS'!D:D,"",0)</f>
        <v>0</v>
      </c>
      <c r="Q737" s="2">
        <f>_xlfn.XLOOKUP($A737,'[1]LISTA ETIQUETAS'!$O:$O,'[1]LISTA ETIQUETAS'!E:E,"",0)</f>
        <v>0</v>
      </c>
      <c r="R737" s="2">
        <f>_xlfn.XLOOKUP($A737,'[1]LISTA ETIQUETAS'!$O:$O,'[1]LISTA ETIQUETAS'!F:F,"",0)</f>
        <v>0</v>
      </c>
      <c r="S737" s="2">
        <f>_xlfn.XLOOKUP($A737,'[1]LISTA ETIQUETAS'!$O:$O,'[1]LISTA ETIQUETAS'!H:H,"",0)</f>
        <v>1</v>
      </c>
      <c r="T737" s="9">
        <f t="shared" si="35"/>
        <v>1</v>
      </c>
    </row>
    <row r="738" spans="1:20" x14ac:dyDescent="0.25">
      <c r="A738" s="5">
        <v>336618</v>
      </c>
      <c r="B738" t="str">
        <f>IFERROR((VLOOKUP(A738,'[1]LISTA ETIQUETAS'!O:X,3,0)),"PRODUTO SEM ESTOQUE")</f>
        <v>EST MESA LATERAL LUSA (OBL CER BEGE) (MAD A TAUARI ENV)</v>
      </c>
      <c r="C738" s="10" t="s">
        <v>83</v>
      </c>
      <c r="D738" s="10" t="s">
        <v>464</v>
      </c>
      <c r="E738" s="11">
        <f>IF(VLOOKUP(A738,'[1]LISTA ETIQUETAS'!O:W,4,0)="",(VLOOKUP(A738,'[1]LISTA ETIQUETAS'!O:W,6,0)),(VLOOKUP(A738,'[1]LISTA ETIQUETAS'!O:W,4,0)))</f>
        <v>0.51</v>
      </c>
      <c r="F738" s="11">
        <f>IF(VLOOKUP(A738,'[1]LISTA ETIQUETAS'!O:W,5,0)="",(VLOOKUP(A738,'[1]LISTA ETIQUETAS'!O:W,7,0)),(VLOOKUP(A738,'[1]LISTA ETIQUETAS'!O:W,5,0)))</f>
        <v>0.28000000000000003</v>
      </c>
      <c r="G738" s="11">
        <f>IFERROR((VLOOKUP(A738,'[1]LISTA ETIQUETAS'!O:X,8,0)),"")</f>
        <v>0.56999999999999995</v>
      </c>
      <c r="H738" s="11">
        <f>IFERROR((VLOOKUP(A738,'[1]LISTA ETIQUETAS'!O:X,9,0)),"")</f>
        <v>0</v>
      </c>
      <c r="I738" s="12">
        <f>IFERROR((VLOOKUP(A738,'[1]LISTA ETIQUETAS'!O:Y,11,0)),"")</f>
        <v>12034.76</v>
      </c>
      <c r="J738" s="6">
        <v>0</v>
      </c>
      <c r="K738" s="12">
        <f t="shared" si="33"/>
        <v>12034.76</v>
      </c>
      <c r="L738" s="7" t="str">
        <f>IF(VLOOKUP(A738,'[1]LISTA ETIQUETAS'!O:AB,14,0)="","",(VLOOKUP(A738,'[1]LISTA ETIQUETAS'!O:AB,14,0)))</f>
        <v/>
      </c>
      <c r="M738" s="8"/>
      <c r="N738" s="9">
        <f t="shared" si="34"/>
        <v>336618</v>
      </c>
      <c r="O738" s="2">
        <f>_xlfn.XLOOKUP($A738,'[1]LISTA ETIQUETAS'!$O:$O,'[1]LISTA ETIQUETAS'!C:C,"",0)</f>
        <v>0</v>
      </c>
      <c r="P738" s="2">
        <f>_xlfn.XLOOKUP($A738,'[1]LISTA ETIQUETAS'!$O:$O,'[1]LISTA ETIQUETAS'!D:D,"",0)</f>
        <v>0</v>
      </c>
      <c r="Q738" s="2">
        <f>_xlfn.XLOOKUP($A738,'[1]LISTA ETIQUETAS'!$O:$O,'[1]LISTA ETIQUETAS'!E:E,"",0)</f>
        <v>0</v>
      </c>
      <c r="R738" s="2">
        <f>_xlfn.XLOOKUP($A738,'[1]LISTA ETIQUETAS'!$O:$O,'[1]LISTA ETIQUETAS'!F:F,"",0)</f>
        <v>0</v>
      </c>
      <c r="S738" s="2">
        <f>_xlfn.XLOOKUP($A738,'[1]LISTA ETIQUETAS'!$O:$O,'[1]LISTA ETIQUETAS'!H:H,"",0)</f>
        <v>1</v>
      </c>
      <c r="T738" s="9">
        <f t="shared" si="35"/>
        <v>1</v>
      </c>
    </row>
    <row r="739" spans="1:20" x14ac:dyDescent="0.25">
      <c r="A739" s="5">
        <v>336551</v>
      </c>
      <c r="B739" t="str">
        <f>IFERROR((VLOOKUP(A739,'[1]LISTA ETIQUETAS'!O:X,3,0)),"PRODUTO SEM ESTOQUE")</f>
        <v>EST MESA LATERAL LUSA (RED CER AZUL) (MAD A TAUARI ENV)</v>
      </c>
      <c r="C739" s="10" t="s">
        <v>83</v>
      </c>
      <c r="D739" s="10" t="s">
        <v>464</v>
      </c>
      <c r="E739" s="11">
        <f>IF(VLOOKUP(A739,'[1]LISTA ETIQUETAS'!O:W,4,0)="",(VLOOKUP(A739,'[1]LISTA ETIQUETAS'!O:W,6,0)),(VLOOKUP(A739,'[1]LISTA ETIQUETAS'!O:W,4,0)))</f>
        <v>0.4</v>
      </c>
      <c r="F739" s="11">
        <f>IF(VLOOKUP(A739,'[1]LISTA ETIQUETAS'!O:W,5,0)="",(VLOOKUP(A739,'[1]LISTA ETIQUETAS'!O:W,7,0)),(VLOOKUP(A739,'[1]LISTA ETIQUETAS'!O:W,5,0)))</f>
        <v>0.45</v>
      </c>
      <c r="G739" s="11">
        <f>IFERROR((VLOOKUP(A739,'[1]LISTA ETIQUETAS'!O:X,8,0)),"")</f>
        <v>0.72</v>
      </c>
      <c r="H739" s="11">
        <f>IFERROR((VLOOKUP(A739,'[1]LISTA ETIQUETAS'!O:X,9,0)),"")</f>
        <v>0</v>
      </c>
      <c r="I739" s="12">
        <f>IFERROR((VLOOKUP(A739,'[1]LISTA ETIQUETAS'!O:Y,11,0)),"")</f>
        <v>13265.1</v>
      </c>
      <c r="J739" s="6">
        <v>0</v>
      </c>
      <c r="K739" s="12">
        <f t="shared" si="33"/>
        <v>13265.1</v>
      </c>
      <c r="L739" s="7" t="str">
        <f>IF(VLOOKUP(A739,'[1]LISTA ETIQUETAS'!O:AB,14,0)="","",(VLOOKUP(A739,'[1]LISTA ETIQUETAS'!O:AB,14,0)))</f>
        <v/>
      </c>
      <c r="M739" s="8"/>
      <c r="N739" s="9">
        <f t="shared" si="34"/>
        <v>336551</v>
      </c>
      <c r="O739" s="2">
        <f>_xlfn.XLOOKUP($A739,'[1]LISTA ETIQUETAS'!$O:$O,'[1]LISTA ETIQUETAS'!C:C,"",0)</f>
        <v>0</v>
      </c>
      <c r="P739" s="2">
        <f>_xlfn.XLOOKUP($A739,'[1]LISTA ETIQUETAS'!$O:$O,'[1]LISTA ETIQUETAS'!D:D,"",0)</f>
        <v>0</v>
      </c>
      <c r="Q739" s="2">
        <f>_xlfn.XLOOKUP($A739,'[1]LISTA ETIQUETAS'!$O:$O,'[1]LISTA ETIQUETAS'!E:E,"",0)</f>
        <v>0</v>
      </c>
      <c r="R739" s="2">
        <f>_xlfn.XLOOKUP($A739,'[1]LISTA ETIQUETAS'!$O:$O,'[1]LISTA ETIQUETAS'!F:F,"",0)</f>
        <v>0</v>
      </c>
      <c r="S739" s="2">
        <f>_xlfn.XLOOKUP($A739,'[1]LISTA ETIQUETAS'!$O:$O,'[1]LISTA ETIQUETAS'!H:H,"",0)</f>
        <v>1</v>
      </c>
      <c r="T739" s="9">
        <f t="shared" si="35"/>
        <v>1</v>
      </c>
    </row>
    <row r="740" spans="1:20" x14ac:dyDescent="0.25">
      <c r="A740" s="5">
        <v>336547</v>
      </c>
      <c r="B740" t="str">
        <f>IFERROR((VLOOKUP(A740,'[1]LISTA ETIQUETAS'!O:X,3,0)),"PRODUTO SEM ESTOQUE")</f>
        <v>EST MESA LATERAL LUSA (OBL CER BEGE) (TAUARI ENV) HST ENV</v>
      </c>
      <c r="C740" s="10" t="s">
        <v>83</v>
      </c>
      <c r="D740" s="10" t="s">
        <v>464</v>
      </c>
      <c r="E740" s="11">
        <f>IF(VLOOKUP(A740,'[1]LISTA ETIQUETAS'!O:W,4,0)="",(VLOOKUP(A740,'[1]LISTA ETIQUETAS'!O:W,6,0)),(VLOOKUP(A740,'[1]LISTA ETIQUETAS'!O:W,4,0)))</f>
        <v>0.51</v>
      </c>
      <c r="F740" s="11">
        <f>IF(VLOOKUP(A740,'[1]LISTA ETIQUETAS'!O:W,5,0)="",(VLOOKUP(A740,'[1]LISTA ETIQUETAS'!O:W,7,0)),(VLOOKUP(A740,'[1]LISTA ETIQUETAS'!O:W,5,0)))</f>
        <v>0.28000000000000003</v>
      </c>
      <c r="G740" s="11">
        <f>IFERROR((VLOOKUP(A740,'[1]LISTA ETIQUETAS'!O:X,8,0)),"")</f>
        <v>0.62</v>
      </c>
      <c r="H740" s="11">
        <f>IFERROR((VLOOKUP(A740,'[1]LISTA ETIQUETAS'!O:X,9,0)),"")</f>
        <v>0</v>
      </c>
      <c r="I740" s="12" t="str">
        <f>IFERROR((VLOOKUP(A740,'[1]LISTA ETIQUETAS'!O:Y,11,0)),"")</f>
        <v/>
      </c>
      <c r="J740" s="6">
        <v>0</v>
      </c>
      <c r="K740" s="12" t="str">
        <f t="shared" si="33"/>
        <v/>
      </c>
      <c r="L740" s="7" t="str">
        <f>IF(VLOOKUP(A740,'[1]LISTA ETIQUETAS'!O:AB,14,0)="","",(VLOOKUP(A740,'[1]LISTA ETIQUETAS'!O:AB,14,0)))</f>
        <v/>
      </c>
      <c r="M740" s="8"/>
      <c r="N740" s="9">
        <f t="shared" si="34"/>
        <v>336547</v>
      </c>
      <c r="O740" s="2">
        <f>_xlfn.XLOOKUP($A740,'[1]LISTA ETIQUETAS'!$O:$O,'[1]LISTA ETIQUETAS'!C:C,"",0)</f>
        <v>0</v>
      </c>
      <c r="P740" s="2">
        <f>_xlfn.XLOOKUP($A740,'[1]LISTA ETIQUETAS'!$O:$O,'[1]LISTA ETIQUETAS'!D:D,"",0)</f>
        <v>0</v>
      </c>
      <c r="Q740" s="2">
        <f>_xlfn.XLOOKUP($A740,'[1]LISTA ETIQUETAS'!$O:$O,'[1]LISTA ETIQUETAS'!E:E,"",0)</f>
        <v>0</v>
      </c>
      <c r="R740" s="2">
        <f>_xlfn.XLOOKUP($A740,'[1]LISTA ETIQUETAS'!$O:$O,'[1]LISTA ETIQUETAS'!F:F,"",0)</f>
        <v>0</v>
      </c>
      <c r="S740" s="2">
        <f>_xlfn.XLOOKUP($A740,'[1]LISTA ETIQUETAS'!$O:$O,'[1]LISTA ETIQUETAS'!H:H,"",0)</f>
        <v>1</v>
      </c>
      <c r="T740" s="9">
        <f t="shared" si="35"/>
        <v>1</v>
      </c>
    </row>
    <row r="741" spans="1:20" x14ac:dyDescent="0.25">
      <c r="A741" s="5">
        <v>334350</v>
      </c>
      <c r="B741" t="str">
        <f>IFERROR((VLOOKUP(A741,'[1]LISTA ETIQUETAS'!O:X,3,0)),"PRODUTO SEM ESTOQUE")</f>
        <v>EST MESA LATERAL LEED (LAMINADA NOGUEIRA)</v>
      </c>
      <c r="C741" s="10" t="s">
        <v>83</v>
      </c>
      <c r="D741" s="10" t="s">
        <v>465</v>
      </c>
      <c r="E741" s="11">
        <f>IF(VLOOKUP(A741,'[1]LISTA ETIQUETAS'!O:W,4,0)="",(VLOOKUP(A741,'[1]LISTA ETIQUETAS'!O:W,6,0)),(VLOOKUP(A741,'[1]LISTA ETIQUETAS'!O:W,4,0)))</f>
        <v>0.9</v>
      </c>
      <c r="F741" s="11">
        <f>IF(VLOOKUP(A741,'[1]LISTA ETIQUETAS'!O:W,5,0)="",(VLOOKUP(A741,'[1]LISTA ETIQUETAS'!O:W,7,0)),(VLOOKUP(A741,'[1]LISTA ETIQUETAS'!O:W,5,0)))</f>
        <v>0.9</v>
      </c>
      <c r="G741" s="11">
        <f>IFERROR((VLOOKUP(A741,'[1]LISTA ETIQUETAS'!O:X,8,0)),"")</f>
        <v>0.5</v>
      </c>
      <c r="H741" s="11">
        <f>IFERROR((VLOOKUP(A741,'[1]LISTA ETIQUETAS'!O:X,9,0)),"")</f>
        <v>0</v>
      </c>
      <c r="I741" s="12">
        <f>IFERROR((VLOOKUP(A741,'[1]LISTA ETIQUETAS'!O:Y,11,0)),"")</f>
        <v>16111.11</v>
      </c>
      <c r="J741" s="6">
        <v>0</v>
      </c>
      <c r="K741" s="12">
        <f t="shared" si="33"/>
        <v>16111.11</v>
      </c>
      <c r="L741" s="7" t="str">
        <f>IF(VLOOKUP(A741,'[1]LISTA ETIQUETAS'!O:AB,14,0)="","",(VLOOKUP(A741,'[1]LISTA ETIQUETAS'!O:AB,14,0)))</f>
        <v/>
      </c>
      <c r="M741" s="8"/>
      <c r="N741" s="9">
        <f t="shared" si="34"/>
        <v>334350</v>
      </c>
      <c r="O741" s="2">
        <f>_xlfn.XLOOKUP($A741,'[1]LISTA ETIQUETAS'!$O:$O,'[1]LISTA ETIQUETAS'!C:C,"",0)</f>
        <v>0</v>
      </c>
      <c r="P741" s="2">
        <f>_xlfn.XLOOKUP($A741,'[1]LISTA ETIQUETAS'!$O:$O,'[1]LISTA ETIQUETAS'!D:D,"",0)</f>
        <v>0</v>
      </c>
      <c r="Q741" s="2">
        <f>_xlfn.XLOOKUP($A741,'[1]LISTA ETIQUETAS'!$O:$O,'[1]LISTA ETIQUETAS'!E:E,"",0)</f>
        <v>0</v>
      </c>
      <c r="R741" s="2">
        <f>_xlfn.XLOOKUP($A741,'[1]LISTA ETIQUETAS'!$O:$O,'[1]LISTA ETIQUETAS'!F:F,"",0)</f>
        <v>0</v>
      </c>
      <c r="S741" s="2">
        <f>_xlfn.XLOOKUP($A741,'[1]LISTA ETIQUETAS'!$O:$O,'[1]LISTA ETIQUETAS'!H:H,"",0)</f>
        <v>1</v>
      </c>
      <c r="T741" s="9">
        <f t="shared" si="35"/>
        <v>1</v>
      </c>
    </row>
    <row r="742" spans="1:20" x14ac:dyDescent="0.25">
      <c r="A742" s="5">
        <v>260959</v>
      </c>
      <c r="B742" t="str">
        <f>IFERROR((VLOOKUP(A742,'[1]LISTA ETIQUETAS'!O:X,3,0)),"PRODUTO SEM ESTOQUE")</f>
        <v>EST MESA LATERAL MARINA (IMBUIA) CAMURCA AVELA 25/LT ENV</v>
      </c>
      <c r="C742" s="10" t="s">
        <v>83</v>
      </c>
      <c r="D742" s="10" t="s">
        <v>466</v>
      </c>
      <c r="E742" s="11">
        <f>IF(VLOOKUP(A742,'[1]LISTA ETIQUETAS'!O:W,4,0)="",(VLOOKUP(A742,'[1]LISTA ETIQUETAS'!O:W,6,0)),(VLOOKUP(A742,'[1]LISTA ETIQUETAS'!O:W,4,0)))</f>
        <v>0.85</v>
      </c>
      <c r="F742" s="11">
        <f>IF(VLOOKUP(A742,'[1]LISTA ETIQUETAS'!O:W,5,0)="",(VLOOKUP(A742,'[1]LISTA ETIQUETAS'!O:W,7,0)),(VLOOKUP(A742,'[1]LISTA ETIQUETAS'!O:W,5,0)))</f>
        <v>0.5</v>
      </c>
      <c r="G742" s="11">
        <f>IFERROR((VLOOKUP(A742,'[1]LISTA ETIQUETAS'!O:X,8,0)),"")</f>
        <v>0.45</v>
      </c>
      <c r="H742" s="11">
        <f>IFERROR((VLOOKUP(A742,'[1]LISTA ETIQUETAS'!O:X,9,0)),"")</f>
        <v>0</v>
      </c>
      <c r="I742" s="12">
        <f>IFERROR((VLOOKUP(A742,'[1]LISTA ETIQUETAS'!O:Y,11,0)),"")</f>
        <v>15154.94</v>
      </c>
      <c r="J742" s="6">
        <v>0</v>
      </c>
      <c r="K742" s="12">
        <f t="shared" si="33"/>
        <v>15154.94</v>
      </c>
      <c r="L742" s="7" t="str">
        <f>IF(VLOOKUP(A742,'[1]LISTA ETIQUETAS'!O:AB,14,0)="","",(VLOOKUP(A742,'[1]LISTA ETIQUETAS'!O:AB,14,0)))</f>
        <v/>
      </c>
      <c r="M742" s="8"/>
      <c r="N742" s="9">
        <f t="shared" si="34"/>
        <v>260959</v>
      </c>
      <c r="O742" s="2">
        <f>_xlfn.XLOOKUP($A742,'[1]LISTA ETIQUETAS'!$O:$O,'[1]LISTA ETIQUETAS'!C:C,"",0)</f>
        <v>0</v>
      </c>
      <c r="P742" s="2">
        <f>_xlfn.XLOOKUP($A742,'[1]LISTA ETIQUETAS'!$O:$O,'[1]LISTA ETIQUETAS'!D:D,"",0)</f>
        <v>1</v>
      </c>
      <c r="Q742" s="2">
        <f>_xlfn.XLOOKUP($A742,'[1]LISTA ETIQUETAS'!$O:$O,'[1]LISTA ETIQUETAS'!E:E,"",0)</f>
        <v>0</v>
      </c>
      <c r="R742" s="2">
        <f>_xlfn.XLOOKUP($A742,'[1]LISTA ETIQUETAS'!$O:$O,'[1]LISTA ETIQUETAS'!F:F,"",0)</f>
        <v>0</v>
      </c>
      <c r="S742" s="2">
        <f>_xlfn.XLOOKUP($A742,'[1]LISTA ETIQUETAS'!$O:$O,'[1]LISTA ETIQUETAS'!H:H,"",0)</f>
        <v>1</v>
      </c>
      <c r="T742" s="9">
        <f t="shared" si="35"/>
        <v>2</v>
      </c>
    </row>
    <row r="743" spans="1:20" x14ac:dyDescent="0.25">
      <c r="A743" s="5">
        <v>219074</v>
      </c>
      <c r="B743" t="str">
        <f>IFERROR((VLOOKUP(A743,'[1]LISTA ETIQUETAS'!O:X,3,0)),"PRODUTO SEM ESTOQUE")</f>
        <v>EST MESA LATERAL IPANEMA (CINAMOMO CASTANHO C/CRISTAL PRETO)</v>
      </c>
      <c r="C743" s="10" t="s">
        <v>83</v>
      </c>
      <c r="D743" s="10" t="s">
        <v>463</v>
      </c>
      <c r="E743" s="11">
        <f>IF(VLOOKUP(A743,'[1]LISTA ETIQUETAS'!O:W,4,0)="",(VLOOKUP(A743,'[1]LISTA ETIQUETAS'!O:W,6,0)),(VLOOKUP(A743,'[1]LISTA ETIQUETAS'!O:W,4,0)))</f>
        <v>0.77</v>
      </c>
      <c r="F743" s="11">
        <f>IF(VLOOKUP(A743,'[1]LISTA ETIQUETAS'!O:W,5,0)="",(VLOOKUP(A743,'[1]LISTA ETIQUETAS'!O:W,7,0)),(VLOOKUP(A743,'[1]LISTA ETIQUETAS'!O:W,5,0)))</f>
        <v>0</v>
      </c>
      <c r="G743" s="11">
        <f>IFERROR((VLOOKUP(A743,'[1]LISTA ETIQUETAS'!O:X,8,0)),"")</f>
        <v>0.7</v>
      </c>
      <c r="H743" s="11">
        <f>IFERROR((VLOOKUP(A743,'[1]LISTA ETIQUETAS'!O:X,9,0)),"")</f>
        <v>0</v>
      </c>
      <c r="I743" s="12">
        <f>IFERROR((VLOOKUP(A743,'[1]LISTA ETIQUETAS'!O:Y,11,0)),"")</f>
        <v>7235.02</v>
      </c>
      <c r="J743" s="6">
        <v>0</v>
      </c>
      <c r="K743" s="12">
        <f t="shared" si="33"/>
        <v>7235.02</v>
      </c>
      <c r="L743" s="7" t="str">
        <f>IF(VLOOKUP(A743,'[1]LISTA ETIQUETAS'!O:AB,14,0)="","",(VLOOKUP(A743,'[1]LISTA ETIQUETAS'!O:AB,14,0)))</f>
        <v/>
      </c>
      <c r="M743" s="8"/>
      <c r="N743" s="9">
        <f t="shared" si="34"/>
        <v>219074</v>
      </c>
      <c r="O743" s="2">
        <f>_xlfn.XLOOKUP($A743,'[1]LISTA ETIQUETAS'!$O:$O,'[1]LISTA ETIQUETAS'!C:C,"",0)</f>
        <v>0</v>
      </c>
      <c r="P743" s="2">
        <f>_xlfn.XLOOKUP($A743,'[1]LISTA ETIQUETAS'!$O:$O,'[1]LISTA ETIQUETAS'!D:D,"",0)</f>
        <v>0</v>
      </c>
      <c r="Q743" s="2">
        <f>_xlfn.XLOOKUP($A743,'[1]LISTA ETIQUETAS'!$O:$O,'[1]LISTA ETIQUETAS'!E:E,"",0)</f>
        <v>0</v>
      </c>
      <c r="R743" s="2">
        <f>_xlfn.XLOOKUP($A743,'[1]LISTA ETIQUETAS'!$O:$O,'[1]LISTA ETIQUETAS'!F:F,"",0)</f>
        <v>0</v>
      </c>
      <c r="S743" s="2">
        <f>_xlfn.XLOOKUP($A743,'[1]LISTA ETIQUETAS'!$O:$O,'[1]LISTA ETIQUETAS'!H:H,"",0)</f>
        <v>1</v>
      </c>
      <c r="T743" s="9">
        <f t="shared" si="35"/>
        <v>1</v>
      </c>
    </row>
    <row r="744" spans="1:20" x14ac:dyDescent="0.25">
      <c r="A744" s="5">
        <v>97923</v>
      </c>
      <c r="B744" t="str">
        <f>IFERROR((VLOOKUP(A744,'[1]LISTA ETIQUETAS'!O:X,3,0)),"PRODUTO SEM ESTOQUE")</f>
        <v>EST MESA LATERAL DUOMO (LACA BRILHO G044 SAYERLACK)</v>
      </c>
      <c r="C744" s="10" t="s">
        <v>83</v>
      </c>
      <c r="D744" s="10" t="s">
        <v>467</v>
      </c>
      <c r="E744" s="11">
        <f>IF(VLOOKUP(A744,'[1]LISTA ETIQUETAS'!O:W,4,0)="",(VLOOKUP(A744,'[1]LISTA ETIQUETAS'!O:W,6,0)),(VLOOKUP(A744,'[1]LISTA ETIQUETAS'!O:W,4,0)))</f>
        <v>0.5</v>
      </c>
      <c r="F744" s="11">
        <f>IF(VLOOKUP(A744,'[1]LISTA ETIQUETAS'!O:W,5,0)="",(VLOOKUP(A744,'[1]LISTA ETIQUETAS'!O:W,7,0)),(VLOOKUP(A744,'[1]LISTA ETIQUETAS'!O:W,5,0)))</f>
        <v>0</v>
      </c>
      <c r="G744" s="11">
        <f>IFERROR((VLOOKUP(A744,'[1]LISTA ETIQUETAS'!O:X,8,0)),"")</f>
        <v>0.5</v>
      </c>
      <c r="H744" s="11">
        <f>IFERROR((VLOOKUP(A744,'[1]LISTA ETIQUETAS'!O:X,9,0)),"")</f>
        <v>0.5</v>
      </c>
      <c r="I744" s="12" t="str">
        <f>IFERROR((VLOOKUP(A744,'[1]LISTA ETIQUETAS'!O:Y,11,0)),"")</f>
        <v/>
      </c>
      <c r="J744" s="6">
        <v>0</v>
      </c>
      <c r="K744" s="12" t="str">
        <f t="shared" si="33"/>
        <v/>
      </c>
      <c r="L744" s="7" t="str">
        <f>IF(VLOOKUP(A744,'[1]LISTA ETIQUETAS'!O:AB,14,0)="","",(VLOOKUP(A744,'[1]LISTA ETIQUETAS'!O:AB,14,0)))</f>
        <v/>
      </c>
      <c r="M744" s="8"/>
      <c r="N744" s="9">
        <f t="shared" si="34"/>
        <v>97923</v>
      </c>
      <c r="O744" s="2">
        <f>_xlfn.XLOOKUP($A744,'[1]LISTA ETIQUETAS'!$O:$O,'[1]LISTA ETIQUETAS'!C:C,"",0)</f>
        <v>0</v>
      </c>
      <c r="P744" s="2">
        <f>_xlfn.XLOOKUP($A744,'[1]LISTA ETIQUETAS'!$O:$O,'[1]LISTA ETIQUETAS'!D:D,"",0)</f>
        <v>0</v>
      </c>
      <c r="Q744" s="2">
        <f>_xlfn.XLOOKUP($A744,'[1]LISTA ETIQUETAS'!$O:$O,'[1]LISTA ETIQUETAS'!E:E,"",0)</f>
        <v>0</v>
      </c>
      <c r="R744" s="2">
        <f>_xlfn.XLOOKUP($A744,'[1]LISTA ETIQUETAS'!$O:$O,'[1]LISTA ETIQUETAS'!F:F,"",0)</f>
        <v>0</v>
      </c>
      <c r="S744" s="2">
        <f>_xlfn.XLOOKUP($A744,'[1]LISTA ETIQUETAS'!$O:$O,'[1]LISTA ETIQUETAS'!H:H,"",0)</f>
        <v>1</v>
      </c>
      <c r="T744" s="9">
        <f t="shared" si="35"/>
        <v>1</v>
      </c>
    </row>
    <row r="745" spans="1:20" x14ac:dyDescent="0.25">
      <c r="A745" s="5">
        <v>124405</v>
      </c>
      <c r="B745" t="str">
        <f>IFERROR((VLOOKUP(A745,'[1]LISTA ETIQUETAS'!O:X,3,0)),"PRODUTO SEM ESTOQUE")</f>
        <v>EST MESA LATERAL FIX LACA BRILHANTE CHUMBO</v>
      </c>
      <c r="C745" s="10" t="s">
        <v>83</v>
      </c>
      <c r="D745" s="10" t="s">
        <v>468</v>
      </c>
      <c r="E745" s="11">
        <f>IF(VLOOKUP(A745,'[1]LISTA ETIQUETAS'!O:W,4,0)="",(VLOOKUP(A745,'[1]LISTA ETIQUETAS'!O:W,6,0)),(VLOOKUP(A745,'[1]LISTA ETIQUETAS'!O:W,4,0)))</f>
        <v>0.5</v>
      </c>
      <c r="F745" s="11">
        <f>IF(VLOOKUP(A745,'[1]LISTA ETIQUETAS'!O:W,5,0)="",(VLOOKUP(A745,'[1]LISTA ETIQUETAS'!O:W,7,0)),(VLOOKUP(A745,'[1]LISTA ETIQUETAS'!O:W,5,0)))</f>
        <v>0.5</v>
      </c>
      <c r="G745" s="11">
        <f>IFERROR((VLOOKUP(A745,'[1]LISTA ETIQUETAS'!O:X,8,0)),"")</f>
        <v>0.5</v>
      </c>
      <c r="H745" s="11">
        <f>IFERROR((VLOOKUP(A745,'[1]LISTA ETIQUETAS'!O:X,9,0)),"")</f>
        <v>0</v>
      </c>
      <c r="I745" s="12">
        <f>IFERROR((VLOOKUP(A745,'[1]LISTA ETIQUETAS'!O:Y,11,0)),"")</f>
        <v>4018.56</v>
      </c>
      <c r="J745" s="6">
        <v>0</v>
      </c>
      <c r="K745" s="12">
        <f t="shared" si="33"/>
        <v>4018.56</v>
      </c>
      <c r="L745" s="7" t="str">
        <f>IF(VLOOKUP(A745,'[1]LISTA ETIQUETAS'!O:AB,14,0)="","",(VLOOKUP(A745,'[1]LISTA ETIQUETAS'!O:AB,14,0)))</f>
        <v/>
      </c>
      <c r="M745" s="8"/>
      <c r="N745" s="9">
        <f t="shared" si="34"/>
        <v>124405</v>
      </c>
      <c r="O745" s="2">
        <f>_xlfn.XLOOKUP($A745,'[1]LISTA ETIQUETAS'!$O:$O,'[1]LISTA ETIQUETAS'!C:C,"",0)</f>
        <v>0</v>
      </c>
      <c r="P745" s="2">
        <f>_xlfn.XLOOKUP($A745,'[1]LISTA ETIQUETAS'!$O:$O,'[1]LISTA ETIQUETAS'!D:D,"",0)</f>
        <v>0</v>
      </c>
      <c r="Q745" s="2">
        <f>_xlfn.XLOOKUP($A745,'[1]LISTA ETIQUETAS'!$O:$O,'[1]LISTA ETIQUETAS'!E:E,"",0)</f>
        <v>0</v>
      </c>
      <c r="R745" s="2">
        <f>_xlfn.XLOOKUP($A745,'[1]LISTA ETIQUETAS'!$O:$O,'[1]LISTA ETIQUETAS'!F:F,"",0)</f>
        <v>0</v>
      </c>
      <c r="S745" s="2">
        <f>_xlfn.XLOOKUP($A745,'[1]LISTA ETIQUETAS'!$O:$O,'[1]LISTA ETIQUETAS'!H:H,"",0)</f>
        <v>1</v>
      </c>
      <c r="T745" s="9">
        <f t="shared" si="35"/>
        <v>1</v>
      </c>
    </row>
    <row r="746" spans="1:20" x14ac:dyDescent="0.25">
      <c r="A746" s="5">
        <v>124400</v>
      </c>
      <c r="B746" t="str">
        <f>IFERROR((VLOOKUP(A746,'[1]LISTA ETIQUETAS'!O:X,3,0)),"PRODUTO SEM ESTOQUE")</f>
        <v>EST MESA LATERAL FIX LACA BRILHANTE PLATINA</v>
      </c>
      <c r="C746" s="10" t="s">
        <v>83</v>
      </c>
      <c r="D746" s="10" t="s">
        <v>468</v>
      </c>
      <c r="E746" s="11">
        <f>IF(VLOOKUP(A746,'[1]LISTA ETIQUETAS'!O:W,4,0)="",(VLOOKUP(A746,'[1]LISTA ETIQUETAS'!O:W,6,0)),(VLOOKUP(A746,'[1]LISTA ETIQUETAS'!O:W,4,0)))</f>
        <v>0.3</v>
      </c>
      <c r="F746" s="11">
        <f>IF(VLOOKUP(A746,'[1]LISTA ETIQUETAS'!O:W,5,0)="",(VLOOKUP(A746,'[1]LISTA ETIQUETAS'!O:W,7,0)),(VLOOKUP(A746,'[1]LISTA ETIQUETAS'!O:W,5,0)))</f>
        <v>0.3</v>
      </c>
      <c r="G746" s="11">
        <f>IFERROR((VLOOKUP(A746,'[1]LISTA ETIQUETAS'!O:X,8,0)),"")</f>
        <v>0.3</v>
      </c>
      <c r="H746" s="11">
        <f>IFERROR((VLOOKUP(A746,'[1]LISTA ETIQUETAS'!O:X,9,0)),"")</f>
        <v>0</v>
      </c>
      <c r="I746" s="12">
        <f>IFERROR((VLOOKUP(A746,'[1]LISTA ETIQUETAS'!O:Y,11,0)),"")</f>
        <v>4018.56</v>
      </c>
      <c r="J746" s="6">
        <v>0</v>
      </c>
      <c r="K746" s="12">
        <f t="shared" si="33"/>
        <v>4018.56</v>
      </c>
      <c r="L746" s="7" t="str">
        <f>IF(VLOOKUP(A746,'[1]LISTA ETIQUETAS'!O:AB,14,0)="","",(VLOOKUP(A746,'[1]LISTA ETIQUETAS'!O:AB,14,0)))</f>
        <v/>
      </c>
      <c r="M746" s="8"/>
      <c r="N746" s="9">
        <f t="shared" si="34"/>
        <v>124400</v>
      </c>
      <c r="O746" s="2">
        <f>_xlfn.XLOOKUP($A746,'[1]LISTA ETIQUETAS'!$O:$O,'[1]LISTA ETIQUETAS'!C:C,"",0)</f>
        <v>0</v>
      </c>
      <c r="P746" s="2">
        <f>_xlfn.XLOOKUP($A746,'[1]LISTA ETIQUETAS'!$O:$O,'[1]LISTA ETIQUETAS'!D:D,"",0)</f>
        <v>0</v>
      </c>
      <c r="Q746" s="2">
        <f>_xlfn.XLOOKUP($A746,'[1]LISTA ETIQUETAS'!$O:$O,'[1]LISTA ETIQUETAS'!E:E,"",0)</f>
        <v>0</v>
      </c>
      <c r="R746" s="2">
        <f>_xlfn.XLOOKUP($A746,'[1]LISTA ETIQUETAS'!$O:$O,'[1]LISTA ETIQUETAS'!F:F,"",0)</f>
        <v>0</v>
      </c>
      <c r="S746" s="2">
        <f>_xlfn.XLOOKUP($A746,'[1]LISTA ETIQUETAS'!$O:$O,'[1]LISTA ETIQUETAS'!H:H,"",0)</f>
        <v>1</v>
      </c>
      <c r="T746" s="9">
        <f t="shared" si="35"/>
        <v>1</v>
      </c>
    </row>
    <row r="747" spans="1:20" x14ac:dyDescent="0.25">
      <c r="A747" s="5">
        <v>113368</v>
      </c>
      <c r="B747" t="str">
        <f>IFERROR((VLOOKUP(A747,'[1]LISTA ETIQUETAS'!O:X,3,0)),"PRODUTO SEM ESTOQUE")</f>
        <v>EST MESA ONDA (INFANTIL) (PRETA)</v>
      </c>
      <c r="C747" s="10" t="s">
        <v>83</v>
      </c>
      <c r="D747" s="10" t="s">
        <v>469</v>
      </c>
      <c r="E747" s="11">
        <f>IF(VLOOKUP(A747,'[1]LISTA ETIQUETAS'!O:W,4,0)="",(VLOOKUP(A747,'[1]LISTA ETIQUETAS'!O:W,6,0)),(VLOOKUP(A747,'[1]LISTA ETIQUETAS'!O:W,4,0)))</f>
        <v>0.35</v>
      </c>
      <c r="F747" s="11">
        <f>IF(VLOOKUP(A747,'[1]LISTA ETIQUETAS'!O:W,5,0)="",(VLOOKUP(A747,'[1]LISTA ETIQUETAS'!O:W,7,0)),(VLOOKUP(A747,'[1]LISTA ETIQUETAS'!O:W,5,0)))</f>
        <v>0.35</v>
      </c>
      <c r="G747" s="11">
        <f>IFERROR((VLOOKUP(A747,'[1]LISTA ETIQUETAS'!O:X,8,0)),"")</f>
        <v>0.3</v>
      </c>
      <c r="H747" s="11">
        <f>IFERROR((VLOOKUP(A747,'[1]LISTA ETIQUETAS'!O:X,9,0)),"")</f>
        <v>0</v>
      </c>
      <c r="I747" s="12">
        <f>IFERROR((VLOOKUP(A747,'[1]LISTA ETIQUETAS'!O:Y,11,0)),"")</f>
        <v>1187.2</v>
      </c>
      <c r="J747" s="6">
        <v>0</v>
      </c>
      <c r="K747" s="12">
        <f t="shared" si="33"/>
        <v>1187.2</v>
      </c>
      <c r="L747" s="7" t="str">
        <f>IF(VLOOKUP(A747,'[1]LISTA ETIQUETAS'!O:AB,14,0)="","",(VLOOKUP(A747,'[1]LISTA ETIQUETAS'!O:AB,14,0)))</f>
        <v/>
      </c>
      <c r="M747" s="8"/>
      <c r="N747" s="9">
        <f t="shared" si="34"/>
        <v>113368</v>
      </c>
      <c r="O747" s="2">
        <f>_xlfn.XLOOKUP($A747,'[1]LISTA ETIQUETAS'!$O:$O,'[1]LISTA ETIQUETAS'!C:C,"",0)</f>
        <v>0</v>
      </c>
      <c r="P747" s="2">
        <f>_xlfn.XLOOKUP($A747,'[1]LISTA ETIQUETAS'!$O:$O,'[1]LISTA ETIQUETAS'!D:D,"",0)</f>
        <v>0</v>
      </c>
      <c r="Q747" s="2">
        <f>_xlfn.XLOOKUP($A747,'[1]LISTA ETIQUETAS'!$O:$O,'[1]LISTA ETIQUETAS'!E:E,"",0)</f>
        <v>0</v>
      </c>
      <c r="R747" s="2">
        <f>_xlfn.XLOOKUP($A747,'[1]LISTA ETIQUETAS'!$O:$O,'[1]LISTA ETIQUETAS'!F:F,"",0)</f>
        <v>0</v>
      </c>
      <c r="S747" s="2">
        <f>_xlfn.XLOOKUP($A747,'[1]LISTA ETIQUETAS'!$O:$O,'[1]LISTA ETIQUETAS'!H:H,"",0)</f>
        <v>3</v>
      </c>
      <c r="T747" s="9">
        <f t="shared" si="35"/>
        <v>3</v>
      </c>
    </row>
    <row r="748" spans="1:20" x14ac:dyDescent="0.25">
      <c r="A748" s="5">
        <v>150024</v>
      </c>
      <c r="B748" t="str">
        <f>IFERROR((VLOOKUP(A748,'[1]LISTA ETIQUETAS'!O:X,3,0)),"PRODUTO SEM ESTOQUE")</f>
        <v>EST MESA LATERAL DUOMO (SOFT PURPLE 45)</v>
      </c>
      <c r="C748" s="10" t="s">
        <v>83</v>
      </c>
      <c r="D748" s="10" t="s">
        <v>467</v>
      </c>
      <c r="E748" s="11">
        <f>IF(VLOOKUP(A748,'[1]LISTA ETIQUETAS'!O:W,4,0)="",(VLOOKUP(A748,'[1]LISTA ETIQUETAS'!O:W,6,0)),(VLOOKUP(A748,'[1]LISTA ETIQUETAS'!O:W,4,0)))</f>
        <v>0.5</v>
      </c>
      <c r="F748" s="11">
        <f>IF(VLOOKUP(A748,'[1]LISTA ETIQUETAS'!O:W,5,0)="",(VLOOKUP(A748,'[1]LISTA ETIQUETAS'!O:W,7,0)),(VLOOKUP(A748,'[1]LISTA ETIQUETAS'!O:W,5,0)))</f>
        <v>0</v>
      </c>
      <c r="G748" s="11">
        <f>IFERROR((VLOOKUP(A748,'[1]LISTA ETIQUETAS'!O:X,8,0)),"")</f>
        <v>0.5</v>
      </c>
      <c r="H748" s="11">
        <f>IFERROR((VLOOKUP(A748,'[1]LISTA ETIQUETAS'!O:X,9,0)),"")</f>
        <v>0</v>
      </c>
      <c r="I748" s="12" t="str">
        <f>IFERROR((VLOOKUP(A748,'[1]LISTA ETIQUETAS'!O:Y,11,0)),"")</f>
        <v/>
      </c>
      <c r="J748" s="6">
        <v>0</v>
      </c>
      <c r="K748" s="12" t="str">
        <f t="shared" si="33"/>
        <v/>
      </c>
      <c r="L748" s="7" t="str">
        <f>IF(VLOOKUP(A748,'[1]LISTA ETIQUETAS'!O:AB,14,0)="","",(VLOOKUP(A748,'[1]LISTA ETIQUETAS'!O:AB,14,0)))</f>
        <v/>
      </c>
      <c r="M748" s="8"/>
      <c r="N748" s="9">
        <f t="shared" si="34"/>
        <v>150024</v>
      </c>
      <c r="O748" s="2">
        <f>_xlfn.XLOOKUP($A748,'[1]LISTA ETIQUETAS'!$O:$O,'[1]LISTA ETIQUETAS'!C:C,"",0)</f>
        <v>0</v>
      </c>
      <c r="P748" s="2">
        <f>_xlfn.XLOOKUP($A748,'[1]LISTA ETIQUETAS'!$O:$O,'[1]LISTA ETIQUETAS'!D:D,"",0)</f>
        <v>0</v>
      </c>
      <c r="Q748" s="2">
        <f>_xlfn.XLOOKUP($A748,'[1]LISTA ETIQUETAS'!$O:$O,'[1]LISTA ETIQUETAS'!E:E,"",0)</f>
        <v>0</v>
      </c>
      <c r="R748" s="2">
        <f>_xlfn.XLOOKUP($A748,'[1]LISTA ETIQUETAS'!$O:$O,'[1]LISTA ETIQUETAS'!F:F,"",0)</f>
        <v>0</v>
      </c>
      <c r="S748" s="2">
        <f>_xlfn.XLOOKUP($A748,'[1]LISTA ETIQUETAS'!$O:$O,'[1]LISTA ETIQUETAS'!H:H,"",0)</f>
        <v>1</v>
      </c>
      <c r="T748" s="9">
        <f t="shared" si="35"/>
        <v>1</v>
      </c>
    </row>
    <row r="749" spans="1:20" x14ac:dyDescent="0.25">
      <c r="A749" s="5">
        <v>151668</v>
      </c>
      <c r="B749" t="str">
        <f>IFERROR((VLOOKUP(A749,'[1]LISTA ETIQUETAS'!O:X,3,0)),"PRODUTO SEM ESTOQUE")</f>
        <v>EST MESA LATERAL EROS (INOX POLIDO) (TP CARV GRAFITE BRILHO)</v>
      </c>
      <c r="C749" s="10" t="s">
        <v>83</v>
      </c>
      <c r="D749" s="10" t="s">
        <v>470</v>
      </c>
      <c r="E749" s="11">
        <f>IF(VLOOKUP(A749,'[1]LISTA ETIQUETAS'!O:W,4,0)="",(VLOOKUP(A749,'[1]LISTA ETIQUETAS'!O:W,6,0)),(VLOOKUP(A749,'[1]LISTA ETIQUETAS'!O:W,4,0)))</f>
        <v>0.56000000000000005</v>
      </c>
      <c r="F749" s="11">
        <f>IF(VLOOKUP(A749,'[1]LISTA ETIQUETAS'!O:W,5,0)="",(VLOOKUP(A749,'[1]LISTA ETIQUETAS'!O:W,7,0)),(VLOOKUP(A749,'[1]LISTA ETIQUETAS'!O:W,5,0)))</f>
        <v>0.4</v>
      </c>
      <c r="G749" s="11">
        <f>IFERROR((VLOOKUP(A749,'[1]LISTA ETIQUETAS'!O:X,8,0)),"")</f>
        <v>0.65</v>
      </c>
      <c r="H749" s="11">
        <f>IFERROR((VLOOKUP(A749,'[1]LISTA ETIQUETAS'!O:X,9,0)),"")</f>
        <v>0</v>
      </c>
      <c r="I749" s="12">
        <f>IFERROR((VLOOKUP(A749,'[1]LISTA ETIQUETAS'!O:Y,11,0)),"")</f>
        <v>9434.8799999999992</v>
      </c>
      <c r="J749" s="6">
        <v>0</v>
      </c>
      <c r="K749" s="12">
        <f t="shared" si="33"/>
        <v>9434.8799999999992</v>
      </c>
      <c r="L749" s="7" t="str">
        <f>IF(VLOOKUP(A749,'[1]LISTA ETIQUETAS'!O:AB,14,0)="","",(VLOOKUP(A749,'[1]LISTA ETIQUETAS'!O:AB,14,0)))</f>
        <v/>
      </c>
      <c r="M749" s="8"/>
      <c r="N749" s="9">
        <f t="shared" si="34"/>
        <v>151668</v>
      </c>
      <c r="O749" s="2">
        <f>_xlfn.XLOOKUP($A749,'[1]LISTA ETIQUETAS'!$O:$O,'[1]LISTA ETIQUETAS'!C:C,"",0)</f>
        <v>0</v>
      </c>
      <c r="P749" s="2">
        <f>_xlfn.XLOOKUP($A749,'[1]LISTA ETIQUETAS'!$O:$O,'[1]LISTA ETIQUETAS'!D:D,"",0)</f>
        <v>0</v>
      </c>
      <c r="Q749" s="2">
        <f>_xlfn.XLOOKUP($A749,'[1]LISTA ETIQUETAS'!$O:$O,'[1]LISTA ETIQUETAS'!E:E,"",0)</f>
        <v>0</v>
      </c>
      <c r="R749" s="2">
        <f>_xlfn.XLOOKUP($A749,'[1]LISTA ETIQUETAS'!$O:$O,'[1]LISTA ETIQUETAS'!F:F,"",0)</f>
        <v>0</v>
      </c>
      <c r="S749" s="2">
        <f>_xlfn.XLOOKUP($A749,'[1]LISTA ETIQUETAS'!$O:$O,'[1]LISTA ETIQUETAS'!H:H,"",0)</f>
        <v>2</v>
      </c>
      <c r="T749" s="9">
        <f t="shared" si="35"/>
        <v>2</v>
      </c>
    </row>
    <row r="750" spans="1:20" x14ac:dyDescent="0.25">
      <c r="A750" s="5">
        <v>151297</v>
      </c>
      <c r="B750" t="str">
        <f>IFERROR((VLOOKUP(A750,'[1]LISTA ETIQUETAS'!O:X,3,0)),"PRODUTO SEM ESTOQUE")</f>
        <v>EST MESA APOIO TULIPA (FIBRA NATURAL COR 76)</v>
      </c>
      <c r="C750" s="10" t="s">
        <v>83</v>
      </c>
      <c r="D750" s="10" t="s">
        <v>471</v>
      </c>
      <c r="E750" s="11">
        <f>IF(VLOOKUP(A750,'[1]LISTA ETIQUETAS'!O:W,4,0)="",(VLOOKUP(A750,'[1]LISTA ETIQUETAS'!O:W,6,0)),(VLOOKUP(A750,'[1]LISTA ETIQUETAS'!O:W,4,0)))</f>
        <v>1</v>
      </c>
      <c r="F750" s="11">
        <f>IF(VLOOKUP(A750,'[1]LISTA ETIQUETAS'!O:W,5,0)="",(VLOOKUP(A750,'[1]LISTA ETIQUETAS'!O:W,7,0)),(VLOOKUP(A750,'[1]LISTA ETIQUETAS'!O:W,5,0)))</f>
        <v>0</v>
      </c>
      <c r="G750" s="11">
        <f>IFERROR((VLOOKUP(A750,'[1]LISTA ETIQUETAS'!O:X,8,0)),"")</f>
        <v>0.74</v>
      </c>
      <c r="H750" s="11">
        <f>IFERROR((VLOOKUP(A750,'[1]LISTA ETIQUETAS'!O:X,9,0)),"")</f>
        <v>1</v>
      </c>
      <c r="I750" s="12">
        <f>IFERROR((VLOOKUP(A750,'[1]LISTA ETIQUETAS'!O:Y,11,0)),"")</f>
        <v>0</v>
      </c>
      <c r="J750" s="6">
        <v>0</v>
      </c>
      <c r="K750" s="12">
        <f t="shared" si="33"/>
        <v>0</v>
      </c>
      <c r="L750" s="7" t="str">
        <f>IF(VLOOKUP(A750,'[1]LISTA ETIQUETAS'!O:AB,14,0)="","",(VLOOKUP(A750,'[1]LISTA ETIQUETAS'!O:AB,14,0)))</f>
        <v/>
      </c>
      <c r="M750" s="8"/>
      <c r="N750" s="9">
        <f t="shared" si="34"/>
        <v>151297</v>
      </c>
      <c r="O750" s="2">
        <f>_xlfn.XLOOKUP($A750,'[1]LISTA ETIQUETAS'!$O:$O,'[1]LISTA ETIQUETAS'!C:C,"",0)</f>
        <v>0</v>
      </c>
      <c r="P750" s="2">
        <f>_xlfn.XLOOKUP($A750,'[1]LISTA ETIQUETAS'!$O:$O,'[1]LISTA ETIQUETAS'!D:D,"",0)</f>
        <v>0</v>
      </c>
      <c r="Q750" s="2">
        <f>_xlfn.XLOOKUP($A750,'[1]LISTA ETIQUETAS'!$O:$O,'[1]LISTA ETIQUETAS'!E:E,"",0)</f>
        <v>0</v>
      </c>
      <c r="R750" s="2">
        <f>_xlfn.XLOOKUP($A750,'[1]LISTA ETIQUETAS'!$O:$O,'[1]LISTA ETIQUETAS'!F:F,"",0)</f>
        <v>0</v>
      </c>
      <c r="S750" s="2">
        <f>_xlfn.XLOOKUP($A750,'[1]LISTA ETIQUETAS'!$O:$O,'[1]LISTA ETIQUETAS'!H:H,"",0)</f>
        <v>1</v>
      </c>
      <c r="T750" s="9">
        <f t="shared" si="35"/>
        <v>1</v>
      </c>
    </row>
    <row r="751" spans="1:20" x14ac:dyDescent="0.25">
      <c r="A751" s="5">
        <v>203124</v>
      </c>
      <c r="B751" t="str">
        <f>IFERROR((VLOOKUP(A751,'[1]LISTA ETIQUETAS'!O:X,3,0)),"PRODUTO SEM ESTOQUE")</f>
        <v>EST MESA LATERAL LOLA (FREIJO NATURAL)</v>
      </c>
      <c r="C751" s="10" t="s">
        <v>83</v>
      </c>
      <c r="D751" s="10" t="s">
        <v>472</v>
      </c>
      <c r="E751" s="11">
        <f>IF(VLOOKUP(A751,'[1]LISTA ETIQUETAS'!O:W,4,0)="",(VLOOKUP(A751,'[1]LISTA ETIQUETAS'!O:W,6,0)),(VLOOKUP(A751,'[1]LISTA ETIQUETAS'!O:W,4,0)))</f>
        <v>0.6</v>
      </c>
      <c r="F751" s="11">
        <f>IF(VLOOKUP(A751,'[1]LISTA ETIQUETAS'!O:W,5,0)="",(VLOOKUP(A751,'[1]LISTA ETIQUETAS'!O:W,7,0)),(VLOOKUP(A751,'[1]LISTA ETIQUETAS'!O:W,5,0)))</f>
        <v>0.6</v>
      </c>
      <c r="G751" s="11">
        <f>IFERROR((VLOOKUP(A751,'[1]LISTA ETIQUETAS'!O:X,8,0)),"")</f>
        <v>0.6</v>
      </c>
      <c r="H751" s="11">
        <f>IFERROR((VLOOKUP(A751,'[1]LISTA ETIQUETAS'!O:X,9,0)),"")</f>
        <v>0</v>
      </c>
      <c r="I751" s="12">
        <f>IFERROR((VLOOKUP(A751,'[1]LISTA ETIQUETAS'!O:Y,11,0)),"")</f>
        <v>5672.9</v>
      </c>
      <c r="J751" s="6">
        <v>0</v>
      </c>
      <c r="K751" s="12">
        <f t="shared" si="33"/>
        <v>5672.9</v>
      </c>
      <c r="L751" s="7" t="str">
        <f>IF(VLOOKUP(A751,'[1]LISTA ETIQUETAS'!O:AB,14,0)="","",(VLOOKUP(A751,'[1]LISTA ETIQUETAS'!O:AB,14,0)))</f>
        <v/>
      </c>
      <c r="M751" s="8"/>
      <c r="N751" s="9">
        <f t="shared" si="34"/>
        <v>203124</v>
      </c>
      <c r="O751" s="2">
        <f>_xlfn.XLOOKUP($A751,'[1]LISTA ETIQUETAS'!$O:$O,'[1]LISTA ETIQUETAS'!C:C,"",0)</f>
        <v>0</v>
      </c>
      <c r="P751" s="2">
        <f>_xlfn.XLOOKUP($A751,'[1]LISTA ETIQUETAS'!$O:$O,'[1]LISTA ETIQUETAS'!D:D,"",0)</f>
        <v>0</v>
      </c>
      <c r="Q751" s="2">
        <f>_xlfn.XLOOKUP($A751,'[1]LISTA ETIQUETAS'!$O:$O,'[1]LISTA ETIQUETAS'!E:E,"",0)</f>
        <v>0</v>
      </c>
      <c r="R751" s="2">
        <f>_xlfn.XLOOKUP($A751,'[1]LISTA ETIQUETAS'!$O:$O,'[1]LISTA ETIQUETAS'!F:F,"",0)</f>
        <v>0</v>
      </c>
      <c r="S751" s="2">
        <f>_xlfn.XLOOKUP($A751,'[1]LISTA ETIQUETAS'!$O:$O,'[1]LISTA ETIQUETAS'!H:H,"",0)</f>
        <v>1</v>
      </c>
      <c r="T751" s="9">
        <f t="shared" si="35"/>
        <v>1</v>
      </c>
    </row>
    <row r="752" spans="1:20" x14ac:dyDescent="0.25">
      <c r="A752" s="5">
        <v>210569</v>
      </c>
      <c r="B752" t="str">
        <f>IFERROR((VLOOKUP(A752,'[1]LISTA ETIQUETAS'!O:X,3,0)),"PRODUTO SEM ESTOQUE")</f>
        <v>EST MESA LATERAL ZARA ESPELHO PRATA</v>
      </c>
      <c r="C752" s="10" t="s">
        <v>83</v>
      </c>
      <c r="D752" s="10" t="s">
        <v>473</v>
      </c>
      <c r="E752" s="11">
        <f>IF(VLOOKUP(A752,'[1]LISTA ETIQUETAS'!O:W,4,0)="",(VLOOKUP(A752,'[1]LISTA ETIQUETAS'!O:W,6,0)),(VLOOKUP(A752,'[1]LISTA ETIQUETAS'!O:W,4,0)))</f>
        <v>0.6</v>
      </c>
      <c r="F752" s="11">
        <f>IF(VLOOKUP(A752,'[1]LISTA ETIQUETAS'!O:W,5,0)="",(VLOOKUP(A752,'[1]LISTA ETIQUETAS'!O:W,7,0)),(VLOOKUP(A752,'[1]LISTA ETIQUETAS'!O:W,5,0)))</f>
        <v>0.6</v>
      </c>
      <c r="G752" s="11">
        <f>IFERROR((VLOOKUP(A752,'[1]LISTA ETIQUETAS'!O:X,8,0)),"")</f>
        <v>0.6</v>
      </c>
      <c r="H752" s="11">
        <f>IFERROR((VLOOKUP(A752,'[1]LISTA ETIQUETAS'!O:X,9,0)),"")</f>
        <v>0</v>
      </c>
      <c r="I752" s="12">
        <f>IFERROR((VLOOKUP(A752,'[1]LISTA ETIQUETAS'!O:Y,11,0)),"")</f>
        <v>6852.16</v>
      </c>
      <c r="J752" s="6">
        <v>0</v>
      </c>
      <c r="K752" s="12">
        <f t="shared" si="33"/>
        <v>6852.16</v>
      </c>
      <c r="L752" s="7" t="str">
        <f>IF(VLOOKUP(A752,'[1]LISTA ETIQUETAS'!O:AB,14,0)="","",(VLOOKUP(A752,'[1]LISTA ETIQUETAS'!O:AB,14,0)))</f>
        <v/>
      </c>
      <c r="M752" s="8"/>
      <c r="N752" s="9">
        <f t="shared" si="34"/>
        <v>210569</v>
      </c>
      <c r="O752" s="2">
        <f>_xlfn.XLOOKUP($A752,'[1]LISTA ETIQUETAS'!$O:$O,'[1]LISTA ETIQUETAS'!C:C,"",0)</f>
        <v>0</v>
      </c>
      <c r="P752" s="2">
        <f>_xlfn.XLOOKUP($A752,'[1]LISTA ETIQUETAS'!$O:$O,'[1]LISTA ETIQUETAS'!D:D,"",0)</f>
        <v>0</v>
      </c>
      <c r="Q752" s="2">
        <f>_xlfn.XLOOKUP($A752,'[1]LISTA ETIQUETAS'!$O:$O,'[1]LISTA ETIQUETAS'!E:E,"",0)</f>
        <v>0</v>
      </c>
      <c r="R752" s="2">
        <f>_xlfn.XLOOKUP($A752,'[1]LISTA ETIQUETAS'!$O:$O,'[1]LISTA ETIQUETAS'!F:F,"",0)</f>
        <v>0</v>
      </c>
      <c r="S752" s="2">
        <f>_xlfn.XLOOKUP($A752,'[1]LISTA ETIQUETAS'!$O:$O,'[1]LISTA ETIQUETAS'!H:H,"",0)</f>
        <v>1</v>
      </c>
      <c r="T752" s="9">
        <f t="shared" si="35"/>
        <v>1</v>
      </c>
    </row>
    <row r="753" spans="1:20" x14ac:dyDescent="0.25">
      <c r="A753" s="5">
        <v>204485</v>
      </c>
      <c r="B753" t="str">
        <f>IFERROR((VLOOKUP(A753,'[1]LISTA ETIQUETAS'!O:X,3,0)),"PRODUTO SEM ESTOQUE")</f>
        <v>EST MESA LATERAL BUNI (GANE OURO ROSA BRILHO)</v>
      </c>
      <c r="C753" s="10" t="s">
        <v>83</v>
      </c>
      <c r="D753" s="10" t="s">
        <v>474</v>
      </c>
      <c r="E753" s="11">
        <f>IF(VLOOKUP(A753,'[1]LISTA ETIQUETAS'!O:W,4,0)="",(VLOOKUP(A753,'[1]LISTA ETIQUETAS'!O:W,6,0)),(VLOOKUP(A753,'[1]LISTA ETIQUETAS'!O:W,4,0)))</f>
        <v>0.45</v>
      </c>
      <c r="F753" s="11">
        <f>IF(VLOOKUP(A753,'[1]LISTA ETIQUETAS'!O:W,5,0)="",(VLOOKUP(A753,'[1]LISTA ETIQUETAS'!O:W,7,0)),(VLOOKUP(A753,'[1]LISTA ETIQUETAS'!O:W,5,0)))</f>
        <v>0</v>
      </c>
      <c r="G753" s="11">
        <f>IFERROR((VLOOKUP(A753,'[1]LISTA ETIQUETAS'!O:X,8,0)),"")</f>
        <v>0.4</v>
      </c>
      <c r="H753" s="11">
        <f>IFERROR((VLOOKUP(A753,'[1]LISTA ETIQUETAS'!O:X,9,0)),"")</f>
        <v>0.45</v>
      </c>
      <c r="I753" s="12">
        <f>IFERROR((VLOOKUP(A753,'[1]LISTA ETIQUETAS'!O:Y,11,0)),"")</f>
        <v>8781.92</v>
      </c>
      <c r="J753" s="6">
        <v>0</v>
      </c>
      <c r="K753" s="12">
        <f t="shared" si="33"/>
        <v>8781.92</v>
      </c>
      <c r="L753" s="7" t="str">
        <f>IF(VLOOKUP(A753,'[1]LISTA ETIQUETAS'!O:AB,14,0)="","",(VLOOKUP(A753,'[1]LISTA ETIQUETAS'!O:AB,14,0)))</f>
        <v/>
      </c>
      <c r="M753" s="8"/>
      <c r="N753" s="9">
        <f t="shared" si="34"/>
        <v>204485</v>
      </c>
      <c r="O753" s="2">
        <f>_xlfn.XLOOKUP($A753,'[1]LISTA ETIQUETAS'!$O:$O,'[1]LISTA ETIQUETAS'!C:C,"",0)</f>
        <v>0</v>
      </c>
      <c r="P753" s="2">
        <f>_xlfn.XLOOKUP($A753,'[1]LISTA ETIQUETAS'!$O:$O,'[1]LISTA ETIQUETAS'!D:D,"",0)</f>
        <v>0</v>
      </c>
      <c r="Q753" s="2">
        <f>_xlfn.XLOOKUP($A753,'[1]LISTA ETIQUETAS'!$O:$O,'[1]LISTA ETIQUETAS'!E:E,"",0)</f>
        <v>0</v>
      </c>
      <c r="R753" s="2">
        <f>_xlfn.XLOOKUP($A753,'[1]LISTA ETIQUETAS'!$O:$O,'[1]LISTA ETIQUETAS'!F:F,"",0)</f>
        <v>0</v>
      </c>
      <c r="S753" s="2">
        <f>_xlfn.XLOOKUP($A753,'[1]LISTA ETIQUETAS'!$O:$O,'[1]LISTA ETIQUETAS'!H:H,"",0)</f>
        <v>1</v>
      </c>
      <c r="T753" s="9">
        <f t="shared" si="35"/>
        <v>1</v>
      </c>
    </row>
    <row r="754" spans="1:20" x14ac:dyDescent="0.25">
      <c r="A754" s="5">
        <v>231138</v>
      </c>
      <c r="B754" t="str">
        <f>IFERROR((VLOOKUP(A754,'[1]LISTA ETIQUETAS'!O:X,3,0)),"PRODUTO SEM ESTOQUE")</f>
        <v>EST MESA LATERAL JOAQUINA (C) GOF ARGI 240/BS PRETA</v>
      </c>
      <c r="C754" s="10" t="s">
        <v>83</v>
      </c>
      <c r="D754" s="10" t="s">
        <v>475</v>
      </c>
      <c r="E754" s="11">
        <f>IF(VLOOKUP(A754,'[1]LISTA ETIQUETAS'!O:W,4,0)="",(VLOOKUP(A754,'[1]LISTA ETIQUETAS'!O:W,6,0)),(VLOOKUP(A754,'[1]LISTA ETIQUETAS'!O:W,4,0)))</f>
        <v>0.4</v>
      </c>
      <c r="F754" s="11">
        <f>IF(VLOOKUP(A754,'[1]LISTA ETIQUETAS'!O:W,5,0)="",(VLOOKUP(A754,'[1]LISTA ETIQUETAS'!O:W,7,0)),(VLOOKUP(A754,'[1]LISTA ETIQUETAS'!O:W,5,0)))</f>
        <v>0.4</v>
      </c>
      <c r="G754" s="11">
        <f>IFERROR((VLOOKUP(A754,'[1]LISTA ETIQUETAS'!O:X,8,0)),"")</f>
        <v>0.55000000000000004</v>
      </c>
      <c r="H754" s="11">
        <f>IFERROR((VLOOKUP(A754,'[1]LISTA ETIQUETAS'!O:X,9,0)),"")</f>
        <v>0</v>
      </c>
      <c r="I754" s="12">
        <f>IFERROR((VLOOKUP(A754,'[1]LISTA ETIQUETAS'!O:Y,11,0)),"")</f>
        <v>3960.32</v>
      </c>
      <c r="J754" s="6">
        <v>0</v>
      </c>
      <c r="K754" s="12">
        <f t="shared" si="33"/>
        <v>3960.32</v>
      </c>
      <c r="L754" s="7" t="str">
        <f>IF(VLOOKUP(A754,'[1]LISTA ETIQUETAS'!O:AB,14,0)="","",(VLOOKUP(A754,'[1]LISTA ETIQUETAS'!O:AB,14,0)))</f>
        <v/>
      </c>
      <c r="M754" s="8"/>
      <c r="N754" s="9">
        <f t="shared" si="34"/>
        <v>231138</v>
      </c>
      <c r="O754" s="2">
        <f>_xlfn.XLOOKUP($A754,'[1]LISTA ETIQUETAS'!$O:$O,'[1]LISTA ETIQUETAS'!C:C,"",0)</f>
        <v>0</v>
      </c>
      <c r="P754" s="2">
        <f>_xlfn.XLOOKUP($A754,'[1]LISTA ETIQUETAS'!$O:$O,'[1]LISTA ETIQUETAS'!D:D,"",0)</f>
        <v>0</v>
      </c>
      <c r="Q754" s="2">
        <f>_xlfn.XLOOKUP($A754,'[1]LISTA ETIQUETAS'!$O:$O,'[1]LISTA ETIQUETAS'!E:E,"",0)</f>
        <v>0</v>
      </c>
      <c r="R754" s="2">
        <f>_xlfn.XLOOKUP($A754,'[1]LISTA ETIQUETAS'!$O:$O,'[1]LISTA ETIQUETAS'!F:F,"",0)</f>
        <v>0</v>
      </c>
      <c r="S754" s="2">
        <f>_xlfn.XLOOKUP($A754,'[1]LISTA ETIQUETAS'!$O:$O,'[1]LISTA ETIQUETAS'!H:H,"",0)</f>
        <v>1</v>
      </c>
      <c r="T754" s="9">
        <f t="shared" si="35"/>
        <v>1</v>
      </c>
    </row>
    <row r="755" spans="1:20" x14ac:dyDescent="0.25">
      <c r="A755" s="5">
        <v>231135</v>
      </c>
      <c r="B755" t="str">
        <f>IFERROR((VLOOKUP(A755,'[1]LISTA ETIQUETAS'!O:X,3,0)),"PRODUTO SEM ESTOQUE")</f>
        <v>EST MESA LATERAL JOAQUINA (A) GOF RATO 242/BS PRETA</v>
      </c>
      <c r="C755" s="10" t="s">
        <v>83</v>
      </c>
      <c r="D755" s="10" t="s">
        <v>475</v>
      </c>
      <c r="E755" s="11">
        <f>IF(VLOOKUP(A755,'[1]LISTA ETIQUETAS'!O:W,4,0)="",(VLOOKUP(A755,'[1]LISTA ETIQUETAS'!O:W,6,0)),(VLOOKUP(A755,'[1]LISTA ETIQUETAS'!O:W,4,0)))</f>
        <v>0.55000000000000004</v>
      </c>
      <c r="F755" s="11">
        <f>IF(VLOOKUP(A755,'[1]LISTA ETIQUETAS'!O:W,5,0)="",(VLOOKUP(A755,'[1]LISTA ETIQUETAS'!O:W,7,0)),(VLOOKUP(A755,'[1]LISTA ETIQUETAS'!O:W,5,0)))</f>
        <v>0.45</v>
      </c>
      <c r="G755" s="11">
        <f>IFERROR((VLOOKUP(A755,'[1]LISTA ETIQUETAS'!O:X,8,0)),"")</f>
        <v>0.35</v>
      </c>
      <c r="H755" s="11">
        <f>IFERROR((VLOOKUP(A755,'[1]LISTA ETIQUETAS'!O:X,9,0)),"")</f>
        <v>0</v>
      </c>
      <c r="I755" s="12">
        <f>IFERROR((VLOOKUP(A755,'[1]LISTA ETIQUETAS'!O:Y,11,0)),"")</f>
        <v>5398.31</v>
      </c>
      <c r="J755" s="6">
        <v>0</v>
      </c>
      <c r="K755" s="12">
        <f t="shared" si="33"/>
        <v>5398.31</v>
      </c>
      <c r="L755" s="7" t="str">
        <f>IF(VLOOKUP(A755,'[1]LISTA ETIQUETAS'!O:AB,14,0)="","",(VLOOKUP(A755,'[1]LISTA ETIQUETAS'!O:AB,14,0)))</f>
        <v/>
      </c>
      <c r="M755" s="8"/>
      <c r="N755" s="9">
        <f t="shared" si="34"/>
        <v>231135</v>
      </c>
      <c r="O755" s="2">
        <f>_xlfn.XLOOKUP($A755,'[1]LISTA ETIQUETAS'!$O:$O,'[1]LISTA ETIQUETAS'!C:C,"",0)</f>
        <v>0</v>
      </c>
      <c r="P755" s="2">
        <f>_xlfn.XLOOKUP($A755,'[1]LISTA ETIQUETAS'!$O:$O,'[1]LISTA ETIQUETAS'!D:D,"",0)</f>
        <v>0</v>
      </c>
      <c r="Q755" s="2">
        <f>_xlfn.XLOOKUP($A755,'[1]LISTA ETIQUETAS'!$O:$O,'[1]LISTA ETIQUETAS'!E:E,"",0)</f>
        <v>0</v>
      </c>
      <c r="R755" s="2">
        <f>_xlfn.XLOOKUP($A755,'[1]LISTA ETIQUETAS'!$O:$O,'[1]LISTA ETIQUETAS'!F:F,"",0)</f>
        <v>0</v>
      </c>
      <c r="S755" s="2">
        <f>_xlfn.XLOOKUP($A755,'[1]LISTA ETIQUETAS'!$O:$O,'[1]LISTA ETIQUETAS'!H:H,"",0)</f>
        <v>1</v>
      </c>
      <c r="T755" s="9">
        <f t="shared" si="35"/>
        <v>1</v>
      </c>
    </row>
    <row r="756" spans="1:20" x14ac:dyDescent="0.25">
      <c r="A756" s="5">
        <v>223396</v>
      </c>
      <c r="B756" t="str">
        <f>IFERROR((VLOOKUP(A756,'[1]LISTA ETIQUETAS'!O:X,3,0)),"PRODUTO SEM ESTOQUE")</f>
        <v>EST MESA LATERAL MUD (PAU FERRO PRE COMP) (PRETO FSC)</v>
      </c>
      <c r="C756" s="10" t="s">
        <v>83</v>
      </c>
      <c r="D756" s="10" t="s">
        <v>476</v>
      </c>
      <c r="E756" s="11">
        <f>IF(VLOOKUP(A756,'[1]LISTA ETIQUETAS'!O:W,4,0)="",(VLOOKUP(A756,'[1]LISTA ETIQUETAS'!O:W,6,0)),(VLOOKUP(A756,'[1]LISTA ETIQUETAS'!O:W,4,0)))</f>
        <v>0.7</v>
      </c>
      <c r="F756" s="11">
        <f>IF(VLOOKUP(A756,'[1]LISTA ETIQUETAS'!O:W,5,0)="",(VLOOKUP(A756,'[1]LISTA ETIQUETAS'!O:W,7,0)),(VLOOKUP(A756,'[1]LISTA ETIQUETAS'!O:W,5,0)))</f>
        <v>0</v>
      </c>
      <c r="G756" s="11">
        <f>IFERROR((VLOOKUP(A756,'[1]LISTA ETIQUETAS'!O:X,8,0)),"")</f>
        <v>0.61</v>
      </c>
      <c r="H756" s="11">
        <f>IFERROR((VLOOKUP(A756,'[1]LISTA ETIQUETAS'!O:X,9,0)),"")</f>
        <v>0.7</v>
      </c>
      <c r="I756" s="12">
        <f>IFERROR((VLOOKUP(A756,'[1]LISTA ETIQUETAS'!O:Y,11,0)),"")</f>
        <v>5353.6</v>
      </c>
      <c r="J756" s="6">
        <v>0</v>
      </c>
      <c r="K756" s="12">
        <f t="shared" si="33"/>
        <v>5353.6</v>
      </c>
      <c r="L756" s="7" t="str">
        <f>IF(VLOOKUP(A756,'[1]LISTA ETIQUETAS'!O:AB,14,0)="","",(VLOOKUP(A756,'[1]LISTA ETIQUETAS'!O:AB,14,0)))</f>
        <v/>
      </c>
      <c r="M756" s="8"/>
      <c r="N756" s="9">
        <f t="shared" si="34"/>
        <v>223396</v>
      </c>
      <c r="O756" s="2">
        <f>_xlfn.XLOOKUP($A756,'[1]LISTA ETIQUETAS'!$O:$O,'[1]LISTA ETIQUETAS'!C:C,"",0)</f>
        <v>0</v>
      </c>
      <c r="P756" s="2">
        <f>_xlfn.XLOOKUP($A756,'[1]LISTA ETIQUETAS'!$O:$O,'[1]LISTA ETIQUETAS'!D:D,"",0)</f>
        <v>0</v>
      </c>
      <c r="Q756" s="2">
        <f>_xlfn.XLOOKUP($A756,'[1]LISTA ETIQUETAS'!$O:$O,'[1]LISTA ETIQUETAS'!E:E,"",0)</f>
        <v>0</v>
      </c>
      <c r="R756" s="2">
        <f>_xlfn.XLOOKUP($A756,'[1]LISTA ETIQUETAS'!$O:$O,'[1]LISTA ETIQUETAS'!F:F,"",0)</f>
        <v>0</v>
      </c>
      <c r="S756" s="2">
        <f>_xlfn.XLOOKUP($A756,'[1]LISTA ETIQUETAS'!$O:$O,'[1]LISTA ETIQUETAS'!H:H,"",0)</f>
        <v>1</v>
      </c>
      <c r="T756" s="9">
        <f t="shared" si="35"/>
        <v>1</v>
      </c>
    </row>
    <row r="757" spans="1:20" x14ac:dyDescent="0.25">
      <c r="A757" s="5">
        <v>223337</v>
      </c>
      <c r="B757" t="str">
        <f>IFERROR((VLOOKUP(A757,'[1]LISTA ETIQUETAS'!O:X,3,0)),"PRODUTO SEM ESTOQUE")</f>
        <v>EST MESA LATERAL MARI (SAYERLACK M135 FOSCO)</v>
      </c>
      <c r="C757" s="10" t="s">
        <v>83</v>
      </c>
      <c r="D757" s="10" t="s">
        <v>477</v>
      </c>
      <c r="E757" s="11">
        <f>IF(VLOOKUP(A757,'[1]LISTA ETIQUETAS'!O:W,4,0)="",(VLOOKUP(A757,'[1]LISTA ETIQUETAS'!O:W,6,0)),(VLOOKUP(A757,'[1]LISTA ETIQUETAS'!O:W,4,0)))</f>
        <v>0.32</v>
      </c>
      <c r="F757" s="11">
        <f>IF(VLOOKUP(A757,'[1]LISTA ETIQUETAS'!O:W,5,0)="",(VLOOKUP(A757,'[1]LISTA ETIQUETAS'!O:W,7,0)),(VLOOKUP(A757,'[1]LISTA ETIQUETAS'!O:W,5,0)))</f>
        <v>0</v>
      </c>
      <c r="G757" s="11">
        <f>IFERROR((VLOOKUP(A757,'[1]LISTA ETIQUETAS'!O:X,8,0)),"")</f>
        <v>0.5</v>
      </c>
      <c r="H757" s="11">
        <f>IFERROR((VLOOKUP(A757,'[1]LISTA ETIQUETAS'!O:X,9,0)),"")</f>
        <v>0.32</v>
      </c>
      <c r="I757" s="12">
        <f>IFERROR((VLOOKUP(A757,'[1]LISTA ETIQUETAS'!O:Y,11,0)),"")</f>
        <v>3377.92</v>
      </c>
      <c r="J757" s="6">
        <v>0</v>
      </c>
      <c r="K757" s="12">
        <f t="shared" si="33"/>
        <v>3377.92</v>
      </c>
      <c r="L757" s="7" t="str">
        <f>IF(VLOOKUP(A757,'[1]LISTA ETIQUETAS'!O:AB,14,0)="","",(VLOOKUP(A757,'[1]LISTA ETIQUETAS'!O:AB,14,0)))</f>
        <v/>
      </c>
      <c r="M757" s="8"/>
      <c r="N757" s="9">
        <f t="shared" si="34"/>
        <v>223337</v>
      </c>
      <c r="O757" s="2">
        <f>_xlfn.XLOOKUP($A757,'[1]LISTA ETIQUETAS'!$O:$O,'[1]LISTA ETIQUETAS'!C:C,"",0)</f>
        <v>0</v>
      </c>
      <c r="P757" s="2">
        <f>_xlfn.XLOOKUP($A757,'[1]LISTA ETIQUETAS'!$O:$O,'[1]LISTA ETIQUETAS'!D:D,"",0)</f>
        <v>0</v>
      </c>
      <c r="Q757" s="2">
        <f>_xlfn.XLOOKUP($A757,'[1]LISTA ETIQUETAS'!$O:$O,'[1]LISTA ETIQUETAS'!E:E,"",0)</f>
        <v>0</v>
      </c>
      <c r="R757" s="2">
        <f>_xlfn.XLOOKUP($A757,'[1]LISTA ETIQUETAS'!$O:$O,'[1]LISTA ETIQUETAS'!F:F,"",0)</f>
        <v>0</v>
      </c>
      <c r="S757" s="2">
        <f>_xlfn.XLOOKUP($A757,'[1]LISTA ETIQUETAS'!$O:$O,'[1]LISTA ETIQUETAS'!H:H,"",0)</f>
        <v>1</v>
      </c>
      <c r="T757" s="9">
        <f t="shared" si="35"/>
        <v>1</v>
      </c>
    </row>
    <row r="758" spans="1:20" x14ac:dyDescent="0.25">
      <c r="A758" s="5">
        <v>234557</v>
      </c>
      <c r="B758" t="str">
        <f>IFERROR((VLOOKUP(A758,'[1]LISTA ETIQUETAS'!O:X,3,0)),"PRODUTO SEM ESTOQUE")</f>
        <v>EST MESA LATERAL CILLI (MARMORE ROSA FOSCO)</v>
      </c>
      <c r="C758" s="10" t="s">
        <v>83</v>
      </c>
      <c r="D758" s="10" t="s">
        <v>478</v>
      </c>
      <c r="E758" s="11">
        <f>IF(VLOOKUP(A758,'[1]LISTA ETIQUETAS'!O:W,4,0)="",(VLOOKUP(A758,'[1]LISTA ETIQUETAS'!O:W,6,0)),(VLOOKUP(A758,'[1]LISTA ETIQUETAS'!O:W,4,0)))</f>
        <v>0.8</v>
      </c>
      <c r="F758" s="11">
        <f>IF(VLOOKUP(A758,'[1]LISTA ETIQUETAS'!O:W,5,0)="",(VLOOKUP(A758,'[1]LISTA ETIQUETAS'!O:W,7,0)),(VLOOKUP(A758,'[1]LISTA ETIQUETAS'!O:W,5,0)))</f>
        <v>0</v>
      </c>
      <c r="G758" s="11">
        <f>IFERROR((VLOOKUP(A758,'[1]LISTA ETIQUETAS'!O:X,8,0)),"")</f>
        <v>0.6</v>
      </c>
      <c r="H758" s="11">
        <f>IFERROR((VLOOKUP(A758,'[1]LISTA ETIQUETAS'!O:X,9,0)),"")</f>
        <v>0.8</v>
      </c>
      <c r="I758" s="12" t="str">
        <f>IFERROR((VLOOKUP(A758,'[1]LISTA ETIQUETAS'!O:Y,11,0)),"")</f>
        <v/>
      </c>
      <c r="J758" s="6">
        <v>0</v>
      </c>
      <c r="K758" s="12" t="str">
        <f t="shared" si="33"/>
        <v/>
      </c>
      <c r="L758" s="7" t="str">
        <f>IF(VLOOKUP(A758,'[1]LISTA ETIQUETAS'!O:AB,14,0)="","",(VLOOKUP(A758,'[1]LISTA ETIQUETAS'!O:AB,14,0)))</f>
        <v/>
      </c>
      <c r="M758" s="8"/>
      <c r="N758" s="9">
        <f t="shared" si="34"/>
        <v>234557</v>
      </c>
      <c r="O758" s="2">
        <f>_xlfn.XLOOKUP($A758,'[1]LISTA ETIQUETAS'!$O:$O,'[1]LISTA ETIQUETAS'!C:C,"",0)</f>
        <v>0</v>
      </c>
      <c r="P758" s="2">
        <f>_xlfn.XLOOKUP($A758,'[1]LISTA ETIQUETAS'!$O:$O,'[1]LISTA ETIQUETAS'!D:D,"",0)</f>
        <v>0</v>
      </c>
      <c r="Q758" s="2">
        <f>_xlfn.XLOOKUP($A758,'[1]LISTA ETIQUETAS'!$O:$O,'[1]LISTA ETIQUETAS'!E:E,"",0)</f>
        <v>0</v>
      </c>
      <c r="R758" s="2">
        <f>_xlfn.XLOOKUP($A758,'[1]LISTA ETIQUETAS'!$O:$O,'[1]LISTA ETIQUETAS'!F:F,"",0)</f>
        <v>0</v>
      </c>
      <c r="S758" s="2">
        <f>_xlfn.XLOOKUP($A758,'[1]LISTA ETIQUETAS'!$O:$O,'[1]LISTA ETIQUETAS'!H:H,"",0)</f>
        <v>1</v>
      </c>
      <c r="T758" s="9">
        <f t="shared" si="35"/>
        <v>1</v>
      </c>
    </row>
    <row r="759" spans="1:20" x14ac:dyDescent="0.25">
      <c r="A759" s="5">
        <v>235158</v>
      </c>
      <c r="B759" t="str">
        <f>IFERROR((VLOOKUP(A759,'[1]LISTA ETIQUETAS'!O:X,3,0)),"PRODUTO SEM ESTOQUE")</f>
        <v>EST MESA LATERAL DOTY BISTRO MOD 1 (PRETO EPOXI)</v>
      </c>
      <c r="C759" s="10" t="s">
        <v>83</v>
      </c>
      <c r="D759" s="10" t="s">
        <v>479</v>
      </c>
      <c r="E759" s="11">
        <f>IF(VLOOKUP(A759,'[1]LISTA ETIQUETAS'!O:W,4,0)="",(VLOOKUP(A759,'[1]LISTA ETIQUETAS'!O:W,6,0)),(VLOOKUP(A759,'[1]LISTA ETIQUETAS'!O:W,4,0)))</f>
        <v>0.8</v>
      </c>
      <c r="F759" s="11">
        <f>IF(VLOOKUP(A759,'[1]LISTA ETIQUETAS'!O:W,5,0)="",(VLOOKUP(A759,'[1]LISTA ETIQUETAS'!O:W,7,0)),(VLOOKUP(A759,'[1]LISTA ETIQUETAS'!O:W,5,0)))</f>
        <v>0</v>
      </c>
      <c r="G759" s="11">
        <f>IFERROR((VLOOKUP(A759,'[1]LISTA ETIQUETAS'!O:X,8,0)),"")</f>
        <v>1.1000000000000001</v>
      </c>
      <c r="H759" s="11">
        <f>IFERROR((VLOOKUP(A759,'[1]LISTA ETIQUETAS'!O:X,9,0)),"")</f>
        <v>0.8</v>
      </c>
      <c r="I759" s="12" t="str">
        <f>IFERROR((VLOOKUP(A759,'[1]LISTA ETIQUETAS'!O:Y,11,0)),"")</f>
        <v/>
      </c>
      <c r="J759" s="6">
        <v>0</v>
      </c>
      <c r="K759" s="12" t="str">
        <f t="shared" si="33"/>
        <v/>
      </c>
      <c r="L759" s="7" t="str">
        <f>IF(VLOOKUP(A759,'[1]LISTA ETIQUETAS'!O:AB,14,0)="","",(VLOOKUP(A759,'[1]LISTA ETIQUETAS'!O:AB,14,0)))</f>
        <v/>
      </c>
      <c r="M759" s="8"/>
      <c r="N759" s="9">
        <f t="shared" si="34"/>
        <v>235158</v>
      </c>
      <c r="O759" s="2">
        <f>_xlfn.XLOOKUP($A759,'[1]LISTA ETIQUETAS'!$O:$O,'[1]LISTA ETIQUETAS'!C:C,"",0)</f>
        <v>0</v>
      </c>
      <c r="P759" s="2">
        <f>_xlfn.XLOOKUP($A759,'[1]LISTA ETIQUETAS'!$O:$O,'[1]LISTA ETIQUETAS'!D:D,"",0)</f>
        <v>0</v>
      </c>
      <c r="Q759" s="2">
        <f>_xlfn.XLOOKUP($A759,'[1]LISTA ETIQUETAS'!$O:$O,'[1]LISTA ETIQUETAS'!E:E,"",0)</f>
        <v>0</v>
      </c>
      <c r="R759" s="2">
        <f>_xlfn.XLOOKUP($A759,'[1]LISTA ETIQUETAS'!$O:$O,'[1]LISTA ETIQUETAS'!F:F,"",0)</f>
        <v>0</v>
      </c>
      <c r="S759" s="2">
        <f>_xlfn.XLOOKUP($A759,'[1]LISTA ETIQUETAS'!$O:$O,'[1]LISTA ETIQUETAS'!H:H,"",0)</f>
        <v>1</v>
      </c>
      <c r="T759" s="9">
        <f t="shared" si="35"/>
        <v>1</v>
      </c>
    </row>
    <row r="760" spans="1:20" x14ac:dyDescent="0.25">
      <c r="A760" s="5">
        <v>231951</v>
      </c>
      <c r="B760" t="str">
        <f>IFERROR((VLOOKUP(A760,'[1]LISTA ETIQUETAS'!O:X,3,0)),"PRODUTO SEM ESTOQUE")</f>
        <v>EST MESA LATERLA DUOMO (LACA BRILHO CORAL)</v>
      </c>
      <c r="C760" s="10" t="s">
        <v>83</v>
      </c>
      <c r="D760" s="10" t="s">
        <v>467</v>
      </c>
      <c r="E760" s="11">
        <f>IF(VLOOKUP(A760,'[1]LISTA ETIQUETAS'!O:W,4,0)="",(VLOOKUP(A760,'[1]LISTA ETIQUETAS'!O:W,6,0)),(VLOOKUP(A760,'[1]LISTA ETIQUETAS'!O:W,4,0)))</f>
        <v>0.65</v>
      </c>
      <c r="F760" s="11">
        <f>IF(VLOOKUP(A760,'[1]LISTA ETIQUETAS'!O:W,5,0)="",(VLOOKUP(A760,'[1]LISTA ETIQUETAS'!O:W,7,0)),(VLOOKUP(A760,'[1]LISTA ETIQUETAS'!O:W,5,0)))</f>
        <v>0</v>
      </c>
      <c r="G760" s="11">
        <f>IFERROR((VLOOKUP(A760,'[1]LISTA ETIQUETAS'!O:X,8,0)),"")</f>
        <v>0.65</v>
      </c>
      <c r="H760" s="11">
        <f>IFERROR((VLOOKUP(A760,'[1]LISTA ETIQUETAS'!O:X,9,0)),"")</f>
        <v>0.65</v>
      </c>
      <c r="I760" s="12" t="str">
        <f>IFERROR((VLOOKUP(A760,'[1]LISTA ETIQUETAS'!O:Y,11,0)),"")</f>
        <v/>
      </c>
      <c r="J760" s="6">
        <v>0</v>
      </c>
      <c r="K760" s="12" t="str">
        <f t="shared" si="33"/>
        <v/>
      </c>
      <c r="L760" s="7" t="str">
        <f>IF(VLOOKUP(A760,'[1]LISTA ETIQUETAS'!O:AB,14,0)="","",(VLOOKUP(A760,'[1]LISTA ETIQUETAS'!O:AB,14,0)))</f>
        <v/>
      </c>
      <c r="M760" s="8"/>
      <c r="N760" s="9">
        <f t="shared" si="34"/>
        <v>231951</v>
      </c>
      <c r="O760" s="2">
        <f>_xlfn.XLOOKUP($A760,'[1]LISTA ETIQUETAS'!$O:$O,'[1]LISTA ETIQUETAS'!C:C,"",0)</f>
        <v>0</v>
      </c>
      <c r="P760" s="2">
        <f>_xlfn.XLOOKUP($A760,'[1]LISTA ETIQUETAS'!$O:$O,'[1]LISTA ETIQUETAS'!D:D,"",0)</f>
        <v>0</v>
      </c>
      <c r="Q760" s="2">
        <f>_xlfn.XLOOKUP($A760,'[1]LISTA ETIQUETAS'!$O:$O,'[1]LISTA ETIQUETAS'!E:E,"",0)</f>
        <v>0</v>
      </c>
      <c r="R760" s="2">
        <f>_xlfn.XLOOKUP($A760,'[1]LISTA ETIQUETAS'!$O:$O,'[1]LISTA ETIQUETAS'!F:F,"",0)</f>
        <v>0</v>
      </c>
      <c r="S760" s="2">
        <f>_xlfn.XLOOKUP($A760,'[1]LISTA ETIQUETAS'!$O:$O,'[1]LISTA ETIQUETAS'!H:H,"",0)</f>
        <v>1</v>
      </c>
      <c r="T760" s="9">
        <f t="shared" si="35"/>
        <v>1</v>
      </c>
    </row>
    <row r="761" spans="1:20" x14ac:dyDescent="0.25">
      <c r="A761" s="5">
        <v>151501</v>
      </c>
      <c r="B761" t="str">
        <f>IFERROR((VLOOKUP(A761,'[1]LISTA ETIQUETAS'!O:X,3,0)),"PRODUTO SEM ESTOQUE")</f>
        <v>EST MESA LATERAL IPANEMA (AL 02/BRANCO FOSCO)</v>
      </c>
      <c r="C761" s="10" t="s">
        <v>83</v>
      </c>
      <c r="D761" s="10" t="s">
        <v>480</v>
      </c>
      <c r="E761" s="11">
        <f>IF(VLOOKUP(A761,'[1]LISTA ETIQUETAS'!O:W,4,0)="",(VLOOKUP(A761,'[1]LISTA ETIQUETAS'!O:W,6,0)),(VLOOKUP(A761,'[1]LISTA ETIQUETAS'!O:W,4,0)))</f>
        <v>0.45</v>
      </c>
      <c r="F761" s="11">
        <f>IF(VLOOKUP(A761,'[1]LISTA ETIQUETAS'!O:W,5,0)="",(VLOOKUP(A761,'[1]LISTA ETIQUETAS'!O:W,7,0)),(VLOOKUP(A761,'[1]LISTA ETIQUETAS'!O:W,5,0)))</f>
        <v>0</v>
      </c>
      <c r="G761" s="11">
        <f>IFERROR((VLOOKUP(A761,'[1]LISTA ETIQUETAS'!O:X,8,0)),"")</f>
        <v>0.46</v>
      </c>
      <c r="H761" s="11">
        <f>IFERROR((VLOOKUP(A761,'[1]LISTA ETIQUETAS'!O:X,9,0)),"")</f>
        <v>0.45</v>
      </c>
      <c r="I761" s="12">
        <f>IFERROR((VLOOKUP(A761,'[1]LISTA ETIQUETAS'!O:Y,11,0)),"")</f>
        <v>2688</v>
      </c>
      <c r="J761" s="6">
        <v>0</v>
      </c>
      <c r="K761" s="12">
        <f t="shared" si="33"/>
        <v>2688</v>
      </c>
      <c r="L761" s="7" t="str">
        <f>IF(VLOOKUP(A761,'[1]LISTA ETIQUETAS'!O:AB,14,0)="","",(VLOOKUP(A761,'[1]LISTA ETIQUETAS'!O:AB,14,0)))</f>
        <v/>
      </c>
      <c r="M761" s="8"/>
      <c r="N761" s="9">
        <f t="shared" si="34"/>
        <v>151501</v>
      </c>
      <c r="O761" s="2">
        <f>_xlfn.XLOOKUP($A761,'[1]LISTA ETIQUETAS'!$O:$O,'[1]LISTA ETIQUETAS'!C:C,"",0)</f>
        <v>0</v>
      </c>
      <c r="P761" s="2">
        <f>_xlfn.XLOOKUP($A761,'[1]LISTA ETIQUETAS'!$O:$O,'[1]LISTA ETIQUETAS'!D:D,"",0)</f>
        <v>0</v>
      </c>
      <c r="Q761" s="2">
        <f>_xlfn.XLOOKUP($A761,'[1]LISTA ETIQUETAS'!$O:$O,'[1]LISTA ETIQUETAS'!E:E,"",0)</f>
        <v>0</v>
      </c>
      <c r="R761" s="2">
        <f>_xlfn.XLOOKUP($A761,'[1]LISTA ETIQUETAS'!$O:$O,'[1]LISTA ETIQUETAS'!F:F,"",0)</f>
        <v>0</v>
      </c>
      <c r="S761" s="2">
        <f>_xlfn.XLOOKUP($A761,'[1]LISTA ETIQUETAS'!$O:$O,'[1]LISTA ETIQUETAS'!H:H,"",0)</f>
        <v>2</v>
      </c>
      <c r="T761" s="9">
        <f t="shared" si="35"/>
        <v>2</v>
      </c>
    </row>
    <row r="762" spans="1:20" x14ac:dyDescent="0.25">
      <c r="A762" s="5">
        <v>232001</v>
      </c>
      <c r="B762" t="str">
        <f>IFERROR((VLOOKUP(A762,'[1]LISTA ETIQUETAS'!O:X,3,0)),"PRODUTO SEM ESTOQUE")</f>
        <v>EST MESA LATERAL MUD (PAU FERRO PRE COMP) (PRETO FSC)</v>
      </c>
      <c r="C762" s="10" t="s">
        <v>83</v>
      </c>
      <c r="D762" s="10" t="s">
        <v>476</v>
      </c>
      <c r="E762" s="11">
        <f>IF(VLOOKUP(A762,'[1]LISTA ETIQUETAS'!O:W,4,0)="",(VLOOKUP(A762,'[1]LISTA ETIQUETAS'!O:W,6,0)),(VLOOKUP(A762,'[1]LISTA ETIQUETAS'!O:W,4,0)))</f>
        <v>0.7</v>
      </c>
      <c r="F762" s="11">
        <f>IF(VLOOKUP(A762,'[1]LISTA ETIQUETAS'!O:W,5,0)="",(VLOOKUP(A762,'[1]LISTA ETIQUETAS'!O:W,7,0)),(VLOOKUP(A762,'[1]LISTA ETIQUETAS'!O:W,5,0)))</f>
        <v>0</v>
      </c>
      <c r="G762" s="11">
        <f>IFERROR((VLOOKUP(A762,'[1]LISTA ETIQUETAS'!O:X,8,0)),"")</f>
        <v>0.61</v>
      </c>
      <c r="H762" s="11">
        <f>IFERROR((VLOOKUP(A762,'[1]LISTA ETIQUETAS'!O:X,9,0)),"")</f>
        <v>0.7</v>
      </c>
      <c r="I762" s="12">
        <f>IFERROR((VLOOKUP(A762,'[1]LISTA ETIQUETAS'!O:Y,11,0)),"")</f>
        <v>7668.32</v>
      </c>
      <c r="J762" s="6">
        <v>0</v>
      </c>
      <c r="K762" s="12">
        <f t="shared" si="33"/>
        <v>7668.32</v>
      </c>
      <c r="L762" s="7" t="str">
        <f>IF(VLOOKUP(A762,'[1]LISTA ETIQUETAS'!O:AB,14,0)="","",(VLOOKUP(A762,'[1]LISTA ETIQUETAS'!O:AB,14,0)))</f>
        <v/>
      </c>
      <c r="M762" s="8"/>
      <c r="N762" s="9">
        <f t="shared" si="34"/>
        <v>232001</v>
      </c>
      <c r="O762" s="2">
        <f>_xlfn.XLOOKUP($A762,'[1]LISTA ETIQUETAS'!$O:$O,'[1]LISTA ETIQUETAS'!C:C,"",0)</f>
        <v>0</v>
      </c>
      <c r="P762" s="2">
        <f>_xlfn.XLOOKUP($A762,'[1]LISTA ETIQUETAS'!$O:$O,'[1]LISTA ETIQUETAS'!D:D,"",0)</f>
        <v>0</v>
      </c>
      <c r="Q762" s="2">
        <f>_xlfn.XLOOKUP($A762,'[1]LISTA ETIQUETAS'!$O:$O,'[1]LISTA ETIQUETAS'!E:E,"",0)</f>
        <v>1</v>
      </c>
      <c r="R762" s="2">
        <f>_xlfn.XLOOKUP($A762,'[1]LISTA ETIQUETAS'!$O:$O,'[1]LISTA ETIQUETAS'!F:F,"",0)</f>
        <v>0</v>
      </c>
      <c r="S762" s="2">
        <f>_xlfn.XLOOKUP($A762,'[1]LISTA ETIQUETAS'!$O:$O,'[1]LISTA ETIQUETAS'!H:H,"",0)</f>
        <v>1</v>
      </c>
      <c r="T762" s="9">
        <f t="shared" si="35"/>
        <v>2</v>
      </c>
    </row>
    <row r="763" spans="1:20" x14ac:dyDescent="0.25">
      <c r="A763" s="5">
        <v>256172</v>
      </c>
      <c r="B763" t="str">
        <f>IFERROR((VLOOKUP(A763,'[1]LISTA ETIQUETAS'!O:X,3,0)),"PRODUTO SEM ESTOQUE")</f>
        <v>EST MESA LATERAL WINNIE TP CARVALHO EBZ/TP BRANCO MTX/EST PT</v>
      </c>
      <c r="C763" s="10" t="s">
        <v>83</v>
      </c>
      <c r="D763" s="10" t="s">
        <v>481</v>
      </c>
      <c r="E763" s="11">
        <f>IF(VLOOKUP(A763,'[1]LISTA ETIQUETAS'!O:W,4,0)="",(VLOOKUP(A763,'[1]LISTA ETIQUETAS'!O:W,6,0)),(VLOOKUP(A763,'[1]LISTA ETIQUETAS'!O:W,4,0)))</f>
        <v>0.62</v>
      </c>
      <c r="F763" s="11">
        <f>IF(VLOOKUP(A763,'[1]LISTA ETIQUETAS'!O:W,5,0)="",(VLOOKUP(A763,'[1]LISTA ETIQUETAS'!O:W,7,0)),(VLOOKUP(A763,'[1]LISTA ETIQUETAS'!O:W,5,0)))</f>
        <v>0.5</v>
      </c>
      <c r="G763" s="11">
        <f>IFERROR((VLOOKUP(A763,'[1]LISTA ETIQUETAS'!O:X,8,0)),"")</f>
        <v>0.6</v>
      </c>
      <c r="H763" s="11">
        <f>IFERROR((VLOOKUP(A763,'[1]LISTA ETIQUETAS'!O:X,9,0)),"")</f>
        <v>0</v>
      </c>
      <c r="I763" s="12">
        <f>IFERROR((VLOOKUP(A763,'[1]LISTA ETIQUETAS'!O:Y,11,0)),"")</f>
        <v>7664.38</v>
      </c>
      <c r="J763" s="6">
        <v>0</v>
      </c>
      <c r="K763" s="12">
        <f t="shared" si="33"/>
        <v>7664.38</v>
      </c>
      <c r="L763" s="7" t="str">
        <f>IF(VLOOKUP(A763,'[1]LISTA ETIQUETAS'!O:AB,14,0)="","",(VLOOKUP(A763,'[1]LISTA ETIQUETAS'!O:AB,14,0)))</f>
        <v/>
      </c>
      <c r="M763" s="8"/>
      <c r="N763" s="9">
        <f t="shared" si="34"/>
        <v>256172</v>
      </c>
      <c r="O763" s="2">
        <f>_xlfn.XLOOKUP($A763,'[1]LISTA ETIQUETAS'!$O:$O,'[1]LISTA ETIQUETAS'!C:C,"",0)</f>
        <v>0</v>
      </c>
      <c r="P763" s="2">
        <f>_xlfn.XLOOKUP($A763,'[1]LISTA ETIQUETAS'!$O:$O,'[1]LISTA ETIQUETAS'!D:D,"",0)</f>
        <v>0</v>
      </c>
      <c r="Q763" s="2">
        <f>_xlfn.XLOOKUP($A763,'[1]LISTA ETIQUETAS'!$O:$O,'[1]LISTA ETIQUETAS'!E:E,"",0)</f>
        <v>0</v>
      </c>
      <c r="R763" s="2">
        <f>_xlfn.XLOOKUP($A763,'[1]LISTA ETIQUETAS'!$O:$O,'[1]LISTA ETIQUETAS'!F:F,"",0)</f>
        <v>0</v>
      </c>
      <c r="S763" s="2">
        <f>_xlfn.XLOOKUP($A763,'[1]LISTA ETIQUETAS'!$O:$O,'[1]LISTA ETIQUETAS'!H:H,"",0)</f>
        <v>1</v>
      </c>
      <c r="T763" s="9">
        <f t="shared" si="35"/>
        <v>1</v>
      </c>
    </row>
    <row r="764" spans="1:20" x14ac:dyDescent="0.25">
      <c r="A764" s="5">
        <v>257381</v>
      </c>
      <c r="B764" t="str">
        <f>IFERROR((VLOOKUP(A764,'[1]LISTA ETIQUETAS'!O:X,3,0)),"PRODUTO SEM ESTOQUE")</f>
        <v>EST MESA LATERAL PALITO (TP LACA CHAMPAGNE) (PES NOGUEIRA)</v>
      </c>
      <c r="C764" s="10" t="s">
        <v>83</v>
      </c>
      <c r="D764" s="10" t="s">
        <v>482</v>
      </c>
      <c r="E764" s="11">
        <f>IF(VLOOKUP(A764,'[1]LISTA ETIQUETAS'!O:W,4,0)="",(VLOOKUP(A764,'[1]LISTA ETIQUETAS'!O:W,6,0)),(VLOOKUP(A764,'[1]LISTA ETIQUETAS'!O:W,4,0)))</f>
        <v>0.5</v>
      </c>
      <c r="F764" s="11">
        <f>IF(VLOOKUP(A764,'[1]LISTA ETIQUETAS'!O:W,5,0)="",(VLOOKUP(A764,'[1]LISTA ETIQUETAS'!O:W,7,0)),(VLOOKUP(A764,'[1]LISTA ETIQUETAS'!O:W,5,0)))</f>
        <v>0.5</v>
      </c>
      <c r="G764" s="11">
        <f>IFERROR((VLOOKUP(A764,'[1]LISTA ETIQUETAS'!O:X,8,0)),"")</f>
        <v>0.55000000000000004</v>
      </c>
      <c r="H764" s="11">
        <f>IFERROR((VLOOKUP(A764,'[1]LISTA ETIQUETAS'!O:X,9,0)),"")</f>
        <v>0</v>
      </c>
      <c r="I764" s="12">
        <f>IFERROR((VLOOKUP(A764,'[1]LISTA ETIQUETAS'!O:Y,11,0)),"")</f>
        <v>5156.13</v>
      </c>
      <c r="J764" s="6">
        <v>0</v>
      </c>
      <c r="K764" s="12">
        <f t="shared" si="33"/>
        <v>5156.13</v>
      </c>
      <c r="L764" s="7" t="str">
        <f>IF(VLOOKUP(A764,'[1]LISTA ETIQUETAS'!O:AB,14,0)="","",(VLOOKUP(A764,'[1]LISTA ETIQUETAS'!O:AB,14,0)))</f>
        <v/>
      </c>
      <c r="M764" s="8"/>
      <c r="N764" s="9">
        <f t="shared" si="34"/>
        <v>257381</v>
      </c>
      <c r="O764" s="2">
        <f>_xlfn.XLOOKUP($A764,'[1]LISTA ETIQUETAS'!$O:$O,'[1]LISTA ETIQUETAS'!C:C,"",0)</f>
        <v>0</v>
      </c>
      <c r="P764" s="2">
        <f>_xlfn.XLOOKUP($A764,'[1]LISTA ETIQUETAS'!$O:$O,'[1]LISTA ETIQUETAS'!D:D,"",0)</f>
        <v>0</v>
      </c>
      <c r="Q764" s="2">
        <f>_xlfn.XLOOKUP($A764,'[1]LISTA ETIQUETAS'!$O:$O,'[1]LISTA ETIQUETAS'!E:E,"",0)</f>
        <v>1</v>
      </c>
      <c r="R764" s="2">
        <f>_xlfn.XLOOKUP($A764,'[1]LISTA ETIQUETAS'!$O:$O,'[1]LISTA ETIQUETAS'!F:F,"",0)</f>
        <v>0</v>
      </c>
      <c r="S764" s="2">
        <f>_xlfn.XLOOKUP($A764,'[1]LISTA ETIQUETAS'!$O:$O,'[1]LISTA ETIQUETAS'!H:H,"",0)</f>
        <v>1</v>
      </c>
      <c r="T764" s="9">
        <f t="shared" si="35"/>
        <v>2</v>
      </c>
    </row>
    <row r="765" spans="1:20" x14ac:dyDescent="0.25">
      <c r="A765" s="5">
        <v>233108</v>
      </c>
      <c r="B765" t="str">
        <f>IFERROR((VLOOKUP(A765,'[1]LISTA ETIQUETAS'!O:X,3,0)),"PRODUTO SEM ESTOQUE")</f>
        <v>EST MESA LATERAL MARI (SAYRELACK M524)</v>
      </c>
      <c r="C765" s="10" t="s">
        <v>83</v>
      </c>
      <c r="D765" s="10" t="s">
        <v>477</v>
      </c>
      <c r="E765" s="11">
        <f>IF(VLOOKUP(A765,'[1]LISTA ETIQUETAS'!O:W,4,0)="",(VLOOKUP(A765,'[1]LISTA ETIQUETAS'!O:W,6,0)),(VLOOKUP(A765,'[1]LISTA ETIQUETAS'!O:W,4,0)))</f>
        <v>0.32</v>
      </c>
      <c r="F765" s="11">
        <f>IF(VLOOKUP(A765,'[1]LISTA ETIQUETAS'!O:W,5,0)="",(VLOOKUP(A765,'[1]LISTA ETIQUETAS'!O:W,7,0)),(VLOOKUP(A765,'[1]LISTA ETIQUETAS'!O:W,5,0)))</f>
        <v>0</v>
      </c>
      <c r="G765" s="11">
        <f>IFERROR((VLOOKUP(A765,'[1]LISTA ETIQUETAS'!O:X,8,0)),"")</f>
        <v>0.5</v>
      </c>
      <c r="H765" s="11">
        <f>IFERROR((VLOOKUP(A765,'[1]LISTA ETIQUETAS'!O:X,9,0)),"")</f>
        <v>0.32</v>
      </c>
      <c r="I765" s="12">
        <f>IFERROR((VLOOKUP(A765,'[1]LISTA ETIQUETAS'!O:Y,11,0)),"")</f>
        <v>5155.3999999999996</v>
      </c>
      <c r="J765" s="6">
        <v>0</v>
      </c>
      <c r="K765" s="12">
        <f t="shared" si="33"/>
        <v>5155.3999999999996</v>
      </c>
      <c r="L765" s="7" t="str">
        <f>IF(VLOOKUP(A765,'[1]LISTA ETIQUETAS'!O:AB,14,0)="","",(VLOOKUP(A765,'[1]LISTA ETIQUETAS'!O:AB,14,0)))</f>
        <v/>
      </c>
      <c r="M765" s="8"/>
      <c r="N765" s="9">
        <f t="shared" si="34"/>
        <v>233108</v>
      </c>
      <c r="O765" s="2">
        <f>_xlfn.XLOOKUP($A765,'[1]LISTA ETIQUETAS'!$O:$O,'[1]LISTA ETIQUETAS'!C:C,"",0)</f>
        <v>0</v>
      </c>
      <c r="P765" s="2">
        <f>_xlfn.XLOOKUP($A765,'[1]LISTA ETIQUETAS'!$O:$O,'[1]LISTA ETIQUETAS'!D:D,"",0)</f>
        <v>0</v>
      </c>
      <c r="Q765" s="2">
        <f>_xlfn.XLOOKUP($A765,'[1]LISTA ETIQUETAS'!$O:$O,'[1]LISTA ETIQUETAS'!E:E,"",0)</f>
        <v>0</v>
      </c>
      <c r="R765" s="2">
        <f>_xlfn.XLOOKUP($A765,'[1]LISTA ETIQUETAS'!$O:$O,'[1]LISTA ETIQUETAS'!F:F,"",0)</f>
        <v>0</v>
      </c>
      <c r="S765" s="2">
        <f>_xlfn.XLOOKUP($A765,'[1]LISTA ETIQUETAS'!$O:$O,'[1]LISTA ETIQUETAS'!H:H,"",0)</f>
        <v>1</v>
      </c>
      <c r="T765" s="9">
        <f t="shared" si="35"/>
        <v>1</v>
      </c>
    </row>
    <row r="766" spans="1:20" x14ac:dyDescent="0.25">
      <c r="A766" s="5">
        <v>369133</v>
      </c>
      <c r="B766" t="str">
        <f>IFERROR((VLOOKUP(A766,'[1]LISTA ETIQUETAS'!O:X,3,0)),"PRODUTO SEM ESTOQUE")</f>
        <v>EST MESA LATERAL TRIBO (C) H66 (MAD A TAUARI CASTANHO)</v>
      </c>
      <c r="C766" s="10" t="s">
        <v>83</v>
      </c>
      <c r="D766" s="10" t="s">
        <v>483</v>
      </c>
      <c r="E766" s="11">
        <f>IF(VLOOKUP(A766,'[1]LISTA ETIQUETAS'!O:W,4,0)="",(VLOOKUP(A766,'[1]LISTA ETIQUETAS'!O:W,6,0)),(VLOOKUP(A766,'[1]LISTA ETIQUETAS'!O:W,4,0)))</f>
        <v>0.33</v>
      </c>
      <c r="F766" s="11">
        <f>IF(VLOOKUP(A766,'[1]LISTA ETIQUETAS'!O:W,5,0)="",(VLOOKUP(A766,'[1]LISTA ETIQUETAS'!O:W,7,0)),(VLOOKUP(A766,'[1]LISTA ETIQUETAS'!O:W,5,0)))</f>
        <v>0</v>
      </c>
      <c r="G766" s="11">
        <f>IFERROR((VLOOKUP(A766,'[1]LISTA ETIQUETAS'!O:X,8,0)),"")</f>
        <v>0.66</v>
      </c>
      <c r="H766" s="11">
        <f>IFERROR((VLOOKUP(A766,'[1]LISTA ETIQUETAS'!O:X,9,0)),"")</f>
        <v>0.33</v>
      </c>
      <c r="I766" s="12">
        <f>IFERROR((VLOOKUP(A766,'[1]LISTA ETIQUETAS'!O:Y,11,0)),"")</f>
        <v>6331.94</v>
      </c>
      <c r="J766" s="6">
        <v>0</v>
      </c>
      <c r="K766" s="12">
        <f t="shared" si="33"/>
        <v>6331.94</v>
      </c>
      <c r="L766" s="7" t="str">
        <f>IF(VLOOKUP(A766,'[1]LISTA ETIQUETAS'!O:AB,14,0)="","",(VLOOKUP(A766,'[1]LISTA ETIQUETAS'!O:AB,14,0)))</f>
        <v/>
      </c>
      <c r="M766" s="8"/>
      <c r="N766" s="9">
        <f t="shared" si="34"/>
        <v>369133</v>
      </c>
      <c r="O766" s="2">
        <f>_xlfn.XLOOKUP($A766,'[1]LISTA ETIQUETAS'!$O:$O,'[1]LISTA ETIQUETAS'!C:C,"",0)</f>
        <v>0</v>
      </c>
      <c r="P766" s="2">
        <f>_xlfn.XLOOKUP($A766,'[1]LISTA ETIQUETAS'!$O:$O,'[1]LISTA ETIQUETAS'!D:D,"",0)</f>
        <v>0</v>
      </c>
      <c r="Q766" s="2">
        <f>_xlfn.XLOOKUP($A766,'[1]LISTA ETIQUETAS'!$O:$O,'[1]LISTA ETIQUETAS'!E:E,"",0)</f>
        <v>0</v>
      </c>
      <c r="R766" s="2">
        <f>_xlfn.XLOOKUP($A766,'[1]LISTA ETIQUETAS'!$O:$O,'[1]LISTA ETIQUETAS'!F:F,"",0)</f>
        <v>0</v>
      </c>
      <c r="S766" s="2">
        <f>_xlfn.XLOOKUP($A766,'[1]LISTA ETIQUETAS'!$O:$O,'[1]LISTA ETIQUETAS'!H:H,"",0)</f>
        <v>1</v>
      </c>
      <c r="T766" s="9">
        <f t="shared" si="35"/>
        <v>1</v>
      </c>
    </row>
    <row r="767" spans="1:20" x14ac:dyDescent="0.25">
      <c r="A767" s="5">
        <v>390920</v>
      </c>
      <c r="B767" t="str">
        <f>IFERROR((VLOOKUP(A767,'[1]LISTA ETIQUETAS'!O:X,3,0)),"PRODUTO SEM ESTOQUE")</f>
        <v>EST MESA LATERAL ARBOL (BS CAPICCINO/ TP PORCELANA BRANCA)</v>
      </c>
      <c r="C767" s="10" t="s">
        <v>83</v>
      </c>
      <c r="D767" s="10" t="s">
        <v>484</v>
      </c>
      <c r="E767" s="11">
        <f>IF(VLOOKUP(A767,'[1]LISTA ETIQUETAS'!O:W,4,0)="",(VLOOKUP(A767,'[1]LISTA ETIQUETAS'!O:W,6,0)),(VLOOKUP(A767,'[1]LISTA ETIQUETAS'!O:W,4,0)))</f>
        <v>0.61</v>
      </c>
      <c r="F767" s="11">
        <f>IF(VLOOKUP(A767,'[1]LISTA ETIQUETAS'!O:W,5,0)="",(VLOOKUP(A767,'[1]LISTA ETIQUETAS'!O:W,7,0)),(VLOOKUP(A767,'[1]LISTA ETIQUETAS'!O:W,5,0)))</f>
        <v>0.56999999999999995</v>
      </c>
      <c r="G767" s="11">
        <f>IFERROR((VLOOKUP(A767,'[1]LISTA ETIQUETAS'!O:X,8,0)),"")</f>
        <v>0.7</v>
      </c>
      <c r="H767" s="11">
        <f>IFERROR((VLOOKUP(A767,'[1]LISTA ETIQUETAS'!O:X,9,0)),"")</f>
        <v>0.3</v>
      </c>
      <c r="I767" s="12" t="str">
        <f>IFERROR((VLOOKUP(A767,'[1]LISTA ETIQUETAS'!O:Y,11,0)),"")</f>
        <v/>
      </c>
      <c r="J767" s="6">
        <v>0</v>
      </c>
      <c r="K767" s="12" t="str">
        <f t="shared" si="33"/>
        <v/>
      </c>
      <c r="L767" s="7" t="str">
        <f>IF(VLOOKUP(A767,'[1]LISTA ETIQUETAS'!O:AB,14,0)="","",(VLOOKUP(A767,'[1]LISTA ETIQUETAS'!O:AB,14,0)))</f>
        <v/>
      </c>
      <c r="M767" s="8"/>
      <c r="N767" s="9">
        <f t="shared" si="34"/>
        <v>390920</v>
      </c>
      <c r="O767" s="2">
        <f>_xlfn.XLOOKUP($A767,'[1]LISTA ETIQUETAS'!$O:$O,'[1]LISTA ETIQUETAS'!C:C,"",0)</f>
        <v>0</v>
      </c>
      <c r="P767" s="2">
        <f>_xlfn.XLOOKUP($A767,'[1]LISTA ETIQUETAS'!$O:$O,'[1]LISTA ETIQUETAS'!D:D,"",0)</f>
        <v>0</v>
      </c>
      <c r="Q767" s="2">
        <f>_xlfn.XLOOKUP($A767,'[1]LISTA ETIQUETAS'!$O:$O,'[1]LISTA ETIQUETAS'!E:E,"",0)</f>
        <v>0</v>
      </c>
      <c r="R767" s="2">
        <f>_xlfn.XLOOKUP($A767,'[1]LISTA ETIQUETAS'!$O:$O,'[1]LISTA ETIQUETAS'!F:F,"",0)</f>
        <v>0</v>
      </c>
      <c r="S767" s="2">
        <f>_xlfn.XLOOKUP($A767,'[1]LISTA ETIQUETAS'!$O:$O,'[1]LISTA ETIQUETAS'!H:H,"",0)</f>
        <v>1</v>
      </c>
      <c r="T767" s="9">
        <f t="shared" si="35"/>
        <v>1</v>
      </c>
    </row>
    <row r="768" spans="1:20" x14ac:dyDescent="0.25">
      <c r="A768" s="5">
        <v>162905</v>
      </c>
      <c r="B768" t="str">
        <f>IFERROR((VLOOKUP(A768,'[1]LISTA ETIQUETAS'!O:X,3,0)),"PRODUTO SEM ESTOQUE")</f>
        <v>EST MOVEL BAR FORZATTO CARVALHO NAT/PORTAS BRINZE</v>
      </c>
      <c r="C768" s="10" t="s">
        <v>485</v>
      </c>
      <c r="D768" s="10" t="s">
        <v>486</v>
      </c>
      <c r="E768" s="11">
        <f>IF(VLOOKUP(A768,'[1]LISTA ETIQUETAS'!O:W,4,0)="",(VLOOKUP(A768,'[1]LISTA ETIQUETAS'!O:W,6,0)),(VLOOKUP(A768,'[1]LISTA ETIQUETAS'!O:W,4,0)))</f>
        <v>1</v>
      </c>
      <c r="F768" s="11">
        <f>IF(VLOOKUP(A768,'[1]LISTA ETIQUETAS'!O:W,5,0)="",(VLOOKUP(A768,'[1]LISTA ETIQUETAS'!O:W,7,0)),(VLOOKUP(A768,'[1]LISTA ETIQUETAS'!O:W,5,0)))</f>
        <v>0.5</v>
      </c>
      <c r="G768" s="11">
        <f>IFERROR((VLOOKUP(A768,'[1]LISTA ETIQUETAS'!O:X,8,0)),"")</f>
        <v>0.9</v>
      </c>
      <c r="H768" s="11">
        <f>IFERROR((VLOOKUP(A768,'[1]LISTA ETIQUETAS'!O:X,9,0)),"")</f>
        <v>0</v>
      </c>
      <c r="I768" s="12">
        <f>IFERROR((VLOOKUP(A768,'[1]LISTA ETIQUETAS'!O:Y,11,0)),"")</f>
        <v>13440</v>
      </c>
      <c r="J768" s="6">
        <v>0</v>
      </c>
      <c r="K768" s="12">
        <f t="shared" si="33"/>
        <v>13440</v>
      </c>
      <c r="L768" s="7" t="str">
        <f>IF(VLOOKUP(A768,'[1]LISTA ETIQUETAS'!O:AB,14,0)="","",(VLOOKUP(A768,'[1]LISTA ETIQUETAS'!O:AB,14,0)))</f>
        <v/>
      </c>
      <c r="M768" s="8"/>
      <c r="N768" s="9">
        <f t="shared" si="34"/>
        <v>162905</v>
      </c>
      <c r="O768" s="2">
        <f>_xlfn.XLOOKUP($A768,'[1]LISTA ETIQUETAS'!$O:$O,'[1]LISTA ETIQUETAS'!C:C,"",0)</f>
        <v>0</v>
      </c>
      <c r="P768" s="2">
        <f>_xlfn.XLOOKUP($A768,'[1]LISTA ETIQUETAS'!$O:$O,'[1]LISTA ETIQUETAS'!D:D,"",0)</f>
        <v>0</v>
      </c>
      <c r="Q768" s="2">
        <f>_xlfn.XLOOKUP($A768,'[1]LISTA ETIQUETAS'!$O:$O,'[1]LISTA ETIQUETAS'!E:E,"",0)</f>
        <v>0</v>
      </c>
      <c r="R768" s="2">
        <f>_xlfn.XLOOKUP($A768,'[1]LISTA ETIQUETAS'!$O:$O,'[1]LISTA ETIQUETAS'!F:F,"",0)</f>
        <v>0</v>
      </c>
      <c r="S768" s="2">
        <f>_xlfn.XLOOKUP($A768,'[1]LISTA ETIQUETAS'!$O:$O,'[1]LISTA ETIQUETAS'!H:H,"",0)</f>
        <v>1</v>
      </c>
      <c r="T768" s="9">
        <f t="shared" si="35"/>
        <v>1</v>
      </c>
    </row>
    <row r="769" spans="1:20" x14ac:dyDescent="0.25">
      <c r="A769" s="5">
        <v>179253</v>
      </c>
      <c r="B769" t="str">
        <f>IFERROR((VLOOKUP(A769,'[1]LISTA ETIQUETAS'!O:X,3,0)),"PRODUTO SEM ESTOQUE")</f>
        <v>EST MOVEL BAR BARTHO (LACA GRAFITE FSC) (VD PINTADO PRETO)</v>
      </c>
      <c r="C769" s="10" t="s">
        <v>485</v>
      </c>
      <c r="D769" s="10" t="s">
        <v>487</v>
      </c>
      <c r="E769" s="11">
        <f>IF(VLOOKUP(A769,'[1]LISTA ETIQUETAS'!O:W,4,0)="",(VLOOKUP(A769,'[1]LISTA ETIQUETAS'!O:W,6,0)),(VLOOKUP(A769,'[1]LISTA ETIQUETAS'!O:W,4,0)))</f>
        <v>1.1599999999999999</v>
      </c>
      <c r="F769" s="11">
        <f>IF(VLOOKUP(A769,'[1]LISTA ETIQUETAS'!O:W,5,0)="",(VLOOKUP(A769,'[1]LISTA ETIQUETAS'!O:W,7,0)),(VLOOKUP(A769,'[1]LISTA ETIQUETAS'!O:W,5,0)))</f>
        <v>0.46</v>
      </c>
      <c r="G769" s="11">
        <f>IFERROR((VLOOKUP(A769,'[1]LISTA ETIQUETAS'!O:X,8,0)),"")</f>
        <v>0.99</v>
      </c>
      <c r="H769" s="11">
        <f>IFERROR((VLOOKUP(A769,'[1]LISTA ETIQUETAS'!O:X,9,0)),"")</f>
        <v>0</v>
      </c>
      <c r="I769" s="12">
        <f>IFERROR((VLOOKUP(A769,'[1]LISTA ETIQUETAS'!O:Y,11,0)),"")</f>
        <v>0</v>
      </c>
      <c r="J769" s="6">
        <v>0</v>
      </c>
      <c r="K769" s="12">
        <f t="shared" si="33"/>
        <v>0</v>
      </c>
      <c r="L769" s="7" t="str">
        <f>IF(VLOOKUP(A769,'[1]LISTA ETIQUETAS'!O:AB,14,0)="","",(VLOOKUP(A769,'[1]LISTA ETIQUETAS'!O:AB,14,0)))</f>
        <v/>
      </c>
      <c r="M769" s="8"/>
      <c r="N769" s="9">
        <f t="shared" si="34"/>
        <v>179253</v>
      </c>
      <c r="O769" s="2">
        <f>_xlfn.XLOOKUP($A769,'[1]LISTA ETIQUETAS'!$O:$O,'[1]LISTA ETIQUETAS'!C:C,"",0)</f>
        <v>0</v>
      </c>
      <c r="P769" s="2">
        <f>_xlfn.XLOOKUP($A769,'[1]LISTA ETIQUETAS'!$O:$O,'[1]LISTA ETIQUETAS'!D:D,"",0)</f>
        <v>0</v>
      </c>
      <c r="Q769" s="2">
        <f>_xlfn.XLOOKUP($A769,'[1]LISTA ETIQUETAS'!$O:$O,'[1]LISTA ETIQUETAS'!E:E,"",0)</f>
        <v>0</v>
      </c>
      <c r="R769" s="2">
        <f>_xlfn.XLOOKUP($A769,'[1]LISTA ETIQUETAS'!$O:$O,'[1]LISTA ETIQUETAS'!F:F,"",0)</f>
        <v>0</v>
      </c>
      <c r="S769" s="2">
        <f>_xlfn.XLOOKUP($A769,'[1]LISTA ETIQUETAS'!$O:$O,'[1]LISTA ETIQUETAS'!H:H,"",0)</f>
        <v>1</v>
      </c>
      <c r="T769" s="9">
        <f t="shared" si="35"/>
        <v>1</v>
      </c>
    </row>
    <row r="770" spans="1:20" x14ac:dyDescent="0.25">
      <c r="A770" s="5">
        <v>377309</v>
      </c>
      <c r="B770" t="str">
        <f>IFERROR((VLOOKUP(A770,'[1]LISTA ETIQUETAS'!O:X,3,0)),"PRODUTO SEM ESTOQUE")</f>
        <v>EST POLTRONA SALVADOR (MAD B TECA NT) TC VALENCIA 302</v>
      </c>
      <c r="C770" s="10" t="s">
        <v>91</v>
      </c>
      <c r="D770" s="10" t="s">
        <v>488</v>
      </c>
      <c r="E770" s="11">
        <f>IF(VLOOKUP(A770,'[1]LISTA ETIQUETAS'!O:W,4,0)="",(VLOOKUP(A770,'[1]LISTA ETIQUETAS'!O:W,6,0)),(VLOOKUP(A770,'[1]LISTA ETIQUETAS'!O:W,4,0)))</f>
        <v>0.7</v>
      </c>
      <c r="F770" s="11">
        <f>IF(VLOOKUP(A770,'[1]LISTA ETIQUETAS'!O:W,5,0)="",(VLOOKUP(A770,'[1]LISTA ETIQUETAS'!O:W,7,0)),(VLOOKUP(A770,'[1]LISTA ETIQUETAS'!O:W,5,0)))</f>
        <v>0.66</v>
      </c>
      <c r="G770" s="11">
        <f>IFERROR((VLOOKUP(A770,'[1]LISTA ETIQUETAS'!O:X,8,0)),"")</f>
        <v>0.7</v>
      </c>
      <c r="H770" s="11">
        <f>IFERROR((VLOOKUP(A770,'[1]LISTA ETIQUETAS'!O:X,9,0)),"")</f>
        <v>0</v>
      </c>
      <c r="I770" s="12">
        <f>IFERROR((VLOOKUP(A770,'[1]LISTA ETIQUETAS'!O:Y,11,0)),"")</f>
        <v>18577.57</v>
      </c>
      <c r="J770" s="6">
        <v>0</v>
      </c>
      <c r="K770" s="12">
        <f t="shared" si="33"/>
        <v>18577.57</v>
      </c>
      <c r="L770" s="7" t="str">
        <f>IF(VLOOKUP(A770,'[1]LISTA ETIQUETAS'!O:AB,14,0)="","",(VLOOKUP(A770,'[1]LISTA ETIQUETAS'!O:AB,14,0)))</f>
        <v/>
      </c>
      <c r="M770" s="8"/>
      <c r="N770" s="9">
        <f t="shared" si="34"/>
        <v>377309</v>
      </c>
      <c r="O770" s="2">
        <f>_xlfn.XLOOKUP($A770,'[1]LISTA ETIQUETAS'!$O:$O,'[1]LISTA ETIQUETAS'!C:C,"",0)</f>
        <v>0</v>
      </c>
      <c r="P770" s="2">
        <f>_xlfn.XLOOKUP($A770,'[1]LISTA ETIQUETAS'!$O:$O,'[1]LISTA ETIQUETAS'!D:D,"",0)</f>
        <v>0</v>
      </c>
      <c r="Q770" s="2">
        <f>_xlfn.XLOOKUP($A770,'[1]LISTA ETIQUETAS'!$O:$O,'[1]LISTA ETIQUETAS'!E:E,"",0)</f>
        <v>0</v>
      </c>
      <c r="R770" s="2">
        <f>_xlfn.XLOOKUP($A770,'[1]LISTA ETIQUETAS'!$O:$O,'[1]LISTA ETIQUETAS'!F:F,"",0)</f>
        <v>0</v>
      </c>
      <c r="S770" s="2">
        <f>_xlfn.XLOOKUP($A770,'[1]LISTA ETIQUETAS'!$O:$O,'[1]LISTA ETIQUETAS'!H:H,"",0)</f>
        <v>2</v>
      </c>
      <c r="T770" s="9">
        <f t="shared" si="35"/>
        <v>2</v>
      </c>
    </row>
    <row r="771" spans="1:20" x14ac:dyDescent="0.25">
      <c r="A771" s="5">
        <v>299328</v>
      </c>
      <c r="B771" t="str">
        <f>IFERROR((VLOOKUP(A771,'[1]LISTA ETIQUETAS'!O:X,3,0)),"PRODUTO SEM ESTOQUE")</f>
        <v>EST POLTRONA ETTRO (BC RECOURO 2562) F8027/REC 2562/2584</v>
      </c>
      <c r="C771" s="10" t="s">
        <v>91</v>
      </c>
      <c r="D771" s="10" t="s">
        <v>489</v>
      </c>
      <c r="E771" s="11">
        <f>IF(VLOOKUP(A771,'[1]LISTA ETIQUETAS'!O:W,4,0)="",(VLOOKUP(A771,'[1]LISTA ETIQUETAS'!O:W,6,0)),(VLOOKUP(A771,'[1]LISTA ETIQUETAS'!O:W,4,0)))</f>
        <v>0.87</v>
      </c>
      <c r="F771" s="11">
        <f>IF(VLOOKUP(A771,'[1]LISTA ETIQUETAS'!O:W,5,0)="",(VLOOKUP(A771,'[1]LISTA ETIQUETAS'!O:W,7,0)),(VLOOKUP(A771,'[1]LISTA ETIQUETAS'!O:W,5,0)))</f>
        <v>0.9</v>
      </c>
      <c r="G771" s="11">
        <f>IFERROR((VLOOKUP(A771,'[1]LISTA ETIQUETAS'!O:X,8,0)),"")</f>
        <v>0.74</v>
      </c>
      <c r="H771" s="11">
        <f>IFERROR((VLOOKUP(A771,'[1]LISTA ETIQUETAS'!O:X,9,0)),"")</f>
        <v>0</v>
      </c>
      <c r="I771" s="12">
        <f>IFERROR((VLOOKUP(A771,'[1]LISTA ETIQUETAS'!O:Y,11,0)),"")</f>
        <v>18471.04</v>
      </c>
      <c r="J771" s="6">
        <v>0</v>
      </c>
      <c r="K771" s="12">
        <f t="shared" ref="K771:K834" si="36">IFERROR(I771-I771*J771,"")</f>
        <v>18471.04</v>
      </c>
      <c r="L771" s="7" t="str">
        <f>IF(VLOOKUP(A771,'[1]LISTA ETIQUETAS'!O:AB,14,0)="","",(VLOOKUP(A771,'[1]LISTA ETIQUETAS'!O:AB,14,0)))</f>
        <v/>
      </c>
      <c r="M771" s="8"/>
      <c r="N771" s="9">
        <f t="shared" si="34"/>
        <v>299328</v>
      </c>
      <c r="O771" s="2">
        <f>_xlfn.XLOOKUP($A771,'[1]LISTA ETIQUETAS'!$O:$O,'[1]LISTA ETIQUETAS'!C:C,"",0)</f>
        <v>0</v>
      </c>
      <c r="P771" s="2">
        <f>_xlfn.XLOOKUP($A771,'[1]LISTA ETIQUETAS'!$O:$O,'[1]LISTA ETIQUETAS'!D:D,"",0)</f>
        <v>0</v>
      </c>
      <c r="Q771" s="2">
        <f>_xlfn.XLOOKUP($A771,'[1]LISTA ETIQUETAS'!$O:$O,'[1]LISTA ETIQUETAS'!E:E,"",0)</f>
        <v>0</v>
      </c>
      <c r="R771" s="2">
        <f>_xlfn.XLOOKUP($A771,'[1]LISTA ETIQUETAS'!$O:$O,'[1]LISTA ETIQUETAS'!F:F,"",0)</f>
        <v>0</v>
      </c>
      <c r="S771" s="2">
        <f>_xlfn.XLOOKUP($A771,'[1]LISTA ETIQUETAS'!$O:$O,'[1]LISTA ETIQUETAS'!H:H,"",0)</f>
        <v>1</v>
      </c>
      <c r="T771" s="9">
        <f t="shared" si="35"/>
        <v>1</v>
      </c>
    </row>
    <row r="772" spans="1:20" x14ac:dyDescent="0.25">
      <c r="A772" s="5">
        <v>308175</v>
      </c>
      <c r="B772" t="str">
        <f>IFERROR((VLOOKUP(A772,'[1]LISTA ETIQUETAS'!O:X,3,0)),"PRODUTO SEM ESTOQUE")</f>
        <v>EST POLTRONA CACAU TC N2008 (BRACO LADO DIREITO)</v>
      </c>
      <c r="C772" s="10" t="s">
        <v>91</v>
      </c>
      <c r="D772" s="10" t="s">
        <v>490</v>
      </c>
      <c r="E772" s="11">
        <f>IF(VLOOKUP(A772,'[1]LISTA ETIQUETAS'!O:W,4,0)="",(VLOOKUP(A772,'[1]LISTA ETIQUETAS'!O:W,6,0)),(VLOOKUP(A772,'[1]LISTA ETIQUETAS'!O:W,4,0)))</f>
        <v>1.27</v>
      </c>
      <c r="F772" s="11">
        <f>IF(VLOOKUP(A772,'[1]LISTA ETIQUETAS'!O:W,5,0)="",(VLOOKUP(A772,'[1]LISTA ETIQUETAS'!O:W,7,0)),(VLOOKUP(A772,'[1]LISTA ETIQUETAS'!O:W,5,0)))</f>
        <v>0.93</v>
      </c>
      <c r="G772" s="11">
        <f>IFERROR((VLOOKUP(A772,'[1]LISTA ETIQUETAS'!O:X,8,0)),"")</f>
        <v>0.74</v>
      </c>
      <c r="H772" s="11">
        <f>IFERROR((VLOOKUP(A772,'[1]LISTA ETIQUETAS'!O:X,9,0)),"")</f>
        <v>0</v>
      </c>
      <c r="I772" s="12">
        <f>IFERROR((VLOOKUP(A772,'[1]LISTA ETIQUETAS'!O:Y,11,0)),"")</f>
        <v>21825.040000000001</v>
      </c>
      <c r="J772" s="6">
        <v>0</v>
      </c>
      <c r="K772" s="12">
        <f t="shared" si="36"/>
        <v>21825.040000000001</v>
      </c>
      <c r="L772" s="7" t="str">
        <f>IF(VLOOKUP(A772,'[1]LISTA ETIQUETAS'!O:AB,14,0)="","",(VLOOKUP(A772,'[1]LISTA ETIQUETAS'!O:AB,14,0)))</f>
        <v/>
      </c>
      <c r="M772" s="8"/>
      <c r="N772" s="9">
        <f t="shared" ref="N772:N835" si="37">IF(M772="",A772,M772)</f>
        <v>308175</v>
      </c>
      <c r="O772" s="2">
        <f>_xlfn.XLOOKUP($A772,'[1]LISTA ETIQUETAS'!$O:$O,'[1]LISTA ETIQUETAS'!C:C,"",0)</f>
        <v>0</v>
      </c>
      <c r="P772" s="2">
        <f>_xlfn.XLOOKUP($A772,'[1]LISTA ETIQUETAS'!$O:$O,'[1]LISTA ETIQUETAS'!D:D,"",0)</f>
        <v>0</v>
      </c>
      <c r="Q772" s="2">
        <f>_xlfn.XLOOKUP($A772,'[1]LISTA ETIQUETAS'!$O:$O,'[1]LISTA ETIQUETAS'!E:E,"",0)</f>
        <v>0</v>
      </c>
      <c r="R772" s="2">
        <f>_xlfn.XLOOKUP($A772,'[1]LISTA ETIQUETAS'!$O:$O,'[1]LISTA ETIQUETAS'!F:F,"",0)</f>
        <v>0</v>
      </c>
      <c r="S772" s="2">
        <f>_xlfn.XLOOKUP($A772,'[1]LISTA ETIQUETAS'!$O:$O,'[1]LISTA ETIQUETAS'!H:H,"",0)</f>
        <v>1</v>
      </c>
      <c r="T772" s="9">
        <f t="shared" ref="T772:T835" si="38">SUM(O772:S772)</f>
        <v>1</v>
      </c>
    </row>
    <row r="773" spans="1:20" x14ac:dyDescent="0.25">
      <c r="A773" s="5">
        <v>308171</v>
      </c>
      <c r="B773" t="str">
        <f>IFERROR((VLOOKUP(A773,'[1]LISTA ETIQUETAS'!O:X,3,0)),"PRODUTO SEM ESTOQUE")</f>
        <v>EST POLTRONA CACAU TC N2021 (BRACO LADO DIREITO)</v>
      </c>
      <c r="C773" s="10" t="s">
        <v>91</v>
      </c>
      <c r="D773" s="10" t="s">
        <v>490</v>
      </c>
      <c r="E773" s="11">
        <f>IF(VLOOKUP(A773,'[1]LISTA ETIQUETAS'!O:W,4,0)="",(VLOOKUP(A773,'[1]LISTA ETIQUETAS'!O:W,6,0)),(VLOOKUP(A773,'[1]LISTA ETIQUETAS'!O:W,4,0)))</f>
        <v>1.27</v>
      </c>
      <c r="F773" s="11">
        <f>IF(VLOOKUP(A773,'[1]LISTA ETIQUETAS'!O:W,5,0)="",(VLOOKUP(A773,'[1]LISTA ETIQUETAS'!O:W,7,0)),(VLOOKUP(A773,'[1]LISTA ETIQUETAS'!O:W,5,0)))</f>
        <v>0.93</v>
      </c>
      <c r="G773" s="11">
        <f>IFERROR((VLOOKUP(A773,'[1]LISTA ETIQUETAS'!O:X,8,0)),"")</f>
        <v>0.74</v>
      </c>
      <c r="H773" s="11">
        <f>IFERROR((VLOOKUP(A773,'[1]LISTA ETIQUETAS'!O:X,9,0)),"")</f>
        <v>0</v>
      </c>
      <c r="I773" s="12">
        <f>IFERROR((VLOOKUP(A773,'[1]LISTA ETIQUETAS'!O:Y,11,0)),"")</f>
        <v>21825.040000000001</v>
      </c>
      <c r="J773" s="6">
        <v>0</v>
      </c>
      <c r="K773" s="12">
        <f t="shared" si="36"/>
        <v>21825.040000000001</v>
      </c>
      <c r="L773" s="7" t="str">
        <f>IF(VLOOKUP(A773,'[1]LISTA ETIQUETAS'!O:AB,14,0)="","",(VLOOKUP(A773,'[1]LISTA ETIQUETAS'!O:AB,14,0)))</f>
        <v/>
      </c>
      <c r="M773" s="8"/>
      <c r="N773" s="9">
        <f t="shared" si="37"/>
        <v>308171</v>
      </c>
      <c r="O773" s="2">
        <f>_xlfn.XLOOKUP($A773,'[1]LISTA ETIQUETAS'!$O:$O,'[1]LISTA ETIQUETAS'!C:C,"",0)</f>
        <v>0</v>
      </c>
      <c r="P773" s="2">
        <f>_xlfn.XLOOKUP($A773,'[1]LISTA ETIQUETAS'!$O:$O,'[1]LISTA ETIQUETAS'!D:D,"",0)</f>
        <v>0</v>
      </c>
      <c r="Q773" s="2">
        <f>_xlfn.XLOOKUP($A773,'[1]LISTA ETIQUETAS'!$O:$O,'[1]LISTA ETIQUETAS'!E:E,"",0)</f>
        <v>0</v>
      </c>
      <c r="R773" s="2">
        <f>_xlfn.XLOOKUP($A773,'[1]LISTA ETIQUETAS'!$O:$O,'[1]LISTA ETIQUETAS'!F:F,"",0)</f>
        <v>0</v>
      </c>
      <c r="S773" s="2">
        <f>_xlfn.XLOOKUP($A773,'[1]LISTA ETIQUETAS'!$O:$O,'[1]LISTA ETIQUETAS'!H:H,"",0)</f>
        <v>1</v>
      </c>
      <c r="T773" s="9">
        <f t="shared" si="38"/>
        <v>1</v>
      </c>
    </row>
    <row r="774" spans="1:20" x14ac:dyDescent="0.25">
      <c r="A774" s="5">
        <v>270478</v>
      </c>
      <c r="B774" t="str">
        <f>IFERROR((VLOOKUP(A774,'[1]LISTA ETIQUETAS'!O:X,3,0)),"PRODUTO SEM ESTOQUE")</f>
        <v>EST POLTRONA SOFT (BS ELET CORTEN) C0700-1/SOL NATURAL</v>
      </c>
      <c r="C774" s="10" t="s">
        <v>91</v>
      </c>
      <c r="D774" s="10" t="s">
        <v>491</v>
      </c>
      <c r="E774" s="11">
        <f>IF(VLOOKUP(A774,'[1]LISTA ETIQUETAS'!O:W,4,0)="",(VLOOKUP(A774,'[1]LISTA ETIQUETAS'!O:W,6,0)),(VLOOKUP(A774,'[1]LISTA ETIQUETAS'!O:W,4,0)))</f>
        <v>0.87</v>
      </c>
      <c r="F774" s="11">
        <f>IF(VLOOKUP(A774,'[1]LISTA ETIQUETAS'!O:W,5,0)="",(VLOOKUP(A774,'[1]LISTA ETIQUETAS'!O:W,7,0)),(VLOOKUP(A774,'[1]LISTA ETIQUETAS'!O:W,5,0)))</f>
        <v>1.02</v>
      </c>
      <c r="G774" s="11">
        <f>IFERROR((VLOOKUP(A774,'[1]LISTA ETIQUETAS'!O:X,8,0)),"")</f>
        <v>0.8</v>
      </c>
      <c r="H774" s="11">
        <f>IFERROR((VLOOKUP(A774,'[1]LISTA ETIQUETAS'!O:X,9,0)),"")</f>
        <v>0</v>
      </c>
      <c r="I774" s="12">
        <f>IFERROR((VLOOKUP(A774,'[1]LISTA ETIQUETAS'!O:Y,11,0)),"")</f>
        <v>30886.22</v>
      </c>
      <c r="J774" s="6">
        <v>0</v>
      </c>
      <c r="K774" s="12">
        <f t="shared" si="36"/>
        <v>30886.22</v>
      </c>
      <c r="L774" s="7" t="str">
        <f>IF(VLOOKUP(A774,'[1]LISTA ETIQUETAS'!O:AB,14,0)="","",(VLOOKUP(A774,'[1]LISTA ETIQUETAS'!O:AB,14,0)))</f>
        <v/>
      </c>
      <c r="M774" s="8"/>
      <c r="N774" s="9">
        <f t="shared" si="37"/>
        <v>270478</v>
      </c>
      <c r="O774" s="2">
        <f>_xlfn.XLOOKUP($A774,'[1]LISTA ETIQUETAS'!$O:$O,'[1]LISTA ETIQUETAS'!C:C,"",0)</f>
        <v>1</v>
      </c>
      <c r="P774" s="2">
        <f>_xlfn.XLOOKUP($A774,'[1]LISTA ETIQUETAS'!$O:$O,'[1]LISTA ETIQUETAS'!D:D,"",0)</f>
        <v>0</v>
      </c>
      <c r="Q774" s="2">
        <f>_xlfn.XLOOKUP($A774,'[1]LISTA ETIQUETAS'!$O:$O,'[1]LISTA ETIQUETAS'!E:E,"",0)</f>
        <v>0</v>
      </c>
      <c r="R774" s="2">
        <f>_xlfn.XLOOKUP($A774,'[1]LISTA ETIQUETAS'!$O:$O,'[1]LISTA ETIQUETAS'!F:F,"",0)</f>
        <v>0</v>
      </c>
      <c r="S774" s="2">
        <f>_xlfn.XLOOKUP($A774,'[1]LISTA ETIQUETAS'!$O:$O,'[1]LISTA ETIQUETAS'!H:H,"",0)</f>
        <v>2</v>
      </c>
      <c r="T774" s="9">
        <f t="shared" si="38"/>
        <v>3</v>
      </c>
    </row>
    <row r="775" spans="1:20" x14ac:dyDescent="0.25">
      <c r="A775" s="5">
        <v>273340</v>
      </c>
      <c r="B775" t="str">
        <f>IFERROR((VLOOKUP(A775,'[1]LISTA ETIQUETAS'!O:X,3,0)),"PRODUTO SEM ESTOQUE")</f>
        <v>EST POLTRONA RAMONA (COURO BOUT LA PAZ CAMEL) PINT PRETA</v>
      </c>
      <c r="C775" s="10" t="s">
        <v>91</v>
      </c>
      <c r="D775" s="10" t="s">
        <v>492</v>
      </c>
      <c r="E775" s="11">
        <f>IF(VLOOKUP(A775,'[1]LISTA ETIQUETAS'!O:W,4,0)="",(VLOOKUP(A775,'[1]LISTA ETIQUETAS'!O:W,6,0)),(VLOOKUP(A775,'[1]LISTA ETIQUETAS'!O:W,4,0)))</f>
        <v>0.63</v>
      </c>
      <c r="F775" s="11">
        <f>IF(VLOOKUP(A775,'[1]LISTA ETIQUETAS'!O:W,5,0)="",(VLOOKUP(A775,'[1]LISTA ETIQUETAS'!O:W,7,0)),(VLOOKUP(A775,'[1]LISTA ETIQUETAS'!O:W,5,0)))</f>
        <v>0.77</v>
      </c>
      <c r="G775" s="11">
        <f>IFERROR((VLOOKUP(A775,'[1]LISTA ETIQUETAS'!O:X,8,0)),"")</f>
        <v>0.66</v>
      </c>
      <c r="H775" s="11">
        <f>IFERROR((VLOOKUP(A775,'[1]LISTA ETIQUETAS'!O:X,9,0)),"")</f>
        <v>0</v>
      </c>
      <c r="I775" s="12">
        <f>IFERROR((VLOOKUP(A775,'[1]LISTA ETIQUETAS'!O:Y,11,0)),"")</f>
        <v>20720.990000000002</v>
      </c>
      <c r="J775" s="6">
        <v>0</v>
      </c>
      <c r="K775" s="12">
        <f t="shared" si="36"/>
        <v>20720.990000000002</v>
      </c>
      <c r="L775" s="7" t="str">
        <f>IF(VLOOKUP(A775,'[1]LISTA ETIQUETAS'!O:AB,14,0)="","",(VLOOKUP(A775,'[1]LISTA ETIQUETAS'!O:AB,14,0)))</f>
        <v/>
      </c>
      <c r="M775" s="8"/>
      <c r="N775" s="9">
        <f t="shared" si="37"/>
        <v>273340</v>
      </c>
      <c r="O775" s="2">
        <f>_xlfn.XLOOKUP($A775,'[1]LISTA ETIQUETAS'!$O:$O,'[1]LISTA ETIQUETAS'!C:C,"",0)</f>
        <v>0</v>
      </c>
      <c r="P775" s="2">
        <f>_xlfn.XLOOKUP($A775,'[1]LISTA ETIQUETAS'!$O:$O,'[1]LISTA ETIQUETAS'!D:D,"",0)</f>
        <v>0</v>
      </c>
      <c r="Q775" s="2">
        <f>_xlfn.XLOOKUP($A775,'[1]LISTA ETIQUETAS'!$O:$O,'[1]LISTA ETIQUETAS'!E:E,"",0)</f>
        <v>0</v>
      </c>
      <c r="R775" s="2">
        <f>_xlfn.XLOOKUP($A775,'[1]LISTA ETIQUETAS'!$O:$O,'[1]LISTA ETIQUETAS'!F:F,"",0)</f>
        <v>0</v>
      </c>
      <c r="S775" s="2">
        <f>_xlfn.XLOOKUP($A775,'[1]LISTA ETIQUETAS'!$O:$O,'[1]LISTA ETIQUETAS'!H:H,"",0)</f>
        <v>1</v>
      </c>
      <c r="T775" s="9">
        <f t="shared" si="38"/>
        <v>1</v>
      </c>
    </row>
    <row r="776" spans="1:20" x14ac:dyDescent="0.25">
      <c r="A776" s="5">
        <v>252276</v>
      </c>
      <c r="B776" t="str">
        <f>IFERROR((VLOOKUP(A776,'[1]LISTA ETIQUETAS'!O:X,3,0)),"PRODUTO SEM ESTOQUE")</f>
        <v>EST POLTRONA HARRY (GIRATORIA) FX C3091</v>
      </c>
      <c r="C776" s="10" t="s">
        <v>91</v>
      </c>
      <c r="D776" s="10" t="s">
        <v>493</v>
      </c>
      <c r="E776" s="11">
        <f>IF(VLOOKUP(A776,'[1]LISTA ETIQUETAS'!O:W,4,0)="",(VLOOKUP(A776,'[1]LISTA ETIQUETAS'!O:W,6,0)),(VLOOKUP(A776,'[1]LISTA ETIQUETAS'!O:W,4,0)))</f>
        <v>0.89</v>
      </c>
      <c r="F776" s="11">
        <f>IF(VLOOKUP(A776,'[1]LISTA ETIQUETAS'!O:W,5,0)="",(VLOOKUP(A776,'[1]LISTA ETIQUETAS'!O:W,7,0)),(VLOOKUP(A776,'[1]LISTA ETIQUETAS'!O:W,5,0)))</f>
        <v>0.83</v>
      </c>
      <c r="G776" s="11">
        <f>IFERROR((VLOOKUP(A776,'[1]LISTA ETIQUETAS'!O:X,8,0)),"")</f>
        <v>0.72</v>
      </c>
      <c r="H776" s="11">
        <f>IFERROR((VLOOKUP(A776,'[1]LISTA ETIQUETAS'!O:X,9,0)),"")</f>
        <v>0</v>
      </c>
      <c r="I776" s="12">
        <f>IFERROR((VLOOKUP(A776,'[1]LISTA ETIQUETAS'!O:Y,11,0)),"")</f>
        <v>9054.89</v>
      </c>
      <c r="J776" s="6">
        <v>0</v>
      </c>
      <c r="K776" s="12">
        <f t="shared" si="36"/>
        <v>9054.89</v>
      </c>
      <c r="L776" s="7" t="str">
        <f>IF(VLOOKUP(A776,'[1]LISTA ETIQUETAS'!O:AB,14,0)="","",(VLOOKUP(A776,'[1]LISTA ETIQUETAS'!O:AB,14,0)))</f>
        <v/>
      </c>
      <c r="M776" s="8"/>
      <c r="N776" s="9">
        <f t="shared" si="37"/>
        <v>252276</v>
      </c>
      <c r="O776" s="2">
        <f>_xlfn.XLOOKUP($A776,'[1]LISTA ETIQUETAS'!$O:$O,'[1]LISTA ETIQUETAS'!C:C,"",0)</f>
        <v>0</v>
      </c>
      <c r="P776" s="2">
        <f>_xlfn.XLOOKUP($A776,'[1]LISTA ETIQUETAS'!$O:$O,'[1]LISTA ETIQUETAS'!D:D,"",0)</f>
        <v>0</v>
      </c>
      <c r="Q776" s="2">
        <f>_xlfn.XLOOKUP($A776,'[1]LISTA ETIQUETAS'!$O:$O,'[1]LISTA ETIQUETAS'!E:E,"",0)</f>
        <v>0</v>
      </c>
      <c r="R776" s="2">
        <f>_xlfn.XLOOKUP($A776,'[1]LISTA ETIQUETAS'!$O:$O,'[1]LISTA ETIQUETAS'!F:F,"",0)</f>
        <v>0</v>
      </c>
      <c r="S776" s="2">
        <f>_xlfn.XLOOKUP($A776,'[1]LISTA ETIQUETAS'!$O:$O,'[1]LISTA ETIQUETAS'!H:H,"",0)</f>
        <v>1</v>
      </c>
      <c r="T776" s="9">
        <f t="shared" si="38"/>
        <v>1</v>
      </c>
    </row>
    <row r="777" spans="1:20" x14ac:dyDescent="0.25">
      <c r="A777" s="5">
        <v>379909</v>
      </c>
      <c r="B777" t="str">
        <f>IFERROR((VLOOKUP(A777,'[1]LISTA ETIQUETAS'!O:X,3,0)),"PRODUTO SEM ESTOQUE")</f>
        <v>EST POLTRONA BARISTA (COURO TP3 SAFARI) COCOA/NOZES</v>
      </c>
      <c r="C777" s="10" t="s">
        <v>91</v>
      </c>
      <c r="D777" s="10" t="s">
        <v>494</v>
      </c>
      <c r="E777" s="11">
        <f>IF(VLOOKUP(A777,'[1]LISTA ETIQUETAS'!O:W,4,0)="",(VLOOKUP(A777,'[1]LISTA ETIQUETAS'!O:W,6,0)),(VLOOKUP(A777,'[1]LISTA ETIQUETAS'!O:W,4,0)))</f>
        <v>1</v>
      </c>
      <c r="F777" s="11">
        <f>IF(VLOOKUP(A777,'[1]LISTA ETIQUETAS'!O:W,5,0)="",(VLOOKUP(A777,'[1]LISTA ETIQUETAS'!O:W,7,0)),(VLOOKUP(A777,'[1]LISTA ETIQUETAS'!O:W,5,0)))</f>
        <v>0.81</v>
      </c>
      <c r="G777" s="11">
        <f>IFERROR((VLOOKUP(A777,'[1]LISTA ETIQUETAS'!O:X,8,0)),"")</f>
        <v>0.69</v>
      </c>
      <c r="H777" s="11">
        <f>IFERROR((VLOOKUP(A777,'[1]LISTA ETIQUETAS'!O:X,9,0)),"")</f>
        <v>0</v>
      </c>
      <c r="I777" s="12">
        <f>IFERROR((VLOOKUP(A777,'[1]LISTA ETIQUETAS'!O:Y,11,0)),"")</f>
        <v>20192.61</v>
      </c>
      <c r="J777" s="6">
        <v>0</v>
      </c>
      <c r="K777" s="12">
        <f t="shared" si="36"/>
        <v>20192.61</v>
      </c>
      <c r="L777" s="7" t="str">
        <f>IF(VLOOKUP(A777,'[1]LISTA ETIQUETAS'!O:AB,14,0)="","",(VLOOKUP(A777,'[1]LISTA ETIQUETAS'!O:AB,14,0)))</f>
        <v/>
      </c>
      <c r="M777" s="8"/>
      <c r="N777" s="9">
        <f t="shared" si="37"/>
        <v>379909</v>
      </c>
      <c r="O777" s="2">
        <f>_xlfn.XLOOKUP($A777,'[1]LISTA ETIQUETAS'!$O:$O,'[1]LISTA ETIQUETAS'!C:C,"",0)</f>
        <v>0</v>
      </c>
      <c r="P777" s="2">
        <f>_xlfn.XLOOKUP($A777,'[1]LISTA ETIQUETAS'!$O:$O,'[1]LISTA ETIQUETAS'!D:D,"",0)</f>
        <v>0</v>
      </c>
      <c r="Q777" s="2">
        <f>_xlfn.XLOOKUP($A777,'[1]LISTA ETIQUETAS'!$O:$O,'[1]LISTA ETIQUETAS'!E:E,"",0)</f>
        <v>0</v>
      </c>
      <c r="R777" s="2">
        <f>_xlfn.XLOOKUP($A777,'[1]LISTA ETIQUETAS'!$O:$O,'[1]LISTA ETIQUETAS'!F:F,"",0)</f>
        <v>0</v>
      </c>
      <c r="S777" s="2">
        <f>_xlfn.XLOOKUP($A777,'[1]LISTA ETIQUETAS'!$O:$O,'[1]LISTA ETIQUETAS'!H:H,"",0)</f>
        <v>2</v>
      </c>
      <c r="T777" s="9">
        <f t="shared" si="38"/>
        <v>2</v>
      </c>
    </row>
    <row r="778" spans="1:20" x14ac:dyDescent="0.25">
      <c r="A778" s="5">
        <v>379908</v>
      </c>
      <c r="B778" t="str">
        <f>IFERROR((VLOOKUP(A778,'[1]LISTA ETIQUETAS'!O:X,3,0)),"PRODUTO SEM ESTOQUE")</f>
        <v>EST POLTRONA BARISTA (COURO TP2 OPALA) PRETO/NOGUEIRA</v>
      </c>
      <c r="C778" s="10" t="s">
        <v>91</v>
      </c>
      <c r="D778" s="10" t="s">
        <v>494</v>
      </c>
      <c r="E778" s="11">
        <f>IF(VLOOKUP(A778,'[1]LISTA ETIQUETAS'!O:W,4,0)="",(VLOOKUP(A778,'[1]LISTA ETIQUETAS'!O:W,6,0)),(VLOOKUP(A778,'[1]LISTA ETIQUETAS'!O:W,4,0)))</f>
        <v>1</v>
      </c>
      <c r="F778" s="11">
        <f>IF(VLOOKUP(A778,'[1]LISTA ETIQUETAS'!O:W,5,0)="",(VLOOKUP(A778,'[1]LISTA ETIQUETAS'!O:W,7,0)),(VLOOKUP(A778,'[1]LISTA ETIQUETAS'!O:W,5,0)))</f>
        <v>0.81</v>
      </c>
      <c r="G778" s="11">
        <f>IFERROR((VLOOKUP(A778,'[1]LISTA ETIQUETAS'!O:X,8,0)),"")</f>
        <v>0.69</v>
      </c>
      <c r="H778" s="11">
        <f>IFERROR((VLOOKUP(A778,'[1]LISTA ETIQUETAS'!O:X,9,0)),"")</f>
        <v>0</v>
      </c>
      <c r="I778" s="12">
        <f>IFERROR((VLOOKUP(A778,'[1]LISTA ETIQUETAS'!O:Y,11,0)),"")</f>
        <v>19488</v>
      </c>
      <c r="J778" s="6">
        <v>0</v>
      </c>
      <c r="K778" s="12">
        <f t="shared" si="36"/>
        <v>19488</v>
      </c>
      <c r="L778" s="7" t="str">
        <f>IF(VLOOKUP(A778,'[1]LISTA ETIQUETAS'!O:AB,14,0)="","",(VLOOKUP(A778,'[1]LISTA ETIQUETAS'!O:AB,14,0)))</f>
        <v/>
      </c>
      <c r="M778" s="8"/>
      <c r="N778" s="9">
        <f t="shared" si="37"/>
        <v>379908</v>
      </c>
      <c r="O778" s="2">
        <f>_xlfn.XLOOKUP($A778,'[1]LISTA ETIQUETAS'!$O:$O,'[1]LISTA ETIQUETAS'!C:C,"",0)</f>
        <v>0</v>
      </c>
      <c r="P778" s="2">
        <f>_xlfn.XLOOKUP($A778,'[1]LISTA ETIQUETAS'!$O:$O,'[1]LISTA ETIQUETAS'!D:D,"",0)</f>
        <v>0</v>
      </c>
      <c r="Q778" s="2">
        <f>_xlfn.XLOOKUP($A778,'[1]LISTA ETIQUETAS'!$O:$O,'[1]LISTA ETIQUETAS'!E:E,"",0)</f>
        <v>0</v>
      </c>
      <c r="R778" s="2">
        <f>_xlfn.XLOOKUP($A778,'[1]LISTA ETIQUETAS'!$O:$O,'[1]LISTA ETIQUETAS'!F:F,"",0)</f>
        <v>0</v>
      </c>
      <c r="S778" s="2">
        <f>_xlfn.XLOOKUP($A778,'[1]LISTA ETIQUETAS'!$O:$O,'[1]LISTA ETIQUETAS'!H:H,"",0)</f>
        <v>2</v>
      </c>
      <c r="T778" s="9">
        <f t="shared" si="38"/>
        <v>2</v>
      </c>
    </row>
    <row r="779" spans="1:20" x14ac:dyDescent="0.25">
      <c r="A779" s="5">
        <v>379893</v>
      </c>
      <c r="B779" t="str">
        <f>IFERROR((VLOOKUP(A779,'[1]LISTA ETIQUETAS'!O:X,3,0)),"PRODUTO SEM ESTOQUE")</f>
        <v>EST POLTRONA MONDRIAN (ESTOF) (C2 MAMMUT/NOG) (C1 SEPIA)</v>
      </c>
      <c r="C779" s="10" t="s">
        <v>91</v>
      </c>
      <c r="D779" s="10" t="s">
        <v>495</v>
      </c>
      <c r="E779" s="11">
        <f>IF(VLOOKUP(A779,'[1]LISTA ETIQUETAS'!O:W,4,0)="",(VLOOKUP(A779,'[1]LISTA ETIQUETAS'!O:W,6,0)),(VLOOKUP(A779,'[1]LISTA ETIQUETAS'!O:W,4,0)))</f>
        <v>1.18</v>
      </c>
      <c r="F779" s="11">
        <f>IF(VLOOKUP(A779,'[1]LISTA ETIQUETAS'!O:W,5,0)="",(VLOOKUP(A779,'[1]LISTA ETIQUETAS'!O:W,7,0)),(VLOOKUP(A779,'[1]LISTA ETIQUETAS'!O:W,5,0)))</f>
        <v>1.05</v>
      </c>
      <c r="G779" s="11">
        <f>IFERROR((VLOOKUP(A779,'[1]LISTA ETIQUETAS'!O:X,8,0)),"")</f>
        <v>0.71</v>
      </c>
      <c r="H779" s="11">
        <f>IFERROR((VLOOKUP(A779,'[1]LISTA ETIQUETAS'!O:X,9,0)),"")</f>
        <v>0</v>
      </c>
      <c r="I779" s="12">
        <f>IFERROR((VLOOKUP(A779,'[1]LISTA ETIQUETAS'!O:Y,11,0)),"")</f>
        <v>72635.72</v>
      </c>
      <c r="J779" s="6">
        <v>0</v>
      </c>
      <c r="K779" s="12">
        <f t="shared" si="36"/>
        <v>72635.72</v>
      </c>
      <c r="L779" s="7" t="str">
        <f>IF(VLOOKUP(A779,'[1]LISTA ETIQUETAS'!O:AB,14,0)="","",(VLOOKUP(A779,'[1]LISTA ETIQUETAS'!O:AB,14,0)))</f>
        <v/>
      </c>
      <c r="M779" s="8"/>
      <c r="N779" s="9">
        <f t="shared" si="37"/>
        <v>379893</v>
      </c>
      <c r="O779" s="2">
        <f>_xlfn.XLOOKUP($A779,'[1]LISTA ETIQUETAS'!$O:$O,'[1]LISTA ETIQUETAS'!C:C,"",0)</f>
        <v>0</v>
      </c>
      <c r="P779" s="2">
        <f>_xlfn.XLOOKUP($A779,'[1]LISTA ETIQUETAS'!$O:$O,'[1]LISTA ETIQUETAS'!D:D,"",0)</f>
        <v>0</v>
      </c>
      <c r="Q779" s="2">
        <f>_xlfn.XLOOKUP($A779,'[1]LISTA ETIQUETAS'!$O:$O,'[1]LISTA ETIQUETAS'!E:E,"",0)</f>
        <v>0</v>
      </c>
      <c r="R779" s="2">
        <f>_xlfn.XLOOKUP($A779,'[1]LISTA ETIQUETAS'!$O:$O,'[1]LISTA ETIQUETAS'!F:F,"",0)</f>
        <v>0</v>
      </c>
      <c r="S779" s="2">
        <f>_xlfn.XLOOKUP($A779,'[1]LISTA ETIQUETAS'!$O:$O,'[1]LISTA ETIQUETAS'!H:H,"",0)</f>
        <v>1</v>
      </c>
      <c r="T779" s="9">
        <f t="shared" si="38"/>
        <v>1</v>
      </c>
    </row>
    <row r="780" spans="1:20" x14ac:dyDescent="0.25">
      <c r="A780" s="5">
        <v>402454</v>
      </c>
      <c r="B780" t="str">
        <f>IFERROR((VLOOKUP(A780,'[1]LISTA ETIQUETAS'!O:X,3,0)),"PRODUTO SEM ESTOQUE")</f>
        <v>EST POLTRONA PATER (JEQUITIBA) COURO 1 SEPIA/ALMOF FX8560</v>
      </c>
      <c r="C780" s="10" t="s">
        <v>91</v>
      </c>
      <c r="D780" s="10" t="s">
        <v>496</v>
      </c>
      <c r="E780" s="11">
        <f>IF(VLOOKUP(A780,'[1]LISTA ETIQUETAS'!O:W,4,0)="",(VLOOKUP(A780,'[1]LISTA ETIQUETAS'!O:W,6,0)),(VLOOKUP(A780,'[1]LISTA ETIQUETAS'!O:W,4,0)))</f>
        <v>0.82</v>
      </c>
      <c r="F780" s="11">
        <f>IF(VLOOKUP(A780,'[1]LISTA ETIQUETAS'!O:W,5,0)="",(VLOOKUP(A780,'[1]LISTA ETIQUETAS'!O:W,7,0)),(VLOOKUP(A780,'[1]LISTA ETIQUETAS'!O:W,5,0)))</f>
        <v>0.94</v>
      </c>
      <c r="G780" s="11">
        <f>IFERROR((VLOOKUP(A780,'[1]LISTA ETIQUETAS'!O:X,8,0)),"")</f>
        <v>0.83</v>
      </c>
      <c r="H780" s="11">
        <f>IFERROR((VLOOKUP(A780,'[1]LISTA ETIQUETAS'!O:X,9,0)),"")</f>
        <v>0</v>
      </c>
      <c r="I780" s="12">
        <f>IFERROR((VLOOKUP(A780,'[1]LISTA ETIQUETAS'!O:Y,11,0)),"")</f>
        <v>33633.96</v>
      </c>
      <c r="J780" s="6">
        <v>0</v>
      </c>
      <c r="K780" s="12">
        <f t="shared" si="36"/>
        <v>33633.96</v>
      </c>
      <c r="L780" s="7" t="str">
        <f>IF(VLOOKUP(A780,'[1]LISTA ETIQUETAS'!O:AB,14,0)="","",(VLOOKUP(A780,'[1]LISTA ETIQUETAS'!O:AB,14,0)))</f>
        <v/>
      </c>
      <c r="M780" s="8"/>
      <c r="N780" s="9">
        <f t="shared" si="37"/>
        <v>402454</v>
      </c>
      <c r="O780" s="2">
        <f>_xlfn.XLOOKUP($A780,'[1]LISTA ETIQUETAS'!$O:$O,'[1]LISTA ETIQUETAS'!C:C,"",0)</f>
        <v>0</v>
      </c>
      <c r="P780" s="2">
        <f>_xlfn.XLOOKUP($A780,'[1]LISTA ETIQUETAS'!$O:$O,'[1]LISTA ETIQUETAS'!D:D,"",0)</f>
        <v>0</v>
      </c>
      <c r="Q780" s="2">
        <f>_xlfn.XLOOKUP($A780,'[1]LISTA ETIQUETAS'!$O:$O,'[1]LISTA ETIQUETAS'!E:E,"",0)</f>
        <v>0</v>
      </c>
      <c r="R780" s="2">
        <f>_xlfn.XLOOKUP($A780,'[1]LISTA ETIQUETAS'!$O:$O,'[1]LISTA ETIQUETAS'!F:F,"",0)</f>
        <v>1</v>
      </c>
      <c r="S780" s="2">
        <f>_xlfn.XLOOKUP($A780,'[1]LISTA ETIQUETAS'!$O:$O,'[1]LISTA ETIQUETAS'!H:H,"",0)</f>
        <v>1</v>
      </c>
      <c r="T780" s="9">
        <f t="shared" si="38"/>
        <v>2</v>
      </c>
    </row>
    <row r="781" spans="1:20" x14ac:dyDescent="0.25">
      <c r="A781" s="5">
        <v>388726</v>
      </c>
      <c r="B781" t="str">
        <f>IFERROR((VLOOKUP(A781,'[1]LISTA ETIQUETAS'!O:X,3,0)),"PRODUTO SEM ESTOQUE")</f>
        <v>EST POLTRONA MUXA (MAD A MUIRACATIARA PU) TC ANGOLA BEIGE</v>
      </c>
      <c r="C781" s="10" t="s">
        <v>91</v>
      </c>
      <c r="D781" s="10" t="s">
        <v>497</v>
      </c>
      <c r="E781" s="11">
        <f>IF(VLOOKUP(A781,'[1]LISTA ETIQUETAS'!O:W,4,0)="",(VLOOKUP(A781,'[1]LISTA ETIQUETAS'!O:W,6,0)),(VLOOKUP(A781,'[1]LISTA ETIQUETAS'!O:W,4,0)))</f>
        <v>0.97</v>
      </c>
      <c r="F781" s="11">
        <f>IF(VLOOKUP(A781,'[1]LISTA ETIQUETAS'!O:W,5,0)="",(VLOOKUP(A781,'[1]LISTA ETIQUETAS'!O:W,7,0)),(VLOOKUP(A781,'[1]LISTA ETIQUETAS'!O:W,5,0)))</f>
        <v>0.93</v>
      </c>
      <c r="G781" s="11">
        <f>IFERROR((VLOOKUP(A781,'[1]LISTA ETIQUETAS'!O:X,8,0)),"")</f>
        <v>0.69</v>
      </c>
      <c r="H781" s="11">
        <f>IFERROR((VLOOKUP(A781,'[1]LISTA ETIQUETAS'!O:X,9,0)),"")</f>
        <v>0</v>
      </c>
      <c r="I781" s="12">
        <f>IFERROR((VLOOKUP(A781,'[1]LISTA ETIQUETAS'!O:Y,11,0)),"")</f>
        <v>39882.991999999998</v>
      </c>
      <c r="J781" s="6">
        <v>0</v>
      </c>
      <c r="K781" s="12">
        <f t="shared" si="36"/>
        <v>39882.991999999998</v>
      </c>
      <c r="L781" s="7" t="str">
        <f>IF(VLOOKUP(A781,'[1]LISTA ETIQUETAS'!O:AB,14,0)="","",(VLOOKUP(A781,'[1]LISTA ETIQUETAS'!O:AB,14,0)))</f>
        <v/>
      </c>
      <c r="M781" s="8"/>
      <c r="N781" s="9">
        <f t="shared" si="37"/>
        <v>388726</v>
      </c>
      <c r="O781" s="2">
        <f>_xlfn.XLOOKUP($A781,'[1]LISTA ETIQUETAS'!$O:$O,'[1]LISTA ETIQUETAS'!C:C,"",0)</f>
        <v>0</v>
      </c>
      <c r="P781" s="2">
        <f>_xlfn.XLOOKUP($A781,'[1]LISTA ETIQUETAS'!$O:$O,'[1]LISTA ETIQUETAS'!D:D,"",0)</f>
        <v>0</v>
      </c>
      <c r="Q781" s="2">
        <f>_xlfn.XLOOKUP($A781,'[1]LISTA ETIQUETAS'!$O:$O,'[1]LISTA ETIQUETAS'!E:E,"",0)</f>
        <v>0</v>
      </c>
      <c r="R781" s="2">
        <f>_xlfn.XLOOKUP($A781,'[1]LISTA ETIQUETAS'!$O:$O,'[1]LISTA ETIQUETAS'!F:F,"",0)</f>
        <v>0</v>
      </c>
      <c r="S781" s="2">
        <f>_xlfn.XLOOKUP($A781,'[1]LISTA ETIQUETAS'!$O:$O,'[1]LISTA ETIQUETAS'!H:H,"",0)</f>
        <v>2</v>
      </c>
      <c r="T781" s="9">
        <f t="shared" si="38"/>
        <v>2</v>
      </c>
    </row>
    <row r="782" spans="1:20" x14ac:dyDescent="0.25">
      <c r="A782" s="5">
        <v>379528</v>
      </c>
      <c r="B782" t="str">
        <f>IFERROR((VLOOKUP(A782,'[1]LISTA ETIQUETAS'!O:X,3,0)),"PRODUTO SEM ESTOQUE")</f>
        <v>EST POLTRONA MONDRIAN (MISTO) (C2 KURK/CARV BR) (C1 CREME)</v>
      </c>
      <c r="C782" s="10" t="s">
        <v>91</v>
      </c>
      <c r="D782" s="10" t="s">
        <v>495</v>
      </c>
      <c r="E782" s="11">
        <f>IF(VLOOKUP(A782,'[1]LISTA ETIQUETAS'!O:W,4,0)="",(VLOOKUP(A782,'[1]LISTA ETIQUETAS'!O:W,6,0)),(VLOOKUP(A782,'[1]LISTA ETIQUETAS'!O:W,4,0)))</f>
        <v>0.98</v>
      </c>
      <c r="F782" s="11">
        <f>IF(VLOOKUP(A782,'[1]LISTA ETIQUETAS'!O:W,5,0)="",(VLOOKUP(A782,'[1]LISTA ETIQUETAS'!O:W,7,0)),(VLOOKUP(A782,'[1]LISTA ETIQUETAS'!O:W,5,0)))</f>
        <v>1.05</v>
      </c>
      <c r="G782" s="11">
        <f>IFERROR((VLOOKUP(A782,'[1]LISTA ETIQUETAS'!O:X,8,0)),"")</f>
        <v>0.81</v>
      </c>
      <c r="H782" s="11">
        <f>IFERROR((VLOOKUP(A782,'[1]LISTA ETIQUETAS'!O:X,9,0)),"")</f>
        <v>0</v>
      </c>
      <c r="I782" s="12">
        <f>IFERROR((VLOOKUP(A782,'[1]LISTA ETIQUETAS'!O:Y,11,0)),"")</f>
        <v>72154.3</v>
      </c>
      <c r="J782" s="6">
        <v>0</v>
      </c>
      <c r="K782" s="12">
        <f t="shared" si="36"/>
        <v>72154.3</v>
      </c>
      <c r="L782" s="7" t="str">
        <f>IF(VLOOKUP(A782,'[1]LISTA ETIQUETAS'!O:AB,14,0)="","",(VLOOKUP(A782,'[1]LISTA ETIQUETAS'!O:AB,14,0)))</f>
        <v/>
      </c>
      <c r="M782" s="8"/>
      <c r="N782" s="9">
        <f t="shared" si="37"/>
        <v>379528</v>
      </c>
      <c r="O782" s="2">
        <f>_xlfn.XLOOKUP($A782,'[1]LISTA ETIQUETAS'!$O:$O,'[1]LISTA ETIQUETAS'!C:C,"",0)</f>
        <v>0</v>
      </c>
      <c r="P782" s="2">
        <f>_xlfn.XLOOKUP($A782,'[1]LISTA ETIQUETAS'!$O:$O,'[1]LISTA ETIQUETAS'!D:D,"",0)</f>
        <v>0</v>
      </c>
      <c r="Q782" s="2">
        <f>_xlfn.XLOOKUP($A782,'[1]LISTA ETIQUETAS'!$O:$O,'[1]LISTA ETIQUETAS'!E:E,"",0)</f>
        <v>0</v>
      </c>
      <c r="R782" s="2">
        <f>_xlfn.XLOOKUP($A782,'[1]LISTA ETIQUETAS'!$O:$O,'[1]LISTA ETIQUETAS'!F:F,"",0)</f>
        <v>0</v>
      </c>
      <c r="S782" s="2">
        <f>_xlfn.XLOOKUP($A782,'[1]LISTA ETIQUETAS'!$O:$O,'[1]LISTA ETIQUETAS'!H:H,"",0)</f>
        <v>1</v>
      </c>
      <c r="T782" s="9">
        <f t="shared" si="38"/>
        <v>1</v>
      </c>
    </row>
    <row r="783" spans="1:20" x14ac:dyDescent="0.25">
      <c r="A783" s="5">
        <v>379023</v>
      </c>
      <c r="B783" t="str">
        <f>IFERROR((VLOOKUP(A783,'[1]LISTA ETIQUETAS'!O:X,3,0)),"PRODUTO SEM ESTOQUE")</f>
        <v>EST POLTRONA GALAPAGOS (MST) (TP3 E COGNAC) (TP4 C TABACO)</v>
      </c>
      <c r="C783" s="10" t="s">
        <v>91</v>
      </c>
      <c r="D783" s="10" t="s">
        <v>498</v>
      </c>
      <c r="E783" s="11">
        <f>IF(VLOOKUP(A783,'[1]LISTA ETIQUETAS'!O:W,4,0)="",(VLOOKUP(A783,'[1]LISTA ETIQUETAS'!O:W,6,0)),(VLOOKUP(A783,'[1]LISTA ETIQUETAS'!O:W,4,0)))</f>
        <v>0.85</v>
      </c>
      <c r="F783" s="11">
        <f>IF(VLOOKUP(A783,'[1]LISTA ETIQUETAS'!O:W,5,0)="",(VLOOKUP(A783,'[1]LISTA ETIQUETAS'!O:W,7,0)),(VLOOKUP(A783,'[1]LISTA ETIQUETAS'!O:W,5,0)))</f>
        <v>0.92</v>
      </c>
      <c r="G783" s="11">
        <f>IFERROR((VLOOKUP(A783,'[1]LISTA ETIQUETAS'!O:X,8,0)),"")</f>
        <v>0.8</v>
      </c>
      <c r="H783" s="11">
        <f>IFERROR((VLOOKUP(A783,'[1]LISTA ETIQUETAS'!O:X,9,0)),"")</f>
        <v>0</v>
      </c>
      <c r="I783" s="12">
        <f>IFERROR((VLOOKUP(A783,'[1]LISTA ETIQUETAS'!O:Y,11,0)),"")</f>
        <v>25108.43</v>
      </c>
      <c r="J783" s="6">
        <v>0</v>
      </c>
      <c r="K783" s="12">
        <f t="shared" si="36"/>
        <v>25108.43</v>
      </c>
      <c r="L783" s="7" t="str">
        <f>IF(VLOOKUP(A783,'[1]LISTA ETIQUETAS'!O:AB,14,0)="","",(VLOOKUP(A783,'[1]LISTA ETIQUETAS'!O:AB,14,0)))</f>
        <v/>
      </c>
      <c r="M783" s="8"/>
      <c r="N783" s="9">
        <f t="shared" si="37"/>
        <v>379023</v>
      </c>
      <c r="O783" s="2">
        <f>_xlfn.XLOOKUP($A783,'[1]LISTA ETIQUETAS'!$O:$O,'[1]LISTA ETIQUETAS'!C:C,"",0)</f>
        <v>0</v>
      </c>
      <c r="P783" s="2">
        <f>_xlfn.XLOOKUP($A783,'[1]LISTA ETIQUETAS'!$O:$O,'[1]LISTA ETIQUETAS'!D:D,"",0)</f>
        <v>0</v>
      </c>
      <c r="Q783" s="2">
        <f>_xlfn.XLOOKUP($A783,'[1]LISTA ETIQUETAS'!$O:$O,'[1]LISTA ETIQUETAS'!E:E,"",0)</f>
        <v>0</v>
      </c>
      <c r="R783" s="2">
        <f>_xlfn.XLOOKUP($A783,'[1]LISTA ETIQUETAS'!$O:$O,'[1]LISTA ETIQUETAS'!F:F,"",0)</f>
        <v>0</v>
      </c>
      <c r="S783" s="2">
        <f>_xlfn.XLOOKUP($A783,'[1]LISTA ETIQUETAS'!$O:$O,'[1]LISTA ETIQUETAS'!H:H,"",0)</f>
        <v>2</v>
      </c>
      <c r="T783" s="9">
        <f t="shared" si="38"/>
        <v>2</v>
      </c>
    </row>
    <row r="784" spans="1:20" x14ac:dyDescent="0.25">
      <c r="A784" s="5">
        <v>379022</v>
      </c>
      <c r="B784" t="str">
        <f>IFERROR((VLOOKUP(A784,'[1]LISTA ETIQUETAS'!O:X,3,0)),"PRODUTO SEM ESTOQUE")</f>
        <v>EST POLTRONA GALAPAGOS (MST) (TP2 G SILVESTRE) (TP4 C MUSGO)</v>
      </c>
      <c r="C784" s="10" t="s">
        <v>91</v>
      </c>
      <c r="D784" s="10" t="s">
        <v>498</v>
      </c>
      <c r="E784" s="11">
        <f>IF(VLOOKUP(A784,'[1]LISTA ETIQUETAS'!O:W,4,0)="",(VLOOKUP(A784,'[1]LISTA ETIQUETAS'!O:W,6,0)),(VLOOKUP(A784,'[1]LISTA ETIQUETAS'!O:W,4,0)))</f>
        <v>0.85</v>
      </c>
      <c r="F784" s="11">
        <f>IF(VLOOKUP(A784,'[1]LISTA ETIQUETAS'!O:W,5,0)="",(VLOOKUP(A784,'[1]LISTA ETIQUETAS'!O:W,7,0)),(VLOOKUP(A784,'[1]LISTA ETIQUETAS'!O:W,5,0)))</f>
        <v>0.92</v>
      </c>
      <c r="G784" s="11">
        <f>IFERROR((VLOOKUP(A784,'[1]LISTA ETIQUETAS'!O:X,8,0)),"")</f>
        <v>0.8</v>
      </c>
      <c r="H784" s="11">
        <f>IFERROR((VLOOKUP(A784,'[1]LISTA ETIQUETAS'!O:X,9,0)),"")</f>
        <v>0</v>
      </c>
      <c r="I784" s="12">
        <f>IFERROR((VLOOKUP(A784,'[1]LISTA ETIQUETAS'!O:Y,11,0)),"")</f>
        <v>25108.43</v>
      </c>
      <c r="J784" s="6">
        <v>0</v>
      </c>
      <c r="K784" s="12">
        <f t="shared" si="36"/>
        <v>25108.43</v>
      </c>
      <c r="L784" s="7" t="str">
        <f>IF(VLOOKUP(A784,'[1]LISTA ETIQUETAS'!O:AB,14,0)="","",(VLOOKUP(A784,'[1]LISTA ETIQUETAS'!O:AB,14,0)))</f>
        <v/>
      </c>
      <c r="M784" s="8"/>
      <c r="N784" s="9">
        <f t="shared" si="37"/>
        <v>379022</v>
      </c>
      <c r="O784" s="2">
        <f>_xlfn.XLOOKUP($A784,'[1]LISTA ETIQUETAS'!$O:$O,'[1]LISTA ETIQUETAS'!C:C,"",0)</f>
        <v>0</v>
      </c>
      <c r="P784" s="2">
        <f>_xlfn.XLOOKUP($A784,'[1]LISTA ETIQUETAS'!$O:$O,'[1]LISTA ETIQUETAS'!D:D,"",0)</f>
        <v>0</v>
      </c>
      <c r="Q784" s="2">
        <f>_xlfn.XLOOKUP($A784,'[1]LISTA ETIQUETAS'!$O:$O,'[1]LISTA ETIQUETAS'!E:E,"",0)</f>
        <v>0</v>
      </c>
      <c r="R784" s="2">
        <f>_xlfn.XLOOKUP($A784,'[1]LISTA ETIQUETAS'!$O:$O,'[1]LISTA ETIQUETAS'!F:F,"",0)</f>
        <v>0</v>
      </c>
      <c r="S784" s="2">
        <f>_xlfn.XLOOKUP($A784,'[1]LISTA ETIQUETAS'!$O:$O,'[1]LISTA ETIQUETAS'!H:H,"",0)</f>
        <v>1</v>
      </c>
      <c r="T784" s="9">
        <f t="shared" si="38"/>
        <v>1</v>
      </c>
    </row>
    <row r="785" spans="1:20" x14ac:dyDescent="0.25">
      <c r="A785" s="5">
        <v>379020</v>
      </c>
      <c r="B785" t="str">
        <f>IFERROR((VLOOKUP(A785,'[1]LISTA ETIQUETAS'!O:X,3,0)),"PRODUTO SEM ESTOQUE")</f>
        <v>EST POLTRONA GALAPAGOS (COURO TP2 PROMO GRANO SANDSTORM)</v>
      </c>
      <c r="C785" s="10" t="s">
        <v>91</v>
      </c>
      <c r="D785" s="10" t="s">
        <v>498</v>
      </c>
      <c r="E785" s="11">
        <f>IF(VLOOKUP(A785,'[1]LISTA ETIQUETAS'!O:W,4,0)="",(VLOOKUP(A785,'[1]LISTA ETIQUETAS'!O:W,6,0)),(VLOOKUP(A785,'[1]LISTA ETIQUETAS'!O:W,4,0)))</f>
        <v>0.85</v>
      </c>
      <c r="F785" s="11">
        <f>IF(VLOOKUP(A785,'[1]LISTA ETIQUETAS'!O:W,5,0)="",(VLOOKUP(A785,'[1]LISTA ETIQUETAS'!O:W,7,0)),(VLOOKUP(A785,'[1]LISTA ETIQUETAS'!O:W,5,0)))</f>
        <v>0.92</v>
      </c>
      <c r="G785" s="11">
        <f>IFERROR((VLOOKUP(A785,'[1]LISTA ETIQUETAS'!O:X,8,0)),"")</f>
        <v>0.8</v>
      </c>
      <c r="H785" s="11">
        <f>IFERROR((VLOOKUP(A785,'[1]LISTA ETIQUETAS'!O:X,9,0)),"")</f>
        <v>0</v>
      </c>
      <c r="I785" s="12">
        <f>IFERROR((VLOOKUP(A785,'[1]LISTA ETIQUETAS'!O:Y,11,0)),"")</f>
        <v>21164.1</v>
      </c>
      <c r="J785" s="6">
        <v>0</v>
      </c>
      <c r="K785" s="12">
        <f t="shared" si="36"/>
        <v>21164.1</v>
      </c>
      <c r="L785" s="7" t="str">
        <f>IF(VLOOKUP(A785,'[1]LISTA ETIQUETAS'!O:AB,14,0)="","",(VLOOKUP(A785,'[1]LISTA ETIQUETAS'!O:AB,14,0)))</f>
        <v/>
      </c>
      <c r="M785" s="8"/>
      <c r="N785" s="9">
        <f t="shared" si="37"/>
        <v>379020</v>
      </c>
      <c r="O785" s="2">
        <f>_xlfn.XLOOKUP($A785,'[1]LISTA ETIQUETAS'!$O:$O,'[1]LISTA ETIQUETAS'!C:C,"",0)</f>
        <v>0</v>
      </c>
      <c r="P785" s="2">
        <f>_xlfn.XLOOKUP($A785,'[1]LISTA ETIQUETAS'!$O:$O,'[1]LISTA ETIQUETAS'!D:D,"",0)</f>
        <v>0</v>
      </c>
      <c r="Q785" s="2">
        <f>_xlfn.XLOOKUP($A785,'[1]LISTA ETIQUETAS'!$O:$O,'[1]LISTA ETIQUETAS'!E:E,"",0)</f>
        <v>0</v>
      </c>
      <c r="R785" s="2">
        <f>_xlfn.XLOOKUP($A785,'[1]LISTA ETIQUETAS'!$O:$O,'[1]LISTA ETIQUETAS'!F:F,"",0)</f>
        <v>0</v>
      </c>
      <c r="S785" s="2">
        <f>_xlfn.XLOOKUP($A785,'[1]LISTA ETIQUETAS'!$O:$O,'[1]LISTA ETIQUETAS'!H:H,"",0)</f>
        <v>1</v>
      </c>
      <c r="T785" s="9">
        <f t="shared" si="38"/>
        <v>1</v>
      </c>
    </row>
    <row r="786" spans="1:20" x14ac:dyDescent="0.25">
      <c r="A786" s="5">
        <v>365801</v>
      </c>
      <c r="B786" t="str">
        <f>IFERROR((VLOOKUP(A786,'[1]LISTA ETIQUETAS'!O:X,3,0)),"PRODUTO SEM ESTOQUE")</f>
        <v>EST POLTRONA CACAU TC V8001 (BRACO LADO DIREITO)</v>
      </c>
      <c r="C786" s="10" t="s">
        <v>91</v>
      </c>
      <c r="D786" s="10" t="s">
        <v>490</v>
      </c>
      <c r="E786" s="11">
        <f>IF(VLOOKUP(A786,'[1]LISTA ETIQUETAS'!O:W,4,0)="",(VLOOKUP(A786,'[1]LISTA ETIQUETAS'!O:W,6,0)),(VLOOKUP(A786,'[1]LISTA ETIQUETAS'!O:W,4,0)))</f>
        <v>1.27</v>
      </c>
      <c r="F786" s="11">
        <f>IF(VLOOKUP(A786,'[1]LISTA ETIQUETAS'!O:W,5,0)="",(VLOOKUP(A786,'[1]LISTA ETIQUETAS'!O:W,7,0)),(VLOOKUP(A786,'[1]LISTA ETIQUETAS'!O:W,5,0)))</f>
        <v>0.93</v>
      </c>
      <c r="G786" s="11">
        <f>IFERROR((VLOOKUP(A786,'[1]LISTA ETIQUETAS'!O:X,8,0)),"")</f>
        <v>0.74</v>
      </c>
      <c r="H786" s="11">
        <f>IFERROR((VLOOKUP(A786,'[1]LISTA ETIQUETAS'!O:X,9,0)),"")</f>
        <v>0</v>
      </c>
      <c r="I786" s="12">
        <f>IFERROR((VLOOKUP(A786,'[1]LISTA ETIQUETAS'!O:Y,11,0)),"")</f>
        <v>23254.07</v>
      </c>
      <c r="J786" s="6">
        <v>0</v>
      </c>
      <c r="K786" s="12">
        <f t="shared" si="36"/>
        <v>23254.07</v>
      </c>
      <c r="L786" s="7" t="str">
        <f>IF(VLOOKUP(A786,'[1]LISTA ETIQUETAS'!O:AB,14,0)="","",(VLOOKUP(A786,'[1]LISTA ETIQUETAS'!O:AB,14,0)))</f>
        <v/>
      </c>
      <c r="M786" s="8"/>
      <c r="N786" s="9">
        <f t="shared" si="37"/>
        <v>365801</v>
      </c>
      <c r="O786" s="2">
        <f>_xlfn.XLOOKUP($A786,'[1]LISTA ETIQUETAS'!$O:$O,'[1]LISTA ETIQUETAS'!C:C,"",0)</f>
        <v>0</v>
      </c>
      <c r="P786" s="2">
        <f>_xlfn.XLOOKUP($A786,'[1]LISTA ETIQUETAS'!$O:$O,'[1]LISTA ETIQUETAS'!D:D,"",0)</f>
        <v>0</v>
      </c>
      <c r="Q786" s="2">
        <f>_xlfn.XLOOKUP($A786,'[1]LISTA ETIQUETAS'!$O:$O,'[1]LISTA ETIQUETAS'!E:E,"",0)</f>
        <v>0</v>
      </c>
      <c r="R786" s="2">
        <f>_xlfn.XLOOKUP($A786,'[1]LISTA ETIQUETAS'!$O:$O,'[1]LISTA ETIQUETAS'!F:F,"",0)</f>
        <v>0</v>
      </c>
      <c r="S786" s="2">
        <f>_xlfn.XLOOKUP($A786,'[1]LISTA ETIQUETAS'!$O:$O,'[1]LISTA ETIQUETAS'!H:H,"",0)</f>
        <v>1</v>
      </c>
      <c r="T786" s="9">
        <f t="shared" si="38"/>
        <v>1</v>
      </c>
    </row>
    <row r="787" spans="1:20" x14ac:dyDescent="0.25">
      <c r="A787" s="5">
        <v>364605</v>
      </c>
      <c r="B787" t="str">
        <f>IFERROR((VLOOKUP(A787,'[1]LISTA ETIQUETAS'!O:X,3,0)),"PRODUTO SEM ESTOQUE")</f>
        <v>EST POLTRONA AGHATA PLUS (GIRATORIA) (MTX PRETO) FX F6069</v>
      </c>
      <c r="C787" s="10" t="s">
        <v>91</v>
      </c>
      <c r="D787" s="10" t="s">
        <v>499</v>
      </c>
      <c r="E787" s="11">
        <f>IF(VLOOKUP(A787,'[1]LISTA ETIQUETAS'!O:W,4,0)="",(VLOOKUP(A787,'[1]LISTA ETIQUETAS'!O:W,6,0)),(VLOOKUP(A787,'[1]LISTA ETIQUETAS'!O:W,4,0)))</f>
        <v>0.68</v>
      </c>
      <c r="F787" s="11">
        <f>IF(VLOOKUP(A787,'[1]LISTA ETIQUETAS'!O:W,5,0)="",(VLOOKUP(A787,'[1]LISTA ETIQUETAS'!O:W,7,0)),(VLOOKUP(A787,'[1]LISTA ETIQUETAS'!O:W,5,0)))</f>
        <v>0.8</v>
      </c>
      <c r="G787" s="11">
        <f>IFERROR((VLOOKUP(A787,'[1]LISTA ETIQUETAS'!O:X,8,0)),"")</f>
        <v>0.76</v>
      </c>
      <c r="H787" s="11">
        <f>IFERROR((VLOOKUP(A787,'[1]LISTA ETIQUETAS'!O:X,9,0)),"")</f>
        <v>0</v>
      </c>
      <c r="I787" s="12">
        <f>IFERROR((VLOOKUP(A787,'[1]LISTA ETIQUETAS'!O:Y,11,0)),"")</f>
        <v>10330.52</v>
      </c>
      <c r="J787" s="6">
        <v>0</v>
      </c>
      <c r="K787" s="12">
        <f t="shared" si="36"/>
        <v>10330.52</v>
      </c>
      <c r="L787" s="7" t="str">
        <f>IF(VLOOKUP(A787,'[1]LISTA ETIQUETAS'!O:AB,14,0)="","",(VLOOKUP(A787,'[1]LISTA ETIQUETAS'!O:AB,14,0)))</f>
        <v/>
      </c>
      <c r="M787" s="8"/>
      <c r="N787" s="9">
        <f t="shared" si="37"/>
        <v>364605</v>
      </c>
      <c r="O787" s="2">
        <f>_xlfn.XLOOKUP($A787,'[1]LISTA ETIQUETAS'!$O:$O,'[1]LISTA ETIQUETAS'!C:C,"",0)</f>
        <v>0</v>
      </c>
      <c r="P787" s="2">
        <f>_xlfn.XLOOKUP($A787,'[1]LISTA ETIQUETAS'!$O:$O,'[1]LISTA ETIQUETAS'!D:D,"",0)</f>
        <v>0</v>
      </c>
      <c r="Q787" s="2">
        <f>_xlfn.XLOOKUP($A787,'[1]LISTA ETIQUETAS'!$O:$O,'[1]LISTA ETIQUETAS'!E:E,"",0)</f>
        <v>1</v>
      </c>
      <c r="R787" s="2">
        <f>_xlfn.XLOOKUP($A787,'[1]LISTA ETIQUETAS'!$O:$O,'[1]LISTA ETIQUETAS'!F:F,"",0)</f>
        <v>0</v>
      </c>
      <c r="S787" s="2">
        <f>_xlfn.XLOOKUP($A787,'[1]LISTA ETIQUETAS'!$O:$O,'[1]LISTA ETIQUETAS'!H:H,"",0)</f>
        <v>1</v>
      </c>
      <c r="T787" s="9">
        <f t="shared" si="38"/>
        <v>2</v>
      </c>
    </row>
    <row r="788" spans="1:20" x14ac:dyDescent="0.25">
      <c r="A788" s="5">
        <v>362425</v>
      </c>
      <c r="B788" t="str">
        <f>IFERROR((VLOOKUP(A788,'[1]LISTA ETIQUETAS'!O:X,3,0)),"PRODUTO SEM ESTOQUE")</f>
        <v>EST POLTRONA BUBA (TC CURATOR 136195 COR 166)</v>
      </c>
      <c r="C788" s="10" t="s">
        <v>91</v>
      </c>
      <c r="D788" s="10" t="s">
        <v>500</v>
      </c>
      <c r="E788" s="11">
        <f>IF(VLOOKUP(A788,'[1]LISTA ETIQUETAS'!O:W,4,0)="",(VLOOKUP(A788,'[1]LISTA ETIQUETAS'!O:W,6,0)),(VLOOKUP(A788,'[1]LISTA ETIQUETAS'!O:W,4,0)))</f>
        <v>1.05</v>
      </c>
      <c r="F788" s="11">
        <f>IF(VLOOKUP(A788,'[1]LISTA ETIQUETAS'!O:W,5,0)="",(VLOOKUP(A788,'[1]LISTA ETIQUETAS'!O:W,7,0)),(VLOOKUP(A788,'[1]LISTA ETIQUETAS'!O:W,5,0)))</f>
        <v>1</v>
      </c>
      <c r="G788" s="11">
        <f>IFERROR((VLOOKUP(A788,'[1]LISTA ETIQUETAS'!O:X,8,0)),"")</f>
        <v>0.74</v>
      </c>
      <c r="H788" s="11">
        <f>IFERROR((VLOOKUP(A788,'[1]LISTA ETIQUETAS'!O:X,9,0)),"")</f>
        <v>0</v>
      </c>
      <c r="I788" s="12">
        <f>IFERROR((VLOOKUP(A788,'[1]LISTA ETIQUETAS'!O:Y,11,0)),"")</f>
        <v>29586.37</v>
      </c>
      <c r="J788" s="6">
        <v>0</v>
      </c>
      <c r="K788" s="12">
        <f t="shared" si="36"/>
        <v>29586.37</v>
      </c>
      <c r="L788" s="7" t="str">
        <f>IF(VLOOKUP(A788,'[1]LISTA ETIQUETAS'!O:AB,14,0)="","",(VLOOKUP(A788,'[1]LISTA ETIQUETAS'!O:AB,14,0)))</f>
        <v/>
      </c>
      <c r="M788" s="8"/>
      <c r="N788" s="9">
        <f t="shared" si="37"/>
        <v>362425</v>
      </c>
      <c r="O788" s="2">
        <f>_xlfn.XLOOKUP($A788,'[1]LISTA ETIQUETAS'!$O:$O,'[1]LISTA ETIQUETAS'!C:C,"",0)</f>
        <v>0</v>
      </c>
      <c r="P788" s="2">
        <f>_xlfn.XLOOKUP($A788,'[1]LISTA ETIQUETAS'!$O:$O,'[1]LISTA ETIQUETAS'!D:D,"",0)</f>
        <v>0</v>
      </c>
      <c r="Q788" s="2">
        <f>_xlfn.XLOOKUP($A788,'[1]LISTA ETIQUETAS'!$O:$O,'[1]LISTA ETIQUETAS'!E:E,"",0)</f>
        <v>0</v>
      </c>
      <c r="R788" s="2">
        <f>_xlfn.XLOOKUP($A788,'[1]LISTA ETIQUETAS'!$O:$O,'[1]LISTA ETIQUETAS'!F:F,"",0)</f>
        <v>0</v>
      </c>
      <c r="S788" s="2">
        <f>_xlfn.XLOOKUP($A788,'[1]LISTA ETIQUETAS'!$O:$O,'[1]LISTA ETIQUETAS'!H:H,"",0)</f>
        <v>1</v>
      </c>
      <c r="T788" s="9">
        <f t="shared" si="38"/>
        <v>1</v>
      </c>
    </row>
    <row r="789" spans="1:20" x14ac:dyDescent="0.25">
      <c r="A789" s="5">
        <v>330635</v>
      </c>
      <c r="B789" t="str">
        <f>IFERROR((VLOOKUP(A789,'[1]LISTA ETIQUETAS'!O:X,3,0)),"PRODUTO SEM ESTOQUE")</f>
        <v>EST POLTRONA CACAU TC N2063 (BRACO LADO DIREITO)</v>
      </c>
      <c r="C789" s="10" t="s">
        <v>91</v>
      </c>
      <c r="D789" s="10" t="s">
        <v>490</v>
      </c>
      <c r="E789" s="11">
        <f>IF(VLOOKUP(A789,'[1]LISTA ETIQUETAS'!O:W,4,0)="",(VLOOKUP(A789,'[1]LISTA ETIQUETAS'!O:W,6,0)),(VLOOKUP(A789,'[1]LISTA ETIQUETAS'!O:W,4,0)))</f>
        <v>1.27</v>
      </c>
      <c r="F789" s="11">
        <f>IF(VLOOKUP(A789,'[1]LISTA ETIQUETAS'!O:W,5,0)="",(VLOOKUP(A789,'[1]LISTA ETIQUETAS'!O:W,7,0)),(VLOOKUP(A789,'[1]LISTA ETIQUETAS'!O:W,5,0)))</f>
        <v>0.93</v>
      </c>
      <c r="G789" s="11">
        <f>IFERROR((VLOOKUP(A789,'[1]LISTA ETIQUETAS'!O:X,8,0)),"")</f>
        <v>0.74</v>
      </c>
      <c r="H789" s="11">
        <f>IFERROR((VLOOKUP(A789,'[1]LISTA ETIQUETAS'!O:X,9,0)),"")</f>
        <v>0</v>
      </c>
      <c r="I789" s="12">
        <f>IFERROR((VLOOKUP(A789,'[1]LISTA ETIQUETAS'!O:Y,11,0)),"")</f>
        <v>21825.040000000001</v>
      </c>
      <c r="J789" s="6">
        <v>0</v>
      </c>
      <c r="K789" s="12">
        <f t="shared" si="36"/>
        <v>21825.040000000001</v>
      </c>
      <c r="L789" s="7" t="str">
        <f>IF(VLOOKUP(A789,'[1]LISTA ETIQUETAS'!O:AB,14,0)="","",(VLOOKUP(A789,'[1]LISTA ETIQUETAS'!O:AB,14,0)))</f>
        <v/>
      </c>
      <c r="M789" s="8"/>
      <c r="N789" s="9">
        <f t="shared" si="37"/>
        <v>330635</v>
      </c>
      <c r="O789" s="2">
        <f>_xlfn.XLOOKUP($A789,'[1]LISTA ETIQUETAS'!$O:$O,'[1]LISTA ETIQUETAS'!C:C,"",0)</f>
        <v>0</v>
      </c>
      <c r="P789" s="2">
        <f>_xlfn.XLOOKUP($A789,'[1]LISTA ETIQUETAS'!$O:$O,'[1]LISTA ETIQUETAS'!D:D,"",0)</f>
        <v>0</v>
      </c>
      <c r="Q789" s="2">
        <f>_xlfn.XLOOKUP($A789,'[1]LISTA ETIQUETAS'!$O:$O,'[1]LISTA ETIQUETAS'!E:E,"",0)</f>
        <v>0</v>
      </c>
      <c r="R789" s="2">
        <f>_xlfn.XLOOKUP($A789,'[1]LISTA ETIQUETAS'!$O:$O,'[1]LISTA ETIQUETAS'!F:F,"",0)</f>
        <v>0</v>
      </c>
      <c r="S789" s="2">
        <f>_xlfn.XLOOKUP($A789,'[1]LISTA ETIQUETAS'!$O:$O,'[1]LISTA ETIQUETAS'!H:H,"",0)</f>
        <v>1</v>
      </c>
      <c r="T789" s="9">
        <f t="shared" si="38"/>
        <v>1</v>
      </c>
    </row>
    <row r="790" spans="1:20" x14ac:dyDescent="0.25">
      <c r="A790" s="5">
        <v>335325</v>
      </c>
      <c r="B790" t="str">
        <f>IFERROR((VLOOKUP(A790,'[1]LISTA ETIQUETAS'!O:X,3,0)),"PRODUTO SEM ESTOQUE")</f>
        <v>EST POLTRONA HARRY (GIRATORIA) FX B2171</v>
      </c>
      <c r="C790" s="10" t="s">
        <v>91</v>
      </c>
      <c r="D790" s="10" t="s">
        <v>493</v>
      </c>
      <c r="E790" s="11">
        <f>IF(VLOOKUP(A790,'[1]LISTA ETIQUETAS'!O:W,4,0)="",(VLOOKUP(A790,'[1]LISTA ETIQUETAS'!O:W,6,0)),(VLOOKUP(A790,'[1]LISTA ETIQUETAS'!O:W,4,0)))</f>
        <v>0.89</v>
      </c>
      <c r="F790" s="11">
        <f>IF(VLOOKUP(A790,'[1]LISTA ETIQUETAS'!O:W,5,0)="",(VLOOKUP(A790,'[1]LISTA ETIQUETAS'!O:W,7,0)),(VLOOKUP(A790,'[1]LISTA ETIQUETAS'!O:W,5,0)))</f>
        <v>0.83</v>
      </c>
      <c r="G790" s="11">
        <f>IFERROR((VLOOKUP(A790,'[1]LISTA ETIQUETAS'!O:X,8,0)),"")</f>
        <v>0.72</v>
      </c>
      <c r="H790" s="11">
        <f>IFERROR((VLOOKUP(A790,'[1]LISTA ETIQUETAS'!O:X,9,0)),"")</f>
        <v>0</v>
      </c>
      <c r="I790" s="12">
        <f>IFERROR((VLOOKUP(A790,'[1]LISTA ETIQUETAS'!O:Y,11,0)),"")</f>
        <v>8599.4</v>
      </c>
      <c r="J790" s="6">
        <v>0</v>
      </c>
      <c r="K790" s="12">
        <f t="shared" si="36"/>
        <v>8599.4</v>
      </c>
      <c r="L790" s="7" t="str">
        <f>IF(VLOOKUP(A790,'[1]LISTA ETIQUETAS'!O:AB,14,0)="","",(VLOOKUP(A790,'[1]LISTA ETIQUETAS'!O:AB,14,0)))</f>
        <v/>
      </c>
      <c r="M790" s="8"/>
      <c r="N790" s="9">
        <f t="shared" si="37"/>
        <v>335325</v>
      </c>
      <c r="O790" s="2">
        <f>_xlfn.XLOOKUP($A790,'[1]LISTA ETIQUETAS'!$O:$O,'[1]LISTA ETIQUETAS'!C:C,"",0)</f>
        <v>0</v>
      </c>
      <c r="P790" s="2">
        <f>_xlfn.XLOOKUP($A790,'[1]LISTA ETIQUETAS'!$O:$O,'[1]LISTA ETIQUETAS'!D:D,"",0)</f>
        <v>0</v>
      </c>
      <c r="Q790" s="2">
        <f>_xlfn.XLOOKUP($A790,'[1]LISTA ETIQUETAS'!$O:$O,'[1]LISTA ETIQUETAS'!E:E,"",0)</f>
        <v>0</v>
      </c>
      <c r="R790" s="2">
        <f>_xlfn.XLOOKUP($A790,'[1]LISTA ETIQUETAS'!$O:$O,'[1]LISTA ETIQUETAS'!F:F,"",0)</f>
        <v>0</v>
      </c>
      <c r="S790" s="2">
        <f>_xlfn.XLOOKUP($A790,'[1]LISTA ETIQUETAS'!$O:$O,'[1]LISTA ETIQUETAS'!H:H,"",0)</f>
        <v>1</v>
      </c>
      <c r="T790" s="9">
        <f t="shared" si="38"/>
        <v>1</v>
      </c>
    </row>
    <row r="791" spans="1:20" x14ac:dyDescent="0.25">
      <c r="A791" s="5">
        <v>334342</v>
      </c>
      <c r="B791" t="str">
        <f>IFERROR((VLOOKUP(A791,'[1]LISTA ETIQUETAS'!O:X,3,0)),"PRODUTO SEM ESTOQUE")</f>
        <v>EST POLTRONA ALE (LAM CARV PT) (TC LISO BRUN GELO) SOLETA PT</v>
      </c>
      <c r="C791" s="10" t="s">
        <v>91</v>
      </c>
      <c r="D791" s="10" t="s">
        <v>501</v>
      </c>
      <c r="E791" s="11">
        <f>IF(VLOOKUP(A791,'[1]LISTA ETIQUETAS'!O:W,4,0)="",(VLOOKUP(A791,'[1]LISTA ETIQUETAS'!O:W,6,0)),(VLOOKUP(A791,'[1]LISTA ETIQUETAS'!O:W,4,0)))</f>
        <v>0.72</v>
      </c>
      <c r="F791" s="11">
        <f>IF(VLOOKUP(A791,'[1]LISTA ETIQUETAS'!O:W,5,0)="",(VLOOKUP(A791,'[1]LISTA ETIQUETAS'!O:W,7,0)),(VLOOKUP(A791,'[1]LISTA ETIQUETAS'!O:W,5,0)))</f>
        <v>0.65</v>
      </c>
      <c r="G791" s="11">
        <f>IFERROR((VLOOKUP(A791,'[1]LISTA ETIQUETAS'!O:X,8,0)),"")</f>
        <v>0.73</v>
      </c>
      <c r="H791" s="11">
        <f>IFERROR((VLOOKUP(A791,'[1]LISTA ETIQUETAS'!O:X,9,0)),"")</f>
        <v>0</v>
      </c>
      <c r="I791" s="12">
        <f>IFERROR((VLOOKUP(A791,'[1]LISTA ETIQUETAS'!O:Y,11,0)),"")</f>
        <v>12498.48</v>
      </c>
      <c r="J791" s="6">
        <v>0</v>
      </c>
      <c r="K791" s="12">
        <f t="shared" si="36"/>
        <v>12498.48</v>
      </c>
      <c r="L791" s="7" t="str">
        <f>IF(VLOOKUP(A791,'[1]LISTA ETIQUETAS'!O:AB,14,0)="","",(VLOOKUP(A791,'[1]LISTA ETIQUETAS'!O:AB,14,0)))</f>
        <v/>
      </c>
      <c r="M791" s="8"/>
      <c r="N791" s="9">
        <f t="shared" si="37"/>
        <v>334342</v>
      </c>
      <c r="O791" s="2">
        <f>_xlfn.XLOOKUP($A791,'[1]LISTA ETIQUETAS'!$O:$O,'[1]LISTA ETIQUETAS'!C:C,"",0)</f>
        <v>0</v>
      </c>
      <c r="P791" s="2">
        <f>_xlfn.XLOOKUP($A791,'[1]LISTA ETIQUETAS'!$O:$O,'[1]LISTA ETIQUETAS'!D:D,"",0)</f>
        <v>0</v>
      </c>
      <c r="Q791" s="2">
        <f>_xlfn.XLOOKUP($A791,'[1]LISTA ETIQUETAS'!$O:$O,'[1]LISTA ETIQUETAS'!E:E,"",0)</f>
        <v>0</v>
      </c>
      <c r="R791" s="2">
        <f>_xlfn.XLOOKUP($A791,'[1]LISTA ETIQUETAS'!$O:$O,'[1]LISTA ETIQUETAS'!F:F,"",0)</f>
        <v>0</v>
      </c>
      <c r="S791" s="2">
        <f>_xlfn.XLOOKUP($A791,'[1]LISTA ETIQUETAS'!$O:$O,'[1]LISTA ETIQUETAS'!H:H,"",0)</f>
        <v>2</v>
      </c>
      <c r="T791" s="9">
        <f t="shared" si="38"/>
        <v>2</v>
      </c>
    </row>
    <row r="792" spans="1:20" x14ac:dyDescent="0.25">
      <c r="A792" s="5">
        <v>328748</v>
      </c>
      <c r="B792" t="str">
        <f>IFERROR((VLOOKUP(A792,'[1]LISTA ETIQUETAS'!O:X,3,0)),"PRODUTO SEM ESTOQUE")</f>
        <v>EST POLTRONA SOFT (BS ELET CORTEN) B0707-024/SOL MARFIM</v>
      </c>
      <c r="C792" s="10" t="s">
        <v>91</v>
      </c>
      <c r="D792" s="10" t="s">
        <v>491</v>
      </c>
      <c r="E792" s="11">
        <f>IF(VLOOKUP(A792,'[1]LISTA ETIQUETAS'!O:W,4,0)="",(VLOOKUP(A792,'[1]LISTA ETIQUETAS'!O:W,6,0)),(VLOOKUP(A792,'[1]LISTA ETIQUETAS'!O:W,4,0)))</f>
        <v>0.87</v>
      </c>
      <c r="F792" s="11">
        <f>IF(VLOOKUP(A792,'[1]LISTA ETIQUETAS'!O:W,5,0)="",(VLOOKUP(A792,'[1]LISTA ETIQUETAS'!O:W,7,0)),(VLOOKUP(A792,'[1]LISTA ETIQUETAS'!O:W,5,0)))</f>
        <v>1.02</v>
      </c>
      <c r="G792" s="11">
        <f>IFERROR((VLOOKUP(A792,'[1]LISTA ETIQUETAS'!O:X,8,0)),"")</f>
        <v>0.8</v>
      </c>
      <c r="H792" s="11">
        <f>IFERROR((VLOOKUP(A792,'[1]LISTA ETIQUETAS'!O:X,9,0)),"")</f>
        <v>0</v>
      </c>
      <c r="I792" s="12">
        <f>IFERROR((VLOOKUP(A792,'[1]LISTA ETIQUETAS'!O:Y,11,0)),"")</f>
        <v>30356.12</v>
      </c>
      <c r="J792" s="6">
        <v>0</v>
      </c>
      <c r="K792" s="12">
        <f t="shared" si="36"/>
        <v>30356.12</v>
      </c>
      <c r="L792" s="7" t="str">
        <f>IF(VLOOKUP(A792,'[1]LISTA ETIQUETAS'!O:AB,14,0)="","",(VLOOKUP(A792,'[1]LISTA ETIQUETAS'!O:AB,14,0)))</f>
        <v/>
      </c>
      <c r="M792" s="8"/>
      <c r="N792" s="9">
        <f t="shared" si="37"/>
        <v>328748</v>
      </c>
      <c r="O792" s="2">
        <f>_xlfn.XLOOKUP($A792,'[1]LISTA ETIQUETAS'!$O:$O,'[1]LISTA ETIQUETAS'!C:C,"",0)</f>
        <v>0</v>
      </c>
      <c r="P792" s="2">
        <f>_xlfn.XLOOKUP($A792,'[1]LISTA ETIQUETAS'!$O:$O,'[1]LISTA ETIQUETAS'!D:D,"",0)</f>
        <v>0</v>
      </c>
      <c r="Q792" s="2">
        <f>_xlfn.XLOOKUP($A792,'[1]LISTA ETIQUETAS'!$O:$O,'[1]LISTA ETIQUETAS'!E:E,"",0)</f>
        <v>1</v>
      </c>
      <c r="R792" s="2">
        <f>_xlfn.XLOOKUP($A792,'[1]LISTA ETIQUETAS'!$O:$O,'[1]LISTA ETIQUETAS'!F:F,"",0)</f>
        <v>0</v>
      </c>
      <c r="S792" s="2">
        <f>_xlfn.XLOOKUP($A792,'[1]LISTA ETIQUETAS'!$O:$O,'[1]LISTA ETIQUETAS'!H:H,"",0)</f>
        <v>1</v>
      </c>
      <c r="T792" s="9">
        <f t="shared" si="38"/>
        <v>2</v>
      </c>
    </row>
    <row r="793" spans="1:20" x14ac:dyDescent="0.25">
      <c r="A793" s="5">
        <v>334203</v>
      </c>
      <c r="B793" t="str">
        <f>IFERROR((VLOOKUP(A793,'[1]LISTA ETIQUETAS'!O:X,3,0)),"PRODUTO SEM ESTOQUE")</f>
        <v>EST POLTRONA MOI (PINTURA PJ) (REC CARAMELO)</v>
      </c>
      <c r="C793" s="10" t="s">
        <v>91</v>
      </c>
      <c r="D793" s="10" t="s">
        <v>502</v>
      </c>
      <c r="E793" s="11">
        <f>IF(VLOOKUP(A793,'[1]LISTA ETIQUETAS'!O:W,4,0)="",(VLOOKUP(A793,'[1]LISTA ETIQUETAS'!O:W,6,0)),(VLOOKUP(A793,'[1]LISTA ETIQUETAS'!O:W,4,0)))</f>
        <v>0.69</v>
      </c>
      <c r="F793" s="11">
        <f>IF(VLOOKUP(A793,'[1]LISTA ETIQUETAS'!O:W,5,0)="",(VLOOKUP(A793,'[1]LISTA ETIQUETAS'!O:W,7,0)),(VLOOKUP(A793,'[1]LISTA ETIQUETAS'!O:W,5,0)))</f>
        <v>0.77</v>
      </c>
      <c r="G793" s="11">
        <f>IFERROR((VLOOKUP(A793,'[1]LISTA ETIQUETAS'!O:X,8,0)),"")</f>
        <v>0.8</v>
      </c>
      <c r="H793" s="11">
        <f>IFERROR((VLOOKUP(A793,'[1]LISTA ETIQUETAS'!O:X,9,0)),"")</f>
        <v>0</v>
      </c>
      <c r="I793" s="12">
        <f>IFERROR((VLOOKUP(A793,'[1]LISTA ETIQUETAS'!O:Y,11,0)),"")</f>
        <v>13346.46</v>
      </c>
      <c r="J793" s="6">
        <v>0</v>
      </c>
      <c r="K793" s="12">
        <f t="shared" si="36"/>
        <v>13346.46</v>
      </c>
      <c r="L793" s="7" t="str">
        <f>IF(VLOOKUP(A793,'[1]LISTA ETIQUETAS'!O:AB,14,0)="","",(VLOOKUP(A793,'[1]LISTA ETIQUETAS'!O:AB,14,0)))</f>
        <v/>
      </c>
      <c r="M793" s="8"/>
      <c r="N793" s="9">
        <f t="shared" si="37"/>
        <v>334203</v>
      </c>
      <c r="O793" s="2">
        <f>_xlfn.XLOOKUP($A793,'[1]LISTA ETIQUETAS'!$O:$O,'[1]LISTA ETIQUETAS'!C:C,"",0)</f>
        <v>0</v>
      </c>
      <c r="P793" s="2">
        <f>_xlfn.XLOOKUP($A793,'[1]LISTA ETIQUETAS'!$O:$O,'[1]LISTA ETIQUETAS'!D:D,"",0)</f>
        <v>0</v>
      </c>
      <c r="Q793" s="2">
        <f>_xlfn.XLOOKUP($A793,'[1]LISTA ETIQUETAS'!$O:$O,'[1]LISTA ETIQUETAS'!E:E,"",0)</f>
        <v>0</v>
      </c>
      <c r="R793" s="2">
        <f>_xlfn.XLOOKUP($A793,'[1]LISTA ETIQUETAS'!$O:$O,'[1]LISTA ETIQUETAS'!F:F,"",0)</f>
        <v>0</v>
      </c>
      <c r="S793" s="2">
        <f>_xlfn.XLOOKUP($A793,'[1]LISTA ETIQUETAS'!$O:$O,'[1]LISTA ETIQUETAS'!H:H,"",0)</f>
        <v>1</v>
      </c>
      <c r="T793" s="9">
        <f t="shared" si="38"/>
        <v>1</v>
      </c>
    </row>
    <row r="794" spans="1:20" x14ac:dyDescent="0.25">
      <c r="A794" s="5">
        <v>234735</v>
      </c>
      <c r="B794" t="str">
        <f>IFERROR((VLOOKUP(A794,'[1]LISTA ETIQUETAS'!O:X,3,0)),"PRODUTO SEM ESTOQUE")</f>
        <v>EST POLTRONA MOI (LAM FREIJO MEL) (TC LISO LINHO CINZA)</v>
      </c>
      <c r="C794" s="10" t="s">
        <v>91</v>
      </c>
      <c r="D794" s="10" t="s">
        <v>502</v>
      </c>
      <c r="E794" s="11">
        <f>IF(VLOOKUP(A794,'[1]LISTA ETIQUETAS'!O:W,4,0)="",(VLOOKUP(A794,'[1]LISTA ETIQUETAS'!O:W,6,0)),(VLOOKUP(A794,'[1]LISTA ETIQUETAS'!O:W,4,0)))</f>
        <v>0.69</v>
      </c>
      <c r="F794" s="11">
        <f>IF(VLOOKUP(A794,'[1]LISTA ETIQUETAS'!O:W,5,0)="",(VLOOKUP(A794,'[1]LISTA ETIQUETAS'!O:W,7,0)),(VLOOKUP(A794,'[1]LISTA ETIQUETAS'!O:W,5,0)))</f>
        <v>0.77</v>
      </c>
      <c r="G794" s="11">
        <f>IFERROR((VLOOKUP(A794,'[1]LISTA ETIQUETAS'!O:X,8,0)),"")</f>
        <v>0.8</v>
      </c>
      <c r="H794" s="11">
        <f>IFERROR((VLOOKUP(A794,'[1]LISTA ETIQUETAS'!O:X,9,0)),"")</f>
        <v>0</v>
      </c>
      <c r="I794" s="12">
        <f>IFERROR((VLOOKUP(A794,'[1]LISTA ETIQUETAS'!O:Y,11,0)),"")</f>
        <v>13223.97</v>
      </c>
      <c r="J794" s="6">
        <v>0</v>
      </c>
      <c r="K794" s="12">
        <f t="shared" si="36"/>
        <v>13223.97</v>
      </c>
      <c r="L794" s="7" t="str">
        <f>IF(VLOOKUP(A794,'[1]LISTA ETIQUETAS'!O:AB,14,0)="","",(VLOOKUP(A794,'[1]LISTA ETIQUETAS'!O:AB,14,0)))</f>
        <v/>
      </c>
      <c r="M794" s="8"/>
      <c r="N794" s="9">
        <f t="shared" si="37"/>
        <v>234735</v>
      </c>
      <c r="O794" s="2">
        <f>_xlfn.XLOOKUP($A794,'[1]LISTA ETIQUETAS'!$O:$O,'[1]LISTA ETIQUETAS'!C:C,"",0)</f>
        <v>0</v>
      </c>
      <c r="P794" s="2">
        <f>_xlfn.XLOOKUP($A794,'[1]LISTA ETIQUETAS'!$O:$O,'[1]LISTA ETIQUETAS'!D:D,"",0)</f>
        <v>0</v>
      </c>
      <c r="Q794" s="2">
        <f>_xlfn.XLOOKUP($A794,'[1]LISTA ETIQUETAS'!$O:$O,'[1]LISTA ETIQUETAS'!E:E,"",0)</f>
        <v>0</v>
      </c>
      <c r="R794" s="2">
        <f>_xlfn.XLOOKUP($A794,'[1]LISTA ETIQUETAS'!$O:$O,'[1]LISTA ETIQUETAS'!F:F,"",0)</f>
        <v>0</v>
      </c>
      <c r="S794" s="2">
        <f>_xlfn.XLOOKUP($A794,'[1]LISTA ETIQUETAS'!$O:$O,'[1]LISTA ETIQUETAS'!H:H,"",0)</f>
        <v>1</v>
      </c>
      <c r="T794" s="9">
        <f t="shared" si="38"/>
        <v>1</v>
      </c>
    </row>
    <row r="795" spans="1:20" x14ac:dyDescent="0.25">
      <c r="A795" s="5">
        <v>223320</v>
      </c>
      <c r="B795" t="str">
        <f>IFERROR((VLOOKUP(A795,'[1]LISTA ETIQUETAS'!O:X,3,0)),"PRODUTO SEM ESTOQUE")</f>
        <v>EST POLTRONA ALE (LAM CARV PT) (PREMIUM CARAM ENV) SOLETA PT</v>
      </c>
      <c r="C795" s="10" t="s">
        <v>91</v>
      </c>
      <c r="D795" s="10" t="s">
        <v>501</v>
      </c>
      <c r="E795" s="11">
        <f>IF(VLOOKUP(A795,'[1]LISTA ETIQUETAS'!O:W,4,0)="",(VLOOKUP(A795,'[1]LISTA ETIQUETAS'!O:W,6,0)),(VLOOKUP(A795,'[1]LISTA ETIQUETAS'!O:W,4,0)))</f>
        <v>0.72</v>
      </c>
      <c r="F795" s="11">
        <f>IF(VLOOKUP(A795,'[1]LISTA ETIQUETAS'!O:W,5,0)="",(VLOOKUP(A795,'[1]LISTA ETIQUETAS'!O:W,7,0)),(VLOOKUP(A795,'[1]LISTA ETIQUETAS'!O:W,5,0)))</f>
        <v>0.65</v>
      </c>
      <c r="G795" s="11">
        <f>IFERROR((VLOOKUP(A795,'[1]LISTA ETIQUETAS'!O:X,8,0)),"")</f>
        <v>0.73</v>
      </c>
      <c r="H795" s="11">
        <f>IFERROR((VLOOKUP(A795,'[1]LISTA ETIQUETAS'!O:X,9,0)),"")</f>
        <v>0</v>
      </c>
      <c r="I795" s="12">
        <f>IFERROR((VLOOKUP(A795,'[1]LISTA ETIQUETAS'!O:Y,11,0)),"")</f>
        <v>15141.37</v>
      </c>
      <c r="J795" s="6">
        <v>0</v>
      </c>
      <c r="K795" s="12">
        <f t="shared" si="36"/>
        <v>15141.37</v>
      </c>
      <c r="L795" s="7" t="str">
        <f>IF(VLOOKUP(A795,'[1]LISTA ETIQUETAS'!O:AB,14,0)="","",(VLOOKUP(A795,'[1]LISTA ETIQUETAS'!O:AB,14,0)))</f>
        <v/>
      </c>
      <c r="M795" s="8"/>
      <c r="N795" s="9">
        <f t="shared" si="37"/>
        <v>223320</v>
      </c>
      <c r="O795" s="2">
        <f>_xlfn.XLOOKUP($A795,'[1]LISTA ETIQUETAS'!$O:$O,'[1]LISTA ETIQUETAS'!C:C,"",0)</f>
        <v>2</v>
      </c>
      <c r="P795" s="2">
        <f>_xlfn.XLOOKUP($A795,'[1]LISTA ETIQUETAS'!$O:$O,'[1]LISTA ETIQUETAS'!D:D,"",0)</f>
        <v>0</v>
      </c>
      <c r="Q795" s="2">
        <f>_xlfn.XLOOKUP($A795,'[1]LISTA ETIQUETAS'!$O:$O,'[1]LISTA ETIQUETAS'!E:E,"",0)</f>
        <v>0</v>
      </c>
      <c r="R795" s="2">
        <f>_xlfn.XLOOKUP($A795,'[1]LISTA ETIQUETAS'!$O:$O,'[1]LISTA ETIQUETAS'!F:F,"",0)</f>
        <v>0</v>
      </c>
      <c r="S795" s="2">
        <f>_xlfn.XLOOKUP($A795,'[1]LISTA ETIQUETAS'!$O:$O,'[1]LISTA ETIQUETAS'!H:H,"",0)</f>
        <v>1</v>
      </c>
      <c r="T795" s="9">
        <f t="shared" si="38"/>
        <v>3</v>
      </c>
    </row>
    <row r="796" spans="1:20" x14ac:dyDescent="0.25">
      <c r="A796" s="5">
        <v>273339</v>
      </c>
      <c r="B796" t="str">
        <f>IFERROR((VLOOKUP(A796,'[1]LISTA ETIQUETAS'!O:X,3,0)),"PRODUTO SEM ESTOQUE")</f>
        <v>EST POLTRONA RAMONA (COURO BOUT COURO PRETO) PINT PRETA</v>
      </c>
      <c r="C796" s="10" t="s">
        <v>91</v>
      </c>
      <c r="D796" s="10" t="s">
        <v>492</v>
      </c>
      <c r="E796" s="11">
        <f>IF(VLOOKUP(A796,'[1]LISTA ETIQUETAS'!O:W,4,0)="",(VLOOKUP(A796,'[1]LISTA ETIQUETAS'!O:W,6,0)),(VLOOKUP(A796,'[1]LISTA ETIQUETAS'!O:W,4,0)))</f>
        <v>0.63</v>
      </c>
      <c r="F796" s="11">
        <f>IF(VLOOKUP(A796,'[1]LISTA ETIQUETAS'!O:W,5,0)="",(VLOOKUP(A796,'[1]LISTA ETIQUETAS'!O:W,7,0)),(VLOOKUP(A796,'[1]LISTA ETIQUETAS'!O:W,5,0)))</f>
        <v>0.77</v>
      </c>
      <c r="G796" s="11">
        <f>IFERROR((VLOOKUP(A796,'[1]LISTA ETIQUETAS'!O:X,8,0)),"")</f>
        <v>0.66</v>
      </c>
      <c r="H796" s="11">
        <f>IFERROR((VLOOKUP(A796,'[1]LISTA ETIQUETAS'!O:X,9,0)),"")</f>
        <v>0</v>
      </c>
      <c r="I796" s="12">
        <f>IFERROR((VLOOKUP(A796,'[1]LISTA ETIQUETAS'!O:Y,11,0)),"")</f>
        <v>20720.990000000002</v>
      </c>
      <c r="J796" s="6">
        <v>0</v>
      </c>
      <c r="K796" s="12">
        <f t="shared" si="36"/>
        <v>20720.990000000002</v>
      </c>
      <c r="L796" s="7" t="str">
        <f>IF(VLOOKUP(A796,'[1]LISTA ETIQUETAS'!O:AB,14,0)="","",(VLOOKUP(A796,'[1]LISTA ETIQUETAS'!O:AB,14,0)))</f>
        <v/>
      </c>
      <c r="M796" s="8"/>
      <c r="N796" s="9">
        <f t="shared" si="37"/>
        <v>273339</v>
      </c>
      <c r="O796" s="2">
        <f>_xlfn.XLOOKUP($A796,'[1]LISTA ETIQUETAS'!$O:$O,'[1]LISTA ETIQUETAS'!C:C,"",0)</f>
        <v>0</v>
      </c>
      <c r="P796" s="2">
        <f>_xlfn.XLOOKUP($A796,'[1]LISTA ETIQUETAS'!$O:$O,'[1]LISTA ETIQUETAS'!D:D,"",0)</f>
        <v>1</v>
      </c>
      <c r="Q796" s="2">
        <f>_xlfn.XLOOKUP($A796,'[1]LISTA ETIQUETAS'!$O:$O,'[1]LISTA ETIQUETAS'!E:E,"",0)</f>
        <v>0</v>
      </c>
      <c r="R796" s="2">
        <f>_xlfn.XLOOKUP($A796,'[1]LISTA ETIQUETAS'!$O:$O,'[1]LISTA ETIQUETAS'!F:F,"",0)</f>
        <v>0</v>
      </c>
      <c r="S796" s="2">
        <f>_xlfn.XLOOKUP($A796,'[1]LISTA ETIQUETAS'!$O:$O,'[1]LISTA ETIQUETAS'!H:H,"",0)</f>
        <v>1</v>
      </c>
      <c r="T796" s="9">
        <f t="shared" si="38"/>
        <v>2</v>
      </c>
    </row>
    <row r="797" spans="1:20" x14ac:dyDescent="0.25">
      <c r="A797" s="5">
        <v>379907</v>
      </c>
      <c r="B797" t="str">
        <f>IFERROR((VLOOKUP(A797,'[1]LISTA ETIQUETAS'!O:X,3,0)),"PRODUTO SEM ESTOQUE")</f>
        <v>EST POLTRONA BARISTA (COURO T4 COGNAC) PRETO/PRETO</v>
      </c>
      <c r="C797" s="10" t="s">
        <v>91</v>
      </c>
      <c r="D797" s="10" t="s">
        <v>494</v>
      </c>
      <c r="E797" s="11">
        <f>IF(VLOOKUP(A797,'[1]LISTA ETIQUETAS'!O:W,4,0)="",(VLOOKUP(A797,'[1]LISTA ETIQUETAS'!O:W,6,0)),(VLOOKUP(A797,'[1]LISTA ETIQUETAS'!O:W,4,0)))</f>
        <v>1</v>
      </c>
      <c r="F797" s="11">
        <f>IF(VLOOKUP(A797,'[1]LISTA ETIQUETAS'!O:W,5,0)="",(VLOOKUP(A797,'[1]LISTA ETIQUETAS'!O:W,7,0)),(VLOOKUP(A797,'[1]LISTA ETIQUETAS'!O:W,5,0)))</f>
        <v>0.81</v>
      </c>
      <c r="G797" s="11">
        <f>IFERROR((VLOOKUP(A797,'[1]LISTA ETIQUETAS'!O:X,8,0)),"")</f>
        <v>0.69</v>
      </c>
      <c r="H797" s="11">
        <f>IFERROR((VLOOKUP(A797,'[1]LISTA ETIQUETAS'!O:X,9,0)),"")</f>
        <v>0</v>
      </c>
      <c r="I797" s="12">
        <f>IFERROR((VLOOKUP(A797,'[1]LISTA ETIQUETAS'!O:Y,11,0)),"")</f>
        <v>21001.52</v>
      </c>
      <c r="J797" s="6">
        <v>0</v>
      </c>
      <c r="K797" s="12">
        <f t="shared" si="36"/>
        <v>21001.52</v>
      </c>
      <c r="L797" s="7" t="str">
        <f>IF(VLOOKUP(A797,'[1]LISTA ETIQUETAS'!O:AB,14,0)="","",(VLOOKUP(A797,'[1]LISTA ETIQUETAS'!O:AB,14,0)))</f>
        <v/>
      </c>
      <c r="M797" s="8"/>
      <c r="N797" s="9">
        <f t="shared" si="37"/>
        <v>379907</v>
      </c>
      <c r="O797" s="2">
        <f>_xlfn.XLOOKUP($A797,'[1]LISTA ETIQUETAS'!$O:$O,'[1]LISTA ETIQUETAS'!C:C,"",0)</f>
        <v>0</v>
      </c>
      <c r="P797" s="2">
        <f>_xlfn.XLOOKUP($A797,'[1]LISTA ETIQUETAS'!$O:$O,'[1]LISTA ETIQUETAS'!D:D,"",0)</f>
        <v>0</v>
      </c>
      <c r="Q797" s="2">
        <f>_xlfn.XLOOKUP($A797,'[1]LISTA ETIQUETAS'!$O:$O,'[1]LISTA ETIQUETAS'!E:E,"",0)</f>
        <v>0</v>
      </c>
      <c r="R797" s="2">
        <f>_xlfn.XLOOKUP($A797,'[1]LISTA ETIQUETAS'!$O:$O,'[1]LISTA ETIQUETAS'!F:F,"",0)</f>
        <v>0</v>
      </c>
      <c r="S797" s="2">
        <f>_xlfn.XLOOKUP($A797,'[1]LISTA ETIQUETAS'!$O:$O,'[1]LISTA ETIQUETAS'!H:H,"",0)</f>
        <v>2</v>
      </c>
      <c r="T797" s="9">
        <f t="shared" si="38"/>
        <v>2</v>
      </c>
    </row>
    <row r="798" spans="1:20" x14ac:dyDescent="0.25">
      <c r="A798" s="5">
        <v>379646</v>
      </c>
      <c r="B798" t="str">
        <f>IFERROR((VLOOKUP(A798,'[1]LISTA ETIQUETAS'!O:X,3,0)),"PRODUTO SEM ESTOQUE")</f>
        <v>EST POLTRONA PATER (IMBUIA) COURO 1 SEPIA/ALMOF FX7560</v>
      </c>
      <c r="C798" s="10" t="s">
        <v>91</v>
      </c>
      <c r="D798" s="10" t="s">
        <v>496</v>
      </c>
      <c r="E798" s="11">
        <f>IF(VLOOKUP(A798,'[1]LISTA ETIQUETAS'!O:W,4,0)="",(VLOOKUP(A798,'[1]LISTA ETIQUETAS'!O:W,6,0)),(VLOOKUP(A798,'[1]LISTA ETIQUETAS'!O:W,4,0)))</f>
        <v>0.82</v>
      </c>
      <c r="F798" s="11">
        <f>IF(VLOOKUP(A798,'[1]LISTA ETIQUETAS'!O:W,5,0)="",(VLOOKUP(A798,'[1]LISTA ETIQUETAS'!O:W,7,0)),(VLOOKUP(A798,'[1]LISTA ETIQUETAS'!O:W,5,0)))</f>
        <v>0.94</v>
      </c>
      <c r="G798" s="11">
        <f>IFERROR((VLOOKUP(A798,'[1]LISTA ETIQUETAS'!O:X,8,0)),"")</f>
        <v>0.83</v>
      </c>
      <c r="H798" s="11">
        <f>IFERROR((VLOOKUP(A798,'[1]LISTA ETIQUETAS'!O:X,9,0)),"")</f>
        <v>0</v>
      </c>
      <c r="I798" s="12">
        <f>IFERROR((VLOOKUP(A798,'[1]LISTA ETIQUETAS'!O:Y,11,0)),"")</f>
        <v>34077.97</v>
      </c>
      <c r="J798" s="6">
        <v>0</v>
      </c>
      <c r="K798" s="12">
        <f t="shared" si="36"/>
        <v>34077.97</v>
      </c>
      <c r="L798" s="7" t="str">
        <f>IF(VLOOKUP(A798,'[1]LISTA ETIQUETAS'!O:AB,14,0)="","",(VLOOKUP(A798,'[1]LISTA ETIQUETAS'!O:AB,14,0)))</f>
        <v/>
      </c>
      <c r="M798" s="8"/>
      <c r="N798" s="9">
        <f t="shared" si="37"/>
        <v>379646</v>
      </c>
      <c r="O798" s="2">
        <f>_xlfn.XLOOKUP($A798,'[1]LISTA ETIQUETAS'!$O:$O,'[1]LISTA ETIQUETAS'!C:C,"",0)</f>
        <v>0</v>
      </c>
      <c r="P798" s="2">
        <f>_xlfn.XLOOKUP($A798,'[1]LISTA ETIQUETAS'!$O:$O,'[1]LISTA ETIQUETAS'!D:D,"",0)</f>
        <v>0</v>
      </c>
      <c r="Q798" s="2">
        <f>_xlfn.XLOOKUP($A798,'[1]LISTA ETIQUETAS'!$O:$O,'[1]LISTA ETIQUETAS'!E:E,"",0)</f>
        <v>0</v>
      </c>
      <c r="R798" s="2">
        <f>_xlfn.XLOOKUP($A798,'[1]LISTA ETIQUETAS'!$O:$O,'[1]LISTA ETIQUETAS'!F:F,"",0)</f>
        <v>0</v>
      </c>
      <c r="S798" s="2">
        <f>_xlfn.XLOOKUP($A798,'[1]LISTA ETIQUETAS'!$O:$O,'[1]LISTA ETIQUETAS'!H:H,"",0)</f>
        <v>2</v>
      </c>
      <c r="T798" s="9">
        <f t="shared" si="38"/>
        <v>2</v>
      </c>
    </row>
    <row r="799" spans="1:20" x14ac:dyDescent="0.25">
      <c r="A799" s="5">
        <v>353120</v>
      </c>
      <c r="B799" t="str">
        <f>IFERROR((VLOOKUP(A799,'[1]LISTA ETIQUETAS'!O:X,3,0)),"PRODUTO SEM ESTOQUE")</f>
        <v>EST POLTRONA PIAF FX E5118 (MTX PRETO)</v>
      </c>
      <c r="C799" s="10" t="s">
        <v>91</v>
      </c>
      <c r="D799" s="10" t="s">
        <v>503</v>
      </c>
      <c r="E799" s="11">
        <f>IF(VLOOKUP(A799,'[1]LISTA ETIQUETAS'!O:W,4,0)="",(VLOOKUP(A799,'[1]LISTA ETIQUETAS'!O:W,6,0)),(VLOOKUP(A799,'[1]LISTA ETIQUETAS'!O:W,4,0)))</f>
        <v>0.75</v>
      </c>
      <c r="F799" s="11">
        <f>IF(VLOOKUP(A799,'[1]LISTA ETIQUETAS'!O:W,5,0)="",(VLOOKUP(A799,'[1]LISTA ETIQUETAS'!O:W,7,0)),(VLOOKUP(A799,'[1]LISTA ETIQUETAS'!O:W,5,0)))</f>
        <v>0.74</v>
      </c>
      <c r="G799" s="11">
        <f>IFERROR((VLOOKUP(A799,'[1]LISTA ETIQUETAS'!O:X,8,0)),"")</f>
        <v>0.75</v>
      </c>
      <c r="H799" s="11">
        <f>IFERROR((VLOOKUP(A799,'[1]LISTA ETIQUETAS'!O:X,9,0)),"")</f>
        <v>0</v>
      </c>
      <c r="I799" s="12">
        <f>IFERROR((VLOOKUP(A799,'[1]LISTA ETIQUETAS'!O:Y,11,0)),"")</f>
        <v>8576.51</v>
      </c>
      <c r="J799" s="6">
        <v>0</v>
      </c>
      <c r="K799" s="12">
        <f t="shared" si="36"/>
        <v>8576.51</v>
      </c>
      <c r="L799" s="7" t="str">
        <f>IF(VLOOKUP(A799,'[1]LISTA ETIQUETAS'!O:AB,14,0)="","",(VLOOKUP(A799,'[1]LISTA ETIQUETAS'!O:AB,14,0)))</f>
        <v/>
      </c>
      <c r="M799" s="8"/>
      <c r="N799" s="9">
        <f t="shared" si="37"/>
        <v>353120</v>
      </c>
      <c r="O799" s="2">
        <f>_xlfn.XLOOKUP($A799,'[1]LISTA ETIQUETAS'!$O:$O,'[1]LISTA ETIQUETAS'!C:C,"",0)</f>
        <v>0</v>
      </c>
      <c r="P799" s="2">
        <f>_xlfn.XLOOKUP($A799,'[1]LISTA ETIQUETAS'!$O:$O,'[1]LISTA ETIQUETAS'!D:D,"",0)</f>
        <v>0</v>
      </c>
      <c r="Q799" s="2">
        <f>_xlfn.XLOOKUP($A799,'[1]LISTA ETIQUETAS'!$O:$O,'[1]LISTA ETIQUETAS'!E:E,"",0)</f>
        <v>0</v>
      </c>
      <c r="R799" s="2">
        <f>_xlfn.XLOOKUP($A799,'[1]LISTA ETIQUETAS'!$O:$O,'[1]LISTA ETIQUETAS'!F:F,"",0)</f>
        <v>0</v>
      </c>
      <c r="S799" s="2">
        <f>_xlfn.XLOOKUP($A799,'[1]LISTA ETIQUETAS'!$O:$O,'[1]LISTA ETIQUETAS'!H:H,"",0)</f>
        <v>1</v>
      </c>
      <c r="T799" s="9">
        <f t="shared" si="38"/>
        <v>1</v>
      </c>
    </row>
    <row r="800" spans="1:20" x14ac:dyDescent="0.25">
      <c r="A800" s="5">
        <v>334190</v>
      </c>
      <c r="B800" t="str">
        <f>IFERROR((VLOOKUP(A800,'[1]LISTA ETIQUETAS'!O:X,3,0)),"PRODUTO SEM ESTOQUE")</f>
        <v>EST POLTRONA CACAU TC V8002 (BRACO LADO ESQUERDO)</v>
      </c>
      <c r="C800" s="10" t="s">
        <v>91</v>
      </c>
      <c r="D800" s="10" t="s">
        <v>490</v>
      </c>
      <c r="E800" s="11">
        <f>IF(VLOOKUP(A800,'[1]LISTA ETIQUETAS'!O:W,4,0)="",(VLOOKUP(A800,'[1]LISTA ETIQUETAS'!O:W,6,0)),(VLOOKUP(A800,'[1]LISTA ETIQUETAS'!O:W,4,0)))</f>
        <v>1.27</v>
      </c>
      <c r="F800" s="11">
        <f>IF(VLOOKUP(A800,'[1]LISTA ETIQUETAS'!O:W,5,0)="",(VLOOKUP(A800,'[1]LISTA ETIQUETAS'!O:W,7,0)),(VLOOKUP(A800,'[1]LISTA ETIQUETAS'!O:W,5,0)))</f>
        <v>0.93</v>
      </c>
      <c r="G800" s="11">
        <f>IFERROR((VLOOKUP(A800,'[1]LISTA ETIQUETAS'!O:X,8,0)),"")</f>
        <v>0.74</v>
      </c>
      <c r="H800" s="11">
        <f>IFERROR((VLOOKUP(A800,'[1]LISTA ETIQUETAS'!O:X,9,0)),"")</f>
        <v>0</v>
      </c>
      <c r="I800" s="12">
        <f>IFERROR((VLOOKUP(A800,'[1]LISTA ETIQUETAS'!O:Y,11,0)),"")</f>
        <v>23254.07</v>
      </c>
      <c r="J800" s="6">
        <v>0</v>
      </c>
      <c r="K800" s="12">
        <f t="shared" si="36"/>
        <v>23254.07</v>
      </c>
      <c r="L800" s="7" t="str">
        <f>IF(VLOOKUP(A800,'[1]LISTA ETIQUETAS'!O:AB,14,0)="","",(VLOOKUP(A800,'[1]LISTA ETIQUETAS'!O:AB,14,0)))</f>
        <v/>
      </c>
      <c r="M800" s="8"/>
      <c r="N800" s="9">
        <f t="shared" si="37"/>
        <v>334190</v>
      </c>
      <c r="O800" s="2">
        <f>_xlfn.XLOOKUP($A800,'[1]LISTA ETIQUETAS'!$O:$O,'[1]LISTA ETIQUETAS'!C:C,"",0)</f>
        <v>0</v>
      </c>
      <c r="P800" s="2">
        <f>_xlfn.XLOOKUP($A800,'[1]LISTA ETIQUETAS'!$O:$O,'[1]LISTA ETIQUETAS'!D:D,"",0)</f>
        <v>0</v>
      </c>
      <c r="Q800" s="2">
        <f>_xlfn.XLOOKUP($A800,'[1]LISTA ETIQUETAS'!$O:$O,'[1]LISTA ETIQUETAS'!E:E,"",0)</f>
        <v>0</v>
      </c>
      <c r="R800" s="2">
        <f>_xlfn.XLOOKUP($A800,'[1]LISTA ETIQUETAS'!$O:$O,'[1]LISTA ETIQUETAS'!F:F,"",0)</f>
        <v>0</v>
      </c>
      <c r="S800" s="2">
        <f>_xlfn.XLOOKUP($A800,'[1]LISTA ETIQUETAS'!$O:$O,'[1]LISTA ETIQUETAS'!H:H,"",0)</f>
        <v>1</v>
      </c>
      <c r="T800" s="9">
        <f t="shared" si="38"/>
        <v>1</v>
      </c>
    </row>
    <row r="801" spans="1:20" x14ac:dyDescent="0.25">
      <c r="A801" s="5">
        <v>328005</v>
      </c>
      <c r="B801" t="str">
        <f>IFERROR((VLOOKUP(A801,'[1]LISTA ETIQUETAS'!O:X,3,0)),"PRODUTO SEM ESTOQUE")</f>
        <v>EST POLTRONA KAZZ TC C3016/REC 2562/ESTRUTURA MARROM CLARO</v>
      </c>
      <c r="C801" s="10" t="s">
        <v>91</v>
      </c>
      <c r="D801" s="10" t="s">
        <v>504</v>
      </c>
      <c r="E801" s="11">
        <f>IF(VLOOKUP(A801,'[1]LISTA ETIQUETAS'!O:W,4,0)="",(VLOOKUP(A801,'[1]LISTA ETIQUETAS'!O:W,6,0)),(VLOOKUP(A801,'[1]LISTA ETIQUETAS'!O:W,4,0)))</f>
        <v>0.85</v>
      </c>
      <c r="F801" s="11">
        <f>IF(VLOOKUP(A801,'[1]LISTA ETIQUETAS'!O:W,5,0)="",(VLOOKUP(A801,'[1]LISTA ETIQUETAS'!O:W,7,0)),(VLOOKUP(A801,'[1]LISTA ETIQUETAS'!O:W,5,0)))</f>
        <v>0.85</v>
      </c>
      <c r="G801" s="11">
        <f>IFERROR((VLOOKUP(A801,'[1]LISTA ETIQUETAS'!O:X,8,0)),"")</f>
        <v>0.75</v>
      </c>
      <c r="H801" s="11">
        <f>IFERROR((VLOOKUP(A801,'[1]LISTA ETIQUETAS'!O:X,9,0)),"")</f>
        <v>0</v>
      </c>
      <c r="I801" s="12">
        <f>IFERROR((VLOOKUP(A801,'[1]LISTA ETIQUETAS'!O:Y,11,0)),"")</f>
        <v>18360.2</v>
      </c>
      <c r="J801" s="6">
        <v>0</v>
      </c>
      <c r="K801" s="12">
        <f t="shared" si="36"/>
        <v>18360.2</v>
      </c>
      <c r="L801" s="7" t="str">
        <f>IF(VLOOKUP(A801,'[1]LISTA ETIQUETAS'!O:AB,14,0)="","",(VLOOKUP(A801,'[1]LISTA ETIQUETAS'!O:AB,14,0)))</f>
        <v/>
      </c>
      <c r="M801" s="8"/>
      <c r="N801" s="9">
        <f t="shared" si="37"/>
        <v>328005</v>
      </c>
      <c r="O801" s="2">
        <f>_xlfn.XLOOKUP($A801,'[1]LISTA ETIQUETAS'!$O:$O,'[1]LISTA ETIQUETAS'!C:C,"",0)</f>
        <v>0</v>
      </c>
      <c r="P801" s="2">
        <f>_xlfn.XLOOKUP($A801,'[1]LISTA ETIQUETAS'!$O:$O,'[1]LISTA ETIQUETAS'!D:D,"",0)</f>
        <v>1</v>
      </c>
      <c r="Q801" s="2">
        <f>_xlfn.XLOOKUP($A801,'[1]LISTA ETIQUETAS'!$O:$O,'[1]LISTA ETIQUETAS'!E:E,"",0)</f>
        <v>0</v>
      </c>
      <c r="R801" s="2">
        <f>_xlfn.XLOOKUP($A801,'[1]LISTA ETIQUETAS'!$O:$O,'[1]LISTA ETIQUETAS'!F:F,"",0)</f>
        <v>0</v>
      </c>
      <c r="S801" s="2">
        <f>_xlfn.XLOOKUP($A801,'[1]LISTA ETIQUETAS'!$O:$O,'[1]LISTA ETIQUETAS'!H:H,"",0)</f>
        <v>1</v>
      </c>
      <c r="T801" s="9">
        <f t="shared" si="38"/>
        <v>2</v>
      </c>
    </row>
    <row r="802" spans="1:20" x14ac:dyDescent="0.25">
      <c r="A802" s="5">
        <v>334175</v>
      </c>
      <c r="B802" t="str">
        <f>IFERROR((VLOOKUP(A802,'[1]LISTA ETIQUETAS'!O:X,3,0)),"PRODUTO SEM ESTOQUE")</f>
        <v>EST POLTRONA PATER (IMBUIA) TAURUS 30/ALMOF FX10008</v>
      </c>
      <c r="C802" s="10" t="s">
        <v>91</v>
      </c>
      <c r="D802" s="10" t="s">
        <v>496</v>
      </c>
      <c r="E802" s="11">
        <f>IF(VLOOKUP(A802,'[1]LISTA ETIQUETAS'!O:W,4,0)="",(VLOOKUP(A802,'[1]LISTA ETIQUETAS'!O:W,6,0)),(VLOOKUP(A802,'[1]LISTA ETIQUETAS'!O:W,4,0)))</f>
        <v>0.82</v>
      </c>
      <c r="F802" s="11">
        <f>IF(VLOOKUP(A802,'[1]LISTA ETIQUETAS'!O:W,5,0)="",(VLOOKUP(A802,'[1]LISTA ETIQUETAS'!O:W,7,0)),(VLOOKUP(A802,'[1]LISTA ETIQUETAS'!O:W,5,0)))</f>
        <v>0.94</v>
      </c>
      <c r="G802" s="11">
        <f>IFERROR((VLOOKUP(A802,'[1]LISTA ETIQUETAS'!O:X,8,0)),"")</f>
        <v>0.83</v>
      </c>
      <c r="H802" s="11">
        <f>IFERROR((VLOOKUP(A802,'[1]LISTA ETIQUETAS'!O:X,9,0)),"")</f>
        <v>0</v>
      </c>
      <c r="I802" s="12">
        <f>IFERROR((VLOOKUP(A802,'[1]LISTA ETIQUETAS'!O:Y,11,0)),"")</f>
        <v>32157.17</v>
      </c>
      <c r="J802" s="6">
        <v>0</v>
      </c>
      <c r="K802" s="12">
        <f t="shared" si="36"/>
        <v>32157.17</v>
      </c>
      <c r="L802" s="7" t="str">
        <f>IF(VLOOKUP(A802,'[1]LISTA ETIQUETAS'!O:AB,14,0)="","",(VLOOKUP(A802,'[1]LISTA ETIQUETAS'!O:AB,14,0)))</f>
        <v/>
      </c>
      <c r="M802" s="8"/>
      <c r="N802" s="9">
        <f t="shared" si="37"/>
        <v>334175</v>
      </c>
      <c r="O802" s="2">
        <f>_xlfn.XLOOKUP($A802,'[1]LISTA ETIQUETAS'!$O:$O,'[1]LISTA ETIQUETAS'!C:C,"",0)</f>
        <v>0</v>
      </c>
      <c r="P802" s="2">
        <f>_xlfn.XLOOKUP($A802,'[1]LISTA ETIQUETAS'!$O:$O,'[1]LISTA ETIQUETAS'!D:D,"",0)</f>
        <v>0</v>
      </c>
      <c r="Q802" s="2">
        <f>_xlfn.XLOOKUP($A802,'[1]LISTA ETIQUETAS'!$O:$O,'[1]LISTA ETIQUETAS'!E:E,"",0)</f>
        <v>0</v>
      </c>
      <c r="R802" s="2">
        <f>_xlfn.XLOOKUP($A802,'[1]LISTA ETIQUETAS'!$O:$O,'[1]LISTA ETIQUETAS'!F:F,"",0)</f>
        <v>0</v>
      </c>
      <c r="S802" s="2">
        <f>_xlfn.XLOOKUP($A802,'[1]LISTA ETIQUETAS'!$O:$O,'[1]LISTA ETIQUETAS'!H:H,"",0)</f>
        <v>2</v>
      </c>
      <c r="T802" s="9">
        <f t="shared" si="38"/>
        <v>2</v>
      </c>
    </row>
    <row r="803" spans="1:20" x14ac:dyDescent="0.25">
      <c r="A803" s="5">
        <v>320759</v>
      </c>
      <c r="B803" t="str">
        <f>IFERROR((VLOOKUP(A803,'[1]LISTA ETIQUETAS'!O:X,3,0)),"PRODUTO SEM ESTOQUE")</f>
        <v>EST POLTRONA PATER (IMBUIA) TAURUS 30/ALMOF FX6363</v>
      </c>
      <c r="C803" s="10" t="s">
        <v>91</v>
      </c>
      <c r="D803" s="10" t="s">
        <v>496</v>
      </c>
      <c r="E803" s="11">
        <f>IF(VLOOKUP(A803,'[1]LISTA ETIQUETAS'!O:W,4,0)="",(VLOOKUP(A803,'[1]LISTA ETIQUETAS'!O:W,6,0)),(VLOOKUP(A803,'[1]LISTA ETIQUETAS'!O:W,4,0)))</f>
        <v>0.82</v>
      </c>
      <c r="F803" s="11">
        <f>IF(VLOOKUP(A803,'[1]LISTA ETIQUETAS'!O:W,5,0)="",(VLOOKUP(A803,'[1]LISTA ETIQUETAS'!O:W,7,0)),(VLOOKUP(A803,'[1]LISTA ETIQUETAS'!O:W,5,0)))</f>
        <v>0.94</v>
      </c>
      <c r="G803" s="11">
        <f>IFERROR((VLOOKUP(A803,'[1]LISTA ETIQUETAS'!O:X,8,0)),"")</f>
        <v>0.83</v>
      </c>
      <c r="H803" s="11">
        <f>IFERROR((VLOOKUP(A803,'[1]LISTA ETIQUETAS'!O:X,9,0)),"")</f>
        <v>0</v>
      </c>
      <c r="I803" s="12">
        <f>IFERROR((VLOOKUP(A803,'[1]LISTA ETIQUETAS'!O:Y,11,0)),"")</f>
        <v>30546.75</v>
      </c>
      <c r="J803" s="6">
        <v>0</v>
      </c>
      <c r="K803" s="12">
        <f t="shared" si="36"/>
        <v>30546.75</v>
      </c>
      <c r="L803" s="7" t="str">
        <f>IF(VLOOKUP(A803,'[1]LISTA ETIQUETAS'!O:AB,14,0)="","",(VLOOKUP(A803,'[1]LISTA ETIQUETAS'!O:AB,14,0)))</f>
        <v/>
      </c>
      <c r="M803" s="8"/>
      <c r="N803" s="9">
        <f t="shared" si="37"/>
        <v>320759</v>
      </c>
      <c r="O803" s="2">
        <f>_xlfn.XLOOKUP($A803,'[1]LISTA ETIQUETAS'!$O:$O,'[1]LISTA ETIQUETAS'!C:C,"",0)</f>
        <v>0</v>
      </c>
      <c r="P803" s="2">
        <f>_xlfn.XLOOKUP($A803,'[1]LISTA ETIQUETAS'!$O:$O,'[1]LISTA ETIQUETAS'!D:D,"",0)</f>
        <v>0</v>
      </c>
      <c r="Q803" s="2">
        <f>_xlfn.XLOOKUP($A803,'[1]LISTA ETIQUETAS'!$O:$O,'[1]LISTA ETIQUETAS'!E:E,"",0)</f>
        <v>0</v>
      </c>
      <c r="R803" s="2">
        <f>_xlfn.XLOOKUP($A803,'[1]LISTA ETIQUETAS'!$O:$O,'[1]LISTA ETIQUETAS'!F:F,"",0)</f>
        <v>0</v>
      </c>
      <c r="S803" s="2">
        <f>_xlfn.XLOOKUP($A803,'[1]LISTA ETIQUETAS'!$O:$O,'[1]LISTA ETIQUETAS'!H:H,"",0)</f>
        <v>1</v>
      </c>
      <c r="T803" s="9">
        <f t="shared" si="38"/>
        <v>1</v>
      </c>
    </row>
    <row r="804" spans="1:20" x14ac:dyDescent="0.25">
      <c r="A804" s="5">
        <v>221178</v>
      </c>
      <c r="B804" t="str">
        <f>IFERROR((VLOOKUP(A804,'[1]LISTA ETIQUETAS'!O:X,3,0)),"PRODUTO SEM ESTOQUE")</f>
        <v>EST POLTRONA KAZZ FX E5007/REC 2562/ESTRUTURA PRETA</v>
      </c>
      <c r="C804" s="10" t="s">
        <v>91</v>
      </c>
      <c r="D804" s="10" t="s">
        <v>504</v>
      </c>
      <c r="E804" s="11">
        <f>IF(VLOOKUP(A804,'[1]LISTA ETIQUETAS'!O:W,4,0)="",(VLOOKUP(A804,'[1]LISTA ETIQUETAS'!O:W,6,0)),(VLOOKUP(A804,'[1]LISTA ETIQUETAS'!O:W,4,0)))</f>
        <v>0.85</v>
      </c>
      <c r="F804" s="11">
        <f>IF(VLOOKUP(A804,'[1]LISTA ETIQUETAS'!O:W,5,0)="",(VLOOKUP(A804,'[1]LISTA ETIQUETAS'!O:W,7,0)),(VLOOKUP(A804,'[1]LISTA ETIQUETAS'!O:W,5,0)))</f>
        <v>0.85</v>
      </c>
      <c r="G804" s="11">
        <f>IFERROR((VLOOKUP(A804,'[1]LISTA ETIQUETAS'!O:X,8,0)),"")</f>
        <v>0.75</v>
      </c>
      <c r="H804" s="11">
        <f>IFERROR((VLOOKUP(A804,'[1]LISTA ETIQUETAS'!O:X,9,0)),"")</f>
        <v>0</v>
      </c>
      <c r="I804" s="12">
        <f>IFERROR((VLOOKUP(A804,'[1]LISTA ETIQUETAS'!O:Y,11,0)),"")</f>
        <v>18609.61</v>
      </c>
      <c r="J804" s="6">
        <v>0</v>
      </c>
      <c r="K804" s="12">
        <f t="shared" si="36"/>
        <v>18609.61</v>
      </c>
      <c r="L804" s="7" t="str">
        <f>IF(VLOOKUP(A804,'[1]LISTA ETIQUETAS'!O:AB,14,0)="","",(VLOOKUP(A804,'[1]LISTA ETIQUETAS'!O:AB,14,0)))</f>
        <v/>
      </c>
      <c r="M804" s="8"/>
      <c r="N804" s="9">
        <f t="shared" si="37"/>
        <v>221178</v>
      </c>
      <c r="O804" s="2">
        <f>_xlfn.XLOOKUP($A804,'[1]LISTA ETIQUETAS'!$O:$O,'[1]LISTA ETIQUETAS'!C:C,"",0)</f>
        <v>0</v>
      </c>
      <c r="P804" s="2">
        <f>_xlfn.XLOOKUP($A804,'[1]LISTA ETIQUETAS'!$O:$O,'[1]LISTA ETIQUETAS'!D:D,"",0)</f>
        <v>0</v>
      </c>
      <c r="Q804" s="2">
        <f>_xlfn.XLOOKUP($A804,'[1]LISTA ETIQUETAS'!$O:$O,'[1]LISTA ETIQUETAS'!E:E,"",0)</f>
        <v>0</v>
      </c>
      <c r="R804" s="2">
        <f>_xlfn.XLOOKUP($A804,'[1]LISTA ETIQUETAS'!$O:$O,'[1]LISTA ETIQUETAS'!F:F,"",0)</f>
        <v>0</v>
      </c>
      <c r="S804" s="2">
        <f>_xlfn.XLOOKUP($A804,'[1]LISTA ETIQUETAS'!$O:$O,'[1]LISTA ETIQUETAS'!H:H,"",0)</f>
        <v>1</v>
      </c>
      <c r="T804" s="9">
        <f t="shared" si="38"/>
        <v>1</v>
      </c>
    </row>
    <row r="805" spans="1:20" x14ac:dyDescent="0.25">
      <c r="A805" s="5">
        <v>77886</v>
      </c>
      <c r="B805" t="str">
        <f>IFERROR((VLOOKUP(A805,'[1]LISTA ETIQUETAS'!O:X,3,0)),"PRODUTO SEM ESTOQUE")</f>
        <v>EST POLTRONA LILAH C/BRACO (COR UNICA)</v>
      </c>
      <c r="C805" s="10" t="s">
        <v>91</v>
      </c>
      <c r="D805" s="10" t="s">
        <v>505</v>
      </c>
      <c r="E805" s="11">
        <f>IF(VLOOKUP(A805,'[1]LISTA ETIQUETAS'!O:W,4,0)="",(VLOOKUP(A805,'[1]LISTA ETIQUETAS'!O:W,6,0)),(VLOOKUP(A805,'[1]LISTA ETIQUETAS'!O:W,4,0)))</f>
        <v>0.65</v>
      </c>
      <c r="F805" s="11">
        <f>IF(VLOOKUP(A805,'[1]LISTA ETIQUETAS'!O:W,5,0)="",(VLOOKUP(A805,'[1]LISTA ETIQUETAS'!O:W,7,0)),(VLOOKUP(A805,'[1]LISTA ETIQUETAS'!O:W,5,0)))</f>
        <v>0.65</v>
      </c>
      <c r="G805" s="11">
        <f>IFERROR((VLOOKUP(A805,'[1]LISTA ETIQUETAS'!O:X,8,0)),"")</f>
        <v>0.8</v>
      </c>
      <c r="H805" s="11">
        <f>IFERROR((VLOOKUP(A805,'[1]LISTA ETIQUETAS'!O:X,9,0)),"")</f>
        <v>0</v>
      </c>
      <c r="I805" s="12" t="str">
        <f>IFERROR((VLOOKUP(A805,'[1]LISTA ETIQUETAS'!O:Y,11,0)),"")</f>
        <v/>
      </c>
      <c r="J805" s="6">
        <v>0</v>
      </c>
      <c r="K805" s="12" t="str">
        <f t="shared" si="36"/>
        <v/>
      </c>
      <c r="L805" s="7" t="str">
        <f>IF(VLOOKUP(A805,'[1]LISTA ETIQUETAS'!O:AB,14,0)="","",(VLOOKUP(A805,'[1]LISTA ETIQUETAS'!O:AB,14,0)))</f>
        <v/>
      </c>
      <c r="M805" s="8"/>
      <c r="N805" s="9">
        <f t="shared" si="37"/>
        <v>77886</v>
      </c>
      <c r="O805" s="2">
        <f>_xlfn.XLOOKUP($A805,'[1]LISTA ETIQUETAS'!$O:$O,'[1]LISTA ETIQUETAS'!C:C,"",0)</f>
        <v>0</v>
      </c>
      <c r="P805" s="2">
        <f>_xlfn.XLOOKUP($A805,'[1]LISTA ETIQUETAS'!$O:$O,'[1]LISTA ETIQUETAS'!D:D,"",0)</f>
        <v>0</v>
      </c>
      <c r="Q805" s="2">
        <f>_xlfn.XLOOKUP($A805,'[1]LISTA ETIQUETAS'!$O:$O,'[1]LISTA ETIQUETAS'!E:E,"",0)</f>
        <v>0</v>
      </c>
      <c r="R805" s="2">
        <f>_xlfn.XLOOKUP($A805,'[1]LISTA ETIQUETAS'!$O:$O,'[1]LISTA ETIQUETAS'!F:F,"",0)</f>
        <v>0</v>
      </c>
      <c r="S805" s="2">
        <f>_xlfn.XLOOKUP($A805,'[1]LISTA ETIQUETAS'!$O:$O,'[1]LISTA ETIQUETAS'!H:H,"",0)</f>
        <v>1</v>
      </c>
      <c r="T805" s="9">
        <f t="shared" si="38"/>
        <v>1</v>
      </c>
    </row>
    <row r="806" spans="1:20" x14ac:dyDescent="0.25">
      <c r="A806" s="5">
        <v>69099</v>
      </c>
      <c r="B806" t="str">
        <f>IFERROR((VLOOKUP(A806,'[1]LISTA ETIQUETAS'!O:X,3,0)),"PRODUTO SEM ESTOQUE")</f>
        <v>EST POLTRONA SU (INOX) TC 0190177</v>
      </c>
      <c r="C806" s="10" t="s">
        <v>91</v>
      </c>
      <c r="D806" s="10" t="s">
        <v>506</v>
      </c>
      <c r="E806" s="11">
        <f>IF(VLOOKUP(A806,'[1]LISTA ETIQUETAS'!O:W,4,0)="",(VLOOKUP(A806,'[1]LISTA ETIQUETAS'!O:W,6,0)),(VLOOKUP(A806,'[1]LISTA ETIQUETAS'!O:W,4,0)))</f>
        <v>0.71</v>
      </c>
      <c r="F806" s="11">
        <f>IF(VLOOKUP(A806,'[1]LISTA ETIQUETAS'!O:W,5,0)="",(VLOOKUP(A806,'[1]LISTA ETIQUETAS'!O:W,7,0)),(VLOOKUP(A806,'[1]LISTA ETIQUETAS'!O:W,5,0)))</f>
        <v>0.72</v>
      </c>
      <c r="G806" s="11">
        <f>IFERROR((VLOOKUP(A806,'[1]LISTA ETIQUETAS'!O:X,8,0)),"")</f>
        <v>0.99</v>
      </c>
      <c r="H806" s="11">
        <f>IFERROR((VLOOKUP(A806,'[1]LISTA ETIQUETAS'!O:X,9,0)),"")</f>
        <v>0</v>
      </c>
      <c r="I806" s="12">
        <f>IFERROR((VLOOKUP(A806,'[1]LISTA ETIQUETAS'!O:Y,11,0)),"")</f>
        <v>0</v>
      </c>
      <c r="J806" s="6">
        <v>0</v>
      </c>
      <c r="K806" s="12">
        <f t="shared" si="36"/>
        <v>0</v>
      </c>
      <c r="L806" s="7" t="str">
        <f>IF(VLOOKUP(A806,'[1]LISTA ETIQUETAS'!O:AB,14,0)="","",(VLOOKUP(A806,'[1]LISTA ETIQUETAS'!O:AB,14,0)))</f>
        <v/>
      </c>
      <c r="M806" s="8"/>
      <c r="N806" s="9">
        <f t="shared" si="37"/>
        <v>69099</v>
      </c>
      <c r="O806" s="2">
        <f>_xlfn.XLOOKUP($A806,'[1]LISTA ETIQUETAS'!$O:$O,'[1]LISTA ETIQUETAS'!C:C,"",0)</f>
        <v>0</v>
      </c>
      <c r="P806" s="2">
        <f>_xlfn.XLOOKUP($A806,'[1]LISTA ETIQUETAS'!$O:$O,'[1]LISTA ETIQUETAS'!D:D,"",0)</f>
        <v>0</v>
      </c>
      <c r="Q806" s="2">
        <f>_xlfn.XLOOKUP($A806,'[1]LISTA ETIQUETAS'!$O:$O,'[1]LISTA ETIQUETAS'!E:E,"",0)</f>
        <v>0</v>
      </c>
      <c r="R806" s="2">
        <f>_xlfn.XLOOKUP($A806,'[1]LISTA ETIQUETAS'!$O:$O,'[1]LISTA ETIQUETAS'!F:F,"",0)</f>
        <v>0</v>
      </c>
      <c r="S806" s="2">
        <f>_xlfn.XLOOKUP($A806,'[1]LISTA ETIQUETAS'!$O:$O,'[1]LISTA ETIQUETAS'!H:H,"",0)</f>
        <v>1</v>
      </c>
      <c r="T806" s="9">
        <f t="shared" si="38"/>
        <v>1</v>
      </c>
    </row>
    <row r="807" spans="1:20" x14ac:dyDescent="0.25">
      <c r="A807" s="5">
        <v>80044</v>
      </c>
      <c r="B807" t="str">
        <f>IFERROR((VLOOKUP(A807,'[1]LISTA ETIQUETAS'!O:X,3,0)),"PRODUTO SEM ESTOQUE")</f>
        <v>EST POLTRONA CROCCO (CATUABA AVELUDADA) TC SARJA</v>
      </c>
      <c r="C807" s="10" t="s">
        <v>91</v>
      </c>
      <c r="D807" s="10" t="s">
        <v>507</v>
      </c>
      <c r="E807" s="11">
        <f>IF(VLOOKUP(A807,'[1]LISTA ETIQUETAS'!O:W,4,0)="",(VLOOKUP(A807,'[1]LISTA ETIQUETAS'!O:W,6,0)),(VLOOKUP(A807,'[1]LISTA ETIQUETAS'!O:W,4,0)))</f>
        <v>0.74</v>
      </c>
      <c r="F807" s="11">
        <f>IF(VLOOKUP(A807,'[1]LISTA ETIQUETAS'!O:W,5,0)="",(VLOOKUP(A807,'[1]LISTA ETIQUETAS'!O:W,7,0)),(VLOOKUP(A807,'[1]LISTA ETIQUETAS'!O:W,5,0)))</f>
        <v>0.72</v>
      </c>
      <c r="G807" s="11">
        <f>IFERROR((VLOOKUP(A807,'[1]LISTA ETIQUETAS'!O:X,8,0)),"")</f>
        <v>0.81</v>
      </c>
      <c r="H807" s="11">
        <f>IFERROR((VLOOKUP(A807,'[1]LISTA ETIQUETAS'!O:X,9,0)),"")</f>
        <v>0</v>
      </c>
      <c r="I807" s="12">
        <f>IFERROR((VLOOKUP(A807,'[1]LISTA ETIQUETAS'!O:Y,11,0)),"")</f>
        <v>0</v>
      </c>
      <c r="J807" s="6">
        <v>0</v>
      </c>
      <c r="K807" s="12">
        <f t="shared" si="36"/>
        <v>0</v>
      </c>
      <c r="L807" s="7" t="str">
        <f>IF(VLOOKUP(A807,'[1]LISTA ETIQUETAS'!O:AB,14,0)="","",(VLOOKUP(A807,'[1]LISTA ETIQUETAS'!O:AB,14,0)))</f>
        <v/>
      </c>
      <c r="M807" s="8"/>
      <c r="N807" s="9">
        <f t="shared" si="37"/>
        <v>80044</v>
      </c>
      <c r="O807" s="2">
        <f>_xlfn.XLOOKUP($A807,'[1]LISTA ETIQUETAS'!$O:$O,'[1]LISTA ETIQUETAS'!C:C,"",0)</f>
        <v>0</v>
      </c>
      <c r="P807" s="2">
        <f>_xlfn.XLOOKUP($A807,'[1]LISTA ETIQUETAS'!$O:$O,'[1]LISTA ETIQUETAS'!D:D,"",0)</f>
        <v>0</v>
      </c>
      <c r="Q807" s="2">
        <f>_xlfn.XLOOKUP($A807,'[1]LISTA ETIQUETAS'!$O:$O,'[1]LISTA ETIQUETAS'!E:E,"",0)</f>
        <v>0</v>
      </c>
      <c r="R807" s="2">
        <f>_xlfn.XLOOKUP($A807,'[1]LISTA ETIQUETAS'!$O:$O,'[1]LISTA ETIQUETAS'!F:F,"",0)</f>
        <v>0</v>
      </c>
      <c r="S807" s="2">
        <f>_xlfn.XLOOKUP($A807,'[1]LISTA ETIQUETAS'!$O:$O,'[1]LISTA ETIQUETAS'!H:H,"",0)</f>
        <v>2</v>
      </c>
      <c r="T807" s="9">
        <f t="shared" si="38"/>
        <v>2</v>
      </c>
    </row>
    <row r="808" spans="1:20" x14ac:dyDescent="0.25">
      <c r="A808" s="5">
        <v>82950</v>
      </c>
      <c r="B808" t="str">
        <f>IFERROR((VLOOKUP(A808,'[1]LISTA ETIQUETAS'!O:X,3,0)),"PRODUTO SEM ESTOQUE")</f>
        <v>EST POLTRONA TOLEDO (C/ALM) LINHO NAT/DET INT ALG VERDE</v>
      </c>
      <c r="C808" s="10" t="s">
        <v>91</v>
      </c>
      <c r="D808" s="10" t="s">
        <v>508</v>
      </c>
      <c r="E808" s="11">
        <f>IF(VLOOKUP(A808,'[1]LISTA ETIQUETAS'!O:W,4,0)="",(VLOOKUP(A808,'[1]LISTA ETIQUETAS'!O:W,6,0)),(VLOOKUP(A808,'[1]LISTA ETIQUETAS'!O:W,4,0)))</f>
        <v>0.7</v>
      </c>
      <c r="F808" s="11">
        <f>IF(VLOOKUP(A808,'[1]LISTA ETIQUETAS'!O:W,5,0)="",(VLOOKUP(A808,'[1]LISTA ETIQUETAS'!O:W,7,0)),(VLOOKUP(A808,'[1]LISTA ETIQUETAS'!O:W,5,0)))</f>
        <v>0.66</v>
      </c>
      <c r="G808" s="11">
        <f>IFERROR((VLOOKUP(A808,'[1]LISTA ETIQUETAS'!O:X,8,0)),"")</f>
        <v>0.66</v>
      </c>
      <c r="H808" s="11">
        <f>IFERROR((VLOOKUP(A808,'[1]LISTA ETIQUETAS'!O:X,9,0)),"")</f>
        <v>0</v>
      </c>
      <c r="I808" s="12">
        <f>IFERROR((VLOOKUP(A808,'[1]LISTA ETIQUETAS'!O:Y,11,0)),"")</f>
        <v>10389.120000000001</v>
      </c>
      <c r="J808" s="6">
        <v>0</v>
      </c>
      <c r="K808" s="12">
        <f t="shared" si="36"/>
        <v>10389.120000000001</v>
      </c>
      <c r="L808" s="7" t="str">
        <f>IF(VLOOKUP(A808,'[1]LISTA ETIQUETAS'!O:AB,14,0)="","",(VLOOKUP(A808,'[1]LISTA ETIQUETAS'!O:AB,14,0)))</f>
        <v/>
      </c>
      <c r="M808" s="8"/>
      <c r="N808" s="9">
        <f t="shared" si="37"/>
        <v>82950</v>
      </c>
      <c r="O808" s="2">
        <f>_xlfn.XLOOKUP($A808,'[1]LISTA ETIQUETAS'!$O:$O,'[1]LISTA ETIQUETAS'!C:C,"",0)</f>
        <v>0</v>
      </c>
      <c r="P808" s="2">
        <f>_xlfn.XLOOKUP($A808,'[1]LISTA ETIQUETAS'!$O:$O,'[1]LISTA ETIQUETAS'!D:D,"",0)</f>
        <v>0</v>
      </c>
      <c r="Q808" s="2">
        <f>_xlfn.XLOOKUP($A808,'[1]LISTA ETIQUETAS'!$O:$O,'[1]LISTA ETIQUETAS'!E:E,"",0)</f>
        <v>0</v>
      </c>
      <c r="R808" s="2">
        <f>_xlfn.XLOOKUP($A808,'[1]LISTA ETIQUETAS'!$O:$O,'[1]LISTA ETIQUETAS'!F:F,"",0)</f>
        <v>0</v>
      </c>
      <c r="S808" s="2">
        <f>_xlfn.XLOOKUP($A808,'[1]LISTA ETIQUETAS'!$O:$O,'[1]LISTA ETIQUETAS'!H:H,"",0)</f>
        <v>1</v>
      </c>
      <c r="T808" s="9">
        <f t="shared" si="38"/>
        <v>1</v>
      </c>
    </row>
    <row r="809" spans="1:20" x14ac:dyDescent="0.25">
      <c r="A809" s="5">
        <v>76776</v>
      </c>
      <c r="B809" t="str">
        <f>IFERROR((VLOOKUP(A809,'[1]LISTA ETIQUETAS'!O:X,3,0)),"PRODUTO SEM ESTOQUE")</f>
        <v>EST POLTRONA ITA TC 5268</v>
      </c>
      <c r="C809" s="10" t="s">
        <v>91</v>
      </c>
      <c r="D809" s="10" t="s">
        <v>509</v>
      </c>
      <c r="E809" s="11">
        <f>IF(VLOOKUP(A809,'[1]LISTA ETIQUETAS'!O:W,4,0)="",(VLOOKUP(A809,'[1]LISTA ETIQUETAS'!O:W,6,0)),(VLOOKUP(A809,'[1]LISTA ETIQUETAS'!O:W,4,0)))</f>
        <v>0</v>
      </c>
      <c r="F809" s="11">
        <f>IF(VLOOKUP(A809,'[1]LISTA ETIQUETAS'!O:W,5,0)="",(VLOOKUP(A809,'[1]LISTA ETIQUETAS'!O:W,7,0)),(VLOOKUP(A809,'[1]LISTA ETIQUETAS'!O:W,5,0)))</f>
        <v>0</v>
      </c>
      <c r="G809" s="11">
        <f>IFERROR((VLOOKUP(A809,'[1]LISTA ETIQUETAS'!O:X,8,0)),"")</f>
        <v>0</v>
      </c>
      <c r="H809" s="11">
        <f>IFERROR((VLOOKUP(A809,'[1]LISTA ETIQUETAS'!O:X,9,0)),"")</f>
        <v>0</v>
      </c>
      <c r="I809" s="12">
        <f>IFERROR((VLOOKUP(A809,'[1]LISTA ETIQUETAS'!O:Y,11,0)),"")</f>
        <v>0</v>
      </c>
      <c r="J809" s="6">
        <v>0</v>
      </c>
      <c r="K809" s="12">
        <f t="shared" si="36"/>
        <v>0</v>
      </c>
      <c r="L809" s="7" t="str">
        <f>IF(VLOOKUP(A809,'[1]LISTA ETIQUETAS'!O:AB,14,0)="","",(VLOOKUP(A809,'[1]LISTA ETIQUETAS'!O:AB,14,0)))</f>
        <v/>
      </c>
      <c r="M809" s="8"/>
      <c r="N809" s="9">
        <f t="shared" si="37"/>
        <v>76776</v>
      </c>
      <c r="O809" s="2">
        <f>_xlfn.XLOOKUP($A809,'[1]LISTA ETIQUETAS'!$O:$O,'[1]LISTA ETIQUETAS'!C:C,"",0)</f>
        <v>0</v>
      </c>
      <c r="P809" s="2">
        <f>_xlfn.XLOOKUP($A809,'[1]LISTA ETIQUETAS'!$O:$O,'[1]LISTA ETIQUETAS'!D:D,"",0)</f>
        <v>0</v>
      </c>
      <c r="Q809" s="2">
        <f>_xlfn.XLOOKUP($A809,'[1]LISTA ETIQUETAS'!$O:$O,'[1]LISTA ETIQUETAS'!E:E,"",0)</f>
        <v>0</v>
      </c>
      <c r="R809" s="2">
        <f>_xlfn.XLOOKUP($A809,'[1]LISTA ETIQUETAS'!$O:$O,'[1]LISTA ETIQUETAS'!F:F,"",0)</f>
        <v>0</v>
      </c>
      <c r="S809" s="2">
        <f>_xlfn.XLOOKUP($A809,'[1]LISTA ETIQUETAS'!$O:$O,'[1]LISTA ETIQUETAS'!H:H,"",0)</f>
        <v>1</v>
      </c>
      <c r="T809" s="9">
        <f t="shared" si="38"/>
        <v>1</v>
      </c>
    </row>
    <row r="810" spans="1:20" x14ac:dyDescent="0.25">
      <c r="A810" s="5">
        <v>63561</v>
      </c>
      <c r="B810" t="str">
        <f>IFERROR((VLOOKUP(A810,'[1]LISTA ETIQUETAS'!O:X,3,0)),"PRODUTO SEM ESTOQUE")</f>
        <v>EST POLTRONA 5003 (GIRATORIA) TC VERMELHO</v>
      </c>
      <c r="C810" s="10" t="s">
        <v>91</v>
      </c>
      <c r="D810" s="10" t="s">
        <v>510</v>
      </c>
      <c r="E810" s="11">
        <f>IF(VLOOKUP(A810,'[1]LISTA ETIQUETAS'!O:W,4,0)="",(VLOOKUP(A810,'[1]LISTA ETIQUETAS'!O:W,6,0)),(VLOOKUP(A810,'[1]LISTA ETIQUETAS'!O:W,4,0)))</f>
        <v>0</v>
      </c>
      <c r="F810" s="11">
        <f>IF(VLOOKUP(A810,'[1]LISTA ETIQUETAS'!O:W,5,0)="",(VLOOKUP(A810,'[1]LISTA ETIQUETAS'!O:W,7,0)),(VLOOKUP(A810,'[1]LISTA ETIQUETAS'!O:W,5,0)))</f>
        <v>0</v>
      </c>
      <c r="G810" s="11">
        <f>IFERROR((VLOOKUP(A810,'[1]LISTA ETIQUETAS'!O:X,8,0)),"")</f>
        <v>0</v>
      </c>
      <c r="H810" s="11">
        <f>IFERROR((VLOOKUP(A810,'[1]LISTA ETIQUETAS'!O:X,9,0)),"")</f>
        <v>0</v>
      </c>
      <c r="I810" s="12">
        <f>IFERROR((VLOOKUP(A810,'[1]LISTA ETIQUETAS'!O:Y,11,0)),"")</f>
        <v>0</v>
      </c>
      <c r="J810" s="6">
        <v>0</v>
      </c>
      <c r="K810" s="12">
        <f t="shared" si="36"/>
        <v>0</v>
      </c>
      <c r="L810" s="7" t="str">
        <f>IF(VLOOKUP(A810,'[1]LISTA ETIQUETAS'!O:AB,14,0)="","",(VLOOKUP(A810,'[1]LISTA ETIQUETAS'!O:AB,14,0)))</f>
        <v/>
      </c>
      <c r="M810" s="8"/>
      <c r="N810" s="9">
        <f t="shared" si="37"/>
        <v>63561</v>
      </c>
      <c r="O810" s="2">
        <f>_xlfn.XLOOKUP($A810,'[1]LISTA ETIQUETAS'!$O:$O,'[1]LISTA ETIQUETAS'!C:C,"",0)</f>
        <v>0</v>
      </c>
      <c r="P810" s="2">
        <f>_xlfn.XLOOKUP($A810,'[1]LISTA ETIQUETAS'!$O:$O,'[1]LISTA ETIQUETAS'!D:D,"",0)</f>
        <v>0</v>
      </c>
      <c r="Q810" s="2">
        <f>_xlfn.XLOOKUP($A810,'[1]LISTA ETIQUETAS'!$O:$O,'[1]LISTA ETIQUETAS'!E:E,"",0)</f>
        <v>0</v>
      </c>
      <c r="R810" s="2">
        <f>_xlfn.XLOOKUP($A810,'[1]LISTA ETIQUETAS'!$O:$O,'[1]LISTA ETIQUETAS'!F:F,"",0)</f>
        <v>0</v>
      </c>
      <c r="S810" s="2">
        <f>_xlfn.XLOOKUP($A810,'[1]LISTA ETIQUETAS'!$O:$O,'[1]LISTA ETIQUETAS'!H:H,"",0)</f>
        <v>1</v>
      </c>
      <c r="T810" s="9">
        <f t="shared" si="38"/>
        <v>1</v>
      </c>
    </row>
    <row r="811" spans="1:20" x14ac:dyDescent="0.25">
      <c r="A811" s="5">
        <v>65397</v>
      </c>
      <c r="B811" t="str">
        <f>IFERROR((VLOOKUP(A811,'[1]LISTA ETIQUETAS'!O:X,3,0)),"PRODUTO SEM ESTOQUE")</f>
        <v>EST POLTRONA POLTRONETE TC SARJA CRU</v>
      </c>
      <c r="C811" s="10" t="s">
        <v>91</v>
      </c>
      <c r="D811" s="10" t="s">
        <v>511</v>
      </c>
      <c r="E811" s="11">
        <f>IF(VLOOKUP(A811,'[1]LISTA ETIQUETAS'!O:W,4,0)="",(VLOOKUP(A811,'[1]LISTA ETIQUETAS'!O:W,6,0)),(VLOOKUP(A811,'[1]LISTA ETIQUETAS'!O:W,4,0)))</f>
        <v>0</v>
      </c>
      <c r="F811" s="11">
        <f>IF(VLOOKUP(A811,'[1]LISTA ETIQUETAS'!O:W,5,0)="",(VLOOKUP(A811,'[1]LISTA ETIQUETAS'!O:W,7,0)),(VLOOKUP(A811,'[1]LISTA ETIQUETAS'!O:W,5,0)))</f>
        <v>0</v>
      </c>
      <c r="G811" s="11">
        <f>IFERROR((VLOOKUP(A811,'[1]LISTA ETIQUETAS'!O:X,8,0)),"")</f>
        <v>0</v>
      </c>
      <c r="H811" s="11">
        <f>IFERROR((VLOOKUP(A811,'[1]LISTA ETIQUETAS'!O:X,9,0)),"")</f>
        <v>0</v>
      </c>
      <c r="I811" s="12" t="str">
        <f>IFERROR((VLOOKUP(A811,'[1]LISTA ETIQUETAS'!O:Y,11,0)),"")</f>
        <v/>
      </c>
      <c r="J811" s="6">
        <v>0</v>
      </c>
      <c r="K811" s="12" t="str">
        <f t="shared" si="36"/>
        <v/>
      </c>
      <c r="L811" s="7" t="str">
        <f>IF(VLOOKUP(A811,'[1]LISTA ETIQUETAS'!O:AB,14,0)="","",(VLOOKUP(A811,'[1]LISTA ETIQUETAS'!O:AB,14,0)))</f>
        <v/>
      </c>
      <c r="M811" s="8"/>
      <c r="N811" s="9">
        <f t="shared" si="37"/>
        <v>65397</v>
      </c>
      <c r="O811" s="2">
        <f>_xlfn.XLOOKUP($A811,'[1]LISTA ETIQUETAS'!$O:$O,'[1]LISTA ETIQUETAS'!C:C,"",0)</f>
        <v>0</v>
      </c>
      <c r="P811" s="2">
        <f>_xlfn.XLOOKUP($A811,'[1]LISTA ETIQUETAS'!$O:$O,'[1]LISTA ETIQUETAS'!D:D,"",0)</f>
        <v>0</v>
      </c>
      <c r="Q811" s="2">
        <f>_xlfn.XLOOKUP($A811,'[1]LISTA ETIQUETAS'!$O:$O,'[1]LISTA ETIQUETAS'!E:E,"",0)</f>
        <v>0</v>
      </c>
      <c r="R811" s="2">
        <f>_xlfn.XLOOKUP($A811,'[1]LISTA ETIQUETAS'!$O:$O,'[1]LISTA ETIQUETAS'!F:F,"",0)</f>
        <v>0</v>
      </c>
      <c r="S811" s="2">
        <f>_xlfn.XLOOKUP($A811,'[1]LISTA ETIQUETAS'!$O:$O,'[1]LISTA ETIQUETAS'!H:H,"",0)</f>
        <v>1</v>
      </c>
      <c r="T811" s="9">
        <f t="shared" si="38"/>
        <v>1</v>
      </c>
    </row>
    <row r="812" spans="1:20" x14ac:dyDescent="0.25">
      <c r="A812" s="5">
        <v>89424</v>
      </c>
      <c r="B812" t="str">
        <f>IFERROR((VLOOKUP(A812,'[1]LISTA ETIQUETAS'!O:X,3,0)),"PRODUTO SEM ESTOQUE")</f>
        <v>EST POLTRONA BEATRIZ (FREIJO NATURAL) COURO FIRENZE 04 BEGE</v>
      </c>
      <c r="C812" s="10" t="s">
        <v>91</v>
      </c>
      <c r="D812" s="10" t="s">
        <v>512</v>
      </c>
      <c r="E812" s="11">
        <f>IF(VLOOKUP(A812,'[1]LISTA ETIQUETAS'!O:W,4,0)="",(VLOOKUP(A812,'[1]LISTA ETIQUETAS'!O:W,6,0)),(VLOOKUP(A812,'[1]LISTA ETIQUETAS'!O:W,4,0)))</f>
        <v>0.75</v>
      </c>
      <c r="F812" s="11">
        <f>IF(VLOOKUP(A812,'[1]LISTA ETIQUETAS'!O:W,5,0)="",(VLOOKUP(A812,'[1]LISTA ETIQUETAS'!O:W,7,0)),(VLOOKUP(A812,'[1]LISTA ETIQUETAS'!O:W,5,0)))</f>
        <v>0.77</v>
      </c>
      <c r="G812" s="11">
        <f>IFERROR((VLOOKUP(A812,'[1]LISTA ETIQUETAS'!O:X,8,0)),"")</f>
        <v>0.8</v>
      </c>
      <c r="H812" s="11">
        <f>IFERROR((VLOOKUP(A812,'[1]LISTA ETIQUETAS'!O:X,9,0)),"")</f>
        <v>0</v>
      </c>
      <c r="I812" s="12">
        <f>IFERROR((VLOOKUP(A812,'[1]LISTA ETIQUETAS'!O:Y,11,0)),"")</f>
        <v>0</v>
      </c>
      <c r="J812" s="6">
        <v>0</v>
      </c>
      <c r="K812" s="12">
        <f t="shared" si="36"/>
        <v>0</v>
      </c>
      <c r="L812" s="7" t="str">
        <f>IF(VLOOKUP(A812,'[1]LISTA ETIQUETAS'!O:AB,14,0)="","",(VLOOKUP(A812,'[1]LISTA ETIQUETAS'!O:AB,14,0)))</f>
        <v/>
      </c>
      <c r="M812" s="8"/>
      <c r="N812" s="9">
        <f t="shared" si="37"/>
        <v>89424</v>
      </c>
      <c r="O812" s="2">
        <f>_xlfn.XLOOKUP($A812,'[1]LISTA ETIQUETAS'!$O:$O,'[1]LISTA ETIQUETAS'!C:C,"",0)</f>
        <v>0</v>
      </c>
      <c r="P812" s="2">
        <f>_xlfn.XLOOKUP($A812,'[1]LISTA ETIQUETAS'!$O:$O,'[1]LISTA ETIQUETAS'!D:D,"",0)</f>
        <v>0</v>
      </c>
      <c r="Q812" s="2">
        <f>_xlfn.XLOOKUP($A812,'[1]LISTA ETIQUETAS'!$O:$O,'[1]LISTA ETIQUETAS'!E:E,"",0)</f>
        <v>0</v>
      </c>
      <c r="R812" s="2">
        <f>_xlfn.XLOOKUP($A812,'[1]LISTA ETIQUETAS'!$O:$O,'[1]LISTA ETIQUETAS'!F:F,"",0)</f>
        <v>0</v>
      </c>
      <c r="S812" s="2">
        <f>_xlfn.XLOOKUP($A812,'[1]LISTA ETIQUETAS'!$O:$O,'[1]LISTA ETIQUETAS'!H:H,"",0)</f>
        <v>1</v>
      </c>
      <c r="T812" s="9">
        <f t="shared" si="38"/>
        <v>1</v>
      </c>
    </row>
    <row r="813" spans="1:20" x14ac:dyDescent="0.25">
      <c r="A813" s="5">
        <v>117364</v>
      </c>
      <c r="B813" t="str">
        <f>IFERROR((VLOOKUP(A813,'[1]LISTA ETIQUETAS'!O:X,3,0)),"PRODUTO SEM ESTOQUE")</f>
        <v>EST POLTRONA JOB (LACA PRETA BRILHO) TC 10717/001</v>
      </c>
      <c r="C813" s="10" t="s">
        <v>91</v>
      </c>
      <c r="D813" s="10" t="s">
        <v>513</v>
      </c>
      <c r="E813" s="11">
        <f>IF(VLOOKUP(A813,'[1]LISTA ETIQUETAS'!O:W,4,0)="",(VLOOKUP(A813,'[1]LISTA ETIQUETAS'!O:W,6,0)),(VLOOKUP(A813,'[1]LISTA ETIQUETAS'!O:W,4,0)))</f>
        <v>0.74</v>
      </c>
      <c r="F813" s="11">
        <f>IF(VLOOKUP(A813,'[1]LISTA ETIQUETAS'!O:W,5,0)="",(VLOOKUP(A813,'[1]LISTA ETIQUETAS'!O:W,7,0)),(VLOOKUP(A813,'[1]LISTA ETIQUETAS'!O:W,5,0)))</f>
        <v>0.84</v>
      </c>
      <c r="G813" s="11">
        <f>IFERROR((VLOOKUP(A813,'[1]LISTA ETIQUETAS'!O:X,8,0)),"")</f>
        <v>0.73</v>
      </c>
      <c r="H813" s="11">
        <f>IFERROR((VLOOKUP(A813,'[1]LISTA ETIQUETAS'!O:X,9,0)),"")</f>
        <v>0</v>
      </c>
      <c r="I813" s="12" t="str">
        <f>IFERROR((VLOOKUP(A813,'[1]LISTA ETIQUETAS'!O:Y,11,0)),"")</f>
        <v/>
      </c>
      <c r="J813" s="6">
        <v>0</v>
      </c>
      <c r="K813" s="12" t="str">
        <f t="shared" si="36"/>
        <v/>
      </c>
      <c r="L813" s="7" t="str">
        <f>IF(VLOOKUP(A813,'[1]LISTA ETIQUETAS'!O:AB,14,0)="","",(VLOOKUP(A813,'[1]LISTA ETIQUETAS'!O:AB,14,0)))</f>
        <v/>
      </c>
      <c r="M813" s="8"/>
      <c r="N813" s="9">
        <f t="shared" si="37"/>
        <v>117364</v>
      </c>
      <c r="O813" s="2">
        <f>_xlfn.XLOOKUP($A813,'[1]LISTA ETIQUETAS'!$O:$O,'[1]LISTA ETIQUETAS'!C:C,"",0)</f>
        <v>0</v>
      </c>
      <c r="P813" s="2">
        <f>_xlfn.XLOOKUP($A813,'[1]LISTA ETIQUETAS'!$O:$O,'[1]LISTA ETIQUETAS'!D:D,"",0)</f>
        <v>0</v>
      </c>
      <c r="Q813" s="2">
        <f>_xlfn.XLOOKUP($A813,'[1]LISTA ETIQUETAS'!$O:$O,'[1]LISTA ETIQUETAS'!E:E,"",0)</f>
        <v>0</v>
      </c>
      <c r="R813" s="2">
        <f>_xlfn.XLOOKUP($A813,'[1]LISTA ETIQUETAS'!$O:$O,'[1]LISTA ETIQUETAS'!F:F,"",0)</f>
        <v>0</v>
      </c>
      <c r="S813" s="2">
        <f>_xlfn.XLOOKUP($A813,'[1]LISTA ETIQUETAS'!$O:$O,'[1]LISTA ETIQUETAS'!H:H,"",0)</f>
        <v>1</v>
      </c>
      <c r="T813" s="9">
        <f t="shared" si="38"/>
        <v>1</v>
      </c>
    </row>
    <row r="814" spans="1:20" x14ac:dyDescent="0.25">
      <c r="A814" s="5">
        <v>123299</v>
      </c>
      <c r="B814" t="str">
        <f>IFERROR((VLOOKUP(A814,'[1]LISTA ETIQUETAS'!O:X,3,0)),"PRODUTO SEM ESTOQUE")</f>
        <v>EST POLTRONA TOLEDO (C/ALM) LINHO NAT/DET INT ALG VERDE</v>
      </c>
      <c r="C814" s="10" t="s">
        <v>91</v>
      </c>
      <c r="D814" s="10" t="s">
        <v>508</v>
      </c>
      <c r="E814" s="11">
        <f>IF(VLOOKUP(A814,'[1]LISTA ETIQUETAS'!O:W,4,0)="",(VLOOKUP(A814,'[1]LISTA ETIQUETAS'!O:W,6,0)),(VLOOKUP(A814,'[1]LISTA ETIQUETAS'!O:W,4,0)))</f>
        <v>0.7</v>
      </c>
      <c r="F814" s="11">
        <f>IF(VLOOKUP(A814,'[1]LISTA ETIQUETAS'!O:W,5,0)="",(VLOOKUP(A814,'[1]LISTA ETIQUETAS'!O:W,7,0)),(VLOOKUP(A814,'[1]LISTA ETIQUETAS'!O:W,5,0)))</f>
        <v>0.66</v>
      </c>
      <c r="G814" s="11">
        <f>IFERROR((VLOOKUP(A814,'[1]LISTA ETIQUETAS'!O:X,8,0)),"")</f>
        <v>0.66</v>
      </c>
      <c r="H814" s="11">
        <f>IFERROR((VLOOKUP(A814,'[1]LISTA ETIQUETAS'!O:X,9,0)),"")</f>
        <v>0</v>
      </c>
      <c r="I814" s="12">
        <f>IFERROR((VLOOKUP(A814,'[1]LISTA ETIQUETAS'!O:Y,11,0)),"")</f>
        <v>10389.120000000001</v>
      </c>
      <c r="J814" s="6">
        <v>0</v>
      </c>
      <c r="K814" s="12">
        <f t="shared" si="36"/>
        <v>10389.120000000001</v>
      </c>
      <c r="L814" s="7" t="str">
        <f>IF(VLOOKUP(A814,'[1]LISTA ETIQUETAS'!O:AB,14,0)="","",(VLOOKUP(A814,'[1]LISTA ETIQUETAS'!O:AB,14,0)))</f>
        <v/>
      </c>
      <c r="M814" s="8"/>
      <c r="N814" s="9">
        <f t="shared" si="37"/>
        <v>123299</v>
      </c>
      <c r="O814" s="2">
        <f>_xlfn.XLOOKUP($A814,'[1]LISTA ETIQUETAS'!$O:$O,'[1]LISTA ETIQUETAS'!C:C,"",0)</f>
        <v>0</v>
      </c>
      <c r="P814" s="2">
        <f>_xlfn.XLOOKUP($A814,'[1]LISTA ETIQUETAS'!$O:$O,'[1]LISTA ETIQUETAS'!D:D,"",0)</f>
        <v>0</v>
      </c>
      <c r="Q814" s="2">
        <f>_xlfn.XLOOKUP($A814,'[1]LISTA ETIQUETAS'!$O:$O,'[1]LISTA ETIQUETAS'!E:E,"",0)</f>
        <v>0</v>
      </c>
      <c r="R814" s="2">
        <f>_xlfn.XLOOKUP($A814,'[1]LISTA ETIQUETAS'!$O:$O,'[1]LISTA ETIQUETAS'!F:F,"",0)</f>
        <v>0</v>
      </c>
      <c r="S814" s="2">
        <f>_xlfn.XLOOKUP($A814,'[1]LISTA ETIQUETAS'!$O:$O,'[1]LISTA ETIQUETAS'!H:H,"",0)</f>
        <v>1</v>
      </c>
      <c r="T814" s="9">
        <f t="shared" si="38"/>
        <v>1</v>
      </c>
    </row>
    <row r="815" spans="1:20" x14ac:dyDescent="0.25">
      <c r="A815" s="5">
        <v>120615</v>
      </c>
      <c r="B815" t="str">
        <f>IFERROR((VLOOKUP(A815,'[1]LISTA ETIQUETAS'!O:X,3,0)),"PRODUTO SEM ESTOQUE")</f>
        <v>EST POLTRONA BEBELA ACO INOX PINT M017/CORDA AZUL/TC11202263</v>
      </c>
      <c r="C815" s="10" t="s">
        <v>91</v>
      </c>
      <c r="D815" s="10" t="s">
        <v>514</v>
      </c>
      <c r="E815" s="11">
        <f>IF(VLOOKUP(A815,'[1]LISTA ETIQUETAS'!O:W,4,0)="",(VLOOKUP(A815,'[1]LISTA ETIQUETAS'!O:W,6,0)),(VLOOKUP(A815,'[1]LISTA ETIQUETAS'!O:W,4,0)))</f>
        <v>0.74</v>
      </c>
      <c r="F815" s="11">
        <f>IF(VLOOKUP(A815,'[1]LISTA ETIQUETAS'!O:W,5,0)="",(VLOOKUP(A815,'[1]LISTA ETIQUETAS'!O:W,7,0)),(VLOOKUP(A815,'[1]LISTA ETIQUETAS'!O:W,5,0)))</f>
        <v>0.78</v>
      </c>
      <c r="G815" s="11">
        <f>IFERROR((VLOOKUP(A815,'[1]LISTA ETIQUETAS'!O:X,8,0)),"")</f>
        <v>0.85</v>
      </c>
      <c r="H815" s="11">
        <f>IFERROR((VLOOKUP(A815,'[1]LISTA ETIQUETAS'!O:X,9,0)),"")</f>
        <v>0</v>
      </c>
      <c r="I815" s="12">
        <f>IFERROR((VLOOKUP(A815,'[1]LISTA ETIQUETAS'!O:Y,11,0)),"")</f>
        <v>10719.16</v>
      </c>
      <c r="J815" s="6">
        <v>0</v>
      </c>
      <c r="K815" s="12">
        <f t="shared" si="36"/>
        <v>10719.16</v>
      </c>
      <c r="L815" s="7" t="str">
        <f>IF(VLOOKUP(A815,'[1]LISTA ETIQUETAS'!O:AB,14,0)="","",(VLOOKUP(A815,'[1]LISTA ETIQUETAS'!O:AB,14,0)))</f>
        <v/>
      </c>
      <c r="M815" s="8"/>
      <c r="N815" s="9">
        <f t="shared" si="37"/>
        <v>120615</v>
      </c>
      <c r="O815" s="2">
        <f>_xlfn.XLOOKUP($A815,'[1]LISTA ETIQUETAS'!$O:$O,'[1]LISTA ETIQUETAS'!C:C,"",0)</f>
        <v>0</v>
      </c>
      <c r="P815" s="2">
        <f>_xlfn.XLOOKUP($A815,'[1]LISTA ETIQUETAS'!$O:$O,'[1]LISTA ETIQUETAS'!D:D,"",0)</f>
        <v>0</v>
      </c>
      <c r="Q815" s="2">
        <f>_xlfn.XLOOKUP($A815,'[1]LISTA ETIQUETAS'!$O:$O,'[1]LISTA ETIQUETAS'!E:E,"",0)</f>
        <v>0</v>
      </c>
      <c r="R815" s="2">
        <f>_xlfn.XLOOKUP($A815,'[1]LISTA ETIQUETAS'!$O:$O,'[1]LISTA ETIQUETAS'!F:F,"",0)</f>
        <v>0</v>
      </c>
      <c r="S815" s="2">
        <f>_xlfn.XLOOKUP($A815,'[1]LISTA ETIQUETAS'!$O:$O,'[1]LISTA ETIQUETAS'!H:H,"",0)</f>
        <v>1</v>
      </c>
      <c r="T815" s="9">
        <f t="shared" si="38"/>
        <v>1</v>
      </c>
    </row>
    <row r="816" spans="1:20" x14ac:dyDescent="0.25">
      <c r="A816" s="5">
        <v>65456</v>
      </c>
      <c r="B816" t="str">
        <f>IFERROR((VLOOKUP(A816,'[1]LISTA ETIQUETAS'!O:X,3,0)),"PRODUTO SEM ESTOQUE")</f>
        <v>EST POLTRONA CANADA (FIBRA CHOCOLATE MESCLA) TC CRU</v>
      </c>
      <c r="C816" s="10" t="s">
        <v>91</v>
      </c>
      <c r="D816" s="10" t="s">
        <v>515</v>
      </c>
      <c r="E816" s="11">
        <f>IF(VLOOKUP(A816,'[1]LISTA ETIQUETAS'!O:W,4,0)="",(VLOOKUP(A816,'[1]LISTA ETIQUETAS'!O:W,6,0)),(VLOOKUP(A816,'[1]LISTA ETIQUETAS'!O:W,4,0)))</f>
        <v>0.7</v>
      </c>
      <c r="F816" s="11">
        <f>IF(VLOOKUP(A816,'[1]LISTA ETIQUETAS'!O:W,5,0)="",(VLOOKUP(A816,'[1]LISTA ETIQUETAS'!O:W,7,0)),(VLOOKUP(A816,'[1]LISTA ETIQUETAS'!O:W,5,0)))</f>
        <v>0.9</v>
      </c>
      <c r="G816" s="11">
        <f>IFERROR((VLOOKUP(A816,'[1]LISTA ETIQUETAS'!O:X,8,0)),"")</f>
        <v>0.93</v>
      </c>
      <c r="H816" s="11">
        <f>IFERROR((VLOOKUP(A816,'[1]LISTA ETIQUETAS'!O:X,9,0)),"")</f>
        <v>0</v>
      </c>
      <c r="I816" s="12">
        <f>IFERROR((VLOOKUP(A816,'[1]LISTA ETIQUETAS'!O:Y,11,0)),"")</f>
        <v>0</v>
      </c>
      <c r="J816" s="6">
        <v>0</v>
      </c>
      <c r="K816" s="12">
        <f t="shared" si="36"/>
        <v>0</v>
      </c>
      <c r="L816" s="7" t="str">
        <f>IF(VLOOKUP(A816,'[1]LISTA ETIQUETAS'!O:AB,14,0)="","",(VLOOKUP(A816,'[1]LISTA ETIQUETAS'!O:AB,14,0)))</f>
        <v/>
      </c>
      <c r="M816" s="8"/>
      <c r="N816" s="9">
        <f t="shared" si="37"/>
        <v>65456</v>
      </c>
      <c r="O816" s="2">
        <f>_xlfn.XLOOKUP($A816,'[1]LISTA ETIQUETAS'!$O:$O,'[1]LISTA ETIQUETAS'!C:C,"",0)</f>
        <v>0</v>
      </c>
      <c r="P816" s="2">
        <f>_xlfn.XLOOKUP($A816,'[1]LISTA ETIQUETAS'!$O:$O,'[1]LISTA ETIQUETAS'!D:D,"",0)</f>
        <v>0</v>
      </c>
      <c r="Q816" s="2">
        <f>_xlfn.XLOOKUP($A816,'[1]LISTA ETIQUETAS'!$O:$O,'[1]LISTA ETIQUETAS'!E:E,"",0)</f>
        <v>0</v>
      </c>
      <c r="R816" s="2">
        <f>_xlfn.XLOOKUP($A816,'[1]LISTA ETIQUETAS'!$O:$O,'[1]LISTA ETIQUETAS'!F:F,"",0)</f>
        <v>0</v>
      </c>
      <c r="S816" s="2">
        <f>_xlfn.XLOOKUP($A816,'[1]LISTA ETIQUETAS'!$O:$O,'[1]LISTA ETIQUETAS'!H:H,"",0)</f>
        <v>1</v>
      </c>
      <c r="T816" s="9">
        <f t="shared" si="38"/>
        <v>1</v>
      </c>
    </row>
    <row r="817" spans="1:20" x14ac:dyDescent="0.25">
      <c r="A817" s="5">
        <v>63557</v>
      </c>
      <c r="B817" t="str">
        <f>IFERROR((VLOOKUP(A817,'[1]LISTA ETIQUETAS'!O:X,3,0)),"PRODUTO SEM ESTOQUE")</f>
        <v>EST POLTRONA MILAO (MESCLADO AVELA) TC FORN</v>
      </c>
      <c r="C817" s="10" t="s">
        <v>91</v>
      </c>
      <c r="D817" s="10" t="s">
        <v>516</v>
      </c>
      <c r="E817" s="11">
        <f>IF(VLOOKUP(A817,'[1]LISTA ETIQUETAS'!O:W,4,0)="",(VLOOKUP(A817,'[1]LISTA ETIQUETAS'!O:W,6,0)),(VLOOKUP(A817,'[1]LISTA ETIQUETAS'!O:W,4,0)))</f>
        <v>1</v>
      </c>
      <c r="F817" s="11">
        <f>IF(VLOOKUP(A817,'[1]LISTA ETIQUETAS'!O:W,5,0)="",(VLOOKUP(A817,'[1]LISTA ETIQUETAS'!O:W,7,0)),(VLOOKUP(A817,'[1]LISTA ETIQUETAS'!O:W,5,0)))</f>
        <v>0.7</v>
      </c>
      <c r="G817" s="11">
        <f>IFERROR((VLOOKUP(A817,'[1]LISTA ETIQUETAS'!O:X,8,0)),"")</f>
        <v>0.75</v>
      </c>
      <c r="H817" s="11">
        <f>IFERROR((VLOOKUP(A817,'[1]LISTA ETIQUETAS'!O:X,9,0)),"")</f>
        <v>0</v>
      </c>
      <c r="I817" s="12">
        <f>IFERROR((VLOOKUP(A817,'[1]LISTA ETIQUETAS'!O:Y,11,0)),"")</f>
        <v>0</v>
      </c>
      <c r="J817" s="6">
        <v>0</v>
      </c>
      <c r="K817" s="12">
        <f t="shared" si="36"/>
        <v>0</v>
      </c>
      <c r="L817" s="7" t="str">
        <f>IF(VLOOKUP(A817,'[1]LISTA ETIQUETAS'!O:AB,14,0)="","",(VLOOKUP(A817,'[1]LISTA ETIQUETAS'!O:AB,14,0)))</f>
        <v/>
      </c>
      <c r="M817" s="8"/>
      <c r="N817" s="9">
        <f t="shared" si="37"/>
        <v>63557</v>
      </c>
      <c r="O817" s="2">
        <f>_xlfn.XLOOKUP($A817,'[1]LISTA ETIQUETAS'!$O:$O,'[1]LISTA ETIQUETAS'!C:C,"",0)</f>
        <v>0</v>
      </c>
      <c r="P817" s="2">
        <f>_xlfn.XLOOKUP($A817,'[1]LISTA ETIQUETAS'!$O:$O,'[1]LISTA ETIQUETAS'!D:D,"",0)</f>
        <v>0</v>
      </c>
      <c r="Q817" s="2">
        <f>_xlfn.XLOOKUP($A817,'[1]LISTA ETIQUETAS'!$O:$O,'[1]LISTA ETIQUETAS'!E:E,"",0)</f>
        <v>0</v>
      </c>
      <c r="R817" s="2">
        <f>_xlfn.XLOOKUP($A817,'[1]LISTA ETIQUETAS'!$O:$O,'[1]LISTA ETIQUETAS'!F:F,"",0)</f>
        <v>0</v>
      </c>
      <c r="S817" s="2">
        <f>_xlfn.XLOOKUP($A817,'[1]LISTA ETIQUETAS'!$O:$O,'[1]LISTA ETIQUETAS'!H:H,"",0)</f>
        <v>1</v>
      </c>
      <c r="T817" s="9">
        <f t="shared" si="38"/>
        <v>1</v>
      </c>
    </row>
    <row r="818" spans="1:20" x14ac:dyDescent="0.25">
      <c r="A818" s="5">
        <v>113384</v>
      </c>
      <c r="B818" t="str">
        <f>IFERROR((VLOOKUP(A818,'[1]LISTA ETIQUETAS'!O:X,3,0)),"PRODUTO SEM ESTOQUE")</f>
        <v>EST POLTRONA BEBELA INOX POLIDO/CORDA BEGE/CRU TC4588 ESC07</v>
      </c>
      <c r="C818" s="10" t="s">
        <v>91</v>
      </c>
      <c r="D818" s="10" t="s">
        <v>514</v>
      </c>
      <c r="E818" s="11">
        <f>IF(VLOOKUP(A818,'[1]LISTA ETIQUETAS'!O:W,4,0)="",(VLOOKUP(A818,'[1]LISTA ETIQUETAS'!O:W,6,0)),(VLOOKUP(A818,'[1]LISTA ETIQUETAS'!O:W,4,0)))</f>
        <v>0.74</v>
      </c>
      <c r="F818" s="11">
        <f>IF(VLOOKUP(A818,'[1]LISTA ETIQUETAS'!O:W,5,0)="",(VLOOKUP(A818,'[1]LISTA ETIQUETAS'!O:W,7,0)),(VLOOKUP(A818,'[1]LISTA ETIQUETAS'!O:W,5,0)))</f>
        <v>0.78</v>
      </c>
      <c r="G818" s="11">
        <f>IFERROR((VLOOKUP(A818,'[1]LISTA ETIQUETAS'!O:X,8,0)),"")</f>
        <v>0.85</v>
      </c>
      <c r="H818" s="11">
        <f>IFERROR((VLOOKUP(A818,'[1]LISTA ETIQUETAS'!O:X,9,0)),"")</f>
        <v>0</v>
      </c>
      <c r="I818" s="12">
        <f>IFERROR((VLOOKUP(A818,'[1]LISTA ETIQUETAS'!O:Y,11,0)),"")</f>
        <v>10719.16</v>
      </c>
      <c r="J818" s="6">
        <v>0</v>
      </c>
      <c r="K818" s="12">
        <f t="shared" si="36"/>
        <v>10719.16</v>
      </c>
      <c r="L818" s="7" t="str">
        <f>IF(VLOOKUP(A818,'[1]LISTA ETIQUETAS'!O:AB,14,0)="","",(VLOOKUP(A818,'[1]LISTA ETIQUETAS'!O:AB,14,0)))</f>
        <v/>
      </c>
      <c r="M818" s="8"/>
      <c r="N818" s="9">
        <f t="shared" si="37"/>
        <v>113384</v>
      </c>
      <c r="O818" s="2">
        <f>_xlfn.XLOOKUP($A818,'[1]LISTA ETIQUETAS'!$O:$O,'[1]LISTA ETIQUETAS'!C:C,"",0)</f>
        <v>0</v>
      </c>
      <c r="P818" s="2">
        <f>_xlfn.XLOOKUP($A818,'[1]LISTA ETIQUETAS'!$O:$O,'[1]LISTA ETIQUETAS'!D:D,"",0)</f>
        <v>0</v>
      </c>
      <c r="Q818" s="2">
        <f>_xlfn.XLOOKUP($A818,'[1]LISTA ETIQUETAS'!$O:$O,'[1]LISTA ETIQUETAS'!E:E,"",0)</f>
        <v>0</v>
      </c>
      <c r="R818" s="2">
        <f>_xlfn.XLOOKUP($A818,'[1]LISTA ETIQUETAS'!$O:$O,'[1]LISTA ETIQUETAS'!F:F,"",0)</f>
        <v>0</v>
      </c>
      <c r="S818" s="2">
        <f>_xlfn.XLOOKUP($A818,'[1]LISTA ETIQUETAS'!$O:$O,'[1]LISTA ETIQUETAS'!H:H,"",0)</f>
        <v>1</v>
      </c>
      <c r="T818" s="9">
        <f t="shared" si="38"/>
        <v>1</v>
      </c>
    </row>
    <row r="819" spans="1:20" x14ac:dyDescent="0.25">
      <c r="A819" s="5">
        <v>113370</v>
      </c>
      <c r="B819" t="str">
        <f>IFERROR((VLOOKUP(A819,'[1]LISTA ETIQUETAS'!O:X,3,0)),"PRODUTO SEM ESTOQUE")</f>
        <v>EST POLTRONA MARIA TC NEVOA</v>
      </c>
      <c r="C819" s="10" t="s">
        <v>91</v>
      </c>
      <c r="D819" s="10" t="s">
        <v>517</v>
      </c>
      <c r="E819" s="11">
        <f>IF(VLOOKUP(A819,'[1]LISTA ETIQUETAS'!O:W,4,0)="",(VLOOKUP(A819,'[1]LISTA ETIQUETAS'!O:W,6,0)),(VLOOKUP(A819,'[1]LISTA ETIQUETAS'!O:W,4,0)))</f>
        <v>0.6</v>
      </c>
      <c r="F819" s="11">
        <f>IF(VLOOKUP(A819,'[1]LISTA ETIQUETAS'!O:W,5,0)="",(VLOOKUP(A819,'[1]LISTA ETIQUETAS'!O:W,7,0)),(VLOOKUP(A819,'[1]LISTA ETIQUETAS'!O:W,5,0)))</f>
        <v>0.97</v>
      </c>
      <c r="G819" s="11">
        <f>IFERROR((VLOOKUP(A819,'[1]LISTA ETIQUETAS'!O:X,8,0)),"")</f>
        <v>0.63</v>
      </c>
      <c r="H819" s="11">
        <f>IFERROR((VLOOKUP(A819,'[1]LISTA ETIQUETAS'!O:X,9,0)),"")</f>
        <v>0</v>
      </c>
      <c r="I819" s="12">
        <f>IFERROR((VLOOKUP(A819,'[1]LISTA ETIQUETAS'!O:Y,11,0)),"")</f>
        <v>0</v>
      </c>
      <c r="J819" s="6">
        <v>0</v>
      </c>
      <c r="K819" s="12">
        <f t="shared" si="36"/>
        <v>0</v>
      </c>
      <c r="L819" s="7" t="str">
        <f>IF(VLOOKUP(A819,'[1]LISTA ETIQUETAS'!O:AB,14,0)="","",(VLOOKUP(A819,'[1]LISTA ETIQUETAS'!O:AB,14,0)))</f>
        <v/>
      </c>
      <c r="M819" s="8"/>
      <c r="N819" s="9">
        <f t="shared" si="37"/>
        <v>113370</v>
      </c>
      <c r="O819" s="2">
        <f>_xlfn.XLOOKUP($A819,'[1]LISTA ETIQUETAS'!$O:$O,'[1]LISTA ETIQUETAS'!C:C,"",0)</f>
        <v>0</v>
      </c>
      <c r="P819" s="2">
        <f>_xlfn.XLOOKUP($A819,'[1]LISTA ETIQUETAS'!$O:$O,'[1]LISTA ETIQUETAS'!D:D,"",0)</f>
        <v>0</v>
      </c>
      <c r="Q819" s="2">
        <f>_xlfn.XLOOKUP($A819,'[1]LISTA ETIQUETAS'!$O:$O,'[1]LISTA ETIQUETAS'!E:E,"",0)</f>
        <v>0</v>
      </c>
      <c r="R819" s="2">
        <f>_xlfn.XLOOKUP($A819,'[1]LISTA ETIQUETAS'!$O:$O,'[1]LISTA ETIQUETAS'!F:F,"",0)</f>
        <v>0</v>
      </c>
      <c r="S819" s="2">
        <f>_xlfn.XLOOKUP($A819,'[1]LISTA ETIQUETAS'!$O:$O,'[1]LISTA ETIQUETAS'!H:H,"",0)</f>
        <v>2</v>
      </c>
      <c r="T819" s="9">
        <f t="shared" si="38"/>
        <v>2</v>
      </c>
    </row>
    <row r="820" spans="1:20" x14ac:dyDescent="0.25">
      <c r="A820" s="5">
        <v>63559</v>
      </c>
      <c r="B820" t="str">
        <f>IFERROR((VLOOKUP(A820,'[1]LISTA ETIQUETAS'!O:X,3,0)),"PRODUTO SEM ESTOQUE")</f>
        <v>EST POLTRONA MOON (FIBERGLASS BRANCA) TC PLUMBEO GRAPE</v>
      </c>
      <c r="C820" s="10" t="s">
        <v>91</v>
      </c>
      <c r="D820" s="10" t="s">
        <v>518</v>
      </c>
      <c r="E820" s="11">
        <f>IF(VLOOKUP(A820,'[1]LISTA ETIQUETAS'!O:W,4,0)="",(VLOOKUP(A820,'[1]LISTA ETIQUETAS'!O:W,6,0)),(VLOOKUP(A820,'[1]LISTA ETIQUETAS'!O:W,4,0)))</f>
        <v>0</v>
      </c>
      <c r="F820" s="11">
        <f>IF(VLOOKUP(A820,'[1]LISTA ETIQUETAS'!O:W,5,0)="",(VLOOKUP(A820,'[1]LISTA ETIQUETAS'!O:W,7,0)),(VLOOKUP(A820,'[1]LISTA ETIQUETAS'!O:W,5,0)))</f>
        <v>0</v>
      </c>
      <c r="G820" s="11">
        <f>IFERROR((VLOOKUP(A820,'[1]LISTA ETIQUETAS'!O:X,8,0)),"")</f>
        <v>0</v>
      </c>
      <c r="H820" s="11">
        <f>IFERROR((VLOOKUP(A820,'[1]LISTA ETIQUETAS'!O:X,9,0)),"")</f>
        <v>0</v>
      </c>
      <c r="I820" s="12">
        <f>IFERROR((VLOOKUP(A820,'[1]LISTA ETIQUETAS'!O:Y,11,0)),"")</f>
        <v>0</v>
      </c>
      <c r="J820" s="6">
        <v>0</v>
      </c>
      <c r="K820" s="12">
        <f t="shared" si="36"/>
        <v>0</v>
      </c>
      <c r="L820" s="7" t="str">
        <f>IF(VLOOKUP(A820,'[1]LISTA ETIQUETAS'!O:AB,14,0)="","",(VLOOKUP(A820,'[1]LISTA ETIQUETAS'!O:AB,14,0)))</f>
        <v/>
      </c>
      <c r="M820" s="8"/>
      <c r="N820" s="9">
        <f t="shared" si="37"/>
        <v>63559</v>
      </c>
      <c r="O820" s="2">
        <f>_xlfn.XLOOKUP($A820,'[1]LISTA ETIQUETAS'!$O:$O,'[1]LISTA ETIQUETAS'!C:C,"",0)</f>
        <v>0</v>
      </c>
      <c r="P820" s="2">
        <f>_xlfn.XLOOKUP($A820,'[1]LISTA ETIQUETAS'!$O:$O,'[1]LISTA ETIQUETAS'!D:D,"",0)</f>
        <v>0</v>
      </c>
      <c r="Q820" s="2">
        <f>_xlfn.XLOOKUP($A820,'[1]LISTA ETIQUETAS'!$O:$O,'[1]LISTA ETIQUETAS'!E:E,"",0)</f>
        <v>0</v>
      </c>
      <c r="R820" s="2">
        <f>_xlfn.XLOOKUP($A820,'[1]LISTA ETIQUETAS'!$O:$O,'[1]LISTA ETIQUETAS'!F:F,"",0)</f>
        <v>0</v>
      </c>
      <c r="S820" s="2">
        <f>_xlfn.XLOOKUP($A820,'[1]LISTA ETIQUETAS'!$O:$O,'[1]LISTA ETIQUETAS'!H:H,"",0)</f>
        <v>1</v>
      </c>
      <c r="T820" s="9">
        <f t="shared" si="38"/>
        <v>1</v>
      </c>
    </row>
    <row r="821" spans="1:20" x14ac:dyDescent="0.25">
      <c r="A821" s="5">
        <v>124936</v>
      </c>
      <c r="B821" t="str">
        <f>IFERROR((VLOOKUP(A821,'[1]LISTA ETIQUETAS'!O:X,3,0)),"PRODUTO SEM ESTOQUE")</f>
        <v>EST POLTRONA MIRAH ESTOFADA (TAUARI IMBUIA MEL) TC 115#05</v>
      </c>
      <c r="C821" s="10" t="s">
        <v>91</v>
      </c>
      <c r="D821" s="10" t="s">
        <v>519</v>
      </c>
      <c r="E821" s="11">
        <f>IF(VLOOKUP(A821,'[1]LISTA ETIQUETAS'!O:W,4,0)="",(VLOOKUP(A821,'[1]LISTA ETIQUETAS'!O:W,6,0)),(VLOOKUP(A821,'[1]LISTA ETIQUETAS'!O:W,4,0)))</f>
        <v>0.75</v>
      </c>
      <c r="F821" s="11">
        <f>IF(VLOOKUP(A821,'[1]LISTA ETIQUETAS'!O:W,5,0)="",(VLOOKUP(A821,'[1]LISTA ETIQUETAS'!O:W,7,0)),(VLOOKUP(A821,'[1]LISTA ETIQUETAS'!O:W,5,0)))</f>
        <v>0.8</v>
      </c>
      <c r="G821" s="11">
        <f>IFERROR((VLOOKUP(A821,'[1]LISTA ETIQUETAS'!O:X,8,0)),"")</f>
        <v>0.68</v>
      </c>
      <c r="H821" s="11">
        <f>IFERROR((VLOOKUP(A821,'[1]LISTA ETIQUETAS'!O:X,9,0)),"")</f>
        <v>0</v>
      </c>
      <c r="I821" s="12">
        <f>IFERROR((VLOOKUP(A821,'[1]LISTA ETIQUETAS'!O:Y,11,0)),"")</f>
        <v>24053.119999999999</v>
      </c>
      <c r="J821" s="6">
        <v>0</v>
      </c>
      <c r="K821" s="12">
        <f t="shared" si="36"/>
        <v>24053.119999999999</v>
      </c>
      <c r="L821" s="7" t="str">
        <f>IF(VLOOKUP(A821,'[1]LISTA ETIQUETAS'!O:AB,14,0)="","",(VLOOKUP(A821,'[1]LISTA ETIQUETAS'!O:AB,14,0)))</f>
        <v/>
      </c>
      <c r="M821" s="8"/>
      <c r="N821" s="9">
        <f t="shared" si="37"/>
        <v>124936</v>
      </c>
      <c r="O821" s="2">
        <f>_xlfn.XLOOKUP($A821,'[1]LISTA ETIQUETAS'!$O:$O,'[1]LISTA ETIQUETAS'!C:C,"",0)</f>
        <v>0</v>
      </c>
      <c r="P821" s="2">
        <f>_xlfn.XLOOKUP($A821,'[1]LISTA ETIQUETAS'!$O:$O,'[1]LISTA ETIQUETAS'!D:D,"",0)</f>
        <v>0</v>
      </c>
      <c r="Q821" s="2">
        <f>_xlfn.XLOOKUP($A821,'[1]LISTA ETIQUETAS'!$O:$O,'[1]LISTA ETIQUETAS'!E:E,"",0)</f>
        <v>0</v>
      </c>
      <c r="R821" s="2">
        <f>_xlfn.XLOOKUP($A821,'[1]LISTA ETIQUETAS'!$O:$O,'[1]LISTA ETIQUETAS'!F:F,"",0)</f>
        <v>0</v>
      </c>
      <c r="S821" s="2">
        <f>_xlfn.XLOOKUP($A821,'[1]LISTA ETIQUETAS'!$O:$O,'[1]LISTA ETIQUETAS'!H:H,"",0)</f>
        <v>1</v>
      </c>
      <c r="T821" s="9">
        <f t="shared" si="38"/>
        <v>1</v>
      </c>
    </row>
    <row r="822" spans="1:20" x14ac:dyDescent="0.25">
      <c r="A822" s="5">
        <v>128711</v>
      </c>
      <c r="B822" t="str">
        <f>IFERROR((VLOOKUP(A822,'[1]LISTA ETIQUETAS'!O:X,3,0)),"PRODUTO SEM ESTOQUE")</f>
        <v>EST POLTRONA CUSCO (CATUABA PU) LINHO BELGICA NAT17 COSTURA</v>
      </c>
      <c r="C822" s="10" t="s">
        <v>91</v>
      </c>
      <c r="D822" s="10" t="s">
        <v>520</v>
      </c>
      <c r="E822" s="11">
        <f>IF(VLOOKUP(A822,'[1]LISTA ETIQUETAS'!O:W,4,0)="",(VLOOKUP(A822,'[1]LISTA ETIQUETAS'!O:W,6,0)),(VLOOKUP(A822,'[1]LISTA ETIQUETAS'!O:W,4,0)))</f>
        <v>1</v>
      </c>
      <c r="F822" s="11">
        <f>IF(VLOOKUP(A822,'[1]LISTA ETIQUETAS'!O:W,5,0)="",(VLOOKUP(A822,'[1]LISTA ETIQUETAS'!O:W,7,0)),(VLOOKUP(A822,'[1]LISTA ETIQUETAS'!O:W,5,0)))</f>
        <v>0.82</v>
      </c>
      <c r="G822" s="11">
        <f>IFERROR((VLOOKUP(A822,'[1]LISTA ETIQUETAS'!O:X,8,0)),"")</f>
        <v>0.72</v>
      </c>
      <c r="H822" s="11">
        <f>IFERROR((VLOOKUP(A822,'[1]LISTA ETIQUETAS'!O:X,9,0)),"")</f>
        <v>0</v>
      </c>
      <c r="I822" s="12">
        <f>IFERROR((VLOOKUP(A822,'[1]LISTA ETIQUETAS'!O:Y,11,0)),"")</f>
        <v>15648.64</v>
      </c>
      <c r="J822" s="6">
        <v>0</v>
      </c>
      <c r="K822" s="12">
        <f t="shared" si="36"/>
        <v>15648.64</v>
      </c>
      <c r="L822" s="7" t="str">
        <f>IF(VLOOKUP(A822,'[1]LISTA ETIQUETAS'!O:AB,14,0)="","",(VLOOKUP(A822,'[1]LISTA ETIQUETAS'!O:AB,14,0)))</f>
        <v/>
      </c>
      <c r="M822" s="8"/>
      <c r="N822" s="9">
        <f t="shared" si="37"/>
        <v>128711</v>
      </c>
      <c r="O822" s="2">
        <f>_xlfn.XLOOKUP($A822,'[1]LISTA ETIQUETAS'!$O:$O,'[1]LISTA ETIQUETAS'!C:C,"",0)</f>
        <v>0</v>
      </c>
      <c r="P822" s="2">
        <f>_xlfn.XLOOKUP($A822,'[1]LISTA ETIQUETAS'!$O:$O,'[1]LISTA ETIQUETAS'!D:D,"",0)</f>
        <v>0</v>
      </c>
      <c r="Q822" s="2">
        <f>_xlfn.XLOOKUP($A822,'[1]LISTA ETIQUETAS'!$O:$O,'[1]LISTA ETIQUETAS'!E:E,"",0)</f>
        <v>0</v>
      </c>
      <c r="R822" s="2">
        <f>_xlfn.XLOOKUP($A822,'[1]LISTA ETIQUETAS'!$O:$O,'[1]LISTA ETIQUETAS'!F:F,"",0)</f>
        <v>0</v>
      </c>
      <c r="S822" s="2">
        <f>_xlfn.XLOOKUP($A822,'[1]LISTA ETIQUETAS'!$O:$O,'[1]LISTA ETIQUETAS'!H:H,"",0)</f>
        <v>1</v>
      </c>
      <c r="T822" s="9">
        <f t="shared" si="38"/>
        <v>1</v>
      </c>
    </row>
    <row r="823" spans="1:20" x14ac:dyDescent="0.25">
      <c r="A823" s="5">
        <v>151023</v>
      </c>
      <c r="B823" t="str">
        <f>IFERROR((VLOOKUP(A823,'[1]LISTA ETIQUETAS'!O:X,3,0)),"PRODUTO SEM ESTOQUE")</f>
        <v>EST POLTRONA DORA (BAIXA) TC SEDA 259 ECO</v>
      </c>
      <c r="C823" s="10" t="s">
        <v>91</v>
      </c>
      <c r="D823" s="10" t="s">
        <v>521</v>
      </c>
      <c r="E823" s="11">
        <f>IF(VLOOKUP(A823,'[1]LISTA ETIQUETAS'!O:W,4,0)="",(VLOOKUP(A823,'[1]LISTA ETIQUETAS'!O:W,6,0)),(VLOOKUP(A823,'[1]LISTA ETIQUETAS'!O:W,4,0)))</f>
        <v>0.76</v>
      </c>
      <c r="F823" s="11">
        <f>IF(VLOOKUP(A823,'[1]LISTA ETIQUETAS'!O:W,5,0)="",(VLOOKUP(A823,'[1]LISTA ETIQUETAS'!O:W,7,0)),(VLOOKUP(A823,'[1]LISTA ETIQUETAS'!O:W,5,0)))</f>
        <v>0.83</v>
      </c>
      <c r="G823" s="11">
        <f>IFERROR((VLOOKUP(A823,'[1]LISTA ETIQUETAS'!O:X,8,0)),"")</f>
        <v>0.7</v>
      </c>
      <c r="H823" s="11">
        <f>IFERROR((VLOOKUP(A823,'[1]LISTA ETIQUETAS'!O:X,9,0)),"")</f>
        <v>0</v>
      </c>
      <c r="I823" s="12">
        <f>IFERROR((VLOOKUP(A823,'[1]LISTA ETIQUETAS'!O:Y,11,0)),"")</f>
        <v>29568</v>
      </c>
      <c r="J823" s="6">
        <v>0</v>
      </c>
      <c r="K823" s="12">
        <f t="shared" si="36"/>
        <v>29568</v>
      </c>
      <c r="L823" s="7" t="str">
        <f>IF(VLOOKUP(A823,'[1]LISTA ETIQUETAS'!O:AB,14,0)="","",(VLOOKUP(A823,'[1]LISTA ETIQUETAS'!O:AB,14,0)))</f>
        <v/>
      </c>
      <c r="M823" s="8"/>
      <c r="N823" s="9">
        <f t="shared" si="37"/>
        <v>151023</v>
      </c>
      <c r="O823" s="2">
        <f>_xlfn.XLOOKUP($A823,'[1]LISTA ETIQUETAS'!$O:$O,'[1]LISTA ETIQUETAS'!C:C,"",0)</f>
        <v>1</v>
      </c>
      <c r="P823" s="2">
        <f>_xlfn.XLOOKUP($A823,'[1]LISTA ETIQUETAS'!$O:$O,'[1]LISTA ETIQUETAS'!D:D,"",0)</f>
        <v>0</v>
      </c>
      <c r="Q823" s="2">
        <f>_xlfn.XLOOKUP($A823,'[1]LISTA ETIQUETAS'!$O:$O,'[1]LISTA ETIQUETAS'!E:E,"",0)</f>
        <v>0</v>
      </c>
      <c r="R823" s="2">
        <f>_xlfn.XLOOKUP($A823,'[1]LISTA ETIQUETAS'!$O:$O,'[1]LISTA ETIQUETAS'!F:F,"",0)</f>
        <v>0</v>
      </c>
      <c r="S823" s="2">
        <f>_xlfn.XLOOKUP($A823,'[1]LISTA ETIQUETAS'!$O:$O,'[1]LISTA ETIQUETAS'!H:H,"",0)</f>
        <v>1</v>
      </c>
      <c r="T823" s="9">
        <f t="shared" si="38"/>
        <v>2</v>
      </c>
    </row>
    <row r="824" spans="1:20" x14ac:dyDescent="0.25">
      <c r="A824" s="5">
        <v>151021</v>
      </c>
      <c r="B824" t="str">
        <f>IFERROR((VLOOKUP(A824,'[1]LISTA ETIQUETAS'!O:X,3,0)),"PRODUTO SEM ESTOQUE")</f>
        <v>EST POLTRONA DORA (ALTA) COURO FIRENZE 600</v>
      </c>
      <c r="C824" s="10" t="s">
        <v>91</v>
      </c>
      <c r="D824" s="10" t="s">
        <v>521</v>
      </c>
      <c r="E824" s="11">
        <f>IF(VLOOKUP(A824,'[1]LISTA ETIQUETAS'!O:W,4,0)="",(VLOOKUP(A824,'[1]LISTA ETIQUETAS'!O:W,6,0)),(VLOOKUP(A824,'[1]LISTA ETIQUETAS'!O:W,4,0)))</f>
        <v>0</v>
      </c>
      <c r="F824" s="11">
        <f>IF(VLOOKUP(A824,'[1]LISTA ETIQUETAS'!O:W,5,0)="",(VLOOKUP(A824,'[1]LISTA ETIQUETAS'!O:W,7,0)),(VLOOKUP(A824,'[1]LISTA ETIQUETAS'!O:W,5,0)))</f>
        <v>0</v>
      </c>
      <c r="G824" s="11">
        <f>IFERROR((VLOOKUP(A824,'[1]LISTA ETIQUETAS'!O:X,8,0)),"")</f>
        <v>0</v>
      </c>
      <c r="H824" s="11">
        <f>IFERROR((VLOOKUP(A824,'[1]LISTA ETIQUETAS'!O:X,9,0)),"")</f>
        <v>0</v>
      </c>
      <c r="I824" s="12">
        <f>IFERROR((VLOOKUP(A824,'[1]LISTA ETIQUETAS'!O:Y,11,0)),"")</f>
        <v>0</v>
      </c>
      <c r="J824" s="6">
        <v>0</v>
      </c>
      <c r="K824" s="12">
        <f t="shared" si="36"/>
        <v>0</v>
      </c>
      <c r="L824" s="7" t="str">
        <f>IF(VLOOKUP(A824,'[1]LISTA ETIQUETAS'!O:AB,14,0)="","",(VLOOKUP(A824,'[1]LISTA ETIQUETAS'!O:AB,14,0)))</f>
        <v/>
      </c>
      <c r="M824" s="8"/>
      <c r="N824" s="9">
        <f t="shared" si="37"/>
        <v>151021</v>
      </c>
      <c r="O824" s="2">
        <f>_xlfn.XLOOKUP($A824,'[1]LISTA ETIQUETAS'!$O:$O,'[1]LISTA ETIQUETAS'!C:C,"",0)</f>
        <v>0</v>
      </c>
      <c r="P824" s="2">
        <f>_xlfn.XLOOKUP($A824,'[1]LISTA ETIQUETAS'!$O:$O,'[1]LISTA ETIQUETAS'!D:D,"",0)</f>
        <v>0</v>
      </c>
      <c r="Q824" s="2">
        <f>_xlfn.XLOOKUP($A824,'[1]LISTA ETIQUETAS'!$O:$O,'[1]LISTA ETIQUETAS'!E:E,"",0)</f>
        <v>0</v>
      </c>
      <c r="R824" s="2">
        <f>_xlfn.XLOOKUP($A824,'[1]LISTA ETIQUETAS'!$O:$O,'[1]LISTA ETIQUETAS'!F:F,"",0)</f>
        <v>0</v>
      </c>
      <c r="S824" s="2">
        <f>_xlfn.XLOOKUP($A824,'[1]LISTA ETIQUETAS'!$O:$O,'[1]LISTA ETIQUETAS'!H:H,"",0)</f>
        <v>1</v>
      </c>
      <c r="T824" s="9">
        <f t="shared" si="38"/>
        <v>1</v>
      </c>
    </row>
    <row r="825" spans="1:20" x14ac:dyDescent="0.25">
      <c r="A825" s="5">
        <v>151548</v>
      </c>
      <c r="B825" t="str">
        <f>IFERROR((VLOOKUP(A825,'[1]LISTA ETIQUETAS'!O:X,3,0)),"PRODUTO SEM ESTOQUE")</f>
        <v>EST POLTRONA STUART TC OFFWHITE</v>
      </c>
      <c r="C825" s="10" t="s">
        <v>91</v>
      </c>
      <c r="D825" s="10" t="s">
        <v>522</v>
      </c>
      <c r="E825" s="11">
        <f>IF(VLOOKUP(A825,'[1]LISTA ETIQUETAS'!O:W,4,0)="",(VLOOKUP(A825,'[1]LISTA ETIQUETAS'!O:W,6,0)),(VLOOKUP(A825,'[1]LISTA ETIQUETAS'!O:W,4,0)))</f>
        <v>0.85</v>
      </c>
      <c r="F825" s="11">
        <f>IF(VLOOKUP(A825,'[1]LISTA ETIQUETAS'!O:W,5,0)="",(VLOOKUP(A825,'[1]LISTA ETIQUETAS'!O:W,7,0)),(VLOOKUP(A825,'[1]LISTA ETIQUETAS'!O:W,5,0)))</f>
        <v>0.95</v>
      </c>
      <c r="G825" s="11">
        <f>IFERROR((VLOOKUP(A825,'[1]LISTA ETIQUETAS'!O:X,8,0)),"")</f>
        <v>0.73</v>
      </c>
      <c r="H825" s="11">
        <f>IFERROR((VLOOKUP(A825,'[1]LISTA ETIQUETAS'!O:X,9,0)),"")</f>
        <v>0</v>
      </c>
      <c r="I825" s="12">
        <f>IFERROR((VLOOKUP(A825,'[1]LISTA ETIQUETAS'!O:Y,11,0)),"")</f>
        <v>14851.2</v>
      </c>
      <c r="J825" s="6">
        <v>0</v>
      </c>
      <c r="K825" s="12">
        <f t="shared" si="36"/>
        <v>14851.2</v>
      </c>
      <c r="L825" s="7" t="str">
        <f>IF(VLOOKUP(A825,'[1]LISTA ETIQUETAS'!O:AB,14,0)="","",(VLOOKUP(A825,'[1]LISTA ETIQUETAS'!O:AB,14,0)))</f>
        <v/>
      </c>
      <c r="M825" s="8"/>
      <c r="N825" s="9">
        <f t="shared" si="37"/>
        <v>151548</v>
      </c>
      <c r="O825" s="2">
        <f>_xlfn.XLOOKUP($A825,'[1]LISTA ETIQUETAS'!$O:$O,'[1]LISTA ETIQUETAS'!C:C,"",0)</f>
        <v>0</v>
      </c>
      <c r="P825" s="2">
        <f>_xlfn.XLOOKUP($A825,'[1]LISTA ETIQUETAS'!$O:$O,'[1]LISTA ETIQUETAS'!D:D,"",0)</f>
        <v>0</v>
      </c>
      <c r="Q825" s="2">
        <f>_xlfn.XLOOKUP($A825,'[1]LISTA ETIQUETAS'!$O:$O,'[1]LISTA ETIQUETAS'!E:E,"",0)</f>
        <v>0</v>
      </c>
      <c r="R825" s="2">
        <f>_xlfn.XLOOKUP($A825,'[1]LISTA ETIQUETAS'!$O:$O,'[1]LISTA ETIQUETAS'!F:F,"",0)</f>
        <v>0</v>
      </c>
      <c r="S825" s="2">
        <f>_xlfn.XLOOKUP($A825,'[1]LISTA ETIQUETAS'!$O:$O,'[1]LISTA ETIQUETAS'!H:H,"",0)</f>
        <v>1</v>
      </c>
      <c r="T825" s="9">
        <f t="shared" si="38"/>
        <v>1</v>
      </c>
    </row>
    <row r="826" spans="1:20" x14ac:dyDescent="0.25">
      <c r="A826" s="5">
        <v>151612</v>
      </c>
      <c r="B826" t="str">
        <f>IFERROR((VLOOKUP(A826,'[1]LISTA ETIQUETAS'!O:X,3,0)),"PRODUTO SEM ESTOQUE")</f>
        <v>EST POLTRONA VEGA (TABOA TRANCADA NATURAL) TC FOLEY/AQUA</v>
      </c>
      <c r="C826" s="10" t="s">
        <v>91</v>
      </c>
      <c r="D826" s="10" t="s">
        <v>523</v>
      </c>
      <c r="E826" s="11">
        <f>IF(VLOOKUP(A826,'[1]LISTA ETIQUETAS'!O:W,4,0)="",(VLOOKUP(A826,'[1]LISTA ETIQUETAS'!O:W,6,0)),(VLOOKUP(A826,'[1]LISTA ETIQUETAS'!O:W,4,0)))</f>
        <v>0.77</v>
      </c>
      <c r="F826" s="11">
        <f>IF(VLOOKUP(A826,'[1]LISTA ETIQUETAS'!O:W,5,0)="",(VLOOKUP(A826,'[1]LISTA ETIQUETAS'!O:W,7,0)),(VLOOKUP(A826,'[1]LISTA ETIQUETAS'!O:W,5,0)))</f>
        <v>0.88</v>
      </c>
      <c r="G826" s="11">
        <f>IFERROR((VLOOKUP(A826,'[1]LISTA ETIQUETAS'!O:X,8,0)),"")</f>
        <v>0.88</v>
      </c>
      <c r="H826" s="11">
        <f>IFERROR((VLOOKUP(A826,'[1]LISTA ETIQUETAS'!O:X,9,0)),"")</f>
        <v>0</v>
      </c>
      <c r="I826" s="12">
        <f>IFERROR((VLOOKUP(A826,'[1]LISTA ETIQUETAS'!O:Y,11,0)),"")</f>
        <v>0</v>
      </c>
      <c r="J826" s="6">
        <v>0</v>
      </c>
      <c r="K826" s="12">
        <f t="shared" si="36"/>
        <v>0</v>
      </c>
      <c r="L826" s="7" t="str">
        <f>IF(VLOOKUP(A826,'[1]LISTA ETIQUETAS'!O:AB,14,0)="","",(VLOOKUP(A826,'[1]LISTA ETIQUETAS'!O:AB,14,0)))</f>
        <v/>
      </c>
      <c r="M826" s="8"/>
      <c r="N826" s="9">
        <f t="shared" si="37"/>
        <v>151612</v>
      </c>
      <c r="O826" s="2">
        <f>_xlfn.XLOOKUP($A826,'[1]LISTA ETIQUETAS'!$O:$O,'[1]LISTA ETIQUETAS'!C:C,"",0)</f>
        <v>0</v>
      </c>
      <c r="P826" s="2">
        <f>_xlfn.XLOOKUP($A826,'[1]LISTA ETIQUETAS'!$O:$O,'[1]LISTA ETIQUETAS'!D:D,"",0)</f>
        <v>0</v>
      </c>
      <c r="Q826" s="2">
        <f>_xlfn.XLOOKUP($A826,'[1]LISTA ETIQUETAS'!$O:$O,'[1]LISTA ETIQUETAS'!E:E,"",0)</f>
        <v>0</v>
      </c>
      <c r="R826" s="2">
        <f>_xlfn.XLOOKUP($A826,'[1]LISTA ETIQUETAS'!$O:$O,'[1]LISTA ETIQUETAS'!F:F,"",0)</f>
        <v>0</v>
      </c>
      <c r="S826" s="2">
        <f>_xlfn.XLOOKUP($A826,'[1]LISTA ETIQUETAS'!$O:$O,'[1]LISTA ETIQUETAS'!H:H,"",0)</f>
        <v>4</v>
      </c>
      <c r="T826" s="9">
        <f t="shared" si="38"/>
        <v>4</v>
      </c>
    </row>
    <row r="827" spans="1:20" x14ac:dyDescent="0.25">
      <c r="A827" s="5">
        <v>151467</v>
      </c>
      <c r="B827" t="str">
        <f>IFERROR((VLOOKUP(A827,'[1]LISTA ETIQUETAS'!O:X,3,0)),"PRODUTO SEM ESTOQUE")</f>
        <v>EST POLTRONA SOLAR (APUI COR 6) TC 41</v>
      </c>
      <c r="C827" s="10" t="s">
        <v>91</v>
      </c>
      <c r="D827" s="10" t="s">
        <v>524</v>
      </c>
      <c r="E827" s="11">
        <f>IF(VLOOKUP(A827,'[1]LISTA ETIQUETAS'!O:W,4,0)="",(VLOOKUP(A827,'[1]LISTA ETIQUETAS'!O:W,6,0)),(VLOOKUP(A827,'[1]LISTA ETIQUETAS'!O:W,4,0)))</f>
        <v>0.9</v>
      </c>
      <c r="F827" s="11">
        <f>IF(VLOOKUP(A827,'[1]LISTA ETIQUETAS'!O:W,5,0)="",(VLOOKUP(A827,'[1]LISTA ETIQUETAS'!O:W,7,0)),(VLOOKUP(A827,'[1]LISTA ETIQUETAS'!O:W,5,0)))</f>
        <v>0.85</v>
      </c>
      <c r="G827" s="11">
        <f>IFERROR((VLOOKUP(A827,'[1]LISTA ETIQUETAS'!O:X,8,0)),"")</f>
        <v>0.65</v>
      </c>
      <c r="H827" s="11">
        <f>IFERROR((VLOOKUP(A827,'[1]LISTA ETIQUETAS'!O:X,9,0)),"")</f>
        <v>0</v>
      </c>
      <c r="I827" s="12">
        <f>IFERROR((VLOOKUP(A827,'[1]LISTA ETIQUETAS'!O:Y,11,0)),"")</f>
        <v>0</v>
      </c>
      <c r="J827" s="6">
        <v>0</v>
      </c>
      <c r="K827" s="12">
        <f t="shared" si="36"/>
        <v>0</v>
      </c>
      <c r="L827" s="7" t="str">
        <f>IF(VLOOKUP(A827,'[1]LISTA ETIQUETAS'!O:AB,14,0)="","",(VLOOKUP(A827,'[1]LISTA ETIQUETAS'!O:AB,14,0)))</f>
        <v/>
      </c>
      <c r="M827" s="8"/>
      <c r="N827" s="9">
        <f t="shared" si="37"/>
        <v>151467</v>
      </c>
      <c r="O827" s="2">
        <f>_xlfn.XLOOKUP($A827,'[1]LISTA ETIQUETAS'!$O:$O,'[1]LISTA ETIQUETAS'!C:C,"",0)</f>
        <v>0</v>
      </c>
      <c r="P827" s="2">
        <f>_xlfn.XLOOKUP($A827,'[1]LISTA ETIQUETAS'!$O:$O,'[1]LISTA ETIQUETAS'!D:D,"",0)</f>
        <v>0</v>
      </c>
      <c r="Q827" s="2">
        <f>_xlfn.XLOOKUP($A827,'[1]LISTA ETIQUETAS'!$O:$O,'[1]LISTA ETIQUETAS'!E:E,"",0)</f>
        <v>0</v>
      </c>
      <c r="R827" s="2">
        <f>_xlfn.XLOOKUP($A827,'[1]LISTA ETIQUETAS'!$O:$O,'[1]LISTA ETIQUETAS'!F:F,"",0)</f>
        <v>0</v>
      </c>
      <c r="S827" s="2">
        <f>_xlfn.XLOOKUP($A827,'[1]LISTA ETIQUETAS'!$O:$O,'[1]LISTA ETIQUETAS'!H:H,"",0)</f>
        <v>1</v>
      </c>
      <c r="T827" s="9">
        <f t="shared" si="38"/>
        <v>1</v>
      </c>
    </row>
    <row r="828" spans="1:20" x14ac:dyDescent="0.25">
      <c r="A828" s="5">
        <v>151468</v>
      </c>
      <c r="B828" t="str">
        <f>IFERROR((VLOOKUP(A828,'[1]LISTA ETIQUETAS'!O:X,3,0)),"PRODUTO SEM ESTOQUE")</f>
        <v>EST POLTRONA JULIA II (JUNCO COR 10) (TC 47/C)</v>
      </c>
      <c r="C828" s="10" t="s">
        <v>91</v>
      </c>
      <c r="D828" s="10" t="s">
        <v>525</v>
      </c>
      <c r="E828" s="11">
        <f>IF(VLOOKUP(A828,'[1]LISTA ETIQUETAS'!O:W,4,0)="",(VLOOKUP(A828,'[1]LISTA ETIQUETAS'!O:W,6,0)),(VLOOKUP(A828,'[1]LISTA ETIQUETAS'!O:W,4,0)))</f>
        <v>0.6</v>
      </c>
      <c r="F828" s="11">
        <f>IF(VLOOKUP(A828,'[1]LISTA ETIQUETAS'!O:W,5,0)="",(VLOOKUP(A828,'[1]LISTA ETIQUETAS'!O:W,7,0)),(VLOOKUP(A828,'[1]LISTA ETIQUETAS'!O:W,5,0)))</f>
        <v>0.6</v>
      </c>
      <c r="G828" s="11">
        <f>IFERROR((VLOOKUP(A828,'[1]LISTA ETIQUETAS'!O:X,8,0)),"")</f>
        <v>0.75</v>
      </c>
      <c r="H828" s="11">
        <f>IFERROR((VLOOKUP(A828,'[1]LISTA ETIQUETAS'!O:X,9,0)),"")</f>
        <v>0</v>
      </c>
      <c r="I828" s="12">
        <f>IFERROR((VLOOKUP(A828,'[1]LISTA ETIQUETAS'!O:Y,11,0)),"")</f>
        <v>8064</v>
      </c>
      <c r="J828" s="6">
        <v>0</v>
      </c>
      <c r="K828" s="12">
        <f t="shared" si="36"/>
        <v>8064</v>
      </c>
      <c r="L828" s="7" t="str">
        <f>IF(VLOOKUP(A828,'[1]LISTA ETIQUETAS'!O:AB,14,0)="","",(VLOOKUP(A828,'[1]LISTA ETIQUETAS'!O:AB,14,0)))</f>
        <v/>
      </c>
      <c r="M828" s="8"/>
      <c r="N828" s="9">
        <f t="shared" si="37"/>
        <v>151468</v>
      </c>
      <c r="O828" s="2">
        <f>_xlfn.XLOOKUP($A828,'[1]LISTA ETIQUETAS'!$O:$O,'[1]LISTA ETIQUETAS'!C:C,"",0)</f>
        <v>0</v>
      </c>
      <c r="P828" s="2">
        <f>_xlfn.XLOOKUP($A828,'[1]LISTA ETIQUETAS'!$O:$O,'[1]LISTA ETIQUETAS'!D:D,"",0)</f>
        <v>0</v>
      </c>
      <c r="Q828" s="2">
        <f>_xlfn.XLOOKUP($A828,'[1]LISTA ETIQUETAS'!$O:$O,'[1]LISTA ETIQUETAS'!E:E,"",0)</f>
        <v>0</v>
      </c>
      <c r="R828" s="2">
        <f>_xlfn.XLOOKUP($A828,'[1]LISTA ETIQUETAS'!$O:$O,'[1]LISTA ETIQUETAS'!F:F,"",0)</f>
        <v>0</v>
      </c>
      <c r="S828" s="2">
        <f>_xlfn.XLOOKUP($A828,'[1]LISTA ETIQUETAS'!$O:$O,'[1]LISTA ETIQUETAS'!H:H,"",0)</f>
        <v>10</v>
      </c>
      <c r="T828" s="9">
        <f t="shared" si="38"/>
        <v>10</v>
      </c>
    </row>
    <row r="829" spans="1:20" x14ac:dyDescent="0.25">
      <c r="A829" s="5">
        <v>150911</v>
      </c>
      <c r="B829" t="str">
        <f>IFERROR((VLOOKUP(A829,'[1]LISTA ETIQUETAS'!O:X,3,0)),"PRODUTO SEM ESTOQUE")</f>
        <v>EST POLTRONA REVERE (CONCRETO BRILHO) TC 397-D</v>
      </c>
      <c r="C829" s="10" t="s">
        <v>91</v>
      </c>
      <c r="D829" s="10" t="s">
        <v>526</v>
      </c>
      <c r="E829" s="11">
        <f>IF(VLOOKUP(A829,'[1]LISTA ETIQUETAS'!O:W,4,0)="",(VLOOKUP(A829,'[1]LISTA ETIQUETAS'!O:W,6,0)),(VLOOKUP(A829,'[1]LISTA ETIQUETAS'!O:W,4,0)))</f>
        <v>1.2</v>
      </c>
      <c r="F829" s="11">
        <f>IF(VLOOKUP(A829,'[1]LISTA ETIQUETAS'!O:W,5,0)="",(VLOOKUP(A829,'[1]LISTA ETIQUETAS'!O:W,7,0)),(VLOOKUP(A829,'[1]LISTA ETIQUETAS'!O:W,5,0)))</f>
        <v>0.86</v>
      </c>
      <c r="G829" s="11">
        <f>IFERROR((VLOOKUP(A829,'[1]LISTA ETIQUETAS'!O:X,8,0)),"")</f>
        <v>0.76</v>
      </c>
      <c r="H829" s="11">
        <f>IFERROR((VLOOKUP(A829,'[1]LISTA ETIQUETAS'!O:X,9,0)),"")</f>
        <v>0</v>
      </c>
      <c r="I829" s="12">
        <f>IFERROR((VLOOKUP(A829,'[1]LISTA ETIQUETAS'!O:Y,11,0)),"")</f>
        <v>0</v>
      </c>
      <c r="J829" s="6">
        <v>0</v>
      </c>
      <c r="K829" s="12">
        <f t="shared" si="36"/>
        <v>0</v>
      </c>
      <c r="L829" s="7" t="str">
        <f>IF(VLOOKUP(A829,'[1]LISTA ETIQUETAS'!O:AB,14,0)="","",(VLOOKUP(A829,'[1]LISTA ETIQUETAS'!O:AB,14,0)))</f>
        <v/>
      </c>
      <c r="M829" s="8"/>
      <c r="N829" s="9">
        <f t="shared" si="37"/>
        <v>150911</v>
      </c>
      <c r="O829" s="2">
        <f>_xlfn.XLOOKUP($A829,'[1]LISTA ETIQUETAS'!$O:$O,'[1]LISTA ETIQUETAS'!C:C,"",0)</f>
        <v>0</v>
      </c>
      <c r="P829" s="2">
        <f>_xlfn.XLOOKUP($A829,'[1]LISTA ETIQUETAS'!$O:$O,'[1]LISTA ETIQUETAS'!D:D,"",0)</f>
        <v>0</v>
      </c>
      <c r="Q829" s="2">
        <f>_xlfn.XLOOKUP($A829,'[1]LISTA ETIQUETAS'!$O:$O,'[1]LISTA ETIQUETAS'!E:E,"",0)</f>
        <v>0</v>
      </c>
      <c r="R829" s="2">
        <f>_xlfn.XLOOKUP($A829,'[1]LISTA ETIQUETAS'!$O:$O,'[1]LISTA ETIQUETAS'!F:F,"",0)</f>
        <v>0</v>
      </c>
      <c r="S829" s="2">
        <f>_xlfn.XLOOKUP($A829,'[1]LISTA ETIQUETAS'!$O:$O,'[1]LISTA ETIQUETAS'!H:H,"",0)</f>
        <v>1</v>
      </c>
      <c r="T829" s="9">
        <f t="shared" si="38"/>
        <v>1</v>
      </c>
    </row>
    <row r="830" spans="1:20" x14ac:dyDescent="0.25">
      <c r="A830" s="5">
        <v>151317</v>
      </c>
      <c r="B830" t="str">
        <f>IFERROR((VLOOKUP(A830,'[1]LISTA ETIQUETAS'!O:X,3,0)),"PRODUTO SEM ESTOQUE")</f>
        <v>EST POLTRONA GAVEA (CASTANHO PATIN) (COR 63) (TC 10711)</v>
      </c>
      <c r="C830" s="10" t="s">
        <v>91</v>
      </c>
      <c r="D830" s="10" t="s">
        <v>527</v>
      </c>
      <c r="E830" s="11">
        <f>IF(VLOOKUP(A830,'[1]LISTA ETIQUETAS'!O:W,4,0)="",(VLOOKUP(A830,'[1]LISTA ETIQUETAS'!O:W,6,0)),(VLOOKUP(A830,'[1]LISTA ETIQUETAS'!O:W,4,0)))</f>
        <v>0.8</v>
      </c>
      <c r="F830" s="11">
        <f>IF(VLOOKUP(A830,'[1]LISTA ETIQUETAS'!O:W,5,0)="",(VLOOKUP(A830,'[1]LISTA ETIQUETAS'!O:W,7,0)),(VLOOKUP(A830,'[1]LISTA ETIQUETAS'!O:W,5,0)))</f>
        <v>0.76</v>
      </c>
      <c r="G830" s="11">
        <f>IFERROR((VLOOKUP(A830,'[1]LISTA ETIQUETAS'!O:X,8,0)),"")</f>
        <v>0.7</v>
      </c>
      <c r="H830" s="11">
        <f>IFERROR((VLOOKUP(A830,'[1]LISTA ETIQUETAS'!O:X,9,0)),"")</f>
        <v>0</v>
      </c>
      <c r="I830" s="12">
        <f>IFERROR((VLOOKUP(A830,'[1]LISTA ETIQUETAS'!O:Y,11,0)),"")</f>
        <v>8960</v>
      </c>
      <c r="J830" s="6">
        <v>0</v>
      </c>
      <c r="K830" s="12">
        <f t="shared" si="36"/>
        <v>8960</v>
      </c>
      <c r="L830" s="7" t="str">
        <f>IF(VLOOKUP(A830,'[1]LISTA ETIQUETAS'!O:AB,14,0)="","",(VLOOKUP(A830,'[1]LISTA ETIQUETAS'!O:AB,14,0)))</f>
        <v/>
      </c>
      <c r="M830" s="8"/>
      <c r="N830" s="9">
        <f t="shared" si="37"/>
        <v>151317</v>
      </c>
      <c r="O830" s="2">
        <f>_xlfn.XLOOKUP($A830,'[1]LISTA ETIQUETAS'!$O:$O,'[1]LISTA ETIQUETAS'!C:C,"",0)</f>
        <v>0</v>
      </c>
      <c r="P830" s="2">
        <f>_xlfn.XLOOKUP($A830,'[1]LISTA ETIQUETAS'!$O:$O,'[1]LISTA ETIQUETAS'!D:D,"",0)</f>
        <v>0</v>
      </c>
      <c r="Q830" s="2">
        <f>_xlfn.XLOOKUP($A830,'[1]LISTA ETIQUETAS'!$O:$O,'[1]LISTA ETIQUETAS'!E:E,"",0)</f>
        <v>0</v>
      </c>
      <c r="R830" s="2">
        <f>_xlfn.XLOOKUP($A830,'[1]LISTA ETIQUETAS'!$O:$O,'[1]LISTA ETIQUETAS'!F:F,"",0)</f>
        <v>0</v>
      </c>
      <c r="S830" s="2">
        <f>_xlfn.XLOOKUP($A830,'[1]LISTA ETIQUETAS'!$O:$O,'[1]LISTA ETIQUETAS'!H:H,"",0)</f>
        <v>1</v>
      </c>
      <c r="T830" s="9">
        <f t="shared" si="38"/>
        <v>1</v>
      </c>
    </row>
    <row r="831" spans="1:20" x14ac:dyDescent="0.25">
      <c r="A831" s="5">
        <v>151312</v>
      </c>
      <c r="B831" t="str">
        <f>IFERROR((VLOOKUP(A831,'[1]LISTA ETIQUETAS'!O:X,3,0)),"PRODUTO SEM ESTOQUE")</f>
        <v>EST POLTRONA ARENA (FIBRA NATURAL CASTANHO) TC LINHO 10711</v>
      </c>
      <c r="C831" s="10" t="s">
        <v>91</v>
      </c>
      <c r="D831" s="10" t="s">
        <v>528</v>
      </c>
      <c r="E831" s="11">
        <f>IF(VLOOKUP(A831,'[1]LISTA ETIQUETAS'!O:W,4,0)="",(VLOOKUP(A831,'[1]LISTA ETIQUETAS'!O:W,6,0)),(VLOOKUP(A831,'[1]LISTA ETIQUETAS'!O:W,4,0)))</f>
        <v>0.9</v>
      </c>
      <c r="F831" s="11">
        <f>IF(VLOOKUP(A831,'[1]LISTA ETIQUETAS'!O:W,5,0)="",(VLOOKUP(A831,'[1]LISTA ETIQUETAS'!O:W,7,0)),(VLOOKUP(A831,'[1]LISTA ETIQUETAS'!O:W,5,0)))</f>
        <v>0.78</v>
      </c>
      <c r="G831" s="11">
        <f>IFERROR((VLOOKUP(A831,'[1]LISTA ETIQUETAS'!O:X,8,0)),"")</f>
        <v>0.73</v>
      </c>
      <c r="H831" s="11">
        <f>IFERROR((VLOOKUP(A831,'[1]LISTA ETIQUETAS'!O:X,9,0)),"")</f>
        <v>0</v>
      </c>
      <c r="I831" s="12">
        <f>IFERROR((VLOOKUP(A831,'[1]LISTA ETIQUETAS'!O:Y,11,0)),"")</f>
        <v>0</v>
      </c>
      <c r="J831" s="6">
        <v>0</v>
      </c>
      <c r="K831" s="12">
        <f t="shared" si="36"/>
        <v>0</v>
      </c>
      <c r="L831" s="7" t="str">
        <f>IF(VLOOKUP(A831,'[1]LISTA ETIQUETAS'!O:AB,14,0)="","",(VLOOKUP(A831,'[1]LISTA ETIQUETAS'!O:AB,14,0)))</f>
        <v/>
      </c>
      <c r="M831" s="8"/>
      <c r="N831" s="9">
        <f t="shared" si="37"/>
        <v>151312</v>
      </c>
      <c r="O831" s="2">
        <f>_xlfn.XLOOKUP($A831,'[1]LISTA ETIQUETAS'!$O:$O,'[1]LISTA ETIQUETAS'!C:C,"",0)</f>
        <v>0</v>
      </c>
      <c r="P831" s="2">
        <f>_xlfn.XLOOKUP($A831,'[1]LISTA ETIQUETAS'!$O:$O,'[1]LISTA ETIQUETAS'!D:D,"",0)</f>
        <v>0</v>
      </c>
      <c r="Q831" s="2">
        <f>_xlfn.XLOOKUP($A831,'[1]LISTA ETIQUETAS'!$O:$O,'[1]LISTA ETIQUETAS'!E:E,"",0)</f>
        <v>0</v>
      </c>
      <c r="R831" s="2">
        <f>_xlfn.XLOOKUP($A831,'[1]LISTA ETIQUETAS'!$O:$O,'[1]LISTA ETIQUETAS'!F:F,"",0)</f>
        <v>0</v>
      </c>
      <c r="S831" s="2">
        <f>_xlfn.XLOOKUP($A831,'[1]LISTA ETIQUETAS'!$O:$O,'[1]LISTA ETIQUETAS'!H:H,"",0)</f>
        <v>2</v>
      </c>
      <c r="T831" s="9">
        <f t="shared" si="38"/>
        <v>2</v>
      </c>
    </row>
    <row r="832" spans="1:20" x14ac:dyDescent="0.25">
      <c r="A832" s="5">
        <v>151546</v>
      </c>
      <c r="B832" t="str">
        <f>IFERROR((VLOOKUP(A832,'[1]LISTA ETIQUETAS'!O:X,3,0)),"PRODUTO SEM ESTOQUE")</f>
        <v>EST POLTRONA FIRENZE (PRETA) TC NBX0092 COR002 CRU</v>
      </c>
      <c r="C832" s="10" t="s">
        <v>91</v>
      </c>
      <c r="D832" s="10" t="s">
        <v>529</v>
      </c>
      <c r="E832" s="11">
        <f>IF(VLOOKUP(A832,'[1]LISTA ETIQUETAS'!O:W,4,0)="",(VLOOKUP(A832,'[1]LISTA ETIQUETAS'!O:W,6,0)),(VLOOKUP(A832,'[1]LISTA ETIQUETAS'!O:W,4,0)))</f>
        <v>0.8</v>
      </c>
      <c r="F832" s="11">
        <f>IF(VLOOKUP(A832,'[1]LISTA ETIQUETAS'!O:W,5,0)="",(VLOOKUP(A832,'[1]LISTA ETIQUETAS'!O:W,7,0)),(VLOOKUP(A832,'[1]LISTA ETIQUETAS'!O:W,5,0)))</f>
        <v>0.8</v>
      </c>
      <c r="G832" s="11">
        <f>IFERROR((VLOOKUP(A832,'[1]LISTA ETIQUETAS'!O:X,8,0)),"")</f>
        <v>0.9</v>
      </c>
      <c r="H832" s="11">
        <f>IFERROR((VLOOKUP(A832,'[1]LISTA ETIQUETAS'!O:X,9,0)),"")</f>
        <v>0</v>
      </c>
      <c r="I832" s="12" t="str">
        <f>IFERROR((VLOOKUP(A832,'[1]LISTA ETIQUETAS'!O:Y,11,0)),"")</f>
        <v>EST</v>
      </c>
      <c r="J832" s="6">
        <v>0</v>
      </c>
      <c r="K832" s="12" t="str">
        <f t="shared" si="36"/>
        <v/>
      </c>
      <c r="L832" s="7" t="str">
        <f>IF(VLOOKUP(A832,'[1]LISTA ETIQUETAS'!O:AB,14,0)="","",(VLOOKUP(A832,'[1]LISTA ETIQUETAS'!O:AB,14,0)))</f>
        <v/>
      </c>
      <c r="M832" s="8"/>
      <c r="N832" s="9">
        <f t="shared" si="37"/>
        <v>151546</v>
      </c>
      <c r="O832" s="2">
        <f>_xlfn.XLOOKUP($A832,'[1]LISTA ETIQUETAS'!$O:$O,'[1]LISTA ETIQUETAS'!C:C,"",0)</f>
        <v>0</v>
      </c>
      <c r="P832" s="2">
        <f>_xlfn.XLOOKUP($A832,'[1]LISTA ETIQUETAS'!$O:$O,'[1]LISTA ETIQUETAS'!D:D,"",0)</f>
        <v>0</v>
      </c>
      <c r="Q832" s="2">
        <f>_xlfn.XLOOKUP($A832,'[1]LISTA ETIQUETAS'!$O:$O,'[1]LISTA ETIQUETAS'!E:E,"",0)</f>
        <v>0</v>
      </c>
      <c r="R832" s="2">
        <f>_xlfn.XLOOKUP($A832,'[1]LISTA ETIQUETAS'!$O:$O,'[1]LISTA ETIQUETAS'!F:F,"",0)</f>
        <v>0</v>
      </c>
      <c r="S832" s="2">
        <f>_xlfn.XLOOKUP($A832,'[1]LISTA ETIQUETAS'!$O:$O,'[1]LISTA ETIQUETAS'!H:H,"",0)</f>
        <v>1</v>
      </c>
      <c r="T832" s="9">
        <f t="shared" si="38"/>
        <v>1</v>
      </c>
    </row>
    <row r="833" spans="1:20" x14ac:dyDescent="0.25">
      <c r="A833" s="5">
        <v>151327</v>
      </c>
      <c r="B833" t="str">
        <f>IFERROR((VLOOKUP(A833,'[1]LISTA ETIQUETAS'!O:X,3,0)),"PRODUTO SEM ESTOQUE")</f>
        <v>EST POLTRONA FIBRA NATURAL TC 603 LINHO</v>
      </c>
      <c r="C833" s="10" t="s">
        <v>91</v>
      </c>
      <c r="D833" s="10" t="s">
        <v>530</v>
      </c>
      <c r="E833" s="11">
        <f>IF(VLOOKUP(A833,'[1]LISTA ETIQUETAS'!O:W,4,0)="",(VLOOKUP(A833,'[1]LISTA ETIQUETAS'!O:W,6,0)),(VLOOKUP(A833,'[1]LISTA ETIQUETAS'!O:W,4,0)))</f>
        <v>0.8</v>
      </c>
      <c r="F833" s="11">
        <f>IF(VLOOKUP(A833,'[1]LISTA ETIQUETAS'!O:W,5,0)="",(VLOOKUP(A833,'[1]LISTA ETIQUETAS'!O:W,7,0)),(VLOOKUP(A833,'[1]LISTA ETIQUETAS'!O:W,5,0)))</f>
        <v>0.85</v>
      </c>
      <c r="G833" s="11">
        <f>IFERROR((VLOOKUP(A833,'[1]LISTA ETIQUETAS'!O:X,8,0)),"")</f>
        <v>0.72</v>
      </c>
      <c r="H833" s="11">
        <f>IFERROR((VLOOKUP(A833,'[1]LISTA ETIQUETAS'!O:X,9,0)),"")</f>
        <v>0</v>
      </c>
      <c r="I833" s="12" t="str">
        <f>IFERROR((VLOOKUP(A833,'[1]LISTA ETIQUETAS'!O:Y,11,0)),"")</f>
        <v/>
      </c>
      <c r="J833" s="6">
        <v>0</v>
      </c>
      <c r="K833" s="12" t="str">
        <f t="shared" si="36"/>
        <v/>
      </c>
      <c r="L833" s="7" t="str">
        <f>IF(VLOOKUP(A833,'[1]LISTA ETIQUETAS'!O:AB,14,0)="","",(VLOOKUP(A833,'[1]LISTA ETIQUETAS'!O:AB,14,0)))</f>
        <v/>
      </c>
      <c r="M833" s="8"/>
      <c r="N833" s="9">
        <f t="shared" si="37"/>
        <v>151327</v>
      </c>
      <c r="O833" s="2">
        <f>_xlfn.XLOOKUP($A833,'[1]LISTA ETIQUETAS'!$O:$O,'[1]LISTA ETIQUETAS'!C:C,"",0)</f>
        <v>0</v>
      </c>
      <c r="P833" s="2">
        <f>_xlfn.XLOOKUP($A833,'[1]LISTA ETIQUETAS'!$O:$O,'[1]LISTA ETIQUETAS'!D:D,"",0)</f>
        <v>0</v>
      </c>
      <c r="Q833" s="2">
        <f>_xlfn.XLOOKUP($A833,'[1]LISTA ETIQUETAS'!$O:$O,'[1]LISTA ETIQUETAS'!E:E,"",0)</f>
        <v>0</v>
      </c>
      <c r="R833" s="2">
        <f>_xlfn.XLOOKUP($A833,'[1]LISTA ETIQUETAS'!$O:$O,'[1]LISTA ETIQUETAS'!F:F,"",0)</f>
        <v>0</v>
      </c>
      <c r="S833" s="2">
        <f>_xlfn.XLOOKUP($A833,'[1]LISTA ETIQUETAS'!$O:$O,'[1]LISTA ETIQUETAS'!H:H,"",0)</f>
        <v>4</v>
      </c>
      <c r="T833" s="9">
        <f t="shared" si="38"/>
        <v>4</v>
      </c>
    </row>
    <row r="834" spans="1:20" x14ac:dyDescent="0.25">
      <c r="A834" s="5">
        <v>151224</v>
      </c>
      <c r="B834" t="str">
        <f>IFERROR((VLOOKUP(A834,'[1]LISTA ETIQUETAS'!O:X,3,0)),"PRODUTO SEM ESTOQUE")</f>
        <v>EST POLTRONA HAPI (ANEL INOX) (CINAM NERO)/TC 11202-260#05</v>
      </c>
      <c r="C834" s="10" t="s">
        <v>91</v>
      </c>
      <c r="D834" s="10" t="s">
        <v>531</v>
      </c>
      <c r="E834" s="11">
        <f>IF(VLOOKUP(A834,'[1]LISTA ETIQUETAS'!O:W,4,0)="",(VLOOKUP(A834,'[1]LISTA ETIQUETAS'!O:W,6,0)),(VLOOKUP(A834,'[1]LISTA ETIQUETAS'!O:W,4,0)))</f>
        <v>0.96</v>
      </c>
      <c r="F834" s="11">
        <f>IF(VLOOKUP(A834,'[1]LISTA ETIQUETAS'!O:W,5,0)="",(VLOOKUP(A834,'[1]LISTA ETIQUETAS'!O:W,7,0)),(VLOOKUP(A834,'[1]LISTA ETIQUETAS'!O:W,5,0)))</f>
        <v>0.84</v>
      </c>
      <c r="G834" s="11">
        <f>IFERROR((VLOOKUP(A834,'[1]LISTA ETIQUETAS'!O:X,8,0)),"")</f>
        <v>0.96</v>
      </c>
      <c r="H834" s="11">
        <f>IFERROR((VLOOKUP(A834,'[1]LISTA ETIQUETAS'!O:X,9,0)),"")</f>
        <v>0</v>
      </c>
      <c r="I834" s="12">
        <f>IFERROR((VLOOKUP(A834,'[1]LISTA ETIQUETAS'!O:Y,11,0)),"")</f>
        <v>14222.7</v>
      </c>
      <c r="J834" s="6">
        <v>0</v>
      </c>
      <c r="K834" s="12">
        <f t="shared" si="36"/>
        <v>14222.7</v>
      </c>
      <c r="L834" s="7" t="str">
        <f>IF(VLOOKUP(A834,'[1]LISTA ETIQUETAS'!O:AB,14,0)="","",(VLOOKUP(A834,'[1]LISTA ETIQUETAS'!O:AB,14,0)))</f>
        <v/>
      </c>
      <c r="M834" s="8"/>
      <c r="N834" s="9">
        <f t="shared" si="37"/>
        <v>151224</v>
      </c>
      <c r="O834" s="2">
        <f>_xlfn.XLOOKUP($A834,'[1]LISTA ETIQUETAS'!$O:$O,'[1]LISTA ETIQUETAS'!C:C,"",0)</f>
        <v>0</v>
      </c>
      <c r="P834" s="2">
        <f>_xlfn.XLOOKUP($A834,'[1]LISTA ETIQUETAS'!$O:$O,'[1]LISTA ETIQUETAS'!D:D,"",0)</f>
        <v>0</v>
      </c>
      <c r="Q834" s="2">
        <f>_xlfn.XLOOKUP($A834,'[1]LISTA ETIQUETAS'!$O:$O,'[1]LISTA ETIQUETAS'!E:E,"",0)</f>
        <v>0</v>
      </c>
      <c r="R834" s="2">
        <f>_xlfn.XLOOKUP($A834,'[1]LISTA ETIQUETAS'!$O:$O,'[1]LISTA ETIQUETAS'!F:F,"",0)</f>
        <v>0</v>
      </c>
      <c r="S834" s="2">
        <f>_xlfn.XLOOKUP($A834,'[1]LISTA ETIQUETAS'!$O:$O,'[1]LISTA ETIQUETAS'!H:H,"",0)</f>
        <v>1</v>
      </c>
      <c r="T834" s="9">
        <f t="shared" si="38"/>
        <v>1</v>
      </c>
    </row>
    <row r="835" spans="1:20" x14ac:dyDescent="0.25">
      <c r="A835" s="5">
        <v>151611</v>
      </c>
      <c r="B835" t="str">
        <f>IFERROR((VLOOKUP(A835,'[1]LISTA ETIQUETAS'!O:X,3,0)),"PRODUTO SEM ESTOQUE")</f>
        <v>EST POLTRONA KORINA (APUI) TC PRISMA BELLA AQUA</v>
      </c>
      <c r="C835" s="10" t="s">
        <v>91</v>
      </c>
      <c r="D835" s="10" t="s">
        <v>532</v>
      </c>
      <c r="E835" s="11">
        <f>IF(VLOOKUP(A835,'[1]LISTA ETIQUETAS'!O:W,4,0)="",(VLOOKUP(A835,'[1]LISTA ETIQUETAS'!O:W,6,0)),(VLOOKUP(A835,'[1]LISTA ETIQUETAS'!O:W,4,0)))</f>
        <v>0.74</v>
      </c>
      <c r="F835" s="11">
        <f>IF(VLOOKUP(A835,'[1]LISTA ETIQUETAS'!O:W,5,0)="",(VLOOKUP(A835,'[1]LISTA ETIQUETAS'!O:W,7,0)),(VLOOKUP(A835,'[1]LISTA ETIQUETAS'!O:W,5,0)))</f>
        <v>0.87</v>
      </c>
      <c r="G835" s="11">
        <f>IFERROR((VLOOKUP(A835,'[1]LISTA ETIQUETAS'!O:X,8,0)),"")</f>
        <v>0.9</v>
      </c>
      <c r="H835" s="11">
        <f>IFERROR((VLOOKUP(A835,'[1]LISTA ETIQUETAS'!O:X,9,0)),"")</f>
        <v>0</v>
      </c>
      <c r="I835" s="12">
        <f>IFERROR((VLOOKUP(A835,'[1]LISTA ETIQUETAS'!O:Y,11,0)),"")</f>
        <v>0</v>
      </c>
      <c r="J835" s="6">
        <v>0</v>
      </c>
      <c r="K835" s="12">
        <f t="shared" ref="K835:K898" si="39">IFERROR(I835-I835*J835,"")</f>
        <v>0</v>
      </c>
      <c r="L835" s="7" t="str">
        <f>IF(VLOOKUP(A835,'[1]LISTA ETIQUETAS'!O:AB,14,0)="","",(VLOOKUP(A835,'[1]LISTA ETIQUETAS'!O:AB,14,0)))</f>
        <v/>
      </c>
      <c r="M835" s="8"/>
      <c r="N835" s="9">
        <f t="shared" si="37"/>
        <v>151611</v>
      </c>
      <c r="O835" s="2">
        <f>_xlfn.XLOOKUP($A835,'[1]LISTA ETIQUETAS'!$O:$O,'[1]LISTA ETIQUETAS'!C:C,"",0)</f>
        <v>0</v>
      </c>
      <c r="P835" s="2">
        <f>_xlfn.XLOOKUP($A835,'[1]LISTA ETIQUETAS'!$O:$O,'[1]LISTA ETIQUETAS'!D:D,"",0)</f>
        <v>0</v>
      </c>
      <c r="Q835" s="2">
        <f>_xlfn.XLOOKUP($A835,'[1]LISTA ETIQUETAS'!$O:$O,'[1]LISTA ETIQUETAS'!E:E,"",0)</f>
        <v>0</v>
      </c>
      <c r="R835" s="2">
        <f>_xlfn.XLOOKUP($A835,'[1]LISTA ETIQUETAS'!$O:$O,'[1]LISTA ETIQUETAS'!F:F,"",0)</f>
        <v>0</v>
      </c>
      <c r="S835" s="2">
        <f>_xlfn.XLOOKUP($A835,'[1]LISTA ETIQUETAS'!$O:$O,'[1]LISTA ETIQUETAS'!H:H,"",0)</f>
        <v>3</v>
      </c>
      <c r="T835" s="9">
        <f t="shared" si="38"/>
        <v>3</v>
      </c>
    </row>
    <row r="836" spans="1:20" x14ac:dyDescent="0.25">
      <c r="A836" s="5">
        <v>163878</v>
      </c>
      <c r="B836" t="str">
        <f>IFERROR((VLOOKUP(A836,'[1]LISTA ETIQUETAS'!O:X,3,0)),"PRODUTO SEM ESTOQUE")</f>
        <v>EST POLTRONA CENA (JEQUITIBA EBANO) TC 11202-280 LINHO</v>
      </c>
      <c r="C836" s="10" t="s">
        <v>91</v>
      </c>
      <c r="D836" s="10" t="s">
        <v>533</v>
      </c>
      <c r="E836" s="11">
        <f>IF(VLOOKUP(A836,'[1]LISTA ETIQUETAS'!O:W,4,0)="",(VLOOKUP(A836,'[1]LISTA ETIQUETAS'!O:W,6,0)),(VLOOKUP(A836,'[1]LISTA ETIQUETAS'!O:W,4,0)))</f>
        <v>0.79</v>
      </c>
      <c r="F836" s="11">
        <f>IF(VLOOKUP(A836,'[1]LISTA ETIQUETAS'!O:W,5,0)="",(VLOOKUP(A836,'[1]LISTA ETIQUETAS'!O:W,7,0)),(VLOOKUP(A836,'[1]LISTA ETIQUETAS'!O:W,5,0)))</f>
        <v>0.93</v>
      </c>
      <c r="G836" s="11">
        <f>IFERROR((VLOOKUP(A836,'[1]LISTA ETIQUETAS'!O:X,8,0)),"")</f>
        <v>1.1000000000000001</v>
      </c>
      <c r="H836" s="11">
        <f>IFERROR((VLOOKUP(A836,'[1]LISTA ETIQUETAS'!O:X,9,0)),"")</f>
        <v>0</v>
      </c>
      <c r="I836" s="12">
        <f>IFERROR((VLOOKUP(A836,'[1]LISTA ETIQUETAS'!O:Y,11,0)),"")</f>
        <v>0</v>
      </c>
      <c r="J836" s="6">
        <v>0</v>
      </c>
      <c r="K836" s="12">
        <f t="shared" si="39"/>
        <v>0</v>
      </c>
      <c r="L836" s="7" t="str">
        <f>IF(VLOOKUP(A836,'[1]LISTA ETIQUETAS'!O:AB,14,0)="","",(VLOOKUP(A836,'[1]LISTA ETIQUETAS'!O:AB,14,0)))</f>
        <v/>
      </c>
      <c r="M836" s="8"/>
      <c r="N836" s="9">
        <f t="shared" ref="N836:N899" si="40">IF(M836="",A836,M836)</f>
        <v>163878</v>
      </c>
      <c r="O836" s="2">
        <f>_xlfn.XLOOKUP($A836,'[1]LISTA ETIQUETAS'!$O:$O,'[1]LISTA ETIQUETAS'!C:C,"",0)</f>
        <v>0</v>
      </c>
      <c r="P836" s="2">
        <f>_xlfn.XLOOKUP($A836,'[1]LISTA ETIQUETAS'!$O:$O,'[1]LISTA ETIQUETAS'!D:D,"",0)</f>
        <v>0</v>
      </c>
      <c r="Q836" s="2">
        <f>_xlfn.XLOOKUP($A836,'[1]LISTA ETIQUETAS'!$O:$O,'[1]LISTA ETIQUETAS'!E:E,"",0)</f>
        <v>0</v>
      </c>
      <c r="R836" s="2">
        <f>_xlfn.XLOOKUP($A836,'[1]LISTA ETIQUETAS'!$O:$O,'[1]LISTA ETIQUETAS'!F:F,"",0)</f>
        <v>0</v>
      </c>
      <c r="S836" s="2">
        <f>_xlfn.XLOOKUP($A836,'[1]LISTA ETIQUETAS'!$O:$O,'[1]LISTA ETIQUETAS'!H:H,"",0)</f>
        <v>1</v>
      </c>
      <c r="T836" s="9">
        <f t="shared" ref="T836:T899" si="41">SUM(O836:S836)</f>
        <v>1</v>
      </c>
    </row>
    <row r="837" spans="1:20" x14ac:dyDescent="0.25">
      <c r="A837" s="5">
        <v>173863</v>
      </c>
      <c r="B837" t="str">
        <f>IFERROR((VLOOKUP(A837,'[1]LISTA ETIQUETAS'!O:X,3,0)),"PRODUTO SEM ESTOQUE")</f>
        <v>EST POLTRONA NADI (TC 147#5) (EBANIZADA)</v>
      </c>
      <c r="C837" s="10" t="s">
        <v>91</v>
      </c>
      <c r="D837" s="10" t="s">
        <v>534</v>
      </c>
      <c r="E837" s="11">
        <f>IF(VLOOKUP(A837,'[1]LISTA ETIQUETAS'!O:W,4,0)="",(VLOOKUP(A837,'[1]LISTA ETIQUETAS'!O:W,6,0)),(VLOOKUP(A837,'[1]LISTA ETIQUETAS'!O:W,4,0)))</f>
        <v>0.74</v>
      </c>
      <c r="F837" s="11">
        <f>IF(VLOOKUP(A837,'[1]LISTA ETIQUETAS'!O:W,5,0)="",(VLOOKUP(A837,'[1]LISTA ETIQUETAS'!O:W,7,0)),(VLOOKUP(A837,'[1]LISTA ETIQUETAS'!O:W,5,0)))</f>
        <v>0.75</v>
      </c>
      <c r="G837" s="11">
        <f>IFERROR((VLOOKUP(A837,'[1]LISTA ETIQUETAS'!O:X,8,0)),"")</f>
        <v>0.67</v>
      </c>
      <c r="H837" s="11">
        <f>IFERROR((VLOOKUP(A837,'[1]LISTA ETIQUETAS'!O:X,9,0)),"")</f>
        <v>0</v>
      </c>
      <c r="I837" s="12" t="str">
        <f>IFERROR((VLOOKUP(A837,'[1]LISTA ETIQUETAS'!O:Y,11,0)),"")</f>
        <v/>
      </c>
      <c r="J837" s="6">
        <v>0</v>
      </c>
      <c r="K837" s="12" t="str">
        <f t="shared" si="39"/>
        <v/>
      </c>
      <c r="L837" s="7" t="str">
        <f>IF(VLOOKUP(A837,'[1]LISTA ETIQUETAS'!O:AB,14,0)="","",(VLOOKUP(A837,'[1]LISTA ETIQUETAS'!O:AB,14,0)))</f>
        <v/>
      </c>
      <c r="M837" s="8"/>
      <c r="N837" s="9">
        <f t="shared" si="40"/>
        <v>173863</v>
      </c>
      <c r="O837" s="2">
        <f>_xlfn.XLOOKUP($A837,'[1]LISTA ETIQUETAS'!$O:$O,'[1]LISTA ETIQUETAS'!C:C,"",0)</f>
        <v>0</v>
      </c>
      <c r="P837" s="2">
        <f>_xlfn.XLOOKUP($A837,'[1]LISTA ETIQUETAS'!$O:$O,'[1]LISTA ETIQUETAS'!D:D,"",0)</f>
        <v>0</v>
      </c>
      <c r="Q837" s="2">
        <f>_xlfn.XLOOKUP($A837,'[1]LISTA ETIQUETAS'!$O:$O,'[1]LISTA ETIQUETAS'!E:E,"",0)</f>
        <v>0</v>
      </c>
      <c r="R837" s="2">
        <f>_xlfn.XLOOKUP($A837,'[1]LISTA ETIQUETAS'!$O:$O,'[1]LISTA ETIQUETAS'!F:F,"",0)</f>
        <v>0</v>
      </c>
      <c r="S837" s="2">
        <f>_xlfn.XLOOKUP($A837,'[1]LISTA ETIQUETAS'!$O:$O,'[1]LISTA ETIQUETAS'!H:H,"",0)</f>
        <v>1</v>
      </c>
      <c r="T837" s="9">
        <f t="shared" si="41"/>
        <v>1</v>
      </c>
    </row>
    <row r="838" spans="1:20" x14ac:dyDescent="0.25">
      <c r="A838" s="5">
        <v>176798</v>
      </c>
      <c r="B838" t="str">
        <f>IFERROR((VLOOKUP(A838,'[1]LISTA ETIQUETAS'!O:X,3,0)),"PRODUTO SEM ESTOQUE")</f>
        <v>EST POLTRONA DORA (BAIXA) CAMURCA CARAMELO</v>
      </c>
      <c r="C838" s="10" t="s">
        <v>91</v>
      </c>
      <c r="D838" s="10" t="s">
        <v>521</v>
      </c>
      <c r="E838" s="11">
        <f>IF(VLOOKUP(A838,'[1]LISTA ETIQUETAS'!O:W,4,0)="",(VLOOKUP(A838,'[1]LISTA ETIQUETAS'!O:W,6,0)),(VLOOKUP(A838,'[1]LISTA ETIQUETAS'!O:W,4,0)))</f>
        <v>0.76</v>
      </c>
      <c r="F838" s="11">
        <f>IF(VLOOKUP(A838,'[1]LISTA ETIQUETAS'!O:W,5,0)="",(VLOOKUP(A838,'[1]LISTA ETIQUETAS'!O:W,7,0)),(VLOOKUP(A838,'[1]LISTA ETIQUETAS'!O:W,5,0)))</f>
        <v>0.83</v>
      </c>
      <c r="G838" s="11">
        <f>IFERROR((VLOOKUP(A838,'[1]LISTA ETIQUETAS'!O:X,8,0)),"")</f>
        <v>0.7</v>
      </c>
      <c r="H838" s="11">
        <f>IFERROR((VLOOKUP(A838,'[1]LISTA ETIQUETAS'!O:X,9,0)),"")</f>
        <v>0</v>
      </c>
      <c r="I838" s="12" t="str">
        <f>IFERROR((VLOOKUP(A838,'[1]LISTA ETIQUETAS'!O:Y,11,0)),"")</f>
        <v/>
      </c>
      <c r="J838" s="6">
        <v>0</v>
      </c>
      <c r="K838" s="12" t="str">
        <f t="shared" si="39"/>
        <v/>
      </c>
      <c r="L838" s="7" t="str">
        <f>IF(VLOOKUP(A838,'[1]LISTA ETIQUETAS'!O:AB,14,0)="","",(VLOOKUP(A838,'[1]LISTA ETIQUETAS'!O:AB,14,0)))</f>
        <v/>
      </c>
      <c r="M838" s="8"/>
      <c r="N838" s="9">
        <f t="shared" si="40"/>
        <v>176798</v>
      </c>
      <c r="O838" s="2">
        <f>_xlfn.XLOOKUP($A838,'[1]LISTA ETIQUETAS'!$O:$O,'[1]LISTA ETIQUETAS'!C:C,"",0)</f>
        <v>0</v>
      </c>
      <c r="P838" s="2">
        <f>_xlfn.XLOOKUP($A838,'[1]LISTA ETIQUETAS'!$O:$O,'[1]LISTA ETIQUETAS'!D:D,"",0)</f>
        <v>0</v>
      </c>
      <c r="Q838" s="2">
        <f>_xlfn.XLOOKUP($A838,'[1]LISTA ETIQUETAS'!$O:$O,'[1]LISTA ETIQUETAS'!E:E,"",0)</f>
        <v>0</v>
      </c>
      <c r="R838" s="2">
        <f>_xlfn.XLOOKUP($A838,'[1]LISTA ETIQUETAS'!$O:$O,'[1]LISTA ETIQUETAS'!F:F,"",0)</f>
        <v>0</v>
      </c>
      <c r="S838" s="2">
        <f>_xlfn.XLOOKUP($A838,'[1]LISTA ETIQUETAS'!$O:$O,'[1]LISTA ETIQUETAS'!H:H,"",0)</f>
        <v>1</v>
      </c>
      <c r="T838" s="9">
        <f t="shared" si="41"/>
        <v>1</v>
      </c>
    </row>
    <row r="839" spans="1:20" x14ac:dyDescent="0.25">
      <c r="A839" s="5">
        <v>182607</v>
      </c>
      <c r="B839" t="str">
        <f>IFERROR((VLOOKUP(A839,'[1]LISTA ETIQUETAS'!O:X,3,0)),"PRODUTO SEM ESTOQUE")</f>
        <v>EST POLTRONA PAINEIRAS (FIBRA FB43 - ESTONADO CRU TC Q151)</v>
      </c>
      <c r="C839" s="10" t="s">
        <v>91</v>
      </c>
      <c r="D839" s="10" t="s">
        <v>535</v>
      </c>
      <c r="E839" s="11">
        <f>IF(VLOOKUP(A839,'[1]LISTA ETIQUETAS'!O:W,4,0)="",(VLOOKUP(A839,'[1]LISTA ETIQUETAS'!O:W,6,0)),(VLOOKUP(A839,'[1]LISTA ETIQUETAS'!O:W,4,0)))</f>
        <v>0.92</v>
      </c>
      <c r="F839" s="11">
        <f>IF(VLOOKUP(A839,'[1]LISTA ETIQUETAS'!O:W,5,0)="",(VLOOKUP(A839,'[1]LISTA ETIQUETAS'!O:W,7,0)),(VLOOKUP(A839,'[1]LISTA ETIQUETAS'!O:W,5,0)))</f>
        <v>0.8</v>
      </c>
      <c r="G839" s="11">
        <f>IFERROR((VLOOKUP(A839,'[1]LISTA ETIQUETAS'!O:X,8,0)),"")</f>
        <v>0.8</v>
      </c>
      <c r="H839" s="11">
        <f>IFERROR((VLOOKUP(A839,'[1]LISTA ETIQUETAS'!O:X,9,0)),"")</f>
        <v>0</v>
      </c>
      <c r="I839" s="12">
        <f>IFERROR((VLOOKUP(A839,'[1]LISTA ETIQUETAS'!O:Y,11,0)),"")</f>
        <v>10631.04</v>
      </c>
      <c r="J839" s="6">
        <v>0</v>
      </c>
      <c r="K839" s="12">
        <f t="shared" si="39"/>
        <v>10631.04</v>
      </c>
      <c r="L839" s="7" t="str">
        <f>IF(VLOOKUP(A839,'[1]LISTA ETIQUETAS'!O:AB,14,0)="","",(VLOOKUP(A839,'[1]LISTA ETIQUETAS'!O:AB,14,0)))</f>
        <v/>
      </c>
      <c r="M839" s="8"/>
      <c r="N839" s="9">
        <f t="shared" si="40"/>
        <v>182607</v>
      </c>
      <c r="O839" s="2">
        <f>_xlfn.XLOOKUP($A839,'[1]LISTA ETIQUETAS'!$O:$O,'[1]LISTA ETIQUETAS'!C:C,"",0)</f>
        <v>0</v>
      </c>
      <c r="P839" s="2">
        <f>_xlfn.XLOOKUP($A839,'[1]LISTA ETIQUETAS'!$O:$O,'[1]LISTA ETIQUETAS'!D:D,"",0)</f>
        <v>0</v>
      </c>
      <c r="Q839" s="2">
        <f>_xlfn.XLOOKUP($A839,'[1]LISTA ETIQUETAS'!$O:$O,'[1]LISTA ETIQUETAS'!E:E,"",0)</f>
        <v>0</v>
      </c>
      <c r="R839" s="2">
        <f>_xlfn.XLOOKUP($A839,'[1]LISTA ETIQUETAS'!$O:$O,'[1]LISTA ETIQUETAS'!F:F,"",0)</f>
        <v>0</v>
      </c>
      <c r="S839" s="2">
        <f>_xlfn.XLOOKUP($A839,'[1]LISTA ETIQUETAS'!$O:$O,'[1]LISTA ETIQUETAS'!H:H,"",0)</f>
        <v>2</v>
      </c>
      <c r="T839" s="9">
        <f t="shared" si="41"/>
        <v>2</v>
      </c>
    </row>
    <row r="840" spans="1:20" x14ac:dyDescent="0.25">
      <c r="A840" s="5">
        <v>178083</v>
      </c>
      <c r="B840" t="str">
        <f>IFERROR((VLOOKUP(A840,'[1]LISTA ETIQUETAS'!O:X,3,0)),"PRODUTO SEM ESTOQUE")</f>
        <v>EST POLTRONA NANA (MEL CLARO) (TELA NATURAL)</v>
      </c>
      <c r="C840" s="10" t="s">
        <v>91</v>
      </c>
      <c r="D840" s="10" t="s">
        <v>536</v>
      </c>
      <c r="E840" s="11">
        <f>IF(VLOOKUP(A840,'[1]LISTA ETIQUETAS'!O:W,4,0)="",(VLOOKUP(A840,'[1]LISTA ETIQUETAS'!O:W,6,0)),(VLOOKUP(A840,'[1]LISTA ETIQUETAS'!O:W,4,0)))</f>
        <v>0</v>
      </c>
      <c r="F840" s="11">
        <f>IF(VLOOKUP(A840,'[1]LISTA ETIQUETAS'!O:W,5,0)="",(VLOOKUP(A840,'[1]LISTA ETIQUETAS'!O:W,7,0)),(VLOOKUP(A840,'[1]LISTA ETIQUETAS'!O:W,5,0)))</f>
        <v>0</v>
      </c>
      <c r="G840" s="11">
        <f>IFERROR((VLOOKUP(A840,'[1]LISTA ETIQUETAS'!O:X,8,0)),"")</f>
        <v>0</v>
      </c>
      <c r="H840" s="11">
        <f>IFERROR((VLOOKUP(A840,'[1]LISTA ETIQUETAS'!O:X,9,0)),"")</f>
        <v>0</v>
      </c>
      <c r="I840" s="12">
        <f>IFERROR((VLOOKUP(A840,'[1]LISTA ETIQUETAS'!O:Y,11,0)),"")</f>
        <v>0</v>
      </c>
      <c r="J840" s="6">
        <v>0</v>
      </c>
      <c r="K840" s="12">
        <f t="shared" si="39"/>
        <v>0</v>
      </c>
      <c r="L840" s="7" t="str">
        <f>IF(VLOOKUP(A840,'[1]LISTA ETIQUETAS'!O:AB,14,0)="","",(VLOOKUP(A840,'[1]LISTA ETIQUETAS'!O:AB,14,0)))</f>
        <v/>
      </c>
      <c r="M840" s="8"/>
      <c r="N840" s="9">
        <f t="shared" si="40"/>
        <v>178083</v>
      </c>
      <c r="O840" s="2">
        <f>_xlfn.XLOOKUP($A840,'[1]LISTA ETIQUETAS'!$O:$O,'[1]LISTA ETIQUETAS'!C:C,"",0)</f>
        <v>0</v>
      </c>
      <c r="P840" s="2">
        <f>_xlfn.XLOOKUP($A840,'[1]LISTA ETIQUETAS'!$O:$O,'[1]LISTA ETIQUETAS'!D:D,"",0)</f>
        <v>0</v>
      </c>
      <c r="Q840" s="2">
        <f>_xlfn.XLOOKUP($A840,'[1]LISTA ETIQUETAS'!$O:$O,'[1]LISTA ETIQUETAS'!E:E,"",0)</f>
        <v>0</v>
      </c>
      <c r="R840" s="2">
        <f>_xlfn.XLOOKUP($A840,'[1]LISTA ETIQUETAS'!$O:$O,'[1]LISTA ETIQUETAS'!F:F,"",0)</f>
        <v>0</v>
      </c>
      <c r="S840" s="2">
        <f>_xlfn.XLOOKUP($A840,'[1]LISTA ETIQUETAS'!$O:$O,'[1]LISTA ETIQUETAS'!H:H,"",0)</f>
        <v>1</v>
      </c>
      <c r="T840" s="9">
        <f t="shared" si="41"/>
        <v>1</v>
      </c>
    </row>
    <row r="841" spans="1:20" x14ac:dyDescent="0.25">
      <c r="A841" s="5">
        <v>179149</v>
      </c>
      <c r="B841" t="str">
        <f>IFERROR((VLOOKUP(A841,'[1]LISTA ETIQUETAS'!O:X,3,0)),"PRODUTO SEM ESTOQUE")</f>
        <v>EST POLTRONA FLEX (BC 20CM) PES LC BRANC FSC/TC 10945</v>
      </c>
      <c r="C841" s="10" t="s">
        <v>91</v>
      </c>
      <c r="D841" s="10" t="s">
        <v>537</v>
      </c>
      <c r="E841" s="11">
        <f>IF(VLOOKUP(A841,'[1]LISTA ETIQUETAS'!O:W,4,0)="",(VLOOKUP(A841,'[1]LISTA ETIQUETAS'!O:W,6,0)),(VLOOKUP(A841,'[1]LISTA ETIQUETAS'!O:W,4,0)))</f>
        <v>0.8</v>
      </c>
      <c r="F841" s="11">
        <f>IF(VLOOKUP(A841,'[1]LISTA ETIQUETAS'!O:W,5,0)="",(VLOOKUP(A841,'[1]LISTA ETIQUETAS'!O:W,7,0)),(VLOOKUP(A841,'[1]LISTA ETIQUETAS'!O:W,5,0)))</f>
        <v>1.03</v>
      </c>
      <c r="G841" s="11">
        <f>IFERROR((VLOOKUP(A841,'[1]LISTA ETIQUETAS'!O:X,8,0)),"")</f>
        <v>0.83</v>
      </c>
      <c r="H841" s="11">
        <f>IFERROR((VLOOKUP(A841,'[1]LISTA ETIQUETAS'!O:X,9,0)),"")</f>
        <v>0</v>
      </c>
      <c r="I841" s="12">
        <f>IFERROR((VLOOKUP(A841,'[1]LISTA ETIQUETAS'!O:Y,11,0)),"")</f>
        <v>13022.11</v>
      </c>
      <c r="J841" s="6">
        <v>0</v>
      </c>
      <c r="K841" s="12">
        <f t="shared" si="39"/>
        <v>13022.11</v>
      </c>
      <c r="L841" s="7" t="str">
        <f>IF(VLOOKUP(A841,'[1]LISTA ETIQUETAS'!O:AB,14,0)="","",(VLOOKUP(A841,'[1]LISTA ETIQUETAS'!O:AB,14,0)))</f>
        <v/>
      </c>
      <c r="M841" s="8"/>
      <c r="N841" s="9">
        <f t="shared" si="40"/>
        <v>179149</v>
      </c>
      <c r="O841" s="2">
        <f>_xlfn.XLOOKUP($A841,'[1]LISTA ETIQUETAS'!$O:$O,'[1]LISTA ETIQUETAS'!C:C,"",0)</f>
        <v>0</v>
      </c>
      <c r="P841" s="2">
        <f>_xlfn.XLOOKUP($A841,'[1]LISTA ETIQUETAS'!$O:$O,'[1]LISTA ETIQUETAS'!D:D,"",0)</f>
        <v>0</v>
      </c>
      <c r="Q841" s="2">
        <f>_xlfn.XLOOKUP($A841,'[1]LISTA ETIQUETAS'!$O:$O,'[1]LISTA ETIQUETAS'!E:E,"",0)</f>
        <v>0</v>
      </c>
      <c r="R841" s="2">
        <f>_xlfn.XLOOKUP($A841,'[1]LISTA ETIQUETAS'!$O:$O,'[1]LISTA ETIQUETAS'!F:F,"",0)</f>
        <v>0</v>
      </c>
      <c r="S841" s="2">
        <f>_xlfn.XLOOKUP($A841,'[1]LISTA ETIQUETAS'!$O:$O,'[1]LISTA ETIQUETAS'!H:H,"",0)</f>
        <v>2</v>
      </c>
      <c r="T841" s="9">
        <f t="shared" si="41"/>
        <v>2</v>
      </c>
    </row>
    <row r="842" spans="1:20" x14ac:dyDescent="0.25">
      <c r="A842" s="5">
        <v>178920</v>
      </c>
      <c r="B842" t="str">
        <f>IFERROR((VLOOKUP(A842,'[1]LISTA ETIQUETAS'!O:X,3,0)),"PRODUTO SEM ESTOQUE")</f>
        <v>EST POLTRONA CUBO ECO (C/ASS MOVEL) TC 12830</v>
      </c>
      <c r="C842" s="10" t="s">
        <v>91</v>
      </c>
      <c r="D842" s="10" t="s">
        <v>538</v>
      </c>
      <c r="E842" s="11">
        <f>IF(VLOOKUP(A842,'[1]LISTA ETIQUETAS'!O:W,4,0)="",(VLOOKUP(A842,'[1]LISTA ETIQUETAS'!O:W,6,0)),(VLOOKUP(A842,'[1]LISTA ETIQUETAS'!O:W,4,0)))</f>
        <v>1.28</v>
      </c>
      <c r="F842" s="11">
        <f>IF(VLOOKUP(A842,'[1]LISTA ETIQUETAS'!O:W,5,0)="",(VLOOKUP(A842,'[1]LISTA ETIQUETAS'!O:W,7,0)),(VLOOKUP(A842,'[1]LISTA ETIQUETAS'!O:W,5,0)))</f>
        <v>1.08</v>
      </c>
      <c r="G842" s="11">
        <f>IFERROR((VLOOKUP(A842,'[1]LISTA ETIQUETAS'!O:X,8,0)),"")</f>
        <v>0.85</v>
      </c>
      <c r="H842" s="11">
        <f>IFERROR((VLOOKUP(A842,'[1]LISTA ETIQUETAS'!O:X,9,0)),"")</f>
        <v>0</v>
      </c>
      <c r="I842" s="12">
        <f>IFERROR((VLOOKUP(A842,'[1]LISTA ETIQUETAS'!O:Y,11,0)),"")</f>
        <v>13120.8</v>
      </c>
      <c r="J842" s="6">
        <v>0</v>
      </c>
      <c r="K842" s="12">
        <f t="shared" si="39"/>
        <v>13120.8</v>
      </c>
      <c r="L842" s="7" t="str">
        <f>IF(VLOOKUP(A842,'[1]LISTA ETIQUETAS'!O:AB,14,0)="","",(VLOOKUP(A842,'[1]LISTA ETIQUETAS'!O:AB,14,0)))</f>
        <v/>
      </c>
      <c r="M842" s="8"/>
      <c r="N842" s="9">
        <f t="shared" si="40"/>
        <v>178920</v>
      </c>
      <c r="O842" s="2">
        <f>_xlfn.XLOOKUP($A842,'[1]LISTA ETIQUETAS'!$O:$O,'[1]LISTA ETIQUETAS'!C:C,"",0)</f>
        <v>0</v>
      </c>
      <c r="P842" s="2">
        <f>_xlfn.XLOOKUP($A842,'[1]LISTA ETIQUETAS'!$O:$O,'[1]LISTA ETIQUETAS'!D:D,"",0)</f>
        <v>0</v>
      </c>
      <c r="Q842" s="2">
        <f>_xlfn.XLOOKUP($A842,'[1]LISTA ETIQUETAS'!$O:$O,'[1]LISTA ETIQUETAS'!E:E,"",0)</f>
        <v>0</v>
      </c>
      <c r="R842" s="2">
        <f>_xlfn.XLOOKUP($A842,'[1]LISTA ETIQUETAS'!$O:$O,'[1]LISTA ETIQUETAS'!F:F,"",0)</f>
        <v>0</v>
      </c>
      <c r="S842" s="2">
        <f>_xlfn.XLOOKUP($A842,'[1]LISTA ETIQUETAS'!$O:$O,'[1]LISTA ETIQUETAS'!H:H,"",0)</f>
        <v>2</v>
      </c>
      <c r="T842" s="9">
        <f t="shared" si="41"/>
        <v>2</v>
      </c>
    </row>
    <row r="843" spans="1:20" x14ac:dyDescent="0.25">
      <c r="A843" s="5">
        <v>174976</v>
      </c>
      <c r="B843" t="str">
        <f>IFERROR((VLOOKUP(A843,'[1]LISTA ETIQUETAS'!O:X,3,0)),"PRODUTO SEM ESTOQUE")</f>
        <v>EST POLTROMA COOL (INOX) TC BOUCLE PRETO</v>
      </c>
      <c r="C843" s="10" t="s">
        <v>91</v>
      </c>
      <c r="D843" s="10" t="s">
        <v>539</v>
      </c>
      <c r="E843" s="11">
        <f>IF(VLOOKUP(A843,'[1]LISTA ETIQUETAS'!O:W,4,0)="",(VLOOKUP(A843,'[1]LISTA ETIQUETAS'!O:W,6,0)),(VLOOKUP(A843,'[1]LISTA ETIQUETAS'!O:W,4,0)))</f>
        <v>0.8</v>
      </c>
      <c r="F843" s="11">
        <f>IF(VLOOKUP(A843,'[1]LISTA ETIQUETAS'!O:W,5,0)="",(VLOOKUP(A843,'[1]LISTA ETIQUETAS'!O:W,7,0)),(VLOOKUP(A843,'[1]LISTA ETIQUETAS'!O:W,5,0)))</f>
        <v>0.3</v>
      </c>
      <c r="G843" s="11">
        <f>IFERROR((VLOOKUP(A843,'[1]LISTA ETIQUETAS'!O:X,8,0)),"")</f>
        <v>0.68</v>
      </c>
      <c r="H843" s="11">
        <f>IFERROR((VLOOKUP(A843,'[1]LISTA ETIQUETAS'!O:X,9,0)),"")</f>
        <v>0</v>
      </c>
      <c r="I843" s="12">
        <f>IFERROR((VLOOKUP(A843,'[1]LISTA ETIQUETAS'!O:Y,11,0)),"")</f>
        <v>0</v>
      </c>
      <c r="J843" s="6">
        <v>0</v>
      </c>
      <c r="K843" s="12">
        <f t="shared" si="39"/>
        <v>0</v>
      </c>
      <c r="L843" s="7" t="str">
        <f>IF(VLOOKUP(A843,'[1]LISTA ETIQUETAS'!O:AB,14,0)="","",(VLOOKUP(A843,'[1]LISTA ETIQUETAS'!O:AB,14,0)))</f>
        <v/>
      </c>
      <c r="M843" s="8"/>
      <c r="N843" s="9">
        <f t="shared" si="40"/>
        <v>174976</v>
      </c>
      <c r="O843" s="2">
        <f>_xlfn.XLOOKUP($A843,'[1]LISTA ETIQUETAS'!$O:$O,'[1]LISTA ETIQUETAS'!C:C,"",0)</f>
        <v>0</v>
      </c>
      <c r="P843" s="2">
        <f>_xlfn.XLOOKUP($A843,'[1]LISTA ETIQUETAS'!$O:$O,'[1]LISTA ETIQUETAS'!D:D,"",0)</f>
        <v>0</v>
      </c>
      <c r="Q843" s="2">
        <f>_xlfn.XLOOKUP($A843,'[1]LISTA ETIQUETAS'!$O:$O,'[1]LISTA ETIQUETAS'!E:E,"",0)</f>
        <v>0</v>
      </c>
      <c r="R843" s="2">
        <f>_xlfn.XLOOKUP($A843,'[1]LISTA ETIQUETAS'!$O:$O,'[1]LISTA ETIQUETAS'!F:F,"",0)</f>
        <v>0</v>
      </c>
      <c r="S843" s="2">
        <f>_xlfn.XLOOKUP($A843,'[1]LISTA ETIQUETAS'!$O:$O,'[1]LISTA ETIQUETAS'!H:H,"",0)</f>
        <v>2</v>
      </c>
      <c r="T843" s="9">
        <f t="shared" si="41"/>
        <v>2</v>
      </c>
    </row>
    <row r="844" spans="1:20" x14ac:dyDescent="0.25">
      <c r="A844" s="5">
        <v>164393</v>
      </c>
      <c r="B844" t="str">
        <f>IFERROR((VLOOKUP(A844,'[1]LISTA ETIQUETAS'!O:X,3,0)),"PRODUTO SEM ESTOQUE")</f>
        <v>EST POLTRONA ACCOR FX D4034</v>
      </c>
      <c r="C844" s="10" t="s">
        <v>91</v>
      </c>
      <c r="D844" s="10" t="s">
        <v>540</v>
      </c>
      <c r="E844" s="11">
        <f>IF(VLOOKUP(A844,'[1]LISTA ETIQUETAS'!O:W,4,0)="",(VLOOKUP(A844,'[1]LISTA ETIQUETAS'!O:W,6,0)),(VLOOKUP(A844,'[1]LISTA ETIQUETAS'!O:W,4,0)))</f>
        <v>0</v>
      </c>
      <c r="F844" s="11">
        <f>IF(VLOOKUP(A844,'[1]LISTA ETIQUETAS'!O:W,5,0)="",(VLOOKUP(A844,'[1]LISTA ETIQUETAS'!O:W,7,0)),(VLOOKUP(A844,'[1]LISTA ETIQUETAS'!O:W,5,0)))</f>
        <v>0</v>
      </c>
      <c r="G844" s="11">
        <f>IFERROR((VLOOKUP(A844,'[1]LISTA ETIQUETAS'!O:X,8,0)),"")</f>
        <v>0</v>
      </c>
      <c r="H844" s="11">
        <f>IFERROR((VLOOKUP(A844,'[1]LISTA ETIQUETAS'!O:X,9,0)),"")</f>
        <v>0</v>
      </c>
      <c r="I844" s="12">
        <f>IFERROR((VLOOKUP(A844,'[1]LISTA ETIQUETAS'!O:Y,11,0)),"")</f>
        <v>7436.8</v>
      </c>
      <c r="J844" s="6">
        <v>0</v>
      </c>
      <c r="K844" s="12">
        <f t="shared" si="39"/>
        <v>7436.8</v>
      </c>
      <c r="L844" s="7" t="str">
        <f>IF(VLOOKUP(A844,'[1]LISTA ETIQUETAS'!O:AB,14,0)="","",(VLOOKUP(A844,'[1]LISTA ETIQUETAS'!O:AB,14,0)))</f>
        <v/>
      </c>
      <c r="M844" s="8"/>
      <c r="N844" s="9">
        <f t="shared" si="40"/>
        <v>164393</v>
      </c>
      <c r="O844" s="2">
        <f>_xlfn.XLOOKUP($A844,'[1]LISTA ETIQUETAS'!$O:$O,'[1]LISTA ETIQUETAS'!C:C,"",0)</f>
        <v>0</v>
      </c>
      <c r="P844" s="2">
        <f>_xlfn.XLOOKUP($A844,'[1]LISTA ETIQUETAS'!$O:$O,'[1]LISTA ETIQUETAS'!D:D,"",0)</f>
        <v>0</v>
      </c>
      <c r="Q844" s="2">
        <f>_xlfn.XLOOKUP($A844,'[1]LISTA ETIQUETAS'!$O:$O,'[1]LISTA ETIQUETAS'!E:E,"",0)</f>
        <v>0</v>
      </c>
      <c r="R844" s="2">
        <f>_xlfn.XLOOKUP($A844,'[1]LISTA ETIQUETAS'!$O:$O,'[1]LISTA ETIQUETAS'!F:F,"",0)</f>
        <v>0</v>
      </c>
      <c r="S844" s="2">
        <f>_xlfn.XLOOKUP($A844,'[1]LISTA ETIQUETAS'!$O:$O,'[1]LISTA ETIQUETAS'!H:H,"",0)</f>
        <v>1</v>
      </c>
      <c r="T844" s="9">
        <f t="shared" si="41"/>
        <v>1</v>
      </c>
    </row>
    <row r="845" spans="1:20" x14ac:dyDescent="0.25">
      <c r="A845" s="5">
        <v>157358</v>
      </c>
      <c r="B845" t="str">
        <f>IFERROR((VLOOKUP(A845,'[1]LISTA ETIQUETAS'!O:X,3,0)),"PRODUTO SEM ESTOQUE")</f>
        <v>EST POLTRONA DORA (BAIXA) TC IMPORT DIVINA COR01</v>
      </c>
      <c r="C845" s="10" t="s">
        <v>91</v>
      </c>
      <c r="D845" s="10" t="s">
        <v>521</v>
      </c>
      <c r="E845" s="11">
        <f>IF(VLOOKUP(A845,'[1]LISTA ETIQUETAS'!O:W,4,0)="",(VLOOKUP(A845,'[1]LISTA ETIQUETAS'!O:W,6,0)),(VLOOKUP(A845,'[1]LISTA ETIQUETAS'!O:W,4,0)))</f>
        <v>0.76</v>
      </c>
      <c r="F845" s="11">
        <f>IF(VLOOKUP(A845,'[1]LISTA ETIQUETAS'!O:W,5,0)="",(VLOOKUP(A845,'[1]LISTA ETIQUETAS'!O:W,7,0)),(VLOOKUP(A845,'[1]LISTA ETIQUETAS'!O:W,5,0)))</f>
        <v>0.83</v>
      </c>
      <c r="G845" s="11">
        <f>IFERROR((VLOOKUP(A845,'[1]LISTA ETIQUETAS'!O:X,8,0)),"")</f>
        <v>0.7</v>
      </c>
      <c r="H845" s="11">
        <f>IFERROR((VLOOKUP(A845,'[1]LISTA ETIQUETAS'!O:X,9,0)),"")</f>
        <v>0</v>
      </c>
      <c r="I845" s="12">
        <f>IFERROR((VLOOKUP(A845,'[1]LISTA ETIQUETAS'!O:Y,11,0)),"")</f>
        <v>29568</v>
      </c>
      <c r="J845" s="6">
        <v>0</v>
      </c>
      <c r="K845" s="12">
        <f t="shared" si="39"/>
        <v>29568</v>
      </c>
      <c r="L845" s="7" t="str">
        <f>IF(VLOOKUP(A845,'[1]LISTA ETIQUETAS'!O:AB,14,0)="","",(VLOOKUP(A845,'[1]LISTA ETIQUETAS'!O:AB,14,0)))</f>
        <v/>
      </c>
      <c r="M845" s="8"/>
      <c r="N845" s="9">
        <f t="shared" si="40"/>
        <v>157358</v>
      </c>
      <c r="O845" s="2">
        <f>_xlfn.XLOOKUP($A845,'[1]LISTA ETIQUETAS'!$O:$O,'[1]LISTA ETIQUETAS'!C:C,"",0)</f>
        <v>0</v>
      </c>
      <c r="P845" s="2">
        <f>_xlfn.XLOOKUP($A845,'[1]LISTA ETIQUETAS'!$O:$O,'[1]LISTA ETIQUETAS'!D:D,"",0)</f>
        <v>0</v>
      </c>
      <c r="Q845" s="2">
        <f>_xlfn.XLOOKUP($A845,'[1]LISTA ETIQUETAS'!$O:$O,'[1]LISTA ETIQUETAS'!E:E,"",0)</f>
        <v>0</v>
      </c>
      <c r="R845" s="2">
        <f>_xlfn.XLOOKUP($A845,'[1]LISTA ETIQUETAS'!$O:$O,'[1]LISTA ETIQUETAS'!F:F,"",0)</f>
        <v>0</v>
      </c>
      <c r="S845" s="2">
        <f>_xlfn.XLOOKUP($A845,'[1]LISTA ETIQUETAS'!$O:$O,'[1]LISTA ETIQUETAS'!H:H,"",0)</f>
        <v>1</v>
      </c>
      <c r="T845" s="9">
        <f t="shared" si="41"/>
        <v>1</v>
      </c>
    </row>
    <row r="846" spans="1:20" x14ac:dyDescent="0.25">
      <c r="A846" s="5">
        <v>203130</v>
      </c>
      <c r="B846" t="str">
        <f>IFERROR((VLOOKUP(A846,'[1]LISTA ETIQUETAS'!O:X,3,0)),"PRODUTO SEM ESTOQUE")</f>
        <v>EST POLTRONA PAETE (C/CAPA) (FIXA) TC 10030113</v>
      </c>
      <c r="C846" s="10" t="s">
        <v>91</v>
      </c>
      <c r="D846" s="10" t="s">
        <v>541</v>
      </c>
      <c r="E846" s="11">
        <f>IF(VLOOKUP(A846,'[1]LISTA ETIQUETAS'!O:W,4,0)="",(VLOOKUP(A846,'[1]LISTA ETIQUETAS'!O:W,6,0)),(VLOOKUP(A846,'[1]LISTA ETIQUETAS'!O:W,4,0)))</f>
        <v>0.9</v>
      </c>
      <c r="F846" s="11">
        <f>IF(VLOOKUP(A846,'[1]LISTA ETIQUETAS'!O:W,5,0)="",(VLOOKUP(A846,'[1]LISTA ETIQUETAS'!O:W,7,0)),(VLOOKUP(A846,'[1]LISTA ETIQUETAS'!O:W,5,0)))</f>
        <v>0.87</v>
      </c>
      <c r="G846" s="11">
        <f>IFERROR((VLOOKUP(A846,'[1]LISTA ETIQUETAS'!O:X,8,0)),"")</f>
        <v>0.86</v>
      </c>
      <c r="H846" s="11">
        <f>IFERROR((VLOOKUP(A846,'[1]LISTA ETIQUETAS'!O:X,9,0)),"")</f>
        <v>0</v>
      </c>
      <c r="I846" s="12">
        <f>IFERROR((VLOOKUP(A846,'[1]LISTA ETIQUETAS'!O:Y,11,0)),"")</f>
        <v>0</v>
      </c>
      <c r="J846" s="6">
        <v>0</v>
      </c>
      <c r="K846" s="12">
        <f t="shared" si="39"/>
        <v>0</v>
      </c>
      <c r="L846" s="7" t="str">
        <f>IF(VLOOKUP(A846,'[1]LISTA ETIQUETAS'!O:AB,14,0)="","",(VLOOKUP(A846,'[1]LISTA ETIQUETAS'!O:AB,14,0)))</f>
        <v/>
      </c>
      <c r="M846" s="8"/>
      <c r="N846" s="9">
        <f t="shared" si="40"/>
        <v>203130</v>
      </c>
      <c r="O846" s="2">
        <f>_xlfn.XLOOKUP($A846,'[1]LISTA ETIQUETAS'!$O:$O,'[1]LISTA ETIQUETAS'!C:C,"",0)</f>
        <v>0</v>
      </c>
      <c r="P846" s="2">
        <f>_xlfn.XLOOKUP($A846,'[1]LISTA ETIQUETAS'!$O:$O,'[1]LISTA ETIQUETAS'!D:D,"",0)</f>
        <v>0</v>
      </c>
      <c r="Q846" s="2">
        <f>_xlfn.XLOOKUP($A846,'[1]LISTA ETIQUETAS'!$O:$O,'[1]LISTA ETIQUETAS'!E:E,"",0)</f>
        <v>0</v>
      </c>
      <c r="R846" s="2">
        <f>_xlfn.XLOOKUP($A846,'[1]LISTA ETIQUETAS'!$O:$O,'[1]LISTA ETIQUETAS'!F:F,"",0)</f>
        <v>0</v>
      </c>
      <c r="S846" s="2">
        <f>_xlfn.XLOOKUP($A846,'[1]LISTA ETIQUETAS'!$O:$O,'[1]LISTA ETIQUETAS'!H:H,"",0)</f>
        <v>1</v>
      </c>
      <c r="T846" s="9">
        <f t="shared" si="41"/>
        <v>1</v>
      </c>
    </row>
    <row r="847" spans="1:20" x14ac:dyDescent="0.25">
      <c r="A847" s="5">
        <v>203139</v>
      </c>
      <c r="B847" t="str">
        <f>IFERROR((VLOOKUP(A847,'[1]LISTA ETIQUETAS'!O:X,3,0)),"PRODUTO SEM ESTOQUE")</f>
        <v>EST POLTRONA VOGUE (MADEIRA MEL) TC P3321</v>
      </c>
      <c r="C847" s="10" t="s">
        <v>91</v>
      </c>
      <c r="D847" s="10" t="s">
        <v>542</v>
      </c>
      <c r="E847" s="11">
        <f>IF(VLOOKUP(A847,'[1]LISTA ETIQUETAS'!O:W,4,0)="",(VLOOKUP(A847,'[1]LISTA ETIQUETAS'!O:W,6,0)),(VLOOKUP(A847,'[1]LISTA ETIQUETAS'!O:W,4,0)))</f>
        <v>0.55000000000000004</v>
      </c>
      <c r="F847" s="11">
        <f>IF(VLOOKUP(A847,'[1]LISTA ETIQUETAS'!O:W,5,0)="",(VLOOKUP(A847,'[1]LISTA ETIQUETAS'!O:W,7,0)),(VLOOKUP(A847,'[1]LISTA ETIQUETAS'!O:W,5,0)))</f>
        <v>0.51</v>
      </c>
      <c r="G847" s="11">
        <f>IFERROR((VLOOKUP(A847,'[1]LISTA ETIQUETAS'!O:X,8,0)),"")</f>
        <v>0.91</v>
      </c>
      <c r="H847" s="11">
        <f>IFERROR((VLOOKUP(A847,'[1]LISTA ETIQUETAS'!O:X,9,0)),"")</f>
        <v>0</v>
      </c>
      <c r="I847" s="12">
        <f>IFERROR((VLOOKUP(A847,'[1]LISTA ETIQUETAS'!O:Y,11,0)),"")</f>
        <v>0</v>
      </c>
      <c r="J847" s="6">
        <v>0</v>
      </c>
      <c r="K847" s="12">
        <f t="shared" si="39"/>
        <v>0</v>
      </c>
      <c r="L847" s="7" t="str">
        <f>IF(VLOOKUP(A847,'[1]LISTA ETIQUETAS'!O:AB,14,0)="","",(VLOOKUP(A847,'[1]LISTA ETIQUETAS'!O:AB,14,0)))</f>
        <v/>
      </c>
      <c r="M847" s="8"/>
      <c r="N847" s="9">
        <f t="shared" si="40"/>
        <v>203139</v>
      </c>
      <c r="O847" s="2">
        <f>_xlfn.XLOOKUP($A847,'[1]LISTA ETIQUETAS'!$O:$O,'[1]LISTA ETIQUETAS'!C:C,"",0)</f>
        <v>0</v>
      </c>
      <c r="P847" s="2">
        <f>_xlfn.XLOOKUP($A847,'[1]LISTA ETIQUETAS'!$O:$O,'[1]LISTA ETIQUETAS'!D:D,"",0)</f>
        <v>0</v>
      </c>
      <c r="Q847" s="2">
        <f>_xlfn.XLOOKUP($A847,'[1]LISTA ETIQUETAS'!$O:$O,'[1]LISTA ETIQUETAS'!E:E,"",0)</f>
        <v>0</v>
      </c>
      <c r="R847" s="2">
        <f>_xlfn.XLOOKUP($A847,'[1]LISTA ETIQUETAS'!$O:$O,'[1]LISTA ETIQUETAS'!F:F,"",0)</f>
        <v>0</v>
      </c>
      <c r="S847" s="2">
        <f>_xlfn.XLOOKUP($A847,'[1]LISTA ETIQUETAS'!$O:$O,'[1]LISTA ETIQUETAS'!H:H,"",0)</f>
        <v>1</v>
      </c>
      <c r="T847" s="9">
        <f t="shared" si="41"/>
        <v>1</v>
      </c>
    </row>
    <row r="848" spans="1:20" x14ac:dyDescent="0.25">
      <c r="A848" s="5">
        <v>201241</v>
      </c>
      <c r="B848" t="str">
        <f>IFERROR((VLOOKUP(A848,'[1]LISTA ETIQUETAS'!O:X,3,0)),"PRODUTO SEM ESTOQUE")</f>
        <v>EST POLTRONA DONNA (IMBUIA) TC 0116 D</v>
      </c>
      <c r="C848" s="10" t="s">
        <v>91</v>
      </c>
      <c r="D848" s="10" t="s">
        <v>543</v>
      </c>
      <c r="E848" s="11">
        <f>IF(VLOOKUP(A848,'[1]LISTA ETIQUETAS'!O:W,4,0)="",(VLOOKUP(A848,'[1]LISTA ETIQUETAS'!O:W,6,0)),(VLOOKUP(A848,'[1]LISTA ETIQUETAS'!O:W,4,0)))</f>
        <v>0.9</v>
      </c>
      <c r="F848" s="11">
        <f>IF(VLOOKUP(A848,'[1]LISTA ETIQUETAS'!O:W,5,0)="",(VLOOKUP(A848,'[1]LISTA ETIQUETAS'!O:W,7,0)),(VLOOKUP(A848,'[1]LISTA ETIQUETAS'!O:W,5,0)))</f>
        <v>0.84</v>
      </c>
      <c r="G848" s="11">
        <f>IFERROR((VLOOKUP(A848,'[1]LISTA ETIQUETAS'!O:X,8,0)),"")</f>
        <v>0.85</v>
      </c>
      <c r="H848" s="11">
        <f>IFERROR((VLOOKUP(A848,'[1]LISTA ETIQUETAS'!O:X,9,0)),"")</f>
        <v>0</v>
      </c>
      <c r="I848" s="12">
        <f>IFERROR((VLOOKUP(A848,'[1]LISTA ETIQUETAS'!O:Y,11,0)),"")</f>
        <v>0</v>
      </c>
      <c r="J848" s="6">
        <v>0</v>
      </c>
      <c r="K848" s="12">
        <f t="shared" si="39"/>
        <v>0</v>
      </c>
      <c r="L848" s="7" t="str">
        <f>IF(VLOOKUP(A848,'[1]LISTA ETIQUETAS'!O:AB,14,0)="","",(VLOOKUP(A848,'[1]LISTA ETIQUETAS'!O:AB,14,0)))</f>
        <v/>
      </c>
      <c r="M848" s="8"/>
      <c r="N848" s="9">
        <f t="shared" si="40"/>
        <v>201241</v>
      </c>
      <c r="O848" s="2">
        <f>_xlfn.XLOOKUP($A848,'[1]LISTA ETIQUETAS'!$O:$O,'[1]LISTA ETIQUETAS'!C:C,"",0)</f>
        <v>0</v>
      </c>
      <c r="P848" s="2">
        <f>_xlfn.XLOOKUP($A848,'[1]LISTA ETIQUETAS'!$O:$O,'[1]LISTA ETIQUETAS'!D:D,"",0)</f>
        <v>0</v>
      </c>
      <c r="Q848" s="2">
        <f>_xlfn.XLOOKUP($A848,'[1]LISTA ETIQUETAS'!$O:$O,'[1]LISTA ETIQUETAS'!E:E,"",0)</f>
        <v>0</v>
      </c>
      <c r="R848" s="2">
        <f>_xlfn.XLOOKUP($A848,'[1]LISTA ETIQUETAS'!$O:$O,'[1]LISTA ETIQUETAS'!F:F,"",0)</f>
        <v>0</v>
      </c>
      <c r="S848" s="2">
        <f>_xlfn.XLOOKUP($A848,'[1]LISTA ETIQUETAS'!$O:$O,'[1]LISTA ETIQUETAS'!H:H,"",0)</f>
        <v>1</v>
      </c>
      <c r="T848" s="9">
        <f t="shared" si="41"/>
        <v>1</v>
      </c>
    </row>
    <row r="849" spans="1:20" x14ac:dyDescent="0.25">
      <c r="A849" s="5">
        <v>196058</v>
      </c>
      <c r="B849" t="str">
        <f>IFERROR((VLOOKUP(A849,'[1]LISTA ETIQUETAS'!O:X,3,0)),"PRODUTO SEM ESTOQUE")</f>
        <v>EST POLTRONA EIXO (CAPUCCINO) (FB44/FB42) TC Q151</v>
      </c>
      <c r="C849" s="10" t="s">
        <v>91</v>
      </c>
      <c r="D849" s="10" t="s">
        <v>544</v>
      </c>
      <c r="E849" s="11">
        <f>IF(VLOOKUP(A849,'[1]LISTA ETIQUETAS'!O:W,4,0)="",(VLOOKUP(A849,'[1]LISTA ETIQUETAS'!O:W,6,0)),(VLOOKUP(A849,'[1]LISTA ETIQUETAS'!O:W,4,0)))</f>
        <v>0.7</v>
      </c>
      <c r="F849" s="11">
        <f>IF(VLOOKUP(A849,'[1]LISTA ETIQUETAS'!O:W,5,0)="",(VLOOKUP(A849,'[1]LISTA ETIQUETAS'!O:W,7,0)),(VLOOKUP(A849,'[1]LISTA ETIQUETAS'!O:W,5,0)))</f>
        <v>0.7</v>
      </c>
      <c r="G849" s="11">
        <f>IFERROR((VLOOKUP(A849,'[1]LISTA ETIQUETAS'!O:X,8,0)),"")</f>
        <v>0.78</v>
      </c>
      <c r="H849" s="11">
        <f>IFERROR((VLOOKUP(A849,'[1]LISTA ETIQUETAS'!O:X,9,0)),"")</f>
        <v>0</v>
      </c>
      <c r="I849" s="12">
        <f>IFERROR((VLOOKUP(A849,'[1]LISTA ETIQUETAS'!O:Y,11,0)),"")</f>
        <v>0</v>
      </c>
      <c r="J849" s="6">
        <v>0</v>
      </c>
      <c r="K849" s="12">
        <f t="shared" si="39"/>
        <v>0</v>
      </c>
      <c r="L849" s="7" t="str">
        <f>IF(VLOOKUP(A849,'[1]LISTA ETIQUETAS'!O:AB,14,0)="","",(VLOOKUP(A849,'[1]LISTA ETIQUETAS'!O:AB,14,0)))</f>
        <v/>
      </c>
      <c r="M849" s="8"/>
      <c r="N849" s="9">
        <f t="shared" si="40"/>
        <v>196058</v>
      </c>
      <c r="O849" s="2">
        <f>_xlfn.XLOOKUP($A849,'[1]LISTA ETIQUETAS'!$O:$O,'[1]LISTA ETIQUETAS'!C:C,"",0)</f>
        <v>0</v>
      </c>
      <c r="P849" s="2">
        <f>_xlfn.XLOOKUP($A849,'[1]LISTA ETIQUETAS'!$O:$O,'[1]LISTA ETIQUETAS'!D:D,"",0)</f>
        <v>0</v>
      </c>
      <c r="Q849" s="2">
        <f>_xlfn.XLOOKUP($A849,'[1]LISTA ETIQUETAS'!$O:$O,'[1]LISTA ETIQUETAS'!E:E,"",0)</f>
        <v>0</v>
      </c>
      <c r="R849" s="2">
        <f>_xlfn.XLOOKUP($A849,'[1]LISTA ETIQUETAS'!$O:$O,'[1]LISTA ETIQUETAS'!F:F,"",0)</f>
        <v>0</v>
      </c>
      <c r="S849" s="2">
        <f>_xlfn.XLOOKUP($A849,'[1]LISTA ETIQUETAS'!$O:$O,'[1]LISTA ETIQUETAS'!H:H,"",0)</f>
        <v>1</v>
      </c>
      <c r="T849" s="9">
        <f t="shared" si="41"/>
        <v>1</v>
      </c>
    </row>
    <row r="850" spans="1:20" x14ac:dyDescent="0.25">
      <c r="A850" s="5">
        <v>196059</v>
      </c>
      <c r="B850" t="str">
        <f>IFERROR((VLOOKUP(A850,'[1]LISTA ETIQUETAS'!O:X,3,0)),"PRODUTO SEM ESTOQUE")</f>
        <v>EST POLTRONA FLY (CAPUCCINO) (FIBRA FB42) TC Q135</v>
      </c>
      <c r="C850" s="10" t="s">
        <v>91</v>
      </c>
      <c r="D850" s="10" t="s">
        <v>545</v>
      </c>
      <c r="E850" s="11">
        <f>IF(VLOOKUP(A850,'[1]LISTA ETIQUETAS'!O:W,4,0)="",(VLOOKUP(A850,'[1]LISTA ETIQUETAS'!O:W,6,0)),(VLOOKUP(A850,'[1]LISTA ETIQUETAS'!O:W,4,0)))</f>
        <v>0.7</v>
      </c>
      <c r="F850" s="11">
        <f>IF(VLOOKUP(A850,'[1]LISTA ETIQUETAS'!O:W,5,0)="",(VLOOKUP(A850,'[1]LISTA ETIQUETAS'!O:W,7,0)),(VLOOKUP(A850,'[1]LISTA ETIQUETAS'!O:W,5,0)))</f>
        <v>0.69</v>
      </c>
      <c r="G850" s="11">
        <f>IFERROR((VLOOKUP(A850,'[1]LISTA ETIQUETAS'!O:X,8,0)),"")</f>
        <v>0.81</v>
      </c>
      <c r="H850" s="11">
        <f>IFERROR((VLOOKUP(A850,'[1]LISTA ETIQUETAS'!O:X,9,0)),"")</f>
        <v>0</v>
      </c>
      <c r="I850" s="12">
        <f>IFERROR((VLOOKUP(A850,'[1]LISTA ETIQUETAS'!O:Y,11,0)),"")</f>
        <v>0</v>
      </c>
      <c r="J850" s="6">
        <v>0</v>
      </c>
      <c r="K850" s="12">
        <f t="shared" si="39"/>
        <v>0</v>
      </c>
      <c r="L850" s="7" t="str">
        <f>IF(VLOOKUP(A850,'[1]LISTA ETIQUETAS'!O:AB,14,0)="","",(VLOOKUP(A850,'[1]LISTA ETIQUETAS'!O:AB,14,0)))</f>
        <v/>
      </c>
      <c r="M850" s="8"/>
      <c r="N850" s="9">
        <f t="shared" si="40"/>
        <v>196059</v>
      </c>
      <c r="O850" s="2">
        <f>_xlfn.XLOOKUP($A850,'[1]LISTA ETIQUETAS'!$O:$O,'[1]LISTA ETIQUETAS'!C:C,"",0)</f>
        <v>0</v>
      </c>
      <c r="P850" s="2">
        <f>_xlfn.XLOOKUP($A850,'[1]LISTA ETIQUETAS'!$O:$O,'[1]LISTA ETIQUETAS'!D:D,"",0)</f>
        <v>0</v>
      </c>
      <c r="Q850" s="2">
        <f>_xlfn.XLOOKUP($A850,'[1]LISTA ETIQUETAS'!$O:$O,'[1]LISTA ETIQUETAS'!E:E,"",0)</f>
        <v>0</v>
      </c>
      <c r="R850" s="2">
        <f>_xlfn.XLOOKUP($A850,'[1]LISTA ETIQUETAS'!$O:$O,'[1]LISTA ETIQUETAS'!F:F,"",0)</f>
        <v>0</v>
      </c>
      <c r="S850" s="2">
        <f>_xlfn.XLOOKUP($A850,'[1]LISTA ETIQUETAS'!$O:$O,'[1]LISTA ETIQUETAS'!H:H,"",0)</f>
        <v>2</v>
      </c>
      <c r="T850" s="9">
        <f t="shared" si="41"/>
        <v>2</v>
      </c>
    </row>
    <row r="851" spans="1:20" x14ac:dyDescent="0.25">
      <c r="A851" s="5">
        <v>186330</v>
      </c>
      <c r="B851" t="str">
        <f>IFERROR((VLOOKUP(A851,'[1]LISTA ETIQUETAS'!O:X,3,0)),"PRODUTO SEM ESTOQUE")</f>
        <v>EST POLTRONA LIVEA (ALUMINIO FENDI) TC 200031 C/VIVOS 3007</v>
      </c>
      <c r="C851" s="10" t="s">
        <v>91</v>
      </c>
      <c r="D851" s="10" t="s">
        <v>546</v>
      </c>
      <c r="E851" s="11">
        <f>IF(VLOOKUP(A851,'[1]LISTA ETIQUETAS'!O:W,4,0)="",(VLOOKUP(A851,'[1]LISTA ETIQUETAS'!O:W,6,0)),(VLOOKUP(A851,'[1]LISTA ETIQUETAS'!O:W,4,0)))</f>
        <v>0.88</v>
      </c>
      <c r="F851" s="11">
        <f>IF(VLOOKUP(A851,'[1]LISTA ETIQUETAS'!O:W,5,0)="",(VLOOKUP(A851,'[1]LISTA ETIQUETAS'!O:W,7,0)),(VLOOKUP(A851,'[1]LISTA ETIQUETAS'!O:W,5,0)))</f>
        <v>1.1499999999999999</v>
      </c>
      <c r="G851" s="11">
        <f>IFERROR((VLOOKUP(A851,'[1]LISTA ETIQUETAS'!O:X,8,0)),"")</f>
        <v>0.98</v>
      </c>
      <c r="H851" s="11">
        <f>IFERROR((VLOOKUP(A851,'[1]LISTA ETIQUETAS'!O:X,9,0)),"")</f>
        <v>0</v>
      </c>
      <c r="I851" s="12">
        <f>IFERROR((VLOOKUP(A851,'[1]LISTA ETIQUETAS'!O:Y,11,0)),"")</f>
        <v>0</v>
      </c>
      <c r="J851" s="6">
        <v>0</v>
      </c>
      <c r="K851" s="12">
        <f t="shared" si="39"/>
        <v>0</v>
      </c>
      <c r="L851" s="7" t="str">
        <f>IF(VLOOKUP(A851,'[1]LISTA ETIQUETAS'!O:AB,14,0)="","",(VLOOKUP(A851,'[1]LISTA ETIQUETAS'!O:AB,14,0)))</f>
        <v/>
      </c>
      <c r="M851" s="8"/>
      <c r="N851" s="9">
        <f t="shared" si="40"/>
        <v>186330</v>
      </c>
      <c r="O851" s="2">
        <f>_xlfn.XLOOKUP($A851,'[1]LISTA ETIQUETAS'!$O:$O,'[1]LISTA ETIQUETAS'!C:C,"",0)</f>
        <v>0</v>
      </c>
      <c r="P851" s="2">
        <f>_xlfn.XLOOKUP($A851,'[1]LISTA ETIQUETAS'!$O:$O,'[1]LISTA ETIQUETAS'!D:D,"",0)</f>
        <v>0</v>
      </c>
      <c r="Q851" s="2">
        <f>_xlfn.XLOOKUP($A851,'[1]LISTA ETIQUETAS'!$O:$O,'[1]LISTA ETIQUETAS'!E:E,"",0)</f>
        <v>0</v>
      </c>
      <c r="R851" s="2">
        <f>_xlfn.XLOOKUP($A851,'[1]LISTA ETIQUETAS'!$O:$O,'[1]LISTA ETIQUETAS'!F:F,"",0)</f>
        <v>0</v>
      </c>
      <c r="S851" s="2">
        <f>_xlfn.XLOOKUP($A851,'[1]LISTA ETIQUETAS'!$O:$O,'[1]LISTA ETIQUETAS'!H:H,"",0)</f>
        <v>1</v>
      </c>
      <c r="T851" s="9">
        <f t="shared" si="41"/>
        <v>1</v>
      </c>
    </row>
    <row r="852" spans="1:20" x14ac:dyDescent="0.25">
      <c r="A852" s="5">
        <v>190129</v>
      </c>
      <c r="B852" t="str">
        <f>IFERROR((VLOOKUP(A852,'[1]LISTA ETIQUETAS'!O:X,3,0)),"PRODUTO SEM ESTOQUE")</f>
        <v>EST POLTRONA CUBO ECO (C/ASS MOVEL) TC 14830</v>
      </c>
      <c r="C852" s="10" t="s">
        <v>91</v>
      </c>
      <c r="D852" s="10" t="s">
        <v>538</v>
      </c>
      <c r="E852" s="11">
        <f>IF(VLOOKUP(A852,'[1]LISTA ETIQUETAS'!O:W,4,0)="",(VLOOKUP(A852,'[1]LISTA ETIQUETAS'!O:W,6,0)),(VLOOKUP(A852,'[1]LISTA ETIQUETAS'!O:W,4,0)))</f>
        <v>1.28</v>
      </c>
      <c r="F852" s="11">
        <f>IF(VLOOKUP(A852,'[1]LISTA ETIQUETAS'!O:W,5,0)="",(VLOOKUP(A852,'[1]LISTA ETIQUETAS'!O:W,7,0)),(VLOOKUP(A852,'[1]LISTA ETIQUETAS'!O:W,5,0)))</f>
        <v>1.08</v>
      </c>
      <c r="G852" s="11">
        <f>IFERROR((VLOOKUP(A852,'[1]LISTA ETIQUETAS'!O:X,8,0)),"")</f>
        <v>0.85</v>
      </c>
      <c r="H852" s="11">
        <f>IFERROR((VLOOKUP(A852,'[1]LISTA ETIQUETAS'!O:X,9,0)),"")</f>
        <v>0</v>
      </c>
      <c r="I852" s="12">
        <f>IFERROR((VLOOKUP(A852,'[1]LISTA ETIQUETAS'!O:Y,11,0)),"")</f>
        <v>12250.2</v>
      </c>
      <c r="J852" s="6">
        <v>0</v>
      </c>
      <c r="K852" s="12">
        <f t="shared" si="39"/>
        <v>12250.2</v>
      </c>
      <c r="L852" s="7" t="str">
        <f>IF(VLOOKUP(A852,'[1]LISTA ETIQUETAS'!O:AB,14,0)="","",(VLOOKUP(A852,'[1]LISTA ETIQUETAS'!O:AB,14,0)))</f>
        <v/>
      </c>
      <c r="M852" s="8"/>
      <c r="N852" s="9">
        <f t="shared" si="40"/>
        <v>190129</v>
      </c>
      <c r="O852" s="2">
        <f>_xlfn.XLOOKUP($A852,'[1]LISTA ETIQUETAS'!$O:$O,'[1]LISTA ETIQUETAS'!C:C,"",0)</f>
        <v>0</v>
      </c>
      <c r="P852" s="2">
        <f>_xlfn.XLOOKUP($A852,'[1]LISTA ETIQUETAS'!$O:$O,'[1]LISTA ETIQUETAS'!D:D,"",0)</f>
        <v>0</v>
      </c>
      <c r="Q852" s="2">
        <f>_xlfn.XLOOKUP($A852,'[1]LISTA ETIQUETAS'!$O:$O,'[1]LISTA ETIQUETAS'!E:E,"",0)</f>
        <v>0</v>
      </c>
      <c r="R852" s="2">
        <f>_xlfn.XLOOKUP($A852,'[1]LISTA ETIQUETAS'!$O:$O,'[1]LISTA ETIQUETAS'!F:F,"",0)</f>
        <v>0</v>
      </c>
      <c r="S852" s="2">
        <f>_xlfn.XLOOKUP($A852,'[1]LISTA ETIQUETAS'!$O:$O,'[1]LISTA ETIQUETAS'!H:H,"",0)</f>
        <v>1</v>
      </c>
      <c r="T852" s="9">
        <f t="shared" si="41"/>
        <v>1</v>
      </c>
    </row>
    <row r="853" spans="1:20" x14ac:dyDescent="0.25">
      <c r="A853" s="5">
        <v>187162</v>
      </c>
      <c r="B853" t="str">
        <f>IFERROR((VLOOKUP(A853,'[1]LISTA ETIQUETAS'!O:X,3,0)),"PRODUTO SEM ESTOQUE")</f>
        <v>EST POLTRONA CAPITU MEL CLARO/TELA NOG/TC521</v>
      </c>
      <c r="C853" s="10" t="s">
        <v>91</v>
      </c>
      <c r="D853" s="10" t="s">
        <v>547</v>
      </c>
      <c r="E853" s="11">
        <f>IF(VLOOKUP(A853,'[1]LISTA ETIQUETAS'!O:W,4,0)="",(VLOOKUP(A853,'[1]LISTA ETIQUETAS'!O:W,6,0)),(VLOOKUP(A853,'[1]LISTA ETIQUETAS'!O:W,4,0)))</f>
        <v>0.8</v>
      </c>
      <c r="F853" s="11">
        <f>IF(VLOOKUP(A853,'[1]LISTA ETIQUETAS'!O:W,5,0)="",(VLOOKUP(A853,'[1]LISTA ETIQUETAS'!O:W,7,0)),(VLOOKUP(A853,'[1]LISTA ETIQUETAS'!O:W,5,0)))</f>
        <v>0.76</v>
      </c>
      <c r="G853" s="11">
        <f>IFERROR((VLOOKUP(A853,'[1]LISTA ETIQUETAS'!O:X,8,0)),"")</f>
        <v>0.76</v>
      </c>
      <c r="H853" s="11">
        <f>IFERROR((VLOOKUP(A853,'[1]LISTA ETIQUETAS'!O:X,9,0)),"")</f>
        <v>0</v>
      </c>
      <c r="I853" s="12">
        <f>IFERROR((VLOOKUP(A853,'[1]LISTA ETIQUETAS'!O:Y,11,0)),"")</f>
        <v>17028.48</v>
      </c>
      <c r="J853" s="6">
        <v>0</v>
      </c>
      <c r="K853" s="12">
        <f t="shared" si="39"/>
        <v>17028.48</v>
      </c>
      <c r="L853" s="7" t="str">
        <f>IF(VLOOKUP(A853,'[1]LISTA ETIQUETAS'!O:AB,14,0)="","",(VLOOKUP(A853,'[1]LISTA ETIQUETAS'!O:AB,14,0)))</f>
        <v/>
      </c>
      <c r="M853" s="8"/>
      <c r="N853" s="9">
        <f t="shared" si="40"/>
        <v>187162</v>
      </c>
      <c r="O853" s="2">
        <f>_xlfn.XLOOKUP($A853,'[1]LISTA ETIQUETAS'!$O:$O,'[1]LISTA ETIQUETAS'!C:C,"",0)</f>
        <v>0</v>
      </c>
      <c r="P853" s="2">
        <f>_xlfn.XLOOKUP($A853,'[1]LISTA ETIQUETAS'!$O:$O,'[1]LISTA ETIQUETAS'!D:D,"",0)</f>
        <v>0</v>
      </c>
      <c r="Q853" s="2">
        <f>_xlfn.XLOOKUP($A853,'[1]LISTA ETIQUETAS'!$O:$O,'[1]LISTA ETIQUETAS'!E:E,"",0)</f>
        <v>0</v>
      </c>
      <c r="R853" s="2">
        <f>_xlfn.XLOOKUP($A853,'[1]LISTA ETIQUETAS'!$O:$O,'[1]LISTA ETIQUETAS'!F:F,"",0)</f>
        <v>0</v>
      </c>
      <c r="S853" s="2">
        <f>_xlfn.XLOOKUP($A853,'[1]LISTA ETIQUETAS'!$O:$O,'[1]LISTA ETIQUETAS'!H:H,"",0)</f>
        <v>1</v>
      </c>
      <c r="T853" s="9">
        <f t="shared" si="41"/>
        <v>1</v>
      </c>
    </row>
    <row r="854" spans="1:20" x14ac:dyDescent="0.25">
      <c r="A854" s="5">
        <v>191066</v>
      </c>
      <c r="B854" t="str">
        <f>IFERROR((VLOOKUP(A854,'[1]LISTA ETIQUETAS'!O:X,3,0)),"PRODUTO SEM ESTOQUE")</f>
        <v>EST POLTRONA DIONE (PES REVESTIDOS) TC 647-B4</v>
      </c>
      <c r="C854" s="10" t="s">
        <v>91</v>
      </c>
      <c r="D854" s="10" t="s">
        <v>548</v>
      </c>
      <c r="E854" s="11">
        <f>IF(VLOOKUP(A854,'[1]LISTA ETIQUETAS'!O:W,4,0)="",(VLOOKUP(A854,'[1]LISTA ETIQUETAS'!O:W,6,0)),(VLOOKUP(A854,'[1]LISTA ETIQUETAS'!O:W,4,0)))</f>
        <v>1.2</v>
      </c>
      <c r="F854" s="11">
        <f>IF(VLOOKUP(A854,'[1]LISTA ETIQUETAS'!O:W,5,0)="",(VLOOKUP(A854,'[1]LISTA ETIQUETAS'!O:W,7,0)),(VLOOKUP(A854,'[1]LISTA ETIQUETAS'!O:W,5,0)))</f>
        <v>0.98</v>
      </c>
      <c r="G854" s="11">
        <f>IFERROR((VLOOKUP(A854,'[1]LISTA ETIQUETAS'!O:X,8,0)),"")</f>
        <v>0.85</v>
      </c>
      <c r="H854" s="11">
        <f>IFERROR((VLOOKUP(A854,'[1]LISTA ETIQUETAS'!O:X,9,0)),"")</f>
        <v>0</v>
      </c>
      <c r="I854" s="12">
        <f>IFERROR((VLOOKUP(A854,'[1]LISTA ETIQUETAS'!O:Y,11,0)),"")</f>
        <v>0</v>
      </c>
      <c r="J854" s="6">
        <v>0</v>
      </c>
      <c r="K854" s="12">
        <f t="shared" si="39"/>
        <v>0</v>
      </c>
      <c r="L854" s="7" t="str">
        <f>IF(VLOOKUP(A854,'[1]LISTA ETIQUETAS'!O:AB,14,0)="","",(VLOOKUP(A854,'[1]LISTA ETIQUETAS'!O:AB,14,0)))</f>
        <v/>
      </c>
      <c r="M854" s="8"/>
      <c r="N854" s="9">
        <f t="shared" si="40"/>
        <v>191066</v>
      </c>
      <c r="O854" s="2">
        <f>_xlfn.XLOOKUP($A854,'[1]LISTA ETIQUETAS'!$O:$O,'[1]LISTA ETIQUETAS'!C:C,"",0)</f>
        <v>0</v>
      </c>
      <c r="P854" s="2">
        <f>_xlfn.XLOOKUP($A854,'[1]LISTA ETIQUETAS'!$O:$O,'[1]LISTA ETIQUETAS'!D:D,"",0)</f>
        <v>0</v>
      </c>
      <c r="Q854" s="2">
        <f>_xlfn.XLOOKUP($A854,'[1]LISTA ETIQUETAS'!$O:$O,'[1]LISTA ETIQUETAS'!E:E,"",0)</f>
        <v>0</v>
      </c>
      <c r="R854" s="2">
        <f>_xlfn.XLOOKUP($A854,'[1]LISTA ETIQUETAS'!$O:$O,'[1]LISTA ETIQUETAS'!F:F,"",0)</f>
        <v>0</v>
      </c>
      <c r="S854" s="2">
        <f>_xlfn.XLOOKUP($A854,'[1]LISTA ETIQUETAS'!$O:$O,'[1]LISTA ETIQUETAS'!H:H,"",0)</f>
        <v>1</v>
      </c>
      <c r="T854" s="9">
        <f t="shared" si="41"/>
        <v>1</v>
      </c>
    </row>
    <row r="855" spans="1:20" x14ac:dyDescent="0.25">
      <c r="A855" s="5">
        <v>206955</v>
      </c>
      <c r="B855" t="str">
        <f>IFERROR((VLOOKUP(A855,'[1]LISTA ETIQUETAS'!O:X,3,0)),"PRODUTO SEM ESTOQUE")</f>
        <v>EST POLTRONA DORA (BAIXA) CAMURCA VANILLA LADO LISO</v>
      </c>
      <c r="C855" s="10" t="s">
        <v>91</v>
      </c>
      <c r="D855" s="10" t="s">
        <v>521</v>
      </c>
      <c r="E855" s="11">
        <f>IF(VLOOKUP(A855,'[1]LISTA ETIQUETAS'!O:W,4,0)="",(VLOOKUP(A855,'[1]LISTA ETIQUETAS'!O:W,6,0)),(VLOOKUP(A855,'[1]LISTA ETIQUETAS'!O:W,4,0)))</f>
        <v>0.76</v>
      </c>
      <c r="F855" s="11">
        <f>IF(VLOOKUP(A855,'[1]LISTA ETIQUETAS'!O:W,5,0)="",(VLOOKUP(A855,'[1]LISTA ETIQUETAS'!O:W,7,0)),(VLOOKUP(A855,'[1]LISTA ETIQUETAS'!O:W,5,0)))</f>
        <v>0.83</v>
      </c>
      <c r="G855" s="11">
        <f>IFERROR((VLOOKUP(A855,'[1]LISTA ETIQUETAS'!O:X,8,0)),"")</f>
        <v>0.7</v>
      </c>
      <c r="H855" s="11">
        <f>IFERROR((VLOOKUP(A855,'[1]LISTA ETIQUETAS'!O:X,9,0)),"")</f>
        <v>0</v>
      </c>
      <c r="I855" s="12">
        <f>IFERROR((VLOOKUP(A855,'[1]LISTA ETIQUETAS'!O:Y,11,0)),"")</f>
        <v>0</v>
      </c>
      <c r="J855" s="6">
        <v>0</v>
      </c>
      <c r="K855" s="12">
        <f t="shared" si="39"/>
        <v>0</v>
      </c>
      <c r="L855" s="7" t="str">
        <f>IF(VLOOKUP(A855,'[1]LISTA ETIQUETAS'!O:AB,14,0)="","",(VLOOKUP(A855,'[1]LISTA ETIQUETAS'!O:AB,14,0)))</f>
        <v/>
      </c>
      <c r="M855" s="8"/>
      <c r="N855" s="9">
        <f t="shared" si="40"/>
        <v>206955</v>
      </c>
      <c r="O855" s="2">
        <f>_xlfn.XLOOKUP($A855,'[1]LISTA ETIQUETAS'!$O:$O,'[1]LISTA ETIQUETAS'!C:C,"",0)</f>
        <v>0</v>
      </c>
      <c r="P855" s="2">
        <f>_xlfn.XLOOKUP($A855,'[1]LISTA ETIQUETAS'!$O:$O,'[1]LISTA ETIQUETAS'!D:D,"",0)</f>
        <v>0</v>
      </c>
      <c r="Q855" s="2">
        <f>_xlfn.XLOOKUP($A855,'[1]LISTA ETIQUETAS'!$O:$O,'[1]LISTA ETIQUETAS'!E:E,"",0)</f>
        <v>0</v>
      </c>
      <c r="R855" s="2">
        <f>_xlfn.XLOOKUP($A855,'[1]LISTA ETIQUETAS'!$O:$O,'[1]LISTA ETIQUETAS'!F:F,"",0)</f>
        <v>0</v>
      </c>
      <c r="S855" s="2">
        <f>_xlfn.XLOOKUP($A855,'[1]LISTA ETIQUETAS'!$O:$O,'[1]LISTA ETIQUETAS'!H:H,"",0)</f>
        <v>1</v>
      </c>
      <c r="T855" s="9">
        <f t="shared" si="41"/>
        <v>1</v>
      </c>
    </row>
    <row r="856" spans="1:20" x14ac:dyDescent="0.25">
      <c r="A856" s="5">
        <v>203140</v>
      </c>
      <c r="B856" t="str">
        <f>IFERROR((VLOOKUP(A856,'[1]LISTA ETIQUETAS'!O:X,3,0)),"PRODUTO SEM ESTOQUE")</f>
        <v>EST POLTRONA VOGUE (MADEIRA IMBUIA MEL) TC G2228</v>
      </c>
      <c r="C856" s="10" t="s">
        <v>91</v>
      </c>
      <c r="D856" s="10" t="s">
        <v>542</v>
      </c>
      <c r="E856" s="11">
        <f>IF(VLOOKUP(A856,'[1]LISTA ETIQUETAS'!O:W,4,0)="",(VLOOKUP(A856,'[1]LISTA ETIQUETAS'!O:W,6,0)),(VLOOKUP(A856,'[1]LISTA ETIQUETAS'!O:W,4,0)))</f>
        <v>0.55000000000000004</v>
      </c>
      <c r="F856" s="11">
        <f>IF(VLOOKUP(A856,'[1]LISTA ETIQUETAS'!O:W,5,0)="",(VLOOKUP(A856,'[1]LISTA ETIQUETAS'!O:W,7,0)),(VLOOKUP(A856,'[1]LISTA ETIQUETAS'!O:W,5,0)))</f>
        <v>0.51</v>
      </c>
      <c r="G856" s="11">
        <f>IFERROR((VLOOKUP(A856,'[1]LISTA ETIQUETAS'!O:X,8,0)),"")</f>
        <v>0.91</v>
      </c>
      <c r="H856" s="11">
        <f>IFERROR((VLOOKUP(A856,'[1]LISTA ETIQUETAS'!O:X,9,0)),"")</f>
        <v>0</v>
      </c>
      <c r="I856" s="12">
        <f>IFERROR((VLOOKUP(A856,'[1]LISTA ETIQUETAS'!O:Y,11,0)),"")</f>
        <v>0</v>
      </c>
      <c r="J856" s="6">
        <v>0</v>
      </c>
      <c r="K856" s="12">
        <f t="shared" si="39"/>
        <v>0</v>
      </c>
      <c r="L856" s="7" t="str">
        <f>IF(VLOOKUP(A856,'[1]LISTA ETIQUETAS'!O:AB,14,0)="","",(VLOOKUP(A856,'[1]LISTA ETIQUETAS'!O:AB,14,0)))</f>
        <v/>
      </c>
      <c r="M856" s="8"/>
      <c r="N856" s="9">
        <f t="shared" si="40"/>
        <v>203140</v>
      </c>
      <c r="O856" s="2">
        <f>_xlfn.XLOOKUP($A856,'[1]LISTA ETIQUETAS'!$O:$O,'[1]LISTA ETIQUETAS'!C:C,"",0)</f>
        <v>0</v>
      </c>
      <c r="P856" s="2">
        <f>_xlfn.XLOOKUP($A856,'[1]LISTA ETIQUETAS'!$O:$O,'[1]LISTA ETIQUETAS'!D:D,"",0)</f>
        <v>0</v>
      </c>
      <c r="Q856" s="2">
        <f>_xlfn.XLOOKUP($A856,'[1]LISTA ETIQUETAS'!$O:$O,'[1]LISTA ETIQUETAS'!E:E,"",0)</f>
        <v>0</v>
      </c>
      <c r="R856" s="2">
        <f>_xlfn.XLOOKUP($A856,'[1]LISTA ETIQUETAS'!$O:$O,'[1]LISTA ETIQUETAS'!F:F,"",0)</f>
        <v>0</v>
      </c>
      <c r="S856" s="2">
        <f>_xlfn.XLOOKUP($A856,'[1]LISTA ETIQUETAS'!$O:$O,'[1]LISTA ETIQUETAS'!H:H,"",0)</f>
        <v>1</v>
      </c>
      <c r="T856" s="9">
        <f t="shared" si="41"/>
        <v>1</v>
      </c>
    </row>
    <row r="857" spans="1:20" x14ac:dyDescent="0.25">
      <c r="A857" s="5">
        <v>210383</v>
      </c>
      <c r="B857" t="str">
        <f>IFERROR((VLOOKUP(A857,'[1]LISTA ETIQUETAS'!O:X,3,0)),"PRODUTO SEM ESTOQUE")</f>
        <v>EST POLTRONA IRIS TC600 C/3 VIVO 580 C4/ PES CINZA 95X80X90</v>
      </c>
      <c r="C857" s="10" t="s">
        <v>91</v>
      </c>
      <c r="D857" s="10" t="s">
        <v>549</v>
      </c>
      <c r="E857" s="11">
        <f>IF(VLOOKUP(A857,'[1]LISTA ETIQUETAS'!O:W,4,0)="",(VLOOKUP(A857,'[1]LISTA ETIQUETAS'!O:W,6,0)),(VLOOKUP(A857,'[1]LISTA ETIQUETAS'!O:W,4,0)))</f>
        <v>0</v>
      </c>
      <c r="F857" s="11">
        <f>IF(VLOOKUP(A857,'[1]LISTA ETIQUETAS'!O:W,5,0)="",(VLOOKUP(A857,'[1]LISTA ETIQUETAS'!O:W,7,0)),(VLOOKUP(A857,'[1]LISTA ETIQUETAS'!O:W,5,0)))</f>
        <v>0</v>
      </c>
      <c r="G857" s="11">
        <f>IFERROR((VLOOKUP(A857,'[1]LISTA ETIQUETAS'!O:X,8,0)),"")</f>
        <v>0</v>
      </c>
      <c r="H857" s="11">
        <f>IFERROR((VLOOKUP(A857,'[1]LISTA ETIQUETAS'!O:X,9,0)),"")</f>
        <v>0</v>
      </c>
      <c r="I857" s="12">
        <f>IFERROR((VLOOKUP(A857,'[1]LISTA ETIQUETAS'!O:Y,11,0)),"")</f>
        <v>12114.77</v>
      </c>
      <c r="J857" s="6">
        <v>0</v>
      </c>
      <c r="K857" s="12">
        <f t="shared" si="39"/>
        <v>12114.77</v>
      </c>
      <c r="L857" s="7" t="str">
        <f>IF(VLOOKUP(A857,'[1]LISTA ETIQUETAS'!O:AB,14,0)="","",(VLOOKUP(A857,'[1]LISTA ETIQUETAS'!O:AB,14,0)))</f>
        <v/>
      </c>
      <c r="M857" s="8"/>
      <c r="N857" s="9">
        <f t="shared" si="40"/>
        <v>210383</v>
      </c>
      <c r="O857" s="2">
        <f>_xlfn.XLOOKUP($A857,'[1]LISTA ETIQUETAS'!$O:$O,'[1]LISTA ETIQUETAS'!C:C,"",0)</f>
        <v>0</v>
      </c>
      <c r="P857" s="2">
        <f>_xlfn.XLOOKUP($A857,'[1]LISTA ETIQUETAS'!$O:$O,'[1]LISTA ETIQUETAS'!D:D,"",0)</f>
        <v>0</v>
      </c>
      <c r="Q857" s="2">
        <f>_xlfn.XLOOKUP($A857,'[1]LISTA ETIQUETAS'!$O:$O,'[1]LISTA ETIQUETAS'!E:E,"",0)</f>
        <v>0</v>
      </c>
      <c r="R857" s="2">
        <f>_xlfn.XLOOKUP($A857,'[1]LISTA ETIQUETAS'!$O:$O,'[1]LISTA ETIQUETAS'!F:F,"",0)</f>
        <v>0</v>
      </c>
      <c r="S857" s="2">
        <f>_xlfn.XLOOKUP($A857,'[1]LISTA ETIQUETAS'!$O:$O,'[1]LISTA ETIQUETAS'!H:H,"",0)</f>
        <v>2</v>
      </c>
      <c r="T857" s="9">
        <f t="shared" si="41"/>
        <v>2</v>
      </c>
    </row>
    <row r="858" spans="1:20" x14ac:dyDescent="0.25">
      <c r="A858" s="5">
        <v>210392</v>
      </c>
      <c r="B858" t="str">
        <f>IFERROR((VLOOKUP(A858,'[1]LISTA ETIQUETAS'!O:X,3,0)),"PRODUTO SEM ESTOQUE")</f>
        <v>EST POLTRONA CUSCO (CINAMOMO COLONIAL) TC11202-317/11202-335</v>
      </c>
      <c r="C858" s="10" t="s">
        <v>91</v>
      </c>
      <c r="D858" s="10" t="s">
        <v>520</v>
      </c>
      <c r="E858" s="11">
        <f>IF(VLOOKUP(A858,'[1]LISTA ETIQUETAS'!O:W,4,0)="",(VLOOKUP(A858,'[1]LISTA ETIQUETAS'!O:W,6,0)),(VLOOKUP(A858,'[1]LISTA ETIQUETAS'!O:W,4,0)))</f>
        <v>1</v>
      </c>
      <c r="F858" s="11">
        <f>IF(VLOOKUP(A858,'[1]LISTA ETIQUETAS'!O:W,5,0)="",(VLOOKUP(A858,'[1]LISTA ETIQUETAS'!O:W,7,0)),(VLOOKUP(A858,'[1]LISTA ETIQUETAS'!O:W,5,0)))</f>
        <v>0.82</v>
      </c>
      <c r="G858" s="11">
        <f>IFERROR((VLOOKUP(A858,'[1]LISTA ETIQUETAS'!O:X,8,0)),"")</f>
        <v>0.72</v>
      </c>
      <c r="H858" s="11">
        <f>IFERROR((VLOOKUP(A858,'[1]LISTA ETIQUETAS'!O:X,9,0)),"")</f>
        <v>0</v>
      </c>
      <c r="I858" s="12">
        <f>IFERROR((VLOOKUP(A858,'[1]LISTA ETIQUETAS'!O:Y,11,0)),"")</f>
        <v>17472</v>
      </c>
      <c r="J858" s="6">
        <v>0</v>
      </c>
      <c r="K858" s="12">
        <f t="shared" si="39"/>
        <v>17472</v>
      </c>
      <c r="L858" s="7" t="str">
        <f>IF(VLOOKUP(A858,'[1]LISTA ETIQUETAS'!O:AB,14,0)="","",(VLOOKUP(A858,'[1]LISTA ETIQUETAS'!O:AB,14,0)))</f>
        <v/>
      </c>
      <c r="M858" s="8"/>
      <c r="N858" s="9">
        <f t="shared" si="40"/>
        <v>210392</v>
      </c>
      <c r="O858" s="2">
        <f>_xlfn.XLOOKUP($A858,'[1]LISTA ETIQUETAS'!$O:$O,'[1]LISTA ETIQUETAS'!C:C,"",0)</f>
        <v>0</v>
      </c>
      <c r="P858" s="2">
        <f>_xlfn.XLOOKUP($A858,'[1]LISTA ETIQUETAS'!$O:$O,'[1]LISTA ETIQUETAS'!D:D,"",0)</f>
        <v>0</v>
      </c>
      <c r="Q858" s="2">
        <f>_xlfn.XLOOKUP($A858,'[1]LISTA ETIQUETAS'!$O:$O,'[1]LISTA ETIQUETAS'!E:E,"",0)</f>
        <v>0</v>
      </c>
      <c r="R858" s="2">
        <f>_xlfn.XLOOKUP($A858,'[1]LISTA ETIQUETAS'!$O:$O,'[1]LISTA ETIQUETAS'!F:F,"",0)</f>
        <v>0</v>
      </c>
      <c r="S858" s="2">
        <f>_xlfn.XLOOKUP($A858,'[1]LISTA ETIQUETAS'!$O:$O,'[1]LISTA ETIQUETAS'!H:H,"",0)</f>
        <v>2</v>
      </c>
      <c r="T858" s="9">
        <f t="shared" si="41"/>
        <v>2</v>
      </c>
    </row>
    <row r="859" spans="1:20" x14ac:dyDescent="0.25">
      <c r="A859" s="5">
        <v>223340</v>
      </c>
      <c r="B859" t="str">
        <f>IFERROR((VLOOKUP(A859,'[1]LISTA ETIQUETAS'!O:X,3,0)),"PRODUTO SEM ESTOQUE")</f>
        <v>EST POLTRONA DIX MEL CLARO TC607A</v>
      </c>
      <c r="C859" s="10" t="s">
        <v>91</v>
      </c>
      <c r="D859" s="10" t="s">
        <v>550</v>
      </c>
      <c r="E859" s="11">
        <f>IF(VLOOKUP(A859,'[1]LISTA ETIQUETAS'!O:W,4,0)="",(VLOOKUP(A859,'[1]LISTA ETIQUETAS'!O:W,6,0)),(VLOOKUP(A859,'[1]LISTA ETIQUETAS'!O:W,4,0)))</f>
        <v>0.72</v>
      </c>
      <c r="F859" s="11">
        <f>IF(VLOOKUP(A859,'[1]LISTA ETIQUETAS'!O:W,5,0)="",(VLOOKUP(A859,'[1]LISTA ETIQUETAS'!O:W,7,0)),(VLOOKUP(A859,'[1]LISTA ETIQUETAS'!O:W,5,0)))</f>
        <v>0.65</v>
      </c>
      <c r="G859" s="11">
        <f>IFERROR((VLOOKUP(A859,'[1]LISTA ETIQUETAS'!O:X,8,0)),"")</f>
        <v>0.74</v>
      </c>
      <c r="H859" s="11">
        <f>IFERROR((VLOOKUP(A859,'[1]LISTA ETIQUETAS'!O:X,9,0)),"")</f>
        <v>0</v>
      </c>
      <c r="I859" s="12">
        <f>IFERROR((VLOOKUP(A859,'[1]LISTA ETIQUETAS'!O:Y,11,0)),"")</f>
        <v>8960</v>
      </c>
      <c r="J859" s="6">
        <v>0</v>
      </c>
      <c r="K859" s="12">
        <f t="shared" si="39"/>
        <v>8960</v>
      </c>
      <c r="L859" s="7" t="str">
        <f>IF(VLOOKUP(A859,'[1]LISTA ETIQUETAS'!O:AB,14,0)="","",(VLOOKUP(A859,'[1]LISTA ETIQUETAS'!O:AB,14,0)))</f>
        <v/>
      </c>
      <c r="M859" s="8"/>
      <c r="N859" s="9">
        <f t="shared" si="40"/>
        <v>223340</v>
      </c>
      <c r="O859" s="2">
        <f>_xlfn.XLOOKUP($A859,'[1]LISTA ETIQUETAS'!$O:$O,'[1]LISTA ETIQUETAS'!C:C,"",0)</f>
        <v>0</v>
      </c>
      <c r="P859" s="2">
        <f>_xlfn.XLOOKUP($A859,'[1]LISTA ETIQUETAS'!$O:$O,'[1]LISTA ETIQUETAS'!D:D,"",0)</f>
        <v>0</v>
      </c>
      <c r="Q859" s="2">
        <f>_xlfn.XLOOKUP($A859,'[1]LISTA ETIQUETAS'!$O:$O,'[1]LISTA ETIQUETAS'!E:E,"",0)</f>
        <v>0</v>
      </c>
      <c r="R859" s="2">
        <f>_xlfn.XLOOKUP($A859,'[1]LISTA ETIQUETAS'!$O:$O,'[1]LISTA ETIQUETAS'!F:F,"",0)</f>
        <v>0</v>
      </c>
      <c r="S859" s="2">
        <f>_xlfn.XLOOKUP($A859,'[1]LISTA ETIQUETAS'!$O:$O,'[1]LISTA ETIQUETAS'!H:H,"",0)</f>
        <v>1</v>
      </c>
      <c r="T859" s="9">
        <f t="shared" si="41"/>
        <v>1</v>
      </c>
    </row>
    <row r="860" spans="1:20" x14ac:dyDescent="0.25">
      <c r="A860" s="5">
        <v>223331</v>
      </c>
      <c r="B860" t="str">
        <f>IFERROR((VLOOKUP(A860,'[1]LISTA ETIQUETAS'!O:X,3,0)),"PRODUTO SEM ESTOQUE")</f>
        <v>EST POLTRONA DORA TC 835 VELUDO VINHO</v>
      </c>
      <c r="C860" s="10" t="s">
        <v>91</v>
      </c>
      <c r="D860" s="10" t="s">
        <v>521</v>
      </c>
      <c r="E860" s="11">
        <f>IF(VLOOKUP(A860,'[1]LISTA ETIQUETAS'!O:W,4,0)="",(VLOOKUP(A860,'[1]LISTA ETIQUETAS'!O:W,6,0)),(VLOOKUP(A860,'[1]LISTA ETIQUETAS'!O:W,4,0)))</f>
        <v>0.76</v>
      </c>
      <c r="F860" s="11">
        <f>IF(VLOOKUP(A860,'[1]LISTA ETIQUETAS'!O:W,5,0)="",(VLOOKUP(A860,'[1]LISTA ETIQUETAS'!O:W,7,0)),(VLOOKUP(A860,'[1]LISTA ETIQUETAS'!O:W,5,0)))</f>
        <v>0.87</v>
      </c>
      <c r="G860" s="11">
        <f>IFERROR((VLOOKUP(A860,'[1]LISTA ETIQUETAS'!O:X,8,0)),"")</f>
        <v>0.71</v>
      </c>
      <c r="H860" s="11">
        <f>IFERROR((VLOOKUP(A860,'[1]LISTA ETIQUETAS'!O:X,9,0)),"")</f>
        <v>0</v>
      </c>
      <c r="I860" s="12">
        <f>IFERROR((VLOOKUP(A860,'[1]LISTA ETIQUETAS'!O:Y,11,0)),"")</f>
        <v>17726.02</v>
      </c>
      <c r="J860" s="6">
        <v>0</v>
      </c>
      <c r="K860" s="12">
        <f t="shared" si="39"/>
        <v>17726.02</v>
      </c>
      <c r="L860" s="7" t="str">
        <f>IF(VLOOKUP(A860,'[1]LISTA ETIQUETAS'!O:AB,14,0)="","",(VLOOKUP(A860,'[1]LISTA ETIQUETAS'!O:AB,14,0)))</f>
        <v/>
      </c>
      <c r="M860" s="8"/>
      <c r="N860" s="9">
        <f t="shared" si="40"/>
        <v>223331</v>
      </c>
      <c r="O860" s="2">
        <f>_xlfn.XLOOKUP($A860,'[1]LISTA ETIQUETAS'!$O:$O,'[1]LISTA ETIQUETAS'!C:C,"",0)</f>
        <v>0</v>
      </c>
      <c r="P860" s="2">
        <f>_xlfn.XLOOKUP($A860,'[1]LISTA ETIQUETAS'!$O:$O,'[1]LISTA ETIQUETAS'!D:D,"",0)</f>
        <v>0</v>
      </c>
      <c r="Q860" s="2">
        <f>_xlfn.XLOOKUP($A860,'[1]LISTA ETIQUETAS'!$O:$O,'[1]LISTA ETIQUETAS'!E:E,"",0)</f>
        <v>0</v>
      </c>
      <c r="R860" s="2">
        <f>_xlfn.XLOOKUP($A860,'[1]LISTA ETIQUETAS'!$O:$O,'[1]LISTA ETIQUETAS'!F:F,"",0)</f>
        <v>0</v>
      </c>
      <c r="S860" s="2">
        <f>_xlfn.XLOOKUP($A860,'[1]LISTA ETIQUETAS'!$O:$O,'[1]LISTA ETIQUETAS'!H:H,"",0)</f>
        <v>2</v>
      </c>
      <c r="T860" s="9">
        <f t="shared" si="41"/>
        <v>2</v>
      </c>
    </row>
    <row r="861" spans="1:20" x14ac:dyDescent="0.25">
      <c r="A861" s="5">
        <v>248944</v>
      </c>
      <c r="B861" t="str">
        <f>IFERROR((VLOOKUP(A861,'[1]LISTA ETIQUETAS'!O:X,3,0)),"PRODUTO SEM ESTOQUE")</f>
        <v>EST POLTRONA 150 (TAUARI TING COR 01) (TC 169#4)</v>
      </c>
      <c r="C861" s="10" t="s">
        <v>91</v>
      </c>
      <c r="D861" s="10" t="s">
        <v>551</v>
      </c>
      <c r="E861" s="11">
        <f>IF(VLOOKUP(A861,'[1]LISTA ETIQUETAS'!O:W,4,0)="",(VLOOKUP(A861,'[1]LISTA ETIQUETAS'!O:W,6,0)),(VLOOKUP(A861,'[1]LISTA ETIQUETAS'!O:W,4,0)))</f>
        <v>0.69</v>
      </c>
      <c r="F861" s="11">
        <f>IF(VLOOKUP(A861,'[1]LISTA ETIQUETAS'!O:W,5,0)="",(VLOOKUP(A861,'[1]LISTA ETIQUETAS'!O:W,7,0)),(VLOOKUP(A861,'[1]LISTA ETIQUETAS'!O:W,5,0)))</f>
        <v>0.72</v>
      </c>
      <c r="G861" s="11">
        <f>IFERROR((VLOOKUP(A861,'[1]LISTA ETIQUETAS'!O:X,8,0)),"")</f>
        <v>0.86</v>
      </c>
      <c r="H861" s="11">
        <f>IFERROR((VLOOKUP(A861,'[1]LISTA ETIQUETAS'!O:X,9,0)),"")</f>
        <v>0</v>
      </c>
      <c r="I861" s="12" t="str">
        <f>IFERROR((VLOOKUP(A861,'[1]LISTA ETIQUETAS'!O:Y,11,0)),"")</f>
        <v/>
      </c>
      <c r="J861" s="6">
        <v>0</v>
      </c>
      <c r="K861" s="12" t="str">
        <f t="shared" si="39"/>
        <v/>
      </c>
      <c r="L861" s="7" t="str">
        <f>IF(VLOOKUP(A861,'[1]LISTA ETIQUETAS'!O:AB,14,0)="","",(VLOOKUP(A861,'[1]LISTA ETIQUETAS'!O:AB,14,0)))</f>
        <v/>
      </c>
      <c r="M861" s="8"/>
      <c r="N861" s="9">
        <f t="shared" si="40"/>
        <v>248944</v>
      </c>
      <c r="O861" s="2">
        <f>_xlfn.XLOOKUP($A861,'[1]LISTA ETIQUETAS'!$O:$O,'[1]LISTA ETIQUETAS'!C:C,"",0)</f>
        <v>0</v>
      </c>
      <c r="P861" s="2">
        <f>_xlfn.XLOOKUP($A861,'[1]LISTA ETIQUETAS'!$O:$O,'[1]LISTA ETIQUETAS'!D:D,"",0)</f>
        <v>0</v>
      </c>
      <c r="Q861" s="2">
        <f>_xlfn.XLOOKUP($A861,'[1]LISTA ETIQUETAS'!$O:$O,'[1]LISTA ETIQUETAS'!E:E,"",0)</f>
        <v>0</v>
      </c>
      <c r="R861" s="2">
        <f>_xlfn.XLOOKUP($A861,'[1]LISTA ETIQUETAS'!$O:$O,'[1]LISTA ETIQUETAS'!F:F,"",0)</f>
        <v>0</v>
      </c>
      <c r="S861" s="2">
        <f>_xlfn.XLOOKUP($A861,'[1]LISTA ETIQUETAS'!$O:$O,'[1]LISTA ETIQUETAS'!H:H,"",0)</f>
        <v>1</v>
      </c>
      <c r="T861" s="9">
        <f t="shared" si="41"/>
        <v>1</v>
      </c>
    </row>
    <row r="862" spans="1:20" x14ac:dyDescent="0.25">
      <c r="A862" s="5">
        <v>233539</v>
      </c>
      <c r="B862" t="str">
        <f>IFERROR((VLOOKUP(A862,'[1]LISTA ETIQUETAS'!O:X,3,0)),"PRODUTO SEM ESTOQUE")</f>
        <v>EST POLTRONA MOON (COURO) (TC INTRICATE WHIT MIX) (ONIX)</v>
      </c>
      <c r="C862" s="10" t="s">
        <v>91</v>
      </c>
      <c r="D862" s="10" t="s">
        <v>518</v>
      </c>
      <c r="E862" s="11">
        <f>IF(VLOOKUP(A862,'[1]LISTA ETIQUETAS'!O:W,4,0)="",(VLOOKUP(A862,'[1]LISTA ETIQUETAS'!O:W,6,0)),(VLOOKUP(A862,'[1]LISTA ETIQUETAS'!O:W,4,0)))</f>
        <v>0.78</v>
      </c>
      <c r="F862" s="11">
        <f>IF(VLOOKUP(A862,'[1]LISTA ETIQUETAS'!O:W,5,0)="",(VLOOKUP(A862,'[1]LISTA ETIQUETAS'!O:W,7,0)),(VLOOKUP(A862,'[1]LISTA ETIQUETAS'!O:W,5,0)))</f>
        <v>0.94</v>
      </c>
      <c r="G862" s="11">
        <f>IFERROR((VLOOKUP(A862,'[1]LISTA ETIQUETAS'!O:X,8,0)),"")</f>
        <v>0.71</v>
      </c>
      <c r="H862" s="11">
        <f>IFERROR((VLOOKUP(A862,'[1]LISTA ETIQUETAS'!O:X,9,0)),"")</f>
        <v>0</v>
      </c>
      <c r="I862" s="12" t="str">
        <f>IFERROR((VLOOKUP(A862,'[1]LISTA ETIQUETAS'!O:Y,11,0)),"")</f>
        <v/>
      </c>
      <c r="J862" s="6">
        <v>0</v>
      </c>
      <c r="K862" s="12" t="str">
        <f t="shared" si="39"/>
        <v/>
      </c>
      <c r="L862" s="7" t="str">
        <f>IF(VLOOKUP(A862,'[1]LISTA ETIQUETAS'!O:AB,14,0)="","",(VLOOKUP(A862,'[1]LISTA ETIQUETAS'!O:AB,14,0)))</f>
        <v/>
      </c>
      <c r="M862" s="8"/>
      <c r="N862" s="9">
        <f t="shared" si="40"/>
        <v>233539</v>
      </c>
      <c r="O862" s="2">
        <f>_xlfn.XLOOKUP($A862,'[1]LISTA ETIQUETAS'!$O:$O,'[1]LISTA ETIQUETAS'!C:C,"",0)</f>
        <v>0</v>
      </c>
      <c r="P862" s="2">
        <f>_xlfn.XLOOKUP($A862,'[1]LISTA ETIQUETAS'!$O:$O,'[1]LISTA ETIQUETAS'!D:D,"",0)</f>
        <v>0</v>
      </c>
      <c r="Q862" s="2">
        <f>_xlfn.XLOOKUP($A862,'[1]LISTA ETIQUETAS'!$O:$O,'[1]LISTA ETIQUETAS'!E:E,"",0)</f>
        <v>0</v>
      </c>
      <c r="R862" s="2">
        <f>_xlfn.XLOOKUP($A862,'[1]LISTA ETIQUETAS'!$O:$O,'[1]LISTA ETIQUETAS'!F:F,"",0)</f>
        <v>0</v>
      </c>
      <c r="S862" s="2">
        <f>_xlfn.XLOOKUP($A862,'[1]LISTA ETIQUETAS'!$O:$O,'[1]LISTA ETIQUETAS'!H:H,"",0)</f>
        <v>1</v>
      </c>
      <c r="T862" s="9">
        <f t="shared" si="41"/>
        <v>1</v>
      </c>
    </row>
    <row r="863" spans="1:20" x14ac:dyDescent="0.25">
      <c r="A863" s="5">
        <v>253546</v>
      </c>
      <c r="B863" t="str">
        <f>IFERROR((VLOOKUP(A863,'[1]LISTA ETIQUETAS'!O:X,3,0)),"PRODUTO SEM ESTOQUE")</f>
        <v>EST POLTRONA EOS TC673 VERDE/PRETO</v>
      </c>
      <c r="C863" s="10" t="s">
        <v>91</v>
      </c>
      <c r="D863" s="10" t="s">
        <v>552</v>
      </c>
      <c r="E863" s="11">
        <f>IF(VLOOKUP(A863,'[1]LISTA ETIQUETAS'!O:W,4,0)="",(VLOOKUP(A863,'[1]LISTA ETIQUETAS'!O:W,6,0)),(VLOOKUP(A863,'[1]LISTA ETIQUETAS'!O:W,4,0)))</f>
        <v>0.84</v>
      </c>
      <c r="F863" s="11">
        <f>IF(VLOOKUP(A863,'[1]LISTA ETIQUETAS'!O:W,5,0)="",(VLOOKUP(A863,'[1]LISTA ETIQUETAS'!O:W,7,0)),(VLOOKUP(A863,'[1]LISTA ETIQUETAS'!O:W,5,0)))</f>
        <v>0.74</v>
      </c>
      <c r="G863" s="11">
        <f>IFERROR((VLOOKUP(A863,'[1]LISTA ETIQUETAS'!O:X,8,0)),"")</f>
        <v>0.68</v>
      </c>
      <c r="H863" s="11">
        <f>IFERROR((VLOOKUP(A863,'[1]LISTA ETIQUETAS'!O:X,9,0)),"")</f>
        <v>0</v>
      </c>
      <c r="I863" s="12">
        <f>IFERROR((VLOOKUP(A863,'[1]LISTA ETIQUETAS'!O:Y,11,0)),"")</f>
        <v>9856</v>
      </c>
      <c r="J863" s="6">
        <v>0</v>
      </c>
      <c r="K863" s="12">
        <f t="shared" si="39"/>
        <v>9856</v>
      </c>
      <c r="L863" s="7" t="str">
        <f>IF(VLOOKUP(A863,'[1]LISTA ETIQUETAS'!O:AB,14,0)="","",(VLOOKUP(A863,'[1]LISTA ETIQUETAS'!O:AB,14,0)))</f>
        <v/>
      </c>
      <c r="M863" s="8"/>
      <c r="N863" s="9">
        <f t="shared" si="40"/>
        <v>253546</v>
      </c>
      <c r="O863" s="2">
        <f>_xlfn.XLOOKUP($A863,'[1]LISTA ETIQUETAS'!$O:$O,'[1]LISTA ETIQUETAS'!C:C,"",0)</f>
        <v>0</v>
      </c>
      <c r="P863" s="2">
        <f>_xlfn.XLOOKUP($A863,'[1]LISTA ETIQUETAS'!$O:$O,'[1]LISTA ETIQUETAS'!D:D,"",0)</f>
        <v>0</v>
      </c>
      <c r="Q863" s="2">
        <f>_xlfn.XLOOKUP($A863,'[1]LISTA ETIQUETAS'!$O:$O,'[1]LISTA ETIQUETAS'!E:E,"",0)</f>
        <v>0</v>
      </c>
      <c r="R863" s="2">
        <f>_xlfn.XLOOKUP($A863,'[1]LISTA ETIQUETAS'!$O:$O,'[1]LISTA ETIQUETAS'!F:F,"",0)</f>
        <v>0</v>
      </c>
      <c r="S863" s="2">
        <f>_xlfn.XLOOKUP($A863,'[1]LISTA ETIQUETAS'!$O:$O,'[1]LISTA ETIQUETAS'!H:H,"",0)</f>
        <v>2</v>
      </c>
      <c r="T863" s="9">
        <f t="shared" si="41"/>
        <v>2</v>
      </c>
    </row>
    <row r="864" spans="1:20" x14ac:dyDescent="0.25">
      <c r="A864" s="5">
        <v>252101</v>
      </c>
      <c r="B864" t="str">
        <f>IFERROR((VLOOKUP(A864,'[1]LISTA ETIQUETAS'!O:X,3,0)),"PRODUTO SEM ESTOQUE")</f>
        <v>EST POLTRONA LUNA LAMINA 37 TC3305 MTZ MARROM FOSCO</v>
      </c>
      <c r="C864" s="10" t="s">
        <v>91</v>
      </c>
      <c r="D864" s="10" t="s">
        <v>553</v>
      </c>
      <c r="E864" s="11">
        <f>IF(VLOOKUP(A864,'[1]LISTA ETIQUETAS'!O:W,4,0)="",(VLOOKUP(A864,'[1]LISTA ETIQUETAS'!O:W,6,0)),(VLOOKUP(A864,'[1]LISTA ETIQUETAS'!O:W,4,0)))</f>
        <v>0.71</v>
      </c>
      <c r="F864" s="11">
        <f>IF(VLOOKUP(A864,'[1]LISTA ETIQUETAS'!O:W,5,0)="",(VLOOKUP(A864,'[1]LISTA ETIQUETAS'!O:W,7,0)),(VLOOKUP(A864,'[1]LISTA ETIQUETAS'!O:W,5,0)))</f>
        <v>0.78</v>
      </c>
      <c r="G864" s="11">
        <f>IFERROR((VLOOKUP(A864,'[1]LISTA ETIQUETAS'!O:X,8,0)),"")</f>
        <v>0.9</v>
      </c>
      <c r="H864" s="11">
        <f>IFERROR((VLOOKUP(A864,'[1]LISTA ETIQUETAS'!O:X,9,0)),"")</f>
        <v>0</v>
      </c>
      <c r="I864" s="12">
        <f>IFERROR((VLOOKUP(A864,'[1]LISTA ETIQUETAS'!O:Y,11,0)),"")</f>
        <v>13653.38</v>
      </c>
      <c r="J864" s="6">
        <v>0</v>
      </c>
      <c r="K864" s="12">
        <f t="shared" si="39"/>
        <v>13653.38</v>
      </c>
      <c r="L864" s="7" t="str">
        <f>IF(VLOOKUP(A864,'[1]LISTA ETIQUETAS'!O:AB,14,0)="","",(VLOOKUP(A864,'[1]LISTA ETIQUETAS'!O:AB,14,0)))</f>
        <v/>
      </c>
      <c r="M864" s="8"/>
      <c r="N864" s="9">
        <f t="shared" si="40"/>
        <v>252101</v>
      </c>
      <c r="O864" s="2">
        <f>_xlfn.XLOOKUP($A864,'[1]LISTA ETIQUETAS'!$O:$O,'[1]LISTA ETIQUETAS'!C:C,"",0)</f>
        <v>0</v>
      </c>
      <c r="P864" s="2">
        <f>_xlfn.XLOOKUP($A864,'[1]LISTA ETIQUETAS'!$O:$O,'[1]LISTA ETIQUETAS'!D:D,"",0)</f>
        <v>0</v>
      </c>
      <c r="Q864" s="2">
        <f>_xlfn.XLOOKUP($A864,'[1]LISTA ETIQUETAS'!$O:$O,'[1]LISTA ETIQUETAS'!E:E,"",0)</f>
        <v>0</v>
      </c>
      <c r="R864" s="2">
        <f>_xlfn.XLOOKUP($A864,'[1]LISTA ETIQUETAS'!$O:$O,'[1]LISTA ETIQUETAS'!F:F,"",0)</f>
        <v>0</v>
      </c>
      <c r="S864" s="2">
        <f>_xlfn.XLOOKUP($A864,'[1]LISTA ETIQUETAS'!$O:$O,'[1]LISTA ETIQUETAS'!H:H,"",0)</f>
        <v>4</v>
      </c>
      <c r="T864" s="9">
        <f t="shared" si="41"/>
        <v>4</v>
      </c>
    </row>
    <row r="865" spans="1:20" x14ac:dyDescent="0.25">
      <c r="A865" s="5">
        <v>252100</v>
      </c>
      <c r="B865" t="str">
        <f>IFERROR((VLOOKUP(A865,'[1]LISTA ETIQUETAS'!O:X,3,0)),"PRODUTO SEM ESTOQUE")</f>
        <v>EST POLTRONA LUNA ESTOFADA TC1118 MTZ MARROM FOSCO</v>
      </c>
      <c r="C865" s="10" t="s">
        <v>91</v>
      </c>
      <c r="D865" s="10" t="s">
        <v>553</v>
      </c>
      <c r="E865" s="11">
        <f>IF(VLOOKUP(A865,'[1]LISTA ETIQUETAS'!O:W,4,0)="",(VLOOKUP(A865,'[1]LISTA ETIQUETAS'!O:W,6,0)),(VLOOKUP(A865,'[1]LISTA ETIQUETAS'!O:W,4,0)))</f>
        <v>0.71</v>
      </c>
      <c r="F865" s="11">
        <f>IF(VLOOKUP(A865,'[1]LISTA ETIQUETAS'!O:W,5,0)="",(VLOOKUP(A865,'[1]LISTA ETIQUETAS'!O:W,7,0)),(VLOOKUP(A865,'[1]LISTA ETIQUETAS'!O:W,5,0)))</f>
        <v>0.78</v>
      </c>
      <c r="G865" s="11">
        <f>IFERROR((VLOOKUP(A865,'[1]LISTA ETIQUETAS'!O:X,8,0)),"")</f>
        <v>0.9</v>
      </c>
      <c r="H865" s="11">
        <f>IFERROR((VLOOKUP(A865,'[1]LISTA ETIQUETAS'!O:X,9,0)),"")</f>
        <v>0</v>
      </c>
      <c r="I865" s="12">
        <f>IFERROR((VLOOKUP(A865,'[1]LISTA ETIQUETAS'!O:Y,11,0)),"")</f>
        <v>13653.38</v>
      </c>
      <c r="J865" s="6">
        <v>0</v>
      </c>
      <c r="K865" s="12">
        <f t="shared" si="39"/>
        <v>13653.38</v>
      </c>
      <c r="L865" s="7" t="str">
        <f>IF(VLOOKUP(A865,'[1]LISTA ETIQUETAS'!O:AB,14,0)="","",(VLOOKUP(A865,'[1]LISTA ETIQUETAS'!O:AB,14,0)))</f>
        <v/>
      </c>
      <c r="M865" s="8"/>
      <c r="N865" s="9">
        <f t="shared" si="40"/>
        <v>252100</v>
      </c>
      <c r="O865" s="2">
        <f>_xlfn.XLOOKUP($A865,'[1]LISTA ETIQUETAS'!$O:$O,'[1]LISTA ETIQUETAS'!C:C,"",0)</f>
        <v>0</v>
      </c>
      <c r="P865" s="2">
        <f>_xlfn.XLOOKUP($A865,'[1]LISTA ETIQUETAS'!$O:$O,'[1]LISTA ETIQUETAS'!D:D,"",0)</f>
        <v>0</v>
      </c>
      <c r="Q865" s="2">
        <f>_xlfn.XLOOKUP($A865,'[1]LISTA ETIQUETAS'!$O:$O,'[1]LISTA ETIQUETAS'!E:E,"",0)</f>
        <v>0</v>
      </c>
      <c r="R865" s="2">
        <f>_xlfn.XLOOKUP($A865,'[1]LISTA ETIQUETAS'!$O:$O,'[1]LISTA ETIQUETAS'!F:F,"",0)</f>
        <v>0</v>
      </c>
      <c r="S865" s="2">
        <f>_xlfn.XLOOKUP($A865,'[1]LISTA ETIQUETAS'!$O:$O,'[1]LISTA ETIQUETAS'!H:H,"",0)</f>
        <v>2</v>
      </c>
      <c r="T865" s="9">
        <f t="shared" si="41"/>
        <v>2</v>
      </c>
    </row>
    <row r="866" spans="1:20" x14ac:dyDescent="0.25">
      <c r="A866" s="5">
        <v>250021</v>
      </c>
      <c r="B866" t="str">
        <f>IFERROR((VLOOKUP(A866,'[1]LISTA ETIQUETAS'!O:X,3,0)),"PRODUTO SEM ESTOQUE")</f>
        <v>EST POLTRONA COLLANA GIR MEL ENV/EX BEGE/INT TC310</v>
      </c>
      <c r="C866" s="10" t="s">
        <v>91</v>
      </c>
      <c r="D866" s="10" t="s">
        <v>554</v>
      </c>
      <c r="E866" s="11">
        <f>IF(VLOOKUP(A866,'[1]LISTA ETIQUETAS'!O:W,4,0)="",(VLOOKUP(A866,'[1]LISTA ETIQUETAS'!O:W,6,0)),(VLOOKUP(A866,'[1]LISTA ETIQUETAS'!O:W,4,0)))</f>
        <v>0.91</v>
      </c>
      <c r="F866" s="11">
        <f>IF(VLOOKUP(A866,'[1]LISTA ETIQUETAS'!O:W,5,0)="",(VLOOKUP(A866,'[1]LISTA ETIQUETAS'!O:W,7,0)),(VLOOKUP(A866,'[1]LISTA ETIQUETAS'!O:W,5,0)))</f>
        <v>0.8</v>
      </c>
      <c r="G866" s="11">
        <f>IFERROR((VLOOKUP(A866,'[1]LISTA ETIQUETAS'!O:X,8,0)),"")</f>
        <v>0.78</v>
      </c>
      <c r="H866" s="11">
        <f>IFERROR((VLOOKUP(A866,'[1]LISTA ETIQUETAS'!O:X,9,0)),"")</f>
        <v>0</v>
      </c>
      <c r="I866" s="12">
        <f>IFERROR((VLOOKUP(A866,'[1]LISTA ETIQUETAS'!O:Y,11,0)),"")</f>
        <v>16960.96</v>
      </c>
      <c r="J866" s="6">
        <v>0</v>
      </c>
      <c r="K866" s="12">
        <f t="shared" si="39"/>
        <v>16960.96</v>
      </c>
      <c r="L866" s="7" t="str">
        <f>IF(VLOOKUP(A866,'[1]LISTA ETIQUETAS'!O:AB,14,0)="","",(VLOOKUP(A866,'[1]LISTA ETIQUETAS'!O:AB,14,0)))</f>
        <v/>
      </c>
      <c r="M866" s="8"/>
      <c r="N866" s="9">
        <f t="shared" si="40"/>
        <v>250021</v>
      </c>
      <c r="O866" s="2">
        <f>_xlfn.XLOOKUP($A866,'[1]LISTA ETIQUETAS'!$O:$O,'[1]LISTA ETIQUETAS'!C:C,"",0)</f>
        <v>0</v>
      </c>
      <c r="P866" s="2">
        <f>_xlfn.XLOOKUP($A866,'[1]LISTA ETIQUETAS'!$O:$O,'[1]LISTA ETIQUETAS'!D:D,"",0)</f>
        <v>0</v>
      </c>
      <c r="Q866" s="2">
        <f>_xlfn.XLOOKUP($A866,'[1]LISTA ETIQUETAS'!$O:$O,'[1]LISTA ETIQUETAS'!E:E,"",0)</f>
        <v>0</v>
      </c>
      <c r="R866" s="2">
        <f>_xlfn.XLOOKUP($A866,'[1]LISTA ETIQUETAS'!$O:$O,'[1]LISTA ETIQUETAS'!F:F,"",0)</f>
        <v>0</v>
      </c>
      <c r="S866" s="2">
        <f>_xlfn.XLOOKUP($A866,'[1]LISTA ETIQUETAS'!$O:$O,'[1]LISTA ETIQUETAS'!H:H,"",0)</f>
        <v>1</v>
      </c>
      <c r="T866" s="9">
        <f t="shared" si="41"/>
        <v>1</v>
      </c>
    </row>
    <row r="867" spans="1:20" x14ac:dyDescent="0.25">
      <c r="A867" s="5">
        <v>151504</v>
      </c>
      <c r="B867" t="str">
        <f>IFERROR((VLOOKUP(A867,'[1]LISTA ETIQUETAS'!O:X,3,0)),"PRODUTO SEM ESTOQUE")</f>
        <v>EST POLTRONA MENTARI (TC 4280) (BOULDER C/ALM DECORATIVA)</v>
      </c>
      <c r="C867" s="10" t="s">
        <v>91</v>
      </c>
      <c r="D867" s="10" t="s">
        <v>555</v>
      </c>
      <c r="E867" s="11">
        <f>IF(VLOOKUP(A867,'[1]LISTA ETIQUETAS'!O:W,4,0)="",(VLOOKUP(A867,'[1]LISTA ETIQUETAS'!O:W,6,0)),(VLOOKUP(A867,'[1]LISTA ETIQUETAS'!O:W,4,0)))</f>
        <v>0.73</v>
      </c>
      <c r="F867" s="11">
        <f>IF(VLOOKUP(A867,'[1]LISTA ETIQUETAS'!O:W,5,0)="",(VLOOKUP(A867,'[1]LISTA ETIQUETAS'!O:W,7,0)),(VLOOKUP(A867,'[1]LISTA ETIQUETAS'!O:W,5,0)))</f>
        <v>0.77</v>
      </c>
      <c r="G867" s="11">
        <f>IFERROR((VLOOKUP(A867,'[1]LISTA ETIQUETAS'!O:X,8,0)),"")</f>
        <v>0.77</v>
      </c>
      <c r="H867" s="11">
        <f>IFERROR((VLOOKUP(A867,'[1]LISTA ETIQUETAS'!O:X,9,0)),"")</f>
        <v>0</v>
      </c>
      <c r="I867" s="12">
        <f>IFERROR((VLOOKUP(A867,'[1]LISTA ETIQUETAS'!O:Y,11,0)),"")</f>
        <v>12513</v>
      </c>
      <c r="J867" s="6">
        <v>0</v>
      </c>
      <c r="K867" s="12">
        <f t="shared" si="39"/>
        <v>12513</v>
      </c>
      <c r="L867" s="7" t="str">
        <f>IF(VLOOKUP(A867,'[1]LISTA ETIQUETAS'!O:AB,14,0)="","",(VLOOKUP(A867,'[1]LISTA ETIQUETAS'!O:AB,14,0)))</f>
        <v/>
      </c>
      <c r="M867" s="8"/>
      <c r="N867" s="9">
        <f t="shared" si="40"/>
        <v>151504</v>
      </c>
      <c r="O867" s="2">
        <f>_xlfn.XLOOKUP($A867,'[1]LISTA ETIQUETAS'!$O:$O,'[1]LISTA ETIQUETAS'!C:C,"",0)</f>
        <v>0</v>
      </c>
      <c r="P867" s="2">
        <f>_xlfn.XLOOKUP($A867,'[1]LISTA ETIQUETAS'!$O:$O,'[1]LISTA ETIQUETAS'!D:D,"",0)</f>
        <v>0</v>
      </c>
      <c r="Q867" s="2">
        <f>_xlfn.XLOOKUP($A867,'[1]LISTA ETIQUETAS'!$O:$O,'[1]LISTA ETIQUETAS'!E:E,"",0)</f>
        <v>0</v>
      </c>
      <c r="R867" s="2">
        <f>_xlfn.XLOOKUP($A867,'[1]LISTA ETIQUETAS'!$O:$O,'[1]LISTA ETIQUETAS'!F:F,"",0)</f>
        <v>0</v>
      </c>
      <c r="S867" s="2">
        <f>_xlfn.XLOOKUP($A867,'[1]LISTA ETIQUETAS'!$O:$O,'[1]LISTA ETIQUETAS'!H:H,"",0)</f>
        <v>2</v>
      </c>
      <c r="T867" s="9">
        <f t="shared" si="41"/>
        <v>2</v>
      </c>
    </row>
    <row r="868" spans="1:20" x14ac:dyDescent="0.25">
      <c r="A868" s="5">
        <v>232131</v>
      </c>
      <c r="B868" t="str">
        <f>IFERROR((VLOOKUP(A868,'[1]LISTA ETIQUETAS'!O:X,3,0)),"PRODUTO SEM ESTOQUE")</f>
        <v>EST POLTRONA ABAS (MAD B LOURO ESP) G11-11202300 AZ 907</v>
      </c>
      <c r="C868" s="10" t="s">
        <v>91</v>
      </c>
      <c r="D868" s="10" t="s">
        <v>556</v>
      </c>
      <c r="E868" s="11">
        <f>IF(VLOOKUP(A868,'[1]LISTA ETIQUETAS'!O:W,4,0)="",(VLOOKUP(A868,'[1]LISTA ETIQUETAS'!O:W,6,0)),(VLOOKUP(A868,'[1]LISTA ETIQUETAS'!O:W,4,0)))</f>
        <v>0.9</v>
      </c>
      <c r="F868" s="11">
        <f>IF(VLOOKUP(A868,'[1]LISTA ETIQUETAS'!O:W,5,0)="",(VLOOKUP(A868,'[1]LISTA ETIQUETAS'!O:W,7,0)),(VLOOKUP(A868,'[1]LISTA ETIQUETAS'!O:W,5,0)))</f>
        <v>0.97</v>
      </c>
      <c r="G868" s="11">
        <f>IFERROR((VLOOKUP(A868,'[1]LISTA ETIQUETAS'!O:X,8,0)),"")</f>
        <v>0.61</v>
      </c>
      <c r="H868" s="11">
        <f>IFERROR((VLOOKUP(A868,'[1]LISTA ETIQUETAS'!O:X,9,0)),"")</f>
        <v>0</v>
      </c>
      <c r="I868" s="12">
        <f>IFERROR((VLOOKUP(A868,'[1]LISTA ETIQUETAS'!O:Y,11,0)),"")</f>
        <v>10975.51</v>
      </c>
      <c r="J868" s="6">
        <v>0</v>
      </c>
      <c r="K868" s="12">
        <f t="shared" si="39"/>
        <v>10975.51</v>
      </c>
      <c r="L868" s="7" t="str">
        <f>IF(VLOOKUP(A868,'[1]LISTA ETIQUETAS'!O:AB,14,0)="","",(VLOOKUP(A868,'[1]LISTA ETIQUETAS'!O:AB,14,0)))</f>
        <v/>
      </c>
      <c r="M868" s="8"/>
      <c r="N868" s="9">
        <f t="shared" si="40"/>
        <v>232131</v>
      </c>
      <c r="O868" s="2">
        <f>_xlfn.XLOOKUP($A868,'[1]LISTA ETIQUETAS'!$O:$O,'[1]LISTA ETIQUETAS'!C:C,"",0)</f>
        <v>0</v>
      </c>
      <c r="P868" s="2">
        <f>_xlfn.XLOOKUP($A868,'[1]LISTA ETIQUETAS'!$O:$O,'[1]LISTA ETIQUETAS'!D:D,"",0)</f>
        <v>0</v>
      </c>
      <c r="Q868" s="2">
        <f>_xlfn.XLOOKUP($A868,'[1]LISTA ETIQUETAS'!$O:$O,'[1]LISTA ETIQUETAS'!E:E,"",0)</f>
        <v>0</v>
      </c>
      <c r="R868" s="2">
        <f>_xlfn.XLOOKUP($A868,'[1]LISTA ETIQUETAS'!$O:$O,'[1]LISTA ETIQUETAS'!F:F,"",0)</f>
        <v>0</v>
      </c>
      <c r="S868" s="2">
        <f>_xlfn.XLOOKUP($A868,'[1]LISTA ETIQUETAS'!$O:$O,'[1]LISTA ETIQUETAS'!H:H,"",0)</f>
        <v>2</v>
      </c>
      <c r="T868" s="9">
        <f t="shared" si="41"/>
        <v>2</v>
      </c>
    </row>
    <row r="869" spans="1:20" x14ac:dyDescent="0.25">
      <c r="A869" s="5">
        <v>221623</v>
      </c>
      <c r="B869" t="str">
        <f>IFERROR((VLOOKUP(A869,'[1]LISTA ETIQUETAS'!O:X,3,0)),"PRODUTO SEM ESTOQUE")</f>
        <v>EST POLTRONA SOHO (COURO TP2 MATTE SAFARI/MATTE FENDI) PRETO</v>
      </c>
      <c r="C869" s="10" t="s">
        <v>91</v>
      </c>
      <c r="D869" s="10" t="s">
        <v>557</v>
      </c>
      <c r="E869" s="11">
        <f>IF(VLOOKUP(A869,'[1]LISTA ETIQUETAS'!O:W,4,0)="",(VLOOKUP(A869,'[1]LISTA ETIQUETAS'!O:W,6,0)),(VLOOKUP(A869,'[1]LISTA ETIQUETAS'!O:W,4,0)))</f>
        <v>0.85</v>
      </c>
      <c r="F869" s="11">
        <f>IF(VLOOKUP(A869,'[1]LISTA ETIQUETAS'!O:W,5,0)="",(VLOOKUP(A869,'[1]LISTA ETIQUETAS'!O:W,7,0)),(VLOOKUP(A869,'[1]LISTA ETIQUETAS'!O:W,5,0)))</f>
        <v>0.85</v>
      </c>
      <c r="G869" s="11">
        <f>IFERROR((VLOOKUP(A869,'[1]LISTA ETIQUETAS'!O:X,8,0)),"")</f>
        <v>0.79</v>
      </c>
      <c r="H869" s="11">
        <f>IFERROR((VLOOKUP(A869,'[1]LISTA ETIQUETAS'!O:X,9,0)),"")</f>
        <v>0</v>
      </c>
      <c r="I869" s="12">
        <f>IFERROR((VLOOKUP(A869,'[1]LISTA ETIQUETAS'!O:Y,11,0)),"")</f>
        <v>15680</v>
      </c>
      <c r="J869" s="6">
        <v>0</v>
      </c>
      <c r="K869" s="12">
        <f t="shared" si="39"/>
        <v>15680</v>
      </c>
      <c r="L869" s="7" t="str">
        <f>IF(VLOOKUP(A869,'[1]LISTA ETIQUETAS'!O:AB,14,0)="","",(VLOOKUP(A869,'[1]LISTA ETIQUETAS'!O:AB,14,0)))</f>
        <v/>
      </c>
      <c r="M869" s="8"/>
      <c r="N869" s="9">
        <f t="shared" si="40"/>
        <v>221623</v>
      </c>
      <c r="O869" s="2">
        <f>_xlfn.XLOOKUP($A869,'[1]LISTA ETIQUETAS'!$O:$O,'[1]LISTA ETIQUETAS'!C:C,"",0)</f>
        <v>0</v>
      </c>
      <c r="P869" s="2">
        <f>_xlfn.XLOOKUP($A869,'[1]LISTA ETIQUETAS'!$O:$O,'[1]LISTA ETIQUETAS'!D:D,"",0)</f>
        <v>0</v>
      </c>
      <c r="Q869" s="2">
        <f>_xlfn.XLOOKUP($A869,'[1]LISTA ETIQUETAS'!$O:$O,'[1]LISTA ETIQUETAS'!E:E,"",0)</f>
        <v>0</v>
      </c>
      <c r="R869" s="2">
        <f>_xlfn.XLOOKUP($A869,'[1]LISTA ETIQUETAS'!$O:$O,'[1]LISTA ETIQUETAS'!F:F,"",0)</f>
        <v>0</v>
      </c>
      <c r="S869" s="2">
        <f>_xlfn.XLOOKUP($A869,'[1]LISTA ETIQUETAS'!$O:$O,'[1]LISTA ETIQUETAS'!H:H,"",0)</f>
        <v>1</v>
      </c>
      <c r="T869" s="9">
        <f t="shared" si="41"/>
        <v>1</v>
      </c>
    </row>
    <row r="870" spans="1:20" x14ac:dyDescent="0.25">
      <c r="A870" s="5">
        <v>270723</v>
      </c>
      <c r="B870" t="str">
        <f>IFERROR((VLOOKUP(A870,'[1]LISTA ETIQUETAS'!O:X,3,0)),"PRODUTO SEM ESTOQUE")</f>
        <v>EST POLTRONA PIAF FX B2199 (MTX PRETO)</v>
      </c>
      <c r="C870" s="10" t="s">
        <v>91</v>
      </c>
      <c r="D870" s="10" t="s">
        <v>503</v>
      </c>
      <c r="E870" s="11">
        <f>IF(VLOOKUP(A870,'[1]LISTA ETIQUETAS'!O:W,4,0)="",(VLOOKUP(A870,'[1]LISTA ETIQUETAS'!O:W,6,0)),(VLOOKUP(A870,'[1]LISTA ETIQUETAS'!O:W,4,0)))</f>
        <v>0.75</v>
      </c>
      <c r="F870" s="11">
        <f>IF(VLOOKUP(A870,'[1]LISTA ETIQUETAS'!O:W,5,0)="",(VLOOKUP(A870,'[1]LISTA ETIQUETAS'!O:W,7,0)),(VLOOKUP(A870,'[1]LISTA ETIQUETAS'!O:W,5,0)))</f>
        <v>0.74</v>
      </c>
      <c r="G870" s="11">
        <f>IFERROR((VLOOKUP(A870,'[1]LISTA ETIQUETAS'!O:X,8,0)),"")</f>
        <v>0.75</v>
      </c>
      <c r="H870" s="11">
        <f>IFERROR((VLOOKUP(A870,'[1]LISTA ETIQUETAS'!O:X,9,0)),"")</f>
        <v>0</v>
      </c>
      <c r="I870" s="12">
        <f>IFERROR((VLOOKUP(A870,'[1]LISTA ETIQUETAS'!O:Y,11,0)),"")</f>
        <v>7270.5</v>
      </c>
      <c r="J870" s="6">
        <v>0</v>
      </c>
      <c r="K870" s="12">
        <f t="shared" si="39"/>
        <v>7270.5</v>
      </c>
      <c r="L870" s="7" t="str">
        <f>IF(VLOOKUP(A870,'[1]LISTA ETIQUETAS'!O:AB,14,0)="","",(VLOOKUP(A870,'[1]LISTA ETIQUETAS'!O:AB,14,0)))</f>
        <v/>
      </c>
      <c r="M870" s="8"/>
      <c r="N870" s="9">
        <f t="shared" si="40"/>
        <v>270723</v>
      </c>
      <c r="O870" s="2">
        <f>_xlfn.XLOOKUP($A870,'[1]LISTA ETIQUETAS'!$O:$O,'[1]LISTA ETIQUETAS'!C:C,"",0)</f>
        <v>0</v>
      </c>
      <c r="P870" s="2">
        <f>_xlfn.XLOOKUP($A870,'[1]LISTA ETIQUETAS'!$O:$O,'[1]LISTA ETIQUETAS'!D:D,"",0)</f>
        <v>0</v>
      </c>
      <c r="Q870" s="2">
        <f>_xlfn.XLOOKUP($A870,'[1]LISTA ETIQUETAS'!$O:$O,'[1]LISTA ETIQUETAS'!E:E,"",0)</f>
        <v>0</v>
      </c>
      <c r="R870" s="2">
        <f>_xlfn.XLOOKUP($A870,'[1]LISTA ETIQUETAS'!$O:$O,'[1]LISTA ETIQUETAS'!F:F,"",0)</f>
        <v>0</v>
      </c>
      <c r="S870" s="2">
        <f>_xlfn.XLOOKUP($A870,'[1]LISTA ETIQUETAS'!$O:$O,'[1]LISTA ETIQUETAS'!H:H,"",0)</f>
        <v>1</v>
      </c>
      <c r="T870" s="9">
        <f t="shared" si="41"/>
        <v>1</v>
      </c>
    </row>
    <row r="871" spans="1:20" x14ac:dyDescent="0.25">
      <c r="A871" s="5">
        <v>270701</v>
      </c>
      <c r="B871" t="str">
        <f>IFERROR((VLOOKUP(A871,'[1]LISTA ETIQUETAS'!O:X,3,0)),"PRODUTO SEM ESTOQUE")</f>
        <v>EST POLTRONA LEYVA FX C3130/BS GIR ACO CARB PIN MTZ PRETO</v>
      </c>
      <c r="C871" s="10" t="s">
        <v>91</v>
      </c>
      <c r="D871" s="10" t="s">
        <v>558</v>
      </c>
      <c r="E871" s="11">
        <f>IF(VLOOKUP(A871,'[1]LISTA ETIQUETAS'!O:W,4,0)="",(VLOOKUP(A871,'[1]LISTA ETIQUETAS'!O:W,6,0)),(VLOOKUP(A871,'[1]LISTA ETIQUETAS'!O:W,4,0)))</f>
        <v>0.8</v>
      </c>
      <c r="F871" s="11">
        <f>IF(VLOOKUP(A871,'[1]LISTA ETIQUETAS'!O:W,5,0)="",(VLOOKUP(A871,'[1]LISTA ETIQUETAS'!O:W,7,0)),(VLOOKUP(A871,'[1]LISTA ETIQUETAS'!O:W,5,0)))</f>
        <v>0.83</v>
      </c>
      <c r="G871" s="11">
        <f>IFERROR((VLOOKUP(A871,'[1]LISTA ETIQUETAS'!O:X,8,0)),"")</f>
        <v>0.86</v>
      </c>
      <c r="H871" s="11">
        <f>IFERROR((VLOOKUP(A871,'[1]LISTA ETIQUETAS'!O:X,9,0)),"")</f>
        <v>0</v>
      </c>
      <c r="I871" s="12">
        <f>IFERROR((VLOOKUP(A871,'[1]LISTA ETIQUETAS'!O:Y,11,0)),"")</f>
        <v>12735.16</v>
      </c>
      <c r="J871" s="6">
        <v>0</v>
      </c>
      <c r="K871" s="12">
        <f t="shared" si="39"/>
        <v>12735.16</v>
      </c>
      <c r="L871" s="7" t="str">
        <f>IF(VLOOKUP(A871,'[1]LISTA ETIQUETAS'!O:AB,14,0)="","",(VLOOKUP(A871,'[1]LISTA ETIQUETAS'!O:AB,14,0)))</f>
        <v/>
      </c>
      <c r="M871" s="8"/>
      <c r="N871" s="9">
        <f t="shared" si="40"/>
        <v>270701</v>
      </c>
      <c r="O871" s="2">
        <f>_xlfn.XLOOKUP($A871,'[1]LISTA ETIQUETAS'!$O:$O,'[1]LISTA ETIQUETAS'!C:C,"",0)</f>
        <v>0</v>
      </c>
      <c r="P871" s="2">
        <f>_xlfn.XLOOKUP($A871,'[1]LISTA ETIQUETAS'!$O:$O,'[1]LISTA ETIQUETAS'!D:D,"",0)</f>
        <v>0</v>
      </c>
      <c r="Q871" s="2">
        <f>_xlfn.XLOOKUP($A871,'[1]LISTA ETIQUETAS'!$O:$O,'[1]LISTA ETIQUETAS'!E:E,"",0)</f>
        <v>0</v>
      </c>
      <c r="R871" s="2">
        <f>_xlfn.XLOOKUP($A871,'[1]LISTA ETIQUETAS'!$O:$O,'[1]LISTA ETIQUETAS'!F:F,"",0)</f>
        <v>0</v>
      </c>
      <c r="S871" s="2">
        <f>_xlfn.XLOOKUP($A871,'[1]LISTA ETIQUETAS'!$O:$O,'[1]LISTA ETIQUETAS'!H:H,"",0)</f>
        <v>1</v>
      </c>
      <c r="T871" s="9">
        <f t="shared" si="41"/>
        <v>1</v>
      </c>
    </row>
    <row r="872" spans="1:20" x14ac:dyDescent="0.25">
      <c r="A872" s="5">
        <v>270480</v>
      </c>
      <c r="B872" t="str">
        <f>IFERROR((VLOOKUP(A872,'[1]LISTA ETIQUETAS'!O:X,3,0)),"PRODUTO SEM ESTOQUE")</f>
        <v>EST POLTRONA APOLLO PELE (ELETROST PRETA) C700/8/COURO PT</v>
      </c>
      <c r="C872" s="10" t="s">
        <v>91</v>
      </c>
      <c r="D872" s="10" t="s">
        <v>559</v>
      </c>
      <c r="E872" s="11">
        <f>IF(VLOOKUP(A872,'[1]LISTA ETIQUETAS'!O:W,4,0)="",(VLOOKUP(A872,'[1]LISTA ETIQUETAS'!O:W,6,0)),(VLOOKUP(A872,'[1]LISTA ETIQUETAS'!O:W,4,0)))</f>
        <v>0.75</v>
      </c>
      <c r="F872" s="11">
        <f>IF(VLOOKUP(A872,'[1]LISTA ETIQUETAS'!O:W,5,0)="",(VLOOKUP(A872,'[1]LISTA ETIQUETAS'!O:W,7,0)),(VLOOKUP(A872,'[1]LISTA ETIQUETAS'!O:W,5,0)))</f>
        <v>0.62</v>
      </c>
      <c r="G872" s="11">
        <f>IFERROR((VLOOKUP(A872,'[1]LISTA ETIQUETAS'!O:X,8,0)),"")</f>
        <v>0.7</v>
      </c>
      <c r="H872" s="11">
        <f>IFERROR((VLOOKUP(A872,'[1]LISTA ETIQUETAS'!O:X,9,0)),"")</f>
        <v>0</v>
      </c>
      <c r="I872" s="12">
        <f>IFERROR((VLOOKUP(A872,'[1]LISTA ETIQUETAS'!O:Y,11,0)),"")</f>
        <v>23439.67</v>
      </c>
      <c r="J872" s="6">
        <v>0</v>
      </c>
      <c r="K872" s="12">
        <f t="shared" si="39"/>
        <v>23439.67</v>
      </c>
      <c r="L872" s="7" t="str">
        <f>IF(VLOOKUP(A872,'[1]LISTA ETIQUETAS'!O:AB,14,0)="","",(VLOOKUP(A872,'[1]LISTA ETIQUETAS'!O:AB,14,0)))</f>
        <v/>
      </c>
      <c r="M872" s="8"/>
      <c r="N872" s="9">
        <f t="shared" si="40"/>
        <v>270480</v>
      </c>
      <c r="O872" s="2">
        <f>_xlfn.XLOOKUP($A872,'[1]LISTA ETIQUETAS'!$O:$O,'[1]LISTA ETIQUETAS'!C:C,"",0)</f>
        <v>2</v>
      </c>
      <c r="P872" s="2">
        <f>_xlfn.XLOOKUP($A872,'[1]LISTA ETIQUETAS'!$O:$O,'[1]LISTA ETIQUETAS'!D:D,"",0)</f>
        <v>0</v>
      </c>
      <c r="Q872" s="2">
        <f>_xlfn.XLOOKUP($A872,'[1]LISTA ETIQUETAS'!$O:$O,'[1]LISTA ETIQUETAS'!E:E,"",0)</f>
        <v>0</v>
      </c>
      <c r="R872" s="2">
        <f>_xlfn.XLOOKUP($A872,'[1]LISTA ETIQUETAS'!$O:$O,'[1]LISTA ETIQUETAS'!F:F,"",0)</f>
        <v>0</v>
      </c>
      <c r="S872" s="2">
        <f>_xlfn.XLOOKUP($A872,'[1]LISTA ETIQUETAS'!$O:$O,'[1]LISTA ETIQUETAS'!H:H,"",0)</f>
        <v>2</v>
      </c>
      <c r="T872" s="9">
        <f t="shared" si="41"/>
        <v>4</v>
      </c>
    </row>
    <row r="873" spans="1:20" x14ac:dyDescent="0.25">
      <c r="A873" s="5">
        <v>270599</v>
      </c>
      <c r="B873" t="str">
        <f>IFERROR((VLOOKUP(A873,'[1]LISTA ETIQUETAS'!O:X,3,0)),"PRODUTO SEM ESTOQUE")</f>
        <v>EST POLTRONA AMBURANA (LAMINA NOGUEIRA) TC 851036</v>
      </c>
      <c r="C873" s="10" t="s">
        <v>91</v>
      </c>
      <c r="D873" s="10" t="s">
        <v>560</v>
      </c>
      <c r="E873" s="11">
        <f>IF(VLOOKUP(A873,'[1]LISTA ETIQUETAS'!O:W,4,0)="",(VLOOKUP(A873,'[1]LISTA ETIQUETAS'!O:W,6,0)),(VLOOKUP(A873,'[1]LISTA ETIQUETAS'!O:W,4,0)))</f>
        <v>0.93</v>
      </c>
      <c r="F873" s="11">
        <f>IF(VLOOKUP(A873,'[1]LISTA ETIQUETAS'!O:W,5,0)="",(VLOOKUP(A873,'[1]LISTA ETIQUETAS'!O:W,7,0)),(VLOOKUP(A873,'[1]LISTA ETIQUETAS'!O:W,5,0)))</f>
        <v>0.79</v>
      </c>
      <c r="G873" s="11">
        <f>IFERROR((VLOOKUP(A873,'[1]LISTA ETIQUETAS'!O:X,8,0)),"")</f>
        <v>0.7</v>
      </c>
      <c r="H873" s="11">
        <f>IFERROR((VLOOKUP(A873,'[1]LISTA ETIQUETAS'!O:X,9,0)),"")</f>
        <v>0</v>
      </c>
      <c r="I873" s="12">
        <f>IFERROR((VLOOKUP(A873,'[1]LISTA ETIQUETAS'!O:Y,11,0)),"")</f>
        <v>19617.46</v>
      </c>
      <c r="J873" s="6">
        <v>0</v>
      </c>
      <c r="K873" s="12">
        <f t="shared" si="39"/>
        <v>19617.46</v>
      </c>
      <c r="L873" s="7" t="str">
        <f>IF(VLOOKUP(A873,'[1]LISTA ETIQUETAS'!O:AB,14,0)="","",(VLOOKUP(A873,'[1]LISTA ETIQUETAS'!O:AB,14,0)))</f>
        <v/>
      </c>
      <c r="M873" s="8"/>
      <c r="N873" s="9">
        <f t="shared" si="40"/>
        <v>270599</v>
      </c>
      <c r="O873" s="2">
        <f>_xlfn.XLOOKUP($A873,'[1]LISTA ETIQUETAS'!$O:$O,'[1]LISTA ETIQUETAS'!C:C,"",0)</f>
        <v>0</v>
      </c>
      <c r="P873" s="2">
        <f>_xlfn.XLOOKUP($A873,'[1]LISTA ETIQUETAS'!$O:$O,'[1]LISTA ETIQUETAS'!D:D,"",0)</f>
        <v>0</v>
      </c>
      <c r="Q873" s="2">
        <f>_xlfn.XLOOKUP($A873,'[1]LISTA ETIQUETAS'!$O:$O,'[1]LISTA ETIQUETAS'!E:E,"",0)</f>
        <v>0</v>
      </c>
      <c r="R873" s="2">
        <f>_xlfn.XLOOKUP($A873,'[1]LISTA ETIQUETAS'!$O:$O,'[1]LISTA ETIQUETAS'!F:F,"",0)</f>
        <v>0</v>
      </c>
      <c r="S873" s="2">
        <f>_xlfn.XLOOKUP($A873,'[1]LISTA ETIQUETAS'!$O:$O,'[1]LISTA ETIQUETAS'!H:H,"",0)</f>
        <v>1</v>
      </c>
      <c r="T873" s="9">
        <f t="shared" si="41"/>
        <v>1</v>
      </c>
    </row>
    <row r="874" spans="1:20" x14ac:dyDescent="0.25">
      <c r="A874" s="5">
        <v>257362</v>
      </c>
      <c r="B874" t="str">
        <f>IFERROR((VLOOKUP(A874,'[1]LISTA ETIQUETAS'!O:X,3,0)),"PRODUTO SEM ESTOQUE")</f>
        <v>EST POLTRONA MARTHA COURISSIMO MARROM 214/PRETO</v>
      </c>
      <c r="C874" s="10" t="s">
        <v>91</v>
      </c>
      <c r="D874" s="10" t="s">
        <v>561</v>
      </c>
      <c r="E874" s="11">
        <f>IF(VLOOKUP(A874,'[1]LISTA ETIQUETAS'!O:W,4,0)="",(VLOOKUP(A874,'[1]LISTA ETIQUETAS'!O:W,6,0)),(VLOOKUP(A874,'[1]LISTA ETIQUETAS'!O:W,4,0)))</f>
        <v>0.88</v>
      </c>
      <c r="F874" s="11">
        <f>IF(VLOOKUP(A874,'[1]LISTA ETIQUETAS'!O:W,5,0)="",(VLOOKUP(A874,'[1]LISTA ETIQUETAS'!O:W,7,0)),(VLOOKUP(A874,'[1]LISTA ETIQUETAS'!O:W,5,0)))</f>
        <v>0.88</v>
      </c>
      <c r="G874" s="11">
        <f>IFERROR((VLOOKUP(A874,'[1]LISTA ETIQUETAS'!O:X,8,0)),"")</f>
        <v>0.84</v>
      </c>
      <c r="H874" s="11">
        <f>IFERROR((VLOOKUP(A874,'[1]LISTA ETIQUETAS'!O:X,9,0)),"")</f>
        <v>0</v>
      </c>
      <c r="I874" s="12">
        <f>IFERROR((VLOOKUP(A874,'[1]LISTA ETIQUETAS'!O:Y,11,0)),"")</f>
        <v>9171.9500000000007</v>
      </c>
      <c r="J874" s="6">
        <v>0</v>
      </c>
      <c r="K874" s="12">
        <f t="shared" si="39"/>
        <v>9171.9500000000007</v>
      </c>
      <c r="L874" s="7" t="str">
        <f>IF(VLOOKUP(A874,'[1]LISTA ETIQUETAS'!O:AB,14,0)="","",(VLOOKUP(A874,'[1]LISTA ETIQUETAS'!O:AB,14,0)))</f>
        <v/>
      </c>
      <c r="M874" s="8"/>
      <c r="N874" s="9">
        <f t="shared" si="40"/>
        <v>257362</v>
      </c>
      <c r="O874" s="2">
        <f>_xlfn.XLOOKUP($A874,'[1]LISTA ETIQUETAS'!$O:$O,'[1]LISTA ETIQUETAS'!C:C,"",0)</f>
        <v>0</v>
      </c>
      <c r="P874" s="2">
        <f>_xlfn.XLOOKUP($A874,'[1]LISTA ETIQUETAS'!$O:$O,'[1]LISTA ETIQUETAS'!D:D,"",0)</f>
        <v>0</v>
      </c>
      <c r="Q874" s="2">
        <f>_xlfn.XLOOKUP($A874,'[1]LISTA ETIQUETAS'!$O:$O,'[1]LISTA ETIQUETAS'!E:E,"",0)</f>
        <v>1</v>
      </c>
      <c r="R874" s="2">
        <f>_xlfn.XLOOKUP($A874,'[1]LISTA ETIQUETAS'!$O:$O,'[1]LISTA ETIQUETAS'!F:F,"",0)</f>
        <v>0</v>
      </c>
      <c r="S874" s="2">
        <f>_xlfn.XLOOKUP($A874,'[1]LISTA ETIQUETAS'!$O:$O,'[1]LISTA ETIQUETAS'!H:H,"",0)</f>
        <v>1</v>
      </c>
      <c r="T874" s="9">
        <f t="shared" si="41"/>
        <v>2</v>
      </c>
    </row>
    <row r="875" spans="1:20" x14ac:dyDescent="0.25">
      <c r="A875" s="5">
        <v>277920</v>
      </c>
      <c r="B875" t="str">
        <f>IFERROR((VLOOKUP(A875,'[1]LISTA ETIQUETAS'!O:X,3,0)),"PRODUTO SEM ESTOQUE")</f>
        <v>EST POLTRONA MARE (COURO TP2 MATTE GREY) PRETO</v>
      </c>
      <c r="C875" s="10" t="s">
        <v>91</v>
      </c>
      <c r="D875" s="10" t="s">
        <v>562</v>
      </c>
      <c r="E875" s="11">
        <f>IF(VLOOKUP(A875,'[1]LISTA ETIQUETAS'!O:W,4,0)="",(VLOOKUP(A875,'[1]LISTA ETIQUETAS'!O:W,6,0)),(VLOOKUP(A875,'[1]LISTA ETIQUETAS'!O:W,4,0)))</f>
        <v>0.93</v>
      </c>
      <c r="F875" s="11">
        <f>IF(VLOOKUP(A875,'[1]LISTA ETIQUETAS'!O:W,5,0)="",(VLOOKUP(A875,'[1]LISTA ETIQUETAS'!O:W,7,0)),(VLOOKUP(A875,'[1]LISTA ETIQUETAS'!O:W,5,0)))</f>
        <v>1.06</v>
      </c>
      <c r="G875" s="11">
        <f>IFERROR((VLOOKUP(A875,'[1]LISTA ETIQUETAS'!O:X,8,0)),"")</f>
        <v>0.83</v>
      </c>
      <c r="H875" s="11">
        <f>IFERROR((VLOOKUP(A875,'[1]LISTA ETIQUETAS'!O:X,9,0)),"")</f>
        <v>0</v>
      </c>
      <c r="I875" s="12">
        <f>IFERROR((VLOOKUP(A875,'[1]LISTA ETIQUETAS'!O:Y,11,0)),"")</f>
        <v>22036.58</v>
      </c>
      <c r="J875" s="6">
        <v>0</v>
      </c>
      <c r="K875" s="12">
        <f t="shared" si="39"/>
        <v>22036.58</v>
      </c>
      <c r="L875" s="7" t="str">
        <f>IF(VLOOKUP(A875,'[1]LISTA ETIQUETAS'!O:AB,14,0)="","",(VLOOKUP(A875,'[1]LISTA ETIQUETAS'!O:AB,14,0)))</f>
        <v/>
      </c>
      <c r="M875" s="8"/>
      <c r="N875" s="9">
        <f t="shared" si="40"/>
        <v>277920</v>
      </c>
      <c r="O875" s="2">
        <f>_xlfn.XLOOKUP($A875,'[1]LISTA ETIQUETAS'!$O:$O,'[1]LISTA ETIQUETAS'!C:C,"",0)</f>
        <v>0</v>
      </c>
      <c r="P875" s="2">
        <f>_xlfn.XLOOKUP($A875,'[1]LISTA ETIQUETAS'!$O:$O,'[1]LISTA ETIQUETAS'!D:D,"",0)</f>
        <v>0</v>
      </c>
      <c r="Q875" s="2">
        <f>_xlfn.XLOOKUP($A875,'[1]LISTA ETIQUETAS'!$O:$O,'[1]LISTA ETIQUETAS'!E:E,"",0)</f>
        <v>0</v>
      </c>
      <c r="R875" s="2">
        <f>_xlfn.XLOOKUP($A875,'[1]LISTA ETIQUETAS'!$O:$O,'[1]LISTA ETIQUETAS'!F:F,"",0)</f>
        <v>0</v>
      </c>
      <c r="S875" s="2">
        <f>_xlfn.XLOOKUP($A875,'[1]LISTA ETIQUETAS'!$O:$O,'[1]LISTA ETIQUETAS'!H:H,"",0)</f>
        <v>1</v>
      </c>
      <c r="T875" s="9">
        <f t="shared" si="41"/>
        <v>1</v>
      </c>
    </row>
    <row r="876" spans="1:20" x14ac:dyDescent="0.25">
      <c r="A876" s="5">
        <v>277919</v>
      </c>
      <c r="B876" t="str">
        <f>IFERROR((VLOOKUP(A876,'[1]LISTA ETIQUETAS'!O:X,3,0)),"PRODUTO SEM ESTOQUE")</f>
        <v>EST POLTRONA MARE COURO TP2 (PROMO) GRANO SANDSTORM/CHAMPAG</v>
      </c>
      <c r="C876" s="10" t="s">
        <v>91</v>
      </c>
      <c r="D876" s="10" t="s">
        <v>562</v>
      </c>
      <c r="E876" s="11">
        <f>IF(VLOOKUP(A876,'[1]LISTA ETIQUETAS'!O:W,4,0)="",(VLOOKUP(A876,'[1]LISTA ETIQUETAS'!O:W,6,0)),(VLOOKUP(A876,'[1]LISTA ETIQUETAS'!O:W,4,0)))</f>
        <v>0.93</v>
      </c>
      <c r="F876" s="11">
        <f>IF(VLOOKUP(A876,'[1]LISTA ETIQUETAS'!O:W,5,0)="",(VLOOKUP(A876,'[1]LISTA ETIQUETAS'!O:W,7,0)),(VLOOKUP(A876,'[1]LISTA ETIQUETAS'!O:W,5,0)))</f>
        <v>1.06</v>
      </c>
      <c r="G876" s="11">
        <f>IFERROR((VLOOKUP(A876,'[1]LISTA ETIQUETAS'!O:X,8,0)),"")</f>
        <v>0.83</v>
      </c>
      <c r="H876" s="11">
        <f>IFERROR((VLOOKUP(A876,'[1]LISTA ETIQUETAS'!O:X,9,0)),"")</f>
        <v>0</v>
      </c>
      <c r="I876" s="12">
        <f>IFERROR((VLOOKUP(A876,'[1]LISTA ETIQUETAS'!O:Y,11,0)),"")</f>
        <v>20456.93</v>
      </c>
      <c r="J876" s="6">
        <v>0</v>
      </c>
      <c r="K876" s="12">
        <f t="shared" si="39"/>
        <v>20456.93</v>
      </c>
      <c r="L876" s="7" t="str">
        <f>IF(VLOOKUP(A876,'[1]LISTA ETIQUETAS'!O:AB,14,0)="","",(VLOOKUP(A876,'[1]LISTA ETIQUETAS'!O:AB,14,0)))</f>
        <v/>
      </c>
      <c r="M876" s="8"/>
      <c r="N876" s="9">
        <f t="shared" si="40"/>
        <v>277919</v>
      </c>
      <c r="O876" s="2">
        <f>_xlfn.XLOOKUP($A876,'[1]LISTA ETIQUETAS'!$O:$O,'[1]LISTA ETIQUETAS'!C:C,"",0)</f>
        <v>0</v>
      </c>
      <c r="P876" s="2">
        <f>_xlfn.XLOOKUP($A876,'[1]LISTA ETIQUETAS'!$O:$O,'[1]LISTA ETIQUETAS'!D:D,"",0)</f>
        <v>0</v>
      </c>
      <c r="Q876" s="2">
        <f>_xlfn.XLOOKUP($A876,'[1]LISTA ETIQUETAS'!$O:$O,'[1]LISTA ETIQUETAS'!E:E,"",0)</f>
        <v>0</v>
      </c>
      <c r="R876" s="2">
        <f>_xlfn.XLOOKUP($A876,'[1]LISTA ETIQUETAS'!$O:$O,'[1]LISTA ETIQUETAS'!F:F,"",0)</f>
        <v>0</v>
      </c>
      <c r="S876" s="2">
        <f>_xlfn.XLOOKUP($A876,'[1]LISTA ETIQUETAS'!$O:$O,'[1]LISTA ETIQUETAS'!H:H,"",0)</f>
        <v>1</v>
      </c>
      <c r="T876" s="9">
        <f t="shared" si="41"/>
        <v>1</v>
      </c>
    </row>
    <row r="877" spans="1:20" x14ac:dyDescent="0.25">
      <c r="A877" s="5">
        <v>275032</v>
      </c>
      <c r="B877" t="str">
        <f>IFERROR((VLOOKUP(A877,'[1]LISTA ETIQUETAS'!O:X,3,0)),"PRODUTO SEM ESTOQUE")</f>
        <v>EST POLTRONA CAIOBA GIRATORIA (TECIDO LINHO MISTO BEGE)</v>
      </c>
      <c r="C877" s="10" t="s">
        <v>91</v>
      </c>
      <c r="D877" s="10" t="s">
        <v>563</v>
      </c>
      <c r="E877" s="11">
        <f>IF(VLOOKUP(A877,'[1]LISTA ETIQUETAS'!O:W,4,0)="",(VLOOKUP(A877,'[1]LISTA ETIQUETAS'!O:W,6,0)),(VLOOKUP(A877,'[1]LISTA ETIQUETAS'!O:W,4,0)))</f>
        <v>0.64</v>
      </c>
      <c r="F877" s="11">
        <f>IF(VLOOKUP(A877,'[1]LISTA ETIQUETAS'!O:W,5,0)="",(VLOOKUP(A877,'[1]LISTA ETIQUETAS'!O:W,7,0)),(VLOOKUP(A877,'[1]LISTA ETIQUETAS'!O:W,5,0)))</f>
        <v>0.63</v>
      </c>
      <c r="G877" s="11">
        <f>IFERROR((VLOOKUP(A877,'[1]LISTA ETIQUETAS'!O:X,8,0)),"")</f>
        <v>0.83</v>
      </c>
      <c r="H877" s="11">
        <f>IFERROR((VLOOKUP(A877,'[1]LISTA ETIQUETAS'!O:X,9,0)),"")</f>
        <v>0</v>
      </c>
      <c r="I877" s="12">
        <f>IFERROR((VLOOKUP(A877,'[1]LISTA ETIQUETAS'!O:Y,11,0)),"")</f>
        <v>10240.91</v>
      </c>
      <c r="J877" s="6">
        <v>0</v>
      </c>
      <c r="K877" s="12">
        <f t="shared" si="39"/>
        <v>10240.91</v>
      </c>
      <c r="L877" s="7" t="str">
        <f>IF(VLOOKUP(A877,'[1]LISTA ETIQUETAS'!O:AB,14,0)="","",(VLOOKUP(A877,'[1]LISTA ETIQUETAS'!O:AB,14,0)))</f>
        <v/>
      </c>
      <c r="M877" s="8"/>
      <c r="N877" s="9">
        <f t="shared" si="40"/>
        <v>275032</v>
      </c>
      <c r="O877" s="2">
        <f>_xlfn.XLOOKUP($A877,'[1]LISTA ETIQUETAS'!$O:$O,'[1]LISTA ETIQUETAS'!C:C,"",0)</f>
        <v>0</v>
      </c>
      <c r="P877" s="2">
        <f>_xlfn.XLOOKUP($A877,'[1]LISTA ETIQUETAS'!$O:$O,'[1]LISTA ETIQUETAS'!D:D,"",0)</f>
        <v>2</v>
      </c>
      <c r="Q877" s="2">
        <f>_xlfn.XLOOKUP($A877,'[1]LISTA ETIQUETAS'!$O:$O,'[1]LISTA ETIQUETAS'!E:E,"",0)</f>
        <v>1</v>
      </c>
      <c r="R877" s="2">
        <f>_xlfn.XLOOKUP($A877,'[1]LISTA ETIQUETAS'!$O:$O,'[1]LISTA ETIQUETAS'!F:F,"",0)</f>
        <v>0</v>
      </c>
      <c r="S877" s="2">
        <f>_xlfn.XLOOKUP($A877,'[1]LISTA ETIQUETAS'!$O:$O,'[1]LISTA ETIQUETAS'!H:H,"",0)</f>
        <v>1</v>
      </c>
      <c r="T877" s="9">
        <f t="shared" si="41"/>
        <v>4</v>
      </c>
    </row>
    <row r="878" spans="1:20" x14ac:dyDescent="0.25">
      <c r="A878" s="5">
        <v>377429</v>
      </c>
      <c r="B878" t="str">
        <f>IFERROR((VLOOKUP(A878,'[1]LISTA ETIQUETAS'!O:X,3,0)),"PRODUTO SEM ESTOQUE")</f>
        <v>EST POLTRONA ALBA (PE VERNIZ) FX B</v>
      </c>
      <c r="C878" s="10" t="s">
        <v>91</v>
      </c>
      <c r="D878" s="10" t="s">
        <v>564</v>
      </c>
      <c r="E878" s="11">
        <f>IF(VLOOKUP(A878,'[1]LISTA ETIQUETAS'!O:W,4,0)="",(VLOOKUP(A878,'[1]LISTA ETIQUETAS'!O:W,6,0)),(VLOOKUP(A878,'[1]LISTA ETIQUETAS'!O:W,4,0)))</f>
        <v>0.63</v>
      </c>
      <c r="F878" s="11">
        <f>IF(VLOOKUP(A878,'[1]LISTA ETIQUETAS'!O:W,5,0)="",(VLOOKUP(A878,'[1]LISTA ETIQUETAS'!O:W,7,0)),(VLOOKUP(A878,'[1]LISTA ETIQUETAS'!O:W,5,0)))</f>
        <v>0.79</v>
      </c>
      <c r="G878" s="11">
        <f>IFERROR((VLOOKUP(A878,'[1]LISTA ETIQUETAS'!O:X,8,0)),"")</f>
        <v>0.76</v>
      </c>
      <c r="H878" s="11">
        <f>IFERROR((VLOOKUP(A878,'[1]LISTA ETIQUETAS'!O:X,9,0)),"")</f>
        <v>0</v>
      </c>
      <c r="I878" s="12">
        <f>IFERROR((VLOOKUP(A878,'[1]LISTA ETIQUETAS'!O:Y,11,0)),"")</f>
        <v>8072.02</v>
      </c>
      <c r="J878" s="6">
        <v>0</v>
      </c>
      <c r="K878" s="12">
        <f t="shared" si="39"/>
        <v>8072.02</v>
      </c>
      <c r="L878" s="7" t="str">
        <f>IF(VLOOKUP(A878,'[1]LISTA ETIQUETAS'!O:AB,14,0)="","",(VLOOKUP(A878,'[1]LISTA ETIQUETAS'!O:AB,14,0)))</f>
        <v/>
      </c>
      <c r="M878" s="8"/>
      <c r="N878" s="9">
        <f t="shared" si="40"/>
        <v>377429</v>
      </c>
      <c r="O878" s="2">
        <f>_xlfn.XLOOKUP($A878,'[1]LISTA ETIQUETAS'!$O:$O,'[1]LISTA ETIQUETAS'!C:C,"",0)</f>
        <v>0</v>
      </c>
      <c r="P878" s="2">
        <f>_xlfn.XLOOKUP($A878,'[1]LISTA ETIQUETAS'!$O:$O,'[1]LISTA ETIQUETAS'!D:D,"",0)</f>
        <v>0</v>
      </c>
      <c r="Q878" s="2">
        <f>_xlfn.XLOOKUP($A878,'[1]LISTA ETIQUETAS'!$O:$O,'[1]LISTA ETIQUETAS'!E:E,"",0)</f>
        <v>0</v>
      </c>
      <c r="R878" s="2">
        <f>_xlfn.XLOOKUP($A878,'[1]LISTA ETIQUETAS'!$O:$O,'[1]LISTA ETIQUETAS'!F:F,"",0)</f>
        <v>0</v>
      </c>
      <c r="S878" s="2">
        <f>_xlfn.XLOOKUP($A878,'[1]LISTA ETIQUETAS'!$O:$O,'[1]LISTA ETIQUETAS'!H:H,"",0)</f>
        <v>1</v>
      </c>
      <c r="T878" s="9">
        <f t="shared" si="41"/>
        <v>1</v>
      </c>
    </row>
    <row r="879" spans="1:20" x14ac:dyDescent="0.25">
      <c r="A879" s="5">
        <v>364785</v>
      </c>
      <c r="B879" t="str">
        <f>IFERROR((VLOOKUP(A879,'[1]LISTA ETIQUETAS'!O:X,3,0)),"PRODUTO SEM ESTOQUE")</f>
        <v>EST POLTRONA ORION (INTERNA) (TC ALT COR 907) MARROM/DOURADA</v>
      </c>
      <c r="C879" s="10" t="s">
        <v>91</v>
      </c>
      <c r="D879" s="10" t="s">
        <v>565</v>
      </c>
      <c r="E879" s="11">
        <f>IF(VLOOKUP(A879,'[1]LISTA ETIQUETAS'!O:W,4,0)="",(VLOOKUP(A879,'[1]LISTA ETIQUETAS'!O:W,6,0)),(VLOOKUP(A879,'[1]LISTA ETIQUETAS'!O:W,4,0)))</f>
        <v>1</v>
      </c>
      <c r="F879" s="11">
        <f>IF(VLOOKUP(A879,'[1]LISTA ETIQUETAS'!O:W,5,0)="",(VLOOKUP(A879,'[1]LISTA ETIQUETAS'!O:W,7,0)),(VLOOKUP(A879,'[1]LISTA ETIQUETAS'!O:W,5,0)))</f>
        <v>0</v>
      </c>
      <c r="G879" s="11">
        <f>IFERROR((VLOOKUP(A879,'[1]LISTA ETIQUETAS'!O:X,8,0)),"")</f>
        <v>0.45</v>
      </c>
      <c r="H879" s="11">
        <f>IFERROR((VLOOKUP(A879,'[1]LISTA ETIQUETAS'!O:X,9,0)),"")</f>
        <v>1</v>
      </c>
      <c r="I879" s="12">
        <f>IFERROR((VLOOKUP(A879,'[1]LISTA ETIQUETAS'!O:Y,11,0)),"")</f>
        <v>25924.73</v>
      </c>
      <c r="J879" s="6">
        <v>0</v>
      </c>
      <c r="K879" s="12">
        <f t="shared" si="39"/>
        <v>25924.73</v>
      </c>
      <c r="L879" s="7" t="str">
        <f>IF(VLOOKUP(A879,'[1]LISTA ETIQUETAS'!O:AB,14,0)="","",(VLOOKUP(A879,'[1]LISTA ETIQUETAS'!O:AB,14,0)))</f>
        <v/>
      </c>
      <c r="M879" s="8"/>
      <c r="N879" s="9">
        <f t="shared" si="40"/>
        <v>364785</v>
      </c>
      <c r="O879" s="2">
        <f>_xlfn.XLOOKUP($A879,'[1]LISTA ETIQUETAS'!$O:$O,'[1]LISTA ETIQUETAS'!C:C,"",0)</f>
        <v>0</v>
      </c>
      <c r="P879" s="2">
        <f>_xlfn.XLOOKUP($A879,'[1]LISTA ETIQUETAS'!$O:$O,'[1]LISTA ETIQUETAS'!D:D,"",0)</f>
        <v>0</v>
      </c>
      <c r="Q879" s="2">
        <f>_xlfn.XLOOKUP($A879,'[1]LISTA ETIQUETAS'!$O:$O,'[1]LISTA ETIQUETAS'!E:E,"",0)</f>
        <v>0</v>
      </c>
      <c r="R879" s="2">
        <f>_xlfn.XLOOKUP($A879,'[1]LISTA ETIQUETAS'!$O:$O,'[1]LISTA ETIQUETAS'!F:F,"",0)</f>
        <v>0</v>
      </c>
      <c r="S879" s="2">
        <f>_xlfn.XLOOKUP($A879,'[1]LISTA ETIQUETAS'!$O:$O,'[1]LISTA ETIQUETAS'!H:H,"",0)</f>
        <v>1</v>
      </c>
      <c r="T879" s="9">
        <f t="shared" si="41"/>
        <v>1</v>
      </c>
    </row>
    <row r="880" spans="1:20" x14ac:dyDescent="0.25">
      <c r="A880" s="5">
        <v>344045</v>
      </c>
      <c r="B880" t="str">
        <f>IFERROR((VLOOKUP(A880,'[1]LISTA ETIQUETAS'!O:X,3,0)),"PRODUTO SEM ESTOQUE")</f>
        <v>EST POLTRONA ONDAS (MTZ MARROM) COURO FIRENZE 500</v>
      </c>
      <c r="C880" s="10" t="s">
        <v>91</v>
      </c>
      <c r="D880" s="10" t="s">
        <v>566</v>
      </c>
      <c r="E880" s="11">
        <f>IF(VLOOKUP(A880,'[1]LISTA ETIQUETAS'!O:W,4,0)="",(VLOOKUP(A880,'[1]LISTA ETIQUETAS'!O:W,6,0)),(VLOOKUP(A880,'[1]LISTA ETIQUETAS'!O:W,4,0)))</f>
        <v>0.83</v>
      </c>
      <c r="F880" s="11">
        <f>IF(VLOOKUP(A880,'[1]LISTA ETIQUETAS'!O:W,5,0)="",(VLOOKUP(A880,'[1]LISTA ETIQUETAS'!O:W,7,0)),(VLOOKUP(A880,'[1]LISTA ETIQUETAS'!O:W,5,0)))</f>
        <v>0.67</v>
      </c>
      <c r="G880" s="11">
        <f>IFERROR((VLOOKUP(A880,'[1]LISTA ETIQUETAS'!O:X,8,0)),"")</f>
        <v>0.83</v>
      </c>
      <c r="H880" s="11">
        <f>IFERROR((VLOOKUP(A880,'[1]LISTA ETIQUETAS'!O:X,9,0)),"")</f>
        <v>0</v>
      </c>
      <c r="I880" s="12">
        <f>IFERROR((VLOOKUP(A880,'[1]LISTA ETIQUETAS'!O:Y,11,0)),"")</f>
        <v>27013.24</v>
      </c>
      <c r="J880" s="6">
        <v>0</v>
      </c>
      <c r="K880" s="12">
        <f t="shared" si="39"/>
        <v>27013.24</v>
      </c>
      <c r="L880" s="7" t="str">
        <f>IF(VLOOKUP(A880,'[1]LISTA ETIQUETAS'!O:AB,14,0)="","",(VLOOKUP(A880,'[1]LISTA ETIQUETAS'!O:AB,14,0)))</f>
        <v/>
      </c>
      <c r="M880" s="8"/>
      <c r="N880" s="9">
        <f t="shared" si="40"/>
        <v>344045</v>
      </c>
      <c r="O880" s="2">
        <f>_xlfn.XLOOKUP($A880,'[1]LISTA ETIQUETAS'!$O:$O,'[1]LISTA ETIQUETAS'!C:C,"",0)</f>
        <v>0</v>
      </c>
      <c r="P880" s="2">
        <f>_xlfn.XLOOKUP($A880,'[1]LISTA ETIQUETAS'!$O:$O,'[1]LISTA ETIQUETAS'!D:D,"",0)</f>
        <v>0</v>
      </c>
      <c r="Q880" s="2">
        <f>_xlfn.XLOOKUP($A880,'[1]LISTA ETIQUETAS'!$O:$O,'[1]LISTA ETIQUETAS'!E:E,"",0)</f>
        <v>0</v>
      </c>
      <c r="R880" s="2">
        <f>_xlfn.XLOOKUP($A880,'[1]LISTA ETIQUETAS'!$O:$O,'[1]LISTA ETIQUETAS'!F:F,"",0)</f>
        <v>0</v>
      </c>
      <c r="S880" s="2">
        <f>_xlfn.XLOOKUP($A880,'[1]LISTA ETIQUETAS'!$O:$O,'[1]LISTA ETIQUETAS'!H:H,"",0)</f>
        <v>1</v>
      </c>
      <c r="T880" s="9">
        <f t="shared" si="41"/>
        <v>1</v>
      </c>
    </row>
    <row r="881" spans="1:20" x14ac:dyDescent="0.25">
      <c r="A881" s="5">
        <v>344044</v>
      </c>
      <c r="B881" t="str">
        <f>IFERROR((VLOOKUP(A881,'[1]LISTA ETIQUETAS'!O:X,3,0)),"PRODUTO SEM ESTOQUE")</f>
        <v>EST POLTRONA ONDAS (BASE ELETROS PRETO FSC) COURO PIG 259</v>
      </c>
      <c r="C881" s="10" t="s">
        <v>91</v>
      </c>
      <c r="D881" s="10" t="s">
        <v>566</v>
      </c>
      <c r="E881" s="11">
        <f>IF(VLOOKUP(A881,'[1]LISTA ETIQUETAS'!O:W,4,0)="",(VLOOKUP(A881,'[1]LISTA ETIQUETAS'!O:W,6,0)),(VLOOKUP(A881,'[1]LISTA ETIQUETAS'!O:W,4,0)))</f>
        <v>0.83</v>
      </c>
      <c r="F881" s="11">
        <f>IF(VLOOKUP(A881,'[1]LISTA ETIQUETAS'!O:W,5,0)="",(VLOOKUP(A881,'[1]LISTA ETIQUETAS'!O:W,7,0)),(VLOOKUP(A881,'[1]LISTA ETIQUETAS'!O:W,5,0)))</f>
        <v>0.67</v>
      </c>
      <c r="G881" s="11">
        <f>IFERROR((VLOOKUP(A881,'[1]LISTA ETIQUETAS'!O:X,8,0)),"")</f>
        <v>0.83</v>
      </c>
      <c r="H881" s="11">
        <f>IFERROR((VLOOKUP(A881,'[1]LISTA ETIQUETAS'!O:X,9,0)),"")</f>
        <v>0</v>
      </c>
      <c r="I881" s="12">
        <f>IFERROR((VLOOKUP(A881,'[1]LISTA ETIQUETAS'!O:Y,11,0)),"")</f>
        <v>23747.32</v>
      </c>
      <c r="J881" s="6">
        <v>0</v>
      </c>
      <c r="K881" s="12">
        <f t="shared" si="39"/>
        <v>23747.32</v>
      </c>
      <c r="L881" s="7" t="str">
        <f>IF(VLOOKUP(A881,'[1]LISTA ETIQUETAS'!O:AB,14,0)="","",(VLOOKUP(A881,'[1]LISTA ETIQUETAS'!O:AB,14,0)))</f>
        <v/>
      </c>
      <c r="M881" s="8"/>
      <c r="N881" s="9">
        <f t="shared" si="40"/>
        <v>344044</v>
      </c>
      <c r="O881" s="2">
        <f>_xlfn.XLOOKUP($A881,'[1]LISTA ETIQUETAS'!$O:$O,'[1]LISTA ETIQUETAS'!C:C,"",0)</f>
        <v>0</v>
      </c>
      <c r="P881" s="2">
        <f>_xlfn.XLOOKUP($A881,'[1]LISTA ETIQUETAS'!$O:$O,'[1]LISTA ETIQUETAS'!D:D,"",0)</f>
        <v>0</v>
      </c>
      <c r="Q881" s="2">
        <f>_xlfn.XLOOKUP($A881,'[1]LISTA ETIQUETAS'!$O:$O,'[1]LISTA ETIQUETAS'!E:E,"",0)</f>
        <v>0</v>
      </c>
      <c r="R881" s="2">
        <f>_xlfn.XLOOKUP($A881,'[1]LISTA ETIQUETAS'!$O:$O,'[1]LISTA ETIQUETAS'!F:F,"",0)</f>
        <v>0</v>
      </c>
      <c r="S881" s="2">
        <f>_xlfn.XLOOKUP($A881,'[1]LISTA ETIQUETAS'!$O:$O,'[1]LISTA ETIQUETAS'!H:H,"",0)</f>
        <v>1</v>
      </c>
      <c r="T881" s="9">
        <f t="shared" si="41"/>
        <v>1</v>
      </c>
    </row>
    <row r="882" spans="1:20" x14ac:dyDescent="0.25">
      <c r="A882" s="5">
        <v>344043</v>
      </c>
      <c r="B882" t="str">
        <f>IFERROR((VLOOKUP(A882,'[1]LISTA ETIQUETAS'!O:X,3,0)),"PRODUTO SEM ESTOQUE")</f>
        <v>EST POLTRONA ONDAS (BASE ELETROS PRETO FSC) COURO PIG 101</v>
      </c>
      <c r="C882" s="10" t="s">
        <v>91</v>
      </c>
      <c r="D882" s="10" t="s">
        <v>566</v>
      </c>
      <c r="E882" s="11">
        <f>IF(VLOOKUP(A882,'[1]LISTA ETIQUETAS'!O:W,4,0)="",(VLOOKUP(A882,'[1]LISTA ETIQUETAS'!O:W,6,0)),(VLOOKUP(A882,'[1]LISTA ETIQUETAS'!O:W,4,0)))</f>
        <v>0.83</v>
      </c>
      <c r="F882" s="11">
        <f>IF(VLOOKUP(A882,'[1]LISTA ETIQUETAS'!O:W,5,0)="",(VLOOKUP(A882,'[1]LISTA ETIQUETAS'!O:W,7,0)),(VLOOKUP(A882,'[1]LISTA ETIQUETAS'!O:W,5,0)))</f>
        <v>0.67</v>
      </c>
      <c r="G882" s="11">
        <f>IFERROR((VLOOKUP(A882,'[1]LISTA ETIQUETAS'!O:X,8,0)),"")</f>
        <v>0.83</v>
      </c>
      <c r="H882" s="11">
        <f>IFERROR((VLOOKUP(A882,'[1]LISTA ETIQUETAS'!O:X,9,0)),"")</f>
        <v>0</v>
      </c>
      <c r="I882" s="12">
        <f>IFERROR((VLOOKUP(A882,'[1]LISTA ETIQUETAS'!O:Y,11,0)),"")</f>
        <v>23962.36</v>
      </c>
      <c r="J882" s="6">
        <v>0</v>
      </c>
      <c r="K882" s="12">
        <f t="shared" si="39"/>
        <v>23962.36</v>
      </c>
      <c r="L882" s="7" t="str">
        <f>IF(VLOOKUP(A882,'[1]LISTA ETIQUETAS'!O:AB,14,0)="","",(VLOOKUP(A882,'[1]LISTA ETIQUETAS'!O:AB,14,0)))</f>
        <v/>
      </c>
      <c r="M882" s="8"/>
      <c r="N882" s="9">
        <f t="shared" si="40"/>
        <v>344043</v>
      </c>
      <c r="O882" s="2">
        <f>_xlfn.XLOOKUP($A882,'[1]LISTA ETIQUETAS'!$O:$O,'[1]LISTA ETIQUETAS'!C:C,"",0)</f>
        <v>0</v>
      </c>
      <c r="P882" s="2">
        <f>_xlfn.XLOOKUP($A882,'[1]LISTA ETIQUETAS'!$O:$O,'[1]LISTA ETIQUETAS'!D:D,"",0)</f>
        <v>0</v>
      </c>
      <c r="Q882" s="2">
        <f>_xlfn.XLOOKUP($A882,'[1]LISTA ETIQUETAS'!$O:$O,'[1]LISTA ETIQUETAS'!E:E,"",0)</f>
        <v>0</v>
      </c>
      <c r="R882" s="2">
        <f>_xlfn.XLOOKUP($A882,'[1]LISTA ETIQUETAS'!$O:$O,'[1]LISTA ETIQUETAS'!F:F,"",0)</f>
        <v>0</v>
      </c>
      <c r="S882" s="2">
        <f>_xlfn.XLOOKUP($A882,'[1]LISTA ETIQUETAS'!$O:$O,'[1]LISTA ETIQUETAS'!H:H,"",0)</f>
        <v>1</v>
      </c>
      <c r="T882" s="9">
        <f t="shared" si="41"/>
        <v>1</v>
      </c>
    </row>
    <row r="883" spans="1:20" x14ac:dyDescent="0.25">
      <c r="A883" s="5">
        <v>334436</v>
      </c>
      <c r="B883" t="str">
        <f>IFERROR((VLOOKUP(A883,'[1]LISTA ETIQUETAS'!O:X,3,0)),"PRODUTO SEM ESTOQUE")</f>
        <v>EST POLTRONA ALBA VERNIZ TABACO) FX G7092</v>
      </c>
      <c r="C883" s="10" t="s">
        <v>91</v>
      </c>
      <c r="D883" s="10" t="s">
        <v>564</v>
      </c>
      <c r="E883" s="11">
        <f>IF(VLOOKUP(A883,'[1]LISTA ETIQUETAS'!O:W,4,0)="",(VLOOKUP(A883,'[1]LISTA ETIQUETAS'!O:W,6,0)),(VLOOKUP(A883,'[1]LISTA ETIQUETAS'!O:W,4,0)))</f>
        <v>0.63</v>
      </c>
      <c r="F883" s="11">
        <f>IF(VLOOKUP(A883,'[1]LISTA ETIQUETAS'!O:W,5,0)="",(VLOOKUP(A883,'[1]LISTA ETIQUETAS'!O:W,7,0)),(VLOOKUP(A883,'[1]LISTA ETIQUETAS'!O:W,5,0)))</f>
        <v>0.79</v>
      </c>
      <c r="G883" s="11">
        <f>IFERROR((VLOOKUP(A883,'[1]LISTA ETIQUETAS'!O:X,8,0)),"")</f>
        <v>0.76</v>
      </c>
      <c r="H883" s="11">
        <f>IFERROR((VLOOKUP(A883,'[1]LISTA ETIQUETAS'!O:X,9,0)),"")</f>
        <v>0</v>
      </c>
      <c r="I883" s="12">
        <f>IFERROR((VLOOKUP(A883,'[1]LISTA ETIQUETAS'!O:Y,11,0)),"")</f>
        <v>9392.23</v>
      </c>
      <c r="J883" s="6">
        <v>0</v>
      </c>
      <c r="K883" s="12">
        <f t="shared" si="39"/>
        <v>9392.23</v>
      </c>
      <c r="L883" s="7" t="str">
        <f>IF(VLOOKUP(A883,'[1]LISTA ETIQUETAS'!O:AB,14,0)="","",(VLOOKUP(A883,'[1]LISTA ETIQUETAS'!O:AB,14,0)))</f>
        <v/>
      </c>
      <c r="M883" s="8"/>
      <c r="N883" s="9">
        <f t="shared" si="40"/>
        <v>334436</v>
      </c>
      <c r="O883" s="2">
        <f>_xlfn.XLOOKUP($A883,'[1]LISTA ETIQUETAS'!$O:$O,'[1]LISTA ETIQUETAS'!C:C,"",0)</f>
        <v>0</v>
      </c>
      <c r="P883" s="2">
        <f>_xlfn.XLOOKUP($A883,'[1]LISTA ETIQUETAS'!$O:$O,'[1]LISTA ETIQUETAS'!D:D,"",0)</f>
        <v>0</v>
      </c>
      <c r="Q883" s="2">
        <f>_xlfn.XLOOKUP($A883,'[1]LISTA ETIQUETAS'!$O:$O,'[1]LISTA ETIQUETAS'!E:E,"",0)</f>
        <v>0</v>
      </c>
      <c r="R883" s="2">
        <f>_xlfn.XLOOKUP($A883,'[1]LISTA ETIQUETAS'!$O:$O,'[1]LISTA ETIQUETAS'!F:F,"",0)</f>
        <v>0</v>
      </c>
      <c r="S883" s="2">
        <f>_xlfn.XLOOKUP($A883,'[1]LISTA ETIQUETAS'!$O:$O,'[1]LISTA ETIQUETAS'!H:H,"",0)</f>
        <v>2</v>
      </c>
      <c r="T883" s="9">
        <f t="shared" si="41"/>
        <v>2</v>
      </c>
    </row>
    <row r="884" spans="1:20" x14ac:dyDescent="0.25">
      <c r="A884" s="5">
        <v>334354</v>
      </c>
      <c r="B884" t="str">
        <f>IFERROR((VLOOKUP(A884,'[1]LISTA ETIQUETAS'!O:X,3,0)),"PRODUTO SEM ESTOQUE")</f>
        <v>EST POLTRONA 164 (ASS/ENC TELA RETA) (FREIJO ESCURO)</v>
      </c>
      <c r="C884" s="10" t="s">
        <v>91</v>
      </c>
      <c r="D884" s="10" t="s">
        <v>567</v>
      </c>
      <c r="E884" s="11">
        <f>IF(VLOOKUP(A884,'[1]LISTA ETIQUETAS'!O:W,4,0)="",(VLOOKUP(A884,'[1]LISTA ETIQUETAS'!O:W,6,0)),(VLOOKUP(A884,'[1]LISTA ETIQUETAS'!O:W,4,0)))</f>
        <v>0.74</v>
      </c>
      <c r="F884" s="11">
        <f>IF(VLOOKUP(A884,'[1]LISTA ETIQUETAS'!O:W,5,0)="",(VLOOKUP(A884,'[1]LISTA ETIQUETAS'!O:W,7,0)),(VLOOKUP(A884,'[1]LISTA ETIQUETAS'!O:W,5,0)))</f>
        <v>0.72</v>
      </c>
      <c r="G884" s="11">
        <f>IFERROR((VLOOKUP(A884,'[1]LISTA ETIQUETAS'!O:X,8,0)),"")</f>
        <v>0.73</v>
      </c>
      <c r="H884" s="11">
        <f>IFERROR((VLOOKUP(A884,'[1]LISTA ETIQUETAS'!O:X,9,0)),"")</f>
        <v>0</v>
      </c>
      <c r="I884" s="12">
        <f>IFERROR((VLOOKUP(A884,'[1]LISTA ETIQUETAS'!O:Y,11,0)),"")</f>
        <v>14511.88</v>
      </c>
      <c r="J884" s="6">
        <v>0</v>
      </c>
      <c r="K884" s="12">
        <f t="shared" si="39"/>
        <v>14511.88</v>
      </c>
      <c r="L884" s="7" t="str">
        <f>IF(VLOOKUP(A884,'[1]LISTA ETIQUETAS'!O:AB,14,0)="","",(VLOOKUP(A884,'[1]LISTA ETIQUETAS'!O:AB,14,0)))</f>
        <v/>
      </c>
      <c r="M884" s="8"/>
      <c r="N884" s="9">
        <f t="shared" si="40"/>
        <v>334354</v>
      </c>
      <c r="O884" s="2">
        <f>_xlfn.XLOOKUP($A884,'[1]LISTA ETIQUETAS'!$O:$O,'[1]LISTA ETIQUETAS'!C:C,"",0)</f>
        <v>1</v>
      </c>
      <c r="P884" s="2">
        <f>_xlfn.XLOOKUP($A884,'[1]LISTA ETIQUETAS'!$O:$O,'[1]LISTA ETIQUETAS'!D:D,"",0)</f>
        <v>0</v>
      </c>
      <c r="Q884" s="2">
        <f>_xlfn.XLOOKUP($A884,'[1]LISTA ETIQUETAS'!$O:$O,'[1]LISTA ETIQUETAS'!E:E,"",0)</f>
        <v>0</v>
      </c>
      <c r="R884" s="2">
        <f>_xlfn.XLOOKUP($A884,'[1]LISTA ETIQUETAS'!$O:$O,'[1]LISTA ETIQUETAS'!F:F,"",0)</f>
        <v>0</v>
      </c>
      <c r="S884" s="2">
        <f>_xlfn.XLOOKUP($A884,'[1]LISTA ETIQUETAS'!$O:$O,'[1]LISTA ETIQUETAS'!H:H,"",0)</f>
        <v>1</v>
      </c>
      <c r="T884" s="9">
        <f t="shared" si="41"/>
        <v>2</v>
      </c>
    </row>
    <row r="885" spans="1:20" x14ac:dyDescent="0.25">
      <c r="A885" s="5">
        <v>334447</v>
      </c>
      <c r="B885" t="str">
        <f>IFERROR((VLOOKUP(A885,'[1]LISTA ETIQUETAS'!O:X,3,0)),"PRODUTO SEM ESTOQUE")</f>
        <v>EST POLTRONA MARE COURO TP3 LA PAZ VERDE/MARROM</v>
      </c>
      <c r="C885" s="10" t="s">
        <v>91</v>
      </c>
      <c r="D885" s="10" t="s">
        <v>562</v>
      </c>
      <c r="E885" s="11">
        <f>IF(VLOOKUP(A885,'[1]LISTA ETIQUETAS'!O:W,4,0)="",(VLOOKUP(A885,'[1]LISTA ETIQUETAS'!O:W,6,0)),(VLOOKUP(A885,'[1]LISTA ETIQUETAS'!O:W,4,0)))</f>
        <v>0.93</v>
      </c>
      <c r="F885" s="11">
        <f>IF(VLOOKUP(A885,'[1]LISTA ETIQUETAS'!O:W,5,0)="",(VLOOKUP(A885,'[1]LISTA ETIQUETAS'!O:W,7,0)),(VLOOKUP(A885,'[1]LISTA ETIQUETAS'!O:W,5,0)))</f>
        <v>1.06</v>
      </c>
      <c r="G885" s="11">
        <f>IFERROR((VLOOKUP(A885,'[1]LISTA ETIQUETAS'!O:X,8,0)),"")</f>
        <v>0.83</v>
      </c>
      <c r="H885" s="11">
        <f>IFERROR((VLOOKUP(A885,'[1]LISTA ETIQUETAS'!O:X,9,0)),"")</f>
        <v>0</v>
      </c>
      <c r="I885" s="12">
        <f>IFERROR((VLOOKUP(A885,'[1]LISTA ETIQUETAS'!O:Y,11,0)),"")</f>
        <v>22958.66</v>
      </c>
      <c r="J885" s="6">
        <v>0</v>
      </c>
      <c r="K885" s="12">
        <f t="shared" si="39"/>
        <v>22958.66</v>
      </c>
      <c r="L885" s="7" t="str">
        <f>IF(VLOOKUP(A885,'[1]LISTA ETIQUETAS'!O:AB,14,0)="","",(VLOOKUP(A885,'[1]LISTA ETIQUETAS'!O:AB,14,0)))</f>
        <v/>
      </c>
      <c r="M885" s="8"/>
      <c r="N885" s="9">
        <f t="shared" si="40"/>
        <v>334447</v>
      </c>
      <c r="O885" s="2">
        <f>_xlfn.XLOOKUP($A885,'[1]LISTA ETIQUETAS'!$O:$O,'[1]LISTA ETIQUETAS'!C:C,"",0)</f>
        <v>0</v>
      </c>
      <c r="P885" s="2">
        <f>_xlfn.XLOOKUP($A885,'[1]LISTA ETIQUETAS'!$O:$O,'[1]LISTA ETIQUETAS'!D:D,"",0)</f>
        <v>0</v>
      </c>
      <c r="Q885" s="2">
        <f>_xlfn.XLOOKUP($A885,'[1]LISTA ETIQUETAS'!$O:$O,'[1]LISTA ETIQUETAS'!E:E,"",0)</f>
        <v>0</v>
      </c>
      <c r="R885" s="2">
        <f>_xlfn.XLOOKUP($A885,'[1]LISTA ETIQUETAS'!$O:$O,'[1]LISTA ETIQUETAS'!F:F,"",0)</f>
        <v>0</v>
      </c>
      <c r="S885" s="2">
        <f>_xlfn.XLOOKUP($A885,'[1]LISTA ETIQUETAS'!$O:$O,'[1]LISTA ETIQUETAS'!H:H,"",0)</f>
        <v>1</v>
      </c>
      <c r="T885" s="9">
        <f t="shared" si="41"/>
        <v>1</v>
      </c>
    </row>
    <row r="886" spans="1:20" x14ac:dyDescent="0.25">
      <c r="A886" s="5">
        <v>316487</v>
      </c>
      <c r="B886" t="str">
        <f>IFERROR((VLOOKUP(A886,'[1]LISTA ETIQUETAS'!O:X,3,0)),"PRODUTO SEM ESTOQUE")</f>
        <v>EST POLTRONA 164 (ASS/ENC TELA SEXTAVADA) (FREIJO NATURAL)</v>
      </c>
      <c r="C886" s="10" t="s">
        <v>91</v>
      </c>
      <c r="D886" s="10" t="s">
        <v>567</v>
      </c>
      <c r="E886" s="11">
        <f>IF(VLOOKUP(A886,'[1]LISTA ETIQUETAS'!O:W,4,0)="",(VLOOKUP(A886,'[1]LISTA ETIQUETAS'!O:W,6,0)),(VLOOKUP(A886,'[1]LISTA ETIQUETAS'!O:W,4,0)))</f>
        <v>0.74</v>
      </c>
      <c r="F886" s="11">
        <f>IF(VLOOKUP(A886,'[1]LISTA ETIQUETAS'!O:W,5,0)="",(VLOOKUP(A886,'[1]LISTA ETIQUETAS'!O:W,7,0)),(VLOOKUP(A886,'[1]LISTA ETIQUETAS'!O:W,5,0)))</f>
        <v>0.72</v>
      </c>
      <c r="G886" s="11">
        <f>IFERROR((VLOOKUP(A886,'[1]LISTA ETIQUETAS'!O:X,8,0)),"")</f>
        <v>0.73</v>
      </c>
      <c r="H886" s="11">
        <f>IFERROR((VLOOKUP(A886,'[1]LISTA ETIQUETAS'!O:X,9,0)),"")</f>
        <v>0</v>
      </c>
      <c r="I886" s="12">
        <f>IFERROR((VLOOKUP(A886,'[1]LISTA ETIQUETAS'!O:Y,11,0)),"")</f>
        <v>14511.88</v>
      </c>
      <c r="J886" s="6">
        <v>0</v>
      </c>
      <c r="K886" s="12">
        <f t="shared" si="39"/>
        <v>14511.88</v>
      </c>
      <c r="L886" s="7" t="str">
        <f>IF(VLOOKUP(A886,'[1]LISTA ETIQUETAS'!O:AB,14,0)="","",(VLOOKUP(A886,'[1]LISTA ETIQUETAS'!O:AB,14,0)))</f>
        <v/>
      </c>
      <c r="M886" s="8"/>
      <c r="N886" s="9">
        <f t="shared" si="40"/>
        <v>316487</v>
      </c>
      <c r="O886" s="2">
        <f>_xlfn.XLOOKUP($A886,'[1]LISTA ETIQUETAS'!$O:$O,'[1]LISTA ETIQUETAS'!C:C,"",0)</f>
        <v>0</v>
      </c>
      <c r="P886" s="2">
        <f>_xlfn.XLOOKUP($A886,'[1]LISTA ETIQUETAS'!$O:$O,'[1]LISTA ETIQUETAS'!D:D,"",0)</f>
        <v>0</v>
      </c>
      <c r="Q886" s="2">
        <f>_xlfn.XLOOKUP($A886,'[1]LISTA ETIQUETAS'!$O:$O,'[1]LISTA ETIQUETAS'!E:E,"",0)</f>
        <v>0</v>
      </c>
      <c r="R886" s="2">
        <f>_xlfn.XLOOKUP($A886,'[1]LISTA ETIQUETAS'!$O:$O,'[1]LISTA ETIQUETAS'!F:F,"",0)</f>
        <v>0</v>
      </c>
      <c r="S886" s="2">
        <f>_xlfn.XLOOKUP($A886,'[1]LISTA ETIQUETAS'!$O:$O,'[1]LISTA ETIQUETAS'!H:H,"",0)</f>
        <v>3</v>
      </c>
      <c r="T886" s="9">
        <f t="shared" si="41"/>
        <v>3</v>
      </c>
    </row>
    <row r="887" spans="1:20" x14ac:dyDescent="0.25">
      <c r="A887" s="5">
        <v>374359</v>
      </c>
      <c r="B887" t="str">
        <f>IFERROR((VLOOKUP(A887,'[1]LISTA ETIQUETAS'!O:X,3,0)),"PRODUTO SEM ESTOQUE")</f>
        <v>EST PUFF HIMALAYA (CON) (FX PET 02) NOG</v>
      </c>
      <c r="C887" s="10" t="s">
        <v>39</v>
      </c>
      <c r="D887" s="10" t="s">
        <v>568</v>
      </c>
      <c r="E887" s="11">
        <f>IF(VLOOKUP(A887,'[1]LISTA ETIQUETAS'!O:W,4,0)="",(VLOOKUP(A887,'[1]LISTA ETIQUETAS'!O:W,6,0)),(VLOOKUP(A887,'[1]LISTA ETIQUETAS'!O:W,4,0)))</f>
        <v>1.6</v>
      </c>
      <c r="F887" s="11">
        <f>IF(VLOOKUP(A887,'[1]LISTA ETIQUETAS'!O:W,5,0)="",(VLOOKUP(A887,'[1]LISTA ETIQUETAS'!O:W,7,0)),(VLOOKUP(A887,'[1]LISTA ETIQUETAS'!O:W,5,0)))</f>
        <v>0</v>
      </c>
      <c r="G887" s="11">
        <f>IFERROR((VLOOKUP(A887,'[1]LISTA ETIQUETAS'!O:X,8,0)),"")</f>
        <v>0.42</v>
      </c>
      <c r="H887" s="11">
        <f>IFERROR((VLOOKUP(A887,'[1]LISTA ETIQUETAS'!O:X,9,0)),"")</f>
        <v>0</v>
      </c>
      <c r="I887" s="12">
        <f>IFERROR((VLOOKUP(A887,'[1]LISTA ETIQUETAS'!O:Y,11,0)),"")</f>
        <v>27884.15</v>
      </c>
      <c r="J887" s="6">
        <v>0</v>
      </c>
      <c r="K887" s="12">
        <f t="shared" si="39"/>
        <v>27884.15</v>
      </c>
      <c r="L887" s="7" t="str">
        <f>IF(VLOOKUP(A887,'[1]LISTA ETIQUETAS'!O:AB,14,0)="","",(VLOOKUP(A887,'[1]LISTA ETIQUETAS'!O:AB,14,0)))</f>
        <v/>
      </c>
      <c r="M887" s="8"/>
      <c r="N887" s="9">
        <f t="shared" si="40"/>
        <v>374359</v>
      </c>
      <c r="O887" s="2">
        <f>_xlfn.XLOOKUP($A887,'[1]LISTA ETIQUETAS'!$O:$O,'[1]LISTA ETIQUETAS'!C:C,"",0)</f>
        <v>0</v>
      </c>
      <c r="P887" s="2">
        <f>_xlfn.XLOOKUP($A887,'[1]LISTA ETIQUETAS'!$O:$O,'[1]LISTA ETIQUETAS'!D:D,"",0)</f>
        <v>0</v>
      </c>
      <c r="Q887" s="2">
        <f>_xlfn.XLOOKUP($A887,'[1]LISTA ETIQUETAS'!$O:$O,'[1]LISTA ETIQUETAS'!E:E,"",0)</f>
        <v>0</v>
      </c>
      <c r="R887" s="2">
        <f>_xlfn.XLOOKUP($A887,'[1]LISTA ETIQUETAS'!$O:$O,'[1]LISTA ETIQUETAS'!F:F,"",0)</f>
        <v>0</v>
      </c>
      <c r="S887" s="2">
        <f>_xlfn.XLOOKUP($A887,'[1]LISTA ETIQUETAS'!$O:$O,'[1]LISTA ETIQUETAS'!H:H,"",0)</f>
        <v>1</v>
      </c>
      <c r="T887" s="9">
        <f t="shared" si="41"/>
        <v>1</v>
      </c>
    </row>
    <row r="888" spans="1:20" x14ac:dyDescent="0.25">
      <c r="A888" s="5">
        <v>299553</v>
      </c>
      <c r="B888" t="str">
        <f>IFERROR((VLOOKUP(A888,'[1]LISTA ETIQUETAS'!O:X,3,0)),"PRODUTO SEM ESTOQUE")</f>
        <v>EST PUFF OLY H38 FX B2062/HASTE METAL 2415</v>
      </c>
      <c r="C888" s="10" t="s">
        <v>39</v>
      </c>
      <c r="D888" s="10" t="s">
        <v>569</v>
      </c>
      <c r="E888" s="11">
        <f>IF(VLOOKUP(A888,'[1]LISTA ETIQUETAS'!O:W,4,0)="",(VLOOKUP(A888,'[1]LISTA ETIQUETAS'!O:W,6,0)),(VLOOKUP(A888,'[1]LISTA ETIQUETAS'!O:W,4,0)))</f>
        <v>0.5</v>
      </c>
      <c r="F888" s="11">
        <f>IF(VLOOKUP(A888,'[1]LISTA ETIQUETAS'!O:W,5,0)="",(VLOOKUP(A888,'[1]LISTA ETIQUETAS'!O:W,7,0)),(VLOOKUP(A888,'[1]LISTA ETIQUETAS'!O:W,5,0)))</f>
        <v>0</v>
      </c>
      <c r="G888" s="11">
        <f>IFERROR((VLOOKUP(A888,'[1]LISTA ETIQUETAS'!O:X,8,0)),"")</f>
        <v>0.38</v>
      </c>
      <c r="H888" s="11">
        <f>IFERROR((VLOOKUP(A888,'[1]LISTA ETIQUETAS'!O:X,9,0)),"")</f>
        <v>0.5</v>
      </c>
      <c r="I888" s="12">
        <f>IFERROR((VLOOKUP(A888,'[1]LISTA ETIQUETAS'!O:Y,11,0)),"")</f>
        <v>6575.7</v>
      </c>
      <c r="J888" s="6">
        <v>0</v>
      </c>
      <c r="K888" s="12">
        <f t="shared" si="39"/>
        <v>6575.7</v>
      </c>
      <c r="L888" s="7" t="str">
        <f>IF(VLOOKUP(A888,'[1]LISTA ETIQUETAS'!O:AB,14,0)="","",(VLOOKUP(A888,'[1]LISTA ETIQUETAS'!O:AB,14,0)))</f>
        <v/>
      </c>
      <c r="M888" s="8"/>
      <c r="N888" s="9">
        <f t="shared" si="40"/>
        <v>299553</v>
      </c>
      <c r="O888" s="2">
        <f>_xlfn.XLOOKUP($A888,'[1]LISTA ETIQUETAS'!$O:$O,'[1]LISTA ETIQUETAS'!C:C,"",0)</f>
        <v>0</v>
      </c>
      <c r="P888" s="2">
        <f>_xlfn.XLOOKUP($A888,'[1]LISTA ETIQUETAS'!$O:$O,'[1]LISTA ETIQUETAS'!D:D,"",0)</f>
        <v>0</v>
      </c>
      <c r="Q888" s="2">
        <f>_xlfn.XLOOKUP($A888,'[1]LISTA ETIQUETAS'!$O:$O,'[1]LISTA ETIQUETAS'!E:E,"",0)</f>
        <v>0</v>
      </c>
      <c r="R888" s="2">
        <f>_xlfn.XLOOKUP($A888,'[1]LISTA ETIQUETAS'!$O:$O,'[1]LISTA ETIQUETAS'!F:F,"",0)</f>
        <v>0</v>
      </c>
      <c r="S888" s="2">
        <f>_xlfn.XLOOKUP($A888,'[1]LISTA ETIQUETAS'!$O:$O,'[1]LISTA ETIQUETAS'!H:H,"",0)</f>
        <v>1</v>
      </c>
      <c r="T888" s="9">
        <f t="shared" si="41"/>
        <v>1</v>
      </c>
    </row>
    <row r="889" spans="1:20" x14ac:dyDescent="0.25">
      <c r="A889" s="5">
        <v>299525</v>
      </c>
      <c r="B889" t="str">
        <f>IFERROR((VLOOKUP(A889,'[1]LISTA ETIQUETAS'!O:X,3,0)),"PRODUTO SEM ESTOQUE")</f>
        <v>EST PUFF OLY H45 FX E7120/HASTE METAL 2415</v>
      </c>
      <c r="C889" s="10" t="s">
        <v>39</v>
      </c>
      <c r="D889" s="10" t="s">
        <v>569</v>
      </c>
      <c r="E889" s="11">
        <f>IF(VLOOKUP(A889,'[1]LISTA ETIQUETAS'!O:W,4,0)="",(VLOOKUP(A889,'[1]LISTA ETIQUETAS'!O:W,6,0)),(VLOOKUP(A889,'[1]LISTA ETIQUETAS'!O:W,4,0)))</f>
        <v>0.6</v>
      </c>
      <c r="F889" s="11">
        <f>IF(VLOOKUP(A889,'[1]LISTA ETIQUETAS'!O:W,5,0)="",(VLOOKUP(A889,'[1]LISTA ETIQUETAS'!O:W,7,0)),(VLOOKUP(A889,'[1]LISTA ETIQUETAS'!O:W,5,0)))</f>
        <v>0</v>
      </c>
      <c r="G889" s="11">
        <f>IFERROR((VLOOKUP(A889,'[1]LISTA ETIQUETAS'!O:X,8,0)),"")</f>
        <v>0.45</v>
      </c>
      <c r="H889" s="11">
        <f>IFERROR((VLOOKUP(A889,'[1]LISTA ETIQUETAS'!O:X,9,0)),"")</f>
        <v>0.6</v>
      </c>
      <c r="I889" s="12">
        <f>IFERROR((VLOOKUP(A889,'[1]LISTA ETIQUETAS'!O:Y,11,0)),"")</f>
        <v>7411.49</v>
      </c>
      <c r="J889" s="6">
        <v>0</v>
      </c>
      <c r="K889" s="12">
        <f t="shared" si="39"/>
        <v>7411.49</v>
      </c>
      <c r="L889" s="7" t="str">
        <f>IF(VLOOKUP(A889,'[1]LISTA ETIQUETAS'!O:AB,14,0)="","",(VLOOKUP(A889,'[1]LISTA ETIQUETAS'!O:AB,14,0)))</f>
        <v/>
      </c>
      <c r="M889" s="8"/>
      <c r="N889" s="9">
        <f t="shared" si="40"/>
        <v>299525</v>
      </c>
      <c r="O889" s="2">
        <f>_xlfn.XLOOKUP($A889,'[1]LISTA ETIQUETAS'!$O:$O,'[1]LISTA ETIQUETAS'!C:C,"",0)</f>
        <v>0</v>
      </c>
      <c r="P889" s="2">
        <f>_xlfn.XLOOKUP($A889,'[1]LISTA ETIQUETAS'!$O:$O,'[1]LISTA ETIQUETAS'!D:D,"",0)</f>
        <v>0</v>
      </c>
      <c r="Q889" s="2">
        <f>_xlfn.XLOOKUP($A889,'[1]LISTA ETIQUETAS'!$O:$O,'[1]LISTA ETIQUETAS'!E:E,"",0)</f>
        <v>0</v>
      </c>
      <c r="R889" s="2">
        <f>_xlfn.XLOOKUP($A889,'[1]LISTA ETIQUETAS'!$O:$O,'[1]LISTA ETIQUETAS'!F:F,"",0)</f>
        <v>0</v>
      </c>
      <c r="S889" s="2">
        <f>_xlfn.XLOOKUP($A889,'[1]LISTA ETIQUETAS'!$O:$O,'[1]LISTA ETIQUETAS'!H:H,"",0)</f>
        <v>2</v>
      </c>
      <c r="T889" s="9">
        <f t="shared" si="41"/>
        <v>2</v>
      </c>
    </row>
    <row r="890" spans="1:20" x14ac:dyDescent="0.25">
      <c r="A890" s="5">
        <v>299554</v>
      </c>
      <c r="B890" t="str">
        <f>IFERROR((VLOOKUP(A890,'[1]LISTA ETIQUETAS'!O:X,3,0)),"PRODUTO SEM ESTOQUE")</f>
        <v>EST PUFF OLY H45 FX B2062/HASTE METAL 2415</v>
      </c>
      <c r="C890" s="10" t="s">
        <v>39</v>
      </c>
      <c r="D890" s="10" t="s">
        <v>569</v>
      </c>
      <c r="E890" s="11">
        <f>IF(VLOOKUP(A890,'[1]LISTA ETIQUETAS'!O:W,4,0)="",(VLOOKUP(A890,'[1]LISTA ETIQUETAS'!O:W,6,0)),(VLOOKUP(A890,'[1]LISTA ETIQUETAS'!O:W,4,0)))</f>
        <v>0.6</v>
      </c>
      <c r="F890" s="11">
        <f>IF(VLOOKUP(A890,'[1]LISTA ETIQUETAS'!O:W,5,0)="",(VLOOKUP(A890,'[1]LISTA ETIQUETAS'!O:W,7,0)),(VLOOKUP(A890,'[1]LISTA ETIQUETAS'!O:W,5,0)))</f>
        <v>0</v>
      </c>
      <c r="G890" s="11">
        <f>IFERROR((VLOOKUP(A890,'[1]LISTA ETIQUETAS'!O:X,8,0)),"")</f>
        <v>0.45</v>
      </c>
      <c r="H890" s="11">
        <f>IFERROR((VLOOKUP(A890,'[1]LISTA ETIQUETAS'!O:X,9,0)),"")</f>
        <v>0.6</v>
      </c>
      <c r="I890" s="12">
        <f>IFERROR((VLOOKUP(A890,'[1]LISTA ETIQUETAS'!O:Y,11,0)),"")</f>
        <v>7194.48</v>
      </c>
      <c r="J890" s="6">
        <v>0</v>
      </c>
      <c r="K890" s="12">
        <f t="shared" si="39"/>
        <v>7194.48</v>
      </c>
      <c r="L890" s="7" t="str">
        <f>IF(VLOOKUP(A890,'[1]LISTA ETIQUETAS'!O:AB,14,0)="","",(VLOOKUP(A890,'[1]LISTA ETIQUETAS'!O:AB,14,0)))</f>
        <v/>
      </c>
      <c r="M890" s="8"/>
      <c r="N890" s="9">
        <f t="shared" si="40"/>
        <v>299554</v>
      </c>
      <c r="O890" s="2">
        <f>_xlfn.XLOOKUP($A890,'[1]LISTA ETIQUETAS'!$O:$O,'[1]LISTA ETIQUETAS'!C:C,"",0)</f>
        <v>0</v>
      </c>
      <c r="P890" s="2">
        <f>_xlfn.XLOOKUP($A890,'[1]LISTA ETIQUETAS'!$O:$O,'[1]LISTA ETIQUETAS'!D:D,"",0)</f>
        <v>0</v>
      </c>
      <c r="Q890" s="2">
        <f>_xlfn.XLOOKUP($A890,'[1]LISTA ETIQUETAS'!$O:$O,'[1]LISTA ETIQUETAS'!E:E,"",0)</f>
        <v>0</v>
      </c>
      <c r="R890" s="2">
        <f>_xlfn.XLOOKUP($A890,'[1]LISTA ETIQUETAS'!$O:$O,'[1]LISTA ETIQUETAS'!F:F,"",0)</f>
        <v>0</v>
      </c>
      <c r="S890" s="2">
        <f>_xlfn.XLOOKUP($A890,'[1]LISTA ETIQUETAS'!$O:$O,'[1]LISTA ETIQUETAS'!H:H,"",0)</f>
        <v>1</v>
      </c>
      <c r="T890" s="9">
        <f t="shared" si="41"/>
        <v>1</v>
      </c>
    </row>
    <row r="891" spans="1:20" x14ac:dyDescent="0.25">
      <c r="A891" s="5">
        <v>274740</v>
      </c>
      <c r="B891" t="str">
        <f>IFERROR((VLOOKUP(A891,'[1]LISTA ETIQUETAS'!O:X,3,0)),"PRODUTO SEM ESTOQUE")</f>
        <v>EST PUFF ALCALA (BASE LAMINADA EBONY PT) FX C3079</v>
      </c>
      <c r="C891" s="10" t="s">
        <v>39</v>
      </c>
      <c r="D891" s="10" t="s">
        <v>570</v>
      </c>
      <c r="E891" s="11">
        <f>IF(VLOOKUP(A891,'[1]LISTA ETIQUETAS'!O:W,4,0)="",(VLOOKUP(A891,'[1]LISTA ETIQUETAS'!O:W,6,0)),(VLOOKUP(A891,'[1]LISTA ETIQUETAS'!O:W,4,0)))</f>
        <v>1</v>
      </c>
      <c r="F891" s="11">
        <f>IF(VLOOKUP(A891,'[1]LISTA ETIQUETAS'!O:W,5,0)="",(VLOOKUP(A891,'[1]LISTA ETIQUETAS'!O:W,7,0)),(VLOOKUP(A891,'[1]LISTA ETIQUETAS'!O:W,5,0)))</f>
        <v>1</v>
      </c>
      <c r="G891" s="11">
        <f>IFERROR((VLOOKUP(A891,'[1]LISTA ETIQUETAS'!O:X,8,0)),"")</f>
        <v>0.4</v>
      </c>
      <c r="H891" s="11">
        <f>IFERROR((VLOOKUP(A891,'[1]LISTA ETIQUETAS'!O:X,9,0)),"")</f>
        <v>0</v>
      </c>
      <c r="I891" s="12">
        <f>IFERROR((VLOOKUP(A891,'[1]LISTA ETIQUETAS'!O:Y,11,0)),"")</f>
        <v>11735.58</v>
      </c>
      <c r="J891" s="6">
        <v>0</v>
      </c>
      <c r="K891" s="12">
        <f t="shared" si="39"/>
        <v>11735.58</v>
      </c>
      <c r="L891" s="7" t="str">
        <f>IF(VLOOKUP(A891,'[1]LISTA ETIQUETAS'!O:AB,14,0)="","",(VLOOKUP(A891,'[1]LISTA ETIQUETAS'!O:AB,14,0)))</f>
        <v/>
      </c>
      <c r="M891" s="8"/>
      <c r="N891" s="9">
        <f t="shared" si="40"/>
        <v>274740</v>
      </c>
      <c r="O891" s="2">
        <f>_xlfn.XLOOKUP($A891,'[1]LISTA ETIQUETAS'!$O:$O,'[1]LISTA ETIQUETAS'!C:C,"",0)</f>
        <v>0</v>
      </c>
      <c r="P891" s="2">
        <f>_xlfn.XLOOKUP($A891,'[1]LISTA ETIQUETAS'!$O:$O,'[1]LISTA ETIQUETAS'!D:D,"",0)</f>
        <v>0</v>
      </c>
      <c r="Q891" s="2">
        <f>_xlfn.XLOOKUP($A891,'[1]LISTA ETIQUETAS'!$O:$O,'[1]LISTA ETIQUETAS'!E:E,"",0)</f>
        <v>0</v>
      </c>
      <c r="R891" s="2">
        <f>_xlfn.XLOOKUP($A891,'[1]LISTA ETIQUETAS'!$O:$O,'[1]LISTA ETIQUETAS'!F:F,"",0)</f>
        <v>0</v>
      </c>
      <c r="S891" s="2">
        <f>_xlfn.XLOOKUP($A891,'[1]LISTA ETIQUETAS'!$O:$O,'[1]LISTA ETIQUETAS'!H:H,"",0)</f>
        <v>3</v>
      </c>
      <c r="T891" s="9">
        <f t="shared" si="41"/>
        <v>3</v>
      </c>
    </row>
    <row r="892" spans="1:20" x14ac:dyDescent="0.25">
      <c r="A892" s="5">
        <v>379894</v>
      </c>
      <c r="B892" t="str">
        <f>IFERROR((VLOOKUP(A892,'[1]LISTA ETIQUETAS'!O:X,3,0)),"PRODUTO SEM ESTOQUE")</f>
        <v>EST PUFF MONDRIAN (C2 MAMMUT/NOG) (C1 SEPIA)</v>
      </c>
      <c r="C892" s="10" t="s">
        <v>39</v>
      </c>
      <c r="D892" s="10" t="s">
        <v>571</v>
      </c>
      <c r="E892" s="11">
        <f>IF(VLOOKUP(A892,'[1]LISTA ETIQUETAS'!O:W,4,0)="",(VLOOKUP(A892,'[1]LISTA ETIQUETAS'!O:W,6,0)),(VLOOKUP(A892,'[1]LISTA ETIQUETAS'!O:W,4,0)))</f>
        <v>0.9</v>
      </c>
      <c r="F892" s="11">
        <f>IF(VLOOKUP(A892,'[1]LISTA ETIQUETAS'!O:W,5,0)="",(VLOOKUP(A892,'[1]LISTA ETIQUETAS'!O:W,7,0)),(VLOOKUP(A892,'[1]LISTA ETIQUETAS'!O:W,5,0)))</f>
        <v>0.6</v>
      </c>
      <c r="G892" s="11">
        <f>IFERROR((VLOOKUP(A892,'[1]LISTA ETIQUETAS'!O:X,8,0)),"")</f>
        <v>0.43</v>
      </c>
      <c r="H892" s="11">
        <f>IFERROR((VLOOKUP(A892,'[1]LISTA ETIQUETAS'!O:X,9,0)),"")</f>
        <v>0</v>
      </c>
      <c r="I892" s="12">
        <f>IFERROR((VLOOKUP(A892,'[1]LISTA ETIQUETAS'!O:Y,11,0)),"")</f>
        <v>22600.79</v>
      </c>
      <c r="J892" s="6">
        <v>0</v>
      </c>
      <c r="K892" s="12">
        <f t="shared" si="39"/>
        <v>22600.79</v>
      </c>
      <c r="L892" s="7" t="str">
        <f>IF(VLOOKUP(A892,'[1]LISTA ETIQUETAS'!O:AB,14,0)="","",(VLOOKUP(A892,'[1]LISTA ETIQUETAS'!O:AB,14,0)))</f>
        <v/>
      </c>
      <c r="M892" s="8"/>
      <c r="N892" s="9">
        <f t="shared" si="40"/>
        <v>379894</v>
      </c>
      <c r="O892" s="2">
        <f>_xlfn.XLOOKUP($A892,'[1]LISTA ETIQUETAS'!$O:$O,'[1]LISTA ETIQUETAS'!C:C,"",0)</f>
        <v>0</v>
      </c>
      <c r="P892" s="2">
        <f>_xlfn.XLOOKUP($A892,'[1]LISTA ETIQUETAS'!$O:$O,'[1]LISTA ETIQUETAS'!D:D,"",0)</f>
        <v>0</v>
      </c>
      <c r="Q892" s="2">
        <f>_xlfn.XLOOKUP($A892,'[1]LISTA ETIQUETAS'!$O:$O,'[1]LISTA ETIQUETAS'!E:E,"",0)</f>
        <v>0</v>
      </c>
      <c r="R892" s="2">
        <f>_xlfn.XLOOKUP($A892,'[1]LISTA ETIQUETAS'!$O:$O,'[1]LISTA ETIQUETAS'!F:F,"",0)</f>
        <v>0</v>
      </c>
      <c r="S892" s="2">
        <f>_xlfn.XLOOKUP($A892,'[1]LISTA ETIQUETAS'!$O:$O,'[1]LISTA ETIQUETAS'!H:H,"",0)</f>
        <v>1</v>
      </c>
      <c r="T892" s="9">
        <f t="shared" si="41"/>
        <v>1</v>
      </c>
    </row>
    <row r="893" spans="1:20" x14ac:dyDescent="0.25">
      <c r="A893" s="5">
        <v>379892</v>
      </c>
      <c r="B893" t="str">
        <f>IFERROR((VLOOKUP(A893,'[1]LISTA ETIQUETAS'!O:X,3,0)),"PRODUTO SEM ESTOQUE")</f>
        <v>EST PUFF MONDRIAN (C1 CREME/CARV) (TC 6649)</v>
      </c>
      <c r="C893" s="10" t="s">
        <v>39</v>
      </c>
      <c r="D893" s="10" t="s">
        <v>571</v>
      </c>
      <c r="E893" s="11">
        <f>IF(VLOOKUP(A893,'[1]LISTA ETIQUETAS'!O:W,4,0)="",(VLOOKUP(A893,'[1]LISTA ETIQUETAS'!O:W,6,0)),(VLOOKUP(A893,'[1]LISTA ETIQUETAS'!O:W,4,0)))</f>
        <v>0.9</v>
      </c>
      <c r="F893" s="11">
        <f>IF(VLOOKUP(A893,'[1]LISTA ETIQUETAS'!O:W,5,0)="",(VLOOKUP(A893,'[1]LISTA ETIQUETAS'!O:W,7,0)),(VLOOKUP(A893,'[1]LISTA ETIQUETAS'!O:W,5,0)))</f>
        <v>0.6</v>
      </c>
      <c r="G893" s="11">
        <f>IFERROR((VLOOKUP(A893,'[1]LISTA ETIQUETAS'!O:X,8,0)),"")</f>
        <v>0.43</v>
      </c>
      <c r="H893" s="11">
        <f>IFERROR((VLOOKUP(A893,'[1]LISTA ETIQUETAS'!O:X,9,0)),"")</f>
        <v>0</v>
      </c>
      <c r="I893" s="12">
        <f>IFERROR((VLOOKUP(A893,'[1]LISTA ETIQUETAS'!O:Y,11,0)),"")</f>
        <v>17198.59</v>
      </c>
      <c r="J893" s="6">
        <v>0</v>
      </c>
      <c r="K893" s="12">
        <f t="shared" si="39"/>
        <v>17198.59</v>
      </c>
      <c r="L893" s="7" t="str">
        <f>IF(VLOOKUP(A893,'[1]LISTA ETIQUETAS'!O:AB,14,0)="","",(VLOOKUP(A893,'[1]LISTA ETIQUETAS'!O:AB,14,0)))</f>
        <v/>
      </c>
      <c r="M893" s="8"/>
      <c r="N893" s="9">
        <f t="shared" si="40"/>
        <v>379892</v>
      </c>
      <c r="O893" s="2">
        <f>_xlfn.XLOOKUP($A893,'[1]LISTA ETIQUETAS'!$O:$O,'[1]LISTA ETIQUETAS'!C:C,"",0)</f>
        <v>0</v>
      </c>
      <c r="P893" s="2">
        <f>_xlfn.XLOOKUP($A893,'[1]LISTA ETIQUETAS'!$O:$O,'[1]LISTA ETIQUETAS'!D:D,"",0)</f>
        <v>0</v>
      </c>
      <c r="Q893" s="2">
        <f>_xlfn.XLOOKUP($A893,'[1]LISTA ETIQUETAS'!$O:$O,'[1]LISTA ETIQUETAS'!E:E,"",0)</f>
        <v>0</v>
      </c>
      <c r="R893" s="2">
        <f>_xlfn.XLOOKUP($A893,'[1]LISTA ETIQUETAS'!$O:$O,'[1]LISTA ETIQUETAS'!F:F,"",0)</f>
        <v>0</v>
      </c>
      <c r="S893" s="2">
        <f>_xlfn.XLOOKUP($A893,'[1]LISTA ETIQUETAS'!$O:$O,'[1]LISTA ETIQUETAS'!H:H,"",0)</f>
        <v>1</v>
      </c>
      <c r="T893" s="9">
        <f t="shared" si="41"/>
        <v>1</v>
      </c>
    </row>
    <row r="894" spans="1:20" x14ac:dyDescent="0.25">
      <c r="A894" s="5">
        <v>379525</v>
      </c>
      <c r="B894" t="str">
        <f>IFERROR((VLOOKUP(A894,'[1]LISTA ETIQUETAS'!O:X,3,0)),"PRODUTO SEM ESTOQUE")</f>
        <v>EST PUFF MONDRIAN (C1 SEPIA/NOG) (C2 KURKUMA)</v>
      </c>
      <c r="C894" s="10" t="s">
        <v>39</v>
      </c>
      <c r="D894" s="10" t="s">
        <v>571</v>
      </c>
      <c r="E894" s="11">
        <f>IF(VLOOKUP(A894,'[1]LISTA ETIQUETAS'!O:W,4,0)="",(VLOOKUP(A894,'[1]LISTA ETIQUETAS'!O:W,6,0)),(VLOOKUP(A894,'[1]LISTA ETIQUETAS'!O:W,4,0)))</f>
        <v>0.9</v>
      </c>
      <c r="F894" s="11">
        <f>IF(VLOOKUP(A894,'[1]LISTA ETIQUETAS'!O:W,5,0)="",(VLOOKUP(A894,'[1]LISTA ETIQUETAS'!O:W,7,0)),(VLOOKUP(A894,'[1]LISTA ETIQUETAS'!O:W,5,0)))</f>
        <v>0.6</v>
      </c>
      <c r="G894" s="11">
        <f>IFERROR((VLOOKUP(A894,'[1]LISTA ETIQUETAS'!O:X,8,0)),"")</f>
        <v>0.43</v>
      </c>
      <c r="H894" s="11">
        <f>IFERROR((VLOOKUP(A894,'[1]LISTA ETIQUETAS'!O:X,9,0)),"")</f>
        <v>0</v>
      </c>
      <c r="I894" s="12">
        <f>IFERROR((VLOOKUP(A894,'[1]LISTA ETIQUETAS'!O:Y,11,0)),"")</f>
        <v>23383.67</v>
      </c>
      <c r="J894" s="6">
        <v>0</v>
      </c>
      <c r="K894" s="12">
        <f t="shared" si="39"/>
        <v>23383.67</v>
      </c>
      <c r="L894" s="7" t="str">
        <f>IF(VLOOKUP(A894,'[1]LISTA ETIQUETAS'!O:AB,14,0)="","",(VLOOKUP(A894,'[1]LISTA ETIQUETAS'!O:AB,14,0)))</f>
        <v/>
      </c>
      <c r="M894" s="8"/>
      <c r="N894" s="9">
        <f t="shared" si="40"/>
        <v>379525</v>
      </c>
      <c r="O894" s="2">
        <f>_xlfn.XLOOKUP($A894,'[1]LISTA ETIQUETAS'!$O:$O,'[1]LISTA ETIQUETAS'!C:C,"",0)</f>
        <v>0</v>
      </c>
      <c r="P894" s="2">
        <f>_xlfn.XLOOKUP($A894,'[1]LISTA ETIQUETAS'!$O:$O,'[1]LISTA ETIQUETAS'!D:D,"",0)</f>
        <v>0</v>
      </c>
      <c r="Q894" s="2">
        <f>_xlfn.XLOOKUP($A894,'[1]LISTA ETIQUETAS'!$O:$O,'[1]LISTA ETIQUETAS'!E:E,"",0)</f>
        <v>0</v>
      </c>
      <c r="R894" s="2">
        <f>_xlfn.XLOOKUP($A894,'[1]LISTA ETIQUETAS'!$O:$O,'[1]LISTA ETIQUETAS'!F:F,"",0)</f>
        <v>0</v>
      </c>
      <c r="S894" s="2">
        <f>_xlfn.XLOOKUP($A894,'[1]LISTA ETIQUETAS'!$O:$O,'[1]LISTA ETIQUETAS'!H:H,"",0)</f>
        <v>2</v>
      </c>
      <c r="T894" s="9">
        <f t="shared" si="41"/>
        <v>2</v>
      </c>
    </row>
    <row r="895" spans="1:20" x14ac:dyDescent="0.25">
      <c r="A895" s="5">
        <v>363831</v>
      </c>
      <c r="B895" t="str">
        <f>IFERROR((VLOOKUP(A895,'[1]LISTA ETIQUETAS'!O:X,3,0)),"PRODUTO SEM ESTOQUE")</f>
        <v>EST PUFF POMME TC TARENTO 12</v>
      </c>
      <c r="C895" s="10" t="s">
        <v>39</v>
      </c>
      <c r="D895" s="10" t="s">
        <v>572</v>
      </c>
      <c r="E895" s="11">
        <f>IF(VLOOKUP(A895,'[1]LISTA ETIQUETAS'!O:W,4,0)="",(VLOOKUP(A895,'[1]LISTA ETIQUETAS'!O:W,6,0)),(VLOOKUP(A895,'[1]LISTA ETIQUETAS'!O:W,4,0)))</f>
        <v>1</v>
      </c>
      <c r="F895" s="11">
        <f>IF(VLOOKUP(A895,'[1]LISTA ETIQUETAS'!O:W,5,0)="",(VLOOKUP(A895,'[1]LISTA ETIQUETAS'!O:W,7,0)),(VLOOKUP(A895,'[1]LISTA ETIQUETAS'!O:W,5,0)))</f>
        <v>1</v>
      </c>
      <c r="G895" s="11">
        <f>IFERROR((VLOOKUP(A895,'[1]LISTA ETIQUETAS'!O:X,8,0)),"")</f>
        <v>0.4</v>
      </c>
      <c r="H895" s="11">
        <f>IFERROR((VLOOKUP(A895,'[1]LISTA ETIQUETAS'!O:X,9,0)),"")</f>
        <v>0</v>
      </c>
      <c r="I895" s="12">
        <f>IFERROR((VLOOKUP(A895,'[1]LISTA ETIQUETAS'!O:Y,11,0)),"")</f>
        <v>17159.580000000002</v>
      </c>
      <c r="J895" s="6">
        <v>0</v>
      </c>
      <c r="K895" s="12">
        <f t="shared" si="39"/>
        <v>17159.580000000002</v>
      </c>
      <c r="L895" s="7" t="str">
        <f>IF(VLOOKUP(A895,'[1]LISTA ETIQUETAS'!O:AB,14,0)="","",(VLOOKUP(A895,'[1]LISTA ETIQUETAS'!O:AB,14,0)))</f>
        <v/>
      </c>
      <c r="M895" s="8"/>
      <c r="N895" s="9">
        <f t="shared" si="40"/>
        <v>363831</v>
      </c>
      <c r="O895" s="2">
        <f>_xlfn.XLOOKUP($A895,'[1]LISTA ETIQUETAS'!$O:$O,'[1]LISTA ETIQUETAS'!C:C,"",0)</f>
        <v>0</v>
      </c>
      <c r="P895" s="2">
        <f>_xlfn.XLOOKUP($A895,'[1]LISTA ETIQUETAS'!$O:$O,'[1]LISTA ETIQUETAS'!D:D,"",0)</f>
        <v>0</v>
      </c>
      <c r="Q895" s="2">
        <f>_xlfn.XLOOKUP($A895,'[1]LISTA ETIQUETAS'!$O:$O,'[1]LISTA ETIQUETAS'!E:E,"",0)</f>
        <v>0</v>
      </c>
      <c r="R895" s="2">
        <f>_xlfn.XLOOKUP($A895,'[1]LISTA ETIQUETAS'!$O:$O,'[1]LISTA ETIQUETAS'!F:F,"",0)</f>
        <v>0</v>
      </c>
      <c r="S895" s="2">
        <f>_xlfn.XLOOKUP($A895,'[1]LISTA ETIQUETAS'!$O:$O,'[1]LISTA ETIQUETAS'!H:H,"",0)</f>
        <v>1</v>
      </c>
      <c r="T895" s="9">
        <f t="shared" si="41"/>
        <v>1</v>
      </c>
    </row>
    <row r="896" spans="1:20" x14ac:dyDescent="0.25">
      <c r="A896" s="5">
        <v>363881</v>
      </c>
      <c r="B896" t="str">
        <f>IFERROR((VLOOKUP(A896,'[1]LISTA ETIQUETAS'!O:X,3,0)),"PRODUTO SEM ESTOQUE")</f>
        <v>EST PUFF POMME FX G7125</v>
      </c>
      <c r="C896" s="10" t="s">
        <v>39</v>
      </c>
      <c r="D896" s="10" t="s">
        <v>572</v>
      </c>
      <c r="E896" s="11">
        <f>IF(VLOOKUP(A896,'[1]LISTA ETIQUETAS'!O:W,4,0)="",(VLOOKUP(A896,'[1]LISTA ETIQUETAS'!O:W,6,0)),(VLOOKUP(A896,'[1]LISTA ETIQUETAS'!O:W,4,0)))</f>
        <v>1</v>
      </c>
      <c r="F896" s="11">
        <f>IF(VLOOKUP(A896,'[1]LISTA ETIQUETAS'!O:W,5,0)="",(VLOOKUP(A896,'[1]LISTA ETIQUETAS'!O:W,7,0)),(VLOOKUP(A896,'[1]LISTA ETIQUETAS'!O:W,5,0)))</f>
        <v>1</v>
      </c>
      <c r="G896" s="11">
        <f>IFERROR((VLOOKUP(A896,'[1]LISTA ETIQUETAS'!O:X,8,0)),"")</f>
        <v>0.4</v>
      </c>
      <c r="H896" s="11">
        <f>IFERROR((VLOOKUP(A896,'[1]LISTA ETIQUETAS'!O:X,9,0)),"")</f>
        <v>0</v>
      </c>
      <c r="I896" s="12">
        <f>IFERROR((VLOOKUP(A896,'[1]LISTA ETIQUETAS'!O:Y,11,0)),"")</f>
        <v>16040.37</v>
      </c>
      <c r="J896" s="6">
        <v>0</v>
      </c>
      <c r="K896" s="12">
        <f t="shared" si="39"/>
        <v>16040.37</v>
      </c>
      <c r="L896" s="7" t="str">
        <f>IF(VLOOKUP(A896,'[1]LISTA ETIQUETAS'!O:AB,14,0)="","",(VLOOKUP(A896,'[1]LISTA ETIQUETAS'!O:AB,14,0)))</f>
        <v/>
      </c>
      <c r="M896" s="8"/>
      <c r="N896" s="9">
        <f t="shared" si="40"/>
        <v>363881</v>
      </c>
      <c r="O896" s="2">
        <f>_xlfn.XLOOKUP($A896,'[1]LISTA ETIQUETAS'!$O:$O,'[1]LISTA ETIQUETAS'!C:C,"",0)</f>
        <v>0</v>
      </c>
      <c r="P896" s="2">
        <f>_xlfn.XLOOKUP($A896,'[1]LISTA ETIQUETAS'!$O:$O,'[1]LISTA ETIQUETAS'!D:D,"",0)</f>
        <v>0</v>
      </c>
      <c r="Q896" s="2">
        <f>_xlfn.XLOOKUP($A896,'[1]LISTA ETIQUETAS'!$O:$O,'[1]LISTA ETIQUETAS'!E:E,"",0)</f>
        <v>0</v>
      </c>
      <c r="R896" s="2">
        <f>_xlfn.XLOOKUP($A896,'[1]LISTA ETIQUETAS'!$O:$O,'[1]LISTA ETIQUETAS'!F:F,"",0)</f>
        <v>0</v>
      </c>
      <c r="S896" s="2">
        <f>_xlfn.XLOOKUP($A896,'[1]LISTA ETIQUETAS'!$O:$O,'[1]LISTA ETIQUETAS'!H:H,"",0)</f>
        <v>1</v>
      </c>
      <c r="T896" s="9">
        <f t="shared" si="41"/>
        <v>1</v>
      </c>
    </row>
    <row r="897" spans="1:20" x14ac:dyDescent="0.25">
      <c r="A897" s="5">
        <v>335137</v>
      </c>
      <c r="B897" t="str">
        <f>IFERROR((VLOOKUP(A897,'[1]LISTA ETIQUETAS'!O:X,3,0)),"PRODUTO SEM ESTOQUE")</f>
        <v>EST PUFF PARATY (FX 50043) (WALNUT MATT)</v>
      </c>
      <c r="C897" s="10" t="s">
        <v>39</v>
      </c>
      <c r="D897" s="10" t="s">
        <v>40</v>
      </c>
      <c r="E897" s="11">
        <f>IF(VLOOKUP(A897,'[1]LISTA ETIQUETAS'!O:W,4,0)="",(VLOOKUP(A897,'[1]LISTA ETIQUETAS'!O:W,6,0)),(VLOOKUP(A897,'[1]LISTA ETIQUETAS'!O:W,4,0)))</f>
        <v>1.77</v>
      </c>
      <c r="F897" s="11">
        <f>IF(VLOOKUP(A897,'[1]LISTA ETIQUETAS'!O:W,5,0)="",(VLOOKUP(A897,'[1]LISTA ETIQUETAS'!O:W,7,0)),(VLOOKUP(A897,'[1]LISTA ETIQUETAS'!O:W,5,0)))</f>
        <v>0.75</v>
      </c>
      <c r="G897" s="11">
        <f>IFERROR((VLOOKUP(A897,'[1]LISTA ETIQUETAS'!O:X,8,0)),"")</f>
        <v>0.4</v>
      </c>
      <c r="H897" s="11">
        <f>IFERROR((VLOOKUP(A897,'[1]LISTA ETIQUETAS'!O:X,9,0)),"")</f>
        <v>0</v>
      </c>
      <c r="I897" s="12">
        <f>IFERROR((VLOOKUP(A897,'[1]LISTA ETIQUETAS'!O:Y,11,0)),"")</f>
        <v>11980.46</v>
      </c>
      <c r="J897" s="6">
        <v>0</v>
      </c>
      <c r="K897" s="12">
        <f t="shared" si="39"/>
        <v>11980.46</v>
      </c>
      <c r="L897" s="7" t="str">
        <f>IF(VLOOKUP(A897,'[1]LISTA ETIQUETAS'!O:AB,14,0)="","",(VLOOKUP(A897,'[1]LISTA ETIQUETAS'!O:AB,14,0)))</f>
        <v/>
      </c>
      <c r="M897" s="8"/>
      <c r="N897" s="9">
        <f t="shared" si="40"/>
        <v>335137</v>
      </c>
      <c r="O897" s="2">
        <f>_xlfn.XLOOKUP($A897,'[1]LISTA ETIQUETAS'!$O:$O,'[1]LISTA ETIQUETAS'!C:C,"",0)</f>
        <v>0</v>
      </c>
      <c r="P897" s="2">
        <f>_xlfn.XLOOKUP($A897,'[1]LISTA ETIQUETAS'!$O:$O,'[1]LISTA ETIQUETAS'!D:D,"",0)</f>
        <v>0</v>
      </c>
      <c r="Q897" s="2">
        <f>_xlfn.XLOOKUP($A897,'[1]LISTA ETIQUETAS'!$O:$O,'[1]LISTA ETIQUETAS'!E:E,"",0)</f>
        <v>0</v>
      </c>
      <c r="R897" s="2">
        <f>_xlfn.XLOOKUP($A897,'[1]LISTA ETIQUETAS'!$O:$O,'[1]LISTA ETIQUETAS'!F:F,"",0)</f>
        <v>0</v>
      </c>
      <c r="S897" s="2">
        <f>_xlfn.XLOOKUP($A897,'[1]LISTA ETIQUETAS'!$O:$O,'[1]LISTA ETIQUETAS'!H:H,"",0)</f>
        <v>2</v>
      </c>
      <c r="T897" s="9">
        <f t="shared" si="41"/>
        <v>2</v>
      </c>
    </row>
    <row r="898" spans="1:20" x14ac:dyDescent="0.25">
      <c r="A898" s="5">
        <v>328653</v>
      </c>
      <c r="B898" t="str">
        <f>IFERROR((VLOOKUP(A898,'[1]LISTA ETIQUETAS'!O:X,3,0)),"PRODUTO SEM ESTOQUE")</f>
        <v>EST PUFF ALCALA (BASE LAMINADA WALNUT) FX C3092</v>
      </c>
      <c r="C898" s="10" t="s">
        <v>39</v>
      </c>
      <c r="D898" s="10" t="s">
        <v>570</v>
      </c>
      <c r="E898" s="11">
        <f>IF(VLOOKUP(A898,'[1]LISTA ETIQUETAS'!O:W,4,0)="",(VLOOKUP(A898,'[1]LISTA ETIQUETAS'!O:W,6,0)),(VLOOKUP(A898,'[1]LISTA ETIQUETAS'!O:W,4,0)))</f>
        <v>1</v>
      </c>
      <c r="F898" s="11">
        <f>IF(VLOOKUP(A898,'[1]LISTA ETIQUETAS'!O:W,5,0)="",(VLOOKUP(A898,'[1]LISTA ETIQUETAS'!O:W,7,0)),(VLOOKUP(A898,'[1]LISTA ETIQUETAS'!O:W,5,0)))</f>
        <v>1</v>
      </c>
      <c r="G898" s="11">
        <f>IFERROR((VLOOKUP(A898,'[1]LISTA ETIQUETAS'!O:X,8,0)),"")</f>
        <v>0.4</v>
      </c>
      <c r="H898" s="11">
        <f>IFERROR((VLOOKUP(A898,'[1]LISTA ETIQUETAS'!O:X,9,0)),"")</f>
        <v>0</v>
      </c>
      <c r="I898" s="12">
        <f>IFERROR((VLOOKUP(A898,'[1]LISTA ETIQUETAS'!O:Y,11,0)),"")</f>
        <v>11735.58</v>
      </c>
      <c r="J898" s="6">
        <v>0</v>
      </c>
      <c r="K898" s="12">
        <f t="shared" si="39"/>
        <v>11735.58</v>
      </c>
      <c r="L898" s="7" t="str">
        <f>IF(VLOOKUP(A898,'[1]LISTA ETIQUETAS'!O:AB,14,0)="","",(VLOOKUP(A898,'[1]LISTA ETIQUETAS'!O:AB,14,0)))</f>
        <v/>
      </c>
      <c r="M898" s="8"/>
      <c r="N898" s="9">
        <f t="shared" si="40"/>
        <v>328653</v>
      </c>
      <c r="O898" s="2">
        <f>_xlfn.XLOOKUP($A898,'[1]LISTA ETIQUETAS'!$O:$O,'[1]LISTA ETIQUETAS'!C:C,"",0)</f>
        <v>0</v>
      </c>
      <c r="P898" s="2">
        <f>_xlfn.XLOOKUP($A898,'[1]LISTA ETIQUETAS'!$O:$O,'[1]LISTA ETIQUETAS'!D:D,"",0)</f>
        <v>0</v>
      </c>
      <c r="Q898" s="2">
        <f>_xlfn.XLOOKUP($A898,'[1]LISTA ETIQUETAS'!$O:$O,'[1]LISTA ETIQUETAS'!E:E,"",0)</f>
        <v>0</v>
      </c>
      <c r="R898" s="2">
        <f>_xlfn.XLOOKUP($A898,'[1]LISTA ETIQUETAS'!$O:$O,'[1]LISTA ETIQUETAS'!F:F,"",0)</f>
        <v>0</v>
      </c>
      <c r="S898" s="2">
        <f>_xlfn.XLOOKUP($A898,'[1]LISTA ETIQUETAS'!$O:$O,'[1]LISTA ETIQUETAS'!H:H,"",0)</f>
        <v>1</v>
      </c>
      <c r="T898" s="9">
        <f t="shared" si="41"/>
        <v>1</v>
      </c>
    </row>
    <row r="899" spans="1:20" x14ac:dyDescent="0.25">
      <c r="A899" s="5">
        <v>334161</v>
      </c>
      <c r="B899" t="str">
        <f>IFERROR((VLOOKUP(A899,'[1]LISTA ETIQUETAS'!O:X,3,0)),"PRODUTO SEM ESTOQUE")</f>
        <v>EST PUFF ALCALA (BASE VERNIZ EBANO) FX D4144</v>
      </c>
      <c r="C899" s="10" t="s">
        <v>39</v>
      </c>
      <c r="D899" s="10" t="s">
        <v>570</v>
      </c>
      <c r="E899" s="11">
        <f>IF(VLOOKUP(A899,'[1]LISTA ETIQUETAS'!O:W,4,0)="",(VLOOKUP(A899,'[1]LISTA ETIQUETAS'!O:W,6,0)),(VLOOKUP(A899,'[1]LISTA ETIQUETAS'!O:W,4,0)))</f>
        <v>1</v>
      </c>
      <c r="F899" s="11">
        <f>IF(VLOOKUP(A899,'[1]LISTA ETIQUETAS'!O:W,5,0)="",(VLOOKUP(A899,'[1]LISTA ETIQUETAS'!O:W,7,0)),(VLOOKUP(A899,'[1]LISTA ETIQUETAS'!O:W,5,0)))</f>
        <v>1</v>
      </c>
      <c r="G899" s="11">
        <f>IFERROR((VLOOKUP(A899,'[1]LISTA ETIQUETAS'!O:X,8,0)),"")</f>
        <v>0.4</v>
      </c>
      <c r="H899" s="11">
        <f>IFERROR((VLOOKUP(A899,'[1]LISTA ETIQUETAS'!O:X,9,0)),"")</f>
        <v>0</v>
      </c>
      <c r="I899" s="12">
        <f>IFERROR((VLOOKUP(A899,'[1]LISTA ETIQUETAS'!O:Y,11,0)),"")</f>
        <v>12023.2</v>
      </c>
      <c r="J899" s="6">
        <v>0</v>
      </c>
      <c r="K899" s="12">
        <f t="shared" ref="K899:K962" si="42">IFERROR(I899-I899*J899,"")</f>
        <v>12023.2</v>
      </c>
      <c r="L899" s="7" t="str">
        <f>IF(VLOOKUP(A899,'[1]LISTA ETIQUETAS'!O:AB,14,0)="","",(VLOOKUP(A899,'[1]LISTA ETIQUETAS'!O:AB,14,0)))</f>
        <v/>
      </c>
      <c r="M899" s="8"/>
      <c r="N899" s="9">
        <f t="shared" si="40"/>
        <v>334161</v>
      </c>
      <c r="O899" s="2">
        <f>_xlfn.XLOOKUP($A899,'[1]LISTA ETIQUETAS'!$O:$O,'[1]LISTA ETIQUETAS'!C:C,"",0)</f>
        <v>0</v>
      </c>
      <c r="P899" s="2">
        <f>_xlfn.XLOOKUP($A899,'[1]LISTA ETIQUETAS'!$O:$O,'[1]LISTA ETIQUETAS'!D:D,"",0)</f>
        <v>0</v>
      </c>
      <c r="Q899" s="2">
        <f>_xlfn.XLOOKUP($A899,'[1]LISTA ETIQUETAS'!$O:$O,'[1]LISTA ETIQUETAS'!E:E,"",0)</f>
        <v>0</v>
      </c>
      <c r="R899" s="2">
        <f>_xlfn.XLOOKUP($A899,'[1]LISTA ETIQUETAS'!$O:$O,'[1]LISTA ETIQUETAS'!F:F,"",0)</f>
        <v>0</v>
      </c>
      <c r="S899" s="2">
        <f>_xlfn.XLOOKUP($A899,'[1]LISTA ETIQUETAS'!$O:$O,'[1]LISTA ETIQUETAS'!H:H,"",0)</f>
        <v>1</v>
      </c>
      <c r="T899" s="9">
        <f t="shared" si="41"/>
        <v>1</v>
      </c>
    </row>
    <row r="900" spans="1:20" x14ac:dyDescent="0.25">
      <c r="A900" s="5">
        <v>334521</v>
      </c>
      <c r="B900" t="str">
        <f>IFERROR((VLOOKUP(A900,'[1]LISTA ETIQUETAS'!O:X,3,0)),"PRODUTO SEM ESTOQUE")</f>
        <v>EST PUFF OLY H45 FX F8027 HASTE METAL MARROM CLARO</v>
      </c>
      <c r="C900" s="10" t="s">
        <v>39</v>
      </c>
      <c r="D900" s="10" t="s">
        <v>569</v>
      </c>
      <c r="E900" s="11">
        <f>IF(VLOOKUP(A900,'[1]LISTA ETIQUETAS'!O:W,4,0)="",(VLOOKUP(A900,'[1]LISTA ETIQUETAS'!O:W,6,0)),(VLOOKUP(A900,'[1]LISTA ETIQUETAS'!O:W,4,0)))</f>
        <v>0.6</v>
      </c>
      <c r="F900" s="11">
        <f>IF(VLOOKUP(A900,'[1]LISTA ETIQUETAS'!O:W,5,0)="",(VLOOKUP(A900,'[1]LISTA ETIQUETAS'!O:W,7,0)),(VLOOKUP(A900,'[1]LISTA ETIQUETAS'!O:W,5,0)))</f>
        <v>0</v>
      </c>
      <c r="G900" s="11">
        <f>IFERROR((VLOOKUP(A900,'[1]LISTA ETIQUETAS'!O:X,8,0)),"")</f>
        <v>0.45</v>
      </c>
      <c r="H900" s="11">
        <f>IFERROR((VLOOKUP(A900,'[1]LISTA ETIQUETAS'!O:X,9,0)),"")</f>
        <v>0.6</v>
      </c>
      <c r="I900" s="12">
        <f>IFERROR((VLOOKUP(A900,'[1]LISTA ETIQUETAS'!O:Y,11,0)),"")</f>
        <v>7494.64</v>
      </c>
      <c r="J900" s="6">
        <v>0</v>
      </c>
      <c r="K900" s="12">
        <f t="shared" si="42"/>
        <v>7494.64</v>
      </c>
      <c r="L900" s="7" t="str">
        <f>IF(VLOOKUP(A900,'[1]LISTA ETIQUETAS'!O:AB,14,0)="","",(VLOOKUP(A900,'[1]LISTA ETIQUETAS'!O:AB,14,0)))</f>
        <v/>
      </c>
      <c r="M900" s="8"/>
      <c r="N900" s="9">
        <f t="shared" ref="N900:N963" si="43">IF(M900="",A900,M900)</f>
        <v>334521</v>
      </c>
      <c r="O900" s="2">
        <f>_xlfn.XLOOKUP($A900,'[1]LISTA ETIQUETAS'!$O:$O,'[1]LISTA ETIQUETAS'!C:C,"",0)</f>
        <v>0</v>
      </c>
      <c r="P900" s="2">
        <f>_xlfn.XLOOKUP($A900,'[1]LISTA ETIQUETAS'!$O:$O,'[1]LISTA ETIQUETAS'!D:D,"",0)</f>
        <v>0</v>
      </c>
      <c r="Q900" s="2">
        <f>_xlfn.XLOOKUP($A900,'[1]LISTA ETIQUETAS'!$O:$O,'[1]LISTA ETIQUETAS'!E:E,"",0)</f>
        <v>0</v>
      </c>
      <c r="R900" s="2">
        <f>_xlfn.XLOOKUP($A900,'[1]LISTA ETIQUETAS'!$O:$O,'[1]LISTA ETIQUETAS'!F:F,"",0)</f>
        <v>0</v>
      </c>
      <c r="S900" s="2">
        <f>_xlfn.XLOOKUP($A900,'[1]LISTA ETIQUETAS'!$O:$O,'[1]LISTA ETIQUETAS'!H:H,"",0)</f>
        <v>2</v>
      </c>
      <c r="T900" s="9">
        <f t="shared" ref="T900:T963" si="44">SUM(O900:S900)</f>
        <v>2</v>
      </c>
    </row>
    <row r="901" spans="1:20" x14ac:dyDescent="0.25">
      <c r="A901" s="5">
        <v>361893</v>
      </c>
      <c r="B901" t="str">
        <f>IFERROR((VLOOKUP(A901,'[1]LISTA ETIQUETAS'!O:X,3,0)),"PRODUTO SEM ESTOQUE")</f>
        <v>EST PUFF ALCALA (DET CENTRAL VERNIZ JEQ NATURAL) FX G7128</v>
      </c>
      <c r="C901" s="10" t="s">
        <v>39</v>
      </c>
      <c r="D901" s="10" t="s">
        <v>570</v>
      </c>
      <c r="E901" s="11">
        <f>IF(VLOOKUP(A901,'[1]LISTA ETIQUETAS'!O:W,4,0)="",(VLOOKUP(A901,'[1]LISTA ETIQUETAS'!O:W,6,0)),(VLOOKUP(A901,'[1]LISTA ETIQUETAS'!O:W,4,0)))</f>
        <v>0.42</v>
      </c>
      <c r="F901" s="11">
        <f>IF(VLOOKUP(A901,'[1]LISTA ETIQUETAS'!O:W,5,0)="",(VLOOKUP(A901,'[1]LISTA ETIQUETAS'!O:W,7,0)),(VLOOKUP(A901,'[1]LISTA ETIQUETAS'!O:W,5,0)))</f>
        <v>0</v>
      </c>
      <c r="G901" s="11">
        <f>IFERROR((VLOOKUP(A901,'[1]LISTA ETIQUETAS'!O:X,8,0)),"")</f>
        <v>0.45</v>
      </c>
      <c r="H901" s="11">
        <f>IFERROR((VLOOKUP(A901,'[1]LISTA ETIQUETAS'!O:X,9,0)),"")</f>
        <v>0.42</v>
      </c>
      <c r="I901" s="12">
        <f>IFERROR((VLOOKUP(A901,'[1]LISTA ETIQUETAS'!O:Y,11,0)),"")</f>
        <v>8193.4500000000007</v>
      </c>
      <c r="J901" s="6">
        <v>0</v>
      </c>
      <c r="K901" s="12">
        <f t="shared" si="42"/>
        <v>8193.4500000000007</v>
      </c>
      <c r="L901" s="7" t="str">
        <f>IF(VLOOKUP(A901,'[1]LISTA ETIQUETAS'!O:AB,14,0)="","",(VLOOKUP(A901,'[1]LISTA ETIQUETAS'!O:AB,14,0)))</f>
        <v/>
      </c>
      <c r="M901" s="8"/>
      <c r="N901" s="9">
        <f t="shared" si="43"/>
        <v>361893</v>
      </c>
      <c r="O901" s="2">
        <f>_xlfn.XLOOKUP($A901,'[1]LISTA ETIQUETAS'!$O:$O,'[1]LISTA ETIQUETAS'!C:C,"",0)</f>
        <v>0</v>
      </c>
      <c r="P901" s="2">
        <f>_xlfn.XLOOKUP($A901,'[1]LISTA ETIQUETAS'!$O:$O,'[1]LISTA ETIQUETAS'!D:D,"",0)</f>
        <v>0</v>
      </c>
      <c r="Q901" s="2">
        <f>_xlfn.XLOOKUP($A901,'[1]LISTA ETIQUETAS'!$O:$O,'[1]LISTA ETIQUETAS'!E:E,"",0)</f>
        <v>0</v>
      </c>
      <c r="R901" s="2">
        <f>_xlfn.XLOOKUP($A901,'[1]LISTA ETIQUETAS'!$O:$O,'[1]LISTA ETIQUETAS'!F:F,"",0)</f>
        <v>0</v>
      </c>
      <c r="S901" s="2">
        <f>_xlfn.XLOOKUP($A901,'[1]LISTA ETIQUETAS'!$O:$O,'[1]LISTA ETIQUETAS'!H:H,"",0)</f>
        <v>1</v>
      </c>
      <c r="T901" s="9">
        <f t="shared" si="44"/>
        <v>1</v>
      </c>
    </row>
    <row r="902" spans="1:20" x14ac:dyDescent="0.25">
      <c r="A902" s="5">
        <v>217687</v>
      </c>
      <c r="B902" t="str">
        <f>IFERROR((VLOOKUP(A902,'[1]LISTA ETIQUETAS'!O:X,3,0)),"PRODUTO SEM ESTOQUE")</f>
        <v>EST PUFF SOHO (FX F8160) (TING IMBUIA)</v>
      </c>
      <c r="C902" s="10" t="s">
        <v>39</v>
      </c>
      <c r="D902" s="10" t="s">
        <v>573</v>
      </c>
      <c r="E902" s="11">
        <f>IF(VLOOKUP(A902,'[1]LISTA ETIQUETAS'!O:W,4,0)="",(VLOOKUP(A902,'[1]LISTA ETIQUETAS'!O:W,6,0)),(VLOOKUP(A902,'[1]LISTA ETIQUETAS'!O:W,4,0)))</f>
        <v>1.1000000000000001</v>
      </c>
      <c r="F902" s="11">
        <f>IF(VLOOKUP(A902,'[1]LISTA ETIQUETAS'!O:W,5,0)="",(VLOOKUP(A902,'[1]LISTA ETIQUETAS'!O:W,7,0)),(VLOOKUP(A902,'[1]LISTA ETIQUETAS'!O:W,5,0)))</f>
        <v>0</v>
      </c>
      <c r="G902" s="11">
        <f>IFERROR((VLOOKUP(A902,'[1]LISTA ETIQUETAS'!O:X,8,0)),"")</f>
        <v>0.3</v>
      </c>
      <c r="H902" s="11">
        <f>IFERROR((VLOOKUP(A902,'[1]LISTA ETIQUETAS'!O:X,9,0)),"")</f>
        <v>1.1000000000000001</v>
      </c>
      <c r="I902" s="12">
        <f>IFERROR((VLOOKUP(A902,'[1]LISTA ETIQUETAS'!O:Y,11,0)),"")</f>
        <v>7874.14</v>
      </c>
      <c r="J902" s="6">
        <v>0</v>
      </c>
      <c r="K902" s="12">
        <f t="shared" si="42"/>
        <v>7874.14</v>
      </c>
      <c r="L902" s="7" t="str">
        <f>IF(VLOOKUP(A902,'[1]LISTA ETIQUETAS'!O:AB,14,0)="","",(VLOOKUP(A902,'[1]LISTA ETIQUETAS'!O:AB,14,0)))</f>
        <v/>
      </c>
      <c r="M902" s="8"/>
      <c r="N902" s="9">
        <f t="shared" si="43"/>
        <v>217687</v>
      </c>
      <c r="O902" s="2">
        <f>_xlfn.XLOOKUP($A902,'[1]LISTA ETIQUETAS'!$O:$O,'[1]LISTA ETIQUETAS'!C:C,"",0)</f>
        <v>0</v>
      </c>
      <c r="P902" s="2">
        <f>_xlfn.XLOOKUP($A902,'[1]LISTA ETIQUETAS'!$O:$O,'[1]LISTA ETIQUETAS'!D:D,"",0)</f>
        <v>0</v>
      </c>
      <c r="Q902" s="2">
        <f>_xlfn.XLOOKUP($A902,'[1]LISTA ETIQUETAS'!$O:$O,'[1]LISTA ETIQUETAS'!E:E,"",0)</f>
        <v>0</v>
      </c>
      <c r="R902" s="2">
        <f>_xlfn.XLOOKUP($A902,'[1]LISTA ETIQUETAS'!$O:$O,'[1]LISTA ETIQUETAS'!F:F,"",0)</f>
        <v>0</v>
      </c>
      <c r="S902" s="2">
        <f>_xlfn.XLOOKUP($A902,'[1]LISTA ETIQUETAS'!$O:$O,'[1]LISTA ETIQUETAS'!H:H,"",0)</f>
        <v>2</v>
      </c>
      <c r="T902" s="9">
        <f t="shared" si="44"/>
        <v>2</v>
      </c>
    </row>
    <row r="903" spans="1:20" x14ac:dyDescent="0.25">
      <c r="A903" s="5">
        <v>174077</v>
      </c>
      <c r="B903" t="str">
        <f>IFERROR((VLOOKUP(A903,'[1]LISTA ETIQUETAS'!O:X,3,0)),"PRODUTO SEM ESTOQUE")</f>
        <v>EST PUFF ELLUS (C/RODIZIOS) COURO CINZA CLARO</v>
      </c>
      <c r="C903" s="10" t="s">
        <v>39</v>
      </c>
      <c r="D903" s="10" t="s">
        <v>574</v>
      </c>
      <c r="E903" s="11">
        <f>IF(VLOOKUP(A903,'[1]LISTA ETIQUETAS'!O:W,4,0)="",(VLOOKUP(A903,'[1]LISTA ETIQUETAS'!O:W,6,0)),(VLOOKUP(A903,'[1]LISTA ETIQUETAS'!O:W,4,0)))</f>
        <v>0.86</v>
      </c>
      <c r="F903" s="11">
        <f>IF(VLOOKUP(A903,'[1]LISTA ETIQUETAS'!O:W,5,0)="",(VLOOKUP(A903,'[1]LISTA ETIQUETAS'!O:W,7,0)),(VLOOKUP(A903,'[1]LISTA ETIQUETAS'!O:W,5,0)))</f>
        <v>0.6</v>
      </c>
      <c r="G903" s="11">
        <f>IFERROR((VLOOKUP(A903,'[1]LISTA ETIQUETAS'!O:X,8,0)),"")</f>
        <v>0.42</v>
      </c>
      <c r="H903" s="11">
        <f>IFERROR((VLOOKUP(A903,'[1]LISTA ETIQUETAS'!O:X,9,0)),"")</f>
        <v>0</v>
      </c>
      <c r="I903" s="12">
        <f>IFERROR((VLOOKUP(A903,'[1]LISTA ETIQUETAS'!O:Y,11,0)),"")</f>
        <v>12417.13</v>
      </c>
      <c r="J903" s="6">
        <v>0</v>
      </c>
      <c r="K903" s="12">
        <f t="shared" si="42"/>
        <v>12417.13</v>
      </c>
      <c r="L903" s="7" t="str">
        <f>IF(VLOOKUP(A903,'[1]LISTA ETIQUETAS'!O:AB,14,0)="","",(VLOOKUP(A903,'[1]LISTA ETIQUETAS'!O:AB,14,0)))</f>
        <v/>
      </c>
      <c r="M903" s="8"/>
      <c r="N903" s="9">
        <f t="shared" si="43"/>
        <v>174077</v>
      </c>
      <c r="O903" s="2">
        <f>_xlfn.XLOOKUP($A903,'[1]LISTA ETIQUETAS'!$O:$O,'[1]LISTA ETIQUETAS'!C:C,"",0)</f>
        <v>0</v>
      </c>
      <c r="P903" s="2">
        <f>_xlfn.XLOOKUP($A903,'[1]LISTA ETIQUETAS'!$O:$O,'[1]LISTA ETIQUETAS'!D:D,"",0)</f>
        <v>0</v>
      </c>
      <c r="Q903" s="2">
        <f>_xlfn.XLOOKUP($A903,'[1]LISTA ETIQUETAS'!$O:$O,'[1]LISTA ETIQUETAS'!E:E,"",0)</f>
        <v>0</v>
      </c>
      <c r="R903" s="2">
        <f>_xlfn.XLOOKUP($A903,'[1]LISTA ETIQUETAS'!$O:$O,'[1]LISTA ETIQUETAS'!F:F,"",0)</f>
        <v>0</v>
      </c>
      <c r="S903" s="2">
        <f>_xlfn.XLOOKUP($A903,'[1]LISTA ETIQUETAS'!$O:$O,'[1]LISTA ETIQUETAS'!H:H,"",0)</f>
        <v>2</v>
      </c>
      <c r="T903" s="9">
        <f t="shared" si="44"/>
        <v>2</v>
      </c>
    </row>
    <row r="904" spans="1:20" x14ac:dyDescent="0.25">
      <c r="A904" s="5">
        <v>120867</v>
      </c>
      <c r="B904" t="str">
        <f>IFERROR((VLOOKUP(A904,'[1]LISTA ETIQUETAS'!O:X,3,0)),"PRODUTO SEM ESTOQUE")</f>
        <v>EST PUFF TOPOGRAFIA H41 (CATUABA AVEL) TC11202-258</v>
      </c>
      <c r="C904" s="10" t="s">
        <v>39</v>
      </c>
      <c r="D904" s="10" t="s">
        <v>575</v>
      </c>
      <c r="E904" s="11">
        <f>IF(VLOOKUP(A904,'[1]LISTA ETIQUETAS'!O:W,4,0)="",(VLOOKUP(A904,'[1]LISTA ETIQUETAS'!O:W,6,0)),(VLOOKUP(A904,'[1]LISTA ETIQUETAS'!O:W,4,0)))</f>
        <v>0.45</v>
      </c>
      <c r="F904" s="11">
        <f>IF(VLOOKUP(A904,'[1]LISTA ETIQUETAS'!O:W,5,0)="",(VLOOKUP(A904,'[1]LISTA ETIQUETAS'!O:W,7,0)),(VLOOKUP(A904,'[1]LISTA ETIQUETAS'!O:W,5,0)))</f>
        <v>0</v>
      </c>
      <c r="G904" s="11">
        <f>IFERROR((VLOOKUP(A904,'[1]LISTA ETIQUETAS'!O:X,8,0)),"")</f>
        <v>0.41</v>
      </c>
      <c r="H904" s="11">
        <f>IFERROR((VLOOKUP(A904,'[1]LISTA ETIQUETAS'!O:X,9,0)),"")</f>
        <v>0.45</v>
      </c>
      <c r="I904" s="12">
        <f>IFERROR((VLOOKUP(A904,'[1]LISTA ETIQUETAS'!O:Y,11,0)),"")</f>
        <v>5647.4</v>
      </c>
      <c r="J904" s="6">
        <v>0</v>
      </c>
      <c r="K904" s="12">
        <f t="shared" si="42"/>
        <v>5647.4</v>
      </c>
      <c r="L904" s="7" t="str">
        <f>IF(VLOOKUP(A904,'[1]LISTA ETIQUETAS'!O:AB,14,0)="","",(VLOOKUP(A904,'[1]LISTA ETIQUETAS'!O:AB,14,0)))</f>
        <v/>
      </c>
      <c r="M904" s="8"/>
      <c r="N904" s="9">
        <f t="shared" si="43"/>
        <v>120867</v>
      </c>
      <c r="O904" s="2">
        <f>_xlfn.XLOOKUP($A904,'[1]LISTA ETIQUETAS'!$O:$O,'[1]LISTA ETIQUETAS'!C:C,"",0)</f>
        <v>0</v>
      </c>
      <c r="P904" s="2">
        <f>_xlfn.XLOOKUP($A904,'[1]LISTA ETIQUETAS'!$O:$O,'[1]LISTA ETIQUETAS'!D:D,"",0)</f>
        <v>0</v>
      </c>
      <c r="Q904" s="2">
        <f>_xlfn.XLOOKUP($A904,'[1]LISTA ETIQUETAS'!$O:$O,'[1]LISTA ETIQUETAS'!E:E,"",0)</f>
        <v>0</v>
      </c>
      <c r="R904" s="2">
        <f>_xlfn.XLOOKUP($A904,'[1]LISTA ETIQUETAS'!$O:$O,'[1]LISTA ETIQUETAS'!F:F,"",0)</f>
        <v>0</v>
      </c>
      <c r="S904" s="2">
        <f>_xlfn.XLOOKUP($A904,'[1]LISTA ETIQUETAS'!$O:$O,'[1]LISTA ETIQUETAS'!H:H,"",0)</f>
        <v>1</v>
      </c>
      <c r="T904" s="9">
        <f t="shared" si="44"/>
        <v>1</v>
      </c>
    </row>
    <row r="905" spans="1:20" x14ac:dyDescent="0.25">
      <c r="A905" s="5">
        <v>111890</v>
      </c>
      <c r="B905" t="str">
        <f>IFERROR((VLOOKUP(A905,'[1]LISTA ETIQUETAS'!O:X,3,0)),"PRODUTO SEM ESTOQUE")</f>
        <v>EST PUFF SEIXOS 2 (COURO TIPO 4 FIORI ANTILOPE LISO)</v>
      </c>
      <c r="C905" s="10" t="s">
        <v>39</v>
      </c>
      <c r="D905" s="10" t="s">
        <v>576</v>
      </c>
      <c r="E905" s="11">
        <f>IF(VLOOKUP(A905,'[1]LISTA ETIQUETAS'!O:W,4,0)="",(VLOOKUP(A905,'[1]LISTA ETIQUETAS'!O:W,6,0)),(VLOOKUP(A905,'[1]LISTA ETIQUETAS'!O:W,4,0)))</f>
        <v>1.08</v>
      </c>
      <c r="F905" s="11">
        <f>IF(VLOOKUP(A905,'[1]LISTA ETIQUETAS'!O:W,5,0)="",(VLOOKUP(A905,'[1]LISTA ETIQUETAS'!O:W,7,0)),(VLOOKUP(A905,'[1]LISTA ETIQUETAS'!O:W,5,0)))</f>
        <v>0.76</v>
      </c>
      <c r="G905" s="11">
        <f>IFERROR((VLOOKUP(A905,'[1]LISTA ETIQUETAS'!O:X,8,0)),"")</f>
        <v>0.38</v>
      </c>
      <c r="H905" s="11">
        <f>IFERROR((VLOOKUP(A905,'[1]LISTA ETIQUETAS'!O:X,9,0)),"")</f>
        <v>0</v>
      </c>
      <c r="I905" s="12">
        <f>IFERROR((VLOOKUP(A905,'[1]LISTA ETIQUETAS'!O:Y,11,0)),"")</f>
        <v>8512</v>
      </c>
      <c r="J905" s="6">
        <v>0</v>
      </c>
      <c r="K905" s="12">
        <f t="shared" si="42"/>
        <v>8512</v>
      </c>
      <c r="L905" s="7" t="str">
        <f>IF(VLOOKUP(A905,'[1]LISTA ETIQUETAS'!O:AB,14,0)="","",(VLOOKUP(A905,'[1]LISTA ETIQUETAS'!O:AB,14,0)))</f>
        <v/>
      </c>
      <c r="M905" s="8"/>
      <c r="N905" s="9">
        <f t="shared" si="43"/>
        <v>111890</v>
      </c>
      <c r="O905" s="2">
        <f>_xlfn.XLOOKUP($A905,'[1]LISTA ETIQUETAS'!$O:$O,'[1]LISTA ETIQUETAS'!C:C,"",0)</f>
        <v>0</v>
      </c>
      <c r="P905" s="2">
        <f>_xlfn.XLOOKUP($A905,'[1]LISTA ETIQUETAS'!$O:$O,'[1]LISTA ETIQUETAS'!D:D,"",0)</f>
        <v>0</v>
      </c>
      <c r="Q905" s="2">
        <f>_xlfn.XLOOKUP($A905,'[1]LISTA ETIQUETAS'!$O:$O,'[1]LISTA ETIQUETAS'!E:E,"",0)</f>
        <v>0</v>
      </c>
      <c r="R905" s="2">
        <f>_xlfn.XLOOKUP($A905,'[1]LISTA ETIQUETAS'!$O:$O,'[1]LISTA ETIQUETAS'!F:F,"",0)</f>
        <v>0</v>
      </c>
      <c r="S905" s="2">
        <f>_xlfn.XLOOKUP($A905,'[1]LISTA ETIQUETAS'!$O:$O,'[1]LISTA ETIQUETAS'!H:H,"",0)</f>
        <v>1</v>
      </c>
      <c r="T905" s="9">
        <f t="shared" si="44"/>
        <v>1</v>
      </c>
    </row>
    <row r="906" spans="1:20" x14ac:dyDescent="0.25">
      <c r="A906" s="5">
        <v>151387</v>
      </c>
      <c r="B906" t="str">
        <f>IFERROR((VLOOKUP(A906,'[1]LISTA ETIQUETAS'!O:X,3,0)),"PRODUTO SEM ESTOQUE")</f>
        <v>EST PUFF BRISTOL (C/ALCA) (FIBRA 10MM) OURO PRETO RASPADO</v>
      </c>
      <c r="C906" s="10" t="s">
        <v>39</v>
      </c>
      <c r="D906" s="10" t="s">
        <v>577</v>
      </c>
      <c r="E906" s="11">
        <f>IF(VLOOKUP(A906,'[1]LISTA ETIQUETAS'!O:W,4,0)="",(VLOOKUP(A906,'[1]LISTA ETIQUETAS'!O:W,6,0)),(VLOOKUP(A906,'[1]LISTA ETIQUETAS'!O:W,4,0)))</f>
        <v>0.4</v>
      </c>
      <c r="F906" s="11">
        <f>IF(VLOOKUP(A906,'[1]LISTA ETIQUETAS'!O:W,5,0)="",(VLOOKUP(A906,'[1]LISTA ETIQUETAS'!O:W,7,0)),(VLOOKUP(A906,'[1]LISTA ETIQUETAS'!O:W,5,0)))</f>
        <v>0.4</v>
      </c>
      <c r="G906" s="11">
        <f>IFERROR((VLOOKUP(A906,'[1]LISTA ETIQUETAS'!O:X,8,0)),"")</f>
        <v>0.4</v>
      </c>
      <c r="H906" s="11">
        <f>IFERROR((VLOOKUP(A906,'[1]LISTA ETIQUETAS'!O:X,9,0)),"")</f>
        <v>0</v>
      </c>
      <c r="I906" s="12">
        <f>IFERROR((VLOOKUP(A906,'[1]LISTA ETIQUETAS'!O:Y,11,0)),"")</f>
        <v>3551.52</v>
      </c>
      <c r="J906" s="6">
        <v>0</v>
      </c>
      <c r="K906" s="12">
        <f t="shared" si="42"/>
        <v>3551.52</v>
      </c>
      <c r="L906" s="7" t="str">
        <f>IF(VLOOKUP(A906,'[1]LISTA ETIQUETAS'!O:AB,14,0)="","",(VLOOKUP(A906,'[1]LISTA ETIQUETAS'!O:AB,14,0)))</f>
        <v/>
      </c>
      <c r="M906" s="8"/>
      <c r="N906" s="9">
        <f t="shared" si="43"/>
        <v>151387</v>
      </c>
      <c r="O906" s="2">
        <f>_xlfn.XLOOKUP($A906,'[1]LISTA ETIQUETAS'!$O:$O,'[1]LISTA ETIQUETAS'!C:C,"",0)</f>
        <v>1</v>
      </c>
      <c r="P906" s="2">
        <f>_xlfn.XLOOKUP($A906,'[1]LISTA ETIQUETAS'!$O:$O,'[1]LISTA ETIQUETAS'!D:D,"",0)</f>
        <v>0</v>
      </c>
      <c r="Q906" s="2">
        <f>_xlfn.XLOOKUP($A906,'[1]LISTA ETIQUETAS'!$O:$O,'[1]LISTA ETIQUETAS'!E:E,"",0)</f>
        <v>0</v>
      </c>
      <c r="R906" s="2">
        <f>_xlfn.XLOOKUP($A906,'[1]LISTA ETIQUETAS'!$O:$O,'[1]LISTA ETIQUETAS'!F:F,"",0)</f>
        <v>0</v>
      </c>
      <c r="S906" s="2">
        <f>_xlfn.XLOOKUP($A906,'[1]LISTA ETIQUETAS'!$O:$O,'[1]LISTA ETIQUETAS'!H:H,"",0)</f>
        <v>2</v>
      </c>
      <c r="T906" s="9">
        <f t="shared" si="44"/>
        <v>3</v>
      </c>
    </row>
    <row r="907" spans="1:20" x14ac:dyDescent="0.25">
      <c r="A907" s="5">
        <v>151462</v>
      </c>
      <c r="B907" t="str">
        <f>IFERROR((VLOOKUP(A907,'[1]LISTA ETIQUETAS'!O:X,3,0)),"PRODUTO SEM ESTOQUE")</f>
        <v>EST PUFF RAVENNA (FIBRA BANANEIRA) PES MADEIRA MACICA</v>
      </c>
      <c r="C907" s="10" t="s">
        <v>39</v>
      </c>
      <c r="D907" s="10" t="s">
        <v>578</v>
      </c>
      <c r="E907" s="11">
        <f>IF(VLOOKUP(A907,'[1]LISTA ETIQUETAS'!O:W,4,0)="",(VLOOKUP(A907,'[1]LISTA ETIQUETAS'!O:W,6,0)),(VLOOKUP(A907,'[1]LISTA ETIQUETAS'!O:W,4,0)))</f>
        <v>0.8</v>
      </c>
      <c r="F907" s="11">
        <f>IF(VLOOKUP(A907,'[1]LISTA ETIQUETAS'!O:W,5,0)="",(VLOOKUP(A907,'[1]LISTA ETIQUETAS'!O:W,7,0)),(VLOOKUP(A907,'[1]LISTA ETIQUETAS'!O:W,5,0)))</f>
        <v>0.8</v>
      </c>
      <c r="G907" s="11">
        <f>IFERROR((VLOOKUP(A907,'[1]LISTA ETIQUETAS'!O:X,8,0)),"")</f>
        <v>0.45</v>
      </c>
      <c r="H907" s="11">
        <f>IFERROR((VLOOKUP(A907,'[1]LISTA ETIQUETAS'!O:X,9,0)),"")</f>
        <v>0</v>
      </c>
      <c r="I907" s="12">
        <f>IFERROR((VLOOKUP(A907,'[1]LISTA ETIQUETAS'!O:Y,11,0)),"")</f>
        <v>15680</v>
      </c>
      <c r="J907" s="6">
        <v>0</v>
      </c>
      <c r="K907" s="12">
        <f t="shared" si="42"/>
        <v>15680</v>
      </c>
      <c r="L907" s="7" t="str">
        <f>IF(VLOOKUP(A907,'[1]LISTA ETIQUETAS'!O:AB,14,0)="","",(VLOOKUP(A907,'[1]LISTA ETIQUETAS'!O:AB,14,0)))</f>
        <v/>
      </c>
      <c r="M907" s="8"/>
      <c r="N907" s="9">
        <f t="shared" si="43"/>
        <v>151462</v>
      </c>
      <c r="O907" s="2">
        <f>_xlfn.XLOOKUP($A907,'[1]LISTA ETIQUETAS'!$O:$O,'[1]LISTA ETIQUETAS'!C:C,"",0)</f>
        <v>0</v>
      </c>
      <c r="P907" s="2">
        <f>_xlfn.XLOOKUP($A907,'[1]LISTA ETIQUETAS'!$O:$O,'[1]LISTA ETIQUETAS'!D:D,"",0)</f>
        <v>0</v>
      </c>
      <c r="Q907" s="2">
        <f>_xlfn.XLOOKUP($A907,'[1]LISTA ETIQUETAS'!$O:$O,'[1]LISTA ETIQUETAS'!E:E,"",0)</f>
        <v>0</v>
      </c>
      <c r="R907" s="2">
        <f>_xlfn.XLOOKUP($A907,'[1]LISTA ETIQUETAS'!$O:$O,'[1]LISTA ETIQUETAS'!F:F,"",0)</f>
        <v>0</v>
      </c>
      <c r="S907" s="2">
        <f>_xlfn.XLOOKUP($A907,'[1]LISTA ETIQUETAS'!$O:$O,'[1]LISTA ETIQUETAS'!H:H,"",0)</f>
        <v>1</v>
      </c>
      <c r="T907" s="9">
        <f t="shared" si="44"/>
        <v>1</v>
      </c>
    </row>
    <row r="908" spans="1:20" x14ac:dyDescent="0.25">
      <c r="A908" s="5">
        <v>182204</v>
      </c>
      <c r="B908" t="str">
        <f>IFERROR((VLOOKUP(A908,'[1]LISTA ETIQUETAS'!O:X,3,0)),"PRODUTO SEM ESTOQUE")</f>
        <v>EST PUFF CLOUD (PESPONTO 8975) TC NBX00094-003</v>
      </c>
      <c r="C908" s="10" t="s">
        <v>39</v>
      </c>
      <c r="D908" s="10" t="s">
        <v>579</v>
      </c>
      <c r="E908" s="11">
        <f>IF(VLOOKUP(A908,'[1]LISTA ETIQUETAS'!O:W,4,0)="",(VLOOKUP(A908,'[1]LISTA ETIQUETAS'!O:W,6,0)),(VLOOKUP(A908,'[1]LISTA ETIQUETAS'!O:W,4,0)))</f>
        <v>1</v>
      </c>
      <c r="F908" s="11">
        <f>IF(VLOOKUP(A908,'[1]LISTA ETIQUETAS'!O:W,5,0)="",(VLOOKUP(A908,'[1]LISTA ETIQUETAS'!O:W,7,0)),(VLOOKUP(A908,'[1]LISTA ETIQUETAS'!O:W,5,0)))</f>
        <v>1</v>
      </c>
      <c r="G908" s="11">
        <f>IFERROR((VLOOKUP(A908,'[1]LISTA ETIQUETAS'!O:X,8,0)),"")</f>
        <v>0.44</v>
      </c>
      <c r="H908" s="11">
        <f>IFERROR((VLOOKUP(A908,'[1]LISTA ETIQUETAS'!O:X,9,0)),"")</f>
        <v>0</v>
      </c>
      <c r="I908" s="12">
        <f>IFERROR((VLOOKUP(A908,'[1]LISTA ETIQUETAS'!O:Y,11,0)),"")</f>
        <v>0</v>
      </c>
      <c r="J908" s="6">
        <v>0</v>
      </c>
      <c r="K908" s="12">
        <f t="shared" si="42"/>
        <v>0</v>
      </c>
      <c r="L908" s="7" t="str">
        <f>IF(VLOOKUP(A908,'[1]LISTA ETIQUETAS'!O:AB,14,0)="","",(VLOOKUP(A908,'[1]LISTA ETIQUETAS'!O:AB,14,0)))</f>
        <v/>
      </c>
      <c r="M908" s="8"/>
      <c r="N908" s="9">
        <f t="shared" si="43"/>
        <v>182204</v>
      </c>
      <c r="O908" s="2">
        <f>_xlfn.XLOOKUP($A908,'[1]LISTA ETIQUETAS'!$O:$O,'[1]LISTA ETIQUETAS'!C:C,"",0)</f>
        <v>0</v>
      </c>
      <c r="P908" s="2">
        <f>_xlfn.XLOOKUP($A908,'[1]LISTA ETIQUETAS'!$O:$O,'[1]LISTA ETIQUETAS'!D:D,"",0)</f>
        <v>0</v>
      </c>
      <c r="Q908" s="2">
        <f>_xlfn.XLOOKUP($A908,'[1]LISTA ETIQUETAS'!$O:$O,'[1]LISTA ETIQUETAS'!E:E,"",0)</f>
        <v>0</v>
      </c>
      <c r="R908" s="2">
        <f>_xlfn.XLOOKUP($A908,'[1]LISTA ETIQUETAS'!$O:$O,'[1]LISTA ETIQUETAS'!F:F,"",0)</f>
        <v>0</v>
      </c>
      <c r="S908" s="2">
        <f>_xlfn.XLOOKUP($A908,'[1]LISTA ETIQUETAS'!$O:$O,'[1]LISTA ETIQUETAS'!H:H,"",0)</f>
        <v>1</v>
      </c>
      <c r="T908" s="9">
        <f t="shared" si="44"/>
        <v>1</v>
      </c>
    </row>
    <row r="909" spans="1:20" x14ac:dyDescent="0.25">
      <c r="A909" s="5">
        <v>179135</v>
      </c>
      <c r="B909" t="str">
        <f>IFERROR((VLOOKUP(A909,'[1]LISTA ETIQUETAS'!O:X,3,0)),"PRODUTO SEM ESTOQUE")</f>
        <v>EST PUFF THOR (NEW FINE) TC CAIRO BASIC</v>
      </c>
      <c r="C909" s="10" t="s">
        <v>39</v>
      </c>
      <c r="D909" s="10" t="s">
        <v>580</v>
      </c>
      <c r="E909" s="11">
        <f>IF(VLOOKUP(A909,'[1]LISTA ETIQUETAS'!O:W,4,0)="",(VLOOKUP(A909,'[1]LISTA ETIQUETAS'!O:W,6,0)),(VLOOKUP(A909,'[1]LISTA ETIQUETAS'!O:W,4,0)))</f>
        <v>0.5</v>
      </c>
      <c r="F909" s="11">
        <f>IF(VLOOKUP(A909,'[1]LISTA ETIQUETAS'!O:W,5,0)="",(VLOOKUP(A909,'[1]LISTA ETIQUETAS'!O:W,7,0)),(VLOOKUP(A909,'[1]LISTA ETIQUETAS'!O:W,5,0)))</f>
        <v>0.5</v>
      </c>
      <c r="G909" s="11">
        <f>IFERROR((VLOOKUP(A909,'[1]LISTA ETIQUETAS'!O:X,8,0)),"")</f>
        <v>0.45</v>
      </c>
      <c r="H909" s="11">
        <f>IFERROR((VLOOKUP(A909,'[1]LISTA ETIQUETAS'!O:X,9,0)),"")</f>
        <v>0</v>
      </c>
      <c r="I909" s="12">
        <f>IFERROR((VLOOKUP(A909,'[1]LISTA ETIQUETAS'!O:Y,11,0)),"")</f>
        <v>4756.96</v>
      </c>
      <c r="J909" s="6">
        <v>0</v>
      </c>
      <c r="K909" s="12">
        <f t="shared" si="42"/>
        <v>4756.96</v>
      </c>
      <c r="L909" s="7" t="str">
        <f>IF(VLOOKUP(A909,'[1]LISTA ETIQUETAS'!O:AB,14,0)="","",(VLOOKUP(A909,'[1]LISTA ETIQUETAS'!O:AB,14,0)))</f>
        <v/>
      </c>
      <c r="M909" s="8"/>
      <c r="N909" s="9">
        <f t="shared" si="43"/>
        <v>179135</v>
      </c>
      <c r="O909" s="2">
        <f>_xlfn.XLOOKUP($A909,'[1]LISTA ETIQUETAS'!$O:$O,'[1]LISTA ETIQUETAS'!C:C,"",0)</f>
        <v>0</v>
      </c>
      <c r="P909" s="2">
        <f>_xlfn.XLOOKUP($A909,'[1]LISTA ETIQUETAS'!$O:$O,'[1]LISTA ETIQUETAS'!D:D,"",0)</f>
        <v>0</v>
      </c>
      <c r="Q909" s="2">
        <f>_xlfn.XLOOKUP($A909,'[1]LISTA ETIQUETAS'!$O:$O,'[1]LISTA ETIQUETAS'!E:E,"",0)</f>
        <v>1</v>
      </c>
      <c r="R909" s="2">
        <f>_xlfn.XLOOKUP($A909,'[1]LISTA ETIQUETAS'!$O:$O,'[1]LISTA ETIQUETAS'!F:F,"",0)</f>
        <v>0</v>
      </c>
      <c r="S909" s="2">
        <f>_xlfn.XLOOKUP($A909,'[1]LISTA ETIQUETAS'!$O:$O,'[1]LISTA ETIQUETAS'!H:H,"",0)</f>
        <v>1</v>
      </c>
      <c r="T909" s="9">
        <f t="shared" si="44"/>
        <v>2</v>
      </c>
    </row>
    <row r="910" spans="1:20" x14ac:dyDescent="0.25">
      <c r="A910" s="5">
        <v>178949</v>
      </c>
      <c r="B910" t="str">
        <f>IFERROR((VLOOKUP(A910,'[1]LISTA ETIQUETAS'!O:X,3,0)),"PRODUTO SEM ESTOQUE")</f>
        <v>EST PUFF TOPOGRAFIA H41 (LC H155 FSC) VELVET BAMBOO AQ 4027</v>
      </c>
      <c r="C910" s="10" t="s">
        <v>39</v>
      </c>
      <c r="D910" s="10" t="s">
        <v>575</v>
      </c>
      <c r="E910" s="11">
        <f>IF(VLOOKUP(A910,'[1]LISTA ETIQUETAS'!O:W,4,0)="",(VLOOKUP(A910,'[1]LISTA ETIQUETAS'!O:W,6,0)),(VLOOKUP(A910,'[1]LISTA ETIQUETAS'!O:W,4,0)))</f>
        <v>0.45</v>
      </c>
      <c r="F910" s="11">
        <f>IF(VLOOKUP(A910,'[1]LISTA ETIQUETAS'!O:W,5,0)="",(VLOOKUP(A910,'[1]LISTA ETIQUETAS'!O:W,7,0)),(VLOOKUP(A910,'[1]LISTA ETIQUETAS'!O:W,5,0)))</f>
        <v>0</v>
      </c>
      <c r="G910" s="11">
        <f>IFERROR((VLOOKUP(A910,'[1]LISTA ETIQUETAS'!O:X,8,0)),"")</f>
        <v>0.41</v>
      </c>
      <c r="H910" s="11">
        <f>IFERROR((VLOOKUP(A910,'[1]LISTA ETIQUETAS'!O:X,9,0)),"")</f>
        <v>0.45</v>
      </c>
      <c r="I910" s="12">
        <f>IFERROR((VLOOKUP(A910,'[1]LISTA ETIQUETAS'!O:Y,11,0)),"")</f>
        <v>6230.25</v>
      </c>
      <c r="J910" s="6">
        <v>0</v>
      </c>
      <c r="K910" s="12">
        <f t="shared" si="42"/>
        <v>6230.25</v>
      </c>
      <c r="L910" s="7" t="str">
        <f>IF(VLOOKUP(A910,'[1]LISTA ETIQUETAS'!O:AB,14,0)="","",(VLOOKUP(A910,'[1]LISTA ETIQUETAS'!O:AB,14,0)))</f>
        <v/>
      </c>
      <c r="M910" s="8"/>
      <c r="N910" s="9">
        <f t="shared" si="43"/>
        <v>178949</v>
      </c>
      <c r="O910" s="2">
        <f>_xlfn.XLOOKUP($A910,'[1]LISTA ETIQUETAS'!$O:$O,'[1]LISTA ETIQUETAS'!C:C,"",0)</f>
        <v>0</v>
      </c>
      <c r="P910" s="2">
        <f>_xlfn.XLOOKUP($A910,'[1]LISTA ETIQUETAS'!$O:$O,'[1]LISTA ETIQUETAS'!D:D,"",0)</f>
        <v>0</v>
      </c>
      <c r="Q910" s="2">
        <f>_xlfn.XLOOKUP($A910,'[1]LISTA ETIQUETAS'!$O:$O,'[1]LISTA ETIQUETAS'!E:E,"",0)</f>
        <v>0</v>
      </c>
      <c r="R910" s="2">
        <f>_xlfn.XLOOKUP($A910,'[1]LISTA ETIQUETAS'!$O:$O,'[1]LISTA ETIQUETAS'!F:F,"",0)</f>
        <v>0</v>
      </c>
      <c r="S910" s="2">
        <f>_xlfn.XLOOKUP($A910,'[1]LISTA ETIQUETAS'!$O:$O,'[1]LISTA ETIQUETAS'!H:H,"",0)</f>
        <v>4</v>
      </c>
      <c r="T910" s="9">
        <f t="shared" si="44"/>
        <v>4</v>
      </c>
    </row>
    <row r="911" spans="1:20" x14ac:dyDescent="0.25">
      <c r="A911" s="5">
        <v>191239</v>
      </c>
      <c r="B911" t="str">
        <f>IFERROR((VLOOKUP(A911,'[1]LISTA ETIQUETAS'!O:X,3,0)),"PRODUTO SEM ESTOQUE")</f>
        <v>EST PUFF CHEIG (INTERNO REVESTIDO TC VCANDY COTON MINK #06)</v>
      </c>
      <c r="C911" s="10" t="s">
        <v>39</v>
      </c>
      <c r="D911" s="10" t="s">
        <v>581</v>
      </c>
      <c r="E911" s="11">
        <f>IF(VLOOKUP(A911,'[1]LISTA ETIQUETAS'!O:W,4,0)="",(VLOOKUP(A911,'[1]LISTA ETIQUETAS'!O:W,6,0)),(VLOOKUP(A911,'[1]LISTA ETIQUETAS'!O:W,4,0)))</f>
        <v>0.75</v>
      </c>
      <c r="F911" s="11">
        <f>IF(VLOOKUP(A911,'[1]LISTA ETIQUETAS'!O:W,5,0)="",(VLOOKUP(A911,'[1]LISTA ETIQUETAS'!O:W,7,0)),(VLOOKUP(A911,'[1]LISTA ETIQUETAS'!O:W,5,0)))</f>
        <v>0.5</v>
      </c>
      <c r="G911" s="11">
        <f>IFERROR((VLOOKUP(A911,'[1]LISTA ETIQUETAS'!O:X,8,0)),"")</f>
        <v>0.45</v>
      </c>
      <c r="H911" s="11">
        <f>IFERROR((VLOOKUP(A911,'[1]LISTA ETIQUETAS'!O:X,9,0)),"")</f>
        <v>0</v>
      </c>
      <c r="I911" s="12">
        <f>IFERROR((VLOOKUP(A911,'[1]LISTA ETIQUETAS'!O:Y,11,0)),"")</f>
        <v>10407.49</v>
      </c>
      <c r="J911" s="6">
        <v>0</v>
      </c>
      <c r="K911" s="12">
        <f t="shared" si="42"/>
        <v>10407.49</v>
      </c>
      <c r="L911" s="7" t="str">
        <f>IF(VLOOKUP(A911,'[1]LISTA ETIQUETAS'!O:AB,14,0)="","",(VLOOKUP(A911,'[1]LISTA ETIQUETAS'!O:AB,14,0)))</f>
        <v/>
      </c>
      <c r="M911" s="8"/>
      <c r="N911" s="9">
        <f t="shared" si="43"/>
        <v>191239</v>
      </c>
      <c r="O911" s="2">
        <f>_xlfn.XLOOKUP($A911,'[1]LISTA ETIQUETAS'!$O:$O,'[1]LISTA ETIQUETAS'!C:C,"",0)</f>
        <v>0</v>
      </c>
      <c r="P911" s="2">
        <f>_xlfn.XLOOKUP($A911,'[1]LISTA ETIQUETAS'!$O:$O,'[1]LISTA ETIQUETAS'!D:D,"",0)</f>
        <v>0</v>
      </c>
      <c r="Q911" s="2">
        <f>_xlfn.XLOOKUP($A911,'[1]LISTA ETIQUETAS'!$O:$O,'[1]LISTA ETIQUETAS'!E:E,"",0)</f>
        <v>0</v>
      </c>
      <c r="R911" s="2">
        <f>_xlfn.XLOOKUP($A911,'[1]LISTA ETIQUETAS'!$O:$O,'[1]LISTA ETIQUETAS'!F:F,"",0)</f>
        <v>0</v>
      </c>
      <c r="S911" s="2">
        <f>_xlfn.XLOOKUP($A911,'[1]LISTA ETIQUETAS'!$O:$O,'[1]LISTA ETIQUETAS'!H:H,"",0)</f>
        <v>2</v>
      </c>
      <c r="T911" s="9">
        <f t="shared" si="44"/>
        <v>2</v>
      </c>
    </row>
    <row r="912" spans="1:20" x14ac:dyDescent="0.25">
      <c r="A912" s="5">
        <v>184969</v>
      </c>
      <c r="B912" t="str">
        <f>IFERROR((VLOOKUP(A912,'[1]LISTA ETIQUETAS'!O:X,3,0)),"PRODUTO SEM ESTOQUE")</f>
        <v>EST BANQUETA 150 (TAUARI TING NOGUEIRA) (TC 122#5)</v>
      </c>
      <c r="C912" s="10" t="s">
        <v>39</v>
      </c>
      <c r="D912" s="10" t="s">
        <v>582</v>
      </c>
      <c r="E912" s="11">
        <f>IF(VLOOKUP(A912,'[1]LISTA ETIQUETAS'!O:W,4,0)="",(VLOOKUP(A912,'[1]LISTA ETIQUETAS'!O:W,6,0)),(VLOOKUP(A912,'[1]LISTA ETIQUETAS'!O:W,4,0)))</f>
        <v>0.66</v>
      </c>
      <c r="F912" s="11">
        <f>IF(VLOOKUP(A912,'[1]LISTA ETIQUETAS'!O:W,5,0)="",(VLOOKUP(A912,'[1]LISTA ETIQUETAS'!O:W,7,0)),(VLOOKUP(A912,'[1]LISTA ETIQUETAS'!O:W,5,0)))</f>
        <v>0.5</v>
      </c>
      <c r="G912" s="11">
        <f>IFERROR((VLOOKUP(A912,'[1]LISTA ETIQUETAS'!O:X,8,0)),"")</f>
        <v>0.41</v>
      </c>
      <c r="H912" s="11">
        <f>IFERROR((VLOOKUP(A912,'[1]LISTA ETIQUETAS'!O:X,9,0)),"")</f>
        <v>0</v>
      </c>
      <c r="I912" s="12" t="str">
        <f>IFERROR((VLOOKUP(A912,'[1]LISTA ETIQUETAS'!O:Y,11,0)),"")</f>
        <v/>
      </c>
      <c r="J912" s="6">
        <v>0</v>
      </c>
      <c r="K912" s="12" t="str">
        <f t="shared" si="42"/>
        <v/>
      </c>
      <c r="L912" s="7" t="str">
        <f>IF(VLOOKUP(A912,'[1]LISTA ETIQUETAS'!O:AB,14,0)="","",(VLOOKUP(A912,'[1]LISTA ETIQUETAS'!O:AB,14,0)))</f>
        <v/>
      </c>
      <c r="M912" s="8"/>
      <c r="N912" s="9">
        <f t="shared" si="43"/>
        <v>184969</v>
      </c>
      <c r="O912" s="2">
        <f>_xlfn.XLOOKUP($A912,'[1]LISTA ETIQUETAS'!$O:$O,'[1]LISTA ETIQUETAS'!C:C,"",0)</f>
        <v>0</v>
      </c>
      <c r="P912" s="2">
        <f>_xlfn.XLOOKUP($A912,'[1]LISTA ETIQUETAS'!$O:$O,'[1]LISTA ETIQUETAS'!D:D,"",0)</f>
        <v>0</v>
      </c>
      <c r="Q912" s="2">
        <f>_xlfn.XLOOKUP($A912,'[1]LISTA ETIQUETAS'!$O:$O,'[1]LISTA ETIQUETAS'!E:E,"",0)</f>
        <v>0</v>
      </c>
      <c r="R912" s="2">
        <f>_xlfn.XLOOKUP($A912,'[1]LISTA ETIQUETAS'!$O:$O,'[1]LISTA ETIQUETAS'!F:F,"",0)</f>
        <v>0</v>
      </c>
      <c r="S912" s="2">
        <f>_xlfn.XLOOKUP($A912,'[1]LISTA ETIQUETAS'!$O:$O,'[1]LISTA ETIQUETAS'!H:H,"",0)</f>
        <v>1</v>
      </c>
      <c r="T912" s="9">
        <f t="shared" si="44"/>
        <v>1</v>
      </c>
    </row>
    <row r="913" spans="1:20" x14ac:dyDescent="0.25">
      <c r="A913" s="5">
        <v>203621</v>
      </c>
      <c r="B913" t="str">
        <f>IFERROR((VLOOKUP(A913,'[1]LISTA ETIQUETAS'!O:X,3,0)),"PRODUTO SEM ESTOQUE")</f>
        <v>EST PUFF FREMONT (TC D4073)</v>
      </c>
      <c r="C913" s="10" t="s">
        <v>39</v>
      </c>
      <c r="D913" s="10" t="s">
        <v>583</v>
      </c>
      <c r="E913" s="11">
        <f>IF(VLOOKUP(A913,'[1]LISTA ETIQUETAS'!O:W,4,0)="",(VLOOKUP(A913,'[1]LISTA ETIQUETAS'!O:W,6,0)),(VLOOKUP(A913,'[1]LISTA ETIQUETAS'!O:W,4,0)))</f>
        <v>0.7</v>
      </c>
      <c r="F913" s="11">
        <f>IF(VLOOKUP(A913,'[1]LISTA ETIQUETAS'!O:W,5,0)="",(VLOOKUP(A913,'[1]LISTA ETIQUETAS'!O:W,7,0)),(VLOOKUP(A913,'[1]LISTA ETIQUETAS'!O:W,5,0)))</f>
        <v>0.7</v>
      </c>
      <c r="G913" s="11">
        <f>IFERROR((VLOOKUP(A913,'[1]LISTA ETIQUETAS'!O:X,8,0)),"")</f>
        <v>0.45</v>
      </c>
      <c r="H913" s="11">
        <f>IFERROR((VLOOKUP(A913,'[1]LISTA ETIQUETAS'!O:X,9,0)),"")</f>
        <v>0</v>
      </c>
      <c r="I913" s="12">
        <f>IFERROR((VLOOKUP(A913,'[1]LISTA ETIQUETAS'!O:Y,11,0)),"")</f>
        <v>4175.3599999999997</v>
      </c>
      <c r="J913" s="6">
        <v>0</v>
      </c>
      <c r="K913" s="12">
        <f t="shared" si="42"/>
        <v>4175.3599999999997</v>
      </c>
      <c r="L913" s="7" t="str">
        <f>IF(VLOOKUP(A913,'[1]LISTA ETIQUETAS'!O:AB,14,0)="","",(VLOOKUP(A913,'[1]LISTA ETIQUETAS'!O:AB,14,0)))</f>
        <v/>
      </c>
      <c r="M913" s="8"/>
      <c r="N913" s="9">
        <f t="shared" si="43"/>
        <v>203621</v>
      </c>
      <c r="O913" s="2">
        <f>_xlfn.XLOOKUP($A913,'[1]LISTA ETIQUETAS'!$O:$O,'[1]LISTA ETIQUETAS'!C:C,"",0)</f>
        <v>0</v>
      </c>
      <c r="P913" s="2">
        <f>_xlfn.XLOOKUP($A913,'[1]LISTA ETIQUETAS'!$O:$O,'[1]LISTA ETIQUETAS'!D:D,"",0)</f>
        <v>0</v>
      </c>
      <c r="Q913" s="2">
        <f>_xlfn.XLOOKUP($A913,'[1]LISTA ETIQUETAS'!$O:$O,'[1]LISTA ETIQUETAS'!E:E,"",0)</f>
        <v>0</v>
      </c>
      <c r="R913" s="2">
        <f>_xlfn.XLOOKUP($A913,'[1]LISTA ETIQUETAS'!$O:$O,'[1]LISTA ETIQUETAS'!F:F,"",0)</f>
        <v>0</v>
      </c>
      <c r="S913" s="2">
        <f>_xlfn.XLOOKUP($A913,'[1]LISTA ETIQUETAS'!$O:$O,'[1]LISTA ETIQUETAS'!H:H,"",0)</f>
        <v>2</v>
      </c>
      <c r="T913" s="9">
        <f t="shared" si="44"/>
        <v>2</v>
      </c>
    </row>
    <row r="914" spans="1:20" x14ac:dyDescent="0.25">
      <c r="A914" s="5">
        <v>210542</v>
      </c>
      <c r="B914" t="str">
        <f>IFERROR((VLOOKUP(A914,'[1]LISTA ETIQUETAS'!O:X,3,0)),"PRODUTO SEM ESTOQUE")</f>
        <v>EST PUFF ZEN (IMBUIA) TC VELVET BAMBU DARKPURPLE</v>
      </c>
      <c r="C914" s="10" t="s">
        <v>39</v>
      </c>
      <c r="D914" s="10" t="s">
        <v>584</v>
      </c>
      <c r="E914" s="11">
        <f>IF(VLOOKUP(A914,'[1]LISTA ETIQUETAS'!O:W,4,0)="",(VLOOKUP(A914,'[1]LISTA ETIQUETAS'!O:W,6,0)),(VLOOKUP(A914,'[1]LISTA ETIQUETAS'!O:W,4,0)))</f>
        <v>0.5</v>
      </c>
      <c r="F914" s="11">
        <f>IF(VLOOKUP(A914,'[1]LISTA ETIQUETAS'!O:W,5,0)="",(VLOOKUP(A914,'[1]LISTA ETIQUETAS'!O:W,7,0)),(VLOOKUP(A914,'[1]LISTA ETIQUETAS'!O:W,5,0)))</f>
        <v>0</v>
      </c>
      <c r="G914" s="11">
        <f>IFERROR((VLOOKUP(A914,'[1]LISTA ETIQUETAS'!O:X,8,0)),"")</f>
        <v>0.43</v>
      </c>
      <c r="H914" s="11">
        <f>IFERROR((VLOOKUP(A914,'[1]LISTA ETIQUETAS'!O:X,9,0)),"")</f>
        <v>0.5</v>
      </c>
      <c r="I914" s="12">
        <f>IFERROR((VLOOKUP(A914,'[1]LISTA ETIQUETAS'!O:Y,11,0)),"")</f>
        <v>0</v>
      </c>
      <c r="J914" s="6">
        <v>0</v>
      </c>
      <c r="K914" s="12">
        <f t="shared" si="42"/>
        <v>0</v>
      </c>
      <c r="L914" s="7" t="str">
        <f>IF(VLOOKUP(A914,'[1]LISTA ETIQUETAS'!O:AB,14,0)="","",(VLOOKUP(A914,'[1]LISTA ETIQUETAS'!O:AB,14,0)))</f>
        <v/>
      </c>
      <c r="M914" s="8"/>
      <c r="N914" s="9">
        <f t="shared" si="43"/>
        <v>210542</v>
      </c>
      <c r="O914" s="2">
        <f>_xlfn.XLOOKUP($A914,'[1]LISTA ETIQUETAS'!$O:$O,'[1]LISTA ETIQUETAS'!C:C,"",0)</f>
        <v>0</v>
      </c>
      <c r="P914" s="2">
        <f>_xlfn.XLOOKUP($A914,'[1]LISTA ETIQUETAS'!$O:$O,'[1]LISTA ETIQUETAS'!D:D,"",0)</f>
        <v>0</v>
      </c>
      <c r="Q914" s="2">
        <f>_xlfn.XLOOKUP($A914,'[1]LISTA ETIQUETAS'!$O:$O,'[1]LISTA ETIQUETAS'!E:E,"",0)</f>
        <v>0</v>
      </c>
      <c r="R914" s="2">
        <f>_xlfn.XLOOKUP($A914,'[1]LISTA ETIQUETAS'!$O:$O,'[1]LISTA ETIQUETAS'!F:F,"",0)</f>
        <v>0</v>
      </c>
      <c r="S914" s="2">
        <f>_xlfn.XLOOKUP($A914,'[1]LISTA ETIQUETAS'!$O:$O,'[1]LISTA ETIQUETAS'!H:H,"",0)</f>
        <v>2</v>
      </c>
      <c r="T914" s="9">
        <f t="shared" si="44"/>
        <v>2</v>
      </c>
    </row>
    <row r="915" spans="1:20" x14ac:dyDescent="0.25">
      <c r="A915" s="5">
        <v>223242</v>
      </c>
      <c r="B915" t="str">
        <f>IFERROR((VLOOKUP(A915,'[1]LISTA ETIQUETAS'!O:X,3,0)),"PRODUTO SEM ESTOQUE")</f>
        <v>EST PUFF DINN (LATAO POLIDO) TC 175</v>
      </c>
      <c r="C915" s="10" t="s">
        <v>39</v>
      </c>
      <c r="D915" s="10" t="s">
        <v>585</v>
      </c>
      <c r="E915" s="11">
        <f>IF(VLOOKUP(A915,'[1]LISTA ETIQUETAS'!O:W,4,0)="",(VLOOKUP(A915,'[1]LISTA ETIQUETAS'!O:W,6,0)),(VLOOKUP(A915,'[1]LISTA ETIQUETAS'!O:W,4,0)))</f>
        <v>1.5</v>
      </c>
      <c r="F915" s="11">
        <f>IF(VLOOKUP(A915,'[1]LISTA ETIQUETAS'!O:W,5,0)="",(VLOOKUP(A915,'[1]LISTA ETIQUETAS'!O:W,7,0)),(VLOOKUP(A915,'[1]LISTA ETIQUETAS'!O:W,5,0)))</f>
        <v>0.7</v>
      </c>
      <c r="G915" s="11">
        <f>IFERROR((VLOOKUP(A915,'[1]LISTA ETIQUETAS'!O:X,8,0)),"")</f>
        <v>0.35</v>
      </c>
      <c r="H915" s="11">
        <f>IFERROR((VLOOKUP(A915,'[1]LISTA ETIQUETAS'!O:X,9,0)),"")</f>
        <v>0</v>
      </c>
      <c r="I915" s="12" t="str">
        <f>IFERROR((VLOOKUP(A915,'[1]LISTA ETIQUETAS'!O:Y,11,0)),"")</f>
        <v/>
      </c>
      <c r="J915" s="6">
        <v>0</v>
      </c>
      <c r="K915" s="12" t="str">
        <f t="shared" si="42"/>
        <v/>
      </c>
      <c r="L915" s="7" t="str">
        <f>IF(VLOOKUP(A915,'[1]LISTA ETIQUETAS'!O:AB,14,0)="","",(VLOOKUP(A915,'[1]LISTA ETIQUETAS'!O:AB,14,0)))</f>
        <v/>
      </c>
      <c r="M915" s="8"/>
      <c r="N915" s="9">
        <f t="shared" si="43"/>
        <v>223242</v>
      </c>
      <c r="O915" s="2">
        <f>_xlfn.XLOOKUP($A915,'[1]LISTA ETIQUETAS'!$O:$O,'[1]LISTA ETIQUETAS'!C:C,"",0)</f>
        <v>0</v>
      </c>
      <c r="P915" s="2">
        <f>_xlfn.XLOOKUP($A915,'[1]LISTA ETIQUETAS'!$O:$O,'[1]LISTA ETIQUETAS'!D:D,"",0)</f>
        <v>0</v>
      </c>
      <c r="Q915" s="2">
        <f>_xlfn.XLOOKUP($A915,'[1]LISTA ETIQUETAS'!$O:$O,'[1]LISTA ETIQUETAS'!E:E,"",0)</f>
        <v>0</v>
      </c>
      <c r="R915" s="2">
        <f>_xlfn.XLOOKUP($A915,'[1]LISTA ETIQUETAS'!$O:$O,'[1]LISTA ETIQUETAS'!F:F,"",0)</f>
        <v>0</v>
      </c>
      <c r="S915" s="2">
        <f>_xlfn.XLOOKUP($A915,'[1]LISTA ETIQUETAS'!$O:$O,'[1]LISTA ETIQUETAS'!H:H,"",0)</f>
        <v>1</v>
      </c>
      <c r="T915" s="9">
        <f t="shared" si="44"/>
        <v>1</v>
      </c>
    </row>
    <row r="916" spans="1:20" x14ac:dyDescent="0.25">
      <c r="A916" s="5">
        <v>233669</v>
      </c>
      <c r="B916" t="str">
        <f>IFERROR((VLOOKUP(A916,'[1]LISTA ETIQUETAS'!O:X,3,0)),"PRODUTO SEM ESTOQUE")</f>
        <v>EST PUFF DINN (CARVALHO CARBONO) COURO BLACK 7</v>
      </c>
      <c r="C916" s="10" t="s">
        <v>39</v>
      </c>
      <c r="D916" s="10" t="s">
        <v>585</v>
      </c>
      <c r="E916" s="11">
        <f>IF(VLOOKUP(A916,'[1]LISTA ETIQUETAS'!O:W,4,0)="",(VLOOKUP(A916,'[1]LISTA ETIQUETAS'!O:W,6,0)),(VLOOKUP(A916,'[1]LISTA ETIQUETAS'!O:W,4,0)))</f>
        <v>1.5</v>
      </c>
      <c r="F916" s="11">
        <f>IF(VLOOKUP(A916,'[1]LISTA ETIQUETAS'!O:W,5,0)="",(VLOOKUP(A916,'[1]LISTA ETIQUETAS'!O:W,7,0)),(VLOOKUP(A916,'[1]LISTA ETIQUETAS'!O:W,5,0)))</f>
        <v>0.7</v>
      </c>
      <c r="G916" s="11">
        <f>IFERROR((VLOOKUP(A916,'[1]LISTA ETIQUETAS'!O:X,8,0)),"")</f>
        <v>0.4</v>
      </c>
      <c r="H916" s="11">
        <f>IFERROR((VLOOKUP(A916,'[1]LISTA ETIQUETAS'!O:X,9,0)),"")</f>
        <v>0</v>
      </c>
      <c r="I916" s="12">
        <f>IFERROR((VLOOKUP(A916,'[1]LISTA ETIQUETAS'!O:Y,11,0)),"")</f>
        <v>26880.01</v>
      </c>
      <c r="J916" s="6">
        <v>0</v>
      </c>
      <c r="K916" s="12">
        <f t="shared" si="42"/>
        <v>26880.01</v>
      </c>
      <c r="L916" s="7" t="str">
        <f>IF(VLOOKUP(A916,'[1]LISTA ETIQUETAS'!O:AB,14,0)="","",(VLOOKUP(A916,'[1]LISTA ETIQUETAS'!O:AB,14,0)))</f>
        <v/>
      </c>
      <c r="M916" s="8"/>
      <c r="N916" s="9">
        <f t="shared" si="43"/>
        <v>233669</v>
      </c>
      <c r="O916" s="2">
        <f>_xlfn.XLOOKUP($A916,'[1]LISTA ETIQUETAS'!$O:$O,'[1]LISTA ETIQUETAS'!C:C,"",0)</f>
        <v>1</v>
      </c>
      <c r="P916" s="2">
        <f>_xlfn.XLOOKUP($A916,'[1]LISTA ETIQUETAS'!$O:$O,'[1]LISTA ETIQUETAS'!D:D,"",0)</f>
        <v>0</v>
      </c>
      <c r="Q916" s="2">
        <f>_xlfn.XLOOKUP($A916,'[1]LISTA ETIQUETAS'!$O:$O,'[1]LISTA ETIQUETAS'!E:E,"",0)</f>
        <v>0</v>
      </c>
      <c r="R916" s="2">
        <f>_xlfn.XLOOKUP($A916,'[1]LISTA ETIQUETAS'!$O:$O,'[1]LISTA ETIQUETAS'!F:F,"",0)</f>
        <v>0</v>
      </c>
      <c r="S916" s="2">
        <f>_xlfn.XLOOKUP($A916,'[1]LISTA ETIQUETAS'!$O:$O,'[1]LISTA ETIQUETAS'!H:H,"",0)</f>
        <v>1</v>
      </c>
      <c r="T916" s="9">
        <f t="shared" si="44"/>
        <v>2</v>
      </c>
    </row>
    <row r="917" spans="1:20" x14ac:dyDescent="0.25">
      <c r="A917" s="5">
        <v>252391</v>
      </c>
      <c r="B917" t="str">
        <f>IFERROR((VLOOKUP(A917,'[1]LISTA ETIQUETAS'!O:X,3,0)),"PRODUTO SEM ESTOQUE")</f>
        <v>EST PUFF REED (ACO PRETO) TC C3113</v>
      </c>
      <c r="C917" s="10" t="s">
        <v>39</v>
      </c>
      <c r="D917" s="10" t="s">
        <v>586</v>
      </c>
      <c r="E917" s="11">
        <f>IF(VLOOKUP(A917,'[1]LISTA ETIQUETAS'!O:W,4,0)="",(VLOOKUP(A917,'[1]LISTA ETIQUETAS'!O:W,6,0)),(VLOOKUP(A917,'[1]LISTA ETIQUETAS'!O:W,4,0)))</f>
        <v>0.42</v>
      </c>
      <c r="F917" s="11">
        <f>IF(VLOOKUP(A917,'[1]LISTA ETIQUETAS'!O:W,5,0)="",(VLOOKUP(A917,'[1]LISTA ETIQUETAS'!O:W,7,0)),(VLOOKUP(A917,'[1]LISTA ETIQUETAS'!O:W,5,0)))</f>
        <v>0.42</v>
      </c>
      <c r="G917" s="11">
        <f>IFERROR((VLOOKUP(A917,'[1]LISTA ETIQUETAS'!O:X,8,0)),"")</f>
        <v>0.48</v>
      </c>
      <c r="H917" s="11">
        <f>IFERROR((VLOOKUP(A917,'[1]LISTA ETIQUETAS'!O:X,9,0)),"")</f>
        <v>0</v>
      </c>
      <c r="I917" s="12">
        <f>IFERROR((VLOOKUP(A917,'[1]LISTA ETIQUETAS'!O:Y,11,0)),"")</f>
        <v>0</v>
      </c>
      <c r="J917" s="6">
        <v>0</v>
      </c>
      <c r="K917" s="12">
        <f t="shared" si="42"/>
        <v>0</v>
      </c>
      <c r="L917" s="7" t="str">
        <f>IF(VLOOKUP(A917,'[1]LISTA ETIQUETAS'!O:AB,14,0)="","",(VLOOKUP(A917,'[1]LISTA ETIQUETAS'!O:AB,14,0)))</f>
        <v/>
      </c>
      <c r="M917" s="8"/>
      <c r="N917" s="9">
        <f t="shared" si="43"/>
        <v>252391</v>
      </c>
      <c r="O917" s="2">
        <f>_xlfn.XLOOKUP($A917,'[1]LISTA ETIQUETAS'!$O:$O,'[1]LISTA ETIQUETAS'!C:C,"",0)</f>
        <v>0</v>
      </c>
      <c r="P917" s="2">
        <f>_xlfn.XLOOKUP($A917,'[1]LISTA ETIQUETAS'!$O:$O,'[1]LISTA ETIQUETAS'!D:D,"",0)</f>
        <v>0</v>
      </c>
      <c r="Q917" s="2">
        <f>_xlfn.XLOOKUP($A917,'[1]LISTA ETIQUETAS'!$O:$O,'[1]LISTA ETIQUETAS'!E:E,"",0)</f>
        <v>0</v>
      </c>
      <c r="R917" s="2">
        <f>_xlfn.XLOOKUP($A917,'[1]LISTA ETIQUETAS'!$O:$O,'[1]LISTA ETIQUETAS'!F:F,"",0)</f>
        <v>0</v>
      </c>
      <c r="S917" s="2">
        <f>_xlfn.XLOOKUP($A917,'[1]LISTA ETIQUETAS'!$O:$O,'[1]LISTA ETIQUETAS'!H:H,"",0)</f>
        <v>1</v>
      </c>
      <c r="T917" s="9">
        <f t="shared" si="44"/>
        <v>1</v>
      </c>
    </row>
    <row r="918" spans="1:20" x14ac:dyDescent="0.25">
      <c r="A918" s="5">
        <v>250144</v>
      </c>
      <c r="B918" t="str">
        <f>IFERROR((VLOOKUP(A918,'[1]LISTA ETIQUETAS'!O:X,3,0)),"PRODUTO SEM ESTOQUE")</f>
        <v>EST PUFF MAFALDA NATURAL M3 TRANCA LARGA COD 4041</v>
      </c>
      <c r="C918" s="10" t="s">
        <v>39</v>
      </c>
      <c r="D918" s="10" t="s">
        <v>587</v>
      </c>
      <c r="E918" s="11">
        <f>IF(VLOOKUP(A918,'[1]LISTA ETIQUETAS'!O:W,4,0)="",(VLOOKUP(A918,'[1]LISTA ETIQUETAS'!O:W,6,0)),(VLOOKUP(A918,'[1]LISTA ETIQUETAS'!O:W,4,0)))</f>
        <v>0.5</v>
      </c>
      <c r="F918" s="11">
        <f>IF(VLOOKUP(A918,'[1]LISTA ETIQUETAS'!O:W,5,0)="",(VLOOKUP(A918,'[1]LISTA ETIQUETAS'!O:W,7,0)),(VLOOKUP(A918,'[1]LISTA ETIQUETAS'!O:W,5,0)))</f>
        <v>0</v>
      </c>
      <c r="G918" s="11">
        <f>IFERROR((VLOOKUP(A918,'[1]LISTA ETIQUETAS'!O:X,8,0)),"")</f>
        <v>0.45</v>
      </c>
      <c r="H918" s="11">
        <f>IFERROR((VLOOKUP(A918,'[1]LISTA ETIQUETAS'!O:X,9,0)),"")</f>
        <v>0.5</v>
      </c>
      <c r="I918" s="12">
        <f>IFERROR((VLOOKUP(A918,'[1]LISTA ETIQUETAS'!O:Y,11,0)),"")</f>
        <v>2887.45</v>
      </c>
      <c r="J918" s="6">
        <v>0</v>
      </c>
      <c r="K918" s="12">
        <f t="shared" si="42"/>
        <v>2887.45</v>
      </c>
      <c r="L918" s="7" t="str">
        <f>IF(VLOOKUP(A918,'[1]LISTA ETIQUETAS'!O:AB,14,0)="","",(VLOOKUP(A918,'[1]LISTA ETIQUETAS'!O:AB,14,0)))</f>
        <v/>
      </c>
      <c r="M918" s="8"/>
      <c r="N918" s="9">
        <f t="shared" si="43"/>
        <v>250144</v>
      </c>
      <c r="O918" s="2">
        <f>_xlfn.XLOOKUP($A918,'[1]LISTA ETIQUETAS'!$O:$O,'[1]LISTA ETIQUETAS'!C:C,"",0)</f>
        <v>0</v>
      </c>
      <c r="P918" s="2">
        <f>_xlfn.XLOOKUP($A918,'[1]LISTA ETIQUETAS'!$O:$O,'[1]LISTA ETIQUETAS'!D:D,"",0)</f>
        <v>0</v>
      </c>
      <c r="Q918" s="2">
        <f>_xlfn.XLOOKUP($A918,'[1]LISTA ETIQUETAS'!$O:$O,'[1]LISTA ETIQUETAS'!E:E,"",0)</f>
        <v>0</v>
      </c>
      <c r="R918" s="2">
        <f>_xlfn.XLOOKUP($A918,'[1]LISTA ETIQUETAS'!$O:$O,'[1]LISTA ETIQUETAS'!F:F,"",0)</f>
        <v>0</v>
      </c>
      <c r="S918" s="2">
        <f>_xlfn.XLOOKUP($A918,'[1]LISTA ETIQUETAS'!$O:$O,'[1]LISTA ETIQUETAS'!H:H,"",0)</f>
        <v>2</v>
      </c>
      <c r="T918" s="9">
        <f t="shared" si="44"/>
        <v>2</v>
      </c>
    </row>
    <row r="919" spans="1:20" x14ac:dyDescent="0.25">
      <c r="A919" s="5">
        <v>250143</v>
      </c>
      <c r="B919" t="str">
        <f>IFERROR((VLOOKUP(A919,'[1]LISTA ETIQUETAS'!O:X,3,0)),"PRODUTO SEM ESTOQUE")</f>
        <v>EST PUFF MAFALDA TERRACOTA M2 AVESSA COD 4042</v>
      </c>
      <c r="C919" s="10" t="s">
        <v>39</v>
      </c>
      <c r="D919" s="10" t="s">
        <v>587</v>
      </c>
      <c r="E919" s="11">
        <f>IF(VLOOKUP(A919,'[1]LISTA ETIQUETAS'!O:W,4,0)="",(VLOOKUP(A919,'[1]LISTA ETIQUETAS'!O:W,6,0)),(VLOOKUP(A919,'[1]LISTA ETIQUETAS'!O:W,4,0)))</f>
        <v>0.6</v>
      </c>
      <c r="F919" s="11">
        <f>IF(VLOOKUP(A919,'[1]LISTA ETIQUETAS'!O:W,5,0)="",(VLOOKUP(A919,'[1]LISTA ETIQUETAS'!O:W,7,0)),(VLOOKUP(A919,'[1]LISTA ETIQUETAS'!O:W,5,0)))</f>
        <v>0</v>
      </c>
      <c r="G919" s="11">
        <f>IFERROR((VLOOKUP(A919,'[1]LISTA ETIQUETAS'!O:X,8,0)),"")</f>
        <v>0.5</v>
      </c>
      <c r="H919" s="11">
        <f>IFERROR((VLOOKUP(A919,'[1]LISTA ETIQUETAS'!O:X,9,0)),"")</f>
        <v>0.6</v>
      </c>
      <c r="I919" s="12">
        <f>IFERROR((VLOOKUP(A919,'[1]LISTA ETIQUETAS'!O:Y,11,0)),"")</f>
        <v>3296.38</v>
      </c>
      <c r="J919" s="6">
        <v>0</v>
      </c>
      <c r="K919" s="12">
        <f t="shared" si="42"/>
        <v>3296.38</v>
      </c>
      <c r="L919" s="7" t="str">
        <f>IF(VLOOKUP(A919,'[1]LISTA ETIQUETAS'!O:AB,14,0)="","",(VLOOKUP(A919,'[1]LISTA ETIQUETAS'!O:AB,14,0)))</f>
        <v/>
      </c>
      <c r="M919" s="8"/>
      <c r="N919" s="9">
        <f t="shared" si="43"/>
        <v>250143</v>
      </c>
      <c r="O919" s="2">
        <f>_xlfn.XLOOKUP($A919,'[1]LISTA ETIQUETAS'!$O:$O,'[1]LISTA ETIQUETAS'!C:C,"",0)</f>
        <v>0</v>
      </c>
      <c r="P919" s="2">
        <f>_xlfn.XLOOKUP($A919,'[1]LISTA ETIQUETAS'!$O:$O,'[1]LISTA ETIQUETAS'!D:D,"",0)</f>
        <v>0</v>
      </c>
      <c r="Q919" s="2">
        <f>_xlfn.XLOOKUP($A919,'[1]LISTA ETIQUETAS'!$O:$O,'[1]LISTA ETIQUETAS'!E:E,"",0)</f>
        <v>0</v>
      </c>
      <c r="R919" s="2">
        <f>_xlfn.XLOOKUP($A919,'[1]LISTA ETIQUETAS'!$O:$O,'[1]LISTA ETIQUETAS'!F:F,"",0)</f>
        <v>0</v>
      </c>
      <c r="S919" s="2">
        <f>_xlfn.XLOOKUP($A919,'[1]LISTA ETIQUETAS'!$O:$O,'[1]LISTA ETIQUETAS'!H:H,"",0)</f>
        <v>1</v>
      </c>
      <c r="T919" s="9">
        <f t="shared" si="44"/>
        <v>1</v>
      </c>
    </row>
    <row r="920" spans="1:20" x14ac:dyDescent="0.25">
      <c r="A920" s="5">
        <v>151503</v>
      </c>
      <c r="B920" t="str">
        <f>IFERROR((VLOOKUP(A920,'[1]LISTA ETIQUETAS'!O:X,3,0)),"PRODUTO SEM ESTOQUE")</f>
        <v>EST MODULO PUFF AUSTIN (BRANCO) TC GH6K AZUL</v>
      </c>
      <c r="C920" s="10" t="s">
        <v>39</v>
      </c>
      <c r="D920" s="10" t="s">
        <v>588</v>
      </c>
      <c r="E920" s="11">
        <f>IF(VLOOKUP(A920,'[1]LISTA ETIQUETAS'!O:W,4,0)="",(VLOOKUP(A920,'[1]LISTA ETIQUETAS'!O:W,6,0)),(VLOOKUP(A920,'[1]LISTA ETIQUETAS'!O:W,4,0)))</f>
        <v>1.5</v>
      </c>
      <c r="F920" s="11">
        <f>IF(VLOOKUP(A920,'[1]LISTA ETIQUETAS'!O:W,5,0)="",(VLOOKUP(A920,'[1]LISTA ETIQUETAS'!O:W,7,0)),(VLOOKUP(A920,'[1]LISTA ETIQUETAS'!O:W,5,0)))</f>
        <v>0.89</v>
      </c>
      <c r="G920" s="11">
        <f>IFERROR((VLOOKUP(A920,'[1]LISTA ETIQUETAS'!O:X,8,0)),"")</f>
        <v>0.4</v>
      </c>
      <c r="H920" s="11">
        <f>IFERROR((VLOOKUP(A920,'[1]LISTA ETIQUETAS'!O:X,9,0)),"")</f>
        <v>0</v>
      </c>
      <c r="I920" s="12">
        <f>IFERROR((VLOOKUP(A920,'[1]LISTA ETIQUETAS'!O:Y,11,0)),"")</f>
        <v>0</v>
      </c>
      <c r="J920" s="6">
        <v>0</v>
      </c>
      <c r="K920" s="12">
        <f t="shared" si="42"/>
        <v>0</v>
      </c>
      <c r="L920" s="7" t="str">
        <f>IF(VLOOKUP(A920,'[1]LISTA ETIQUETAS'!O:AB,14,0)="","",(VLOOKUP(A920,'[1]LISTA ETIQUETAS'!O:AB,14,0)))</f>
        <v/>
      </c>
      <c r="M920" s="8"/>
      <c r="N920" s="9">
        <f t="shared" si="43"/>
        <v>151503</v>
      </c>
      <c r="O920" s="2">
        <f>_xlfn.XLOOKUP($A920,'[1]LISTA ETIQUETAS'!$O:$O,'[1]LISTA ETIQUETAS'!C:C,"",0)</f>
        <v>0</v>
      </c>
      <c r="P920" s="2">
        <f>_xlfn.XLOOKUP($A920,'[1]LISTA ETIQUETAS'!$O:$O,'[1]LISTA ETIQUETAS'!D:D,"",0)</f>
        <v>0</v>
      </c>
      <c r="Q920" s="2">
        <f>_xlfn.XLOOKUP($A920,'[1]LISTA ETIQUETAS'!$O:$O,'[1]LISTA ETIQUETAS'!E:E,"",0)</f>
        <v>0</v>
      </c>
      <c r="R920" s="2">
        <f>_xlfn.XLOOKUP($A920,'[1]LISTA ETIQUETAS'!$O:$O,'[1]LISTA ETIQUETAS'!F:F,"",0)</f>
        <v>0</v>
      </c>
      <c r="S920" s="2">
        <f>_xlfn.XLOOKUP($A920,'[1]LISTA ETIQUETAS'!$O:$O,'[1]LISTA ETIQUETAS'!H:H,"",0)</f>
        <v>1</v>
      </c>
      <c r="T920" s="9">
        <f t="shared" si="44"/>
        <v>1</v>
      </c>
    </row>
    <row r="921" spans="1:20" x14ac:dyDescent="0.25">
      <c r="A921" s="5">
        <v>233159</v>
      </c>
      <c r="B921" t="str">
        <f>IFERROR((VLOOKUP(A921,'[1]LISTA ETIQUETAS'!O:X,3,0)),"PRODUTO SEM ESTOQUE")</f>
        <v>EST PUFF UFO Ø75 TC C3081/ZIPER PRETO</v>
      </c>
      <c r="C921" s="10" t="s">
        <v>39</v>
      </c>
      <c r="D921" s="10" t="s">
        <v>589</v>
      </c>
      <c r="E921" s="11">
        <f>IF(VLOOKUP(A921,'[1]LISTA ETIQUETAS'!O:W,4,0)="",(VLOOKUP(A921,'[1]LISTA ETIQUETAS'!O:W,6,0)),(VLOOKUP(A921,'[1]LISTA ETIQUETAS'!O:W,4,0)))</f>
        <v>0</v>
      </c>
      <c r="F921" s="11">
        <f>IF(VLOOKUP(A921,'[1]LISTA ETIQUETAS'!O:W,5,0)="",(VLOOKUP(A921,'[1]LISTA ETIQUETAS'!O:W,7,0)),(VLOOKUP(A921,'[1]LISTA ETIQUETAS'!O:W,5,0)))</f>
        <v>0</v>
      </c>
      <c r="G921" s="11">
        <f>IFERROR((VLOOKUP(A921,'[1]LISTA ETIQUETAS'!O:X,8,0)),"")</f>
        <v>0.44</v>
      </c>
      <c r="H921" s="11">
        <f>IFERROR((VLOOKUP(A921,'[1]LISTA ETIQUETAS'!O:X,9,0)),"")</f>
        <v>0.75</v>
      </c>
      <c r="I921" s="12">
        <f>IFERROR((VLOOKUP(A921,'[1]LISTA ETIQUETAS'!O:Y,11,0)),"")</f>
        <v>5926.73</v>
      </c>
      <c r="J921" s="6">
        <v>0</v>
      </c>
      <c r="K921" s="12">
        <f t="shared" si="42"/>
        <v>5926.73</v>
      </c>
      <c r="L921" s="7" t="str">
        <f>IF(VLOOKUP(A921,'[1]LISTA ETIQUETAS'!O:AB,14,0)="","",(VLOOKUP(A921,'[1]LISTA ETIQUETAS'!O:AB,14,0)))</f>
        <v/>
      </c>
      <c r="M921" s="8"/>
      <c r="N921" s="9">
        <f t="shared" si="43"/>
        <v>233159</v>
      </c>
      <c r="O921" s="2">
        <f>_xlfn.XLOOKUP($A921,'[1]LISTA ETIQUETAS'!$O:$O,'[1]LISTA ETIQUETAS'!C:C,"",0)</f>
        <v>0</v>
      </c>
      <c r="P921" s="2">
        <f>_xlfn.XLOOKUP($A921,'[1]LISTA ETIQUETAS'!$O:$O,'[1]LISTA ETIQUETAS'!D:D,"",0)</f>
        <v>0</v>
      </c>
      <c r="Q921" s="2">
        <f>_xlfn.XLOOKUP($A921,'[1]LISTA ETIQUETAS'!$O:$O,'[1]LISTA ETIQUETAS'!E:E,"",0)</f>
        <v>0</v>
      </c>
      <c r="R921" s="2">
        <f>_xlfn.XLOOKUP($A921,'[1]LISTA ETIQUETAS'!$O:$O,'[1]LISTA ETIQUETAS'!F:F,"",0)</f>
        <v>0</v>
      </c>
      <c r="S921" s="2">
        <f>_xlfn.XLOOKUP($A921,'[1]LISTA ETIQUETAS'!$O:$O,'[1]LISTA ETIQUETAS'!H:H,"",0)</f>
        <v>2</v>
      </c>
      <c r="T921" s="9">
        <f t="shared" si="44"/>
        <v>2</v>
      </c>
    </row>
    <row r="922" spans="1:20" x14ac:dyDescent="0.25">
      <c r="A922" s="5">
        <v>233160</v>
      </c>
      <c r="B922" t="str">
        <f>IFERROR((VLOOKUP(A922,'[1]LISTA ETIQUETAS'!O:X,3,0)),"PRODUTO SEM ESTOQUE")</f>
        <v>EST PUFF UFO Ø60 TC C3079/ZIPER PRETO</v>
      </c>
      <c r="C922" s="10" t="s">
        <v>39</v>
      </c>
      <c r="D922" s="10" t="s">
        <v>589</v>
      </c>
      <c r="E922" s="11">
        <f>IF(VLOOKUP(A922,'[1]LISTA ETIQUETAS'!O:W,4,0)="",(VLOOKUP(A922,'[1]LISTA ETIQUETAS'!O:W,6,0)),(VLOOKUP(A922,'[1]LISTA ETIQUETAS'!O:W,4,0)))</f>
        <v>0.6</v>
      </c>
      <c r="F922" s="11">
        <f>IF(VLOOKUP(A922,'[1]LISTA ETIQUETAS'!O:W,5,0)="",(VLOOKUP(A922,'[1]LISTA ETIQUETAS'!O:W,7,0)),(VLOOKUP(A922,'[1]LISTA ETIQUETAS'!O:W,5,0)))</f>
        <v>0</v>
      </c>
      <c r="G922" s="11">
        <f>IFERROR((VLOOKUP(A922,'[1]LISTA ETIQUETAS'!O:X,8,0)),"")</f>
        <v>0.44</v>
      </c>
      <c r="H922" s="11">
        <f>IFERROR((VLOOKUP(A922,'[1]LISTA ETIQUETAS'!O:X,9,0)),"")</f>
        <v>0.6</v>
      </c>
      <c r="I922" s="12">
        <f>IFERROR((VLOOKUP(A922,'[1]LISTA ETIQUETAS'!O:Y,11,0)),"")</f>
        <v>4215.1899999999996</v>
      </c>
      <c r="J922" s="6">
        <v>0</v>
      </c>
      <c r="K922" s="12">
        <f t="shared" si="42"/>
        <v>4215.1899999999996</v>
      </c>
      <c r="L922" s="7" t="str">
        <f>IF(VLOOKUP(A922,'[1]LISTA ETIQUETAS'!O:AB,14,0)="","",(VLOOKUP(A922,'[1]LISTA ETIQUETAS'!O:AB,14,0)))</f>
        <v/>
      </c>
      <c r="M922" s="8"/>
      <c r="N922" s="9">
        <f t="shared" si="43"/>
        <v>233160</v>
      </c>
      <c r="O922" s="2">
        <f>_xlfn.XLOOKUP($A922,'[1]LISTA ETIQUETAS'!$O:$O,'[1]LISTA ETIQUETAS'!C:C,"",0)</f>
        <v>0</v>
      </c>
      <c r="P922" s="2">
        <f>_xlfn.XLOOKUP($A922,'[1]LISTA ETIQUETAS'!$O:$O,'[1]LISTA ETIQUETAS'!D:D,"",0)</f>
        <v>0</v>
      </c>
      <c r="Q922" s="2">
        <f>_xlfn.XLOOKUP($A922,'[1]LISTA ETIQUETAS'!$O:$O,'[1]LISTA ETIQUETAS'!E:E,"",0)</f>
        <v>0</v>
      </c>
      <c r="R922" s="2">
        <f>_xlfn.XLOOKUP($A922,'[1]LISTA ETIQUETAS'!$O:$O,'[1]LISTA ETIQUETAS'!F:F,"",0)</f>
        <v>0</v>
      </c>
      <c r="S922" s="2">
        <f>_xlfn.XLOOKUP($A922,'[1]LISTA ETIQUETAS'!$O:$O,'[1]LISTA ETIQUETAS'!H:H,"",0)</f>
        <v>1</v>
      </c>
      <c r="T922" s="9">
        <f t="shared" si="44"/>
        <v>1</v>
      </c>
    </row>
    <row r="923" spans="1:20" x14ac:dyDescent="0.25">
      <c r="A923" s="5">
        <v>252251</v>
      </c>
      <c r="B923" t="str">
        <f>IFERROR((VLOOKUP(A923,'[1]LISTA ETIQUETAS'!O:X,3,0)),"PRODUTO SEM ESTOQUE")</f>
        <v>EST PUFF BABI TC 95029 (PES PRETO)</v>
      </c>
      <c r="C923" s="10" t="s">
        <v>39</v>
      </c>
      <c r="D923" s="10" t="s">
        <v>590</v>
      </c>
      <c r="E923" s="11">
        <f>IF(VLOOKUP(A923,'[1]LISTA ETIQUETAS'!O:W,4,0)="",(VLOOKUP(A923,'[1]LISTA ETIQUETAS'!O:W,6,0)),(VLOOKUP(A923,'[1]LISTA ETIQUETAS'!O:W,4,0)))</f>
        <v>0.46</v>
      </c>
      <c r="F923" s="11">
        <f>IF(VLOOKUP(A923,'[1]LISTA ETIQUETAS'!O:W,5,0)="",(VLOOKUP(A923,'[1]LISTA ETIQUETAS'!O:W,7,0)),(VLOOKUP(A923,'[1]LISTA ETIQUETAS'!O:W,5,0)))</f>
        <v>0.46</v>
      </c>
      <c r="G923" s="11">
        <f>IFERROR((VLOOKUP(A923,'[1]LISTA ETIQUETAS'!O:X,8,0)),"")</f>
        <v>0.47</v>
      </c>
      <c r="H923" s="11">
        <f>IFERROR((VLOOKUP(A923,'[1]LISTA ETIQUETAS'!O:X,9,0)),"")</f>
        <v>0</v>
      </c>
      <c r="I923" s="12">
        <f>IFERROR((VLOOKUP(A923,'[1]LISTA ETIQUETAS'!O:Y,11,0)),"")</f>
        <v>1832.32</v>
      </c>
      <c r="J923" s="6">
        <v>0</v>
      </c>
      <c r="K923" s="12">
        <f t="shared" si="42"/>
        <v>1832.32</v>
      </c>
      <c r="L923" s="7" t="str">
        <f>IF(VLOOKUP(A923,'[1]LISTA ETIQUETAS'!O:AB,14,0)="","",(VLOOKUP(A923,'[1]LISTA ETIQUETAS'!O:AB,14,0)))</f>
        <v/>
      </c>
      <c r="M923" s="8"/>
      <c r="N923" s="9">
        <f t="shared" si="43"/>
        <v>252251</v>
      </c>
      <c r="O923" s="2">
        <f>_xlfn.XLOOKUP($A923,'[1]LISTA ETIQUETAS'!$O:$O,'[1]LISTA ETIQUETAS'!C:C,"",0)</f>
        <v>0</v>
      </c>
      <c r="P923" s="2">
        <f>_xlfn.XLOOKUP($A923,'[1]LISTA ETIQUETAS'!$O:$O,'[1]LISTA ETIQUETAS'!D:D,"",0)</f>
        <v>0</v>
      </c>
      <c r="Q923" s="2">
        <f>_xlfn.XLOOKUP($A923,'[1]LISTA ETIQUETAS'!$O:$O,'[1]LISTA ETIQUETAS'!E:E,"",0)</f>
        <v>0</v>
      </c>
      <c r="R923" s="2">
        <f>_xlfn.XLOOKUP($A923,'[1]LISTA ETIQUETAS'!$O:$O,'[1]LISTA ETIQUETAS'!F:F,"",0)</f>
        <v>0</v>
      </c>
      <c r="S923" s="2">
        <f>_xlfn.XLOOKUP($A923,'[1]LISTA ETIQUETAS'!$O:$O,'[1]LISTA ETIQUETAS'!H:H,"",0)</f>
        <v>1</v>
      </c>
      <c r="T923" s="9">
        <f t="shared" si="44"/>
        <v>1</v>
      </c>
    </row>
    <row r="924" spans="1:20" x14ac:dyDescent="0.25">
      <c r="A924" s="5">
        <v>374363</v>
      </c>
      <c r="B924" t="str">
        <f>IFERROR((VLOOKUP(A924,'[1]LISTA ETIQUETAS'!O:X,3,0)),"PRODUTO SEM ESTOQUE")</f>
        <v>EST MODULO CHAISE ESQ HIMALAYA (CON) TC PET 01</v>
      </c>
      <c r="C924" s="10" t="s">
        <v>13</v>
      </c>
      <c r="D924" s="10" t="s">
        <v>47</v>
      </c>
      <c r="E924" s="11">
        <f>IF(VLOOKUP(A924,'[1]LISTA ETIQUETAS'!O:W,4,0)="",(VLOOKUP(A924,'[1]LISTA ETIQUETAS'!O:W,6,0)),(VLOOKUP(A924,'[1]LISTA ETIQUETAS'!O:W,4,0)))</f>
        <v>1.1499999999999999</v>
      </c>
      <c r="F924" s="11">
        <f>IF(VLOOKUP(A924,'[1]LISTA ETIQUETAS'!O:W,5,0)="",(VLOOKUP(A924,'[1]LISTA ETIQUETAS'!O:W,7,0)),(VLOOKUP(A924,'[1]LISTA ETIQUETAS'!O:W,5,0)))</f>
        <v>1.7</v>
      </c>
      <c r="G924" s="11">
        <f>IFERROR((VLOOKUP(A924,'[1]LISTA ETIQUETAS'!O:X,8,0)),"")</f>
        <v>0.74</v>
      </c>
      <c r="H924" s="11">
        <f>IFERROR((VLOOKUP(A924,'[1]LISTA ETIQUETAS'!O:X,9,0)),"")</f>
        <v>0</v>
      </c>
      <c r="I924" s="12">
        <f>IFERROR((VLOOKUP(A924,'[1]LISTA ETIQUETAS'!O:Y,11,0)),"")</f>
        <v>35590.46</v>
      </c>
      <c r="J924" s="6">
        <v>0</v>
      </c>
      <c r="K924" s="12">
        <f t="shared" si="42"/>
        <v>35590.46</v>
      </c>
      <c r="L924" s="7" t="str">
        <f>IF(VLOOKUP(A924,'[1]LISTA ETIQUETAS'!O:AB,14,0)="","",(VLOOKUP(A924,'[1]LISTA ETIQUETAS'!O:AB,14,0)))</f>
        <v/>
      </c>
      <c r="M924" s="8"/>
      <c r="N924" s="9">
        <f t="shared" si="43"/>
        <v>374363</v>
      </c>
      <c r="O924" s="2">
        <f>_xlfn.XLOOKUP($A924,'[1]LISTA ETIQUETAS'!$O:$O,'[1]LISTA ETIQUETAS'!C:C,"",0)</f>
        <v>0</v>
      </c>
      <c r="P924" s="2">
        <f>_xlfn.XLOOKUP($A924,'[1]LISTA ETIQUETAS'!$O:$O,'[1]LISTA ETIQUETAS'!D:D,"",0)</f>
        <v>0</v>
      </c>
      <c r="Q924" s="2">
        <f>_xlfn.XLOOKUP($A924,'[1]LISTA ETIQUETAS'!$O:$O,'[1]LISTA ETIQUETAS'!E:E,"",0)</f>
        <v>0</v>
      </c>
      <c r="R924" s="2">
        <f>_xlfn.XLOOKUP($A924,'[1]LISTA ETIQUETAS'!$O:$O,'[1]LISTA ETIQUETAS'!F:F,"",0)</f>
        <v>0</v>
      </c>
      <c r="S924" s="2">
        <f>_xlfn.XLOOKUP($A924,'[1]LISTA ETIQUETAS'!$O:$O,'[1]LISTA ETIQUETAS'!H:H,"",0)</f>
        <v>1</v>
      </c>
      <c r="T924" s="9">
        <f t="shared" si="44"/>
        <v>1</v>
      </c>
    </row>
    <row r="925" spans="1:20" x14ac:dyDescent="0.25">
      <c r="A925" s="5">
        <v>374362</v>
      </c>
      <c r="B925" t="str">
        <f>IFERROR((VLOOKUP(A925,'[1]LISTA ETIQUETAS'!O:X,3,0)),"PRODUTO SEM ESTOQUE")</f>
        <v>EST MODULO CHAISE DIR HIMALAYA (CON) TC PET 01</v>
      </c>
      <c r="C925" s="10" t="s">
        <v>13</v>
      </c>
      <c r="D925" s="10" t="s">
        <v>47</v>
      </c>
      <c r="E925" s="11">
        <f>IF(VLOOKUP(A925,'[1]LISTA ETIQUETAS'!O:W,4,0)="",(VLOOKUP(A925,'[1]LISTA ETIQUETAS'!O:W,6,0)),(VLOOKUP(A925,'[1]LISTA ETIQUETAS'!O:W,4,0)))</f>
        <v>1.1499999999999999</v>
      </c>
      <c r="F925" s="11">
        <f>IF(VLOOKUP(A925,'[1]LISTA ETIQUETAS'!O:W,5,0)="",(VLOOKUP(A925,'[1]LISTA ETIQUETAS'!O:W,7,0)),(VLOOKUP(A925,'[1]LISTA ETIQUETAS'!O:W,5,0)))</f>
        <v>1.7</v>
      </c>
      <c r="G925" s="11">
        <f>IFERROR((VLOOKUP(A925,'[1]LISTA ETIQUETAS'!O:X,8,0)),"")</f>
        <v>0.74</v>
      </c>
      <c r="H925" s="11">
        <f>IFERROR((VLOOKUP(A925,'[1]LISTA ETIQUETAS'!O:X,9,0)),"")</f>
        <v>0</v>
      </c>
      <c r="I925" s="12">
        <f>IFERROR((VLOOKUP(A925,'[1]LISTA ETIQUETAS'!O:Y,11,0)),"")</f>
        <v>35590.46</v>
      </c>
      <c r="J925" s="6">
        <v>0</v>
      </c>
      <c r="K925" s="12">
        <f t="shared" si="42"/>
        <v>35590.46</v>
      </c>
      <c r="L925" s="7" t="str">
        <f>IF(VLOOKUP(A925,'[1]LISTA ETIQUETAS'!O:AB,14,0)="","",(VLOOKUP(A925,'[1]LISTA ETIQUETAS'!O:AB,14,0)))</f>
        <v/>
      </c>
      <c r="M925" s="8"/>
      <c r="N925" s="9">
        <f t="shared" si="43"/>
        <v>374362</v>
      </c>
      <c r="O925" s="2">
        <f>_xlfn.XLOOKUP($A925,'[1]LISTA ETIQUETAS'!$O:$O,'[1]LISTA ETIQUETAS'!C:C,"",0)</f>
        <v>0</v>
      </c>
      <c r="P925" s="2">
        <f>_xlfn.XLOOKUP($A925,'[1]LISTA ETIQUETAS'!$O:$O,'[1]LISTA ETIQUETAS'!D:D,"",0)</f>
        <v>0</v>
      </c>
      <c r="Q925" s="2">
        <f>_xlfn.XLOOKUP($A925,'[1]LISTA ETIQUETAS'!$O:$O,'[1]LISTA ETIQUETAS'!E:E,"",0)</f>
        <v>0</v>
      </c>
      <c r="R925" s="2">
        <f>_xlfn.XLOOKUP($A925,'[1]LISTA ETIQUETAS'!$O:$O,'[1]LISTA ETIQUETAS'!F:F,"",0)</f>
        <v>0</v>
      </c>
      <c r="S925" s="2">
        <f>_xlfn.XLOOKUP($A925,'[1]LISTA ETIQUETAS'!$O:$O,'[1]LISTA ETIQUETAS'!H:H,"",0)</f>
        <v>1</v>
      </c>
      <c r="T925" s="9">
        <f t="shared" si="44"/>
        <v>1</v>
      </c>
    </row>
    <row r="926" spans="1:20" x14ac:dyDescent="0.25">
      <c r="A926" s="5">
        <v>373835</v>
      </c>
      <c r="B926" t="str">
        <f>IFERROR((VLOOKUP(A926,'[1]LISTA ETIQUETAS'!O:X,3,0)),"PRODUTO SEM ESTOQUE")</f>
        <v>EST SOFA NEW CHATEAU (BI PARTIDO) (MTX GRAFITE) FX D4235</v>
      </c>
      <c r="C926" s="10" t="s">
        <v>13</v>
      </c>
      <c r="D926" s="10" t="s">
        <v>62</v>
      </c>
      <c r="E926" s="11">
        <f>IF(VLOOKUP(A926,'[1]LISTA ETIQUETAS'!O:W,4,0)="",(VLOOKUP(A926,'[1]LISTA ETIQUETAS'!O:W,6,0)),(VLOOKUP(A926,'[1]LISTA ETIQUETAS'!O:W,4,0)))</f>
        <v>2.96</v>
      </c>
      <c r="F926" s="11">
        <f>IF(VLOOKUP(A926,'[1]LISTA ETIQUETAS'!O:W,5,0)="",(VLOOKUP(A926,'[1]LISTA ETIQUETAS'!O:W,7,0)),(VLOOKUP(A926,'[1]LISTA ETIQUETAS'!O:W,5,0)))</f>
        <v>0.96</v>
      </c>
      <c r="G926" s="11">
        <f>IFERROR((VLOOKUP(A926,'[1]LISTA ETIQUETAS'!O:X,8,0)),"")</f>
        <v>0.8</v>
      </c>
      <c r="H926" s="11">
        <f>IFERROR((VLOOKUP(A926,'[1]LISTA ETIQUETAS'!O:X,9,0)),"")</f>
        <v>0</v>
      </c>
      <c r="I926" s="12">
        <f>IFERROR((VLOOKUP(A926,'[1]LISTA ETIQUETAS'!O:Y,11,0)),"")</f>
        <v>30524.75</v>
      </c>
      <c r="J926" s="6">
        <v>0</v>
      </c>
      <c r="K926" s="12">
        <f t="shared" si="42"/>
        <v>30524.75</v>
      </c>
      <c r="L926" s="7" t="str">
        <f>IF(VLOOKUP(A926,'[1]LISTA ETIQUETAS'!O:AB,14,0)="","",(VLOOKUP(A926,'[1]LISTA ETIQUETAS'!O:AB,14,0)))</f>
        <v/>
      </c>
      <c r="M926" s="8"/>
      <c r="N926" s="9">
        <f t="shared" si="43"/>
        <v>373835</v>
      </c>
      <c r="O926" s="2">
        <f>_xlfn.XLOOKUP($A926,'[1]LISTA ETIQUETAS'!$O:$O,'[1]LISTA ETIQUETAS'!C:C,"",0)</f>
        <v>0</v>
      </c>
      <c r="P926" s="2">
        <f>_xlfn.XLOOKUP($A926,'[1]LISTA ETIQUETAS'!$O:$O,'[1]LISTA ETIQUETAS'!D:D,"",0)</f>
        <v>0</v>
      </c>
      <c r="Q926" s="2">
        <f>_xlfn.XLOOKUP($A926,'[1]LISTA ETIQUETAS'!$O:$O,'[1]LISTA ETIQUETAS'!E:E,"",0)</f>
        <v>0</v>
      </c>
      <c r="R926" s="2">
        <f>_xlfn.XLOOKUP($A926,'[1]LISTA ETIQUETAS'!$O:$O,'[1]LISTA ETIQUETAS'!F:F,"",0)</f>
        <v>0</v>
      </c>
      <c r="S926" s="2">
        <f>_xlfn.XLOOKUP($A926,'[1]LISTA ETIQUETAS'!$O:$O,'[1]LISTA ETIQUETAS'!H:H,"",0)</f>
        <v>1</v>
      </c>
      <c r="T926" s="9">
        <f t="shared" si="44"/>
        <v>1</v>
      </c>
    </row>
    <row r="927" spans="1:20" x14ac:dyDescent="0.25">
      <c r="A927" s="5">
        <v>271762</v>
      </c>
      <c r="B927" t="str">
        <f>IFERROR((VLOOKUP(A927,'[1]LISTA ETIQUETAS'!O:X,3,0)),"PRODUTO SEM ESTOQUE")</f>
        <v>EST MODULO PUFF IZADORA (CAPA/FIBRA) TC 4104</v>
      </c>
      <c r="C927" s="10" t="s">
        <v>13</v>
      </c>
      <c r="D927" s="10" t="s">
        <v>591</v>
      </c>
      <c r="E927" s="11">
        <f>IF(VLOOKUP(A927,'[1]LISTA ETIQUETAS'!O:W,4,0)="",(VLOOKUP(A927,'[1]LISTA ETIQUETAS'!O:W,6,0)),(VLOOKUP(A927,'[1]LISTA ETIQUETAS'!O:W,4,0)))</f>
        <v>0.9</v>
      </c>
      <c r="F927" s="11">
        <f>IF(VLOOKUP(A927,'[1]LISTA ETIQUETAS'!O:W,5,0)="",(VLOOKUP(A927,'[1]LISTA ETIQUETAS'!O:W,7,0)),(VLOOKUP(A927,'[1]LISTA ETIQUETAS'!O:W,5,0)))</f>
        <v>0.6</v>
      </c>
      <c r="G927" s="11">
        <f>IFERROR((VLOOKUP(A927,'[1]LISTA ETIQUETAS'!O:X,8,0)),"")</f>
        <v>0.47</v>
      </c>
      <c r="H927" s="11">
        <f>IFERROR((VLOOKUP(A927,'[1]LISTA ETIQUETAS'!O:X,9,0)),"")</f>
        <v>0</v>
      </c>
      <c r="I927" s="12">
        <f>IFERROR((VLOOKUP(A927,'[1]LISTA ETIQUETAS'!O:Y,11,0)),"")</f>
        <v>7972.61</v>
      </c>
      <c r="J927" s="6">
        <v>0</v>
      </c>
      <c r="K927" s="12">
        <f t="shared" si="42"/>
        <v>7972.61</v>
      </c>
      <c r="L927" s="7" t="str">
        <f>IF(VLOOKUP(A927,'[1]LISTA ETIQUETAS'!O:AB,14,0)="","",(VLOOKUP(A927,'[1]LISTA ETIQUETAS'!O:AB,14,0)))</f>
        <v/>
      </c>
      <c r="M927" s="8"/>
      <c r="N927" s="9">
        <f t="shared" si="43"/>
        <v>271762</v>
      </c>
      <c r="O927" s="2">
        <f>_xlfn.XLOOKUP($A927,'[1]LISTA ETIQUETAS'!$O:$O,'[1]LISTA ETIQUETAS'!C:C,"",0)</f>
        <v>0</v>
      </c>
      <c r="P927" s="2">
        <f>_xlfn.XLOOKUP($A927,'[1]LISTA ETIQUETAS'!$O:$O,'[1]LISTA ETIQUETAS'!D:D,"",0)</f>
        <v>0</v>
      </c>
      <c r="Q927" s="2">
        <f>_xlfn.XLOOKUP($A927,'[1]LISTA ETIQUETAS'!$O:$O,'[1]LISTA ETIQUETAS'!E:E,"",0)</f>
        <v>0</v>
      </c>
      <c r="R927" s="2">
        <f>_xlfn.XLOOKUP($A927,'[1]LISTA ETIQUETAS'!$O:$O,'[1]LISTA ETIQUETAS'!F:F,"",0)</f>
        <v>0</v>
      </c>
      <c r="S927" s="2">
        <f>_xlfn.XLOOKUP($A927,'[1]LISTA ETIQUETAS'!$O:$O,'[1]LISTA ETIQUETAS'!H:H,"",0)</f>
        <v>1</v>
      </c>
      <c r="T927" s="9">
        <f t="shared" si="44"/>
        <v>1</v>
      </c>
    </row>
    <row r="928" spans="1:20" x14ac:dyDescent="0.25">
      <c r="A928" s="5">
        <v>270755</v>
      </c>
      <c r="B928" t="str">
        <f>IFERROR((VLOOKUP(A928,'[1]LISTA ETIQUETAS'!O:X,3,0)),"PRODUTO SEM ESTOQUE")</f>
        <v>EST MODULO CHAISE BRACO DIR TARANTO TC B2109</v>
      </c>
      <c r="C928" s="10" t="s">
        <v>13</v>
      </c>
      <c r="D928" s="10" t="s">
        <v>31</v>
      </c>
      <c r="E928" s="11">
        <f>IF(VLOOKUP(A928,'[1]LISTA ETIQUETAS'!O:W,4,0)="",(VLOOKUP(A928,'[1]LISTA ETIQUETAS'!O:W,6,0)),(VLOOKUP(A928,'[1]LISTA ETIQUETAS'!O:W,4,0)))</f>
        <v>1.1000000000000001</v>
      </c>
      <c r="F928" s="11">
        <f>IF(VLOOKUP(A928,'[1]LISTA ETIQUETAS'!O:W,5,0)="",(VLOOKUP(A928,'[1]LISTA ETIQUETAS'!O:W,7,0)),(VLOOKUP(A928,'[1]LISTA ETIQUETAS'!O:W,5,0)))</f>
        <v>1.6</v>
      </c>
      <c r="G928" s="11">
        <f>IFERROR((VLOOKUP(A928,'[1]LISTA ETIQUETAS'!O:X,8,0)),"")</f>
        <v>0.95</v>
      </c>
      <c r="H928" s="11">
        <f>IFERROR((VLOOKUP(A928,'[1]LISTA ETIQUETAS'!O:X,9,0)),"")</f>
        <v>0</v>
      </c>
      <c r="I928" s="12">
        <f>IFERROR((VLOOKUP(A928,'[1]LISTA ETIQUETAS'!O:Y,11,0)),"")</f>
        <v>14629.4</v>
      </c>
      <c r="J928" s="6">
        <v>0</v>
      </c>
      <c r="K928" s="12">
        <f t="shared" si="42"/>
        <v>14629.4</v>
      </c>
      <c r="L928" s="7" t="str">
        <f>IF(VLOOKUP(A928,'[1]LISTA ETIQUETAS'!O:AB,14,0)="","",(VLOOKUP(A928,'[1]LISTA ETIQUETAS'!O:AB,14,0)))</f>
        <v/>
      </c>
      <c r="M928" s="8"/>
      <c r="N928" s="9">
        <f t="shared" si="43"/>
        <v>270755</v>
      </c>
      <c r="O928" s="2">
        <f>_xlfn.XLOOKUP($A928,'[1]LISTA ETIQUETAS'!$O:$O,'[1]LISTA ETIQUETAS'!C:C,"",0)</f>
        <v>0</v>
      </c>
      <c r="P928" s="2">
        <f>_xlfn.XLOOKUP($A928,'[1]LISTA ETIQUETAS'!$O:$O,'[1]LISTA ETIQUETAS'!D:D,"",0)</f>
        <v>0</v>
      </c>
      <c r="Q928" s="2">
        <f>_xlfn.XLOOKUP($A928,'[1]LISTA ETIQUETAS'!$O:$O,'[1]LISTA ETIQUETAS'!E:E,"",0)</f>
        <v>0</v>
      </c>
      <c r="R928" s="2">
        <f>_xlfn.XLOOKUP($A928,'[1]LISTA ETIQUETAS'!$O:$O,'[1]LISTA ETIQUETAS'!F:F,"",0)</f>
        <v>0</v>
      </c>
      <c r="S928" s="2">
        <f>_xlfn.XLOOKUP($A928,'[1]LISTA ETIQUETAS'!$O:$O,'[1]LISTA ETIQUETAS'!H:H,"",0)</f>
        <v>1</v>
      </c>
      <c r="T928" s="9">
        <f t="shared" si="44"/>
        <v>1</v>
      </c>
    </row>
    <row r="929" spans="1:20" x14ac:dyDescent="0.25">
      <c r="A929" s="5">
        <v>271264</v>
      </c>
      <c r="B929" t="str">
        <f>IFERROR((VLOOKUP(A929,'[1]LISTA ETIQUETAS'!O:X,3,0)),"PRODUTO SEM ESTOQUE")</f>
        <v>EST SOFA ANDROS (2B) FX C3079 (BASE LAMINA WALNUT)</v>
      </c>
      <c r="C929" s="10" t="s">
        <v>13</v>
      </c>
      <c r="D929" s="10" t="s">
        <v>592</v>
      </c>
      <c r="E929" s="11">
        <f>IF(VLOOKUP(A929,'[1]LISTA ETIQUETAS'!O:W,4,0)="",(VLOOKUP(A929,'[1]LISTA ETIQUETAS'!O:W,6,0)),(VLOOKUP(A929,'[1]LISTA ETIQUETAS'!O:W,4,0)))</f>
        <v>3</v>
      </c>
      <c r="F929" s="11">
        <f>IF(VLOOKUP(A929,'[1]LISTA ETIQUETAS'!O:W,5,0)="",(VLOOKUP(A929,'[1]LISTA ETIQUETAS'!O:W,7,0)),(VLOOKUP(A929,'[1]LISTA ETIQUETAS'!O:W,5,0)))</f>
        <v>1.5</v>
      </c>
      <c r="G929" s="11">
        <f>IFERROR((VLOOKUP(A929,'[1]LISTA ETIQUETAS'!O:X,8,0)),"")</f>
        <v>0.76</v>
      </c>
      <c r="H929" s="11">
        <f>IFERROR((VLOOKUP(A929,'[1]LISTA ETIQUETAS'!O:X,9,0)),"")</f>
        <v>0</v>
      </c>
      <c r="I929" s="12">
        <f>IFERROR((VLOOKUP(A929,'[1]LISTA ETIQUETAS'!O:Y,11,0)),"")</f>
        <v>48220.08</v>
      </c>
      <c r="J929" s="6">
        <v>0</v>
      </c>
      <c r="K929" s="12">
        <f t="shared" si="42"/>
        <v>48220.08</v>
      </c>
      <c r="L929" s="7" t="str">
        <f>IF(VLOOKUP(A929,'[1]LISTA ETIQUETAS'!O:AB,14,0)="","",(VLOOKUP(A929,'[1]LISTA ETIQUETAS'!O:AB,14,0)))</f>
        <v/>
      </c>
      <c r="M929" s="8"/>
      <c r="N929" s="9">
        <f t="shared" si="43"/>
        <v>271264</v>
      </c>
      <c r="O929" s="2">
        <f>_xlfn.XLOOKUP($A929,'[1]LISTA ETIQUETAS'!$O:$O,'[1]LISTA ETIQUETAS'!C:C,"",0)</f>
        <v>0</v>
      </c>
      <c r="P929" s="2">
        <f>_xlfn.XLOOKUP($A929,'[1]LISTA ETIQUETAS'!$O:$O,'[1]LISTA ETIQUETAS'!D:D,"",0)</f>
        <v>0</v>
      </c>
      <c r="Q929" s="2">
        <f>_xlfn.XLOOKUP($A929,'[1]LISTA ETIQUETAS'!$O:$O,'[1]LISTA ETIQUETAS'!E:E,"",0)</f>
        <v>0</v>
      </c>
      <c r="R929" s="2">
        <f>_xlfn.XLOOKUP($A929,'[1]LISTA ETIQUETAS'!$O:$O,'[1]LISTA ETIQUETAS'!F:F,"",0)</f>
        <v>0</v>
      </c>
      <c r="S929" s="2">
        <f>_xlfn.XLOOKUP($A929,'[1]LISTA ETIQUETAS'!$O:$O,'[1]LISTA ETIQUETAS'!H:H,"",0)</f>
        <v>1</v>
      </c>
      <c r="T929" s="9">
        <f t="shared" si="44"/>
        <v>1</v>
      </c>
    </row>
    <row r="930" spans="1:20" x14ac:dyDescent="0.25">
      <c r="A930" s="5">
        <v>255776</v>
      </c>
      <c r="B930" t="str">
        <f>IFERROR((VLOOKUP(A930,'[1]LISTA ETIQUETAS'!O:X,3,0)),"PRODUTO SEM ESTOQUE")</f>
        <v>EST PUFF DIXON (FX E6235) (PES PRETOS FOSCOS)</v>
      </c>
      <c r="C930" s="10" t="s">
        <v>13</v>
      </c>
      <c r="D930" s="10" t="s">
        <v>30</v>
      </c>
      <c r="E930" s="11">
        <f>IF(VLOOKUP(A930,'[1]LISTA ETIQUETAS'!O:W,4,0)="",(VLOOKUP(A930,'[1]LISTA ETIQUETAS'!O:W,6,0)),(VLOOKUP(A930,'[1]LISTA ETIQUETAS'!O:W,4,0)))</f>
        <v>1</v>
      </c>
      <c r="F930" s="11">
        <f>IF(VLOOKUP(A930,'[1]LISTA ETIQUETAS'!O:W,5,0)="",(VLOOKUP(A930,'[1]LISTA ETIQUETAS'!O:W,7,0)),(VLOOKUP(A930,'[1]LISTA ETIQUETAS'!O:W,5,0)))</f>
        <v>1</v>
      </c>
      <c r="G930" s="11">
        <f>IFERROR((VLOOKUP(A930,'[1]LISTA ETIQUETAS'!O:X,8,0)),"")</f>
        <v>0.44</v>
      </c>
      <c r="H930" s="11">
        <f>IFERROR((VLOOKUP(A930,'[1]LISTA ETIQUETAS'!O:X,9,0)),"")</f>
        <v>0</v>
      </c>
      <c r="I930" s="12">
        <f>IFERROR((VLOOKUP(A930,'[1]LISTA ETIQUETAS'!O:Y,11,0)),"")</f>
        <v>8976.93</v>
      </c>
      <c r="J930" s="6">
        <v>0</v>
      </c>
      <c r="K930" s="12">
        <f t="shared" si="42"/>
        <v>8976.93</v>
      </c>
      <c r="L930" s="7" t="str">
        <f>IF(VLOOKUP(A930,'[1]LISTA ETIQUETAS'!O:AB,14,0)="","",(VLOOKUP(A930,'[1]LISTA ETIQUETAS'!O:AB,14,0)))</f>
        <v/>
      </c>
      <c r="M930" s="8"/>
      <c r="N930" s="9">
        <f t="shared" si="43"/>
        <v>255776</v>
      </c>
      <c r="O930" s="2">
        <f>_xlfn.XLOOKUP($A930,'[1]LISTA ETIQUETAS'!$O:$O,'[1]LISTA ETIQUETAS'!C:C,"",0)</f>
        <v>0</v>
      </c>
      <c r="P930" s="2">
        <f>_xlfn.XLOOKUP($A930,'[1]LISTA ETIQUETAS'!$O:$O,'[1]LISTA ETIQUETAS'!D:D,"",0)</f>
        <v>0</v>
      </c>
      <c r="Q930" s="2">
        <f>_xlfn.XLOOKUP($A930,'[1]LISTA ETIQUETAS'!$O:$O,'[1]LISTA ETIQUETAS'!E:E,"",0)</f>
        <v>0</v>
      </c>
      <c r="R930" s="2">
        <f>_xlfn.XLOOKUP($A930,'[1]LISTA ETIQUETAS'!$O:$O,'[1]LISTA ETIQUETAS'!F:F,"",0)</f>
        <v>0</v>
      </c>
      <c r="S930" s="2">
        <f>_xlfn.XLOOKUP($A930,'[1]LISTA ETIQUETAS'!$O:$O,'[1]LISTA ETIQUETAS'!H:H,"",0)</f>
        <v>2</v>
      </c>
      <c r="T930" s="9">
        <f t="shared" si="44"/>
        <v>2</v>
      </c>
    </row>
    <row r="931" spans="1:20" x14ac:dyDescent="0.25">
      <c r="A931" s="5">
        <v>408755</v>
      </c>
      <c r="B931" t="str">
        <f>IFERROR((VLOOKUP(A931,'[1]LISTA ETIQUETAS'!O:X,3,0)),"PRODUTO SEM ESTOQUE")</f>
        <v>EST MODULO S/BRACO DOMO (1AS) TC VELUDO CRISTAL NATURAL</v>
      </c>
      <c r="C931" s="10" t="s">
        <v>13</v>
      </c>
      <c r="D931" s="10" t="s">
        <v>593</v>
      </c>
      <c r="E931" s="11">
        <f>IF(VLOOKUP(A931,'[1]LISTA ETIQUETAS'!O:W,4,0)="",(VLOOKUP(A931,'[1]LISTA ETIQUETAS'!O:W,6,0)),(VLOOKUP(A931,'[1]LISTA ETIQUETAS'!O:W,4,0)))</f>
        <v>0.9</v>
      </c>
      <c r="F931" s="11">
        <f>IF(VLOOKUP(A931,'[1]LISTA ETIQUETAS'!O:W,5,0)="",(VLOOKUP(A931,'[1]LISTA ETIQUETAS'!O:W,7,0)),(VLOOKUP(A931,'[1]LISTA ETIQUETAS'!O:W,5,0)))</f>
        <v>1.05</v>
      </c>
      <c r="G931" s="11">
        <f>IFERROR((VLOOKUP(A931,'[1]LISTA ETIQUETAS'!O:X,8,0)),"")</f>
        <v>0.85</v>
      </c>
      <c r="H931" s="11">
        <f>IFERROR((VLOOKUP(A931,'[1]LISTA ETIQUETAS'!O:X,9,0)),"")</f>
        <v>0</v>
      </c>
      <c r="I931" s="12">
        <f>IFERROR((VLOOKUP(A931,'[1]LISTA ETIQUETAS'!O:Y,11,0)),"")</f>
        <v>12641.207759999999</v>
      </c>
      <c r="J931" s="6">
        <v>0</v>
      </c>
      <c r="K931" s="12">
        <f t="shared" si="42"/>
        <v>12641.207759999999</v>
      </c>
      <c r="L931" s="7" t="str">
        <f>IF(VLOOKUP(A931,'[1]LISTA ETIQUETAS'!O:AB,14,0)="","",(VLOOKUP(A931,'[1]LISTA ETIQUETAS'!O:AB,14,0)))</f>
        <v/>
      </c>
      <c r="M931" s="8"/>
      <c r="N931" s="9">
        <f t="shared" si="43"/>
        <v>408755</v>
      </c>
      <c r="O931" s="2">
        <f>_xlfn.XLOOKUP($A931,'[1]LISTA ETIQUETAS'!$O:$O,'[1]LISTA ETIQUETAS'!C:C,"",0)</f>
        <v>0</v>
      </c>
      <c r="P931" s="2">
        <f>_xlfn.XLOOKUP($A931,'[1]LISTA ETIQUETAS'!$O:$O,'[1]LISTA ETIQUETAS'!D:D,"",0)</f>
        <v>0</v>
      </c>
      <c r="Q931" s="2">
        <f>_xlfn.XLOOKUP($A931,'[1]LISTA ETIQUETAS'!$O:$O,'[1]LISTA ETIQUETAS'!E:E,"",0)</f>
        <v>0</v>
      </c>
      <c r="R931" s="2">
        <f>_xlfn.XLOOKUP($A931,'[1]LISTA ETIQUETAS'!$O:$O,'[1]LISTA ETIQUETAS'!F:F,"",0)</f>
        <v>0</v>
      </c>
      <c r="S931" s="2">
        <f>_xlfn.XLOOKUP($A931,'[1]LISTA ETIQUETAS'!$O:$O,'[1]LISTA ETIQUETAS'!H:H,"",0)</f>
        <v>1</v>
      </c>
      <c r="T931" s="9">
        <f t="shared" si="44"/>
        <v>1</v>
      </c>
    </row>
    <row r="932" spans="1:20" x14ac:dyDescent="0.25">
      <c r="A932" s="5">
        <v>389954</v>
      </c>
      <c r="B932" t="str">
        <f>IFERROR((VLOOKUP(A932,'[1]LISTA ETIQUETAS'!O:X,3,0)),"PRODUTO SEM ESTOQUE")</f>
        <v>EST MODULO ENCOSTO (L) LENCOIS M OUTDOOR TC KEEPSAKE TAUPE</v>
      </c>
      <c r="C932" s="10" t="s">
        <v>13</v>
      </c>
      <c r="D932" s="10" t="s">
        <v>594</v>
      </c>
      <c r="E932" s="11">
        <f>IF(VLOOKUP(A932,'[1]LISTA ETIQUETAS'!O:W,4,0)="",(VLOOKUP(A932,'[1]LISTA ETIQUETAS'!O:W,6,0)),(VLOOKUP(A932,'[1]LISTA ETIQUETAS'!O:W,4,0)))</f>
        <v>0.8</v>
      </c>
      <c r="F932" s="11">
        <f>IF(VLOOKUP(A932,'[1]LISTA ETIQUETAS'!O:W,5,0)="",(VLOOKUP(A932,'[1]LISTA ETIQUETAS'!O:W,7,0)),(VLOOKUP(A932,'[1]LISTA ETIQUETAS'!O:W,5,0)))</f>
        <v>0.8</v>
      </c>
      <c r="G932" s="11">
        <f>IFERROR((VLOOKUP(A932,'[1]LISTA ETIQUETAS'!O:X,8,0)),"")</f>
        <v>0.26</v>
      </c>
      <c r="H932" s="11">
        <f>IFERROR((VLOOKUP(A932,'[1]LISTA ETIQUETAS'!O:X,9,0)),"")</f>
        <v>0</v>
      </c>
      <c r="I932" s="12">
        <f>IFERROR((VLOOKUP(A932,'[1]LISTA ETIQUETAS'!O:Y,11,0)),"")</f>
        <v>6989.4105</v>
      </c>
      <c r="J932" s="6">
        <v>0</v>
      </c>
      <c r="K932" s="12">
        <f t="shared" si="42"/>
        <v>6989.4105</v>
      </c>
      <c r="L932" s="7" t="str">
        <f>IF(VLOOKUP(A932,'[1]LISTA ETIQUETAS'!O:AB,14,0)="","",(VLOOKUP(A932,'[1]LISTA ETIQUETAS'!O:AB,14,0)))</f>
        <v/>
      </c>
      <c r="M932" s="8"/>
      <c r="N932" s="9">
        <f t="shared" si="43"/>
        <v>389954</v>
      </c>
      <c r="O932" s="2">
        <f>_xlfn.XLOOKUP($A932,'[1]LISTA ETIQUETAS'!$O:$O,'[1]LISTA ETIQUETAS'!C:C,"",0)</f>
        <v>0</v>
      </c>
      <c r="P932" s="2">
        <f>_xlfn.XLOOKUP($A932,'[1]LISTA ETIQUETAS'!$O:$O,'[1]LISTA ETIQUETAS'!D:D,"",0)</f>
        <v>0</v>
      </c>
      <c r="Q932" s="2">
        <f>_xlfn.XLOOKUP($A932,'[1]LISTA ETIQUETAS'!$O:$O,'[1]LISTA ETIQUETAS'!E:E,"",0)</f>
        <v>0</v>
      </c>
      <c r="R932" s="2">
        <f>_xlfn.XLOOKUP($A932,'[1]LISTA ETIQUETAS'!$O:$O,'[1]LISTA ETIQUETAS'!F:F,"",0)</f>
        <v>0</v>
      </c>
      <c r="S932" s="2">
        <f>_xlfn.XLOOKUP($A932,'[1]LISTA ETIQUETAS'!$O:$O,'[1]LISTA ETIQUETAS'!H:H,"",0)</f>
        <v>2</v>
      </c>
      <c r="T932" s="9">
        <f t="shared" si="44"/>
        <v>2</v>
      </c>
    </row>
    <row r="933" spans="1:20" x14ac:dyDescent="0.25">
      <c r="A933" s="5">
        <v>389953</v>
      </c>
      <c r="B933" t="str">
        <f>IFERROR((VLOOKUP(A933,'[1]LISTA ETIQUETAS'!O:X,3,0)),"PRODUTO SEM ESTOQUE")</f>
        <v>EST MODULO PUFF LENCOIS M OUTDOOR TC KEEPSAKE TAUPE</v>
      </c>
      <c r="C933" s="10" t="s">
        <v>13</v>
      </c>
      <c r="D933" s="10" t="s">
        <v>594</v>
      </c>
      <c r="E933" s="11">
        <f>IF(VLOOKUP(A933,'[1]LISTA ETIQUETAS'!O:W,4,0)="",(VLOOKUP(A933,'[1]LISTA ETIQUETAS'!O:W,6,0)),(VLOOKUP(A933,'[1]LISTA ETIQUETAS'!O:W,4,0)))</f>
        <v>1.7</v>
      </c>
      <c r="F933" s="11">
        <f>IF(VLOOKUP(A933,'[1]LISTA ETIQUETAS'!O:W,5,0)="",(VLOOKUP(A933,'[1]LISTA ETIQUETAS'!O:W,7,0)),(VLOOKUP(A933,'[1]LISTA ETIQUETAS'!O:W,5,0)))</f>
        <v>1</v>
      </c>
      <c r="G933" s="11">
        <f>IFERROR((VLOOKUP(A933,'[1]LISTA ETIQUETAS'!O:X,8,0)),"")</f>
        <v>0.38</v>
      </c>
      <c r="H933" s="11">
        <f>IFERROR((VLOOKUP(A933,'[1]LISTA ETIQUETAS'!O:X,9,0)),"")</f>
        <v>0</v>
      </c>
      <c r="I933" s="12">
        <f>IFERROR((VLOOKUP(A933,'[1]LISTA ETIQUETAS'!O:Y,11,0)),"")</f>
        <v>26097.426900000002</v>
      </c>
      <c r="J933" s="6">
        <v>0</v>
      </c>
      <c r="K933" s="12">
        <f t="shared" si="42"/>
        <v>26097.426900000002</v>
      </c>
      <c r="L933" s="7" t="str">
        <f>IF(VLOOKUP(A933,'[1]LISTA ETIQUETAS'!O:AB,14,0)="","",(VLOOKUP(A933,'[1]LISTA ETIQUETAS'!O:AB,14,0)))</f>
        <v/>
      </c>
      <c r="M933" s="8"/>
      <c r="N933" s="9">
        <f t="shared" si="43"/>
        <v>389953</v>
      </c>
      <c r="O933" s="2">
        <f>_xlfn.XLOOKUP($A933,'[1]LISTA ETIQUETAS'!$O:$O,'[1]LISTA ETIQUETAS'!C:C,"",0)</f>
        <v>1</v>
      </c>
      <c r="P933" s="2">
        <f>_xlfn.XLOOKUP($A933,'[1]LISTA ETIQUETAS'!$O:$O,'[1]LISTA ETIQUETAS'!D:D,"",0)</f>
        <v>0</v>
      </c>
      <c r="Q933" s="2">
        <f>_xlfn.XLOOKUP($A933,'[1]LISTA ETIQUETAS'!$O:$O,'[1]LISTA ETIQUETAS'!E:E,"",0)</f>
        <v>0</v>
      </c>
      <c r="R933" s="2">
        <f>_xlfn.XLOOKUP($A933,'[1]LISTA ETIQUETAS'!$O:$O,'[1]LISTA ETIQUETAS'!F:F,"",0)</f>
        <v>2</v>
      </c>
      <c r="S933" s="2">
        <f>_xlfn.XLOOKUP($A933,'[1]LISTA ETIQUETAS'!$O:$O,'[1]LISTA ETIQUETAS'!H:H,"",0)</f>
        <v>2</v>
      </c>
      <c r="T933" s="9">
        <f t="shared" si="44"/>
        <v>5</v>
      </c>
    </row>
    <row r="934" spans="1:20" x14ac:dyDescent="0.25">
      <c r="A934" s="5">
        <v>398670</v>
      </c>
      <c r="B934" t="str">
        <f>IFERROR((VLOOKUP(A934,'[1]LISTA ETIQUETAS'!O:X,3,0)),"PRODUTO SEM ESTOQUE")</f>
        <v>EST MODULO PUFF LENCOIS M (RVST DET CR5) (FX5416)</v>
      </c>
      <c r="C934" s="10" t="s">
        <v>13</v>
      </c>
      <c r="D934" s="10" t="s">
        <v>117</v>
      </c>
      <c r="E934" s="11">
        <f>IF(VLOOKUP(A934,'[1]LISTA ETIQUETAS'!O:W,4,0)="",(VLOOKUP(A934,'[1]LISTA ETIQUETAS'!O:W,6,0)),(VLOOKUP(A934,'[1]LISTA ETIQUETAS'!O:W,4,0)))</f>
        <v>2</v>
      </c>
      <c r="F934" s="11">
        <f>IF(VLOOKUP(A934,'[1]LISTA ETIQUETAS'!O:W,5,0)="",(VLOOKUP(A934,'[1]LISTA ETIQUETAS'!O:W,7,0)),(VLOOKUP(A934,'[1]LISTA ETIQUETAS'!O:W,5,0)))</f>
        <v>1</v>
      </c>
      <c r="G934" s="11">
        <f>IFERROR((VLOOKUP(A934,'[1]LISTA ETIQUETAS'!O:X,8,0)),"")</f>
        <v>0.38</v>
      </c>
      <c r="H934" s="11">
        <f>IFERROR((VLOOKUP(A934,'[1]LISTA ETIQUETAS'!O:X,9,0)),"")</f>
        <v>0</v>
      </c>
      <c r="I934" s="12" t="str">
        <f>IFERROR((VLOOKUP(A934,'[1]LISTA ETIQUETAS'!O:Y,11,0)),"")</f>
        <v/>
      </c>
      <c r="J934" s="6">
        <v>0</v>
      </c>
      <c r="K934" s="12" t="str">
        <f t="shared" si="42"/>
        <v/>
      </c>
      <c r="L934" s="7" t="str">
        <f>IF(VLOOKUP(A934,'[1]LISTA ETIQUETAS'!O:AB,14,0)="","",(VLOOKUP(A934,'[1]LISTA ETIQUETAS'!O:AB,14,0)))</f>
        <v/>
      </c>
      <c r="M934" s="8"/>
      <c r="N934" s="9">
        <f t="shared" si="43"/>
        <v>398670</v>
      </c>
      <c r="O934" s="2">
        <f>_xlfn.XLOOKUP($A934,'[1]LISTA ETIQUETAS'!$O:$O,'[1]LISTA ETIQUETAS'!C:C,"",0)</f>
        <v>0</v>
      </c>
      <c r="P934" s="2">
        <f>_xlfn.XLOOKUP($A934,'[1]LISTA ETIQUETAS'!$O:$O,'[1]LISTA ETIQUETAS'!D:D,"",0)</f>
        <v>0</v>
      </c>
      <c r="Q934" s="2">
        <f>_xlfn.XLOOKUP($A934,'[1]LISTA ETIQUETAS'!$O:$O,'[1]LISTA ETIQUETAS'!E:E,"",0)</f>
        <v>0</v>
      </c>
      <c r="R934" s="2">
        <f>_xlfn.XLOOKUP($A934,'[1]LISTA ETIQUETAS'!$O:$O,'[1]LISTA ETIQUETAS'!F:F,"",0)</f>
        <v>0</v>
      </c>
      <c r="S934" s="2">
        <f>_xlfn.XLOOKUP($A934,'[1]LISTA ETIQUETAS'!$O:$O,'[1]LISTA ETIQUETAS'!H:H,"",0)</f>
        <v>1</v>
      </c>
      <c r="T934" s="9">
        <f t="shared" si="44"/>
        <v>1</v>
      </c>
    </row>
    <row r="935" spans="1:20" x14ac:dyDescent="0.25">
      <c r="A935" s="5">
        <v>398669</v>
      </c>
      <c r="B935" t="str">
        <f>IFERROR((VLOOKUP(A935,'[1]LISTA ETIQUETAS'!O:X,3,0)),"PRODUTO SEM ESTOQUE")</f>
        <v>EST MODULO ENCOSTO RETO LENCOIS M (DET CR5) (FX5416)</v>
      </c>
      <c r="C935" s="10" t="s">
        <v>13</v>
      </c>
      <c r="D935" s="10" t="s">
        <v>117</v>
      </c>
      <c r="E935" s="11">
        <f>IF(VLOOKUP(A935,'[1]LISTA ETIQUETAS'!O:W,4,0)="",(VLOOKUP(A935,'[1]LISTA ETIQUETAS'!O:W,6,0)),(VLOOKUP(A935,'[1]LISTA ETIQUETAS'!O:W,4,0)))</f>
        <v>0.8</v>
      </c>
      <c r="F935" s="11">
        <f>IF(VLOOKUP(A935,'[1]LISTA ETIQUETAS'!O:W,5,0)="",(VLOOKUP(A935,'[1]LISTA ETIQUETAS'!O:W,7,0)),(VLOOKUP(A935,'[1]LISTA ETIQUETAS'!O:W,5,0)))</f>
        <v>0.26</v>
      </c>
      <c r="G935" s="11">
        <f>IFERROR((VLOOKUP(A935,'[1]LISTA ETIQUETAS'!O:X,8,0)),"")</f>
        <v>0.26</v>
      </c>
      <c r="H935" s="11">
        <f>IFERROR((VLOOKUP(A935,'[1]LISTA ETIQUETAS'!O:X,9,0)),"")</f>
        <v>0</v>
      </c>
      <c r="I935" s="12" t="str">
        <f>IFERROR((VLOOKUP(A935,'[1]LISTA ETIQUETAS'!O:Y,11,0)),"")</f>
        <v/>
      </c>
      <c r="J935" s="6">
        <v>0</v>
      </c>
      <c r="K935" s="12" t="str">
        <f t="shared" si="42"/>
        <v/>
      </c>
      <c r="L935" s="7" t="str">
        <f>IF(VLOOKUP(A935,'[1]LISTA ETIQUETAS'!O:AB,14,0)="","",(VLOOKUP(A935,'[1]LISTA ETIQUETAS'!O:AB,14,0)))</f>
        <v/>
      </c>
      <c r="M935" s="8"/>
      <c r="N935" s="9">
        <f t="shared" si="43"/>
        <v>398669</v>
      </c>
      <c r="O935" s="2">
        <f>_xlfn.XLOOKUP($A935,'[1]LISTA ETIQUETAS'!$O:$O,'[1]LISTA ETIQUETAS'!C:C,"",0)</f>
        <v>0</v>
      </c>
      <c r="P935" s="2">
        <f>_xlfn.XLOOKUP($A935,'[1]LISTA ETIQUETAS'!$O:$O,'[1]LISTA ETIQUETAS'!D:D,"",0)</f>
        <v>0</v>
      </c>
      <c r="Q935" s="2">
        <f>_xlfn.XLOOKUP($A935,'[1]LISTA ETIQUETAS'!$O:$O,'[1]LISTA ETIQUETAS'!E:E,"",0)</f>
        <v>0</v>
      </c>
      <c r="R935" s="2">
        <f>_xlfn.XLOOKUP($A935,'[1]LISTA ETIQUETAS'!$O:$O,'[1]LISTA ETIQUETAS'!F:F,"",0)</f>
        <v>0</v>
      </c>
      <c r="S935" s="2">
        <f>_xlfn.XLOOKUP($A935,'[1]LISTA ETIQUETAS'!$O:$O,'[1]LISTA ETIQUETAS'!H:H,"",0)</f>
        <v>1</v>
      </c>
      <c r="T935" s="9">
        <f t="shared" si="44"/>
        <v>1</v>
      </c>
    </row>
    <row r="936" spans="1:20" x14ac:dyDescent="0.25">
      <c r="A936" s="5">
        <v>398671</v>
      </c>
      <c r="B936" t="str">
        <f>IFERROR((VLOOKUP(A936,'[1]LISTA ETIQUETAS'!O:X,3,0)),"PRODUTO SEM ESTOQUE")</f>
        <v>EST MODULO ENCOSTO (L) LENCOIS M (DET CR5) (FX5416)</v>
      </c>
      <c r="C936" s="10" t="s">
        <v>13</v>
      </c>
      <c r="D936" s="10" t="s">
        <v>117</v>
      </c>
      <c r="E936" s="11">
        <f>IF(VLOOKUP(A936,'[1]LISTA ETIQUETAS'!O:W,4,0)="",(VLOOKUP(A936,'[1]LISTA ETIQUETAS'!O:W,6,0)),(VLOOKUP(A936,'[1]LISTA ETIQUETAS'!O:W,4,0)))</f>
        <v>1</v>
      </c>
      <c r="F936" s="11">
        <f>IF(VLOOKUP(A936,'[1]LISTA ETIQUETAS'!O:W,5,0)="",(VLOOKUP(A936,'[1]LISTA ETIQUETAS'!O:W,7,0)),(VLOOKUP(A936,'[1]LISTA ETIQUETAS'!O:W,5,0)))</f>
        <v>0.8</v>
      </c>
      <c r="G936" s="11">
        <f>IFERROR((VLOOKUP(A936,'[1]LISTA ETIQUETAS'!O:X,8,0)),"")</f>
        <v>0.26</v>
      </c>
      <c r="H936" s="11">
        <f>IFERROR((VLOOKUP(A936,'[1]LISTA ETIQUETAS'!O:X,9,0)),"")</f>
        <v>0</v>
      </c>
      <c r="I936" s="12" t="str">
        <f>IFERROR((VLOOKUP(A936,'[1]LISTA ETIQUETAS'!O:Y,11,0)),"")</f>
        <v/>
      </c>
      <c r="J936" s="6">
        <v>0</v>
      </c>
      <c r="K936" s="12" t="str">
        <f t="shared" si="42"/>
        <v/>
      </c>
      <c r="L936" s="7" t="str">
        <f>IF(VLOOKUP(A936,'[1]LISTA ETIQUETAS'!O:AB,14,0)="","",(VLOOKUP(A936,'[1]LISTA ETIQUETAS'!O:AB,14,0)))</f>
        <v/>
      </c>
      <c r="M936" s="8"/>
      <c r="N936" s="9">
        <f t="shared" si="43"/>
        <v>398671</v>
      </c>
      <c r="O936" s="2">
        <f>_xlfn.XLOOKUP($A936,'[1]LISTA ETIQUETAS'!$O:$O,'[1]LISTA ETIQUETAS'!C:C,"",0)</f>
        <v>0</v>
      </c>
      <c r="P936" s="2">
        <f>_xlfn.XLOOKUP($A936,'[1]LISTA ETIQUETAS'!$O:$O,'[1]LISTA ETIQUETAS'!D:D,"",0)</f>
        <v>0</v>
      </c>
      <c r="Q936" s="2">
        <f>_xlfn.XLOOKUP($A936,'[1]LISTA ETIQUETAS'!$O:$O,'[1]LISTA ETIQUETAS'!E:E,"",0)</f>
        <v>0</v>
      </c>
      <c r="R936" s="2">
        <f>_xlfn.XLOOKUP($A936,'[1]LISTA ETIQUETAS'!$O:$O,'[1]LISTA ETIQUETAS'!F:F,"",0)</f>
        <v>0</v>
      </c>
      <c r="S936" s="2">
        <f>_xlfn.XLOOKUP($A936,'[1]LISTA ETIQUETAS'!$O:$O,'[1]LISTA ETIQUETAS'!H:H,"",0)</f>
        <v>1</v>
      </c>
      <c r="T936" s="9">
        <f t="shared" si="44"/>
        <v>1</v>
      </c>
    </row>
    <row r="937" spans="1:20" x14ac:dyDescent="0.25">
      <c r="A937" s="5">
        <v>365800</v>
      </c>
      <c r="B937" t="str">
        <f>IFERROR((VLOOKUP(A937,'[1]LISTA ETIQUETAS'!O:X,3,0)),"PRODUTO SEM ESTOQUE")</f>
        <v>EST SOFA OCA COURO FORN FIRENZE 400/PES RB05/AVANCO DIREITO</v>
      </c>
      <c r="C937" s="10" t="s">
        <v>13</v>
      </c>
      <c r="D937" s="10" t="s">
        <v>595</v>
      </c>
      <c r="E937" s="11">
        <f>IF(VLOOKUP(A937,'[1]LISTA ETIQUETAS'!O:W,4,0)="",(VLOOKUP(A937,'[1]LISTA ETIQUETAS'!O:W,6,0)),(VLOOKUP(A937,'[1]LISTA ETIQUETAS'!O:W,4,0)))</f>
        <v>2.75</v>
      </c>
      <c r="F937" s="11">
        <f>IF(VLOOKUP(A937,'[1]LISTA ETIQUETAS'!O:W,5,0)="",(VLOOKUP(A937,'[1]LISTA ETIQUETAS'!O:W,7,0)),(VLOOKUP(A937,'[1]LISTA ETIQUETAS'!O:W,5,0)))</f>
        <v>1.01</v>
      </c>
      <c r="G937" s="11">
        <f>IFERROR((VLOOKUP(A937,'[1]LISTA ETIQUETAS'!O:X,8,0)),"")</f>
        <v>0.78</v>
      </c>
      <c r="H937" s="11">
        <f>IFERROR((VLOOKUP(A937,'[1]LISTA ETIQUETAS'!O:X,9,0)),"")</f>
        <v>0</v>
      </c>
      <c r="I937" s="12">
        <f>IFERROR((VLOOKUP(A937,'[1]LISTA ETIQUETAS'!O:Y,11,0)),"")</f>
        <v>95055.12</v>
      </c>
      <c r="J937" s="6">
        <v>0</v>
      </c>
      <c r="K937" s="12">
        <f t="shared" si="42"/>
        <v>95055.12</v>
      </c>
      <c r="L937" s="7" t="str">
        <f>IF(VLOOKUP(A937,'[1]LISTA ETIQUETAS'!O:AB,14,0)="","",(VLOOKUP(A937,'[1]LISTA ETIQUETAS'!O:AB,14,0)))</f>
        <v/>
      </c>
      <c r="M937" s="8"/>
      <c r="N937" s="9">
        <f t="shared" si="43"/>
        <v>365800</v>
      </c>
      <c r="O937" s="2">
        <f>_xlfn.XLOOKUP($A937,'[1]LISTA ETIQUETAS'!$O:$O,'[1]LISTA ETIQUETAS'!C:C,"",0)</f>
        <v>0</v>
      </c>
      <c r="P937" s="2">
        <f>_xlfn.XLOOKUP($A937,'[1]LISTA ETIQUETAS'!$O:$O,'[1]LISTA ETIQUETAS'!D:D,"",0)</f>
        <v>0</v>
      </c>
      <c r="Q937" s="2">
        <f>_xlfn.XLOOKUP($A937,'[1]LISTA ETIQUETAS'!$O:$O,'[1]LISTA ETIQUETAS'!E:E,"",0)</f>
        <v>0</v>
      </c>
      <c r="R937" s="2">
        <f>_xlfn.XLOOKUP($A937,'[1]LISTA ETIQUETAS'!$O:$O,'[1]LISTA ETIQUETAS'!F:F,"",0)</f>
        <v>0</v>
      </c>
      <c r="S937" s="2">
        <f>_xlfn.XLOOKUP($A937,'[1]LISTA ETIQUETAS'!$O:$O,'[1]LISTA ETIQUETAS'!H:H,"",0)</f>
        <v>1</v>
      </c>
      <c r="T937" s="9">
        <f t="shared" si="44"/>
        <v>1</v>
      </c>
    </row>
    <row r="938" spans="1:20" x14ac:dyDescent="0.25">
      <c r="A938" s="5">
        <v>354854</v>
      </c>
      <c r="B938" t="str">
        <f>IFERROR((VLOOKUP(A938,'[1]LISTA ETIQUETAS'!O:X,3,0)),"PRODUTO SEM ESTOQUE")</f>
        <v>EST MODULO ENCOSTO RETO LENCOIS M (LISO) (COURO CH 32)</v>
      </c>
      <c r="C938" s="10" t="s">
        <v>13</v>
      </c>
      <c r="D938" s="10" t="s">
        <v>117</v>
      </c>
      <c r="E938" s="11">
        <f>IF(VLOOKUP(A938,'[1]LISTA ETIQUETAS'!O:W,4,0)="",(VLOOKUP(A938,'[1]LISTA ETIQUETAS'!O:W,6,0)),(VLOOKUP(A938,'[1]LISTA ETIQUETAS'!O:W,4,0)))</f>
        <v>0.7</v>
      </c>
      <c r="F938" s="11">
        <f>IF(VLOOKUP(A938,'[1]LISTA ETIQUETAS'!O:W,5,0)="",(VLOOKUP(A938,'[1]LISTA ETIQUETAS'!O:W,7,0)),(VLOOKUP(A938,'[1]LISTA ETIQUETAS'!O:W,5,0)))</f>
        <v>0.26</v>
      </c>
      <c r="G938" s="11">
        <f>IFERROR((VLOOKUP(A938,'[1]LISTA ETIQUETAS'!O:X,8,0)),"")</f>
        <v>0.26</v>
      </c>
      <c r="H938" s="11">
        <f>IFERROR((VLOOKUP(A938,'[1]LISTA ETIQUETAS'!O:X,9,0)),"")</f>
        <v>0</v>
      </c>
      <c r="I938" s="12">
        <f>IFERROR((VLOOKUP(A938,'[1]LISTA ETIQUETAS'!O:Y,11,0)),"")</f>
        <v>5006.5300000000007</v>
      </c>
      <c r="J938" s="6">
        <v>0</v>
      </c>
      <c r="K938" s="12">
        <f t="shared" si="42"/>
        <v>5006.5300000000007</v>
      </c>
      <c r="L938" s="7" t="str">
        <f>IF(VLOOKUP(A938,'[1]LISTA ETIQUETAS'!O:AB,14,0)="","",(VLOOKUP(A938,'[1]LISTA ETIQUETAS'!O:AB,14,0)))</f>
        <v/>
      </c>
      <c r="M938" s="8"/>
      <c r="N938" s="9">
        <f t="shared" si="43"/>
        <v>354854</v>
      </c>
      <c r="O938" s="2">
        <f>_xlfn.XLOOKUP($A938,'[1]LISTA ETIQUETAS'!$O:$O,'[1]LISTA ETIQUETAS'!C:C,"",0)</f>
        <v>0</v>
      </c>
      <c r="P938" s="2">
        <f>_xlfn.XLOOKUP($A938,'[1]LISTA ETIQUETAS'!$O:$O,'[1]LISTA ETIQUETAS'!D:D,"",0)</f>
        <v>0</v>
      </c>
      <c r="Q938" s="2">
        <f>_xlfn.XLOOKUP($A938,'[1]LISTA ETIQUETAS'!$O:$O,'[1]LISTA ETIQUETAS'!E:E,"",0)</f>
        <v>0</v>
      </c>
      <c r="R938" s="2">
        <f>_xlfn.XLOOKUP($A938,'[1]LISTA ETIQUETAS'!$O:$O,'[1]LISTA ETIQUETAS'!F:F,"",0)</f>
        <v>0</v>
      </c>
      <c r="S938" s="2">
        <f>_xlfn.XLOOKUP($A938,'[1]LISTA ETIQUETAS'!$O:$O,'[1]LISTA ETIQUETAS'!H:H,"",0)</f>
        <v>1</v>
      </c>
      <c r="T938" s="9">
        <f t="shared" si="44"/>
        <v>1</v>
      </c>
    </row>
    <row r="939" spans="1:20" x14ac:dyDescent="0.25">
      <c r="A939" s="5">
        <v>354853</v>
      </c>
      <c r="B939" t="str">
        <f>IFERROR((VLOOKUP(A939,'[1]LISTA ETIQUETAS'!O:X,3,0)),"PRODUTO SEM ESTOQUE")</f>
        <v>EST MODULO PUFF CANTO 90 LENCOIS M (RVST) (COURO CH 32)</v>
      </c>
      <c r="C939" s="10" t="s">
        <v>13</v>
      </c>
      <c r="D939" s="10" t="s">
        <v>117</v>
      </c>
      <c r="E939" s="11">
        <f>IF(VLOOKUP(A939,'[1]LISTA ETIQUETAS'!O:W,4,0)="",(VLOOKUP(A939,'[1]LISTA ETIQUETAS'!O:W,6,0)),(VLOOKUP(A939,'[1]LISTA ETIQUETAS'!O:W,4,0)))</f>
        <v>1</v>
      </c>
      <c r="F939" s="11">
        <f>IF(VLOOKUP(A939,'[1]LISTA ETIQUETAS'!O:W,5,0)="",(VLOOKUP(A939,'[1]LISTA ETIQUETAS'!O:W,7,0)),(VLOOKUP(A939,'[1]LISTA ETIQUETAS'!O:W,5,0)))</f>
        <v>1</v>
      </c>
      <c r="G939" s="11">
        <f>IFERROR((VLOOKUP(A939,'[1]LISTA ETIQUETAS'!O:X,8,0)),"")</f>
        <v>0.38</v>
      </c>
      <c r="H939" s="11">
        <f>IFERROR((VLOOKUP(A939,'[1]LISTA ETIQUETAS'!O:X,9,0)),"")</f>
        <v>0</v>
      </c>
      <c r="I939" s="12">
        <f>IFERROR((VLOOKUP(A939,'[1]LISTA ETIQUETAS'!O:Y,11,0)),"")</f>
        <v>11660.1</v>
      </c>
      <c r="J939" s="6">
        <v>0</v>
      </c>
      <c r="K939" s="12">
        <f t="shared" si="42"/>
        <v>11660.1</v>
      </c>
      <c r="L939" s="7" t="str">
        <f>IF(VLOOKUP(A939,'[1]LISTA ETIQUETAS'!O:AB,14,0)="","",(VLOOKUP(A939,'[1]LISTA ETIQUETAS'!O:AB,14,0)))</f>
        <v/>
      </c>
      <c r="M939" s="8"/>
      <c r="N939" s="9">
        <f t="shared" si="43"/>
        <v>354853</v>
      </c>
      <c r="O939" s="2">
        <f>_xlfn.XLOOKUP($A939,'[1]LISTA ETIQUETAS'!$O:$O,'[1]LISTA ETIQUETAS'!C:C,"",0)</f>
        <v>0</v>
      </c>
      <c r="P939" s="2">
        <f>_xlfn.XLOOKUP($A939,'[1]LISTA ETIQUETAS'!$O:$O,'[1]LISTA ETIQUETAS'!D:D,"",0)</f>
        <v>0</v>
      </c>
      <c r="Q939" s="2">
        <f>_xlfn.XLOOKUP($A939,'[1]LISTA ETIQUETAS'!$O:$O,'[1]LISTA ETIQUETAS'!E:E,"",0)</f>
        <v>0</v>
      </c>
      <c r="R939" s="2">
        <f>_xlfn.XLOOKUP($A939,'[1]LISTA ETIQUETAS'!$O:$O,'[1]LISTA ETIQUETAS'!F:F,"",0)</f>
        <v>0</v>
      </c>
      <c r="S939" s="2">
        <f>_xlfn.XLOOKUP($A939,'[1]LISTA ETIQUETAS'!$O:$O,'[1]LISTA ETIQUETAS'!H:H,"",0)</f>
        <v>1</v>
      </c>
      <c r="T939" s="9">
        <f t="shared" si="44"/>
        <v>1</v>
      </c>
    </row>
    <row r="940" spans="1:20" x14ac:dyDescent="0.25">
      <c r="A940" s="5">
        <v>353142</v>
      </c>
      <c r="B940" t="str">
        <f>IFERROR((VLOOKUP(A940,'[1]LISTA ETIQUETAS'!O:X,3,0)),"PRODUTO SEM ESTOQUE")</f>
        <v>EST MODULO PUFF CANTO TARANTO TC B2206/VRNZ EBNZ</v>
      </c>
      <c r="C940" s="10" t="s">
        <v>13</v>
      </c>
      <c r="D940" s="10" t="s">
        <v>31</v>
      </c>
      <c r="E940" s="11">
        <f>IF(VLOOKUP(A940,'[1]LISTA ETIQUETAS'!O:W,4,0)="",(VLOOKUP(A940,'[1]LISTA ETIQUETAS'!O:W,6,0)),(VLOOKUP(A940,'[1]LISTA ETIQUETAS'!O:W,4,0)))</f>
        <v>1</v>
      </c>
      <c r="F940" s="11">
        <f>IF(VLOOKUP(A940,'[1]LISTA ETIQUETAS'!O:W,5,0)="",(VLOOKUP(A940,'[1]LISTA ETIQUETAS'!O:W,7,0)),(VLOOKUP(A940,'[1]LISTA ETIQUETAS'!O:W,5,0)))</f>
        <v>1</v>
      </c>
      <c r="G940" s="11">
        <f>IFERROR((VLOOKUP(A940,'[1]LISTA ETIQUETAS'!O:X,8,0)),"")</f>
        <v>0.52</v>
      </c>
      <c r="H940" s="11">
        <f>IFERROR((VLOOKUP(A940,'[1]LISTA ETIQUETAS'!O:X,9,0)),"")</f>
        <v>0</v>
      </c>
      <c r="I940" s="12">
        <f>IFERROR((VLOOKUP(A940,'[1]LISTA ETIQUETAS'!O:Y,11,0)),"")</f>
        <v>10515.32</v>
      </c>
      <c r="J940" s="6">
        <v>0</v>
      </c>
      <c r="K940" s="12">
        <f t="shared" si="42"/>
        <v>10515.32</v>
      </c>
      <c r="L940" s="7" t="str">
        <f>IF(VLOOKUP(A940,'[1]LISTA ETIQUETAS'!O:AB,14,0)="","",(VLOOKUP(A940,'[1]LISTA ETIQUETAS'!O:AB,14,0)))</f>
        <v/>
      </c>
      <c r="M940" s="8"/>
      <c r="N940" s="9">
        <f t="shared" si="43"/>
        <v>353142</v>
      </c>
      <c r="O940" s="2">
        <f>_xlfn.XLOOKUP($A940,'[1]LISTA ETIQUETAS'!$O:$O,'[1]LISTA ETIQUETAS'!C:C,"",0)</f>
        <v>0</v>
      </c>
      <c r="P940" s="2">
        <f>_xlfn.XLOOKUP($A940,'[1]LISTA ETIQUETAS'!$O:$O,'[1]LISTA ETIQUETAS'!D:D,"",0)</f>
        <v>0</v>
      </c>
      <c r="Q940" s="2">
        <f>_xlfn.XLOOKUP($A940,'[1]LISTA ETIQUETAS'!$O:$O,'[1]LISTA ETIQUETAS'!E:E,"",0)</f>
        <v>0</v>
      </c>
      <c r="R940" s="2">
        <f>_xlfn.XLOOKUP($A940,'[1]LISTA ETIQUETAS'!$O:$O,'[1]LISTA ETIQUETAS'!F:F,"",0)</f>
        <v>0</v>
      </c>
      <c r="S940" s="2">
        <f>_xlfn.XLOOKUP($A940,'[1]LISTA ETIQUETAS'!$O:$O,'[1]LISTA ETIQUETAS'!H:H,"",0)</f>
        <v>1</v>
      </c>
      <c r="T940" s="9">
        <f t="shared" si="44"/>
        <v>1</v>
      </c>
    </row>
    <row r="941" spans="1:20" x14ac:dyDescent="0.25">
      <c r="A941" s="5">
        <v>334454</v>
      </c>
      <c r="B941" t="str">
        <f>IFERROR((VLOOKUP(A941,'[1]LISTA ETIQUETAS'!O:X,3,0)),"PRODUTO SEM ESTOQUE")</f>
        <v>EST SOFA OCA COURO VQ425/PES PRETO/AVANCO DIREITO</v>
      </c>
      <c r="C941" s="10" t="s">
        <v>13</v>
      </c>
      <c r="D941" s="10" t="s">
        <v>595</v>
      </c>
      <c r="E941" s="11">
        <f>IF(VLOOKUP(A941,'[1]LISTA ETIQUETAS'!O:W,4,0)="",(VLOOKUP(A941,'[1]LISTA ETIQUETAS'!O:W,6,0)),(VLOOKUP(A941,'[1]LISTA ETIQUETAS'!O:W,4,0)))</f>
        <v>2.75</v>
      </c>
      <c r="F941" s="11">
        <f>IF(VLOOKUP(A941,'[1]LISTA ETIQUETAS'!O:W,5,0)="",(VLOOKUP(A941,'[1]LISTA ETIQUETAS'!O:W,7,0)),(VLOOKUP(A941,'[1]LISTA ETIQUETAS'!O:W,5,0)))</f>
        <v>1.01</v>
      </c>
      <c r="G941" s="11">
        <f>IFERROR((VLOOKUP(A941,'[1]LISTA ETIQUETAS'!O:X,8,0)),"")</f>
        <v>0.78</v>
      </c>
      <c r="H941" s="11">
        <f>IFERROR((VLOOKUP(A941,'[1]LISTA ETIQUETAS'!O:X,9,0)),"")</f>
        <v>0</v>
      </c>
      <c r="I941" s="12">
        <f>IFERROR((VLOOKUP(A941,'[1]LISTA ETIQUETAS'!O:Y,11,0)),"")</f>
        <v>87348.62</v>
      </c>
      <c r="J941" s="6">
        <v>0</v>
      </c>
      <c r="K941" s="12">
        <f t="shared" si="42"/>
        <v>87348.62</v>
      </c>
      <c r="L941" s="7" t="str">
        <f>IF(VLOOKUP(A941,'[1]LISTA ETIQUETAS'!O:AB,14,0)="","",(VLOOKUP(A941,'[1]LISTA ETIQUETAS'!O:AB,14,0)))</f>
        <v/>
      </c>
      <c r="M941" s="8"/>
      <c r="N941" s="9">
        <f t="shared" si="43"/>
        <v>334454</v>
      </c>
      <c r="O941" s="2">
        <f>_xlfn.XLOOKUP($A941,'[1]LISTA ETIQUETAS'!$O:$O,'[1]LISTA ETIQUETAS'!C:C,"",0)</f>
        <v>0</v>
      </c>
      <c r="P941" s="2">
        <f>_xlfn.XLOOKUP($A941,'[1]LISTA ETIQUETAS'!$O:$O,'[1]LISTA ETIQUETAS'!D:D,"",0)</f>
        <v>0</v>
      </c>
      <c r="Q941" s="2">
        <f>_xlfn.XLOOKUP($A941,'[1]LISTA ETIQUETAS'!$O:$O,'[1]LISTA ETIQUETAS'!E:E,"",0)</f>
        <v>0</v>
      </c>
      <c r="R941" s="2">
        <f>_xlfn.XLOOKUP($A941,'[1]LISTA ETIQUETAS'!$O:$O,'[1]LISTA ETIQUETAS'!F:F,"",0)</f>
        <v>0</v>
      </c>
      <c r="S941" s="2">
        <f>_xlfn.XLOOKUP($A941,'[1]LISTA ETIQUETAS'!$O:$O,'[1]LISTA ETIQUETAS'!H:H,"",0)</f>
        <v>1</v>
      </c>
      <c r="T941" s="9">
        <f t="shared" si="44"/>
        <v>1</v>
      </c>
    </row>
    <row r="942" spans="1:20" x14ac:dyDescent="0.25">
      <c r="A942" s="5">
        <v>335134</v>
      </c>
      <c r="B942" t="str">
        <f>IFERROR((VLOOKUP(A942,'[1]LISTA ETIQUETAS'!O:X,3,0)),"PRODUTO SEM ESTOQUE")</f>
        <v>EST MODULO S/BRACO C/ENC PARATY (FX 50043) (WALNUT MATT)</v>
      </c>
      <c r="C942" s="10" t="s">
        <v>13</v>
      </c>
      <c r="D942" s="10" t="s">
        <v>40</v>
      </c>
      <c r="E942" s="11">
        <f>IF(VLOOKUP(A942,'[1]LISTA ETIQUETAS'!O:W,4,0)="",(VLOOKUP(A942,'[1]LISTA ETIQUETAS'!O:W,6,0)),(VLOOKUP(A942,'[1]LISTA ETIQUETAS'!O:W,4,0)))</f>
        <v>1.8</v>
      </c>
      <c r="F942" s="11">
        <f>IF(VLOOKUP(A942,'[1]LISTA ETIQUETAS'!O:W,5,0)="",(VLOOKUP(A942,'[1]LISTA ETIQUETAS'!O:W,7,0)),(VLOOKUP(A942,'[1]LISTA ETIQUETAS'!O:W,5,0)))</f>
        <v>1</v>
      </c>
      <c r="G942" s="11">
        <f>IFERROR((VLOOKUP(A942,'[1]LISTA ETIQUETAS'!O:X,8,0)),"")</f>
        <v>0.77</v>
      </c>
      <c r="H942" s="11">
        <f>IFERROR((VLOOKUP(A942,'[1]LISTA ETIQUETAS'!O:X,9,0)),"")</f>
        <v>0</v>
      </c>
      <c r="I942" s="12">
        <f>IFERROR((VLOOKUP(A942,'[1]LISTA ETIQUETAS'!O:Y,11,0)),"")</f>
        <v>18690.87</v>
      </c>
      <c r="J942" s="6">
        <v>0</v>
      </c>
      <c r="K942" s="12">
        <f t="shared" si="42"/>
        <v>18690.87</v>
      </c>
      <c r="L942" s="7" t="str">
        <f>IF(VLOOKUP(A942,'[1]LISTA ETIQUETAS'!O:AB,14,0)="","",(VLOOKUP(A942,'[1]LISTA ETIQUETAS'!O:AB,14,0)))</f>
        <v/>
      </c>
      <c r="M942" s="8"/>
      <c r="N942" s="9">
        <f t="shared" si="43"/>
        <v>335134</v>
      </c>
      <c r="O942" s="2">
        <f>_xlfn.XLOOKUP($A942,'[1]LISTA ETIQUETAS'!$O:$O,'[1]LISTA ETIQUETAS'!C:C,"",0)</f>
        <v>0</v>
      </c>
      <c r="P942" s="2">
        <f>_xlfn.XLOOKUP($A942,'[1]LISTA ETIQUETAS'!$O:$O,'[1]LISTA ETIQUETAS'!D:D,"",0)</f>
        <v>0</v>
      </c>
      <c r="Q942" s="2">
        <f>_xlfn.XLOOKUP($A942,'[1]LISTA ETIQUETAS'!$O:$O,'[1]LISTA ETIQUETAS'!E:E,"",0)</f>
        <v>0</v>
      </c>
      <c r="R942" s="2">
        <f>_xlfn.XLOOKUP($A942,'[1]LISTA ETIQUETAS'!$O:$O,'[1]LISTA ETIQUETAS'!F:F,"",0)</f>
        <v>0</v>
      </c>
      <c r="S942" s="2">
        <f>_xlfn.XLOOKUP($A942,'[1]LISTA ETIQUETAS'!$O:$O,'[1]LISTA ETIQUETAS'!H:H,"",0)</f>
        <v>1</v>
      </c>
      <c r="T942" s="9">
        <f t="shared" si="44"/>
        <v>1</v>
      </c>
    </row>
    <row r="943" spans="1:20" x14ac:dyDescent="0.25">
      <c r="A943" s="5">
        <v>335211</v>
      </c>
      <c r="B943" t="str">
        <f>IFERROR((VLOOKUP(A943,'[1]LISTA ETIQUETAS'!O:X,3,0)),"PRODUTO SEM ESTOQUE")</f>
        <v>EST MODULO PUFF LENCOIS M (RVST MR5) (FX5322)</v>
      </c>
      <c r="C943" s="10" t="s">
        <v>13</v>
      </c>
      <c r="D943" s="10" t="s">
        <v>117</v>
      </c>
      <c r="E943" s="11">
        <f>IF(VLOOKUP(A943,'[1]LISTA ETIQUETAS'!O:W,4,0)="",(VLOOKUP(A943,'[1]LISTA ETIQUETAS'!O:W,6,0)),(VLOOKUP(A943,'[1]LISTA ETIQUETAS'!O:W,4,0)))</f>
        <v>2.4</v>
      </c>
      <c r="F943" s="11">
        <f>IF(VLOOKUP(A943,'[1]LISTA ETIQUETAS'!O:W,5,0)="",(VLOOKUP(A943,'[1]LISTA ETIQUETAS'!O:W,7,0)),(VLOOKUP(A943,'[1]LISTA ETIQUETAS'!O:W,5,0)))</f>
        <v>1</v>
      </c>
      <c r="G943" s="11">
        <f>IFERROR((VLOOKUP(A943,'[1]LISTA ETIQUETAS'!O:X,8,0)),"")</f>
        <v>0.38</v>
      </c>
      <c r="H943" s="11">
        <f>IFERROR((VLOOKUP(A943,'[1]LISTA ETIQUETAS'!O:X,9,0)),"")</f>
        <v>0</v>
      </c>
      <c r="I943" s="12">
        <f>IFERROR((VLOOKUP(A943,'[1]LISTA ETIQUETAS'!O:Y,11,0)),"")</f>
        <v>15817.54</v>
      </c>
      <c r="J943" s="6">
        <v>0</v>
      </c>
      <c r="K943" s="12">
        <f t="shared" si="42"/>
        <v>15817.54</v>
      </c>
      <c r="L943" s="7" t="str">
        <f>IF(VLOOKUP(A943,'[1]LISTA ETIQUETAS'!O:AB,14,0)="","",(VLOOKUP(A943,'[1]LISTA ETIQUETAS'!O:AB,14,0)))</f>
        <v/>
      </c>
      <c r="M943" s="8"/>
      <c r="N943" s="9">
        <f t="shared" si="43"/>
        <v>335211</v>
      </c>
      <c r="O943" s="2">
        <f>_xlfn.XLOOKUP($A943,'[1]LISTA ETIQUETAS'!$O:$O,'[1]LISTA ETIQUETAS'!C:C,"",0)</f>
        <v>0</v>
      </c>
      <c r="P943" s="2">
        <f>_xlfn.XLOOKUP($A943,'[1]LISTA ETIQUETAS'!$O:$O,'[1]LISTA ETIQUETAS'!D:D,"",0)</f>
        <v>0</v>
      </c>
      <c r="Q943" s="2">
        <f>_xlfn.XLOOKUP($A943,'[1]LISTA ETIQUETAS'!$O:$O,'[1]LISTA ETIQUETAS'!E:E,"",0)</f>
        <v>0</v>
      </c>
      <c r="R943" s="2">
        <f>_xlfn.XLOOKUP($A943,'[1]LISTA ETIQUETAS'!$O:$O,'[1]LISTA ETIQUETAS'!F:F,"",0)</f>
        <v>0</v>
      </c>
      <c r="S943" s="2">
        <f>_xlfn.XLOOKUP($A943,'[1]LISTA ETIQUETAS'!$O:$O,'[1]LISTA ETIQUETAS'!H:H,"",0)</f>
        <v>1</v>
      </c>
      <c r="T943" s="9">
        <f t="shared" si="44"/>
        <v>1</v>
      </c>
    </row>
    <row r="944" spans="1:20" x14ac:dyDescent="0.25">
      <c r="A944" s="5">
        <v>335210</v>
      </c>
      <c r="B944" t="str">
        <f>IFERROR((VLOOKUP(A944,'[1]LISTA ETIQUETAS'!O:X,3,0)),"PRODUTO SEM ESTOQUE")</f>
        <v>EST MODULO PUFF CHAISE LENCOIS M (RVST MR5) (FX5322)</v>
      </c>
      <c r="C944" s="10" t="s">
        <v>13</v>
      </c>
      <c r="D944" s="10" t="s">
        <v>117</v>
      </c>
      <c r="E944" s="11">
        <f>IF(VLOOKUP(A944,'[1]LISTA ETIQUETAS'!O:W,4,0)="",(VLOOKUP(A944,'[1]LISTA ETIQUETAS'!O:W,6,0)),(VLOOKUP(A944,'[1]LISTA ETIQUETAS'!O:W,4,0)))</f>
        <v>2.4</v>
      </c>
      <c r="F944" s="11">
        <f>IF(VLOOKUP(A944,'[1]LISTA ETIQUETAS'!O:W,5,0)="",(VLOOKUP(A944,'[1]LISTA ETIQUETAS'!O:W,7,0)),(VLOOKUP(A944,'[1]LISTA ETIQUETAS'!O:W,5,0)))</f>
        <v>1.55</v>
      </c>
      <c r="G944" s="11">
        <f>IFERROR((VLOOKUP(A944,'[1]LISTA ETIQUETAS'!O:X,8,0)),"")</f>
        <v>0.38</v>
      </c>
      <c r="H944" s="11">
        <f>IFERROR((VLOOKUP(A944,'[1]LISTA ETIQUETAS'!O:X,9,0)),"")</f>
        <v>0</v>
      </c>
      <c r="I944" s="12">
        <f>IFERROR((VLOOKUP(A944,'[1]LISTA ETIQUETAS'!O:Y,11,0)),"")</f>
        <v>23400.2</v>
      </c>
      <c r="J944" s="6">
        <v>0</v>
      </c>
      <c r="K944" s="12">
        <f t="shared" si="42"/>
        <v>23400.2</v>
      </c>
      <c r="L944" s="7" t="str">
        <f>IF(VLOOKUP(A944,'[1]LISTA ETIQUETAS'!O:AB,14,0)="","",(VLOOKUP(A944,'[1]LISTA ETIQUETAS'!O:AB,14,0)))</f>
        <v/>
      </c>
      <c r="M944" s="8"/>
      <c r="N944" s="9">
        <f t="shared" si="43"/>
        <v>335210</v>
      </c>
      <c r="O944" s="2">
        <f>_xlfn.XLOOKUP($A944,'[1]LISTA ETIQUETAS'!$O:$O,'[1]LISTA ETIQUETAS'!C:C,"",0)</f>
        <v>0</v>
      </c>
      <c r="P944" s="2">
        <f>_xlfn.XLOOKUP($A944,'[1]LISTA ETIQUETAS'!$O:$O,'[1]LISTA ETIQUETAS'!D:D,"",0)</f>
        <v>0</v>
      </c>
      <c r="Q944" s="2">
        <f>_xlfn.XLOOKUP($A944,'[1]LISTA ETIQUETAS'!$O:$O,'[1]LISTA ETIQUETAS'!E:E,"",0)</f>
        <v>0</v>
      </c>
      <c r="R944" s="2">
        <f>_xlfn.XLOOKUP($A944,'[1]LISTA ETIQUETAS'!$O:$O,'[1]LISTA ETIQUETAS'!F:F,"",0)</f>
        <v>0</v>
      </c>
      <c r="S944" s="2">
        <f>_xlfn.XLOOKUP($A944,'[1]LISTA ETIQUETAS'!$O:$O,'[1]LISTA ETIQUETAS'!H:H,"",0)</f>
        <v>1</v>
      </c>
      <c r="T944" s="9">
        <f t="shared" si="44"/>
        <v>1</v>
      </c>
    </row>
    <row r="945" spans="1:20" x14ac:dyDescent="0.25">
      <c r="A945" s="5">
        <v>335206</v>
      </c>
      <c r="B945" t="str">
        <f>IFERROR((VLOOKUP(A945,'[1]LISTA ETIQUETAS'!O:X,3,0)),"PRODUTO SEM ESTOQUE")</f>
        <v>EST MODULO PUFF CANTO 90 LENCOIS M (RVST BG4) (FX8285)</v>
      </c>
      <c r="C945" s="10" t="s">
        <v>13</v>
      </c>
      <c r="D945" s="10" t="s">
        <v>117</v>
      </c>
      <c r="E945" s="11">
        <f>IF(VLOOKUP(A945,'[1]LISTA ETIQUETAS'!O:W,4,0)="",(VLOOKUP(A945,'[1]LISTA ETIQUETAS'!O:W,6,0)),(VLOOKUP(A945,'[1]LISTA ETIQUETAS'!O:W,4,0)))</f>
        <v>1</v>
      </c>
      <c r="F945" s="11">
        <f>IF(VLOOKUP(A945,'[1]LISTA ETIQUETAS'!O:W,5,0)="",(VLOOKUP(A945,'[1]LISTA ETIQUETAS'!O:W,7,0)),(VLOOKUP(A945,'[1]LISTA ETIQUETAS'!O:W,5,0)))</f>
        <v>1</v>
      </c>
      <c r="G945" s="11">
        <f>IFERROR((VLOOKUP(A945,'[1]LISTA ETIQUETAS'!O:X,8,0)),"")</f>
        <v>0.38</v>
      </c>
      <c r="H945" s="11">
        <f>IFERROR((VLOOKUP(A945,'[1]LISTA ETIQUETAS'!O:X,9,0)),"")</f>
        <v>0</v>
      </c>
      <c r="I945" s="12">
        <f>IFERROR((VLOOKUP(A945,'[1]LISTA ETIQUETAS'!O:Y,11,0)),"")</f>
        <v>11125.27</v>
      </c>
      <c r="J945" s="6">
        <v>0</v>
      </c>
      <c r="K945" s="12">
        <f t="shared" si="42"/>
        <v>11125.27</v>
      </c>
      <c r="L945" s="7" t="str">
        <f>IF(VLOOKUP(A945,'[1]LISTA ETIQUETAS'!O:AB,14,0)="","",(VLOOKUP(A945,'[1]LISTA ETIQUETAS'!O:AB,14,0)))</f>
        <v/>
      </c>
      <c r="M945" s="8"/>
      <c r="N945" s="9">
        <f t="shared" si="43"/>
        <v>335206</v>
      </c>
      <c r="O945" s="2">
        <f>_xlfn.XLOOKUP($A945,'[1]LISTA ETIQUETAS'!$O:$O,'[1]LISTA ETIQUETAS'!C:C,"",0)</f>
        <v>0</v>
      </c>
      <c r="P945" s="2">
        <f>_xlfn.XLOOKUP($A945,'[1]LISTA ETIQUETAS'!$O:$O,'[1]LISTA ETIQUETAS'!D:D,"",0)</f>
        <v>0</v>
      </c>
      <c r="Q945" s="2">
        <f>_xlfn.XLOOKUP($A945,'[1]LISTA ETIQUETAS'!$O:$O,'[1]LISTA ETIQUETAS'!E:E,"",0)</f>
        <v>0</v>
      </c>
      <c r="R945" s="2">
        <f>_xlfn.XLOOKUP($A945,'[1]LISTA ETIQUETAS'!$O:$O,'[1]LISTA ETIQUETAS'!F:F,"",0)</f>
        <v>0</v>
      </c>
      <c r="S945" s="2">
        <f>_xlfn.XLOOKUP($A945,'[1]LISTA ETIQUETAS'!$O:$O,'[1]LISTA ETIQUETAS'!H:H,"",0)</f>
        <v>1</v>
      </c>
      <c r="T945" s="9">
        <f t="shared" si="44"/>
        <v>1</v>
      </c>
    </row>
    <row r="946" spans="1:20" x14ac:dyDescent="0.25">
      <c r="A946" s="5">
        <v>335203</v>
      </c>
      <c r="B946" t="str">
        <f>IFERROR((VLOOKUP(A946,'[1]LISTA ETIQUETAS'!O:X,3,0)),"PRODUTO SEM ESTOQUE")</f>
        <v>EST MODULO ENCOSTO RETO LENCOIS M (DET MR5) (FX5322)</v>
      </c>
      <c r="C946" s="10" t="s">
        <v>13</v>
      </c>
      <c r="D946" s="10" t="s">
        <v>117</v>
      </c>
      <c r="E946" s="11">
        <f>IF(VLOOKUP(A946,'[1]LISTA ETIQUETAS'!O:W,4,0)="",(VLOOKUP(A946,'[1]LISTA ETIQUETAS'!O:W,6,0)),(VLOOKUP(A946,'[1]LISTA ETIQUETAS'!O:W,4,0)))</f>
        <v>0.8</v>
      </c>
      <c r="F946" s="11">
        <f>IF(VLOOKUP(A946,'[1]LISTA ETIQUETAS'!O:W,5,0)="",(VLOOKUP(A946,'[1]LISTA ETIQUETAS'!O:W,7,0)),(VLOOKUP(A946,'[1]LISTA ETIQUETAS'!O:W,5,0)))</f>
        <v>0.26</v>
      </c>
      <c r="G946" s="11">
        <f>IFERROR((VLOOKUP(A946,'[1]LISTA ETIQUETAS'!O:X,8,0)),"")</f>
        <v>0.26</v>
      </c>
      <c r="H946" s="11">
        <f>IFERROR((VLOOKUP(A946,'[1]LISTA ETIQUETAS'!O:X,9,0)),"")</f>
        <v>0</v>
      </c>
      <c r="I946" s="12">
        <f>IFERROR((VLOOKUP(A946,'[1]LISTA ETIQUETAS'!O:Y,11,0)),"")</f>
        <v>3265.79</v>
      </c>
      <c r="J946" s="6">
        <v>0</v>
      </c>
      <c r="K946" s="12">
        <f t="shared" si="42"/>
        <v>3265.79</v>
      </c>
      <c r="L946" s="7" t="str">
        <f>IF(VLOOKUP(A946,'[1]LISTA ETIQUETAS'!O:AB,14,0)="","",(VLOOKUP(A946,'[1]LISTA ETIQUETAS'!O:AB,14,0)))</f>
        <v/>
      </c>
      <c r="M946" s="8"/>
      <c r="N946" s="9">
        <f t="shared" si="43"/>
        <v>335203</v>
      </c>
      <c r="O946" s="2">
        <f>_xlfn.XLOOKUP($A946,'[1]LISTA ETIQUETAS'!$O:$O,'[1]LISTA ETIQUETAS'!C:C,"",0)</f>
        <v>0</v>
      </c>
      <c r="P946" s="2">
        <f>_xlfn.XLOOKUP($A946,'[1]LISTA ETIQUETAS'!$O:$O,'[1]LISTA ETIQUETAS'!D:D,"",0)</f>
        <v>0</v>
      </c>
      <c r="Q946" s="2">
        <f>_xlfn.XLOOKUP($A946,'[1]LISTA ETIQUETAS'!$O:$O,'[1]LISTA ETIQUETAS'!E:E,"",0)</f>
        <v>0</v>
      </c>
      <c r="R946" s="2">
        <f>_xlfn.XLOOKUP($A946,'[1]LISTA ETIQUETAS'!$O:$O,'[1]LISTA ETIQUETAS'!F:F,"",0)</f>
        <v>0</v>
      </c>
      <c r="S946" s="2">
        <f>_xlfn.XLOOKUP($A946,'[1]LISTA ETIQUETAS'!$O:$O,'[1]LISTA ETIQUETAS'!H:H,"",0)</f>
        <v>2</v>
      </c>
      <c r="T946" s="9">
        <f t="shared" si="44"/>
        <v>2</v>
      </c>
    </row>
    <row r="947" spans="1:20" x14ac:dyDescent="0.25">
      <c r="A947" s="5">
        <v>335140</v>
      </c>
      <c r="B947" t="str">
        <f>IFERROR((VLOOKUP(A947,'[1]LISTA ETIQUETAS'!O:X,3,0)),"PRODUTO SEM ESTOQUE")</f>
        <v>EST MODULO ENCOSTO RETO LENCOIS M (DET BG4) (FX8285)</v>
      </c>
      <c r="C947" s="10" t="s">
        <v>13</v>
      </c>
      <c r="D947" s="10" t="s">
        <v>117</v>
      </c>
      <c r="E947" s="11">
        <f>IF(VLOOKUP(A947,'[1]LISTA ETIQUETAS'!O:W,4,0)="",(VLOOKUP(A947,'[1]LISTA ETIQUETAS'!O:W,6,0)),(VLOOKUP(A947,'[1]LISTA ETIQUETAS'!O:W,4,0)))</f>
        <v>0.8</v>
      </c>
      <c r="F947" s="11">
        <f>IF(VLOOKUP(A947,'[1]LISTA ETIQUETAS'!O:W,5,0)="",(VLOOKUP(A947,'[1]LISTA ETIQUETAS'!O:W,7,0)),(VLOOKUP(A947,'[1]LISTA ETIQUETAS'!O:W,5,0)))</f>
        <v>0.26</v>
      </c>
      <c r="G947" s="11">
        <f>IFERROR((VLOOKUP(A947,'[1]LISTA ETIQUETAS'!O:X,8,0)),"")</f>
        <v>0.26</v>
      </c>
      <c r="H947" s="11">
        <f>IFERROR((VLOOKUP(A947,'[1]LISTA ETIQUETAS'!O:X,9,0)),"")</f>
        <v>0</v>
      </c>
      <c r="I947" s="12">
        <f>IFERROR((VLOOKUP(A947,'[1]LISTA ETIQUETAS'!O:Y,11,0)),"")</f>
        <v>3828.83</v>
      </c>
      <c r="J947" s="6">
        <v>0</v>
      </c>
      <c r="K947" s="12">
        <f t="shared" si="42"/>
        <v>3828.83</v>
      </c>
      <c r="L947" s="7" t="str">
        <f>IF(VLOOKUP(A947,'[1]LISTA ETIQUETAS'!O:AB,14,0)="","",(VLOOKUP(A947,'[1]LISTA ETIQUETAS'!O:AB,14,0)))</f>
        <v/>
      </c>
      <c r="M947" s="8"/>
      <c r="N947" s="9">
        <f t="shared" si="43"/>
        <v>335140</v>
      </c>
      <c r="O947" s="2">
        <f>_xlfn.XLOOKUP($A947,'[1]LISTA ETIQUETAS'!$O:$O,'[1]LISTA ETIQUETAS'!C:C,"",0)</f>
        <v>0</v>
      </c>
      <c r="P947" s="2">
        <f>_xlfn.XLOOKUP($A947,'[1]LISTA ETIQUETAS'!$O:$O,'[1]LISTA ETIQUETAS'!D:D,"",0)</f>
        <v>0</v>
      </c>
      <c r="Q947" s="2">
        <f>_xlfn.XLOOKUP($A947,'[1]LISTA ETIQUETAS'!$O:$O,'[1]LISTA ETIQUETAS'!E:E,"",0)</f>
        <v>0</v>
      </c>
      <c r="R947" s="2">
        <f>_xlfn.XLOOKUP($A947,'[1]LISTA ETIQUETAS'!$O:$O,'[1]LISTA ETIQUETAS'!F:F,"",0)</f>
        <v>0</v>
      </c>
      <c r="S947" s="2">
        <f>_xlfn.XLOOKUP($A947,'[1]LISTA ETIQUETAS'!$O:$O,'[1]LISTA ETIQUETAS'!H:H,"",0)</f>
        <v>2</v>
      </c>
      <c r="T947" s="9">
        <f t="shared" si="44"/>
        <v>2</v>
      </c>
    </row>
    <row r="948" spans="1:20" x14ac:dyDescent="0.25">
      <c r="A948" s="5">
        <v>335139</v>
      </c>
      <c r="B948" t="str">
        <f>IFERROR((VLOOKUP(A948,'[1]LISTA ETIQUETAS'!O:X,3,0)),"PRODUTO SEM ESTOQUE")</f>
        <v>EST MODULO ENCOSTO (L) LENCOIS M (DET BG4) (FX8285)</v>
      </c>
      <c r="C948" s="10" t="s">
        <v>13</v>
      </c>
      <c r="D948" s="10" t="s">
        <v>117</v>
      </c>
      <c r="E948" s="11">
        <f>IF(VLOOKUP(A948,'[1]LISTA ETIQUETAS'!O:W,4,0)="",(VLOOKUP(A948,'[1]LISTA ETIQUETAS'!O:W,6,0)),(VLOOKUP(A948,'[1]LISTA ETIQUETAS'!O:W,4,0)))</f>
        <v>1.2</v>
      </c>
      <c r="F948" s="11">
        <f>IF(VLOOKUP(A948,'[1]LISTA ETIQUETAS'!O:W,5,0)="",(VLOOKUP(A948,'[1]LISTA ETIQUETAS'!O:W,7,0)),(VLOOKUP(A948,'[1]LISTA ETIQUETAS'!O:W,5,0)))</f>
        <v>0.8</v>
      </c>
      <c r="G948" s="11">
        <f>IFERROR((VLOOKUP(A948,'[1]LISTA ETIQUETAS'!O:X,8,0)),"")</f>
        <v>0.26</v>
      </c>
      <c r="H948" s="11">
        <f>IFERROR((VLOOKUP(A948,'[1]LISTA ETIQUETAS'!O:X,9,0)),"")</f>
        <v>0</v>
      </c>
      <c r="I948" s="12">
        <f>IFERROR((VLOOKUP(A948,'[1]LISTA ETIQUETAS'!O:Y,11,0)),"")</f>
        <v>7455.97</v>
      </c>
      <c r="J948" s="6">
        <v>0</v>
      </c>
      <c r="K948" s="12">
        <f t="shared" si="42"/>
        <v>7455.97</v>
      </c>
      <c r="L948" s="7" t="str">
        <f>IF(VLOOKUP(A948,'[1]LISTA ETIQUETAS'!O:AB,14,0)="","",(VLOOKUP(A948,'[1]LISTA ETIQUETAS'!O:AB,14,0)))</f>
        <v/>
      </c>
      <c r="M948" s="8"/>
      <c r="N948" s="9">
        <f t="shared" si="43"/>
        <v>335139</v>
      </c>
      <c r="O948" s="2">
        <f>_xlfn.XLOOKUP($A948,'[1]LISTA ETIQUETAS'!$O:$O,'[1]LISTA ETIQUETAS'!C:C,"",0)</f>
        <v>0</v>
      </c>
      <c r="P948" s="2">
        <f>_xlfn.XLOOKUP($A948,'[1]LISTA ETIQUETAS'!$O:$O,'[1]LISTA ETIQUETAS'!D:D,"",0)</f>
        <v>0</v>
      </c>
      <c r="Q948" s="2">
        <f>_xlfn.XLOOKUP($A948,'[1]LISTA ETIQUETAS'!$O:$O,'[1]LISTA ETIQUETAS'!E:E,"",0)</f>
        <v>0</v>
      </c>
      <c r="R948" s="2">
        <f>_xlfn.XLOOKUP($A948,'[1]LISTA ETIQUETAS'!$O:$O,'[1]LISTA ETIQUETAS'!F:F,"",0)</f>
        <v>0</v>
      </c>
      <c r="S948" s="2">
        <f>_xlfn.XLOOKUP($A948,'[1]LISTA ETIQUETAS'!$O:$O,'[1]LISTA ETIQUETAS'!H:H,"",0)</f>
        <v>1</v>
      </c>
      <c r="T948" s="9">
        <f t="shared" si="44"/>
        <v>1</v>
      </c>
    </row>
    <row r="949" spans="1:20" x14ac:dyDescent="0.25">
      <c r="A949" s="5">
        <v>335136</v>
      </c>
      <c r="B949" t="str">
        <f>IFERROR((VLOOKUP(A949,'[1]LISTA ETIQUETAS'!O:X,3,0)),"PRODUTO SEM ESTOQUE")</f>
        <v>EST MODULO S/BRACO C/ENC PARATY(FX 50043) (WALNUT MATT)</v>
      </c>
      <c r="C949" s="10" t="s">
        <v>13</v>
      </c>
      <c r="D949" s="10" t="s">
        <v>40</v>
      </c>
      <c r="E949" s="11">
        <f>IF(VLOOKUP(A949,'[1]LISTA ETIQUETAS'!O:W,4,0)="",(VLOOKUP(A949,'[1]LISTA ETIQUETAS'!O:W,6,0)),(VLOOKUP(A949,'[1]LISTA ETIQUETAS'!O:W,4,0)))</f>
        <v>0.9</v>
      </c>
      <c r="F949" s="11">
        <f>IF(VLOOKUP(A949,'[1]LISTA ETIQUETAS'!O:W,5,0)="",(VLOOKUP(A949,'[1]LISTA ETIQUETAS'!O:W,7,0)),(VLOOKUP(A949,'[1]LISTA ETIQUETAS'!O:W,5,0)))</f>
        <v>0</v>
      </c>
      <c r="G949" s="11">
        <f>IFERROR((VLOOKUP(A949,'[1]LISTA ETIQUETAS'!O:X,8,0)),"")</f>
        <v>0.77</v>
      </c>
      <c r="H949" s="11">
        <f>IFERROR((VLOOKUP(A949,'[1]LISTA ETIQUETAS'!O:X,9,0)),"")</f>
        <v>0</v>
      </c>
      <c r="I949" s="12">
        <f>IFERROR((VLOOKUP(A949,'[1]LISTA ETIQUETAS'!O:Y,11,0)),"")</f>
        <v>11679.99</v>
      </c>
      <c r="J949" s="6">
        <v>0</v>
      </c>
      <c r="K949" s="12">
        <f t="shared" si="42"/>
        <v>11679.99</v>
      </c>
      <c r="L949" s="7" t="str">
        <f>IF(VLOOKUP(A949,'[1]LISTA ETIQUETAS'!O:AB,14,0)="","",(VLOOKUP(A949,'[1]LISTA ETIQUETAS'!O:AB,14,0)))</f>
        <v/>
      </c>
      <c r="M949" s="8"/>
      <c r="N949" s="9">
        <f t="shared" si="43"/>
        <v>335136</v>
      </c>
      <c r="O949" s="2">
        <f>_xlfn.XLOOKUP($A949,'[1]LISTA ETIQUETAS'!$O:$O,'[1]LISTA ETIQUETAS'!C:C,"",0)</f>
        <v>0</v>
      </c>
      <c r="P949" s="2">
        <f>_xlfn.XLOOKUP($A949,'[1]LISTA ETIQUETAS'!$O:$O,'[1]LISTA ETIQUETAS'!D:D,"",0)</f>
        <v>0</v>
      </c>
      <c r="Q949" s="2">
        <f>_xlfn.XLOOKUP($A949,'[1]LISTA ETIQUETAS'!$O:$O,'[1]LISTA ETIQUETAS'!E:E,"",0)</f>
        <v>0</v>
      </c>
      <c r="R949" s="2">
        <f>_xlfn.XLOOKUP($A949,'[1]LISTA ETIQUETAS'!$O:$O,'[1]LISTA ETIQUETAS'!F:F,"",0)</f>
        <v>0</v>
      </c>
      <c r="S949" s="2">
        <f>_xlfn.XLOOKUP($A949,'[1]LISTA ETIQUETAS'!$O:$O,'[1]LISTA ETIQUETAS'!H:H,"",0)</f>
        <v>1</v>
      </c>
      <c r="T949" s="9">
        <f t="shared" si="44"/>
        <v>1</v>
      </c>
    </row>
    <row r="950" spans="1:20" x14ac:dyDescent="0.25">
      <c r="A950" s="5">
        <v>335135</v>
      </c>
      <c r="B950" t="str">
        <f>IFERROR((VLOOKUP(A950,'[1]LISTA ETIQUETAS'!O:X,3,0)),"PRODUTO SEM ESTOQUE")</f>
        <v>EST MODULO PUFF PARATY (FX 50043) (WALNUT MATT)</v>
      </c>
      <c r="C950" s="10" t="s">
        <v>13</v>
      </c>
      <c r="D950" s="10" t="s">
        <v>40</v>
      </c>
      <c r="E950" s="11">
        <f>IF(VLOOKUP(A950,'[1]LISTA ETIQUETAS'!O:W,4,0)="",(VLOOKUP(A950,'[1]LISTA ETIQUETAS'!O:W,6,0)),(VLOOKUP(A950,'[1]LISTA ETIQUETAS'!O:W,4,0)))</f>
        <v>0.9</v>
      </c>
      <c r="F950" s="11">
        <f>IF(VLOOKUP(A950,'[1]LISTA ETIQUETAS'!O:W,5,0)="",(VLOOKUP(A950,'[1]LISTA ETIQUETAS'!O:W,7,0)),(VLOOKUP(A950,'[1]LISTA ETIQUETAS'!O:W,5,0)))</f>
        <v>0.7</v>
      </c>
      <c r="G950" s="11">
        <f>IFERROR((VLOOKUP(A950,'[1]LISTA ETIQUETAS'!O:X,8,0)),"")</f>
        <v>0.4</v>
      </c>
      <c r="H950" s="11">
        <f>IFERROR((VLOOKUP(A950,'[1]LISTA ETIQUETAS'!O:X,9,0)),"")</f>
        <v>0</v>
      </c>
      <c r="I950" s="12">
        <f>IFERROR((VLOOKUP(A950,'[1]LISTA ETIQUETAS'!O:Y,11,0)),"")</f>
        <v>7893.18</v>
      </c>
      <c r="J950" s="6">
        <v>0</v>
      </c>
      <c r="K950" s="12">
        <f t="shared" si="42"/>
        <v>7893.18</v>
      </c>
      <c r="L950" s="7" t="str">
        <f>IF(VLOOKUP(A950,'[1]LISTA ETIQUETAS'!O:AB,14,0)="","",(VLOOKUP(A950,'[1]LISTA ETIQUETAS'!O:AB,14,0)))</f>
        <v/>
      </c>
      <c r="M950" s="8"/>
      <c r="N950" s="9">
        <f t="shared" si="43"/>
        <v>335135</v>
      </c>
      <c r="O950" s="2">
        <f>_xlfn.XLOOKUP($A950,'[1]LISTA ETIQUETAS'!$O:$O,'[1]LISTA ETIQUETAS'!C:C,"",0)</f>
        <v>0</v>
      </c>
      <c r="P950" s="2">
        <f>_xlfn.XLOOKUP($A950,'[1]LISTA ETIQUETAS'!$O:$O,'[1]LISTA ETIQUETAS'!D:D,"",0)</f>
        <v>0</v>
      </c>
      <c r="Q950" s="2">
        <f>_xlfn.XLOOKUP($A950,'[1]LISTA ETIQUETAS'!$O:$O,'[1]LISTA ETIQUETAS'!E:E,"",0)</f>
        <v>0</v>
      </c>
      <c r="R950" s="2">
        <f>_xlfn.XLOOKUP($A950,'[1]LISTA ETIQUETAS'!$O:$O,'[1]LISTA ETIQUETAS'!F:F,"",0)</f>
        <v>0</v>
      </c>
      <c r="S950" s="2">
        <f>_xlfn.XLOOKUP($A950,'[1]LISTA ETIQUETAS'!$O:$O,'[1]LISTA ETIQUETAS'!H:H,"",0)</f>
        <v>3</v>
      </c>
      <c r="T950" s="9">
        <f t="shared" si="44"/>
        <v>3</v>
      </c>
    </row>
    <row r="951" spans="1:20" x14ac:dyDescent="0.25">
      <c r="A951" s="5">
        <v>334162</v>
      </c>
      <c r="B951" t="str">
        <f>IFERROR((VLOOKUP(A951,'[1]LISTA ETIQUETAS'!O:X,3,0)),"PRODUTO SEM ESTOQUE")</f>
        <v>EST SOFA ANDROS (2B) FX D4142 (BASE LAMINA EBONY)</v>
      </c>
      <c r="C951" s="10" t="s">
        <v>13</v>
      </c>
      <c r="D951" s="10" t="s">
        <v>592</v>
      </c>
      <c r="E951" s="11">
        <f>IF(VLOOKUP(A951,'[1]LISTA ETIQUETAS'!O:W,4,0)="",(VLOOKUP(A951,'[1]LISTA ETIQUETAS'!O:W,6,0)),(VLOOKUP(A951,'[1]LISTA ETIQUETAS'!O:W,4,0)))</f>
        <v>3</v>
      </c>
      <c r="F951" s="11">
        <f>IF(VLOOKUP(A951,'[1]LISTA ETIQUETAS'!O:W,5,0)="",(VLOOKUP(A951,'[1]LISTA ETIQUETAS'!O:W,7,0)),(VLOOKUP(A951,'[1]LISTA ETIQUETAS'!O:W,5,0)))</f>
        <v>1.5</v>
      </c>
      <c r="G951" s="11">
        <f>IFERROR((VLOOKUP(A951,'[1]LISTA ETIQUETAS'!O:X,8,0)),"")</f>
        <v>0.76</v>
      </c>
      <c r="H951" s="11">
        <f>IFERROR((VLOOKUP(A951,'[1]LISTA ETIQUETAS'!O:X,9,0)),"")</f>
        <v>0</v>
      </c>
      <c r="I951" s="12">
        <f>IFERROR((VLOOKUP(A951,'[1]LISTA ETIQUETAS'!O:Y,11,0)),"")</f>
        <v>50640.98</v>
      </c>
      <c r="J951" s="6">
        <v>0</v>
      </c>
      <c r="K951" s="12">
        <f t="shared" si="42"/>
        <v>50640.98</v>
      </c>
      <c r="L951" s="7" t="str">
        <f>IF(VLOOKUP(A951,'[1]LISTA ETIQUETAS'!O:AB,14,0)="","",(VLOOKUP(A951,'[1]LISTA ETIQUETAS'!O:AB,14,0)))</f>
        <v/>
      </c>
      <c r="M951" s="8"/>
      <c r="N951" s="9">
        <f t="shared" si="43"/>
        <v>334162</v>
      </c>
      <c r="O951" s="2">
        <f>_xlfn.XLOOKUP($A951,'[1]LISTA ETIQUETAS'!$O:$O,'[1]LISTA ETIQUETAS'!C:C,"",0)</f>
        <v>0</v>
      </c>
      <c r="P951" s="2">
        <f>_xlfn.XLOOKUP($A951,'[1]LISTA ETIQUETAS'!$O:$O,'[1]LISTA ETIQUETAS'!D:D,"",0)</f>
        <v>0</v>
      </c>
      <c r="Q951" s="2">
        <f>_xlfn.XLOOKUP($A951,'[1]LISTA ETIQUETAS'!$O:$O,'[1]LISTA ETIQUETAS'!E:E,"",0)</f>
        <v>0</v>
      </c>
      <c r="R951" s="2">
        <f>_xlfn.XLOOKUP($A951,'[1]LISTA ETIQUETAS'!$O:$O,'[1]LISTA ETIQUETAS'!F:F,"",0)</f>
        <v>0</v>
      </c>
      <c r="S951" s="2">
        <f>_xlfn.XLOOKUP($A951,'[1]LISTA ETIQUETAS'!$O:$O,'[1]LISTA ETIQUETAS'!H:H,"",0)</f>
        <v>1</v>
      </c>
      <c r="T951" s="9">
        <f t="shared" si="44"/>
        <v>1</v>
      </c>
    </row>
    <row r="952" spans="1:20" x14ac:dyDescent="0.25">
      <c r="A952" s="5">
        <v>326871</v>
      </c>
      <c r="B952" t="str">
        <f>IFERROR((VLOOKUP(A952,'[1]LISTA ETIQUETAS'!O:X,3,0)),"PRODUTO SEM ESTOQUE")</f>
        <v>EST MODUDLO PUFF LENCOIS M (DET CR5) (FX5416)</v>
      </c>
      <c r="C952" s="10" t="s">
        <v>13</v>
      </c>
      <c r="D952" s="10" t="s">
        <v>117</v>
      </c>
      <c r="E952" s="11">
        <f>IF(VLOOKUP(A952,'[1]LISTA ETIQUETAS'!O:W,4,0)="",(VLOOKUP(A952,'[1]LISTA ETIQUETAS'!O:W,6,0)),(VLOOKUP(A952,'[1]LISTA ETIQUETAS'!O:W,4,0)))</f>
        <v>0.9</v>
      </c>
      <c r="F952" s="11">
        <f>IF(VLOOKUP(A952,'[1]LISTA ETIQUETAS'!O:W,5,0)="",(VLOOKUP(A952,'[1]LISTA ETIQUETAS'!O:W,7,0)),(VLOOKUP(A952,'[1]LISTA ETIQUETAS'!O:W,5,0)))</f>
        <v>0.5</v>
      </c>
      <c r="G952" s="11">
        <f>IFERROR((VLOOKUP(A952,'[1]LISTA ETIQUETAS'!O:X,8,0)),"")</f>
        <v>0.38</v>
      </c>
      <c r="H952" s="11">
        <f>IFERROR((VLOOKUP(A952,'[1]LISTA ETIQUETAS'!O:X,9,0)),"")</f>
        <v>0</v>
      </c>
      <c r="I952" s="12" t="str">
        <f>IFERROR((VLOOKUP(A952,'[1]LISTA ETIQUETAS'!O:Y,11,0)),"")</f>
        <v/>
      </c>
      <c r="J952" s="6">
        <v>0</v>
      </c>
      <c r="K952" s="12" t="str">
        <f t="shared" si="42"/>
        <v/>
      </c>
      <c r="L952" s="7" t="str">
        <f>IF(VLOOKUP(A952,'[1]LISTA ETIQUETAS'!O:AB,14,0)="","",(VLOOKUP(A952,'[1]LISTA ETIQUETAS'!O:AB,14,0)))</f>
        <v/>
      </c>
      <c r="M952" s="8"/>
      <c r="N952" s="9">
        <f t="shared" si="43"/>
        <v>326871</v>
      </c>
      <c r="O952" s="2">
        <f>_xlfn.XLOOKUP($A952,'[1]LISTA ETIQUETAS'!$O:$O,'[1]LISTA ETIQUETAS'!C:C,"",0)</f>
        <v>0</v>
      </c>
      <c r="P952" s="2">
        <f>_xlfn.XLOOKUP($A952,'[1]LISTA ETIQUETAS'!$O:$O,'[1]LISTA ETIQUETAS'!D:D,"",0)</f>
        <v>0</v>
      </c>
      <c r="Q952" s="2">
        <f>_xlfn.XLOOKUP($A952,'[1]LISTA ETIQUETAS'!$O:$O,'[1]LISTA ETIQUETAS'!E:E,"",0)</f>
        <v>0</v>
      </c>
      <c r="R952" s="2">
        <f>_xlfn.XLOOKUP($A952,'[1]LISTA ETIQUETAS'!$O:$O,'[1]LISTA ETIQUETAS'!F:F,"",0)</f>
        <v>0</v>
      </c>
      <c r="S952" s="2">
        <f>_xlfn.XLOOKUP($A952,'[1]LISTA ETIQUETAS'!$O:$O,'[1]LISTA ETIQUETAS'!H:H,"",0)</f>
        <v>1</v>
      </c>
      <c r="T952" s="9">
        <f t="shared" si="44"/>
        <v>1</v>
      </c>
    </row>
    <row r="953" spans="1:20" x14ac:dyDescent="0.25">
      <c r="A953" s="5">
        <v>300252</v>
      </c>
      <c r="B953" t="str">
        <f>IFERROR((VLOOKUP(A953,'[1]LISTA ETIQUETAS'!O:X,3,0)),"PRODUTO SEM ESTOQUE")</f>
        <v>EST MODULO CHAISE S/BRACO DALOA FX B2072 FREIJO</v>
      </c>
      <c r="C953" s="10" t="s">
        <v>13</v>
      </c>
      <c r="D953" s="10" t="s">
        <v>75</v>
      </c>
      <c r="E953" s="11">
        <f>IF(VLOOKUP(A953,'[1]LISTA ETIQUETAS'!O:W,4,0)="",(VLOOKUP(A953,'[1]LISTA ETIQUETAS'!O:W,6,0)),(VLOOKUP(A953,'[1]LISTA ETIQUETAS'!O:W,4,0)))</f>
        <v>1.55</v>
      </c>
      <c r="F953" s="11">
        <f>IF(VLOOKUP(A953,'[1]LISTA ETIQUETAS'!O:W,5,0)="",(VLOOKUP(A953,'[1]LISTA ETIQUETAS'!O:W,7,0)),(VLOOKUP(A953,'[1]LISTA ETIQUETAS'!O:W,5,0)))</f>
        <v>1.8</v>
      </c>
      <c r="G953" s="11">
        <f>IFERROR((VLOOKUP(A953,'[1]LISTA ETIQUETAS'!O:X,8,0)),"")</f>
        <v>0</v>
      </c>
      <c r="H953" s="11">
        <f>IFERROR((VLOOKUP(A953,'[1]LISTA ETIQUETAS'!O:X,9,0)),"")</f>
        <v>0</v>
      </c>
      <c r="I953" s="12">
        <f>IFERROR((VLOOKUP(A953,'[1]LISTA ETIQUETAS'!O:Y,11,0)),"")</f>
        <v>28305</v>
      </c>
      <c r="J953" s="6">
        <v>0</v>
      </c>
      <c r="K953" s="12">
        <f t="shared" si="42"/>
        <v>28305</v>
      </c>
      <c r="L953" s="7" t="str">
        <f>IF(VLOOKUP(A953,'[1]LISTA ETIQUETAS'!O:AB,14,0)="","",(VLOOKUP(A953,'[1]LISTA ETIQUETAS'!O:AB,14,0)))</f>
        <v/>
      </c>
      <c r="M953" s="8"/>
      <c r="N953" s="9">
        <f t="shared" si="43"/>
        <v>300252</v>
      </c>
      <c r="O953" s="2">
        <f>_xlfn.XLOOKUP($A953,'[1]LISTA ETIQUETAS'!$O:$O,'[1]LISTA ETIQUETAS'!C:C,"",0)</f>
        <v>0</v>
      </c>
      <c r="P953" s="2">
        <f>_xlfn.XLOOKUP($A953,'[1]LISTA ETIQUETAS'!$O:$O,'[1]LISTA ETIQUETAS'!D:D,"",0)</f>
        <v>0</v>
      </c>
      <c r="Q953" s="2">
        <f>_xlfn.XLOOKUP($A953,'[1]LISTA ETIQUETAS'!$O:$O,'[1]LISTA ETIQUETAS'!E:E,"",0)</f>
        <v>0</v>
      </c>
      <c r="R953" s="2">
        <f>_xlfn.XLOOKUP($A953,'[1]LISTA ETIQUETAS'!$O:$O,'[1]LISTA ETIQUETAS'!F:F,"",0)</f>
        <v>0</v>
      </c>
      <c r="S953" s="2">
        <f>_xlfn.XLOOKUP($A953,'[1]LISTA ETIQUETAS'!$O:$O,'[1]LISTA ETIQUETAS'!H:H,"",0)</f>
        <v>1</v>
      </c>
      <c r="T953" s="9">
        <f t="shared" si="44"/>
        <v>1</v>
      </c>
    </row>
    <row r="954" spans="1:20" x14ac:dyDescent="0.25">
      <c r="A954" s="5">
        <v>274900</v>
      </c>
      <c r="B954" t="str">
        <f>IFERROR((VLOOKUP(A954,'[1]LISTA ETIQUETAS'!O:X,3,0)),"PRODUTO SEM ESTOQUE")</f>
        <v>EST MODULO PUFF LENCOIS M (RVST BG4) (FX6509)</v>
      </c>
      <c r="C954" s="10" t="s">
        <v>13</v>
      </c>
      <c r="D954" s="10" t="s">
        <v>117</v>
      </c>
      <c r="E954" s="11">
        <f>IF(VLOOKUP(A954,'[1]LISTA ETIQUETAS'!O:W,4,0)="",(VLOOKUP(A954,'[1]LISTA ETIQUETAS'!O:W,6,0)),(VLOOKUP(A954,'[1]LISTA ETIQUETAS'!O:W,4,0)))</f>
        <v>1.18</v>
      </c>
      <c r="F954" s="11">
        <f>IF(VLOOKUP(A954,'[1]LISTA ETIQUETAS'!O:W,5,0)="",(VLOOKUP(A954,'[1]LISTA ETIQUETAS'!O:W,7,0)),(VLOOKUP(A954,'[1]LISTA ETIQUETAS'!O:W,5,0)))</f>
        <v>0.6</v>
      </c>
      <c r="G954" s="11">
        <f>IFERROR((VLOOKUP(A954,'[1]LISTA ETIQUETAS'!O:X,8,0)),"")</f>
        <v>0.38</v>
      </c>
      <c r="H954" s="11">
        <f>IFERROR((VLOOKUP(A954,'[1]LISTA ETIQUETAS'!O:X,9,0)),"")</f>
        <v>0</v>
      </c>
      <c r="I954" s="12">
        <f>IFERROR((VLOOKUP(A954,'[1]LISTA ETIQUETAS'!O:Y,11,0)),"")</f>
        <v>16064.34</v>
      </c>
      <c r="J954" s="6">
        <v>0</v>
      </c>
      <c r="K954" s="12">
        <f t="shared" si="42"/>
        <v>16064.34</v>
      </c>
      <c r="L954" s="7" t="str">
        <f>IF(VLOOKUP(A954,'[1]LISTA ETIQUETAS'!O:AB,14,0)="","",(VLOOKUP(A954,'[1]LISTA ETIQUETAS'!O:AB,14,0)))</f>
        <v/>
      </c>
      <c r="M954" s="8"/>
      <c r="N954" s="9">
        <f t="shared" si="43"/>
        <v>274900</v>
      </c>
      <c r="O954" s="2">
        <f>_xlfn.XLOOKUP($A954,'[1]LISTA ETIQUETAS'!$O:$O,'[1]LISTA ETIQUETAS'!C:C,"",0)</f>
        <v>0</v>
      </c>
      <c r="P954" s="2">
        <f>_xlfn.XLOOKUP($A954,'[1]LISTA ETIQUETAS'!$O:$O,'[1]LISTA ETIQUETAS'!D:D,"",0)</f>
        <v>0</v>
      </c>
      <c r="Q954" s="2">
        <f>_xlfn.XLOOKUP($A954,'[1]LISTA ETIQUETAS'!$O:$O,'[1]LISTA ETIQUETAS'!E:E,"",0)</f>
        <v>0</v>
      </c>
      <c r="R954" s="2">
        <f>_xlfn.XLOOKUP($A954,'[1]LISTA ETIQUETAS'!$O:$O,'[1]LISTA ETIQUETAS'!F:F,"",0)</f>
        <v>0</v>
      </c>
      <c r="S954" s="2">
        <f>_xlfn.XLOOKUP($A954,'[1]LISTA ETIQUETAS'!$O:$O,'[1]LISTA ETIQUETAS'!H:H,"",0)</f>
        <v>1</v>
      </c>
      <c r="T954" s="9">
        <f t="shared" si="44"/>
        <v>1</v>
      </c>
    </row>
    <row r="955" spans="1:20" x14ac:dyDescent="0.25">
      <c r="A955" s="5">
        <v>349986</v>
      </c>
      <c r="B955" t="str">
        <f>IFERROR((VLOOKUP(A955,'[1]LISTA ETIQUETAS'!O:X,3,0)),"PRODUTO SEM ESTOQUE")</f>
        <v>EST CAPA ENCOSTO RETO LENCOIS M (DET MR5) FX7621</v>
      </c>
      <c r="C955" s="10" t="s">
        <v>13</v>
      </c>
      <c r="D955" s="10" t="s">
        <v>596</v>
      </c>
      <c r="E955" s="11">
        <f>IF(VLOOKUP(A955,'[1]LISTA ETIQUETAS'!O:W,4,0)="",(VLOOKUP(A955,'[1]LISTA ETIQUETAS'!O:W,6,0)),(VLOOKUP(A955,'[1]LISTA ETIQUETAS'!O:W,4,0)))</f>
        <v>0.7</v>
      </c>
      <c r="F955" s="11">
        <f>IF(VLOOKUP(A955,'[1]LISTA ETIQUETAS'!O:W,5,0)="",(VLOOKUP(A955,'[1]LISTA ETIQUETAS'!O:W,7,0)),(VLOOKUP(A955,'[1]LISTA ETIQUETAS'!O:W,5,0)))</f>
        <v>0.26</v>
      </c>
      <c r="G955" s="11">
        <f>IFERROR((VLOOKUP(A955,'[1]LISTA ETIQUETAS'!O:X,8,0)),"")</f>
        <v>0.26</v>
      </c>
      <c r="H955" s="11">
        <f>IFERROR((VLOOKUP(A955,'[1]LISTA ETIQUETAS'!O:X,9,0)),"")</f>
        <v>0</v>
      </c>
      <c r="I955" s="12" t="str">
        <f>IFERROR((VLOOKUP(A955,'[1]LISTA ETIQUETAS'!O:Y,11,0)),"")</f>
        <v/>
      </c>
      <c r="J955" s="6">
        <v>0</v>
      </c>
      <c r="K955" s="12" t="str">
        <f t="shared" si="42"/>
        <v/>
      </c>
      <c r="L955" s="7" t="str">
        <f>IF(VLOOKUP(A955,'[1]LISTA ETIQUETAS'!O:AB,14,0)="","",(VLOOKUP(A955,'[1]LISTA ETIQUETAS'!O:AB,14,0)))</f>
        <v/>
      </c>
      <c r="M955" s="8"/>
      <c r="N955" s="9">
        <f t="shared" si="43"/>
        <v>349986</v>
      </c>
      <c r="O955" s="2">
        <f>_xlfn.XLOOKUP($A955,'[1]LISTA ETIQUETAS'!$O:$O,'[1]LISTA ETIQUETAS'!C:C,"",0)</f>
        <v>0</v>
      </c>
      <c r="P955" s="2">
        <f>_xlfn.XLOOKUP($A955,'[1]LISTA ETIQUETAS'!$O:$O,'[1]LISTA ETIQUETAS'!D:D,"",0)</f>
        <v>0</v>
      </c>
      <c r="Q955" s="2">
        <f>_xlfn.XLOOKUP($A955,'[1]LISTA ETIQUETAS'!$O:$O,'[1]LISTA ETIQUETAS'!E:E,"",0)</f>
        <v>0</v>
      </c>
      <c r="R955" s="2">
        <f>_xlfn.XLOOKUP($A955,'[1]LISTA ETIQUETAS'!$O:$O,'[1]LISTA ETIQUETAS'!F:F,"",0)</f>
        <v>0</v>
      </c>
      <c r="S955" s="2">
        <f>_xlfn.XLOOKUP($A955,'[1]LISTA ETIQUETAS'!$O:$O,'[1]LISTA ETIQUETAS'!H:H,"",0)</f>
        <v>1</v>
      </c>
      <c r="T955" s="9">
        <f t="shared" si="44"/>
        <v>1</v>
      </c>
    </row>
    <row r="956" spans="1:20" x14ac:dyDescent="0.25">
      <c r="A956" s="5">
        <v>213130</v>
      </c>
      <c r="B956" t="str">
        <f>IFERROR((VLOOKUP(A956,'[1]LISTA ETIQUETAS'!O:X,3,0)),"PRODUTO SEM ESTOQUE")</f>
        <v>EST MODULO S/B C/PUFF DIR CHATEAU (MTX PRETO) TC B2023</v>
      </c>
      <c r="C956" s="10" t="s">
        <v>13</v>
      </c>
      <c r="D956" s="10" t="s">
        <v>597</v>
      </c>
      <c r="E956" s="11">
        <f>IF(VLOOKUP(A956,'[1]LISTA ETIQUETAS'!O:W,4,0)="",(VLOOKUP(A956,'[1]LISTA ETIQUETAS'!O:W,6,0)),(VLOOKUP(A956,'[1]LISTA ETIQUETAS'!O:W,4,0)))</f>
        <v>1.85</v>
      </c>
      <c r="F956" s="11">
        <f>IF(VLOOKUP(A956,'[1]LISTA ETIQUETAS'!O:W,5,0)="",(VLOOKUP(A956,'[1]LISTA ETIQUETAS'!O:W,7,0)),(VLOOKUP(A956,'[1]LISTA ETIQUETAS'!O:W,5,0)))</f>
        <v>1.1000000000000001</v>
      </c>
      <c r="G956" s="11">
        <f>IFERROR((VLOOKUP(A956,'[1]LISTA ETIQUETAS'!O:X,8,0)),"")</f>
        <v>0.94</v>
      </c>
      <c r="H956" s="11">
        <f>IFERROR((VLOOKUP(A956,'[1]LISTA ETIQUETAS'!O:X,9,0)),"")</f>
        <v>0</v>
      </c>
      <c r="I956" s="12">
        <f>IFERROR((VLOOKUP(A956,'[1]LISTA ETIQUETAS'!O:Y,11,0)),"")</f>
        <v>19307.810000000001</v>
      </c>
      <c r="J956" s="6">
        <v>0</v>
      </c>
      <c r="K956" s="12">
        <f t="shared" si="42"/>
        <v>19307.810000000001</v>
      </c>
      <c r="L956" s="7" t="str">
        <f>IF(VLOOKUP(A956,'[1]LISTA ETIQUETAS'!O:AB,14,0)="","",(VLOOKUP(A956,'[1]LISTA ETIQUETAS'!O:AB,14,0)))</f>
        <v/>
      </c>
      <c r="M956" s="8"/>
      <c r="N956" s="9">
        <f t="shared" si="43"/>
        <v>213130</v>
      </c>
      <c r="O956" s="2">
        <f>_xlfn.XLOOKUP($A956,'[1]LISTA ETIQUETAS'!$O:$O,'[1]LISTA ETIQUETAS'!C:C,"",0)</f>
        <v>0</v>
      </c>
      <c r="P956" s="2">
        <f>_xlfn.XLOOKUP($A956,'[1]LISTA ETIQUETAS'!$O:$O,'[1]LISTA ETIQUETAS'!D:D,"",0)</f>
        <v>0</v>
      </c>
      <c r="Q956" s="2">
        <f>_xlfn.XLOOKUP($A956,'[1]LISTA ETIQUETAS'!$O:$O,'[1]LISTA ETIQUETAS'!E:E,"",0)</f>
        <v>0</v>
      </c>
      <c r="R956" s="2">
        <f>_xlfn.XLOOKUP($A956,'[1]LISTA ETIQUETAS'!$O:$O,'[1]LISTA ETIQUETAS'!F:F,"",0)</f>
        <v>0</v>
      </c>
      <c r="S956" s="2">
        <f>_xlfn.XLOOKUP($A956,'[1]LISTA ETIQUETAS'!$O:$O,'[1]LISTA ETIQUETAS'!H:H,"",0)</f>
        <v>1</v>
      </c>
      <c r="T956" s="9">
        <f t="shared" si="44"/>
        <v>1</v>
      </c>
    </row>
    <row r="957" spans="1:20" x14ac:dyDescent="0.25">
      <c r="A957" s="5">
        <v>80909</v>
      </c>
      <c r="B957" t="str">
        <f>IFERROR((VLOOKUP(A957,'[1]LISTA ETIQUETAS'!O:X,3,0)),"PRODUTO SEM ESTOQUE")</f>
        <v>EST MODULO BRACO DIR ILHA BELA (PENA) TC AT520</v>
      </c>
      <c r="C957" s="10" t="s">
        <v>13</v>
      </c>
      <c r="D957" s="10" t="s">
        <v>598</v>
      </c>
      <c r="E957" s="11">
        <f>IF(VLOOKUP(A957,'[1]LISTA ETIQUETAS'!O:W,4,0)="",(VLOOKUP(A957,'[1]LISTA ETIQUETAS'!O:W,6,0)),(VLOOKUP(A957,'[1]LISTA ETIQUETAS'!O:W,4,0)))</f>
        <v>1.52</v>
      </c>
      <c r="F957" s="11">
        <f>IF(VLOOKUP(A957,'[1]LISTA ETIQUETAS'!O:W,5,0)="",(VLOOKUP(A957,'[1]LISTA ETIQUETAS'!O:W,7,0)),(VLOOKUP(A957,'[1]LISTA ETIQUETAS'!O:W,5,0)))</f>
        <v>0</v>
      </c>
      <c r="G957" s="11">
        <f>IFERROR((VLOOKUP(A957,'[1]LISTA ETIQUETAS'!O:X,8,0)),"")</f>
        <v>0.79</v>
      </c>
      <c r="H957" s="11">
        <f>IFERROR((VLOOKUP(A957,'[1]LISTA ETIQUETAS'!O:X,9,0)),"")</f>
        <v>0</v>
      </c>
      <c r="I957" s="12">
        <f>IFERROR((VLOOKUP(A957,'[1]LISTA ETIQUETAS'!O:Y,11,0)),"")</f>
        <v>0</v>
      </c>
      <c r="J957" s="6">
        <v>0</v>
      </c>
      <c r="K957" s="12">
        <f t="shared" si="42"/>
        <v>0</v>
      </c>
      <c r="L957" s="7" t="str">
        <f>IF(VLOOKUP(A957,'[1]LISTA ETIQUETAS'!O:AB,14,0)="","",(VLOOKUP(A957,'[1]LISTA ETIQUETAS'!O:AB,14,0)))</f>
        <v/>
      </c>
      <c r="M957" s="8"/>
      <c r="N957" s="9">
        <f t="shared" si="43"/>
        <v>80909</v>
      </c>
      <c r="O957" s="2">
        <f>_xlfn.XLOOKUP($A957,'[1]LISTA ETIQUETAS'!$O:$O,'[1]LISTA ETIQUETAS'!C:C,"",0)</f>
        <v>0</v>
      </c>
      <c r="P957" s="2">
        <f>_xlfn.XLOOKUP($A957,'[1]LISTA ETIQUETAS'!$O:$O,'[1]LISTA ETIQUETAS'!D:D,"",0)</f>
        <v>0</v>
      </c>
      <c r="Q957" s="2">
        <f>_xlfn.XLOOKUP($A957,'[1]LISTA ETIQUETAS'!$O:$O,'[1]LISTA ETIQUETAS'!E:E,"",0)</f>
        <v>0</v>
      </c>
      <c r="R957" s="2">
        <f>_xlfn.XLOOKUP($A957,'[1]LISTA ETIQUETAS'!$O:$O,'[1]LISTA ETIQUETAS'!F:F,"",0)</f>
        <v>0</v>
      </c>
      <c r="S957" s="2">
        <f>_xlfn.XLOOKUP($A957,'[1]LISTA ETIQUETAS'!$O:$O,'[1]LISTA ETIQUETAS'!H:H,"",0)</f>
        <v>1</v>
      </c>
      <c r="T957" s="9">
        <f t="shared" si="44"/>
        <v>1</v>
      </c>
    </row>
    <row r="958" spans="1:20" x14ac:dyDescent="0.25">
      <c r="A958" s="5">
        <v>63416</v>
      </c>
      <c r="B958" t="str">
        <f>IFERROR((VLOOKUP(A958,'[1]LISTA ETIQUETAS'!O:X,3,0)),"PRODUTO SEM ESTOQUE")</f>
        <v>EST SOFA LINA TC VELUDO CINZA PRATA</v>
      </c>
      <c r="C958" s="10" t="s">
        <v>13</v>
      </c>
      <c r="D958" s="10" t="s">
        <v>599</v>
      </c>
      <c r="E958" s="11">
        <f>IF(VLOOKUP(A958,'[1]LISTA ETIQUETAS'!O:W,4,0)="",(VLOOKUP(A958,'[1]LISTA ETIQUETAS'!O:W,6,0)),(VLOOKUP(A958,'[1]LISTA ETIQUETAS'!O:W,4,0)))</f>
        <v>2.6</v>
      </c>
      <c r="F958" s="11">
        <f>IF(VLOOKUP(A958,'[1]LISTA ETIQUETAS'!O:W,5,0)="",(VLOOKUP(A958,'[1]LISTA ETIQUETAS'!O:W,7,0)),(VLOOKUP(A958,'[1]LISTA ETIQUETAS'!O:W,5,0)))</f>
        <v>1</v>
      </c>
      <c r="G958" s="11">
        <f>IFERROR((VLOOKUP(A958,'[1]LISTA ETIQUETAS'!O:X,8,0)),"")</f>
        <v>0</v>
      </c>
      <c r="H958" s="11">
        <f>IFERROR((VLOOKUP(A958,'[1]LISTA ETIQUETAS'!O:X,9,0)),"")</f>
        <v>0</v>
      </c>
      <c r="I958" s="12">
        <f>IFERROR((VLOOKUP(A958,'[1]LISTA ETIQUETAS'!O:Y,11,0)),"")</f>
        <v>0</v>
      </c>
      <c r="J958" s="6">
        <v>0</v>
      </c>
      <c r="K958" s="12">
        <f t="shared" si="42"/>
        <v>0</v>
      </c>
      <c r="L958" s="7" t="str">
        <f>IF(VLOOKUP(A958,'[1]LISTA ETIQUETAS'!O:AB,14,0)="","",(VLOOKUP(A958,'[1]LISTA ETIQUETAS'!O:AB,14,0)))</f>
        <v/>
      </c>
      <c r="M958" s="8"/>
      <c r="N958" s="9">
        <f t="shared" si="43"/>
        <v>63416</v>
      </c>
      <c r="O958" s="2">
        <f>_xlfn.XLOOKUP($A958,'[1]LISTA ETIQUETAS'!$O:$O,'[1]LISTA ETIQUETAS'!C:C,"",0)</f>
        <v>0</v>
      </c>
      <c r="P958" s="2">
        <f>_xlfn.XLOOKUP($A958,'[1]LISTA ETIQUETAS'!$O:$O,'[1]LISTA ETIQUETAS'!D:D,"",0)</f>
        <v>0</v>
      </c>
      <c r="Q958" s="2">
        <f>_xlfn.XLOOKUP($A958,'[1]LISTA ETIQUETAS'!$O:$O,'[1]LISTA ETIQUETAS'!E:E,"",0)</f>
        <v>0</v>
      </c>
      <c r="R958" s="2">
        <f>_xlfn.XLOOKUP($A958,'[1]LISTA ETIQUETAS'!$O:$O,'[1]LISTA ETIQUETAS'!F:F,"",0)</f>
        <v>0</v>
      </c>
      <c r="S958" s="2">
        <f>_xlfn.XLOOKUP($A958,'[1]LISTA ETIQUETAS'!$O:$O,'[1]LISTA ETIQUETAS'!H:H,"",0)</f>
        <v>1</v>
      </c>
      <c r="T958" s="9">
        <f t="shared" si="44"/>
        <v>1</v>
      </c>
    </row>
    <row r="959" spans="1:20" x14ac:dyDescent="0.25">
      <c r="A959" s="5">
        <v>63753</v>
      </c>
      <c r="B959" t="str">
        <f>IFERROR((VLOOKUP(A959,'[1]LISTA ETIQUETAS'!O:X,3,0)),"PRODUTO SEM ESTOQUE")</f>
        <v>EST SOFA LINA TC BEGE</v>
      </c>
      <c r="C959" s="10" t="s">
        <v>13</v>
      </c>
      <c r="D959" s="10" t="s">
        <v>599</v>
      </c>
      <c r="E959" s="11">
        <f>IF(VLOOKUP(A959,'[1]LISTA ETIQUETAS'!O:W,4,0)="",(VLOOKUP(A959,'[1]LISTA ETIQUETAS'!O:W,6,0)),(VLOOKUP(A959,'[1]LISTA ETIQUETAS'!O:W,4,0)))</f>
        <v>2</v>
      </c>
      <c r="F959" s="11">
        <f>IF(VLOOKUP(A959,'[1]LISTA ETIQUETAS'!O:W,5,0)="",(VLOOKUP(A959,'[1]LISTA ETIQUETAS'!O:W,7,0)),(VLOOKUP(A959,'[1]LISTA ETIQUETAS'!O:W,5,0)))</f>
        <v>0.95</v>
      </c>
      <c r="G959" s="11">
        <f>IFERROR((VLOOKUP(A959,'[1]LISTA ETIQUETAS'!O:X,8,0)),"")</f>
        <v>0</v>
      </c>
      <c r="H959" s="11">
        <f>IFERROR((VLOOKUP(A959,'[1]LISTA ETIQUETAS'!O:X,9,0)),"")</f>
        <v>0</v>
      </c>
      <c r="I959" s="12">
        <f>IFERROR((VLOOKUP(A959,'[1]LISTA ETIQUETAS'!O:Y,11,0)),"")</f>
        <v>0</v>
      </c>
      <c r="J959" s="6">
        <v>0</v>
      </c>
      <c r="K959" s="12">
        <f t="shared" si="42"/>
        <v>0</v>
      </c>
      <c r="L959" s="7" t="str">
        <f>IF(VLOOKUP(A959,'[1]LISTA ETIQUETAS'!O:AB,14,0)="","",(VLOOKUP(A959,'[1]LISTA ETIQUETAS'!O:AB,14,0)))</f>
        <v/>
      </c>
      <c r="M959" s="8"/>
      <c r="N959" s="9">
        <f t="shared" si="43"/>
        <v>63753</v>
      </c>
      <c r="O959" s="2">
        <f>_xlfn.XLOOKUP($A959,'[1]LISTA ETIQUETAS'!$O:$O,'[1]LISTA ETIQUETAS'!C:C,"",0)</f>
        <v>0</v>
      </c>
      <c r="P959" s="2">
        <f>_xlfn.XLOOKUP($A959,'[1]LISTA ETIQUETAS'!$O:$O,'[1]LISTA ETIQUETAS'!D:D,"",0)</f>
        <v>0</v>
      </c>
      <c r="Q959" s="2">
        <f>_xlfn.XLOOKUP($A959,'[1]LISTA ETIQUETAS'!$O:$O,'[1]LISTA ETIQUETAS'!E:E,"",0)</f>
        <v>0</v>
      </c>
      <c r="R959" s="2">
        <f>_xlfn.XLOOKUP($A959,'[1]LISTA ETIQUETAS'!$O:$O,'[1]LISTA ETIQUETAS'!F:F,"",0)</f>
        <v>0</v>
      </c>
      <c r="S959" s="2">
        <f>_xlfn.XLOOKUP($A959,'[1]LISTA ETIQUETAS'!$O:$O,'[1]LISTA ETIQUETAS'!H:H,"",0)</f>
        <v>1</v>
      </c>
      <c r="T959" s="9">
        <f t="shared" si="44"/>
        <v>1</v>
      </c>
    </row>
    <row r="960" spans="1:20" x14ac:dyDescent="0.25">
      <c r="A960" s="5">
        <v>139906</v>
      </c>
      <c r="B960" t="str">
        <f>IFERROR((VLOOKUP(A960,'[1]LISTA ETIQUETAS'!O:X,3,0)),"PRODUTO SEM ESTOQUE")</f>
        <v>EST SOFA CLOUD (TRIPARTIDO) (ASS MOVEL) TC 14071</v>
      </c>
      <c r="C960" s="10" t="s">
        <v>13</v>
      </c>
      <c r="D960" s="10" t="s">
        <v>600</v>
      </c>
      <c r="E960" s="11">
        <f>IF(VLOOKUP(A960,'[1]LISTA ETIQUETAS'!O:W,4,0)="",(VLOOKUP(A960,'[1]LISTA ETIQUETAS'!O:W,6,0)),(VLOOKUP(A960,'[1]LISTA ETIQUETAS'!O:W,4,0)))</f>
        <v>3.12</v>
      </c>
      <c r="F960" s="11">
        <f>IF(VLOOKUP(A960,'[1]LISTA ETIQUETAS'!O:W,5,0)="",(VLOOKUP(A960,'[1]LISTA ETIQUETAS'!O:W,7,0)),(VLOOKUP(A960,'[1]LISTA ETIQUETAS'!O:W,5,0)))</f>
        <v>1.08</v>
      </c>
      <c r="G960" s="11">
        <f>IFERROR((VLOOKUP(A960,'[1]LISTA ETIQUETAS'!O:X,8,0)),"")</f>
        <v>0</v>
      </c>
      <c r="H960" s="11">
        <f>IFERROR((VLOOKUP(A960,'[1]LISTA ETIQUETAS'!O:X,9,0)),"")</f>
        <v>0</v>
      </c>
      <c r="I960" s="12">
        <f>IFERROR((VLOOKUP(A960,'[1]LISTA ETIQUETAS'!O:Y,11,0)),"")</f>
        <v>0</v>
      </c>
      <c r="J960" s="6">
        <v>0</v>
      </c>
      <c r="K960" s="12">
        <f t="shared" si="42"/>
        <v>0</v>
      </c>
      <c r="L960" s="7" t="str">
        <f>IF(VLOOKUP(A960,'[1]LISTA ETIQUETAS'!O:AB,14,0)="","",(VLOOKUP(A960,'[1]LISTA ETIQUETAS'!O:AB,14,0)))</f>
        <v/>
      </c>
      <c r="M960" s="8"/>
      <c r="N960" s="9">
        <f t="shared" si="43"/>
        <v>139906</v>
      </c>
      <c r="O960" s="2">
        <f>_xlfn.XLOOKUP($A960,'[1]LISTA ETIQUETAS'!$O:$O,'[1]LISTA ETIQUETAS'!C:C,"",0)</f>
        <v>0</v>
      </c>
      <c r="P960" s="2">
        <f>_xlfn.XLOOKUP($A960,'[1]LISTA ETIQUETAS'!$O:$O,'[1]LISTA ETIQUETAS'!D:D,"",0)</f>
        <v>0</v>
      </c>
      <c r="Q960" s="2">
        <f>_xlfn.XLOOKUP($A960,'[1]LISTA ETIQUETAS'!$O:$O,'[1]LISTA ETIQUETAS'!E:E,"",0)</f>
        <v>0</v>
      </c>
      <c r="R960" s="2">
        <f>_xlfn.XLOOKUP($A960,'[1]LISTA ETIQUETAS'!$O:$O,'[1]LISTA ETIQUETAS'!F:F,"",0)</f>
        <v>0</v>
      </c>
      <c r="S960" s="2">
        <f>_xlfn.XLOOKUP($A960,'[1]LISTA ETIQUETAS'!$O:$O,'[1]LISTA ETIQUETAS'!H:H,"",0)</f>
        <v>1</v>
      </c>
      <c r="T960" s="9">
        <f t="shared" si="44"/>
        <v>1</v>
      </c>
    </row>
    <row r="961" spans="1:20" x14ac:dyDescent="0.25">
      <c r="A961" s="5">
        <v>151391</v>
      </c>
      <c r="B961" t="str">
        <f>IFERROR((VLOOKUP(A961,'[1]LISTA ETIQUETAS'!O:X,3,0)),"PRODUTO SEM ESTOQUE")</f>
        <v>EST SOFA GENEVA - ARGILA - TC 11245</v>
      </c>
      <c r="C961" s="10" t="s">
        <v>13</v>
      </c>
      <c r="D961" s="10" t="s">
        <v>601</v>
      </c>
      <c r="E961" s="11">
        <f>IF(VLOOKUP(A961,'[1]LISTA ETIQUETAS'!O:W,4,0)="",(VLOOKUP(A961,'[1]LISTA ETIQUETAS'!O:W,6,0)),(VLOOKUP(A961,'[1]LISTA ETIQUETAS'!O:W,4,0)))</f>
        <v>2.2999999999999998</v>
      </c>
      <c r="F961" s="11">
        <f>IF(VLOOKUP(A961,'[1]LISTA ETIQUETAS'!O:W,5,0)="",(VLOOKUP(A961,'[1]LISTA ETIQUETAS'!O:W,7,0)),(VLOOKUP(A961,'[1]LISTA ETIQUETAS'!O:W,5,0)))</f>
        <v>0.85</v>
      </c>
      <c r="G961" s="11">
        <f>IFERROR((VLOOKUP(A961,'[1]LISTA ETIQUETAS'!O:X,8,0)),"")</f>
        <v>0.65</v>
      </c>
      <c r="H961" s="11">
        <f>IFERROR((VLOOKUP(A961,'[1]LISTA ETIQUETAS'!O:X,9,0)),"")</f>
        <v>0</v>
      </c>
      <c r="I961" s="12">
        <f>IFERROR((VLOOKUP(A961,'[1]LISTA ETIQUETAS'!O:Y,11,0)),"")</f>
        <v>18069.14</v>
      </c>
      <c r="J961" s="6">
        <v>0</v>
      </c>
      <c r="K961" s="12">
        <f t="shared" si="42"/>
        <v>18069.14</v>
      </c>
      <c r="L961" s="7" t="str">
        <f>IF(VLOOKUP(A961,'[1]LISTA ETIQUETAS'!O:AB,14,0)="","",(VLOOKUP(A961,'[1]LISTA ETIQUETAS'!O:AB,14,0)))</f>
        <v/>
      </c>
      <c r="M961" s="8"/>
      <c r="N961" s="9">
        <f t="shared" si="43"/>
        <v>151391</v>
      </c>
      <c r="O961" s="2">
        <f>_xlfn.XLOOKUP($A961,'[1]LISTA ETIQUETAS'!$O:$O,'[1]LISTA ETIQUETAS'!C:C,"",0)</f>
        <v>0</v>
      </c>
      <c r="P961" s="2">
        <f>_xlfn.XLOOKUP($A961,'[1]LISTA ETIQUETAS'!$O:$O,'[1]LISTA ETIQUETAS'!D:D,"",0)</f>
        <v>0</v>
      </c>
      <c r="Q961" s="2">
        <f>_xlfn.XLOOKUP($A961,'[1]LISTA ETIQUETAS'!$O:$O,'[1]LISTA ETIQUETAS'!E:E,"",0)</f>
        <v>0</v>
      </c>
      <c r="R961" s="2">
        <f>_xlfn.XLOOKUP($A961,'[1]LISTA ETIQUETAS'!$O:$O,'[1]LISTA ETIQUETAS'!F:F,"",0)</f>
        <v>0</v>
      </c>
      <c r="S961" s="2">
        <f>_xlfn.XLOOKUP($A961,'[1]LISTA ETIQUETAS'!$O:$O,'[1]LISTA ETIQUETAS'!H:H,"",0)</f>
        <v>1</v>
      </c>
      <c r="T961" s="9">
        <f t="shared" si="44"/>
        <v>1</v>
      </c>
    </row>
    <row r="962" spans="1:20" x14ac:dyDescent="0.25">
      <c r="A962" s="5">
        <v>151549</v>
      </c>
      <c r="B962" t="str">
        <f>IFERROR((VLOOKUP(A962,'[1]LISTA ETIQUETAS'!O:X,3,0)),"PRODUTO SEM ESTOQUE")</f>
        <v>EST MODULO BRACO ESQ C/AVANCO BASE STUART (TC CINZA CLARO)</v>
      </c>
      <c r="C962" s="10" t="s">
        <v>13</v>
      </c>
      <c r="D962" s="10" t="s">
        <v>126</v>
      </c>
      <c r="E962" s="11">
        <f>IF(VLOOKUP(A962,'[1]LISTA ETIQUETAS'!O:W,4,0)="",(VLOOKUP(A962,'[1]LISTA ETIQUETAS'!O:W,6,0)),(VLOOKUP(A962,'[1]LISTA ETIQUETAS'!O:W,4,0)))</f>
        <v>1.5</v>
      </c>
      <c r="F962" s="11">
        <f>IF(VLOOKUP(A962,'[1]LISTA ETIQUETAS'!O:W,5,0)="",(VLOOKUP(A962,'[1]LISTA ETIQUETAS'!O:W,7,0)),(VLOOKUP(A962,'[1]LISTA ETIQUETAS'!O:W,5,0)))</f>
        <v>0.95</v>
      </c>
      <c r="G962" s="11">
        <f>IFERROR((VLOOKUP(A962,'[1]LISTA ETIQUETAS'!O:X,8,0)),"")</f>
        <v>0.73</v>
      </c>
      <c r="H962" s="11">
        <f>IFERROR((VLOOKUP(A962,'[1]LISTA ETIQUETAS'!O:X,9,0)),"")</f>
        <v>0</v>
      </c>
      <c r="I962" s="12">
        <f>IFERROR((VLOOKUP(A962,'[1]LISTA ETIQUETAS'!O:Y,11,0)),"")</f>
        <v>18816</v>
      </c>
      <c r="J962" s="6">
        <v>0</v>
      </c>
      <c r="K962" s="12">
        <f t="shared" si="42"/>
        <v>18816</v>
      </c>
      <c r="L962" s="7" t="str">
        <f>IF(VLOOKUP(A962,'[1]LISTA ETIQUETAS'!O:AB,14,0)="","",(VLOOKUP(A962,'[1]LISTA ETIQUETAS'!O:AB,14,0)))</f>
        <v/>
      </c>
      <c r="M962" s="8"/>
      <c r="N962" s="9">
        <f t="shared" si="43"/>
        <v>151549</v>
      </c>
      <c r="O962" s="2">
        <f>_xlfn.XLOOKUP($A962,'[1]LISTA ETIQUETAS'!$O:$O,'[1]LISTA ETIQUETAS'!C:C,"",0)</f>
        <v>0</v>
      </c>
      <c r="P962" s="2">
        <f>_xlfn.XLOOKUP($A962,'[1]LISTA ETIQUETAS'!$O:$O,'[1]LISTA ETIQUETAS'!D:D,"",0)</f>
        <v>0</v>
      </c>
      <c r="Q962" s="2">
        <f>_xlfn.XLOOKUP($A962,'[1]LISTA ETIQUETAS'!$O:$O,'[1]LISTA ETIQUETAS'!E:E,"",0)</f>
        <v>0</v>
      </c>
      <c r="R962" s="2">
        <f>_xlfn.XLOOKUP($A962,'[1]LISTA ETIQUETAS'!$O:$O,'[1]LISTA ETIQUETAS'!F:F,"",0)</f>
        <v>0</v>
      </c>
      <c r="S962" s="2">
        <f>_xlfn.XLOOKUP($A962,'[1]LISTA ETIQUETAS'!$O:$O,'[1]LISTA ETIQUETAS'!H:H,"",0)</f>
        <v>1</v>
      </c>
      <c r="T962" s="9">
        <f t="shared" si="44"/>
        <v>1</v>
      </c>
    </row>
    <row r="963" spans="1:20" x14ac:dyDescent="0.25">
      <c r="A963" s="5">
        <v>151382</v>
      </c>
      <c r="B963" t="str">
        <f>IFERROR((VLOOKUP(A963,'[1]LISTA ETIQUETAS'!O:X,3,0)),"PRODUTO SEM ESTOQUE")</f>
        <v>EST SOFA BRISTOL (FIBRA 10MM ESTONADO TABACO) TC SOL</v>
      </c>
      <c r="C963" s="10" t="s">
        <v>13</v>
      </c>
      <c r="D963" s="10" t="s">
        <v>602</v>
      </c>
      <c r="E963" s="11">
        <f>IF(VLOOKUP(A963,'[1]LISTA ETIQUETAS'!O:W,4,0)="",(VLOOKUP(A963,'[1]LISTA ETIQUETAS'!O:W,6,0)),(VLOOKUP(A963,'[1]LISTA ETIQUETAS'!O:W,4,0)))</f>
        <v>2.4</v>
      </c>
      <c r="F963" s="11">
        <f>IF(VLOOKUP(A963,'[1]LISTA ETIQUETAS'!O:W,5,0)="",(VLOOKUP(A963,'[1]LISTA ETIQUETAS'!O:W,7,0)),(VLOOKUP(A963,'[1]LISTA ETIQUETAS'!O:W,5,0)))</f>
        <v>0.85</v>
      </c>
      <c r="G963" s="11">
        <f>IFERROR((VLOOKUP(A963,'[1]LISTA ETIQUETAS'!O:X,8,0)),"")</f>
        <v>0.65</v>
      </c>
      <c r="H963" s="11">
        <f>IFERROR((VLOOKUP(A963,'[1]LISTA ETIQUETAS'!O:X,9,0)),"")</f>
        <v>0</v>
      </c>
      <c r="I963" s="12">
        <f>IFERROR((VLOOKUP(A963,'[1]LISTA ETIQUETAS'!O:Y,11,0)),"")</f>
        <v>0</v>
      </c>
      <c r="J963" s="6">
        <v>0</v>
      </c>
      <c r="K963" s="12">
        <f t="shared" ref="K963:K1011" si="45">IFERROR(I963-I963*J963,"")</f>
        <v>0</v>
      </c>
      <c r="L963" s="7" t="str">
        <f>IF(VLOOKUP(A963,'[1]LISTA ETIQUETAS'!O:AB,14,0)="","",(VLOOKUP(A963,'[1]LISTA ETIQUETAS'!O:AB,14,0)))</f>
        <v/>
      </c>
      <c r="M963" s="8"/>
      <c r="N963" s="9">
        <f t="shared" si="43"/>
        <v>151382</v>
      </c>
      <c r="O963" s="2">
        <f>_xlfn.XLOOKUP($A963,'[1]LISTA ETIQUETAS'!$O:$O,'[1]LISTA ETIQUETAS'!C:C,"",0)</f>
        <v>0</v>
      </c>
      <c r="P963" s="2">
        <f>_xlfn.XLOOKUP($A963,'[1]LISTA ETIQUETAS'!$O:$O,'[1]LISTA ETIQUETAS'!D:D,"",0)</f>
        <v>0</v>
      </c>
      <c r="Q963" s="2">
        <f>_xlfn.XLOOKUP($A963,'[1]LISTA ETIQUETAS'!$O:$O,'[1]LISTA ETIQUETAS'!E:E,"",0)</f>
        <v>0</v>
      </c>
      <c r="R963" s="2">
        <f>_xlfn.XLOOKUP($A963,'[1]LISTA ETIQUETAS'!$O:$O,'[1]LISTA ETIQUETAS'!F:F,"",0)</f>
        <v>0</v>
      </c>
      <c r="S963" s="2">
        <f>_xlfn.XLOOKUP($A963,'[1]LISTA ETIQUETAS'!$O:$O,'[1]LISTA ETIQUETAS'!H:H,"",0)</f>
        <v>1</v>
      </c>
      <c r="T963" s="9">
        <f t="shared" si="44"/>
        <v>1</v>
      </c>
    </row>
    <row r="964" spans="1:20" x14ac:dyDescent="0.25">
      <c r="A964" s="5">
        <v>150912</v>
      </c>
      <c r="B964" t="str">
        <f>IFERROR((VLOOKUP(A964,'[1]LISTA ETIQUETAS'!O:X,3,0)),"PRODUTO SEM ESTOQUE")</f>
        <v>EST SOFA REVERE (PES NOGUEIRA AMERICANA) TC 1124-C</v>
      </c>
      <c r="C964" s="10" t="s">
        <v>13</v>
      </c>
      <c r="D964" s="10" t="s">
        <v>603</v>
      </c>
      <c r="E964" s="11">
        <f>IF(VLOOKUP(A964,'[1]LISTA ETIQUETAS'!O:W,4,0)="",(VLOOKUP(A964,'[1]LISTA ETIQUETAS'!O:W,6,0)),(VLOOKUP(A964,'[1]LISTA ETIQUETAS'!O:W,4,0)))</f>
        <v>2.6</v>
      </c>
      <c r="F964" s="11">
        <f>IF(VLOOKUP(A964,'[1]LISTA ETIQUETAS'!O:W,5,0)="",(VLOOKUP(A964,'[1]LISTA ETIQUETAS'!O:W,7,0)),(VLOOKUP(A964,'[1]LISTA ETIQUETAS'!O:W,5,0)))</f>
        <v>0.86</v>
      </c>
      <c r="G964" s="11">
        <f>IFERROR((VLOOKUP(A964,'[1]LISTA ETIQUETAS'!O:X,8,0)),"")</f>
        <v>0.76</v>
      </c>
      <c r="H964" s="11">
        <f>IFERROR((VLOOKUP(A964,'[1]LISTA ETIQUETAS'!O:X,9,0)),"")</f>
        <v>0</v>
      </c>
      <c r="I964" s="12">
        <f>IFERROR((VLOOKUP(A964,'[1]LISTA ETIQUETAS'!O:Y,11,0)),"")</f>
        <v>27838.720000000001</v>
      </c>
      <c r="J964" s="6">
        <v>0</v>
      </c>
      <c r="K964" s="12">
        <f t="shared" si="45"/>
        <v>27838.720000000001</v>
      </c>
      <c r="L964" s="7" t="str">
        <f>IF(VLOOKUP(A964,'[1]LISTA ETIQUETAS'!O:AB,14,0)="","",(VLOOKUP(A964,'[1]LISTA ETIQUETAS'!O:AB,14,0)))</f>
        <v/>
      </c>
      <c r="M964" s="8"/>
      <c r="N964" s="9">
        <f t="shared" ref="N964:N1011" si="46">IF(M964="",A964,M964)</f>
        <v>150912</v>
      </c>
      <c r="O964" s="2">
        <f>_xlfn.XLOOKUP($A964,'[1]LISTA ETIQUETAS'!$O:$O,'[1]LISTA ETIQUETAS'!C:C,"",0)</f>
        <v>0</v>
      </c>
      <c r="P964" s="2">
        <f>_xlfn.XLOOKUP($A964,'[1]LISTA ETIQUETAS'!$O:$O,'[1]LISTA ETIQUETAS'!D:D,"",0)</f>
        <v>0</v>
      </c>
      <c r="Q964" s="2">
        <f>_xlfn.XLOOKUP($A964,'[1]LISTA ETIQUETAS'!$O:$O,'[1]LISTA ETIQUETAS'!E:E,"",0)</f>
        <v>0</v>
      </c>
      <c r="R964" s="2">
        <f>_xlfn.XLOOKUP($A964,'[1]LISTA ETIQUETAS'!$O:$O,'[1]LISTA ETIQUETAS'!F:F,"",0)</f>
        <v>0</v>
      </c>
      <c r="S964" s="2">
        <f>_xlfn.XLOOKUP($A964,'[1]LISTA ETIQUETAS'!$O:$O,'[1]LISTA ETIQUETAS'!H:H,"",0)</f>
        <v>1</v>
      </c>
      <c r="T964" s="9">
        <f t="shared" ref="T964:T1011" si="47">SUM(O964:S964)</f>
        <v>1</v>
      </c>
    </row>
    <row r="965" spans="1:20" x14ac:dyDescent="0.25">
      <c r="A965" s="5">
        <v>176810</v>
      </c>
      <c r="B965" t="str">
        <f>IFERROR((VLOOKUP(A965,'[1]LISTA ETIQUETAS'!O:X,3,0)),"PRODUTO SEM ESTOQUE")</f>
        <v>EST SOFA ARMANI CODE (BASE FRONTAL) TC 244 00686 TRAM AL</v>
      </c>
      <c r="C965" s="10" t="s">
        <v>13</v>
      </c>
      <c r="D965" s="10" t="s">
        <v>604</v>
      </c>
      <c r="E965" s="11">
        <f>IF(VLOOKUP(A965,'[1]LISTA ETIQUETAS'!O:W,4,0)="",(VLOOKUP(A965,'[1]LISTA ETIQUETAS'!O:W,6,0)),(VLOOKUP(A965,'[1]LISTA ETIQUETAS'!O:W,4,0)))</f>
        <v>3</v>
      </c>
      <c r="F965" s="11">
        <f>IF(VLOOKUP(A965,'[1]LISTA ETIQUETAS'!O:W,5,0)="",(VLOOKUP(A965,'[1]LISTA ETIQUETAS'!O:W,7,0)),(VLOOKUP(A965,'[1]LISTA ETIQUETAS'!O:W,5,0)))</f>
        <v>1.1000000000000001</v>
      </c>
      <c r="G965" s="11">
        <f>IFERROR((VLOOKUP(A965,'[1]LISTA ETIQUETAS'!O:X,8,0)),"")</f>
        <v>0.8</v>
      </c>
      <c r="H965" s="11">
        <f>IFERROR((VLOOKUP(A965,'[1]LISTA ETIQUETAS'!O:X,9,0)),"")</f>
        <v>0</v>
      </c>
      <c r="I965" s="12">
        <f>IFERROR((VLOOKUP(A965,'[1]LISTA ETIQUETAS'!O:Y,11,0)),"")</f>
        <v>38990.870000000003</v>
      </c>
      <c r="J965" s="6">
        <v>0</v>
      </c>
      <c r="K965" s="12">
        <f t="shared" si="45"/>
        <v>38990.870000000003</v>
      </c>
      <c r="L965" s="7" t="str">
        <f>IF(VLOOKUP(A965,'[1]LISTA ETIQUETAS'!O:AB,14,0)="","",(VLOOKUP(A965,'[1]LISTA ETIQUETAS'!O:AB,14,0)))</f>
        <v/>
      </c>
      <c r="M965" s="8"/>
      <c r="N965" s="9">
        <f t="shared" si="46"/>
        <v>176810</v>
      </c>
      <c r="O965" s="2">
        <f>_xlfn.XLOOKUP($A965,'[1]LISTA ETIQUETAS'!$O:$O,'[1]LISTA ETIQUETAS'!C:C,"",0)</f>
        <v>0</v>
      </c>
      <c r="P965" s="2">
        <f>_xlfn.XLOOKUP($A965,'[1]LISTA ETIQUETAS'!$O:$O,'[1]LISTA ETIQUETAS'!D:D,"",0)</f>
        <v>0</v>
      </c>
      <c r="Q965" s="2">
        <f>_xlfn.XLOOKUP($A965,'[1]LISTA ETIQUETAS'!$O:$O,'[1]LISTA ETIQUETAS'!E:E,"",0)</f>
        <v>0</v>
      </c>
      <c r="R965" s="2">
        <f>_xlfn.XLOOKUP($A965,'[1]LISTA ETIQUETAS'!$O:$O,'[1]LISTA ETIQUETAS'!F:F,"",0)</f>
        <v>0</v>
      </c>
      <c r="S965" s="2">
        <f>_xlfn.XLOOKUP($A965,'[1]LISTA ETIQUETAS'!$O:$O,'[1]LISTA ETIQUETAS'!H:H,"",0)</f>
        <v>1</v>
      </c>
      <c r="T965" s="9">
        <f t="shared" si="47"/>
        <v>1</v>
      </c>
    </row>
    <row r="966" spans="1:20" x14ac:dyDescent="0.25">
      <c r="A966" s="5">
        <v>186064</v>
      </c>
      <c r="B966" t="str">
        <f>IFERROR((VLOOKUP(A966,'[1]LISTA ETIQUETAS'!O:X,3,0)),"PRODUTO SEM ESTOQUE")</f>
        <v>EST SOFA ZEUS (TC E5010 MOSTARDA)</v>
      </c>
      <c r="C966" s="10" t="s">
        <v>13</v>
      </c>
      <c r="D966" s="10" t="s">
        <v>605</v>
      </c>
      <c r="E966" s="11">
        <f>IF(VLOOKUP(A966,'[1]LISTA ETIQUETAS'!O:W,4,0)="",(VLOOKUP(A966,'[1]LISTA ETIQUETAS'!O:W,6,0)),(VLOOKUP(A966,'[1]LISTA ETIQUETAS'!O:W,4,0)))</f>
        <v>1.9</v>
      </c>
      <c r="F966" s="11">
        <f>IF(VLOOKUP(A966,'[1]LISTA ETIQUETAS'!O:W,5,0)="",(VLOOKUP(A966,'[1]LISTA ETIQUETAS'!O:W,7,0)),(VLOOKUP(A966,'[1]LISTA ETIQUETAS'!O:W,5,0)))</f>
        <v>1.02</v>
      </c>
      <c r="G966" s="11">
        <f>IFERROR((VLOOKUP(A966,'[1]LISTA ETIQUETAS'!O:X,8,0)),"")</f>
        <v>0.94</v>
      </c>
      <c r="H966" s="11">
        <f>IFERROR((VLOOKUP(A966,'[1]LISTA ETIQUETAS'!O:X,9,0)),"")</f>
        <v>0</v>
      </c>
      <c r="I966" s="12">
        <f>IFERROR((VLOOKUP(A966,'[1]LISTA ETIQUETAS'!O:Y,11,0)),"")</f>
        <v>22400</v>
      </c>
      <c r="J966" s="6">
        <v>0</v>
      </c>
      <c r="K966" s="12">
        <f t="shared" si="45"/>
        <v>22400</v>
      </c>
      <c r="L966" s="7" t="str">
        <f>IF(VLOOKUP(A966,'[1]LISTA ETIQUETAS'!O:AB,14,0)="","",(VLOOKUP(A966,'[1]LISTA ETIQUETAS'!O:AB,14,0)))</f>
        <v/>
      </c>
      <c r="M966" s="8"/>
      <c r="N966" s="9">
        <f t="shared" si="46"/>
        <v>186064</v>
      </c>
      <c r="O966" s="2">
        <f>_xlfn.XLOOKUP($A966,'[1]LISTA ETIQUETAS'!$O:$O,'[1]LISTA ETIQUETAS'!C:C,"",0)</f>
        <v>0</v>
      </c>
      <c r="P966" s="2">
        <f>_xlfn.XLOOKUP($A966,'[1]LISTA ETIQUETAS'!$O:$O,'[1]LISTA ETIQUETAS'!D:D,"",0)</f>
        <v>0</v>
      </c>
      <c r="Q966" s="2">
        <f>_xlfn.XLOOKUP($A966,'[1]LISTA ETIQUETAS'!$O:$O,'[1]LISTA ETIQUETAS'!E:E,"",0)</f>
        <v>0</v>
      </c>
      <c r="R966" s="2">
        <f>_xlfn.XLOOKUP($A966,'[1]LISTA ETIQUETAS'!$O:$O,'[1]LISTA ETIQUETAS'!F:F,"",0)</f>
        <v>0</v>
      </c>
      <c r="S966" s="2">
        <f>_xlfn.XLOOKUP($A966,'[1]LISTA ETIQUETAS'!$O:$O,'[1]LISTA ETIQUETAS'!H:H,"",0)</f>
        <v>1</v>
      </c>
      <c r="T966" s="9">
        <f t="shared" si="47"/>
        <v>1</v>
      </c>
    </row>
    <row r="967" spans="1:20" x14ac:dyDescent="0.25">
      <c r="A967" s="5">
        <v>187342</v>
      </c>
      <c r="B967" t="str">
        <f>IFERROR((VLOOKUP(A967,'[1]LISTA ETIQUETAS'!O:X,3,0)),"PRODUTO SEM ESTOQUE")</f>
        <v>EST MODULO CHAISE BRACO DIR AFTONE TC 4085 | TC F6034</v>
      </c>
      <c r="C967" s="10" t="s">
        <v>13</v>
      </c>
      <c r="D967" s="10" t="s">
        <v>606</v>
      </c>
      <c r="E967" s="11">
        <f>IF(VLOOKUP(A967,'[1]LISTA ETIQUETAS'!O:W,4,0)="",(VLOOKUP(A967,'[1]LISTA ETIQUETAS'!O:W,6,0)),(VLOOKUP(A967,'[1]LISTA ETIQUETAS'!O:W,4,0)))</f>
        <v>1</v>
      </c>
      <c r="F967" s="11">
        <f>IF(VLOOKUP(A967,'[1]LISTA ETIQUETAS'!O:W,5,0)="",(VLOOKUP(A967,'[1]LISTA ETIQUETAS'!O:W,7,0)),(VLOOKUP(A967,'[1]LISTA ETIQUETAS'!O:W,5,0)))</f>
        <v>2.85</v>
      </c>
      <c r="G967" s="11">
        <f>IFERROR((VLOOKUP(A967,'[1]LISTA ETIQUETAS'!O:X,8,0)),"")</f>
        <v>0</v>
      </c>
      <c r="H967" s="11">
        <f>IFERROR((VLOOKUP(A967,'[1]LISTA ETIQUETAS'!O:X,9,0)),"")</f>
        <v>0</v>
      </c>
      <c r="I967" s="12">
        <f>IFERROR((VLOOKUP(A967,'[1]LISTA ETIQUETAS'!O:Y,11,0)),"")</f>
        <v>0</v>
      </c>
      <c r="J967" s="6">
        <v>0</v>
      </c>
      <c r="K967" s="12">
        <f t="shared" si="45"/>
        <v>0</v>
      </c>
      <c r="L967" s="7" t="str">
        <f>IF(VLOOKUP(A967,'[1]LISTA ETIQUETAS'!O:AB,14,0)="","",(VLOOKUP(A967,'[1]LISTA ETIQUETAS'!O:AB,14,0)))</f>
        <v/>
      </c>
      <c r="M967" s="8"/>
      <c r="N967" s="9">
        <f t="shared" si="46"/>
        <v>187342</v>
      </c>
      <c r="O967" s="2">
        <f>_xlfn.XLOOKUP($A967,'[1]LISTA ETIQUETAS'!$O:$O,'[1]LISTA ETIQUETAS'!C:C,"",0)</f>
        <v>0</v>
      </c>
      <c r="P967" s="2">
        <f>_xlfn.XLOOKUP($A967,'[1]LISTA ETIQUETAS'!$O:$O,'[1]LISTA ETIQUETAS'!D:D,"",0)</f>
        <v>0</v>
      </c>
      <c r="Q967" s="2">
        <f>_xlfn.XLOOKUP($A967,'[1]LISTA ETIQUETAS'!$O:$O,'[1]LISTA ETIQUETAS'!E:E,"",0)</f>
        <v>0</v>
      </c>
      <c r="R967" s="2">
        <f>_xlfn.XLOOKUP($A967,'[1]LISTA ETIQUETAS'!$O:$O,'[1]LISTA ETIQUETAS'!F:F,"",0)</f>
        <v>0</v>
      </c>
      <c r="S967" s="2">
        <f>_xlfn.XLOOKUP($A967,'[1]LISTA ETIQUETAS'!$O:$O,'[1]LISTA ETIQUETAS'!H:H,"",0)</f>
        <v>1</v>
      </c>
      <c r="T967" s="9">
        <f t="shared" si="47"/>
        <v>1</v>
      </c>
    </row>
    <row r="968" spans="1:20" x14ac:dyDescent="0.25">
      <c r="A968" s="5">
        <v>185350</v>
      </c>
      <c r="B968" t="str">
        <f>IFERROR((VLOOKUP(A968,'[1]LISTA ETIQUETAS'!O:X,3,0)),"PRODUTO SEM ESTOQUE")</f>
        <v>EST SOFA CLASS (BIPARTIDO) TC MOBILITY TRIBAL GREY</v>
      </c>
      <c r="C968" s="10" t="s">
        <v>13</v>
      </c>
      <c r="D968" s="10" t="s">
        <v>607</v>
      </c>
      <c r="E968" s="11">
        <f>IF(VLOOKUP(A968,'[1]LISTA ETIQUETAS'!O:W,4,0)="",(VLOOKUP(A968,'[1]LISTA ETIQUETAS'!O:W,6,0)),(VLOOKUP(A968,'[1]LISTA ETIQUETAS'!O:W,4,0)))</f>
        <v>3</v>
      </c>
      <c r="F968" s="11">
        <f>IF(VLOOKUP(A968,'[1]LISTA ETIQUETAS'!O:W,5,0)="",(VLOOKUP(A968,'[1]LISTA ETIQUETAS'!O:W,7,0)),(VLOOKUP(A968,'[1]LISTA ETIQUETAS'!O:W,5,0)))</f>
        <v>0.98</v>
      </c>
      <c r="G968" s="11">
        <f>IFERROR((VLOOKUP(A968,'[1]LISTA ETIQUETAS'!O:X,8,0)),"")</f>
        <v>0.83</v>
      </c>
      <c r="H968" s="11">
        <f>IFERROR((VLOOKUP(A968,'[1]LISTA ETIQUETAS'!O:X,9,0)),"")</f>
        <v>0</v>
      </c>
      <c r="I968" s="12">
        <f>IFERROR((VLOOKUP(A968,'[1]LISTA ETIQUETAS'!O:Y,11,0)),"")</f>
        <v>39320.06</v>
      </c>
      <c r="J968" s="6">
        <v>0</v>
      </c>
      <c r="K968" s="12">
        <f t="shared" si="45"/>
        <v>39320.06</v>
      </c>
      <c r="L968" s="7" t="str">
        <f>IF(VLOOKUP(A968,'[1]LISTA ETIQUETAS'!O:AB,14,0)="","",(VLOOKUP(A968,'[1]LISTA ETIQUETAS'!O:AB,14,0)))</f>
        <v/>
      </c>
      <c r="M968" s="8"/>
      <c r="N968" s="9">
        <f t="shared" si="46"/>
        <v>185350</v>
      </c>
      <c r="O968" s="2">
        <f>_xlfn.XLOOKUP($A968,'[1]LISTA ETIQUETAS'!$O:$O,'[1]LISTA ETIQUETAS'!C:C,"",0)</f>
        <v>0</v>
      </c>
      <c r="P968" s="2">
        <f>_xlfn.XLOOKUP($A968,'[1]LISTA ETIQUETAS'!$O:$O,'[1]LISTA ETIQUETAS'!D:D,"",0)</f>
        <v>0</v>
      </c>
      <c r="Q968" s="2">
        <f>_xlfn.XLOOKUP($A968,'[1]LISTA ETIQUETAS'!$O:$O,'[1]LISTA ETIQUETAS'!E:E,"",0)</f>
        <v>0</v>
      </c>
      <c r="R968" s="2">
        <f>_xlfn.XLOOKUP($A968,'[1]LISTA ETIQUETAS'!$O:$O,'[1]LISTA ETIQUETAS'!F:F,"",0)</f>
        <v>0</v>
      </c>
      <c r="S968" s="2">
        <f>_xlfn.XLOOKUP($A968,'[1]LISTA ETIQUETAS'!$O:$O,'[1]LISTA ETIQUETAS'!H:H,"",0)</f>
        <v>1</v>
      </c>
      <c r="T968" s="9">
        <f t="shared" si="47"/>
        <v>1</v>
      </c>
    </row>
    <row r="969" spans="1:20" x14ac:dyDescent="0.25">
      <c r="A969" s="5">
        <v>182715</v>
      </c>
      <c r="B969" t="str">
        <f>IFERROR((VLOOKUP(A969,'[1]LISTA ETIQUETAS'!O:X,3,0)),"PRODUTO SEM ESTOQUE")</f>
        <v>EST SOFA TABLE POSITANO (EXTERNO ROVERE) (INTERNO BRANCO)</v>
      </c>
      <c r="C969" s="10" t="s">
        <v>608</v>
      </c>
      <c r="D969" s="10" t="s">
        <v>609</v>
      </c>
      <c r="E969" s="11">
        <f>IF(VLOOKUP(A969,'[1]LISTA ETIQUETAS'!O:W,4,0)="",(VLOOKUP(A969,'[1]LISTA ETIQUETAS'!O:W,6,0)),(VLOOKUP(A969,'[1]LISTA ETIQUETAS'!O:W,4,0)))</f>
        <v>2.6</v>
      </c>
      <c r="F969" s="11">
        <f>IF(VLOOKUP(A969,'[1]LISTA ETIQUETAS'!O:W,5,0)="",(VLOOKUP(A969,'[1]LISTA ETIQUETAS'!O:W,7,0)),(VLOOKUP(A969,'[1]LISTA ETIQUETAS'!O:W,5,0)))</f>
        <v>1</v>
      </c>
      <c r="G969" s="11">
        <f>IFERROR((VLOOKUP(A969,'[1]LISTA ETIQUETAS'!O:X,8,0)),"")</f>
        <v>0.45</v>
      </c>
      <c r="H969" s="11">
        <f>IFERROR((VLOOKUP(A969,'[1]LISTA ETIQUETAS'!O:X,9,0)),"")</f>
        <v>0</v>
      </c>
      <c r="I969" s="12">
        <f>IFERROR((VLOOKUP(A969,'[1]LISTA ETIQUETAS'!O:Y,11,0)),"")</f>
        <v>14135.7</v>
      </c>
      <c r="J969" s="6">
        <v>0</v>
      </c>
      <c r="K969" s="12">
        <f t="shared" si="45"/>
        <v>14135.7</v>
      </c>
      <c r="L969" s="7" t="str">
        <f>IF(VLOOKUP(A969,'[1]LISTA ETIQUETAS'!O:AB,14,0)="","",(VLOOKUP(A969,'[1]LISTA ETIQUETAS'!O:AB,14,0)))</f>
        <v/>
      </c>
      <c r="M969" s="8"/>
      <c r="N969" s="9">
        <f t="shared" si="46"/>
        <v>182715</v>
      </c>
      <c r="O969" s="2">
        <f>_xlfn.XLOOKUP($A969,'[1]LISTA ETIQUETAS'!$O:$O,'[1]LISTA ETIQUETAS'!C:C,"",0)</f>
        <v>1</v>
      </c>
      <c r="P969" s="2">
        <f>_xlfn.XLOOKUP($A969,'[1]LISTA ETIQUETAS'!$O:$O,'[1]LISTA ETIQUETAS'!D:D,"",0)</f>
        <v>0</v>
      </c>
      <c r="Q969" s="2">
        <f>_xlfn.XLOOKUP($A969,'[1]LISTA ETIQUETAS'!$O:$O,'[1]LISTA ETIQUETAS'!E:E,"",0)</f>
        <v>0</v>
      </c>
      <c r="R969" s="2">
        <f>_xlfn.XLOOKUP($A969,'[1]LISTA ETIQUETAS'!$O:$O,'[1]LISTA ETIQUETAS'!F:F,"",0)</f>
        <v>0</v>
      </c>
      <c r="S969" s="2">
        <f>_xlfn.XLOOKUP($A969,'[1]LISTA ETIQUETAS'!$O:$O,'[1]LISTA ETIQUETAS'!H:H,"",0)</f>
        <v>2</v>
      </c>
      <c r="T969" s="9">
        <f t="shared" si="47"/>
        <v>3</v>
      </c>
    </row>
    <row r="970" spans="1:20" x14ac:dyDescent="0.25">
      <c r="A970" s="5">
        <v>255782</v>
      </c>
      <c r="B970" t="str">
        <f>IFERROR((VLOOKUP(A970,'[1]LISTA ETIQUETAS'!O:X,3,0)),"PRODUTO SEM ESTOQUE")</f>
        <v>EST SOFA TABLE COOLER (TP LAM RAIZ) (AUT BROWN)</v>
      </c>
      <c r="C970" s="10" t="s">
        <v>608</v>
      </c>
      <c r="D970" s="10" t="s">
        <v>610</v>
      </c>
      <c r="E970" s="11">
        <f>IF(VLOOKUP(A970,'[1]LISTA ETIQUETAS'!O:W,4,0)="",(VLOOKUP(A970,'[1]LISTA ETIQUETAS'!O:W,6,0)),(VLOOKUP(A970,'[1]LISTA ETIQUETAS'!O:W,4,0)))</f>
        <v>2.5</v>
      </c>
      <c r="F970" s="11">
        <f>IF(VLOOKUP(A970,'[1]LISTA ETIQUETAS'!O:W,5,0)="",(VLOOKUP(A970,'[1]LISTA ETIQUETAS'!O:W,7,0)),(VLOOKUP(A970,'[1]LISTA ETIQUETAS'!O:W,5,0)))</f>
        <v>0.45</v>
      </c>
      <c r="G970" s="11">
        <f>IFERROR((VLOOKUP(A970,'[1]LISTA ETIQUETAS'!O:X,8,0)),"")</f>
        <v>0.42</v>
      </c>
      <c r="H970" s="11">
        <f>IFERROR((VLOOKUP(A970,'[1]LISTA ETIQUETAS'!O:X,9,0)),"")</f>
        <v>0</v>
      </c>
      <c r="I970" s="12">
        <f>IFERROR((VLOOKUP(A970,'[1]LISTA ETIQUETAS'!O:Y,11,0)),"")</f>
        <v>17530.240000000002</v>
      </c>
      <c r="J970" s="6">
        <v>0</v>
      </c>
      <c r="K970" s="12">
        <f t="shared" si="45"/>
        <v>17530.240000000002</v>
      </c>
      <c r="L970" s="7" t="str">
        <f>IF(VLOOKUP(A970,'[1]LISTA ETIQUETAS'!O:AB,14,0)="","",(VLOOKUP(A970,'[1]LISTA ETIQUETAS'!O:AB,14,0)))</f>
        <v/>
      </c>
      <c r="M970" s="8"/>
      <c r="N970" s="9">
        <f t="shared" si="46"/>
        <v>255782</v>
      </c>
      <c r="O970" s="2">
        <f>_xlfn.XLOOKUP($A970,'[1]LISTA ETIQUETAS'!$O:$O,'[1]LISTA ETIQUETAS'!C:C,"",0)</f>
        <v>0</v>
      </c>
      <c r="P970" s="2">
        <f>_xlfn.XLOOKUP($A970,'[1]LISTA ETIQUETAS'!$O:$O,'[1]LISTA ETIQUETAS'!D:D,"",0)</f>
        <v>0</v>
      </c>
      <c r="Q970" s="2">
        <f>_xlfn.XLOOKUP($A970,'[1]LISTA ETIQUETAS'!$O:$O,'[1]LISTA ETIQUETAS'!E:E,"",0)</f>
        <v>0</v>
      </c>
      <c r="R970" s="2">
        <f>_xlfn.XLOOKUP($A970,'[1]LISTA ETIQUETAS'!$O:$O,'[1]LISTA ETIQUETAS'!F:F,"",0)</f>
        <v>0</v>
      </c>
      <c r="S970" s="2">
        <f>_xlfn.XLOOKUP($A970,'[1]LISTA ETIQUETAS'!$O:$O,'[1]LISTA ETIQUETAS'!H:H,"",0)</f>
        <v>3</v>
      </c>
      <c r="T970" s="9">
        <f t="shared" si="47"/>
        <v>3</v>
      </c>
    </row>
    <row r="971" spans="1:20" x14ac:dyDescent="0.25">
      <c r="A971" s="5">
        <v>324007</v>
      </c>
      <c r="B971" t="str">
        <f>IFERROR((VLOOKUP(A971,'[1]LISTA ETIQUETAS'!O:X,3,0)),"PRODUTO SEM ESTOQUE")</f>
        <v>EST TAPETE TROPICAL (LISO) (1 COR) (10MM) F:5013</v>
      </c>
      <c r="C971" s="10" t="s">
        <v>611</v>
      </c>
      <c r="D971" s="10" t="s">
        <v>612</v>
      </c>
      <c r="E971" s="11">
        <f>IF(VLOOKUP(A971,'[1]LISTA ETIQUETAS'!O:W,4,0)="",(VLOOKUP(A971,'[1]LISTA ETIQUETAS'!O:W,6,0)),(VLOOKUP(A971,'[1]LISTA ETIQUETAS'!O:W,4,0)))</f>
        <v>4</v>
      </c>
      <c r="F971" s="11">
        <f>IF(VLOOKUP(A971,'[1]LISTA ETIQUETAS'!O:W,5,0)="",(VLOOKUP(A971,'[1]LISTA ETIQUETAS'!O:W,7,0)),(VLOOKUP(A971,'[1]LISTA ETIQUETAS'!O:W,5,0)))</f>
        <v>2.5</v>
      </c>
      <c r="G971" s="11">
        <f>IFERROR((VLOOKUP(A971,'[1]LISTA ETIQUETAS'!O:X,8,0)),"")</f>
        <v>0.01</v>
      </c>
      <c r="H971" s="11">
        <f>IFERROR((VLOOKUP(A971,'[1]LISTA ETIQUETAS'!O:X,9,0)),"")</f>
        <v>0</v>
      </c>
      <c r="I971" s="12">
        <f>IFERROR((VLOOKUP(A971,'[1]LISTA ETIQUETAS'!O:Y,11,0)),"")</f>
        <v>16934.400000000001</v>
      </c>
      <c r="J971" s="6">
        <v>0</v>
      </c>
      <c r="K971" s="12">
        <f t="shared" si="45"/>
        <v>16934.400000000001</v>
      </c>
      <c r="L971" s="7" t="str">
        <f>IF(VLOOKUP(A971,'[1]LISTA ETIQUETAS'!O:AB,14,0)="","",(VLOOKUP(A971,'[1]LISTA ETIQUETAS'!O:AB,14,0)))</f>
        <v/>
      </c>
      <c r="M971" s="8"/>
      <c r="N971" s="9">
        <f t="shared" si="46"/>
        <v>324007</v>
      </c>
      <c r="O971" s="2">
        <f>_xlfn.XLOOKUP($A971,'[1]LISTA ETIQUETAS'!$O:$O,'[1]LISTA ETIQUETAS'!C:C,"",0)</f>
        <v>0</v>
      </c>
      <c r="P971" s="2">
        <f>_xlfn.XLOOKUP($A971,'[1]LISTA ETIQUETAS'!$O:$O,'[1]LISTA ETIQUETAS'!D:D,"",0)</f>
        <v>0</v>
      </c>
      <c r="Q971" s="2">
        <f>_xlfn.XLOOKUP($A971,'[1]LISTA ETIQUETAS'!$O:$O,'[1]LISTA ETIQUETAS'!E:E,"",0)</f>
        <v>1</v>
      </c>
      <c r="R971" s="2">
        <f>_xlfn.XLOOKUP($A971,'[1]LISTA ETIQUETAS'!$O:$O,'[1]LISTA ETIQUETAS'!F:F,"",0)</f>
        <v>0</v>
      </c>
      <c r="S971" s="2">
        <f>_xlfn.XLOOKUP($A971,'[1]LISTA ETIQUETAS'!$O:$O,'[1]LISTA ETIQUETAS'!H:H,"",0)</f>
        <v>1</v>
      </c>
      <c r="T971" s="9">
        <f t="shared" si="47"/>
        <v>2</v>
      </c>
    </row>
    <row r="972" spans="1:20" x14ac:dyDescent="0.25">
      <c r="A972" s="5">
        <v>324016</v>
      </c>
      <c r="B972" t="str">
        <f>IFERROR((VLOOKUP(A972,'[1]LISTA ETIQUETAS'!O:X,3,0)),"PRODUTO SEM ESTOQUE")</f>
        <v>EST TAPETE MAR (QUADR) (2 CORES) (10MM) F:4090/1147</v>
      </c>
      <c r="C972" s="10" t="s">
        <v>611</v>
      </c>
      <c r="D972" s="10" t="s">
        <v>613</v>
      </c>
      <c r="E972" s="11">
        <f>IF(VLOOKUP(A972,'[1]LISTA ETIQUETAS'!O:W,4,0)="",(VLOOKUP(A972,'[1]LISTA ETIQUETAS'!O:W,6,0)),(VLOOKUP(A972,'[1]LISTA ETIQUETAS'!O:W,4,0)))</f>
        <v>4.5</v>
      </c>
      <c r="F972" s="11">
        <f>IF(VLOOKUP(A972,'[1]LISTA ETIQUETAS'!O:W,5,0)="",(VLOOKUP(A972,'[1]LISTA ETIQUETAS'!O:W,7,0)),(VLOOKUP(A972,'[1]LISTA ETIQUETAS'!O:W,5,0)))</f>
        <v>4</v>
      </c>
      <c r="G972" s="11">
        <f>IFERROR((VLOOKUP(A972,'[1]LISTA ETIQUETAS'!O:X,8,0)),"")</f>
        <v>0.01</v>
      </c>
      <c r="H972" s="11">
        <f>IFERROR((VLOOKUP(A972,'[1]LISTA ETIQUETAS'!O:X,9,0)),"")</f>
        <v>0</v>
      </c>
      <c r="I972" s="12">
        <f>IFERROR((VLOOKUP(A972,'[1]LISTA ETIQUETAS'!O:Y,11,0)),"")</f>
        <v>52093.440000000002</v>
      </c>
      <c r="J972" s="6">
        <v>0</v>
      </c>
      <c r="K972" s="12">
        <f t="shared" si="45"/>
        <v>52093.440000000002</v>
      </c>
      <c r="L972" s="7" t="str">
        <f>IF(VLOOKUP(A972,'[1]LISTA ETIQUETAS'!O:AB,14,0)="","",(VLOOKUP(A972,'[1]LISTA ETIQUETAS'!O:AB,14,0)))</f>
        <v/>
      </c>
      <c r="M972" s="8"/>
      <c r="N972" s="9">
        <f t="shared" si="46"/>
        <v>324016</v>
      </c>
      <c r="O972" s="2">
        <f>_xlfn.XLOOKUP($A972,'[1]LISTA ETIQUETAS'!$O:$O,'[1]LISTA ETIQUETAS'!C:C,"",0)</f>
        <v>0</v>
      </c>
      <c r="P972" s="2">
        <f>_xlfn.XLOOKUP($A972,'[1]LISTA ETIQUETAS'!$O:$O,'[1]LISTA ETIQUETAS'!D:D,"",0)</f>
        <v>0</v>
      </c>
      <c r="Q972" s="2">
        <f>_xlfn.XLOOKUP($A972,'[1]LISTA ETIQUETAS'!$O:$O,'[1]LISTA ETIQUETAS'!E:E,"",0)</f>
        <v>0</v>
      </c>
      <c r="R972" s="2">
        <f>_xlfn.XLOOKUP($A972,'[1]LISTA ETIQUETAS'!$O:$O,'[1]LISTA ETIQUETAS'!F:F,"",0)</f>
        <v>0</v>
      </c>
      <c r="S972" s="2">
        <f>_xlfn.XLOOKUP($A972,'[1]LISTA ETIQUETAS'!$O:$O,'[1]LISTA ETIQUETAS'!H:H,"",0)</f>
        <v>1</v>
      </c>
      <c r="T972" s="9">
        <f t="shared" si="47"/>
        <v>1</v>
      </c>
    </row>
    <row r="973" spans="1:20" x14ac:dyDescent="0.25">
      <c r="A973" s="5">
        <v>324014</v>
      </c>
      <c r="B973" t="str">
        <f>IFERROR((VLOOKUP(A973,'[1]LISTA ETIQUETAS'!O:X,3,0)),"PRODUTO SEM ESTOQUE")</f>
        <v>EST TAPETE AREIA (LIST IRR) (10MM) F:1471/D:103/1057/1237/95</v>
      </c>
      <c r="C973" s="10" t="s">
        <v>611</v>
      </c>
      <c r="D973" s="10" t="s">
        <v>614</v>
      </c>
      <c r="E973" s="11">
        <f>IF(VLOOKUP(A973,'[1]LISTA ETIQUETAS'!O:W,4,0)="",(VLOOKUP(A973,'[1]LISTA ETIQUETAS'!O:W,6,0)),(VLOOKUP(A973,'[1]LISTA ETIQUETAS'!O:W,4,0)))</f>
        <v>4</v>
      </c>
      <c r="F973" s="11">
        <f>IF(VLOOKUP(A973,'[1]LISTA ETIQUETAS'!O:W,5,0)="",(VLOOKUP(A973,'[1]LISTA ETIQUETAS'!O:W,7,0)),(VLOOKUP(A973,'[1]LISTA ETIQUETAS'!O:W,5,0)))</f>
        <v>4</v>
      </c>
      <c r="G973" s="11">
        <f>IFERROR((VLOOKUP(A973,'[1]LISTA ETIQUETAS'!O:X,8,0)),"")</f>
        <v>0.01</v>
      </c>
      <c r="H973" s="11">
        <f>IFERROR((VLOOKUP(A973,'[1]LISTA ETIQUETAS'!O:X,9,0)),"")</f>
        <v>0</v>
      </c>
      <c r="I973" s="12">
        <f>IFERROR((VLOOKUP(A973,'[1]LISTA ETIQUETAS'!O:Y,11,0)),"")</f>
        <v>40714.239999999998</v>
      </c>
      <c r="J973" s="6">
        <v>0</v>
      </c>
      <c r="K973" s="12">
        <f t="shared" si="45"/>
        <v>40714.239999999998</v>
      </c>
      <c r="L973" s="7" t="str">
        <f>IF(VLOOKUP(A973,'[1]LISTA ETIQUETAS'!O:AB,14,0)="","",(VLOOKUP(A973,'[1]LISTA ETIQUETAS'!O:AB,14,0)))</f>
        <v/>
      </c>
      <c r="M973" s="8"/>
      <c r="N973" s="9">
        <f t="shared" si="46"/>
        <v>324014</v>
      </c>
      <c r="O973" s="2">
        <f>_xlfn.XLOOKUP($A973,'[1]LISTA ETIQUETAS'!$O:$O,'[1]LISTA ETIQUETAS'!C:C,"",0)</f>
        <v>0</v>
      </c>
      <c r="P973" s="2">
        <f>_xlfn.XLOOKUP($A973,'[1]LISTA ETIQUETAS'!$O:$O,'[1]LISTA ETIQUETAS'!D:D,"",0)</f>
        <v>0</v>
      </c>
      <c r="Q973" s="2">
        <f>_xlfn.XLOOKUP($A973,'[1]LISTA ETIQUETAS'!$O:$O,'[1]LISTA ETIQUETAS'!E:E,"",0)</f>
        <v>0</v>
      </c>
      <c r="R973" s="2">
        <f>_xlfn.XLOOKUP($A973,'[1]LISTA ETIQUETAS'!$O:$O,'[1]LISTA ETIQUETAS'!F:F,"",0)</f>
        <v>0</v>
      </c>
      <c r="S973" s="2">
        <f>_xlfn.XLOOKUP($A973,'[1]LISTA ETIQUETAS'!$O:$O,'[1]LISTA ETIQUETAS'!H:H,"",0)</f>
        <v>1</v>
      </c>
      <c r="T973" s="9">
        <f t="shared" si="47"/>
        <v>1</v>
      </c>
    </row>
    <row r="974" spans="1:20" x14ac:dyDescent="0.25">
      <c r="A974" s="5">
        <v>324011</v>
      </c>
      <c r="B974" t="str">
        <f>IFERROR((VLOOKUP(A974,'[1]LISTA ETIQUETAS'!O:X,3,0)),"PRODUTO SEM ESTOQUE")</f>
        <v>EST TAPETE TROPICAL (LISO) (1 COR) (10MM) F:917</v>
      </c>
      <c r="C974" s="10" t="s">
        <v>611</v>
      </c>
      <c r="D974" s="10" t="s">
        <v>613</v>
      </c>
      <c r="E974" s="11">
        <f>IF(VLOOKUP(A974,'[1]LISTA ETIQUETAS'!O:W,4,0)="",(VLOOKUP(A974,'[1]LISTA ETIQUETAS'!O:W,6,0)),(VLOOKUP(A974,'[1]LISTA ETIQUETAS'!O:W,4,0)))</f>
        <v>3</v>
      </c>
      <c r="F974" s="11">
        <f>IF(VLOOKUP(A974,'[1]LISTA ETIQUETAS'!O:W,5,0)="",(VLOOKUP(A974,'[1]LISTA ETIQUETAS'!O:W,7,0)),(VLOOKUP(A974,'[1]LISTA ETIQUETAS'!O:W,5,0)))</f>
        <v>4</v>
      </c>
      <c r="G974" s="11">
        <f>IFERROR((VLOOKUP(A974,'[1]LISTA ETIQUETAS'!O:X,8,0)),"")</f>
        <v>0.01</v>
      </c>
      <c r="H974" s="11">
        <f>IFERROR((VLOOKUP(A974,'[1]LISTA ETIQUETAS'!O:X,9,0)),"")</f>
        <v>0</v>
      </c>
      <c r="I974" s="12">
        <f>IFERROR((VLOOKUP(A974,'[1]LISTA ETIQUETAS'!O:Y,11,0)),"")</f>
        <v>20321.28</v>
      </c>
      <c r="J974" s="6">
        <v>0</v>
      </c>
      <c r="K974" s="12">
        <f t="shared" si="45"/>
        <v>20321.28</v>
      </c>
      <c r="L974" s="7" t="str">
        <f>IF(VLOOKUP(A974,'[1]LISTA ETIQUETAS'!O:AB,14,0)="","",(VLOOKUP(A974,'[1]LISTA ETIQUETAS'!O:AB,14,0)))</f>
        <v/>
      </c>
      <c r="M974" s="8"/>
      <c r="N974" s="9">
        <f t="shared" si="46"/>
        <v>324011</v>
      </c>
      <c r="O974" s="2">
        <f>_xlfn.XLOOKUP($A974,'[1]LISTA ETIQUETAS'!$O:$O,'[1]LISTA ETIQUETAS'!C:C,"",0)</f>
        <v>0</v>
      </c>
      <c r="P974" s="2">
        <f>_xlfn.XLOOKUP($A974,'[1]LISTA ETIQUETAS'!$O:$O,'[1]LISTA ETIQUETAS'!D:D,"",0)</f>
        <v>1</v>
      </c>
      <c r="Q974" s="2">
        <f>_xlfn.XLOOKUP($A974,'[1]LISTA ETIQUETAS'!$O:$O,'[1]LISTA ETIQUETAS'!E:E,"",0)</f>
        <v>0</v>
      </c>
      <c r="R974" s="2">
        <f>_xlfn.XLOOKUP($A974,'[1]LISTA ETIQUETAS'!$O:$O,'[1]LISTA ETIQUETAS'!F:F,"",0)</f>
        <v>0</v>
      </c>
      <c r="S974" s="2">
        <f>_xlfn.XLOOKUP($A974,'[1]LISTA ETIQUETAS'!$O:$O,'[1]LISTA ETIQUETAS'!H:H,"",0)</f>
        <v>1</v>
      </c>
      <c r="T974" s="9">
        <f t="shared" si="47"/>
        <v>2</v>
      </c>
    </row>
    <row r="975" spans="1:20" x14ac:dyDescent="0.25">
      <c r="A975" s="5">
        <v>378391</v>
      </c>
      <c r="B975" t="str">
        <f>IFERROR((VLOOKUP(A975,'[1]LISTA ETIQUETAS'!O:X,3,0)),"PRODUTO SEM ESTOQUE")</f>
        <v>EST TAPETE TROPICAL (LISO) (1 COR) (10MM) F:77</v>
      </c>
      <c r="C975" s="10" t="s">
        <v>611</v>
      </c>
      <c r="D975" s="10" t="s">
        <v>613</v>
      </c>
      <c r="E975" s="11">
        <f>IF(VLOOKUP(A975,'[1]LISTA ETIQUETAS'!O:W,4,0)="",(VLOOKUP(A975,'[1]LISTA ETIQUETAS'!O:W,6,0)),(VLOOKUP(A975,'[1]LISTA ETIQUETAS'!O:W,4,0)))</f>
        <v>4</v>
      </c>
      <c r="F975" s="11">
        <f>IF(VLOOKUP(A975,'[1]LISTA ETIQUETAS'!O:W,5,0)="",(VLOOKUP(A975,'[1]LISTA ETIQUETAS'!O:W,7,0)),(VLOOKUP(A975,'[1]LISTA ETIQUETAS'!O:W,5,0)))</f>
        <v>1</v>
      </c>
      <c r="G975" s="11">
        <f>IFERROR((VLOOKUP(A975,'[1]LISTA ETIQUETAS'!O:X,8,0)),"")</f>
        <v>0.01</v>
      </c>
      <c r="H975" s="11">
        <f>IFERROR((VLOOKUP(A975,'[1]LISTA ETIQUETAS'!O:X,9,0)),"")</f>
        <v>0</v>
      </c>
      <c r="I975" s="12">
        <f>IFERROR((VLOOKUP(A975,'[1]LISTA ETIQUETAS'!O:Y,11,0)),"")</f>
        <v>6773.76</v>
      </c>
      <c r="J975" s="6">
        <v>0</v>
      </c>
      <c r="K975" s="12">
        <f t="shared" si="45"/>
        <v>6773.76</v>
      </c>
      <c r="L975" s="7" t="str">
        <f>IF(VLOOKUP(A975,'[1]LISTA ETIQUETAS'!O:AB,14,0)="","",(VLOOKUP(A975,'[1]LISTA ETIQUETAS'!O:AB,14,0)))</f>
        <v/>
      </c>
      <c r="M975" s="8"/>
      <c r="N975" s="9">
        <f t="shared" si="46"/>
        <v>378391</v>
      </c>
      <c r="O975" s="2">
        <f>_xlfn.XLOOKUP($A975,'[1]LISTA ETIQUETAS'!$O:$O,'[1]LISTA ETIQUETAS'!C:C,"",0)</f>
        <v>0</v>
      </c>
      <c r="P975" s="2">
        <f>_xlfn.XLOOKUP($A975,'[1]LISTA ETIQUETAS'!$O:$O,'[1]LISTA ETIQUETAS'!D:D,"",0)</f>
        <v>0</v>
      </c>
      <c r="Q975" s="2">
        <f>_xlfn.XLOOKUP($A975,'[1]LISTA ETIQUETAS'!$O:$O,'[1]LISTA ETIQUETAS'!E:E,"",0)</f>
        <v>0</v>
      </c>
      <c r="R975" s="2">
        <f>_xlfn.XLOOKUP($A975,'[1]LISTA ETIQUETAS'!$O:$O,'[1]LISTA ETIQUETAS'!F:F,"",0)</f>
        <v>0</v>
      </c>
      <c r="S975" s="2">
        <f>_xlfn.XLOOKUP($A975,'[1]LISTA ETIQUETAS'!$O:$O,'[1]LISTA ETIQUETAS'!H:H,"",0)</f>
        <v>1</v>
      </c>
      <c r="T975" s="9">
        <f t="shared" si="47"/>
        <v>1</v>
      </c>
    </row>
    <row r="976" spans="1:20" x14ac:dyDescent="0.25">
      <c r="A976" s="5">
        <v>378394</v>
      </c>
      <c r="B976" t="str">
        <f>IFERROR((VLOOKUP(A976,'[1]LISTA ETIQUETAS'!O:X,3,0)),"PRODUTO SEM ESTOQUE")</f>
        <v>EST TAPETE TROPICAL (LISO) (1 COR) (10MM) F:5020</v>
      </c>
      <c r="C976" s="10" t="s">
        <v>611</v>
      </c>
      <c r="D976" s="10" t="s">
        <v>613</v>
      </c>
      <c r="E976" s="11">
        <f>IF(VLOOKUP(A976,'[1]LISTA ETIQUETAS'!O:W,4,0)="",(VLOOKUP(A976,'[1]LISTA ETIQUETAS'!O:W,6,0)),(VLOOKUP(A976,'[1]LISTA ETIQUETAS'!O:W,4,0)))</f>
        <v>3</v>
      </c>
      <c r="F976" s="11">
        <f>IF(VLOOKUP(A976,'[1]LISTA ETIQUETAS'!O:W,5,0)="",(VLOOKUP(A976,'[1]LISTA ETIQUETAS'!O:W,7,0)),(VLOOKUP(A976,'[1]LISTA ETIQUETAS'!O:W,5,0)))</f>
        <v>1</v>
      </c>
      <c r="G976" s="11">
        <f>IFERROR((VLOOKUP(A976,'[1]LISTA ETIQUETAS'!O:X,8,0)),"")</f>
        <v>0.01</v>
      </c>
      <c r="H976" s="11">
        <f>IFERROR((VLOOKUP(A976,'[1]LISTA ETIQUETAS'!O:X,9,0)),"")</f>
        <v>0</v>
      </c>
      <c r="I976" s="12">
        <f>IFERROR((VLOOKUP(A976,'[1]LISTA ETIQUETAS'!O:Y,11,0)),"")</f>
        <v>5080.32</v>
      </c>
      <c r="J976" s="6">
        <v>0</v>
      </c>
      <c r="K976" s="12">
        <f t="shared" si="45"/>
        <v>5080.32</v>
      </c>
      <c r="L976" s="7" t="str">
        <f>IF(VLOOKUP(A976,'[1]LISTA ETIQUETAS'!O:AB,14,0)="","",(VLOOKUP(A976,'[1]LISTA ETIQUETAS'!O:AB,14,0)))</f>
        <v/>
      </c>
      <c r="M976" s="8"/>
      <c r="N976" s="9">
        <f t="shared" si="46"/>
        <v>378394</v>
      </c>
      <c r="O976" s="2">
        <f>_xlfn.XLOOKUP($A976,'[1]LISTA ETIQUETAS'!$O:$O,'[1]LISTA ETIQUETAS'!C:C,"",0)</f>
        <v>0</v>
      </c>
      <c r="P976" s="2">
        <f>_xlfn.XLOOKUP($A976,'[1]LISTA ETIQUETAS'!$O:$O,'[1]LISTA ETIQUETAS'!D:D,"",0)</f>
        <v>0</v>
      </c>
      <c r="Q976" s="2">
        <f>_xlfn.XLOOKUP($A976,'[1]LISTA ETIQUETAS'!$O:$O,'[1]LISTA ETIQUETAS'!E:E,"",0)</f>
        <v>0</v>
      </c>
      <c r="R976" s="2">
        <f>_xlfn.XLOOKUP($A976,'[1]LISTA ETIQUETAS'!$O:$O,'[1]LISTA ETIQUETAS'!F:F,"",0)</f>
        <v>1</v>
      </c>
      <c r="S976" s="2">
        <f>_xlfn.XLOOKUP($A976,'[1]LISTA ETIQUETAS'!$O:$O,'[1]LISTA ETIQUETAS'!H:H,"",0)</f>
        <v>1</v>
      </c>
      <c r="T976" s="9">
        <f t="shared" si="47"/>
        <v>2</v>
      </c>
    </row>
    <row r="977" spans="1:20" x14ac:dyDescent="0.25">
      <c r="A977" s="5">
        <v>378392</v>
      </c>
      <c r="B977" t="str">
        <f>IFERROR((VLOOKUP(A977,'[1]LISTA ETIQUETAS'!O:X,3,0)),"PRODUTO SEM ESTOQUE")</f>
        <v>EST TAPETE TROPICAL (LISO) (1 COR) (10MM) F:89</v>
      </c>
      <c r="C977" s="10" t="s">
        <v>611</v>
      </c>
      <c r="D977" s="10" t="s">
        <v>613</v>
      </c>
      <c r="E977" s="11">
        <f>IF(VLOOKUP(A977,'[1]LISTA ETIQUETAS'!O:W,4,0)="",(VLOOKUP(A977,'[1]LISTA ETIQUETAS'!O:W,6,0)),(VLOOKUP(A977,'[1]LISTA ETIQUETAS'!O:W,4,0)))</f>
        <v>4</v>
      </c>
      <c r="F977" s="11">
        <f>IF(VLOOKUP(A977,'[1]LISTA ETIQUETAS'!O:W,5,0)="",(VLOOKUP(A977,'[1]LISTA ETIQUETAS'!O:W,7,0)),(VLOOKUP(A977,'[1]LISTA ETIQUETAS'!O:W,5,0)))</f>
        <v>1</v>
      </c>
      <c r="G977" s="11">
        <f>IFERROR((VLOOKUP(A977,'[1]LISTA ETIQUETAS'!O:X,8,0)),"")</f>
        <v>0.01</v>
      </c>
      <c r="H977" s="11">
        <f>IFERROR((VLOOKUP(A977,'[1]LISTA ETIQUETAS'!O:X,9,0)),"")</f>
        <v>0</v>
      </c>
      <c r="I977" s="12">
        <f>IFERROR((VLOOKUP(A977,'[1]LISTA ETIQUETAS'!O:Y,11,0)),"")</f>
        <v>6773.76</v>
      </c>
      <c r="J977" s="6">
        <v>0</v>
      </c>
      <c r="K977" s="12">
        <f t="shared" si="45"/>
        <v>6773.76</v>
      </c>
      <c r="L977" s="7" t="str">
        <f>IF(VLOOKUP(A977,'[1]LISTA ETIQUETAS'!O:AB,14,0)="","",(VLOOKUP(A977,'[1]LISTA ETIQUETAS'!O:AB,14,0)))</f>
        <v/>
      </c>
      <c r="M977" s="8"/>
      <c r="N977" s="9">
        <f t="shared" si="46"/>
        <v>378392</v>
      </c>
      <c r="O977" s="2">
        <f>_xlfn.XLOOKUP($A977,'[1]LISTA ETIQUETAS'!$O:$O,'[1]LISTA ETIQUETAS'!C:C,"",0)</f>
        <v>0</v>
      </c>
      <c r="P977" s="2">
        <f>_xlfn.XLOOKUP($A977,'[1]LISTA ETIQUETAS'!$O:$O,'[1]LISTA ETIQUETAS'!D:D,"",0)</f>
        <v>0</v>
      </c>
      <c r="Q977" s="2">
        <f>_xlfn.XLOOKUP($A977,'[1]LISTA ETIQUETAS'!$O:$O,'[1]LISTA ETIQUETAS'!E:E,"",0)</f>
        <v>0</v>
      </c>
      <c r="R977" s="2">
        <f>_xlfn.XLOOKUP($A977,'[1]LISTA ETIQUETAS'!$O:$O,'[1]LISTA ETIQUETAS'!F:F,"",0)</f>
        <v>0</v>
      </c>
      <c r="S977" s="2">
        <f>_xlfn.XLOOKUP($A977,'[1]LISTA ETIQUETAS'!$O:$O,'[1]LISTA ETIQUETAS'!H:H,"",0)</f>
        <v>1</v>
      </c>
      <c r="T977" s="9">
        <f t="shared" si="47"/>
        <v>1</v>
      </c>
    </row>
    <row r="978" spans="1:20" x14ac:dyDescent="0.25">
      <c r="A978" s="5">
        <v>354570</v>
      </c>
      <c r="B978" t="str">
        <f>IFERROR((VLOOKUP(A978,'[1]LISTA ETIQUETAS'!O:X,3,0)),"PRODUTO SEM ESTOQUE")</f>
        <v>EST TAPETE MATISSE WAVES ROUND 2 (LAT) (10MM) F:1280/D:73</v>
      </c>
      <c r="C978" s="10" t="s">
        <v>611</v>
      </c>
      <c r="D978" s="10" t="s">
        <v>613</v>
      </c>
      <c r="E978" s="11">
        <f>IF(VLOOKUP(A978,'[1]LISTA ETIQUETAS'!O:W,4,0)="",(VLOOKUP(A978,'[1]LISTA ETIQUETAS'!O:W,6,0)),(VLOOKUP(A978,'[1]LISTA ETIQUETAS'!O:W,4,0)))</f>
        <v>3</v>
      </c>
      <c r="F978" s="11">
        <f>IF(VLOOKUP(A978,'[1]LISTA ETIQUETAS'!O:W,5,0)="",(VLOOKUP(A978,'[1]LISTA ETIQUETAS'!O:W,7,0)),(VLOOKUP(A978,'[1]LISTA ETIQUETAS'!O:W,5,0)))</f>
        <v>0</v>
      </c>
      <c r="G978" s="11">
        <f>IFERROR((VLOOKUP(A978,'[1]LISTA ETIQUETAS'!O:X,8,0)),"")</f>
        <v>0.01</v>
      </c>
      <c r="H978" s="11">
        <f>IFERROR((VLOOKUP(A978,'[1]LISTA ETIQUETAS'!O:X,9,0)),"")</f>
        <v>3</v>
      </c>
      <c r="I978" s="12">
        <f>IFERROR((VLOOKUP(A978,'[1]LISTA ETIQUETAS'!O:Y,11,0)),"")</f>
        <v>26046.720000000001</v>
      </c>
      <c r="J978" s="6">
        <v>0</v>
      </c>
      <c r="K978" s="12">
        <f t="shared" si="45"/>
        <v>26046.720000000001</v>
      </c>
      <c r="L978" s="7" t="str">
        <f>IF(VLOOKUP(A978,'[1]LISTA ETIQUETAS'!O:AB,14,0)="","",(VLOOKUP(A978,'[1]LISTA ETIQUETAS'!O:AB,14,0)))</f>
        <v/>
      </c>
      <c r="M978" s="8"/>
      <c r="N978" s="9">
        <f t="shared" si="46"/>
        <v>354570</v>
      </c>
      <c r="O978" s="2">
        <f>_xlfn.XLOOKUP($A978,'[1]LISTA ETIQUETAS'!$O:$O,'[1]LISTA ETIQUETAS'!C:C,"",0)</f>
        <v>0</v>
      </c>
      <c r="P978" s="2">
        <f>_xlfn.XLOOKUP($A978,'[1]LISTA ETIQUETAS'!$O:$O,'[1]LISTA ETIQUETAS'!D:D,"",0)</f>
        <v>1</v>
      </c>
      <c r="Q978" s="2">
        <f>_xlfn.XLOOKUP($A978,'[1]LISTA ETIQUETAS'!$O:$O,'[1]LISTA ETIQUETAS'!E:E,"",0)</f>
        <v>0</v>
      </c>
      <c r="R978" s="2">
        <f>_xlfn.XLOOKUP($A978,'[1]LISTA ETIQUETAS'!$O:$O,'[1]LISTA ETIQUETAS'!F:F,"",0)</f>
        <v>0</v>
      </c>
      <c r="S978" s="2">
        <f>_xlfn.XLOOKUP($A978,'[1]LISTA ETIQUETAS'!$O:$O,'[1]LISTA ETIQUETAS'!H:H,"",0)</f>
        <v>2</v>
      </c>
      <c r="T978" s="9">
        <f t="shared" si="47"/>
        <v>3</v>
      </c>
    </row>
    <row r="979" spans="1:20" x14ac:dyDescent="0.25">
      <c r="A979" s="5">
        <v>324029</v>
      </c>
      <c r="B979" t="str">
        <f>IFERROR((VLOOKUP(A979,'[1]LISTA ETIQUETAS'!O:X,3,0)),"PRODUTO SEM ESTOQUE")</f>
        <v>EST TAPETE LUA (ORGANIC) (2 CORES) (10MM) F:139/FX:1137</v>
      </c>
      <c r="C979" s="10" t="s">
        <v>611</v>
      </c>
      <c r="D979" s="10" t="s">
        <v>613</v>
      </c>
      <c r="E979" s="11">
        <f>IF(VLOOKUP(A979,'[1]LISTA ETIQUETAS'!O:W,4,0)="",(VLOOKUP(A979,'[1]LISTA ETIQUETAS'!O:W,6,0)),(VLOOKUP(A979,'[1]LISTA ETIQUETAS'!O:W,4,0)))</f>
        <v>2.5</v>
      </c>
      <c r="F979" s="11">
        <f>IF(VLOOKUP(A979,'[1]LISTA ETIQUETAS'!O:W,5,0)="",(VLOOKUP(A979,'[1]LISTA ETIQUETAS'!O:W,7,0)),(VLOOKUP(A979,'[1]LISTA ETIQUETAS'!O:W,5,0)))</f>
        <v>0</v>
      </c>
      <c r="G979" s="11">
        <f>IFERROR((VLOOKUP(A979,'[1]LISTA ETIQUETAS'!O:X,8,0)),"")</f>
        <v>0.01</v>
      </c>
      <c r="H979" s="11">
        <f>IFERROR((VLOOKUP(A979,'[1]LISTA ETIQUETAS'!O:X,9,0)),"")</f>
        <v>2.5</v>
      </c>
      <c r="I979" s="12">
        <f>IFERROR((VLOOKUP(A979,'[1]LISTA ETIQUETAS'!O:Y,11,0)),"")</f>
        <v>22848</v>
      </c>
      <c r="J979" s="6">
        <v>0</v>
      </c>
      <c r="K979" s="12">
        <f t="shared" si="45"/>
        <v>22848</v>
      </c>
      <c r="L979" s="7" t="str">
        <f>IF(VLOOKUP(A979,'[1]LISTA ETIQUETAS'!O:AB,14,0)="","",(VLOOKUP(A979,'[1]LISTA ETIQUETAS'!O:AB,14,0)))</f>
        <v/>
      </c>
      <c r="M979" s="8"/>
      <c r="N979" s="9">
        <f t="shared" si="46"/>
        <v>324029</v>
      </c>
      <c r="O979" s="2">
        <f>_xlfn.XLOOKUP($A979,'[1]LISTA ETIQUETAS'!$O:$O,'[1]LISTA ETIQUETAS'!C:C,"",0)</f>
        <v>0</v>
      </c>
      <c r="P979" s="2">
        <f>_xlfn.XLOOKUP($A979,'[1]LISTA ETIQUETAS'!$O:$O,'[1]LISTA ETIQUETAS'!D:D,"",0)</f>
        <v>0</v>
      </c>
      <c r="Q979" s="2">
        <f>_xlfn.XLOOKUP($A979,'[1]LISTA ETIQUETAS'!$O:$O,'[1]LISTA ETIQUETAS'!E:E,"",0)</f>
        <v>0</v>
      </c>
      <c r="R979" s="2">
        <f>_xlfn.XLOOKUP($A979,'[1]LISTA ETIQUETAS'!$O:$O,'[1]LISTA ETIQUETAS'!F:F,"",0)</f>
        <v>0</v>
      </c>
      <c r="S979" s="2">
        <f>_xlfn.XLOOKUP($A979,'[1]LISTA ETIQUETAS'!$O:$O,'[1]LISTA ETIQUETAS'!H:H,"",0)</f>
        <v>1</v>
      </c>
      <c r="T979" s="9">
        <f t="shared" si="47"/>
        <v>1</v>
      </c>
    </row>
    <row r="980" spans="1:20" x14ac:dyDescent="0.25">
      <c r="A980" s="5">
        <v>324027</v>
      </c>
      <c r="B980" t="str">
        <f>IFERROR((VLOOKUP(A980,'[1]LISTA ETIQUETAS'!O:X,3,0)),"PRODUTO SEM ESTOQUE")</f>
        <v>EST TAPETE DUNAS (DES) (10MM) D:1399/6005/87/89</v>
      </c>
      <c r="C980" s="10" t="s">
        <v>611</v>
      </c>
      <c r="D980" s="10" t="s">
        <v>613</v>
      </c>
      <c r="E980" s="11">
        <f>IF(VLOOKUP(A980,'[1]LISTA ETIQUETAS'!O:W,4,0)="",(VLOOKUP(A980,'[1]LISTA ETIQUETAS'!O:W,6,0)),(VLOOKUP(A980,'[1]LISTA ETIQUETAS'!O:W,4,0)))</f>
        <v>4</v>
      </c>
      <c r="F980" s="11">
        <f>IF(VLOOKUP(A980,'[1]LISTA ETIQUETAS'!O:W,5,0)="",(VLOOKUP(A980,'[1]LISTA ETIQUETAS'!O:W,7,0)),(VLOOKUP(A980,'[1]LISTA ETIQUETAS'!O:W,5,0)))</f>
        <v>4.5</v>
      </c>
      <c r="G980" s="11">
        <f>IFERROR((VLOOKUP(A980,'[1]LISTA ETIQUETAS'!O:X,8,0)),"")</f>
        <v>0.01</v>
      </c>
      <c r="H980" s="11">
        <f>IFERROR((VLOOKUP(A980,'[1]LISTA ETIQUETAS'!O:X,9,0)),"")</f>
        <v>0</v>
      </c>
      <c r="I980" s="12">
        <f>IFERROR((VLOOKUP(A980,'[1]LISTA ETIQUETAS'!O:Y,11,0)),"")</f>
        <v>45803.519999999997</v>
      </c>
      <c r="J980" s="6">
        <v>0</v>
      </c>
      <c r="K980" s="12">
        <f t="shared" si="45"/>
        <v>45803.519999999997</v>
      </c>
      <c r="L980" s="7" t="str">
        <f>IF(VLOOKUP(A980,'[1]LISTA ETIQUETAS'!O:AB,14,0)="","",(VLOOKUP(A980,'[1]LISTA ETIQUETAS'!O:AB,14,0)))</f>
        <v/>
      </c>
      <c r="M980" s="8"/>
      <c r="N980" s="9">
        <f t="shared" si="46"/>
        <v>324027</v>
      </c>
      <c r="O980" s="2">
        <f>_xlfn.XLOOKUP($A980,'[1]LISTA ETIQUETAS'!$O:$O,'[1]LISTA ETIQUETAS'!C:C,"",0)</f>
        <v>1</v>
      </c>
      <c r="P980" s="2">
        <f>_xlfn.XLOOKUP($A980,'[1]LISTA ETIQUETAS'!$O:$O,'[1]LISTA ETIQUETAS'!D:D,"",0)</f>
        <v>0</v>
      </c>
      <c r="Q980" s="2">
        <f>_xlfn.XLOOKUP($A980,'[1]LISTA ETIQUETAS'!$O:$O,'[1]LISTA ETIQUETAS'!E:E,"",0)</f>
        <v>0</v>
      </c>
      <c r="R980" s="2">
        <f>_xlfn.XLOOKUP($A980,'[1]LISTA ETIQUETAS'!$O:$O,'[1]LISTA ETIQUETAS'!F:F,"",0)</f>
        <v>0</v>
      </c>
      <c r="S980" s="2">
        <f>_xlfn.XLOOKUP($A980,'[1]LISTA ETIQUETAS'!$O:$O,'[1]LISTA ETIQUETAS'!H:H,"",0)</f>
        <v>1</v>
      </c>
      <c r="T980" s="9">
        <f t="shared" si="47"/>
        <v>2</v>
      </c>
    </row>
    <row r="981" spans="1:20" x14ac:dyDescent="0.25">
      <c r="A981" s="5">
        <v>324020</v>
      </c>
      <c r="B981" t="str">
        <f>IFERROR((VLOOKUP(A981,'[1]LISTA ETIQUETAS'!O:X,3,0)),"PRODUTO SEM ESTOQUE")</f>
        <v>EST TAPETE ONDA (ESCULPIDO) (1 COR) (14MM) F: 5056</v>
      </c>
      <c r="C981" s="10" t="s">
        <v>611</v>
      </c>
      <c r="D981" s="10" t="s">
        <v>613</v>
      </c>
      <c r="E981" s="11">
        <f>IF(VLOOKUP(A981,'[1]LISTA ETIQUETAS'!O:W,4,0)="",(VLOOKUP(A981,'[1]LISTA ETIQUETAS'!O:W,6,0)),(VLOOKUP(A981,'[1]LISTA ETIQUETAS'!O:W,4,0)))</f>
        <v>3.5</v>
      </c>
      <c r="F981" s="11">
        <f>IF(VLOOKUP(A981,'[1]LISTA ETIQUETAS'!O:W,5,0)="",(VLOOKUP(A981,'[1]LISTA ETIQUETAS'!O:W,7,0)),(VLOOKUP(A981,'[1]LISTA ETIQUETAS'!O:W,5,0)))</f>
        <v>4.5</v>
      </c>
      <c r="G981" s="11">
        <f>IFERROR((VLOOKUP(A981,'[1]LISTA ETIQUETAS'!O:X,8,0)),"")</f>
        <v>0.01</v>
      </c>
      <c r="H981" s="11">
        <f>IFERROR((VLOOKUP(A981,'[1]LISTA ETIQUETAS'!O:X,9,0)),"")</f>
        <v>0</v>
      </c>
      <c r="I981" s="12">
        <f>IFERROR((VLOOKUP(A981,'[1]LISTA ETIQUETAS'!O:Y,11,0)),"")</f>
        <v>49039.199999999997</v>
      </c>
      <c r="J981" s="6">
        <v>0</v>
      </c>
      <c r="K981" s="12">
        <f t="shared" si="45"/>
        <v>49039.199999999997</v>
      </c>
      <c r="L981" s="7" t="str">
        <f>IF(VLOOKUP(A981,'[1]LISTA ETIQUETAS'!O:AB,14,0)="","",(VLOOKUP(A981,'[1]LISTA ETIQUETAS'!O:AB,14,0)))</f>
        <v/>
      </c>
      <c r="M981" s="8"/>
      <c r="N981" s="9">
        <f t="shared" si="46"/>
        <v>324020</v>
      </c>
      <c r="O981" s="2">
        <f>_xlfn.XLOOKUP($A981,'[1]LISTA ETIQUETAS'!$O:$O,'[1]LISTA ETIQUETAS'!C:C,"",0)</f>
        <v>0</v>
      </c>
      <c r="P981" s="2">
        <f>_xlfn.XLOOKUP($A981,'[1]LISTA ETIQUETAS'!$O:$O,'[1]LISTA ETIQUETAS'!D:D,"",0)</f>
        <v>1</v>
      </c>
      <c r="Q981" s="2">
        <f>_xlfn.XLOOKUP($A981,'[1]LISTA ETIQUETAS'!$O:$O,'[1]LISTA ETIQUETAS'!E:E,"",0)</f>
        <v>0</v>
      </c>
      <c r="R981" s="2">
        <f>_xlfn.XLOOKUP($A981,'[1]LISTA ETIQUETAS'!$O:$O,'[1]LISTA ETIQUETAS'!F:F,"",0)</f>
        <v>0</v>
      </c>
      <c r="S981" s="2">
        <f>_xlfn.XLOOKUP($A981,'[1]LISTA ETIQUETAS'!$O:$O,'[1]LISTA ETIQUETAS'!H:H,"",0)</f>
        <v>1</v>
      </c>
      <c r="T981" s="9">
        <f t="shared" si="47"/>
        <v>2</v>
      </c>
    </row>
    <row r="982" spans="1:20" x14ac:dyDescent="0.25">
      <c r="A982" s="5">
        <v>232206</v>
      </c>
      <c r="B982" t="str">
        <f>IFERROR((VLOOKUP(A982,'[1]LISTA ETIQUETAS'!O:X,3,0)),"PRODUTO SEM ESTOQUE")</f>
        <v>EST TAPETE AMON (AM02) 4-FE4-B</v>
      </c>
      <c r="C982" s="10" t="s">
        <v>611</v>
      </c>
      <c r="D982" s="10" t="s">
        <v>351</v>
      </c>
      <c r="E982" s="11">
        <f>IF(VLOOKUP(A982,'[1]LISTA ETIQUETAS'!O:W,4,0)="",(VLOOKUP(A982,'[1]LISTA ETIQUETAS'!O:W,6,0)),(VLOOKUP(A982,'[1]LISTA ETIQUETAS'!O:W,4,0)))</f>
        <v>2</v>
      </c>
      <c r="F982" s="11">
        <f>IF(VLOOKUP(A982,'[1]LISTA ETIQUETAS'!O:W,5,0)="",(VLOOKUP(A982,'[1]LISTA ETIQUETAS'!O:W,7,0)),(VLOOKUP(A982,'[1]LISTA ETIQUETAS'!O:W,5,0)))</f>
        <v>2.85</v>
      </c>
      <c r="G982" s="11">
        <f>IFERROR((VLOOKUP(A982,'[1]LISTA ETIQUETAS'!O:X,8,0)),"")</f>
        <v>0</v>
      </c>
      <c r="H982" s="11">
        <f>IFERROR((VLOOKUP(A982,'[1]LISTA ETIQUETAS'!O:X,9,0)),"")</f>
        <v>0</v>
      </c>
      <c r="I982" s="12">
        <f>IFERROR((VLOOKUP(A982,'[1]LISTA ETIQUETAS'!O:Y,11,0)),"")</f>
        <v>12716.93</v>
      </c>
      <c r="J982" s="6">
        <v>0</v>
      </c>
      <c r="K982" s="12">
        <f t="shared" si="45"/>
        <v>12716.93</v>
      </c>
      <c r="L982" s="7" t="str">
        <f>IF(VLOOKUP(A982,'[1]LISTA ETIQUETAS'!O:AB,14,0)="","",(VLOOKUP(A982,'[1]LISTA ETIQUETAS'!O:AB,14,0)))</f>
        <v/>
      </c>
      <c r="M982" s="8"/>
      <c r="N982" s="9">
        <f t="shared" si="46"/>
        <v>232206</v>
      </c>
      <c r="O982" s="2">
        <f>_xlfn.XLOOKUP($A982,'[1]LISTA ETIQUETAS'!$O:$O,'[1]LISTA ETIQUETAS'!C:C,"",0)</f>
        <v>0</v>
      </c>
      <c r="P982" s="2">
        <f>_xlfn.XLOOKUP($A982,'[1]LISTA ETIQUETAS'!$O:$O,'[1]LISTA ETIQUETAS'!D:D,"",0)</f>
        <v>0</v>
      </c>
      <c r="Q982" s="2">
        <f>_xlfn.XLOOKUP($A982,'[1]LISTA ETIQUETAS'!$O:$O,'[1]LISTA ETIQUETAS'!E:E,"",0)</f>
        <v>0</v>
      </c>
      <c r="R982" s="2">
        <f>_xlfn.XLOOKUP($A982,'[1]LISTA ETIQUETAS'!$O:$O,'[1]LISTA ETIQUETAS'!F:F,"",0)</f>
        <v>0</v>
      </c>
      <c r="S982" s="2">
        <f>_xlfn.XLOOKUP($A982,'[1]LISTA ETIQUETAS'!$O:$O,'[1]LISTA ETIQUETAS'!H:H,"",0)</f>
        <v>1</v>
      </c>
      <c r="T982" s="9">
        <f t="shared" si="47"/>
        <v>1</v>
      </c>
    </row>
    <row r="983" spans="1:20" x14ac:dyDescent="0.25">
      <c r="A983" s="5">
        <v>378173</v>
      </c>
      <c r="B983" t="str">
        <f>IFERROR((VLOOKUP(A983,'[1]LISTA ETIQUETAS'!O:X,3,0)),"PRODUTO SEM ESTOQUE")</f>
        <v>EST TAPETE SISAL C44 (BARRA VIRADA)</v>
      </c>
      <c r="C983" s="10" t="s">
        <v>611</v>
      </c>
      <c r="D983" s="10" t="s">
        <v>351</v>
      </c>
      <c r="E983" s="11">
        <f>IF(VLOOKUP(A983,'[1]LISTA ETIQUETAS'!O:W,4,0)="",(VLOOKUP(A983,'[1]LISTA ETIQUETAS'!O:W,6,0)),(VLOOKUP(A983,'[1]LISTA ETIQUETAS'!O:W,4,0)))</f>
        <v>5</v>
      </c>
      <c r="F983" s="11">
        <f>IF(VLOOKUP(A983,'[1]LISTA ETIQUETAS'!O:W,5,0)="",(VLOOKUP(A983,'[1]LISTA ETIQUETAS'!O:W,7,0)),(VLOOKUP(A983,'[1]LISTA ETIQUETAS'!O:W,5,0)))</f>
        <v>4</v>
      </c>
      <c r="G983" s="11">
        <f>IFERROR((VLOOKUP(A983,'[1]LISTA ETIQUETAS'!O:X,8,0)),"")</f>
        <v>0</v>
      </c>
      <c r="H983" s="11">
        <f>IFERROR((VLOOKUP(A983,'[1]LISTA ETIQUETAS'!O:X,9,0)),"")</f>
        <v>0</v>
      </c>
      <c r="I983" s="12">
        <f>IFERROR((VLOOKUP(A983,'[1]LISTA ETIQUETAS'!O:Y,11,0)),"")</f>
        <v>8892.7999999999993</v>
      </c>
      <c r="J983" s="6">
        <v>0</v>
      </c>
      <c r="K983" s="12">
        <f t="shared" si="45"/>
        <v>8892.7999999999993</v>
      </c>
      <c r="L983" s="7" t="str">
        <f>IF(VLOOKUP(A983,'[1]LISTA ETIQUETAS'!O:AB,14,0)="","",(VLOOKUP(A983,'[1]LISTA ETIQUETAS'!O:AB,14,0)))</f>
        <v/>
      </c>
      <c r="M983" s="8"/>
      <c r="N983" s="9">
        <f t="shared" si="46"/>
        <v>378173</v>
      </c>
      <c r="O983" s="2">
        <f>_xlfn.XLOOKUP($A983,'[1]LISTA ETIQUETAS'!$O:$O,'[1]LISTA ETIQUETAS'!C:C,"",0)</f>
        <v>0</v>
      </c>
      <c r="P983" s="2">
        <f>_xlfn.XLOOKUP($A983,'[1]LISTA ETIQUETAS'!$O:$O,'[1]LISTA ETIQUETAS'!D:D,"",0)</f>
        <v>1</v>
      </c>
      <c r="Q983" s="2">
        <f>_xlfn.XLOOKUP($A983,'[1]LISTA ETIQUETAS'!$O:$O,'[1]LISTA ETIQUETAS'!E:E,"",0)</f>
        <v>0</v>
      </c>
      <c r="R983" s="2">
        <f>_xlfn.XLOOKUP($A983,'[1]LISTA ETIQUETAS'!$O:$O,'[1]LISTA ETIQUETAS'!F:F,"",0)</f>
        <v>0</v>
      </c>
      <c r="S983" s="2">
        <f>_xlfn.XLOOKUP($A983,'[1]LISTA ETIQUETAS'!$O:$O,'[1]LISTA ETIQUETAS'!H:H,"",0)</f>
        <v>1</v>
      </c>
      <c r="T983" s="9">
        <f t="shared" si="47"/>
        <v>2</v>
      </c>
    </row>
    <row r="984" spans="1:20" x14ac:dyDescent="0.25">
      <c r="A984" s="5">
        <v>166407</v>
      </c>
      <c r="B984" t="str">
        <f>IFERROR((VLOOKUP(A984,'[1]LISTA ETIQUETAS'!O:X,3,0)),"PRODUTO SEM ESTOQUE")</f>
        <v>EST TAMPO CRISTAL LAPIDADO (12MM) INCOLOR CTO MOEDA</v>
      </c>
      <c r="C984" s="10" t="s">
        <v>114</v>
      </c>
      <c r="D984" s="10" t="s">
        <v>615</v>
      </c>
      <c r="E984" s="11">
        <f>IF(VLOOKUP(A984,'[1]LISTA ETIQUETAS'!O:W,4,0)="",(VLOOKUP(A984,'[1]LISTA ETIQUETAS'!O:W,6,0)),(VLOOKUP(A984,'[1]LISTA ETIQUETAS'!O:W,4,0)))</f>
        <v>1.7</v>
      </c>
      <c r="F984" s="11">
        <f>IF(VLOOKUP(A984,'[1]LISTA ETIQUETAS'!O:W,5,0)="",(VLOOKUP(A984,'[1]LISTA ETIQUETAS'!O:W,7,0)),(VLOOKUP(A984,'[1]LISTA ETIQUETAS'!O:W,5,0)))</f>
        <v>1.1000000000000001</v>
      </c>
      <c r="G984" s="11">
        <f>IFERROR((VLOOKUP(A984,'[1]LISTA ETIQUETAS'!O:X,8,0)),"")</f>
        <v>0.01</v>
      </c>
      <c r="H984" s="11">
        <f>IFERROR((VLOOKUP(A984,'[1]LISTA ETIQUETAS'!O:X,9,0)),"")</f>
        <v>0</v>
      </c>
      <c r="I984" s="12">
        <f>IFERROR((VLOOKUP(A984,'[1]LISTA ETIQUETAS'!O:Y,11,0)),"")</f>
        <v>7191.7582000000002</v>
      </c>
      <c r="J984" s="6">
        <v>0</v>
      </c>
      <c r="K984" s="12">
        <f t="shared" si="45"/>
        <v>7191.7582000000002</v>
      </c>
      <c r="L984" s="7" t="str">
        <f>IF(VLOOKUP(A984,'[1]LISTA ETIQUETAS'!O:AB,14,0)="","",(VLOOKUP(A984,'[1]LISTA ETIQUETAS'!O:AB,14,0)))</f>
        <v/>
      </c>
      <c r="M984" s="8"/>
      <c r="N984" s="9">
        <f t="shared" si="46"/>
        <v>166407</v>
      </c>
      <c r="O984" s="2">
        <f>_xlfn.XLOOKUP($A984,'[1]LISTA ETIQUETAS'!$O:$O,'[1]LISTA ETIQUETAS'!C:C,"",0)</f>
        <v>0</v>
      </c>
      <c r="P984" s="2">
        <f>_xlfn.XLOOKUP($A984,'[1]LISTA ETIQUETAS'!$O:$O,'[1]LISTA ETIQUETAS'!D:D,"",0)</f>
        <v>0</v>
      </c>
      <c r="Q984" s="2">
        <f>_xlfn.XLOOKUP($A984,'[1]LISTA ETIQUETAS'!$O:$O,'[1]LISTA ETIQUETAS'!E:E,"",0)</f>
        <v>0</v>
      </c>
      <c r="R984" s="2">
        <f>_xlfn.XLOOKUP($A984,'[1]LISTA ETIQUETAS'!$O:$O,'[1]LISTA ETIQUETAS'!F:F,"",0)</f>
        <v>0</v>
      </c>
      <c r="S984" s="2">
        <f>_xlfn.XLOOKUP($A984,'[1]LISTA ETIQUETAS'!$O:$O,'[1]LISTA ETIQUETAS'!H:H,"",0)</f>
        <v>1</v>
      </c>
      <c r="T984" s="9">
        <f t="shared" si="47"/>
        <v>1</v>
      </c>
    </row>
    <row r="985" spans="1:20" x14ac:dyDescent="0.25">
      <c r="A985" s="5">
        <v>128970</v>
      </c>
      <c r="B985" t="str">
        <f>IFERROR((VLOOKUP(A985,'[1]LISTA ETIQUETAS'!O:X,3,0)),"PRODUTO SEM ESTOQUE")</f>
        <v>EST TAMPO CRISTAL LAPIDADO (15MM) INCOLOR (CIRCULAR)</v>
      </c>
      <c r="C985" s="10" t="s">
        <v>114</v>
      </c>
      <c r="D985" s="10" t="s">
        <v>115</v>
      </c>
      <c r="E985" s="11">
        <f>IF(VLOOKUP(A985,'[1]LISTA ETIQUETAS'!O:W,4,0)="",(VLOOKUP(A985,'[1]LISTA ETIQUETAS'!O:W,6,0)),(VLOOKUP(A985,'[1]LISTA ETIQUETAS'!O:W,4,0)))</f>
        <v>1.6</v>
      </c>
      <c r="F985" s="11">
        <f>IF(VLOOKUP(A985,'[1]LISTA ETIQUETAS'!O:W,5,0)="",(VLOOKUP(A985,'[1]LISTA ETIQUETAS'!O:W,7,0)),(VLOOKUP(A985,'[1]LISTA ETIQUETAS'!O:W,5,0)))</f>
        <v>0</v>
      </c>
      <c r="G985" s="11">
        <f>IFERROR((VLOOKUP(A985,'[1]LISTA ETIQUETAS'!O:X,8,0)),"")</f>
        <v>0.01</v>
      </c>
      <c r="H985" s="11">
        <f>IFERROR((VLOOKUP(A985,'[1]LISTA ETIQUETAS'!O:X,9,0)),"")</f>
        <v>1.6</v>
      </c>
      <c r="I985" s="12">
        <f>IFERROR((VLOOKUP(A985,'[1]LISTA ETIQUETAS'!O:Y,11,0)),"")</f>
        <v>0</v>
      </c>
      <c r="J985" s="6">
        <v>0</v>
      </c>
      <c r="K985" s="12">
        <f t="shared" si="45"/>
        <v>0</v>
      </c>
      <c r="L985" s="7" t="str">
        <f>IF(VLOOKUP(A985,'[1]LISTA ETIQUETAS'!O:AB,14,0)="","",(VLOOKUP(A985,'[1]LISTA ETIQUETAS'!O:AB,14,0)))</f>
        <v/>
      </c>
      <c r="M985" s="8"/>
      <c r="N985" s="9">
        <f t="shared" si="46"/>
        <v>128970</v>
      </c>
      <c r="O985" s="2">
        <f>_xlfn.XLOOKUP($A985,'[1]LISTA ETIQUETAS'!$O:$O,'[1]LISTA ETIQUETAS'!C:C,"",0)</f>
        <v>0</v>
      </c>
      <c r="P985" s="2">
        <f>_xlfn.XLOOKUP($A985,'[1]LISTA ETIQUETAS'!$O:$O,'[1]LISTA ETIQUETAS'!D:D,"",0)</f>
        <v>0</v>
      </c>
      <c r="Q985" s="2">
        <f>_xlfn.XLOOKUP($A985,'[1]LISTA ETIQUETAS'!$O:$O,'[1]LISTA ETIQUETAS'!E:E,"",0)</f>
        <v>0</v>
      </c>
      <c r="R985" s="2">
        <f>_xlfn.XLOOKUP($A985,'[1]LISTA ETIQUETAS'!$O:$O,'[1]LISTA ETIQUETAS'!F:F,"",0)</f>
        <v>0</v>
      </c>
      <c r="S985" s="2">
        <f>_xlfn.XLOOKUP($A985,'[1]LISTA ETIQUETAS'!$O:$O,'[1]LISTA ETIQUETAS'!H:H,"",0)</f>
        <v>2</v>
      </c>
      <c r="T985" s="9">
        <f t="shared" si="47"/>
        <v>2</v>
      </c>
    </row>
    <row r="986" spans="1:20" x14ac:dyDescent="0.25">
      <c r="A986" s="5">
        <v>391629</v>
      </c>
      <c r="B986" t="str">
        <f>IFERROR((VLOOKUP(A986,'[1]LISTA ETIQUETAS'!O:X,3,0)),"PRODUTO SEM ESTOQUE")</f>
        <v>EST TAMPO CRISTAL LAPIDADO (15MM) INCOLOR (CIRCULAR)</v>
      </c>
      <c r="C986" s="10" t="s">
        <v>114</v>
      </c>
      <c r="D986" s="10" t="s">
        <v>115</v>
      </c>
      <c r="E986" s="11">
        <f>IF(VLOOKUP(A986,'[1]LISTA ETIQUETAS'!O:W,4,0)="",(VLOOKUP(A986,'[1]LISTA ETIQUETAS'!O:W,6,0)),(VLOOKUP(A986,'[1]LISTA ETIQUETAS'!O:W,4,0)))</f>
        <v>1.3</v>
      </c>
      <c r="F986" s="11">
        <f>IF(VLOOKUP(A986,'[1]LISTA ETIQUETAS'!O:W,5,0)="",(VLOOKUP(A986,'[1]LISTA ETIQUETAS'!O:W,7,0)),(VLOOKUP(A986,'[1]LISTA ETIQUETAS'!O:W,5,0)))</f>
        <v>0</v>
      </c>
      <c r="G986" s="11">
        <f>IFERROR((VLOOKUP(A986,'[1]LISTA ETIQUETAS'!O:X,8,0)),"")</f>
        <v>0.01</v>
      </c>
      <c r="H986" s="11">
        <f>IFERROR((VLOOKUP(A986,'[1]LISTA ETIQUETAS'!O:X,9,0)),"")</f>
        <v>1.3</v>
      </c>
      <c r="I986" s="12">
        <f>IFERROR((VLOOKUP(A986,'[1]LISTA ETIQUETAS'!O:Y,11,0)),"")</f>
        <v>0</v>
      </c>
      <c r="J986" s="6">
        <v>0</v>
      </c>
      <c r="K986" s="12">
        <f t="shared" si="45"/>
        <v>0</v>
      </c>
      <c r="L986" s="7" t="str">
        <f>IF(VLOOKUP(A986,'[1]LISTA ETIQUETAS'!O:AB,14,0)="","",(VLOOKUP(A986,'[1]LISTA ETIQUETAS'!O:AB,14,0)))</f>
        <v/>
      </c>
      <c r="M986" s="8"/>
      <c r="N986" s="9">
        <f t="shared" si="46"/>
        <v>391629</v>
      </c>
      <c r="O986" s="2">
        <f>_xlfn.XLOOKUP($A986,'[1]LISTA ETIQUETAS'!$O:$O,'[1]LISTA ETIQUETAS'!C:C,"",0)</f>
        <v>0</v>
      </c>
      <c r="P986" s="2">
        <f>_xlfn.XLOOKUP($A986,'[1]LISTA ETIQUETAS'!$O:$O,'[1]LISTA ETIQUETAS'!D:D,"",0)</f>
        <v>0</v>
      </c>
      <c r="Q986" s="2">
        <f>_xlfn.XLOOKUP($A986,'[1]LISTA ETIQUETAS'!$O:$O,'[1]LISTA ETIQUETAS'!E:E,"",0)</f>
        <v>0</v>
      </c>
      <c r="R986" s="2">
        <f>_xlfn.XLOOKUP($A986,'[1]LISTA ETIQUETAS'!$O:$O,'[1]LISTA ETIQUETAS'!F:F,"",0)</f>
        <v>0</v>
      </c>
      <c r="S986" s="2">
        <f>_xlfn.XLOOKUP($A986,'[1]LISTA ETIQUETAS'!$O:$O,'[1]LISTA ETIQUETAS'!H:H,"",0)</f>
        <v>2</v>
      </c>
      <c r="T986" s="9">
        <f t="shared" si="47"/>
        <v>2</v>
      </c>
    </row>
    <row r="987" spans="1:20" x14ac:dyDescent="0.25">
      <c r="A987" s="5">
        <v>406830</v>
      </c>
      <c r="B987" t="str">
        <f>IFERROR((VLOOKUP(A987,'[1]LISTA ETIQUETAS'!O:X,3,0)),"PRODUTO SEM ESTOQUE")</f>
        <v>EST TAMPO CRISTAL LAPIDADO (10MM) INCOLOR RETILINEO</v>
      </c>
      <c r="C987" s="10" t="s">
        <v>114</v>
      </c>
      <c r="D987" s="10" t="s">
        <v>616</v>
      </c>
      <c r="E987" s="11">
        <f>IF(VLOOKUP(A987,'[1]LISTA ETIQUETAS'!O:W,4,0)="",(VLOOKUP(A987,'[1]LISTA ETIQUETAS'!O:W,6,0)),(VLOOKUP(A987,'[1]LISTA ETIQUETAS'!O:W,4,0)))</f>
        <v>1.54</v>
      </c>
      <c r="F987" s="11">
        <f>IF(VLOOKUP(A987,'[1]LISTA ETIQUETAS'!O:W,5,0)="",(VLOOKUP(A987,'[1]LISTA ETIQUETAS'!O:W,7,0)),(VLOOKUP(A987,'[1]LISTA ETIQUETAS'!O:W,5,0)))</f>
        <v>0.74</v>
      </c>
      <c r="G987" s="11">
        <f>IFERROR((VLOOKUP(A987,'[1]LISTA ETIQUETAS'!O:X,8,0)),"")</f>
        <v>0.01</v>
      </c>
      <c r="H987" s="11">
        <f>IFERROR((VLOOKUP(A987,'[1]LISTA ETIQUETAS'!O:X,9,0)),"")</f>
        <v>0</v>
      </c>
      <c r="I987" s="12">
        <f>IFERROR((VLOOKUP(A987,'[1]LISTA ETIQUETAS'!O:Y,11,0)),"")</f>
        <v>0</v>
      </c>
      <c r="J987" s="6">
        <v>0</v>
      </c>
      <c r="K987" s="12">
        <f t="shared" si="45"/>
        <v>0</v>
      </c>
      <c r="L987" s="7" t="str">
        <f>IF(VLOOKUP(A987,'[1]LISTA ETIQUETAS'!O:AB,14,0)="","",(VLOOKUP(A987,'[1]LISTA ETIQUETAS'!O:AB,14,0)))</f>
        <v/>
      </c>
      <c r="M987" s="8"/>
      <c r="N987" s="9">
        <f t="shared" si="46"/>
        <v>406830</v>
      </c>
      <c r="O987" s="2">
        <f>_xlfn.XLOOKUP($A987,'[1]LISTA ETIQUETAS'!$O:$O,'[1]LISTA ETIQUETAS'!C:C,"",0)</f>
        <v>0</v>
      </c>
      <c r="P987" s="2">
        <f>_xlfn.XLOOKUP($A987,'[1]LISTA ETIQUETAS'!$O:$O,'[1]LISTA ETIQUETAS'!D:D,"",0)</f>
        <v>0</v>
      </c>
      <c r="Q987" s="2">
        <f>_xlfn.XLOOKUP($A987,'[1]LISTA ETIQUETAS'!$O:$O,'[1]LISTA ETIQUETAS'!E:E,"",0)</f>
        <v>0</v>
      </c>
      <c r="R987" s="2">
        <f>_xlfn.XLOOKUP($A987,'[1]LISTA ETIQUETAS'!$O:$O,'[1]LISTA ETIQUETAS'!F:F,"",0)</f>
        <v>0</v>
      </c>
      <c r="S987" s="2">
        <f>_xlfn.XLOOKUP($A987,'[1]LISTA ETIQUETAS'!$O:$O,'[1]LISTA ETIQUETAS'!H:H,"",0)</f>
        <v>2</v>
      </c>
      <c r="T987" s="9">
        <f t="shared" si="47"/>
        <v>2</v>
      </c>
    </row>
    <row r="988" spans="1:20" x14ac:dyDescent="0.25">
      <c r="A988" s="5">
        <v>281001</v>
      </c>
      <c r="B988" t="str">
        <f>IFERROR((VLOOKUP(A988,'[1]LISTA ETIQUETAS'!O:X,3,0)),"PRODUTO SEM ESTOQUE")</f>
        <v>EST TAMPO CRISTAL LAPIDADO (10MM) INCOLOR RETILINEO</v>
      </c>
      <c r="C988" s="10" t="s">
        <v>114</v>
      </c>
      <c r="D988" s="10" t="s">
        <v>616</v>
      </c>
      <c r="E988" s="11">
        <f>IF(VLOOKUP(A988,'[1]LISTA ETIQUETAS'!O:W,4,0)="",(VLOOKUP(A988,'[1]LISTA ETIQUETAS'!O:W,6,0)),(VLOOKUP(A988,'[1]LISTA ETIQUETAS'!O:W,4,0)))</f>
        <v>1.1599999999999999</v>
      </c>
      <c r="F988" s="11">
        <f>IF(VLOOKUP(A988,'[1]LISTA ETIQUETAS'!O:W,5,0)="",(VLOOKUP(A988,'[1]LISTA ETIQUETAS'!O:W,7,0)),(VLOOKUP(A988,'[1]LISTA ETIQUETAS'!O:W,5,0)))</f>
        <v>1.1599999999999999</v>
      </c>
      <c r="G988" s="11">
        <f>IFERROR((VLOOKUP(A988,'[1]LISTA ETIQUETAS'!O:X,8,0)),"")</f>
        <v>0.01</v>
      </c>
      <c r="H988" s="11">
        <f>IFERROR((VLOOKUP(A988,'[1]LISTA ETIQUETAS'!O:X,9,0)),"")</f>
        <v>0</v>
      </c>
      <c r="I988" s="12" t="str">
        <f>IFERROR((VLOOKUP(A988,'[1]LISTA ETIQUETAS'!O:Y,11,0)),"")</f>
        <v/>
      </c>
      <c r="J988" s="6">
        <v>0</v>
      </c>
      <c r="K988" s="12" t="str">
        <f t="shared" si="45"/>
        <v/>
      </c>
      <c r="L988" s="7" t="str">
        <f>IF(VLOOKUP(A988,'[1]LISTA ETIQUETAS'!O:AB,14,0)="","",(VLOOKUP(A988,'[1]LISTA ETIQUETAS'!O:AB,14,0)))</f>
        <v/>
      </c>
      <c r="M988" s="8"/>
      <c r="N988" s="9">
        <f t="shared" si="46"/>
        <v>281001</v>
      </c>
      <c r="O988" s="2">
        <f>_xlfn.XLOOKUP($A988,'[1]LISTA ETIQUETAS'!$O:$O,'[1]LISTA ETIQUETAS'!C:C,"",0)</f>
        <v>0</v>
      </c>
      <c r="P988" s="2">
        <f>_xlfn.XLOOKUP($A988,'[1]LISTA ETIQUETAS'!$O:$O,'[1]LISTA ETIQUETAS'!D:D,"",0)</f>
        <v>0</v>
      </c>
      <c r="Q988" s="2">
        <f>_xlfn.XLOOKUP($A988,'[1]LISTA ETIQUETAS'!$O:$O,'[1]LISTA ETIQUETAS'!E:E,"",0)</f>
        <v>0</v>
      </c>
      <c r="R988" s="2">
        <f>_xlfn.XLOOKUP($A988,'[1]LISTA ETIQUETAS'!$O:$O,'[1]LISTA ETIQUETAS'!F:F,"",0)</f>
        <v>0</v>
      </c>
      <c r="S988" s="2">
        <f>_xlfn.XLOOKUP($A988,'[1]LISTA ETIQUETAS'!$O:$O,'[1]LISTA ETIQUETAS'!H:H,"",0)</f>
        <v>1</v>
      </c>
      <c r="T988" s="9">
        <f t="shared" si="47"/>
        <v>1</v>
      </c>
    </row>
    <row r="989" spans="1:20" x14ac:dyDescent="0.25">
      <c r="A989" s="5">
        <v>240101</v>
      </c>
      <c r="B989" t="str">
        <f>IFERROR((VLOOKUP(A989,'[1]LISTA ETIQUETAS'!O:X,3,0)),"PRODUTO SEM ESTOQUE")</f>
        <v>EST TAMPO CRISTAL LAPIDADO (12MM) INCOLOR RETILINEO</v>
      </c>
      <c r="C989" s="10" t="s">
        <v>114</v>
      </c>
      <c r="D989" s="10" t="s">
        <v>615</v>
      </c>
      <c r="E989" s="11">
        <f>IF(VLOOKUP(A989,'[1]LISTA ETIQUETAS'!O:W,4,0)="",(VLOOKUP(A989,'[1]LISTA ETIQUETAS'!O:W,6,0)),(VLOOKUP(A989,'[1]LISTA ETIQUETAS'!O:W,4,0)))</f>
        <v>2.8</v>
      </c>
      <c r="F989" s="11">
        <f>IF(VLOOKUP(A989,'[1]LISTA ETIQUETAS'!O:W,5,0)="",(VLOOKUP(A989,'[1]LISTA ETIQUETAS'!O:W,7,0)),(VLOOKUP(A989,'[1]LISTA ETIQUETAS'!O:W,5,0)))</f>
        <v>1.2</v>
      </c>
      <c r="G989" s="11">
        <f>IFERROR((VLOOKUP(A989,'[1]LISTA ETIQUETAS'!O:X,8,0)),"")</f>
        <v>0.01</v>
      </c>
      <c r="H989" s="11">
        <f>IFERROR((VLOOKUP(A989,'[1]LISTA ETIQUETAS'!O:X,9,0)),"")</f>
        <v>0</v>
      </c>
      <c r="I989" s="12">
        <f>IFERROR((VLOOKUP(A989,'[1]LISTA ETIQUETAS'!O:Y,11,0)),"")</f>
        <v>0</v>
      </c>
      <c r="J989" s="6">
        <v>0</v>
      </c>
      <c r="K989" s="12">
        <f t="shared" si="45"/>
        <v>0</v>
      </c>
      <c r="L989" s="7" t="str">
        <f>IF(VLOOKUP(A989,'[1]LISTA ETIQUETAS'!O:AB,14,0)="","",(VLOOKUP(A989,'[1]LISTA ETIQUETAS'!O:AB,14,0)))</f>
        <v/>
      </c>
      <c r="M989" s="8"/>
      <c r="N989" s="9">
        <f t="shared" si="46"/>
        <v>240101</v>
      </c>
      <c r="O989" s="2">
        <f>_xlfn.XLOOKUP($A989,'[1]LISTA ETIQUETAS'!$O:$O,'[1]LISTA ETIQUETAS'!C:C,"",0)</f>
        <v>0</v>
      </c>
      <c r="P989" s="2">
        <f>_xlfn.XLOOKUP($A989,'[1]LISTA ETIQUETAS'!$O:$O,'[1]LISTA ETIQUETAS'!D:D,"",0)</f>
        <v>0</v>
      </c>
      <c r="Q989" s="2">
        <f>_xlfn.XLOOKUP($A989,'[1]LISTA ETIQUETAS'!$O:$O,'[1]LISTA ETIQUETAS'!E:E,"",0)</f>
        <v>0</v>
      </c>
      <c r="R989" s="2">
        <f>_xlfn.XLOOKUP($A989,'[1]LISTA ETIQUETAS'!$O:$O,'[1]LISTA ETIQUETAS'!F:F,"",0)</f>
        <v>0</v>
      </c>
      <c r="S989" s="2">
        <f>_xlfn.XLOOKUP($A989,'[1]LISTA ETIQUETAS'!$O:$O,'[1]LISTA ETIQUETAS'!H:H,"",0)</f>
        <v>1</v>
      </c>
      <c r="T989" s="9">
        <f t="shared" si="47"/>
        <v>1</v>
      </c>
    </row>
    <row r="990" spans="1:20" x14ac:dyDescent="0.25">
      <c r="A990" s="5">
        <v>144480</v>
      </c>
      <c r="B990" t="str">
        <f>IFERROR((VLOOKUP(A990,'[1]LISTA ETIQUETAS'!O:X,3,0)),"PRODUTO SEM ESTOQUE")</f>
        <v>EST TAMPO CRISTAL LAPIDADO (15MM) INCOLOR CANTO TICK</v>
      </c>
      <c r="C990" s="10" t="s">
        <v>114</v>
      </c>
      <c r="D990" s="10" t="s">
        <v>115</v>
      </c>
      <c r="E990" s="11">
        <f>IF(VLOOKUP(A990,'[1]LISTA ETIQUETAS'!O:W,4,0)="",(VLOOKUP(A990,'[1]LISTA ETIQUETAS'!O:W,6,0)),(VLOOKUP(A990,'[1]LISTA ETIQUETAS'!O:W,4,0)))</f>
        <v>1.4</v>
      </c>
      <c r="F990" s="11">
        <f>IF(VLOOKUP(A990,'[1]LISTA ETIQUETAS'!O:W,5,0)="",(VLOOKUP(A990,'[1]LISTA ETIQUETAS'!O:W,7,0)),(VLOOKUP(A990,'[1]LISTA ETIQUETAS'!O:W,5,0)))</f>
        <v>1.4</v>
      </c>
      <c r="G990" s="11">
        <f>IFERROR((VLOOKUP(A990,'[1]LISTA ETIQUETAS'!O:X,8,0)),"")</f>
        <v>0.01</v>
      </c>
      <c r="H990" s="11">
        <f>IFERROR((VLOOKUP(A990,'[1]LISTA ETIQUETAS'!O:X,9,0)),"")</f>
        <v>0</v>
      </c>
      <c r="I990" s="12">
        <f>IFERROR((VLOOKUP(A990,'[1]LISTA ETIQUETAS'!O:Y,11,0)),"")</f>
        <v>11302.5556</v>
      </c>
      <c r="J990" s="6">
        <v>0</v>
      </c>
      <c r="K990" s="12">
        <f t="shared" si="45"/>
        <v>11302.5556</v>
      </c>
      <c r="L990" s="7" t="str">
        <f>IF(VLOOKUP(A990,'[1]LISTA ETIQUETAS'!O:AB,14,0)="","",(VLOOKUP(A990,'[1]LISTA ETIQUETAS'!O:AB,14,0)))</f>
        <v/>
      </c>
      <c r="M990" s="8"/>
      <c r="N990" s="9">
        <f t="shared" si="46"/>
        <v>144480</v>
      </c>
      <c r="O990" s="2">
        <f>_xlfn.XLOOKUP($A990,'[1]LISTA ETIQUETAS'!$O:$O,'[1]LISTA ETIQUETAS'!C:C,"",0)</f>
        <v>0</v>
      </c>
      <c r="P990" s="2">
        <f>_xlfn.XLOOKUP($A990,'[1]LISTA ETIQUETAS'!$O:$O,'[1]LISTA ETIQUETAS'!D:D,"",0)</f>
        <v>0</v>
      </c>
      <c r="Q990" s="2">
        <f>_xlfn.XLOOKUP($A990,'[1]LISTA ETIQUETAS'!$O:$O,'[1]LISTA ETIQUETAS'!E:E,"",0)</f>
        <v>0</v>
      </c>
      <c r="R990" s="2">
        <f>_xlfn.XLOOKUP($A990,'[1]LISTA ETIQUETAS'!$O:$O,'[1]LISTA ETIQUETAS'!F:F,"",0)</f>
        <v>0</v>
      </c>
      <c r="S990" s="2">
        <f>_xlfn.XLOOKUP($A990,'[1]LISTA ETIQUETAS'!$O:$O,'[1]LISTA ETIQUETAS'!H:H,"",0)</f>
        <v>1</v>
      </c>
      <c r="T990" s="9">
        <f t="shared" si="47"/>
        <v>1</v>
      </c>
    </row>
    <row r="991" spans="1:20" x14ac:dyDescent="0.25">
      <c r="A991" s="5">
        <v>146079</v>
      </c>
      <c r="B991" t="str">
        <f>IFERROR((VLOOKUP(A991,'[1]LISTA ETIQUETAS'!O:X,3,0)),"PRODUTO SEM ESTOQUE")</f>
        <v>EST TAMPO CRISTAL LAPIDADO (10MM) PINT BRACO CTO FILETADO</v>
      </c>
      <c r="C991" s="10" t="s">
        <v>114</v>
      </c>
      <c r="D991" s="10" t="s">
        <v>616</v>
      </c>
      <c r="E991" s="11">
        <f>IF(VLOOKUP(A991,'[1]LISTA ETIQUETAS'!O:W,4,0)="",(VLOOKUP(A991,'[1]LISTA ETIQUETAS'!O:W,6,0)),(VLOOKUP(A991,'[1]LISTA ETIQUETAS'!O:W,4,0)))</f>
        <v>1.4</v>
      </c>
      <c r="F991" s="11">
        <f>IF(VLOOKUP(A991,'[1]LISTA ETIQUETAS'!O:W,5,0)="",(VLOOKUP(A991,'[1]LISTA ETIQUETAS'!O:W,7,0)),(VLOOKUP(A991,'[1]LISTA ETIQUETAS'!O:W,5,0)))</f>
        <v>1.4</v>
      </c>
      <c r="G991" s="11">
        <f>IFERROR((VLOOKUP(A991,'[1]LISTA ETIQUETAS'!O:X,8,0)),"")</f>
        <v>0.01</v>
      </c>
      <c r="H991" s="11">
        <f>IFERROR((VLOOKUP(A991,'[1]LISTA ETIQUETAS'!O:X,9,0)),"")</f>
        <v>0</v>
      </c>
      <c r="I991" s="12" t="str">
        <f>IFERROR((VLOOKUP(A991,'[1]LISTA ETIQUETAS'!O:Y,11,0)),"")</f>
        <v/>
      </c>
      <c r="J991" s="6">
        <v>0</v>
      </c>
      <c r="K991" s="12" t="str">
        <f t="shared" si="45"/>
        <v/>
      </c>
      <c r="L991" s="7" t="str">
        <f>IF(VLOOKUP(A991,'[1]LISTA ETIQUETAS'!O:AB,14,0)="","",(VLOOKUP(A991,'[1]LISTA ETIQUETAS'!O:AB,14,0)))</f>
        <v/>
      </c>
      <c r="M991" s="8"/>
      <c r="N991" s="9">
        <f t="shared" si="46"/>
        <v>146079</v>
      </c>
      <c r="O991" s="2">
        <f>_xlfn.XLOOKUP($A991,'[1]LISTA ETIQUETAS'!$O:$O,'[1]LISTA ETIQUETAS'!C:C,"",0)</f>
        <v>0</v>
      </c>
      <c r="P991" s="2">
        <f>_xlfn.XLOOKUP($A991,'[1]LISTA ETIQUETAS'!$O:$O,'[1]LISTA ETIQUETAS'!D:D,"",0)</f>
        <v>0</v>
      </c>
      <c r="Q991" s="2">
        <f>_xlfn.XLOOKUP($A991,'[1]LISTA ETIQUETAS'!$O:$O,'[1]LISTA ETIQUETAS'!E:E,"",0)</f>
        <v>0</v>
      </c>
      <c r="R991" s="2">
        <f>_xlfn.XLOOKUP($A991,'[1]LISTA ETIQUETAS'!$O:$O,'[1]LISTA ETIQUETAS'!F:F,"",0)</f>
        <v>0</v>
      </c>
      <c r="S991" s="2">
        <f>_xlfn.XLOOKUP($A991,'[1]LISTA ETIQUETAS'!$O:$O,'[1]LISTA ETIQUETAS'!H:H,"",0)</f>
        <v>1</v>
      </c>
      <c r="T991" s="9">
        <f t="shared" si="47"/>
        <v>1</v>
      </c>
    </row>
    <row r="992" spans="1:20" x14ac:dyDescent="0.25">
      <c r="A992" s="5">
        <v>151679</v>
      </c>
      <c r="B992" t="str">
        <f>IFERROR((VLOOKUP(A992,'[1]LISTA ETIQUETAS'!O:X,3,0)),"PRODUTO SEM ESTOQUE")</f>
        <v>EST TAMPO CRISTAL LAPIDADO 20° (15MM) INCOLOR CTO RETO</v>
      </c>
      <c r="C992" s="10" t="s">
        <v>114</v>
      </c>
      <c r="D992" s="10" t="s">
        <v>115</v>
      </c>
      <c r="E992" s="11">
        <f>IF(VLOOKUP(A992,'[1]LISTA ETIQUETAS'!O:W,4,0)="",(VLOOKUP(A992,'[1]LISTA ETIQUETAS'!O:W,6,0)),(VLOOKUP(A992,'[1]LISTA ETIQUETAS'!O:W,4,0)))</f>
        <v>1.5</v>
      </c>
      <c r="F992" s="11">
        <f>IF(VLOOKUP(A992,'[1]LISTA ETIQUETAS'!O:W,5,0)="",(VLOOKUP(A992,'[1]LISTA ETIQUETAS'!O:W,7,0)),(VLOOKUP(A992,'[1]LISTA ETIQUETAS'!O:W,5,0)))</f>
        <v>1.5</v>
      </c>
      <c r="G992" s="11">
        <f>IFERROR((VLOOKUP(A992,'[1]LISTA ETIQUETAS'!O:X,8,0)),"")</f>
        <v>0.01</v>
      </c>
      <c r="H992" s="11">
        <f>IFERROR((VLOOKUP(A992,'[1]LISTA ETIQUETAS'!O:X,9,0)),"")</f>
        <v>0</v>
      </c>
      <c r="I992" s="12">
        <f>IFERROR((VLOOKUP(A992,'[1]LISTA ETIQUETAS'!O:Y,11,0)),"")</f>
        <v>12974.872499999999</v>
      </c>
      <c r="J992" s="6">
        <v>0</v>
      </c>
      <c r="K992" s="12">
        <f t="shared" si="45"/>
        <v>12974.872499999999</v>
      </c>
      <c r="L992" s="7" t="str">
        <f>IF(VLOOKUP(A992,'[1]LISTA ETIQUETAS'!O:AB,14,0)="","",(VLOOKUP(A992,'[1]LISTA ETIQUETAS'!O:AB,14,0)))</f>
        <v/>
      </c>
      <c r="M992" s="8"/>
      <c r="N992" s="9">
        <f t="shared" si="46"/>
        <v>151679</v>
      </c>
      <c r="O992" s="2">
        <f>_xlfn.XLOOKUP($A992,'[1]LISTA ETIQUETAS'!$O:$O,'[1]LISTA ETIQUETAS'!C:C,"",0)</f>
        <v>0</v>
      </c>
      <c r="P992" s="2">
        <f>_xlfn.XLOOKUP($A992,'[1]LISTA ETIQUETAS'!$O:$O,'[1]LISTA ETIQUETAS'!D:D,"",0)</f>
        <v>0</v>
      </c>
      <c r="Q992" s="2">
        <f>_xlfn.XLOOKUP($A992,'[1]LISTA ETIQUETAS'!$O:$O,'[1]LISTA ETIQUETAS'!E:E,"",0)</f>
        <v>0</v>
      </c>
      <c r="R992" s="2">
        <f>_xlfn.XLOOKUP($A992,'[1]LISTA ETIQUETAS'!$O:$O,'[1]LISTA ETIQUETAS'!F:F,"",0)</f>
        <v>0</v>
      </c>
      <c r="S992" s="2">
        <f>_xlfn.XLOOKUP($A992,'[1]LISTA ETIQUETAS'!$O:$O,'[1]LISTA ETIQUETAS'!H:H,"",0)</f>
        <v>1</v>
      </c>
      <c r="T992" s="9">
        <f t="shared" si="47"/>
        <v>1</v>
      </c>
    </row>
    <row r="993" spans="1:20" x14ac:dyDescent="0.25">
      <c r="A993" s="5">
        <v>151676</v>
      </c>
      <c r="B993" t="str">
        <f>IFERROR((VLOOKUP(A993,'[1]LISTA ETIQUETAS'!O:X,3,0)),"PRODUTO SEM ESTOQUE")</f>
        <v>EST TAMPO CRISTAL LAPIDADO (15MM) INCOLOR (CIRCULAR)</v>
      </c>
      <c r="C993" s="10" t="s">
        <v>114</v>
      </c>
      <c r="D993" s="10" t="s">
        <v>115</v>
      </c>
      <c r="E993" s="11">
        <f>IF(VLOOKUP(A993,'[1]LISTA ETIQUETAS'!O:W,4,0)="",(VLOOKUP(A993,'[1]LISTA ETIQUETAS'!O:W,6,0)),(VLOOKUP(A993,'[1]LISTA ETIQUETAS'!O:W,4,0)))</f>
        <v>1</v>
      </c>
      <c r="F993" s="11">
        <f>IF(VLOOKUP(A993,'[1]LISTA ETIQUETAS'!O:W,5,0)="",(VLOOKUP(A993,'[1]LISTA ETIQUETAS'!O:W,7,0)),(VLOOKUP(A993,'[1]LISTA ETIQUETAS'!O:W,5,0)))</f>
        <v>0</v>
      </c>
      <c r="G993" s="11">
        <f>IFERROR((VLOOKUP(A993,'[1]LISTA ETIQUETAS'!O:X,8,0)),"")</f>
        <v>0.01</v>
      </c>
      <c r="H993" s="11">
        <f>IFERROR((VLOOKUP(A993,'[1]LISTA ETIQUETAS'!O:X,9,0)),"")</f>
        <v>1</v>
      </c>
      <c r="I993" s="12">
        <f>IFERROR((VLOOKUP(A993,'[1]LISTA ETIQUETAS'!O:Y,11,0)),"")</f>
        <v>6579.24</v>
      </c>
      <c r="J993" s="6">
        <v>0</v>
      </c>
      <c r="K993" s="12">
        <f t="shared" si="45"/>
        <v>6579.24</v>
      </c>
      <c r="L993" s="7" t="str">
        <f>IF(VLOOKUP(A993,'[1]LISTA ETIQUETAS'!O:AB,14,0)="","",(VLOOKUP(A993,'[1]LISTA ETIQUETAS'!O:AB,14,0)))</f>
        <v/>
      </c>
      <c r="M993" s="8"/>
      <c r="N993" s="9">
        <f t="shared" si="46"/>
        <v>151676</v>
      </c>
      <c r="O993" s="2">
        <f>_xlfn.XLOOKUP($A993,'[1]LISTA ETIQUETAS'!$O:$O,'[1]LISTA ETIQUETAS'!C:C,"",0)</f>
        <v>0</v>
      </c>
      <c r="P993" s="2">
        <f>_xlfn.XLOOKUP($A993,'[1]LISTA ETIQUETAS'!$O:$O,'[1]LISTA ETIQUETAS'!D:D,"",0)</f>
        <v>0</v>
      </c>
      <c r="Q993" s="2">
        <f>_xlfn.XLOOKUP($A993,'[1]LISTA ETIQUETAS'!$O:$O,'[1]LISTA ETIQUETAS'!E:E,"",0)</f>
        <v>0</v>
      </c>
      <c r="R993" s="2">
        <f>_xlfn.XLOOKUP($A993,'[1]LISTA ETIQUETAS'!$O:$O,'[1]LISTA ETIQUETAS'!F:F,"",0)</f>
        <v>0</v>
      </c>
      <c r="S993" s="2">
        <f>_xlfn.XLOOKUP($A993,'[1]LISTA ETIQUETAS'!$O:$O,'[1]LISTA ETIQUETAS'!H:H,"",0)</f>
        <v>1</v>
      </c>
      <c r="T993" s="9">
        <f t="shared" si="47"/>
        <v>1</v>
      </c>
    </row>
    <row r="994" spans="1:20" x14ac:dyDescent="0.25">
      <c r="A994" s="5">
        <v>141358</v>
      </c>
      <c r="B994" t="str">
        <f>IFERROR((VLOOKUP(A994,'[1]LISTA ETIQUETAS'!O:X,3,0)),"PRODUTO SEM ESTOQUE")</f>
        <v>EST TAMPO CRISTAL LAPIDADO (15MM) INCOLOR (CIRCULAR)</v>
      </c>
      <c r="C994" s="10" t="s">
        <v>114</v>
      </c>
      <c r="D994" s="10" t="s">
        <v>115</v>
      </c>
      <c r="E994" s="11">
        <f>IF(VLOOKUP(A994,'[1]LISTA ETIQUETAS'!O:W,4,0)="",(VLOOKUP(A994,'[1]LISTA ETIQUETAS'!O:W,6,0)),(VLOOKUP(A994,'[1]LISTA ETIQUETAS'!O:W,4,0)))</f>
        <v>1.8</v>
      </c>
      <c r="F994" s="11">
        <f>IF(VLOOKUP(A994,'[1]LISTA ETIQUETAS'!O:W,5,0)="",(VLOOKUP(A994,'[1]LISTA ETIQUETAS'!O:W,7,0)),(VLOOKUP(A994,'[1]LISTA ETIQUETAS'!O:W,5,0)))</f>
        <v>0</v>
      </c>
      <c r="G994" s="11">
        <f>IFERROR((VLOOKUP(A994,'[1]LISTA ETIQUETAS'!O:X,8,0)),"")</f>
        <v>0.01</v>
      </c>
      <c r="H994" s="11">
        <f>IFERROR((VLOOKUP(A994,'[1]LISTA ETIQUETAS'!O:X,9,0)),"")</f>
        <v>1.8</v>
      </c>
      <c r="I994" s="12">
        <f>IFERROR((VLOOKUP(A994,'[1]LISTA ETIQUETAS'!O:Y,11,0)),"")</f>
        <v>21316.7376</v>
      </c>
      <c r="J994" s="6">
        <v>0</v>
      </c>
      <c r="K994" s="12">
        <f t="shared" si="45"/>
        <v>21316.7376</v>
      </c>
      <c r="L994" s="7" t="str">
        <f>IF(VLOOKUP(A994,'[1]LISTA ETIQUETAS'!O:AB,14,0)="","",(VLOOKUP(A994,'[1]LISTA ETIQUETAS'!O:AB,14,0)))</f>
        <v/>
      </c>
      <c r="M994" s="8"/>
      <c r="N994" s="9">
        <f t="shared" si="46"/>
        <v>141358</v>
      </c>
      <c r="O994" s="2">
        <f>_xlfn.XLOOKUP($A994,'[1]LISTA ETIQUETAS'!$O:$O,'[1]LISTA ETIQUETAS'!C:C,"",0)</f>
        <v>0</v>
      </c>
      <c r="P994" s="2">
        <f>_xlfn.XLOOKUP($A994,'[1]LISTA ETIQUETAS'!$O:$O,'[1]LISTA ETIQUETAS'!D:D,"",0)</f>
        <v>0</v>
      </c>
      <c r="Q994" s="2">
        <f>_xlfn.XLOOKUP($A994,'[1]LISTA ETIQUETAS'!$O:$O,'[1]LISTA ETIQUETAS'!E:E,"",0)</f>
        <v>0</v>
      </c>
      <c r="R994" s="2">
        <f>_xlfn.XLOOKUP($A994,'[1]LISTA ETIQUETAS'!$O:$O,'[1]LISTA ETIQUETAS'!F:F,"",0)</f>
        <v>0</v>
      </c>
      <c r="S994" s="2">
        <f>_xlfn.XLOOKUP($A994,'[1]LISTA ETIQUETAS'!$O:$O,'[1]LISTA ETIQUETAS'!H:H,"",0)</f>
        <v>1</v>
      </c>
      <c r="T994" s="9">
        <f t="shared" si="47"/>
        <v>1</v>
      </c>
    </row>
    <row r="995" spans="1:20" x14ac:dyDescent="0.25">
      <c r="A995" s="5">
        <v>150094</v>
      </c>
      <c r="B995" t="str">
        <f>IFERROR((VLOOKUP(A995,'[1]LISTA ETIQUETAS'!O:X,3,0)),"PRODUTO SEM ESTOQUE")</f>
        <v>EST TAMPO CRISTAL LAPIDADO (15MM) INCOLOR CANTO TICK</v>
      </c>
      <c r="C995" s="10" t="s">
        <v>114</v>
      </c>
      <c r="D995" s="10" t="s">
        <v>115</v>
      </c>
      <c r="E995" s="11">
        <f>IF(VLOOKUP(A995,'[1]LISTA ETIQUETAS'!O:W,4,0)="",(VLOOKUP(A995,'[1]LISTA ETIQUETAS'!O:W,6,0)),(VLOOKUP(A995,'[1]LISTA ETIQUETAS'!O:W,4,0)))</f>
        <v>1.2</v>
      </c>
      <c r="F995" s="11">
        <f>IF(VLOOKUP(A995,'[1]LISTA ETIQUETAS'!O:W,5,0)="",(VLOOKUP(A995,'[1]LISTA ETIQUETAS'!O:W,7,0)),(VLOOKUP(A995,'[1]LISTA ETIQUETAS'!O:W,5,0)))</f>
        <v>1.2</v>
      </c>
      <c r="G995" s="11">
        <f>IFERROR((VLOOKUP(A995,'[1]LISTA ETIQUETAS'!O:X,8,0)),"")</f>
        <v>0.01</v>
      </c>
      <c r="H995" s="11">
        <f>IFERROR((VLOOKUP(A995,'[1]LISTA ETIQUETAS'!O:X,9,0)),"")</f>
        <v>0</v>
      </c>
      <c r="I995" s="12">
        <f>IFERROR((VLOOKUP(A995,'[1]LISTA ETIQUETAS'!O:Y,11,0)),"")</f>
        <v>8303.9183999999987</v>
      </c>
      <c r="J995" s="6">
        <v>0</v>
      </c>
      <c r="K995" s="12">
        <f t="shared" si="45"/>
        <v>8303.9183999999987</v>
      </c>
      <c r="L995" s="7" t="str">
        <f>IF(VLOOKUP(A995,'[1]LISTA ETIQUETAS'!O:AB,14,0)="","",(VLOOKUP(A995,'[1]LISTA ETIQUETAS'!O:AB,14,0)))</f>
        <v/>
      </c>
      <c r="M995" s="8"/>
      <c r="N995" s="9">
        <f t="shared" si="46"/>
        <v>150094</v>
      </c>
      <c r="O995" s="2">
        <f>_xlfn.XLOOKUP($A995,'[1]LISTA ETIQUETAS'!$O:$O,'[1]LISTA ETIQUETAS'!C:C,"",0)</f>
        <v>0</v>
      </c>
      <c r="P995" s="2">
        <f>_xlfn.XLOOKUP($A995,'[1]LISTA ETIQUETAS'!$O:$O,'[1]LISTA ETIQUETAS'!D:D,"",0)</f>
        <v>0</v>
      </c>
      <c r="Q995" s="2">
        <f>_xlfn.XLOOKUP($A995,'[1]LISTA ETIQUETAS'!$O:$O,'[1]LISTA ETIQUETAS'!E:E,"",0)</f>
        <v>0</v>
      </c>
      <c r="R995" s="2">
        <f>_xlfn.XLOOKUP($A995,'[1]LISTA ETIQUETAS'!$O:$O,'[1]LISTA ETIQUETAS'!F:F,"",0)</f>
        <v>0</v>
      </c>
      <c r="S995" s="2">
        <f>_xlfn.XLOOKUP($A995,'[1]LISTA ETIQUETAS'!$O:$O,'[1]LISTA ETIQUETAS'!H:H,"",0)</f>
        <v>1</v>
      </c>
      <c r="T995" s="9">
        <f t="shared" si="47"/>
        <v>1</v>
      </c>
    </row>
    <row r="996" spans="1:20" x14ac:dyDescent="0.25">
      <c r="A996" s="5">
        <v>388618</v>
      </c>
      <c r="B996" t="str">
        <f>IFERROR((VLOOKUP(A996,'[1]LISTA ETIQUETAS'!O:X,3,0)),"PRODUTO SEM ESTOQUE")</f>
        <v>EST TAMPO CRISTAL LAPIDADO (15MM) INCOLOR CANTO MOEDA</v>
      </c>
      <c r="C996" s="10" t="s">
        <v>114</v>
      </c>
      <c r="D996" s="10" t="s">
        <v>115</v>
      </c>
      <c r="E996" s="11">
        <f>IF(VLOOKUP(A996,'[1]LISTA ETIQUETAS'!O:W,4,0)="",(VLOOKUP(A996,'[1]LISTA ETIQUETAS'!O:W,6,0)),(VLOOKUP(A996,'[1]LISTA ETIQUETAS'!O:W,4,0)))</f>
        <v>2</v>
      </c>
      <c r="F996" s="11">
        <f>IF(VLOOKUP(A996,'[1]LISTA ETIQUETAS'!O:W,5,0)="",(VLOOKUP(A996,'[1]LISTA ETIQUETAS'!O:W,7,0)),(VLOOKUP(A996,'[1]LISTA ETIQUETAS'!O:W,5,0)))</f>
        <v>0.7</v>
      </c>
      <c r="G996" s="11">
        <f>IFERROR((VLOOKUP(A996,'[1]LISTA ETIQUETAS'!O:X,8,0)),"")</f>
        <v>0.01</v>
      </c>
      <c r="H996" s="11">
        <f>IFERROR((VLOOKUP(A996,'[1]LISTA ETIQUETAS'!O:X,9,0)),"")</f>
        <v>0</v>
      </c>
      <c r="I996" s="12">
        <f>IFERROR((VLOOKUP(A996,'[1]LISTA ETIQUETAS'!O:Y,11,0)),"")</f>
        <v>8073.253999999999</v>
      </c>
      <c r="J996" s="6">
        <v>0</v>
      </c>
      <c r="K996" s="12">
        <f t="shared" si="45"/>
        <v>8073.253999999999</v>
      </c>
      <c r="L996" s="7" t="str">
        <f>IF(VLOOKUP(A996,'[1]LISTA ETIQUETAS'!O:AB,14,0)="","",(VLOOKUP(A996,'[1]LISTA ETIQUETAS'!O:AB,14,0)))</f>
        <v/>
      </c>
      <c r="M996" s="8"/>
      <c r="N996" s="9">
        <f t="shared" si="46"/>
        <v>388618</v>
      </c>
      <c r="O996" s="2">
        <f>_xlfn.XLOOKUP($A996,'[1]LISTA ETIQUETAS'!$O:$O,'[1]LISTA ETIQUETAS'!C:C,"",0)</f>
        <v>0</v>
      </c>
      <c r="P996" s="2">
        <f>_xlfn.XLOOKUP($A996,'[1]LISTA ETIQUETAS'!$O:$O,'[1]LISTA ETIQUETAS'!D:D,"",0)</f>
        <v>0</v>
      </c>
      <c r="Q996" s="2">
        <f>_xlfn.XLOOKUP($A996,'[1]LISTA ETIQUETAS'!$O:$O,'[1]LISTA ETIQUETAS'!E:E,"",0)</f>
        <v>0</v>
      </c>
      <c r="R996" s="2">
        <f>_xlfn.XLOOKUP($A996,'[1]LISTA ETIQUETAS'!$O:$O,'[1]LISTA ETIQUETAS'!F:F,"",0)</f>
        <v>0</v>
      </c>
      <c r="S996" s="2">
        <f>_xlfn.XLOOKUP($A996,'[1]LISTA ETIQUETAS'!$O:$O,'[1]LISTA ETIQUETAS'!H:H,"",0)</f>
        <v>1</v>
      </c>
      <c r="T996" s="9">
        <f t="shared" si="47"/>
        <v>1</v>
      </c>
    </row>
    <row r="997" spans="1:20" x14ac:dyDescent="0.25">
      <c r="A997" s="5">
        <v>388698</v>
      </c>
      <c r="B997" t="str">
        <f>IFERROR((VLOOKUP(A997,'[1]LISTA ETIQUETAS'!O:X,3,0)),"PRODUTO SEM ESTOQUE")</f>
        <v>EST TAMPO CRISTAL LAPIDADO (10MM) INCOLOR CANTO RETO</v>
      </c>
      <c r="C997" s="10" t="s">
        <v>114</v>
      </c>
      <c r="D997" s="10" t="s">
        <v>616</v>
      </c>
      <c r="E997" s="11">
        <f>IF(VLOOKUP(A997,'[1]LISTA ETIQUETAS'!O:W,4,0)="",(VLOOKUP(A997,'[1]LISTA ETIQUETAS'!O:W,6,0)),(VLOOKUP(A997,'[1]LISTA ETIQUETAS'!O:W,4,0)))</f>
        <v>1.7</v>
      </c>
      <c r="F997" s="11">
        <f>IF(VLOOKUP(A997,'[1]LISTA ETIQUETAS'!O:W,5,0)="",(VLOOKUP(A997,'[1]LISTA ETIQUETAS'!O:W,7,0)),(VLOOKUP(A997,'[1]LISTA ETIQUETAS'!O:W,5,0)))</f>
        <v>0.56000000000000005</v>
      </c>
      <c r="G997" s="11">
        <f>IFERROR((VLOOKUP(A997,'[1]LISTA ETIQUETAS'!O:X,8,0)),"")</f>
        <v>0.01</v>
      </c>
      <c r="H997" s="11">
        <f>IFERROR((VLOOKUP(A997,'[1]LISTA ETIQUETAS'!O:X,9,0)),"")</f>
        <v>0</v>
      </c>
      <c r="I997" s="12">
        <f>IFERROR((VLOOKUP(A997,'[1]LISTA ETIQUETAS'!O:Y,11,0)),"")</f>
        <v>2964.1329999999998</v>
      </c>
      <c r="J997" s="6">
        <v>0</v>
      </c>
      <c r="K997" s="12">
        <f t="shared" si="45"/>
        <v>2964.1329999999998</v>
      </c>
      <c r="L997" s="7" t="str">
        <f>IF(VLOOKUP(A997,'[1]LISTA ETIQUETAS'!O:AB,14,0)="","",(VLOOKUP(A997,'[1]LISTA ETIQUETAS'!O:AB,14,0)))</f>
        <v/>
      </c>
      <c r="M997" s="8"/>
      <c r="N997" s="9">
        <f t="shared" si="46"/>
        <v>388698</v>
      </c>
      <c r="O997" s="2">
        <f>_xlfn.XLOOKUP($A997,'[1]LISTA ETIQUETAS'!$O:$O,'[1]LISTA ETIQUETAS'!C:C,"",0)</f>
        <v>0</v>
      </c>
      <c r="P997" s="2">
        <f>_xlfn.XLOOKUP($A997,'[1]LISTA ETIQUETAS'!$O:$O,'[1]LISTA ETIQUETAS'!D:D,"",0)</f>
        <v>0</v>
      </c>
      <c r="Q997" s="2">
        <f>_xlfn.XLOOKUP($A997,'[1]LISTA ETIQUETAS'!$O:$O,'[1]LISTA ETIQUETAS'!E:E,"",0)</f>
        <v>0</v>
      </c>
      <c r="R997" s="2">
        <f>_xlfn.XLOOKUP($A997,'[1]LISTA ETIQUETAS'!$O:$O,'[1]LISTA ETIQUETAS'!F:F,"",0)</f>
        <v>0</v>
      </c>
      <c r="S997" s="2">
        <f>_xlfn.XLOOKUP($A997,'[1]LISTA ETIQUETAS'!$O:$O,'[1]LISTA ETIQUETAS'!H:H,"",0)</f>
        <v>1</v>
      </c>
      <c r="T997" s="9">
        <f t="shared" si="47"/>
        <v>1</v>
      </c>
    </row>
    <row r="998" spans="1:20" x14ac:dyDescent="0.25">
      <c r="A998" s="5">
        <v>380312</v>
      </c>
      <c r="B998" t="str">
        <f>IFERROR((VLOOKUP(A998,'[1]LISTA ETIQUETAS'!O:X,3,0)),"PRODUTO SEM ESTOQUE")</f>
        <v>EST TAMPO CRISTAL LAPIDADO (15MM) INCOLOR CANTO TICK</v>
      </c>
      <c r="C998" s="10" t="s">
        <v>114</v>
      </c>
      <c r="D998" s="10" t="s">
        <v>115</v>
      </c>
      <c r="E998" s="11">
        <f>IF(VLOOKUP(A998,'[1]LISTA ETIQUETAS'!O:W,4,0)="",(VLOOKUP(A998,'[1]LISTA ETIQUETAS'!O:W,6,0)),(VLOOKUP(A998,'[1]LISTA ETIQUETAS'!O:W,4,0)))</f>
        <v>2</v>
      </c>
      <c r="F998" s="11">
        <f>IF(VLOOKUP(A998,'[1]LISTA ETIQUETAS'!O:W,5,0)="",(VLOOKUP(A998,'[1]LISTA ETIQUETAS'!O:W,7,0)),(VLOOKUP(A998,'[1]LISTA ETIQUETAS'!O:W,5,0)))</f>
        <v>0.9</v>
      </c>
      <c r="G998" s="11">
        <f>IFERROR((VLOOKUP(A998,'[1]LISTA ETIQUETAS'!O:X,8,0)),"")</f>
        <v>0.01</v>
      </c>
      <c r="H998" s="11">
        <f>IFERROR((VLOOKUP(A998,'[1]LISTA ETIQUETAS'!O:X,9,0)),"")</f>
        <v>0</v>
      </c>
      <c r="I998" s="12" t="str">
        <f>IFERROR((VLOOKUP(A998,'[1]LISTA ETIQUETAS'!O:Y,11,0)),"")</f>
        <v/>
      </c>
      <c r="J998" s="6">
        <v>0</v>
      </c>
      <c r="K998" s="12" t="str">
        <f t="shared" si="45"/>
        <v/>
      </c>
      <c r="L998" s="7" t="str">
        <f>IF(VLOOKUP(A998,'[1]LISTA ETIQUETAS'!O:AB,14,0)="","",(VLOOKUP(A998,'[1]LISTA ETIQUETAS'!O:AB,14,0)))</f>
        <v/>
      </c>
      <c r="M998" s="8"/>
      <c r="N998" s="9">
        <f t="shared" si="46"/>
        <v>380312</v>
      </c>
      <c r="O998" s="2">
        <f>_xlfn.XLOOKUP($A998,'[1]LISTA ETIQUETAS'!$O:$O,'[1]LISTA ETIQUETAS'!C:C,"",0)</f>
        <v>0</v>
      </c>
      <c r="P998" s="2">
        <f>_xlfn.XLOOKUP($A998,'[1]LISTA ETIQUETAS'!$O:$O,'[1]LISTA ETIQUETAS'!D:D,"",0)</f>
        <v>0</v>
      </c>
      <c r="Q998" s="2">
        <f>_xlfn.XLOOKUP($A998,'[1]LISTA ETIQUETAS'!$O:$O,'[1]LISTA ETIQUETAS'!E:E,"",0)</f>
        <v>0</v>
      </c>
      <c r="R998" s="2">
        <f>_xlfn.XLOOKUP($A998,'[1]LISTA ETIQUETAS'!$O:$O,'[1]LISTA ETIQUETAS'!F:F,"",0)</f>
        <v>0</v>
      </c>
      <c r="S998" s="2">
        <f>_xlfn.XLOOKUP($A998,'[1]LISTA ETIQUETAS'!$O:$O,'[1]LISTA ETIQUETAS'!H:H,"",0)</f>
        <v>1</v>
      </c>
      <c r="T998" s="9">
        <f t="shared" si="47"/>
        <v>1</v>
      </c>
    </row>
    <row r="999" spans="1:20" x14ac:dyDescent="0.25">
      <c r="A999" s="5">
        <v>365739</v>
      </c>
      <c r="B999" t="str">
        <f>IFERROR((VLOOKUP(A999,'[1]LISTA ETIQUETAS'!O:X,3,0)),"PRODUTO SEM ESTOQUE")</f>
        <v>EST TAMPO CRISTAL LAPIDADO (12MM) INCOLOR (CIRCULAR)</v>
      </c>
      <c r="C999" s="10" t="s">
        <v>114</v>
      </c>
      <c r="D999" s="10" t="s">
        <v>615</v>
      </c>
      <c r="E999" s="11">
        <f>IF(VLOOKUP(A999,'[1]LISTA ETIQUETAS'!O:W,4,0)="",(VLOOKUP(A999,'[1]LISTA ETIQUETAS'!O:W,6,0)),(VLOOKUP(A999,'[1]LISTA ETIQUETAS'!O:W,4,0)))</f>
        <v>1.5</v>
      </c>
      <c r="F999" s="11">
        <f>IF(VLOOKUP(A999,'[1]LISTA ETIQUETAS'!O:W,5,0)="",(VLOOKUP(A999,'[1]LISTA ETIQUETAS'!O:W,7,0)),(VLOOKUP(A999,'[1]LISTA ETIQUETAS'!O:W,5,0)))</f>
        <v>0</v>
      </c>
      <c r="G999" s="11">
        <f>IFERROR((VLOOKUP(A999,'[1]LISTA ETIQUETAS'!O:X,8,0)),"")</f>
        <v>0.01</v>
      </c>
      <c r="H999" s="11">
        <f>IFERROR((VLOOKUP(A999,'[1]LISTA ETIQUETAS'!O:X,9,0)),"")</f>
        <v>1.5</v>
      </c>
      <c r="I999" s="12" t="str">
        <f>IFERROR((VLOOKUP(A999,'[1]LISTA ETIQUETAS'!O:Y,11,0)),"")</f>
        <v/>
      </c>
      <c r="J999" s="6">
        <v>0</v>
      </c>
      <c r="K999" s="12" t="str">
        <f t="shared" si="45"/>
        <v/>
      </c>
      <c r="L999" s="7" t="str">
        <f>IF(VLOOKUP(A999,'[1]LISTA ETIQUETAS'!O:AB,14,0)="","",(VLOOKUP(A999,'[1]LISTA ETIQUETAS'!O:AB,14,0)))</f>
        <v/>
      </c>
      <c r="M999" s="8"/>
      <c r="N999" s="9">
        <f t="shared" si="46"/>
        <v>365739</v>
      </c>
      <c r="O999" s="2">
        <f>_xlfn.XLOOKUP($A999,'[1]LISTA ETIQUETAS'!$O:$O,'[1]LISTA ETIQUETAS'!C:C,"",0)</f>
        <v>0</v>
      </c>
      <c r="P999" s="2">
        <f>_xlfn.XLOOKUP($A999,'[1]LISTA ETIQUETAS'!$O:$O,'[1]LISTA ETIQUETAS'!D:D,"",0)</f>
        <v>0</v>
      </c>
      <c r="Q999" s="2">
        <f>_xlfn.XLOOKUP($A999,'[1]LISTA ETIQUETAS'!$O:$O,'[1]LISTA ETIQUETAS'!E:E,"",0)</f>
        <v>0</v>
      </c>
      <c r="R999" s="2">
        <f>_xlfn.XLOOKUP($A999,'[1]LISTA ETIQUETAS'!$O:$O,'[1]LISTA ETIQUETAS'!F:F,"",0)</f>
        <v>0</v>
      </c>
      <c r="S999" s="2">
        <f>_xlfn.XLOOKUP($A999,'[1]LISTA ETIQUETAS'!$O:$O,'[1]LISTA ETIQUETAS'!H:H,"",0)</f>
        <v>1</v>
      </c>
      <c r="T999" s="9">
        <f t="shared" si="47"/>
        <v>1</v>
      </c>
    </row>
    <row r="1000" spans="1:20" x14ac:dyDescent="0.25">
      <c r="A1000" s="5">
        <v>232110</v>
      </c>
      <c r="B1000" t="str">
        <f>IFERROR((VLOOKUP(A1000,'[1]LISTA ETIQUETAS'!O:X,3,0)),"PRODUTO SEM ESTOQUE")</f>
        <v>EST TAMPO CRISTAL LAPIDADO (15MM) INCOLOR (CIRCULAR)</v>
      </c>
      <c r="C1000" s="10" t="s">
        <v>114</v>
      </c>
      <c r="D1000" s="10" t="s">
        <v>115</v>
      </c>
      <c r="E1000" s="11">
        <f>IF(VLOOKUP(A1000,'[1]LISTA ETIQUETAS'!O:W,4,0)="",(VLOOKUP(A1000,'[1]LISTA ETIQUETAS'!O:W,6,0)),(VLOOKUP(A1000,'[1]LISTA ETIQUETAS'!O:W,4,0)))</f>
        <v>1.4</v>
      </c>
      <c r="F1000" s="11">
        <f>IF(VLOOKUP(A1000,'[1]LISTA ETIQUETAS'!O:W,5,0)="",(VLOOKUP(A1000,'[1]LISTA ETIQUETAS'!O:W,7,0)),(VLOOKUP(A1000,'[1]LISTA ETIQUETAS'!O:W,5,0)))</f>
        <v>0</v>
      </c>
      <c r="G1000" s="11">
        <f>IFERROR((VLOOKUP(A1000,'[1]LISTA ETIQUETAS'!O:X,8,0)),"")</f>
        <v>0.01</v>
      </c>
      <c r="H1000" s="11">
        <f>IFERROR((VLOOKUP(A1000,'[1]LISTA ETIQUETAS'!O:X,9,0)),"")</f>
        <v>1.4</v>
      </c>
      <c r="I1000" s="12">
        <f>IFERROR((VLOOKUP(A1000,'[1]LISTA ETIQUETAS'!O:Y,11,0)),"")</f>
        <v>12895.310399999998</v>
      </c>
      <c r="J1000" s="6">
        <v>0</v>
      </c>
      <c r="K1000" s="12">
        <f t="shared" si="45"/>
        <v>12895.310399999998</v>
      </c>
      <c r="L1000" s="7" t="str">
        <f>IF(VLOOKUP(A1000,'[1]LISTA ETIQUETAS'!O:AB,14,0)="","",(VLOOKUP(A1000,'[1]LISTA ETIQUETAS'!O:AB,14,0)))</f>
        <v/>
      </c>
      <c r="M1000" s="8"/>
      <c r="N1000" s="9">
        <f t="shared" si="46"/>
        <v>232110</v>
      </c>
      <c r="O1000" s="2">
        <f>_xlfn.XLOOKUP($A1000,'[1]LISTA ETIQUETAS'!$O:$O,'[1]LISTA ETIQUETAS'!C:C,"",0)</f>
        <v>0</v>
      </c>
      <c r="P1000" s="2">
        <f>_xlfn.XLOOKUP($A1000,'[1]LISTA ETIQUETAS'!$O:$O,'[1]LISTA ETIQUETAS'!D:D,"",0)</f>
        <v>0</v>
      </c>
      <c r="Q1000" s="2">
        <f>_xlfn.XLOOKUP($A1000,'[1]LISTA ETIQUETAS'!$O:$O,'[1]LISTA ETIQUETAS'!E:E,"",0)</f>
        <v>0</v>
      </c>
      <c r="R1000" s="2">
        <f>_xlfn.XLOOKUP($A1000,'[1]LISTA ETIQUETAS'!$O:$O,'[1]LISTA ETIQUETAS'!F:F,"",0)</f>
        <v>0</v>
      </c>
      <c r="S1000" s="2">
        <f>_xlfn.XLOOKUP($A1000,'[1]LISTA ETIQUETAS'!$O:$O,'[1]LISTA ETIQUETAS'!H:H,"",0)</f>
        <v>3</v>
      </c>
      <c r="T1000" s="9">
        <f t="shared" si="47"/>
        <v>3</v>
      </c>
    </row>
    <row r="1001" spans="1:20" x14ac:dyDescent="0.25">
      <c r="A1001" s="5">
        <v>222971</v>
      </c>
      <c r="B1001" t="str">
        <f>IFERROR((VLOOKUP(A1001,'[1]LISTA ETIQUETAS'!O:X,3,0)),"PRODUTO SEM ESTOQUE")</f>
        <v>EST TAMPO CRISTAL LAPIDADO (15MM) INCOLOR CTO MOEDA</v>
      </c>
      <c r="C1001" s="10" t="s">
        <v>114</v>
      </c>
      <c r="D1001" s="10" t="s">
        <v>115</v>
      </c>
      <c r="E1001" s="11">
        <f>IF(VLOOKUP(A1001,'[1]LISTA ETIQUETAS'!O:W,4,0)="",(VLOOKUP(A1001,'[1]LISTA ETIQUETAS'!O:W,6,0)),(VLOOKUP(A1001,'[1]LISTA ETIQUETAS'!O:W,4,0)))</f>
        <v>1.5</v>
      </c>
      <c r="F1001" s="11">
        <f>IF(VLOOKUP(A1001,'[1]LISTA ETIQUETAS'!O:W,5,0)="",(VLOOKUP(A1001,'[1]LISTA ETIQUETAS'!O:W,7,0)),(VLOOKUP(A1001,'[1]LISTA ETIQUETAS'!O:W,5,0)))</f>
        <v>0.7</v>
      </c>
      <c r="G1001" s="11">
        <f>IFERROR((VLOOKUP(A1001,'[1]LISTA ETIQUETAS'!O:X,8,0)),"")</f>
        <v>0.01</v>
      </c>
      <c r="H1001" s="11">
        <f>IFERROR((VLOOKUP(A1001,'[1]LISTA ETIQUETAS'!O:X,9,0)),"")</f>
        <v>0</v>
      </c>
      <c r="I1001" s="12">
        <f>IFERROR((VLOOKUP(A1001,'[1]LISTA ETIQUETAS'!O:Y,11,0)),"")</f>
        <v>5766.61</v>
      </c>
      <c r="J1001" s="6">
        <v>0</v>
      </c>
      <c r="K1001" s="12">
        <f t="shared" si="45"/>
        <v>5766.61</v>
      </c>
      <c r="L1001" s="7" t="str">
        <f>IF(VLOOKUP(A1001,'[1]LISTA ETIQUETAS'!O:AB,14,0)="","",(VLOOKUP(A1001,'[1]LISTA ETIQUETAS'!O:AB,14,0)))</f>
        <v/>
      </c>
      <c r="M1001" s="8"/>
      <c r="N1001" s="9">
        <f t="shared" si="46"/>
        <v>222971</v>
      </c>
      <c r="O1001" s="2">
        <f>_xlfn.XLOOKUP($A1001,'[1]LISTA ETIQUETAS'!$O:$O,'[1]LISTA ETIQUETAS'!C:C,"",0)</f>
        <v>0</v>
      </c>
      <c r="P1001" s="2">
        <f>_xlfn.XLOOKUP($A1001,'[1]LISTA ETIQUETAS'!$O:$O,'[1]LISTA ETIQUETAS'!D:D,"",0)</f>
        <v>0</v>
      </c>
      <c r="Q1001" s="2">
        <f>_xlfn.XLOOKUP($A1001,'[1]LISTA ETIQUETAS'!$O:$O,'[1]LISTA ETIQUETAS'!E:E,"",0)</f>
        <v>0</v>
      </c>
      <c r="R1001" s="2">
        <f>_xlfn.XLOOKUP($A1001,'[1]LISTA ETIQUETAS'!$O:$O,'[1]LISTA ETIQUETAS'!F:F,"",0)</f>
        <v>0</v>
      </c>
      <c r="S1001" s="2">
        <f>_xlfn.XLOOKUP($A1001,'[1]LISTA ETIQUETAS'!$O:$O,'[1]LISTA ETIQUETAS'!H:H,"",0)</f>
        <v>1</v>
      </c>
      <c r="T1001" s="9">
        <f t="shared" si="47"/>
        <v>1</v>
      </c>
    </row>
    <row r="1002" spans="1:20" x14ac:dyDescent="0.25">
      <c r="A1002" s="5">
        <v>219524</v>
      </c>
      <c r="B1002" t="str">
        <f>IFERROR((VLOOKUP(A1002,'[1]LISTA ETIQUETAS'!O:X,3,0)),"PRODUTO SEM ESTOQUE")</f>
        <v>EST TAMPO CRISTAL LAPIDADO (15MM) INCOLOR CANTO TICK</v>
      </c>
      <c r="C1002" s="10" t="s">
        <v>114</v>
      </c>
      <c r="D1002" s="10" t="s">
        <v>115</v>
      </c>
      <c r="E1002" s="11">
        <f>IF(VLOOKUP(A1002,'[1]LISTA ETIQUETAS'!O:W,4,0)="",(VLOOKUP(A1002,'[1]LISTA ETIQUETAS'!O:W,6,0)),(VLOOKUP(A1002,'[1]LISTA ETIQUETAS'!O:W,4,0)))</f>
        <v>1.8</v>
      </c>
      <c r="F1002" s="11">
        <f>IF(VLOOKUP(A1002,'[1]LISTA ETIQUETAS'!O:W,5,0)="",(VLOOKUP(A1002,'[1]LISTA ETIQUETAS'!O:W,7,0)),(VLOOKUP(A1002,'[1]LISTA ETIQUETAS'!O:W,5,0)))</f>
        <v>0.7</v>
      </c>
      <c r="G1002" s="11">
        <f>IFERROR((VLOOKUP(A1002,'[1]LISTA ETIQUETAS'!O:X,8,0)),"")</f>
        <v>0.01</v>
      </c>
      <c r="H1002" s="11">
        <f>IFERROR((VLOOKUP(A1002,'[1]LISTA ETIQUETAS'!O:X,9,0)),"")</f>
        <v>0</v>
      </c>
      <c r="I1002" s="12">
        <f>IFERROR((VLOOKUP(A1002,'[1]LISTA ETIQUETAS'!O:Y,11,0)),"")</f>
        <v>7265.9285999999993</v>
      </c>
      <c r="J1002" s="6">
        <v>0</v>
      </c>
      <c r="K1002" s="12">
        <f t="shared" si="45"/>
        <v>7265.9285999999993</v>
      </c>
      <c r="L1002" s="7" t="str">
        <f>IF(VLOOKUP(A1002,'[1]LISTA ETIQUETAS'!O:AB,14,0)="","",(VLOOKUP(A1002,'[1]LISTA ETIQUETAS'!O:AB,14,0)))</f>
        <v/>
      </c>
      <c r="M1002" s="8"/>
      <c r="N1002" s="9">
        <f t="shared" si="46"/>
        <v>219524</v>
      </c>
      <c r="O1002" s="2">
        <f>_xlfn.XLOOKUP($A1002,'[1]LISTA ETIQUETAS'!$O:$O,'[1]LISTA ETIQUETAS'!C:C,"",0)</f>
        <v>0</v>
      </c>
      <c r="P1002" s="2">
        <f>_xlfn.XLOOKUP($A1002,'[1]LISTA ETIQUETAS'!$O:$O,'[1]LISTA ETIQUETAS'!D:D,"",0)</f>
        <v>0</v>
      </c>
      <c r="Q1002" s="2">
        <f>_xlfn.XLOOKUP($A1002,'[1]LISTA ETIQUETAS'!$O:$O,'[1]LISTA ETIQUETAS'!E:E,"",0)</f>
        <v>0</v>
      </c>
      <c r="R1002" s="2">
        <f>_xlfn.XLOOKUP($A1002,'[1]LISTA ETIQUETAS'!$O:$O,'[1]LISTA ETIQUETAS'!F:F,"",0)</f>
        <v>0</v>
      </c>
      <c r="S1002" s="2">
        <f>_xlfn.XLOOKUP($A1002,'[1]LISTA ETIQUETAS'!$O:$O,'[1]LISTA ETIQUETAS'!H:H,"",0)</f>
        <v>1</v>
      </c>
      <c r="T1002" s="9">
        <f t="shared" si="47"/>
        <v>1</v>
      </c>
    </row>
    <row r="1003" spans="1:20" x14ac:dyDescent="0.25">
      <c r="A1003" s="5">
        <v>179026</v>
      </c>
      <c r="B1003" t="str">
        <f>IFERROR((VLOOKUP(A1003,'[1]LISTA ETIQUETAS'!O:X,3,0)),"PRODUTO SEM ESTOQUE")</f>
        <v>EST TAMPO CRISTAL LAPIDADO (10MM) ULTRA CLEAR BCO CTO RETO</v>
      </c>
      <c r="C1003" s="10" t="s">
        <v>114</v>
      </c>
      <c r="D1003" s="10" t="s">
        <v>616</v>
      </c>
      <c r="E1003" s="11">
        <f>IF(VLOOKUP(A1003,'[1]LISTA ETIQUETAS'!O:W,4,0)="",(VLOOKUP(A1003,'[1]LISTA ETIQUETAS'!O:W,6,0)),(VLOOKUP(A1003,'[1]LISTA ETIQUETAS'!O:W,4,0)))</f>
        <v>1.6</v>
      </c>
      <c r="F1003" s="11">
        <f>IF(VLOOKUP(A1003,'[1]LISTA ETIQUETAS'!O:W,5,0)="",(VLOOKUP(A1003,'[1]LISTA ETIQUETAS'!O:W,7,0)),(VLOOKUP(A1003,'[1]LISTA ETIQUETAS'!O:W,5,0)))</f>
        <v>1.1000000000000001</v>
      </c>
      <c r="G1003" s="11">
        <f>IFERROR((VLOOKUP(A1003,'[1]LISTA ETIQUETAS'!O:X,8,0)),"")</f>
        <v>0.01</v>
      </c>
      <c r="H1003" s="11">
        <f>IFERROR((VLOOKUP(A1003,'[1]LISTA ETIQUETAS'!O:X,9,0)),"")</f>
        <v>0</v>
      </c>
      <c r="I1003" s="12">
        <f>IFERROR((VLOOKUP(A1003,'[1]LISTA ETIQUETAS'!O:Y,11,0)),"")</f>
        <v>12910.251200000001</v>
      </c>
      <c r="J1003" s="6">
        <v>0</v>
      </c>
      <c r="K1003" s="12">
        <f t="shared" si="45"/>
        <v>12910.251200000001</v>
      </c>
      <c r="L1003" s="7" t="str">
        <f>IF(VLOOKUP(A1003,'[1]LISTA ETIQUETAS'!O:AB,14,0)="","",(VLOOKUP(A1003,'[1]LISTA ETIQUETAS'!O:AB,14,0)))</f>
        <v/>
      </c>
      <c r="M1003" s="8"/>
      <c r="N1003" s="9">
        <f t="shared" si="46"/>
        <v>179026</v>
      </c>
      <c r="O1003" s="2">
        <f>_xlfn.XLOOKUP($A1003,'[1]LISTA ETIQUETAS'!$O:$O,'[1]LISTA ETIQUETAS'!C:C,"",0)</f>
        <v>0</v>
      </c>
      <c r="P1003" s="2">
        <f>_xlfn.XLOOKUP($A1003,'[1]LISTA ETIQUETAS'!$O:$O,'[1]LISTA ETIQUETAS'!D:D,"",0)</f>
        <v>0</v>
      </c>
      <c r="Q1003" s="2">
        <f>_xlfn.XLOOKUP($A1003,'[1]LISTA ETIQUETAS'!$O:$O,'[1]LISTA ETIQUETAS'!E:E,"",0)</f>
        <v>0</v>
      </c>
      <c r="R1003" s="2">
        <f>_xlfn.XLOOKUP($A1003,'[1]LISTA ETIQUETAS'!$O:$O,'[1]LISTA ETIQUETAS'!F:F,"",0)</f>
        <v>0</v>
      </c>
      <c r="S1003" s="2">
        <f>_xlfn.XLOOKUP($A1003,'[1]LISTA ETIQUETAS'!$O:$O,'[1]LISTA ETIQUETAS'!H:H,"",0)</f>
        <v>1</v>
      </c>
      <c r="T1003" s="9">
        <f t="shared" si="47"/>
        <v>1</v>
      </c>
    </row>
    <row r="1004" spans="1:20" x14ac:dyDescent="0.25">
      <c r="A1004" s="5">
        <v>160943</v>
      </c>
      <c r="B1004" t="str">
        <f>IFERROR((VLOOKUP(A1004,'[1]LISTA ETIQUETAS'!O:X,3,0)),"PRODUTO SEM ESTOQUE")</f>
        <v>EST TAMPO CRISTAL LAPIDADO (15MM) INCOLOR RETILINEO</v>
      </c>
      <c r="C1004" s="10" t="s">
        <v>114</v>
      </c>
      <c r="D1004" s="10" t="s">
        <v>115</v>
      </c>
      <c r="E1004" s="11">
        <f>IF(VLOOKUP(A1004,'[1]LISTA ETIQUETAS'!O:W,4,0)="",(VLOOKUP(A1004,'[1]LISTA ETIQUETAS'!O:W,6,0)),(VLOOKUP(A1004,'[1]LISTA ETIQUETAS'!O:W,4,0)))</f>
        <v>1.5</v>
      </c>
      <c r="F1004" s="11">
        <f>IF(VLOOKUP(A1004,'[1]LISTA ETIQUETAS'!O:W,5,0)="",(VLOOKUP(A1004,'[1]LISTA ETIQUETAS'!O:W,7,0)),(VLOOKUP(A1004,'[1]LISTA ETIQUETAS'!O:W,5,0)))</f>
        <v>1.5</v>
      </c>
      <c r="G1004" s="11">
        <f>IFERROR((VLOOKUP(A1004,'[1]LISTA ETIQUETAS'!O:X,8,0)),"")</f>
        <v>0.01</v>
      </c>
      <c r="H1004" s="11">
        <f>IFERROR((VLOOKUP(A1004,'[1]LISTA ETIQUETAS'!O:X,9,0)),"")</f>
        <v>0</v>
      </c>
      <c r="I1004" s="12">
        <f>IFERROR((VLOOKUP(A1004,'[1]LISTA ETIQUETAS'!O:Y,11,0)),"")</f>
        <v>12974.872499999999</v>
      </c>
      <c r="J1004" s="6">
        <v>0</v>
      </c>
      <c r="K1004" s="12">
        <f t="shared" si="45"/>
        <v>12974.872499999999</v>
      </c>
      <c r="L1004" s="7" t="str">
        <f>IF(VLOOKUP(A1004,'[1]LISTA ETIQUETAS'!O:AB,14,0)="","",(VLOOKUP(A1004,'[1]LISTA ETIQUETAS'!O:AB,14,0)))</f>
        <v/>
      </c>
      <c r="M1004" s="8"/>
      <c r="N1004" s="9">
        <f t="shared" si="46"/>
        <v>160943</v>
      </c>
      <c r="O1004" s="2">
        <f>_xlfn.XLOOKUP($A1004,'[1]LISTA ETIQUETAS'!$O:$O,'[1]LISTA ETIQUETAS'!C:C,"",0)</f>
        <v>0</v>
      </c>
      <c r="P1004" s="2">
        <f>_xlfn.XLOOKUP($A1004,'[1]LISTA ETIQUETAS'!$O:$O,'[1]LISTA ETIQUETAS'!D:D,"",0)</f>
        <v>0</v>
      </c>
      <c r="Q1004" s="2">
        <f>_xlfn.XLOOKUP($A1004,'[1]LISTA ETIQUETAS'!$O:$O,'[1]LISTA ETIQUETAS'!E:E,"",0)</f>
        <v>0</v>
      </c>
      <c r="R1004" s="2">
        <f>_xlfn.XLOOKUP($A1004,'[1]LISTA ETIQUETAS'!$O:$O,'[1]LISTA ETIQUETAS'!F:F,"",0)</f>
        <v>0</v>
      </c>
      <c r="S1004" s="2">
        <f>_xlfn.XLOOKUP($A1004,'[1]LISTA ETIQUETAS'!$O:$O,'[1]LISTA ETIQUETAS'!H:H,"",0)</f>
        <v>2</v>
      </c>
      <c r="T1004" s="9">
        <f t="shared" si="47"/>
        <v>2</v>
      </c>
    </row>
    <row r="1005" spans="1:20" x14ac:dyDescent="0.25">
      <c r="A1005" s="5">
        <v>253732</v>
      </c>
      <c r="B1005" t="str">
        <f>IFERROR((VLOOKUP(A1005,'[1]LISTA ETIQUETAS'!O:X,3,0)),"PRODUTO SEM ESTOQUE")</f>
        <v>EST TAMPO CRISTAL BISOTADO (15MM) INCOLOR CANTO TICK</v>
      </c>
      <c r="C1005" s="10" t="s">
        <v>114</v>
      </c>
      <c r="D1005" s="10" t="s">
        <v>115</v>
      </c>
      <c r="E1005" s="11">
        <f>IF(VLOOKUP(A1005,'[1]LISTA ETIQUETAS'!O:W,4,0)="",(VLOOKUP(A1005,'[1]LISTA ETIQUETAS'!O:W,6,0)),(VLOOKUP(A1005,'[1]LISTA ETIQUETAS'!O:W,4,0)))</f>
        <v>2.8</v>
      </c>
      <c r="F1005" s="11">
        <f>IF(VLOOKUP(A1005,'[1]LISTA ETIQUETAS'!O:W,5,0)="",(VLOOKUP(A1005,'[1]LISTA ETIQUETAS'!O:W,7,0)),(VLOOKUP(A1005,'[1]LISTA ETIQUETAS'!O:W,5,0)))</f>
        <v>1.2</v>
      </c>
      <c r="G1005" s="11">
        <f>IFERROR((VLOOKUP(A1005,'[1]LISTA ETIQUETAS'!O:X,8,0)),"")</f>
        <v>0.01</v>
      </c>
      <c r="H1005" s="11">
        <f>IFERROR((VLOOKUP(A1005,'[1]LISTA ETIQUETAS'!O:X,9,0)),"")</f>
        <v>0</v>
      </c>
      <c r="I1005" s="12">
        <f>IFERROR((VLOOKUP(A1005,'[1]LISTA ETIQUETAS'!O:Y,11,0)),"")</f>
        <v>19375.809599999997</v>
      </c>
      <c r="J1005" s="6">
        <v>0</v>
      </c>
      <c r="K1005" s="12">
        <f t="shared" si="45"/>
        <v>19375.809599999997</v>
      </c>
      <c r="L1005" s="7" t="str">
        <f>IF(VLOOKUP(A1005,'[1]LISTA ETIQUETAS'!O:AB,14,0)="","",(VLOOKUP(A1005,'[1]LISTA ETIQUETAS'!O:AB,14,0)))</f>
        <v/>
      </c>
      <c r="M1005" s="8"/>
      <c r="N1005" s="9">
        <f t="shared" si="46"/>
        <v>253732</v>
      </c>
      <c r="O1005" s="2">
        <f>_xlfn.XLOOKUP($A1005,'[1]LISTA ETIQUETAS'!$O:$O,'[1]LISTA ETIQUETAS'!C:C,"",0)</f>
        <v>0</v>
      </c>
      <c r="P1005" s="2">
        <f>_xlfn.XLOOKUP($A1005,'[1]LISTA ETIQUETAS'!$O:$O,'[1]LISTA ETIQUETAS'!D:D,"",0)</f>
        <v>0</v>
      </c>
      <c r="Q1005" s="2">
        <f>_xlfn.XLOOKUP($A1005,'[1]LISTA ETIQUETAS'!$O:$O,'[1]LISTA ETIQUETAS'!E:E,"",0)</f>
        <v>0</v>
      </c>
      <c r="R1005" s="2">
        <f>_xlfn.XLOOKUP($A1005,'[1]LISTA ETIQUETAS'!$O:$O,'[1]LISTA ETIQUETAS'!F:F,"",0)</f>
        <v>0</v>
      </c>
      <c r="S1005" s="2">
        <f>_xlfn.XLOOKUP($A1005,'[1]LISTA ETIQUETAS'!$O:$O,'[1]LISTA ETIQUETAS'!H:H,"",0)</f>
        <v>1</v>
      </c>
      <c r="T1005" s="9">
        <f t="shared" si="47"/>
        <v>1</v>
      </c>
    </row>
    <row r="1006" spans="1:20" x14ac:dyDescent="0.25">
      <c r="A1006" s="5">
        <v>161699</v>
      </c>
      <c r="B1006" t="str">
        <f>IFERROR((VLOOKUP(A1006,'[1]LISTA ETIQUETAS'!O:X,3,0)),"PRODUTO SEM ESTOQUE")</f>
        <v>EST TAMPO CRISTAL LAPIDADO (06MM) LAQUEADO BRONZE RETILINEO</v>
      </c>
      <c r="C1006" s="10" t="s">
        <v>114</v>
      </c>
      <c r="D1006" s="10" t="s">
        <v>617</v>
      </c>
      <c r="E1006" s="11">
        <f>IF(VLOOKUP(A1006,'[1]LISTA ETIQUETAS'!O:W,4,0)="",(VLOOKUP(A1006,'[1]LISTA ETIQUETAS'!O:W,6,0)),(VLOOKUP(A1006,'[1]LISTA ETIQUETAS'!O:W,4,0)))</f>
        <v>0.43</v>
      </c>
      <c r="F1006" s="11">
        <f>IF(VLOOKUP(A1006,'[1]LISTA ETIQUETAS'!O:W,5,0)="",(VLOOKUP(A1006,'[1]LISTA ETIQUETAS'!O:W,7,0)),(VLOOKUP(A1006,'[1]LISTA ETIQUETAS'!O:W,5,0)))</f>
        <v>0.4</v>
      </c>
      <c r="G1006" s="11">
        <f>IFERROR((VLOOKUP(A1006,'[1]LISTA ETIQUETAS'!O:X,8,0)),"")</f>
        <v>0</v>
      </c>
      <c r="H1006" s="11">
        <f>IFERROR((VLOOKUP(A1006,'[1]LISTA ETIQUETAS'!O:X,9,0)),"")</f>
        <v>0</v>
      </c>
      <c r="I1006" s="12">
        <f>IFERROR((VLOOKUP(A1006,'[1]LISTA ETIQUETAS'!O:Y,11,0)),"")</f>
        <v>717.56</v>
      </c>
      <c r="J1006" s="6">
        <v>0</v>
      </c>
      <c r="K1006" s="12">
        <f t="shared" si="45"/>
        <v>717.56</v>
      </c>
      <c r="L1006" s="7" t="str">
        <f>IF(VLOOKUP(A1006,'[1]LISTA ETIQUETAS'!O:AB,14,0)="","",(VLOOKUP(A1006,'[1]LISTA ETIQUETAS'!O:AB,14,0)))</f>
        <v/>
      </c>
      <c r="M1006" s="8"/>
      <c r="N1006" s="9">
        <f t="shared" si="46"/>
        <v>161699</v>
      </c>
      <c r="O1006" s="2">
        <f>_xlfn.XLOOKUP($A1006,'[1]LISTA ETIQUETAS'!$O:$O,'[1]LISTA ETIQUETAS'!C:C,"",0)</f>
        <v>0</v>
      </c>
      <c r="P1006" s="2">
        <f>_xlfn.XLOOKUP($A1006,'[1]LISTA ETIQUETAS'!$O:$O,'[1]LISTA ETIQUETAS'!D:D,"",0)</f>
        <v>0</v>
      </c>
      <c r="Q1006" s="2">
        <f>_xlfn.XLOOKUP($A1006,'[1]LISTA ETIQUETAS'!$O:$O,'[1]LISTA ETIQUETAS'!E:E,"",0)</f>
        <v>0</v>
      </c>
      <c r="R1006" s="2">
        <f>_xlfn.XLOOKUP($A1006,'[1]LISTA ETIQUETAS'!$O:$O,'[1]LISTA ETIQUETAS'!F:F,"",0)</f>
        <v>0</v>
      </c>
      <c r="S1006" s="2">
        <f>_xlfn.XLOOKUP($A1006,'[1]LISTA ETIQUETAS'!$O:$O,'[1]LISTA ETIQUETAS'!H:H,"",0)</f>
        <v>2</v>
      </c>
      <c r="T1006" s="9">
        <f t="shared" si="47"/>
        <v>2</v>
      </c>
    </row>
    <row r="1007" spans="1:20" x14ac:dyDescent="0.25">
      <c r="A1007" s="5">
        <v>157054</v>
      </c>
      <c r="B1007" t="str">
        <f>IFERROR((VLOOKUP(A1007,'[1]LISTA ETIQUETAS'!O:X,3,0)),"PRODUTO SEM ESTOQUE")</f>
        <v>EST TAMPO CRISTAL LAPIDADO (15MM) INCOLOR (CIRCULAR)</v>
      </c>
      <c r="C1007" s="10" t="s">
        <v>114</v>
      </c>
      <c r="D1007" s="10" t="s">
        <v>115</v>
      </c>
      <c r="E1007" s="11">
        <f>IF(VLOOKUP(A1007,'[1]LISTA ETIQUETAS'!O:W,4,0)="",(VLOOKUP(A1007,'[1]LISTA ETIQUETAS'!O:W,6,0)),(VLOOKUP(A1007,'[1]LISTA ETIQUETAS'!O:W,4,0)))</f>
        <v>1.3</v>
      </c>
      <c r="F1007" s="11">
        <f>IF(VLOOKUP(A1007,'[1]LISTA ETIQUETAS'!O:W,5,0)="",(VLOOKUP(A1007,'[1]LISTA ETIQUETAS'!O:W,7,0)),(VLOOKUP(A1007,'[1]LISTA ETIQUETAS'!O:W,5,0)))</f>
        <v>0</v>
      </c>
      <c r="G1007" s="11">
        <f>IFERROR((VLOOKUP(A1007,'[1]LISTA ETIQUETAS'!O:X,8,0)),"")</f>
        <v>0.01</v>
      </c>
      <c r="H1007" s="11">
        <f>IFERROR((VLOOKUP(A1007,'[1]LISTA ETIQUETAS'!O:X,9,0)),"")</f>
        <v>1.3</v>
      </c>
      <c r="I1007" s="12" t="str">
        <f>IFERROR((VLOOKUP(A1007,'[1]LISTA ETIQUETAS'!O:Y,11,0)),"")</f>
        <v/>
      </c>
      <c r="J1007" s="6">
        <v>0</v>
      </c>
      <c r="K1007" s="12" t="str">
        <f t="shared" si="45"/>
        <v/>
      </c>
      <c r="L1007" s="7" t="str">
        <f>IF(VLOOKUP(A1007,'[1]LISTA ETIQUETAS'!O:AB,14,0)="","",(VLOOKUP(A1007,'[1]LISTA ETIQUETAS'!O:AB,14,0)))</f>
        <v/>
      </c>
      <c r="M1007" s="8"/>
      <c r="N1007" s="9">
        <f t="shared" si="46"/>
        <v>157054</v>
      </c>
      <c r="O1007" s="2">
        <f>_xlfn.XLOOKUP($A1007,'[1]LISTA ETIQUETAS'!$O:$O,'[1]LISTA ETIQUETAS'!C:C,"",0)</f>
        <v>0</v>
      </c>
      <c r="P1007" s="2">
        <f>_xlfn.XLOOKUP($A1007,'[1]LISTA ETIQUETAS'!$O:$O,'[1]LISTA ETIQUETAS'!D:D,"",0)</f>
        <v>0</v>
      </c>
      <c r="Q1007" s="2">
        <f>_xlfn.XLOOKUP($A1007,'[1]LISTA ETIQUETAS'!$O:$O,'[1]LISTA ETIQUETAS'!E:E,"",0)</f>
        <v>0</v>
      </c>
      <c r="R1007" s="2">
        <f>_xlfn.XLOOKUP($A1007,'[1]LISTA ETIQUETAS'!$O:$O,'[1]LISTA ETIQUETAS'!F:F,"",0)</f>
        <v>0</v>
      </c>
      <c r="S1007" s="2">
        <f>_xlfn.XLOOKUP($A1007,'[1]LISTA ETIQUETAS'!$O:$O,'[1]LISTA ETIQUETAS'!H:H,"",0)</f>
        <v>1</v>
      </c>
      <c r="T1007" s="9">
        <f t="shared" si="47"/>
        <v>1</v>
      </c>
    </row>
    <row r="1008" spans="1:20" x14ac:dyDescent="0.25">
      <c r="A1008" s="5">
        <v>77537</v>
      </c>
      <c r="B1008" t="str">
        <f>IFERROR((VLOOKUP(A1008,'[1]LISTA ETIQUETAS'!O:X,3,0)),"PRODUTO SEM ESTOQUE")</f>
        <v>EST TAMPO CRISTAL LAPIDADO (15MM) INCOLOR CANTO TICK</v>
      </c>
      <c r="C1008" s="10" t="s">
        <v>114</v>
      </c>
      <c r="D1008" s="10" t="s">
        <v>115</v>
      </c>
      <c r="E1008" s="11">
        <f>IF(VLOOKUP(A1008,'[1]LISTA ETIQUETAS'!O:W,4,0)="",(VLOOKUP(A1008,'[1]LISTA ETIQUETAS'!O:W,6,0)),(VLOOKUP(A1008,'[1]LISTA ETIQUETAS'!O:W,4,0)))</f>
        <v>1.5</v>
      </c>
      <c r="F1008" s="11">
        <f>IF(VLOOKUP(A1008,'[1]LISTA ETIQUETAS'!O:W,5,0)="",(VLOOKUP(A1008,'[1]LISTA ETIQUETAS'!O:W,7,0)),(VLOOKUP(A1008,'[1]LISTA ETIQUETAS'!O:W,5,0)))</f>
        <v>1.5</v>
      </c>
      <c r="G1008" s="11">
        <f>IFERROR((VLOOKUP(A1008,'[1]LISTA ETIQUETAS'!O:X,8,0)),"")</f>
        <v>0.01</v>
      </c>
      <c r="H1008" s="11">
        <f>IFERROR((VLOOKUP(A1008,'[1]LISTA ETIQUETAS'!O:X,9,0)),"")</f>
        <v>0</v>
      </c>
      <c r="I1008" s="12" t="str">
        <f>IFERROR((VLOOKUP(A1008,'[1]LISTA ETIQUETAS'!O:Y,11,0)),"")</f>
        <v/>
      </c>
      <c r="J1008" s="6">
        <v>0</v>
      </c>
      <c r="K1008" s="12" t="str">
        <f t="shared" si="45"/>
        <v/>
      </c>
      <c r="L1008" s="7" t="str">
        <f>IF(VLOOKUP(A1008,'[1]LISTA ETIQUETAS'!O:AB,14,0)="","",(VLOOKUP(A1008,'[1]LISTA ETIQUETAS'!O:AB,14,0)))</f>
        <v/>
      </c>
      <c r="M1008" s="8"/>
      <c r="N1008" s="9">
        <f t="shared" si="46"/>
        <v>77537</v>
      </c>
      <c r="O1008" s="2">
        <f>_xlfn.XLOOKUP($A1008,'[1]LISTA ETIQUETAS'!$O:$O,'[1]LISTA ETIQUETAS'!C:C,"",0)</f>
        <v>0</v>
      </c>
      <c r="P1008" s="2">
        <f>_xlfn.XLOOKUP($A1008,'[1]LISTA ETIQUETAS'!$O:$O,'[1]LISTA ETIQUETAS'!D:D,"",0)</f>
        <v>0</v>
      </c>
      <c r="Q1008" s="2">
        <f>_xlfn.XLOOKUP($A1008,'[1]LISTA ETIQUETAS'!$O:$O,'[1]LISTA ETIQUETAS'!E:E,"",0)</f>
        <v>0</v>
      </c>
      <c r="R1008" s="2">
        <f>_xlfn.XLOOKUP($A1008,'[1]LISTA ETIQUETAS'!$O:$O,'[1]LISTA ETIQUETAS'!F:F,"",0)</f>
        <v>0</v>
      </c>
      <c r="S1008" s="2">
        <f>_xlfn.XLOOKUP($A1008,'[1]LISTA ETIQUETAS'!$O:$O,'[1]LISTA ETIQUETAS'!H:H,"",0)</f>
        <v>1</v>
      </c>
      <c r="T1008" s="9">
        <f t="shared" si="47"/>
        <v>1</v>
      </c>
    </row>
    <row r="1009" spans="1:20" x14ac:dyDescent="0.25">
      <c r="A1009" s="5">
        <v>101748</v>
      </c>
      <c r="B1009" t="str">
        <f>IFERROR((VLOOKUP(A1009,'[1]LISTA ETIQUETAS'!O:X,3,0)),"PRODUTO SEM ESTOQUE")</f>
        <v>EST TAMPO CRISTAL LAPIDADO (15MM) INCOLOR OVAL</v>
      </c>
      <c r="C1009" s="10" t="s">
        <v>114</v>
      </c>
      <c r="D1009" s="10" t="s">
        <v>115</v>
      </c>
      <c r="E1009" s="11">
        <f>IF(VLOOKUP(A1009,'[1]LISTA ETIQUETAS'!O:W,4,0)="",(VLOOKUP(A1009,'[1]LISTA ETIQUETAS'!O:W,6,0)),(VLOOKUP(A1009,'[1]LISTA ETIQUETAS'!O:W,4,0)))</f>
        <v>1.1000000000000001</v>
      </c>
      <c r="F1009" s="11">
        <f>IF(VLOOKUP(A1009,'[1]LISTA ETIQUETAS'!O:W,5,0)="",(VLOOKUP(A1009,'[1]LISTA ETIQUETAS'!O:W,7,0)),(VLOOKUP(A1009,'[1]LISTA ETIQUETAS'!O:W,5,0)))</f>
        <v>0.7</v>
      </c>
      <c r="G1009" s="11">
        <f>IFERROR((VLOOKUP(A1009,'[1]LISTA ETIQUETAS'!O:X,8,0)),"")</f>
        <v>0.01</v>
      </c>
      <c r="H1009" s="11">
        <f>IFERROR((VLOOKUP(A1009,'[1]LISTA ETIQUETAS'!O:X,9,0)),"")</f>
        <v>0</v>
      </c>
      <c r="I1009" s="12" t="str">
        <f>IFERROR((VLOOKUP(A1009,'[1]LISTA ETIQUETAS'!O:Y,11,0)),"")</f>
        <v/>
      </c>
      <c r="J1009" s="6">
        <v>0</v>
      </c>
      <c r="K1009" s="12" t="str">
        <f t="shared" si="45"/>
        <v/>
      </c>
      <c r="L1009" s="7" t="str">
        <f>IF(VLOOKUP(A1009,'[1]LISTA ETIQUETAS'!O:AB,14,0)="","",(VLOOKUP(A1009,'[1]LISTA ETIQUETAS'!O:AB,14,0)))</f>
        <v/>
      </c>
      <c r="M1009" s="8"/>
      <c r="N1009" s="9">
        <f t="shared" si="46"/>
        <v>101748</v>
      </c>
      <c r="O1009" s="2">
        <f>_xlfn.XLOOKUP($A1009,'[1]LISTA ETIQUETAS'!$O:$O,'[1]LISTA ETIQUETAS'!C:C,"",0)</f>
        <v>0</v>
      </c>
      <c r="P1009" s="2">
        <f>_xlfn.XLOOKUP($A1009,'[1]LISTA ETIQUETAS'!$O:$O,'[1]LISTA ETIQUETAS'!D:D,"",0)</f>
        <v>0</v>
      </c>
      <c r="Q1009" s="2">
        <f>_xlfn.XLOOKUP($A1009,'[1]LISTA ETIQUETAS'!$O:$O,'[1]LISTA ETIQUETAS'!E:E,"",0)</f>
        <v>0</v>
      </c>
      <c r="R1009" s="2">
        <f>_xlfn.XLOOKUP($A1009,'[1]LISTA ETIQUETAS'!$O:$O,'[1]LISTA ETIQUETAS'!F:F,"",0)</f>
        <v>0</v>
      </c>
      <c r="S1009" s="2">
        <f>_xlfn.XLOOKUP($A1009,'[1]LISTA ETIQUETAS'!$O:$O,'[1]LISTA ETIQUETAS'!H:H,"",0)</f>
        <v>1</v>
      </c>
      <c r="T1009" s="9">
        <f t="shared" si="47"/>
        <v>1</v>
      </c>
    </row>
    <row r="1010" spans="1:20" x14ac:dyDescent="0.25">
      <c r="A1010" s="5">
        <v>89154</v>
      </c>
      <c r="B1010" t="str">
        <f>IFERROR((VLOOKUP(A1010,'[1]LISTA ETIQUETAS'!O:X,3,0)),"PRODUTO SEM ESTOQUE")</f>
        <v>EST TAMPO CRISTAL LAPIDADO (12MM) INCOLOR (CIRCULAR)</v>
      </c>
      <c r="C1010" s="10" t="s">
        <v>114</v>
      </c>
      <c r="D1010" s="10" t="s">
        <v>615</v>
      </c>
      <c r="E1010" s="11">
        <f>IF(VLOOKUP(A1010,'[1]LISTA ETIQUETAS'!O:W,4,0)="",(VLOOKUP(A1010,'[1]LISTA ETIQUETAS'!O:W,6,0)),(VLOOKUP(A1010,'[1]LISTA ETIQUETAS'!O:W,4,0)))</f>
        <v>1.5</v>
      </c>
      <c r="F1010" s="11">
        <f>IF(VLOOKUP(A1010,'[1]LISTA ETIQUETAS'!O:W,5,0)="",(VLOOKUP(A1010,'[1]LISTA ETIQUETAS'!O:W,7,0)),(VLOOKUP(A1010,'[1]LISTA ETIQUETAS'!O:W,5,0)))</f>
        <v>0</v>
      </c>
      <c r="G1010" s="11">
        <f>IFERROR((VLOOKUP(A1010,'[1]LISTA ETIQUETAS'!O:X,8,0)),"")</f>
        <v>0.01</v>
      </c>
      <c r="H1010" s="11">
        <f>IFERROR((VLOOKUP(A1010,'[1]LISTA ETIQUETAS'!O:X,9,0)),"")</f>
        <v>1.5</v>
      </c>
      <c r="I1010" s="12" t="str">
        <f>IFERROR((VLOOKUP(A1010,'[1]LISTA ETIQUETAS'!O:Y,11,0)),"")</f>
        <v/>
      </c>
      <c r="J1010" s="6">
        <v>0</v>
      </c>
      <c r="K1010" s="12" t="str">
        <f t="shared" si="45"/>
        <v/>
      </c>
      <c r="L1010" s="7" t="str">
        <f>IF(VLOOKUP(A1010,'[1]LISTA ETIQUETAS'!O:AB,14,0)="","",(VLOOKUP(A1010,'[1]LISTA ETIQUETAS'!O:AB,14,0)))</f>
        <v/>
      </c>
      <c r="M1010" s="8"/>
      <c r="N1010" s="9">
        <f t="shared" si="46"/>
        <v>89154</v>
      </c>
      <c r="O1010" s="2">
        <f>_xlfn.XLOOKUP($A1010,'[1]LISTA ETIQUETAS'!$O:$O,'[1]LISTA ETIQUETAS'!C:C,"",0)</f>
        <v>0</v>
      </c>
      <c r="P1010" s="2">
        <f>_xlfn.XLOOKUP($A1010,'[1]LISTA ETIQUETAS'!$O:$O,'[1]LISTA ETIQUETAS'!D:D,"",0)</f>
        <v>0</v>
      </c>
      <c r="Q1010" s="2">
        <f>_xlfn.XLOOKUP($A1010,'[1]LISTA ETIQUETAS'!$O:$O,'[1]LISTA ETIQUETAS'!E:E,"",0)</f>
        <v>0</v>
      </c>
      <c r="R1010" s="2">
        <f>_xlfn.XLOOKUP($A1010,'[1]LISTA ETIQUETAS'!$O:$O,'[1]LISTA ETIQUETAS'!F:F,"",0)</f>
        <v>0</v>
      </c>
      <c r="S1010" s="2">
        <f>_xlfn.XLOOKUP($A1010,'[1]LISTA ETIQUETAS'!$O:$O,'[1]LISTA ETIQUETAS'!H:H,"",0)</f>
        <v>1</v>
      </c>
      <c r="T1010" s="9">
        <f t="shared" si="47"/>
        <v>1</v>
      </c>
    </row>
    <row r="1011" spans="1:20" x14ac:dyDescent="0.25">
      <c r="A1011" s="5">
        <v>248917</v>
      </c>
      <c r="B1011" t="str">
        <f>IFERROR((VLOOKUP(A1011,'[1]LISTA ETIQUETAS'!O:X,3,0)),"PRODUTO SEM ESTOQUE")</f>
        <v>EST TAMPO MARMORE TRAVERTINO ROMANO BRUTO</v>
      </c>
      <c r="C1011" s="10" t="s">
        <v>66</v>
      </c>
      <c r="D1011" s="10" t="s">
        <v>618</v>
      </c>
      <c r="E1011" s="11">
        <f>IF(VLOOKUP(A1011,'[1]LISTA ETIQUETAS'!O:W,4,0)="",(VLOOKUP(A1011,'[1]LISTA ETIQUETAS'!O:W,6,0)),(VLOOKUP(A1011,'[1]LISTA ETIQUETAS'!O:W,4,0)))</f>
        <v>1</v>
      </c>
      <c r="F1011" s="11">
        <f>IF(VLOOKUP(A1011,'[1]LISTA ETIQUETAS'!O:W,5,0)="",(VLOOKUP(A1011,'[1]LISTA ETIQUETAS'!O:W,7,0)),(VLOOKUP(A1011,'[1]LISTA ETIQUETAS'!O:W,5,0)))</f>
        <v>0</v>
      </c>
      <c r="G1011" s="11">
        <f>IFERROR((VLOOKUP(A1011,'[1]LISTA ETIQUETAS'!O:X,8,0)),"")</f>
        <v>0.2</v>
      </c>
      <c r="H1011" s="11">
        <f>IFERROR((VLOOKUP(A1011,'[1]LISTA ETIQUETAS'!O:X,9,0)),"")</f>
        <v>1</v>
      </c>
      <c r="I1011" s="12">
        <f>IFERROR((VLOOKUP(A1011,'[1]LISTA ETIQUETAS'!O:Y,11,0)),"")</f>
        <v>0</v>
      </c>
      <c r="J1011" s="6">
        <v>0</v>
      </c>
      <c r="K1011" s="12">
        <f t="shared" si="45"/>
        <v>0</v>
      </c>
      <c r="L1011" s="7" t="str">
        <f>IF(VLOOKUP(A1011,'[1]LISTA ETIQUETAS'!O:AB,14,0)="","",(VLOOKUP(A1011,'[1]LISTA ETIQUETAS'!O:AB,14,0)))</f>
        <v/>
      </c>
      <c r="M1011" s="8"/>
      <c r="N1011" s="9">
        <f t="shared" si="46"/>
        <v>248917</v>
      </c>
      <c r="O1011" s="2">
        <f>_xlfn.XLOOKUP($A1011,'[1]LISTA ETIQUETAS'!$O:$O,'[1]LISTA ETIQUETAS'!C:C,"",0)</f>
        <v>0</v>
      </c>
      <c r="P1011" s="2">
        <f>_xlfn.XLOOKUP($A1011,'[1]LISTA ETIQUETAS'!$O:$O,'[1]LISTA ETIQUETAS'!D:D,"",0)</f>
        <v>0</v>
      </c>
      <c r="Q1011" s="2">
        <f>_xlfn.XLOOKUP($A1011,'[1]LISTA ETIQUETAS'!$O:$O,'[1]LISTA ETIQUETAS'!E:E,"",0)</f>
        <v>0</v>
      </c>
      <c r="R1011" s="2">
        <f>_xlfn.XLOOKUP($A1011,'[1]LISTA ETIQUETAS'!$O:$O,'[1]LISTA ETIQUETAS'!F:F,"",0)</f>
        <v>0</v>
      </c>
      <c r="S1011" s="2">
        <f>_xlfn.XLOOKUP($A1011,'[1]LISTA ETIQUETAS'!$O:$O,'[1]LISTA ETIQUETAS'!H:H,"",0)</f>
        <v>1</v>
      </c>
      <c r="T1011" s="9">
        <f t="shared" si="47"/>
        <v>1</v>
      </c>
    </row>
  </sheetData>
  <autoFilter ref="A2:AB1011" xr:uid="{A797188C-EE6D-4103-9686-A7EF3C02BDEA}"/>
  <mergeCells count="2">
    <mergeCell ref="B1:Y1"/>
    <mergeCell ref="AA1:AB1"/>
  </mergeCells>
  <conditionalFormatting sqref="A1">
    <cfRule type="duplicateValues" dxfId="1" priority="1"/>
  </conditionalFormatting>
  <conditionalFormatting sqref="A1">
    <cfRule type="duplicateValues" dxfId="0" priority="2"/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PRONTA ENTREGA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MKT</dc:creator>
  <cp:lastModifiedBy>Produtos</cp:lastModifiedBy>
  <dcterms:created xsi:type="dcterms:W3CDTF">2025-11-10T18:25:17Z</dcterms:created>
  <dcterms:modified xsi:type="dcterms:W3CDTF">2025-11-12T17:38:09Z</dcterms:modified>
</cp:coreProperties>
</file>